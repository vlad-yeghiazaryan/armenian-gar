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victoryerz/Desktop/GaR-project/data/arm_data/"/>
    </mc:Choice>
  </mc:AlternateContent>
  <xr:revisionPtr revIDLastSave="0" documentId="13_ncr:1_{CEA79C73-DEC5-6C45-B8E0-497AB7ED774F}" xr6:coauthVersionLast="47" xr6:coauthVersionMax="47" xr10:uidLastSave="{00000000-0000-0000-0000-000000000000}"/>
  <bookViews>
    <workbookView xWindow="0" yWindow="500" windowWidth="28800" windowHeight="15660" xr2:uid="{00000000-000D-0000-FFFF-FFFF00000000}"/>
  </bookViews>
  <sheets>
    <sheet name="Local model data" sheetId="1" r:id="rId1"/>
    <sheet name="GDP" sheetId="10" r:id="rId2"/>
    <sheet name="RoE" sheetId="5" r:id="rId3"/>
    <sheet name="Spot yield curve" sheetId="2" r:id="rId4"/>
    <sheet name="tb %" sheetId="3" r:id="rId5"/>
    <sheet name="policy tool rates" sheetId="4" r:id="rId6"/>
    <sheet name="Mortgage rate" sheetId="6" r:id="rId7"/>
    <sheet name="Construction loans" sheetId="7" r:id="rId8"/>
    <sheet name="Copper prices" sheetId="8" r:id="rId9"/>
  </sheets>
  <externalReferences>
    <externalReference r:id="rId10"/>
    <externalReference r:id="rId11"/>
    <externalReference r:id="rId12"/>
  </externalReferences>
  <definedNames>
    <definedName name="_1F17_Attr_Indvƒ" localSheetId="5">#REF!</definedName>
    <definedName name="_1F17_Attr_Indvƒ">#REF!</definedName>
    <definedName name="_2F17_Attr_Indvƒ__00000000" localSheetId="5">#REF!</definedName>
    <definedName name="_2F17_Attr_Indvƒ__00000000">#REF!</definedName>
    <definedName name="a" localSheetId="5">#REF!</definedName>
    <definedName name="a">#REF!</definedName>
    <definedName name="aaaaaaa" localSheetId="5">#REF!</definedName>
    <definedName name="aaaaaaa">#REF!</definedName>
    <definedName name="Ass" localSheetId="5">#REF!</definedName>
    <definedName name="Ass">#REF!</definedName>
    <definedName name="CF17_Attr_ABnk_15D_Am_AMD" localSheetId="5">#REF!</definedName>
    <definedName name="CF17_Attr_ABnk_15D_Am_AMD">#REF!</definedName>
    <definedName name="CF17_Attr_ABnk_15D_Am_EUR" localSheetId="5">#REF!</definedName>
    <definedName name="CF17_Attr_ABnk_15D_Am_EUR">#REF!</definedName>
    <definedName name="CF17_Attr_ABnk_15D_Am_OthC" localSheetId="5">#REF!</definedName>
    <definedName name="CF17_Attr_ABnk_15D_Am_OthC">#REF!</definedName>
    <definedName name="CF17_Attr_ABnk_15D_Am_RUR" localSheetId="5">#REF!</definedName>
    <definedName name="CF17_Attr_ABnk_15D_Am_RUR">#REF!</definedName>
    <definedName name="CF17_Attr_ABnk_15D_Am_USD" localSheetId="5">#REF!</definedName>
    <definedName name="CF17_Attr_ABnk_15D_Am_USD">#REF!</definedName>
    <definedName name="CF17_Attr_ABnk_15D_I_AMD" localSheetId="5">#REF!</definedName>
    <definedName name="CF17_Attr_ABnk_15D_I_AMD">#REF!</definedName>
    <definedName name="CF17_Attr_ABnk_15D_I_EUR" localSheetId="5">#REF!</definedName>
    <definedName name="CF17_Attr_ABnk_15D_I_EUR">#REF!</definedName>
    <definedName name="CF17_Attr_ABnk_15D_I_OthC" localSheetId="5">#REF!</definedName>
    <definedName name="CF17_Attr_ABnk_15D_I_OthC">#REF!</definedName>
    <definedName name="CF17_Attr_ABnk_15D_I_RUR" localSheetId="5">#REF!</definedName>
    <definedName name="CF17_Attr_ABnk_15D_I_RUR">#REF!</definedName>
    <definedName name="CF17_Attr_ABnk_15D_I_USD" localSheetId="5">#REF!</definedName>
    <definedName name="CF17_Attr_ABnk_15D_I_USD">#REF!</definedName>
    <definedName name="CF17_Attr_ABnk_180D_Am_AMD" localSheetId="5">#REF!</definedName>
    <definedName name="CF17_Attr_ABnk_180D_Am_AMD">#REF!</definedName>
    <definedName name="CF17_Attr_ABnk_180D_Am_EUR" localSheetId="5">#REF!</definedName>
    <definedName name="CF17_Attr_ABnk_180D_Am_EUR">#REF!</definedName>
    <definedName name="CF17_Attr_ABnk_180D_Am_OthC" localSheetId="5">#REF!</definedName>
    <definedName name="CF17_Attr_ABnk_180D_Am_OthC">#REF!</definedName>
    <definedName name="CF17_Attr_ABnk_180D_Am_RUR" localSheetId="5">#REF!</definedName>
    <definedName name="CF17_Attr_ABnk_180D_Am_RUR">#REF!</definedName>
    <definedName name="CF17_Attr_ABnk_180D_Am_USD" localSheetId="5">#REF!</definedName>
    <definedName name="CF17_Attr_ABnk_180D_Am_USD">#REF!</definedName>
    <definedName name="CF17_Attr_ABnk_180D_I_AMD" localSheetId="5">#REF!</definedName>
    <definedName name="CF17_Attr_ABnk_180D_I_AMD">#REF!</definedName>
    <definedName name="CF17_Attr_ABnk_180D_I_EUR" localSheetId="5">#REF!</definedName>
    <definedName name="CF17_Attr_ABnk_180D_I_EUR">#REF!</definedName>
    <definedName name="CF17_Attr_ABnk_180D_I_OthC" localSheetId="5">#REF!</definedName>
    <definedName name="CF17_Attr_ABnk_180D_I_OthC">#REF!</definedName>
    <definedName name="CF17_Attr_ABnk_180D_I_RUR" localSheetId="5">#REF!</definedName>
    <definedName name="CF17_Attr_ABnk_180D_I_RUR">#REF!</definedName>
    <definedName name="CF17_Attr_ABnk_180D_I_USD" localSheetId="5">#REF!</definedName>
    <definedName name="CF17_Attr_ABnk_180D_I_USD">#REF!</definedName>
    <definedName name="CF17_Attr_ABnk_30D_Am_AMD" localSheetId="5">#REF!</definedName>
    <definedName name="CF17_Attr_ABnk_30D_Am_AMD">#REF!</definedName>
    <definedName name="CF17_Attr_ABnk_30D_Am_EUR" localSheetId="5">#REF!</definedName>
    <definedName name="CF17_Attr_ABnk_30D_Am_EUR">#REF!</definedName>
    <definedName name="CF17_Attr_ABnk_30D_Am_OthC" localSheetId="5">#REF!</definedName>
    <definedName name="CF17_Attr_ABnk_30D_Am_OthC">#REF!</definedName>
    <definedName name="CF17_Attr_ABnk_30D_Am_RUR" localSheetId="5">#REF!</definedName>
    <definedName name="CF17_Attr_ABnk_30D_Am_RUR">#REF!</definedName>
    <definedName name="CF17_Attr_ABnk_30D_Am_USD" localSheetId="5">#REF!</definedName>
    <definedName name="CF17_Attr_ABnk_30D_Am_USD">#REF!</definedName>
    <definedName name="CF17_Attr_ABnk_30D_I_AMD" localSheetId="5">#REF!</definedName>
    <definedName name="CF17_Attr_ABnk_30D_I_AMD">#REF!</definedName>
    <definedName name="CF17_Attr_ABnk_30D_I_EUR" localSheetId="5">#REF!</definedName>
    <definedName name="CF17_Attr_ABnk_30D_I_EUR">#REF!</definedName>
    <definedName name="CF17_Attr_ABnk_30D_I_OthC" localSheetId="5">#REF!</definedName>
    <definedName name="CF17_Attr_ABnk_30D_I_OthC">#REF!</definedName>
    <definedName name="CF17_Attr_ABnk_30D_I_RUR" localSheetId="5">#REF!</definedName>
    <definedName name="CF17_Attr_ABnk_30D_I_RUR">#REF!</definedName>
    <definedName name="CF17_Attr_ABnk_30D_I_USD" localSheetId="5">#REF!</definedName>
    <definedName name="CF17_Attr_ABnk_30D_I_USD">#REF!</definedName>
    <definedName name="CF17_Attr_ABnk_360D_Am_AMD" localSheetId="5">#REF!</definedName>
    <definedName name="CF17_Attr_ABnk_360D_Am_AMD">#REF!</definedName>
    <definedName name="CF17_Attr_ABnk_360D_Am_EUR" localSheetId="5">#REF!</definedName>
    <definedName name="CF17_Attr_ABnk_360D_Am_EUR">#REF!</definedName>
    <definedName name="CF17_Attr_ABnk_360D_Am_OthC" localSheetId="5">#REF!</definedName>
    <definedName name="CF17_Attr_ABnk_360D_Am_OthC">#REF!</definedName>
    <definedName name="CF17_Attr_ABnk_360D_Am_RUR" localSheetId="5">#REF!</definedName>
    <definedName name="CF17_Attr_ABnk_360D_Am_RUR">#REF!</definedName>
    <definedName name="CF17_Attr_ABnk_360D_Am_USD" localSheetId="5">#REF!</definedName>
    <definedName name="CF17_Attr_ABnk_360D_Am_USD">#REF!</definedName>
    <definedName name="CF17_Attr_ABnk_360D_I_AMD" localSheetId="5">#REF!</definedName>
    <definedName name="CF17_Attr_ABnk_360D_I_AMD">#REF!</definedName>
    <definedName name="CF17_Attr_ABnk_360D_I_EUR" localSheetId="5">#REF!</definedName>
    <definedName name="CF17_Attr_ABnk_360D_I_EUR">#REF!</definedName>
    <definedName name="CF17_Attr_ABnk_360D_I_OthC" localSheetId="5">#REF!</definedName>
    <definedName name="CF17_Attr_ABnk_360D_I_OthC">#REF!</definedName>
    <definedName name="CF17_Attr_ABnk_360D_I_RUR" localSheetId="5">#REF!</definedName>
    <definedName name="CF17_Attr_ABnk_360D_I_RUR">#REF!</definedName>
    <definedName name="CF17_Attr_ABnk_360D_I_USD" localSheetId="5">#REF!</definedName>
    <definedName name="CF17_Attr_ABnk_360D_I_USD">#REF!</definedName>
    <definedName name="CF17_Attr_ABnk_60D_Am_AMD" localSheetId="5">#REF!</definedName>
    <definedName name="CF17_Attr_ABnk_60D_Am_AMD">#REF!</definedName>
    <definedName name="CF17_Attr_ABnk_60D_Am_EUR" localSheetId="5">#REF!</definedName>
    <definedName name="CF17_Attr_ABnk_60D_Am_EUR">#REF!</definedName>
    <definedName name="CF17_Attr_ABnk_60D_Am_OthC" localSheetId="5">#REF!</definedName>
    <definedName name="CF17_Attr_ABnk_60D_Am_OthC">#REF!</definedName>
    <definedName name="CF17_Attr_ABnk_60D_Am_RUR" localSheetId="5">#REF!</definedName>
    <definedName name="CF17_Attr_ABnk_60D_Am_RUR">#REF!</definedName>
    <definedName name="CF17_Attr_ABnk_60D_Am_USD" localSheetId="5">#REF!</definedName>
    <definedName name="CF17_Attr_ABnk_60D_Am_USD">#REF!</definedName>
    <definedName name="CF17_Attr_ABnk_60D_I_AMD" localSheetId="5">#REF!</definedName>
    <definedName name="CF17_Attr_ABnk_60D_I_AMD">#REF!</definedName>
    <definedName name="CF17_Attr_ABnk_60D_I_EUR" localSheetId="5">#REF!</definedName>
    <definedName name="CF17_Attr_ABnk_60D_I_EUR">#REF!</definedName>
    <definedName name="CF17_Attr_ABnk_60D_I_OthC" localSheetId="5">#REF!</definedName>
    <definedName name="CF17_Attr_ABnk_60D_I_OthC">#REF!</definedName>
    <definedName name="CF17_Attr_ABnk_60D_I_RUR" localSheetId="5">#REF!</definedName>
    <definedName name="CF17_Attr_ABnk_60D_I_RUR">#REF!</definedName>
    <definedName name="CF17_Attr_ABnk_60D_I_USD" localSheetId="5">#REF!</definedName>
    <definedName name="CF17_Attr_ABnk_60D_I_USD">#REF!</definedName>
    <definedName name="CF17_Attr_ABnk_90D_Am_AMD" localSheetId="5">#REF!</definedName>
    <definedName name="CF17_Attr_ABnk_90D_Am_AMD">#REF!</definedName>
    <definedName name="CF17_Attr_ABnk_90D_Am_EUR" localSheetId="5">#REF!</definedName>
    <definedName name="CF17_Attr_ABnk_90D_Am_EUR">#REF!</definedName>
    <definedName name="CF17_Attr_ABnk_90D_Am_OthC" localSheetId="5">#REF!</definedName>
    <definedName name="CF17_Attr_ABnk_90D_Am_OthC">#REF!</definedName>
    <definedName name="CF17_Attr_ABnk_90D_Am_RUR" localSheetId="5">#REF!</definedName>
    <definedName name="CF17_Attr_ABnk_90D_Am_RUR">#REF!</definedName>
    <definedName name="CF17_Attr_ABnk_90D_Am_USD" localSheetId="5">#REF!</definedName>
    <definedName name="CF17_Attr_ABnk_90D_Am_USD">#REF!</definedName>
    <definedName name="CF17_Attr_ABnk_90D_I_AMD" localSheetId="5">#REF!</definedName>
    <definedName name="CF17_Attr_ABnk_90D_I_AMD">#REF!</definedName>
    <definedName name="CF17_Attr_ABnk_90D_I_EUR" localSheetId="5">#REF!</definedName>
    <definedName name="CF17_Attr_ABnk_90D_I_EUR">#REF!</definedName>
    <definedName name="CF17_Attr_ABnk_90D_I_OthC" localSheetId="5">#REF!</definedName>
    <definedName name="CF17_Attr_ABnk_90D_I_OthC">#REF!</definedName>
    <definedName name="CF17_Attr_ABnk_90D_I_RUR" localSheetId="5">#REF!</definedName>
    <definedName name="CF17_Attr_ABnk_90D_I_RUR">#REF!</definedName>
    <definedName name="CF17_Attr_ABnk_90D_I_USD" localSheetId="5">#REF!</definedName>
    <definedName name="CF17_Attr_ABnk_90D_I_USD">#REF!</definedName>
    <definedName name="CF17_Attr_ABnk_Dem_Am_AMD" localSheetId="5">#REF!</definedName>
    <definedName name="CF17_Attr_ABnk_Dem_Am_AMD">#REF!</definedName>
    <definedName name="CF17_Attr_ABnk_Dem_Am_EUR" localSheetId="5">#REF!</definedName>
    <definedName name="CF17_Attr_ABnk_Dem_Am_EUR">#REF!</definedName>
    <definedName name="CF17_Attr_ABnk_Dem_Am_OthC" localSheetId="5">#REF!</definedName>
    <definedName name="CF17_Attr_ABnk_Dem_Am_OthC">#REF!</definedName>
    <definedName name="CF17_Attr_ABnk_Dem_Am_RUR" localSheetId="5">#REF!</definedName>
    <definedName name="CF17_Attr_ABnk_Dem_Am_RUR">#REF!</definedName>
    <definedName name="CF17_Attr_ABnk_Dem_Am_USD" localSheetId="5">#REF!</definedName>
    <definedName name="CF17_Attr_ABnk_Dem_Am_USD">#REF!</definedName>
    <definedName name="CF17_Attr_ABnk_Dem_I_AMD" localSheetId="5">#REF!</definedName>
    <definedName name="CF17_Attr_ABnk_Dem_I_AMD">#REF!</definedName>
    <definedName name="CF17_Attr_ABnk_Dem_I_EUR" localSheetId="5">#REF!</definedName>
    <definedName name="CF17_Attr_ABnk_Dem_I_EUR">#REF!</definedName>
    <definedName name="CF17_Attr_ABnk_Dem_I_OthC" localSheetId="5">#REF!</definedName>
    <definedName name="CF17_Attr_ABnk_Dem_I_OthC">#REF!</definedName>
    <definedName name="CF17_Attr_ABnk_Dem_I_RUR" localSheetId="5">#REF!</definedName>
    <definedName name="CF17_Attr_ABnk_Dem_I_RUR">#REF!</definedName>
    <definedName name="CF17_Attr_ABnk_Dem_I_USD" localSheetId="5">#REF!</definedName>
    <definedName name="CF17_Attr_ABnk_Dem_I_USD">#REF!</definedName>
    <definedName name="CF17_Attr_ABnk_Mr360D_Am_AMD" localSheetId="5">#REF!</definedName>
    <definedName name="CF17_Attr_ABnk_Mr360D_Am_AMD">#REF!</definedName>
    <definedName name="CF17_Attr_ABnk_Mr360D_Am_EUR" localSheetId="5">#REF!</definedName>
    <definedName name="CF17_Attr_ABnk_Mr360D_Am_EUR">#REF!</definedName>
    <definedName name="CF17_Attr_ABnk_Mr360D_Am_OthC" localSheetId="5">#REF!</definedName>
    <definedName name="CF17_Attr_ABnk_Mr360D_Am_OthC">#REF!</definedName>
    <definedName name="CF17_Attr_ABnk_Mr360D_Am_RUR" localSheetId="5">#REF!</definedName>
    <definedName name="CF17_Attr_ABnk_Mr360D_Am_RUR">#REF!</definedName>
    <definedName name="CF17_Attr_ABnk_Mr360D_Am_USD" localSheetId="5">#REF!</definedName>
    <definedName name="CF17_Attr_ABnk_Mr360D_Am_USD">#REF!</definedName>
    <definedName name="CF17_Attr_ABnk_Mr360D_I_AMD" localSheetId="5">#REF!</definedName>
    <definedName name="CF17_Attr_ABnk_Mr360D_I_AMD">#REF!</definedName>
    <definedName name="CF17_Attr_ABnk_Mr360D_I_EUR" localSheetId="5">#REF!</definedName>
    <definedName name="CF17_Attr_ABnk_Mr360D_I_EUR">#REF!</definedName>
    <definedName name="CF17_Attr_ABnk_Mr360D_I_OthC" localSheetId="5">#REF!</definedName>
    <definedName name="CF17_Attr_ABnk_Mr360D_I_OthC">#REF!</definedName>
    <definedName name="CF17_Attr_ABnk_Mr360D_I_RUR" localSheetId="5">#REF!</definedName>
    <definedName name="CF17_Attr_ABnk_Mr360D_I_RUR">#REF!</definedName>
    <definedName name="CF17_Attr_ABnk_Mr360D_I_USD" localSheetId="5">#REF!</definedName>
    <definedName name="CF17_Attr_ABnk_Mr360D_I_USD">#REF!</definedName>
    <definedName name="CF17_Attr_Bus_15D_Am_AMD" localSheetId="5">#REF!</definedName>
    <definedName name="CF17_Attr_Bus_15D_Am_AMD">#REF!</definedName>
    <definedName name="CF17_Attr_Bus_15D_Am_EUR" localSheetId="5">#REF!</definedName>
    <definedName name="CF17_Attr_Bus_15D_Am_EUR">#REF!</definedName>
    <definedName name="CF17_Attr_Bus_15D_Am_OthC" localSheetId="5">#REF!</definedName>
    <definedName name="CF17_Attr_Bus_15D_Am_OthC">#REF!</definedName>
    <definedName name="CF17_Attr_Bus_15D_Am_RUR" localSheetId="5">#REF!</definedName>
    <definedName name="CF17_Attr_Bus_15D_Am_RUR">#REF!</definedName>
    <definedName name="CF17_Attr_Bus_15D_Am_USD" localSheetId="5">#REF!</definedName>
    <definedName name="CF17_Attr_Bus_15D_Am_USD">#REF!</definedName>
    <definedName name="CF17_Attr_Bus_15D_I_AMD" localSheetId="5">#REF!</definedName>
    <definedName name="CF17_Attr_Bus_15D_I_AMD">#REF!</definedName>
    <definedName name="CF17_Attr_Bus_15D_I_EUR" localSheetId="5">#REF!</definedName>
    <definedName name="CF17_Attr_Bus_15D_I_EUR">#REF!</definedName>
    <definedName name="CF17_Attr_Bus_15D_I_OthC" localSheetId="5">#REF!</definedName>
    <definedName name="CF17_Attr_Bus_15D_I_OthC">#REF!</definedName>
    <definedName name="CF17_Attr_Bus_15D_I_RUR" localSheetId="5">#REF!</definedName>
    <definedName name="CF17_Attr_Bus_15D_I_RUR">#REF!</definedName>
    <definedName name="CF17_Attr_Bus_15D_I_USD" localSheetId="5">#REF!</definedName>
    <definedName name="CF17_Attr_Bus_15D_I_USD">#REF!</definedName>
    <definedName name="CF17_Attr_Bus_180D_Am_AMD" localSheetId="5">#REF!</definedName>
    <definedName name="CF17_Attr_Bus_180D_Am_AMD">#REF!</definedName>
    <definedName name="CF17_Attr_Bus_180D_Am_EUR" localSheetId="5">#REF!</definedName>
    <definedName name="CF17_Attr_Bus_180D_Am_EUR">#REF!</definedName>
    <definedName name="CF17_Attr_Bus_180D_Am_OthC" localSheetId="5">#REF!</definedName>
    <definedName name="CF17_Attr_Bus_180D_Am_OthC">#REF!</definedName>
    <definedName name="CF17_Attr_Bus_180D_Am_RUR" localSheetId="5">#REF!</definedName>
    <definedName name="CF17_Attr_Bus_180D_Am_RUR">#REF!</definedName>
    <definedName name="CF17_Attr_Bus_180D_Am_USD" localSheetId="5">#REF!</definedName>
    <definedName name="CF17_Attr_Bus_180D_Am_USD">#REF!</definedName>
    <definedName name="CF17_Attr_Bus_180D_I_AMD" localSheetId="5">#REF!</definedName>
    <definedName name="CF17_Attr_Bus_180D_I_AMD">#REF!</definedName>
    <definedName name="CF17_Attr_Bus_180D_I_EUR" localSheetId="5">#REF!</definedName>
    <definedName name="CF17_Attr_Bus_180D_I_EUR">#REF!</definedName>
    <definedName name="CF17_Attr_Bus_180D_I_OthC" localSheetId="5">#REF!</definedName>
    <definedName name="CF17_Attr_Bus_180D_I_OthC">#REF!</definedName>
    <definedName name="CF17_Attr_Bus_180D_I_RUR" localSheetId="5">#REF!</definedName>
    <definedName name="CF17_Attr_Bus_180D_I_RUR">#REF!</definedName>
    <definedName name="CF17_Attr_Bus_180D_I_USD" localSheetId="5">#REF!</definedName>
    <definedName name="CF17_Attr_Bus_180D_I_USD">#REF!</definedName>
    <definedName name="CF17_Attr_Bus_30D_Am_AMD" localSheetId="5">#REF!</definedName>
    <definedName name="CF17_Attr_Bus_30D_Am_AMD">#REF!</definedName>
    <definedName name="CF17_Attr_Bus_30D_Am_EUR" localSheetId="5">#REF!</definedName>
    <definedName name="CF17_Attr_Bus_30D_Am_EUR">#REF!</definedName>
    <definedName name="CF17_Attr_Bus_30D_Am_OthC" localSheetId="5">#REF!</definedName>
    <definedName name="CF17_Attr_Bus_30D_Am_OthC">#REF!</definedName>
    <definedName name="CF17_Attr_Bus_30D_Am_RUR" localSheetId="5">#REF!</definedName>
    <definedName name="CF17_Attr_Bus_30D_Am_RUR">#REF!</definedName>
    <definedName name="CF17_Attr_Bus_30D_Am_USD" localSheetId="5">#REF!</definedName>
    <definedName name="CF17_Attr_Bus_30D_Am_USD">#REF!</definedName>
    <definedName name="CF17_Attr_Bus_30D_I_AMD" localSheetId="5">#REF!</definedName>
    <definedName name="CF17_Attr_Bus_30D_I_AMD">#REF!</definedName>
    <definedName name="CF17_Attr_Bus_30D_I_EUR" localSheetId="5">#REF!</definedName>
    <definedName name="CF17_Attr_Bus_30D_I_EUR">#REF!</definedName>
    <definedName name="CF17_Attr_Bus_30D_I_OthC" localSheetId="5">#REF!</definedName>
    <definedName name="CF17_Attr_Bus_30D_I_OthC">#REF!</definedName>
    <definedName name="CF17_Attr_Bus_30D_I_RUR" localSheetId="5">#REF!</definedName>
    <definedName name="CF17_Attr_Bus_30D_I_RUR">#REF!</definedName>
    <definedName name="CF17_Attr_Bus_30D_I_USD" localSheetId="5">#REF!</definedName>
    <definedName name="CF17_Attr_Bus_30D_I_USD">#REF!</definedName>
    <definedName name="CF17_Attr_Bus_360D_Am_AMD" localSheetId="5">#REF!</definedName>
    <definedName name="CF17_Attr_Bus_360D_Am_AMD">#REF!</definedName>
    <definedName name="CF17_Attr_Bus_360D_Am_EUR" localSheetId="5">#REF!</definedName>
    <definedName name="CF17_Attr_Bus_360D_Am_EUR">#REF!</definedName>
    <definedName name="CF17_Attr_Bus_360D_Am_OthC" localSheetId="5">#REF!</definedName>
    <definedName name="CF17_Attr_Bus_360D_Am_OthC">#REF!</definedName>
    <definedName name="CF17_Attr_Bus_360D_Am_RUR" localSheetId="5">#REF!</definedName>
    <definedName name="CF17_Attr_Bus_360D_Am_RUR">#REF!</definedName>
    <definedName name="CF17_Attr_Bus_360D_Am_USD" localSheetId="5">#REF!</definedName>
    <definedName name="CF17_Attr_Bus_360D_Am_USD">#REF!</definedName>
    <definedName name="CF17_Attr_Bus_360D_I_AMD" localSheetId="5">#REF!</definedName>
    <definedName name="CF17_Attr_Bus_360D_I_AMD">#REF!</definedName>
    <definedName name="CF17_Attr_Bus_360D_I_EUR" localSheetId="5">#REF!</definedName>
    <definedName name="CF17_Attr_Bus_360D_I_EUR">#REF!</definedName>
    <definedName name="CF17_Attr_Bus_360D_I_OthC" localSheetId="5">#REF!</definedName>
    <definedName name="CF17_Attr_Bus_360D_I_OthC">#REF!</definedName>
    <definedName name="CF17_Attr_Bus_360D_I_RUR" localSheetId="5">#REF!</definedName>
    <definedName name="CF17_Attr_Bus_360D_I_RUR">#REF!</definedName>
    <definedName name="CF17_Attr_Bus_360D_I_USD" localSheetId="5">#REF!</definedName>
    <definedName name="CF17_Attr_Bus_360D_I_USD">#REF!</definedName>
    <definedName name="CF17_Attr_Bus_60D_Am_AMD" localSheetId="5">#REF!</definedName>
    <definedName name="CF17_Attr_Bus_60D_Am_AMD">#REF!</definedName>
    <definedName name="CF17_Attr_Bus_60D_Am_EUR" localSheetId="5">#REF!</definedName>
    <definedName name="CF17_Attr_Bus_60D_Am_EUR">#REF!</definedName>
    <definedName name="CF17_Attr_Bus_60D_Am_OthC" localSheetId="5">#REF!</definedName>
    <definedName name="CF17_Attr_Bus_60D_Am_OthC">#REF!</definedName>
    <definedName name="CF17_Attr_Bus_60D_Am_RUR" localSheetId="5">#REF!</definedName>
    <definedName name="CF17_Attr_Bus_60D_Am_RUR">#REF!</definedName>
    <definedName name="CF17_Attr_Bus_60D_Am_USD" localSheetId="5">#REF!</definedName>
    <definedName name="CF17_Attr_Bus_60D_Am_USD">#REF!</definedName>
    <definedName name="CF17_Attr_Bus_60D_I_AMD" localSheetId="5">#REF!</definedName>
    <definedName name="CF17_Attr_Bus_60D_I_AMD">#REF!</definedName>
    <definedName name="CF17_Attr_Bus_60D_I_EUR" localSheetId="5">#REF!</definedName>
    <definedName name="CF17_Attr_Bus_60D_I_EUR">#REF!</definedName>
    <definedName name="CF17_Attr_Bus_60D_I_OthC" localSheetId="5">#REF!</definedName>
    <definedName name="CF17_Attr_Bus_60D_I_OthC">#REF!</definedName>
    <definedName name="CF17_Attr_Bus_60D_I_RUR" localSheetId="5">#REF!</definedName>
    <definedName name="CF17_Attr_Bus_60D_I_RUR">#REF!</definedName>
    <definedName name="CF17_Attr_Bus_60D_I_USD" localSheetId="5">#REF!</definedName>
    <definedName name="CF17_Attr_Bus_60D_I_USD">#REF!</definedName>
    <definedName name="CF17_Attr_Bus_90D_Am_AMD" localSheetId="5">#REF!</definedName>
    <definedName name="CF17_Attr_Bus_90D_Am_AMD">#REF!</definedName>
    <definedName name="CF17_Attr_Bus_90D_Am_EUR" localSheetId="5">#REF!</definedName>
    <definedName name="CF17_Attr_Bus_90D_Am_EUR">#REF!</definedName>
    <definedName name="CF17_Attr_Bus_90D_Am_OthC" localSheetId="5">#REF!</definedName>
    <definedName name="CF17_Attr_Bus_90D_Am_OthC">#REF!</definedName>
    <definedName name="CF17_Attr_Bus_90D_Am_RUR" localSheetId="5">#REF!</definedName>
    <definedName name="CF17_Attr_Bus_90D_Am_RUR">#REF!</definedName>
    <definedName name="CF17_Attr_Bus_90D_Am_USD" localSheetId="5">#REF!</definedName>
    <definedName name="CF17_Attr_Bus_90D_Am_USD">#REF!</definedName>
    <definedName name="CF17_Attr_Bus_90D_I_AMD" localSheetId="5">#REF!</definedName>
    <definedName name="CF17_Attr_Bus_90D_I_AMD">#REF!</definedName>
    <definedName name="CF17_Attr_Bus_90D_I_EUR" localSheetId="5">#REF!</definedName>
    <definedName name="CF17_Attr_Bus_90D_I_EUR">#REF!</definedName>
    <definedName name="CF17_Attr_Bus_90D_I_OthC" localSheetId="5">#REF!</definedName>
    <definedName name="CF17_Attr_Bus_90D_I_OthC">#REF!</definedName>
    <definedName name="CF17_Attr_Bus_90D_I_RUR" localSheetId="5">#REF!</definedName>
    <definedName name="CF17_Attr_Bus_90D_I_RUR">#REF!</definedName>
    <definedName name="CF17_Attr_Bus_90D_I_USD" localSheetId="5">#REF!</definedName>
    <definedName name="CF17_Attr_Bus_90D_I_USD">#REF!</definedName>
    <definedName name="CF17_Attr_Bus_Dem_Am_AMD" localSheetId="5">#REF!</definedName>
    <definedName name="CF17_Attr_Bus_Dem_Am_AMD">#REF!</definedName>
    <definedName name="CF17_Attr_Bus_Dem_Am_EUR" localSheetId="5">#REF!</definedName>
    <definedName name="CF17_Attr_Bus_Dem_Am_EUR">#REF!</definedName>
    <definedName name="CF17_Attr_Bus_Dem_Am_OthC" localSheetId="5">#REF!</definedName>
    <definedName name="CF17_Attr_Bus_Dem_Am_OthC">#REF!</definedName>
    <definedName name="CF17_Attr_Bus_Dem_Am_RUR" localSheetId="5">#REF!</definedName>
    <definedName name="CF17_Attr_Bus_Dem_Am_RUR">#REF!</definedName>
    <definedName name="CF17_Attr_Bus_Dem_Am_USD" localSheetId="5">#REF!</definedName>
    <definedName name="CF17_Attr_Bus_Dem_Am_USD">#REF!</definedName>
    <definedName name="CF17_Attr_Bus_Dem_I_AMD" localSheetId="5">#REF!</definedName>
    <definedName name="CF17_Attr_Bus_Dem_I_AMD">#REF!</definedName>
    <definedName name="CF17_Attr_Bus_Dem_I_EUR" localSheetId="5">#REF!</definedName>
    <definedName name="CF17_Attr_Bus_Dem_I_EUR">#REF!</definedName>
    <definedName name="CF17_Attr_Bus_Dem_I_OthC" localSheetId="5">#REF!</definedName>
    <definedName name="CF17_Attr_Bus_Dem_I_OthC">#REF!</definedName>
    <definedName name="CF17_Attr_Bus_Dem_I_RUR" localSheetId="5">#REF!</definedName>
    <definedName name="CF17_Attr_Bus_Dem_I_RUR">#REF!</definedName>
    <definedName name="CF17_Attr_Bus_Dem_I_USD" localSheetId="5">#REF!</definedName>
    <definedName name="CF17_Attr_Bus_Dem_I_USD">#REF!</definedName>
    <definedName name="CF17_Attr_Bus_Mr360D_Am_AMD" localSheetId="5">#REF!</definedName>
    <definedName name="CF17_Attr_Bus_Mr360D_Am_AMD">#REF!</definedName>
    <definedName name="CF17_Attr_Bus_Mr360D_Am_EUR" localSheetId="5">#REF!</definedName>
    <definedName name="CF17_Attr_Bus_Mr360D_Am_EUR">#REF!</definedName>
    <definedName name="CF17_Attr_Bus_Mr360D_Am_OthC" localSheetId="5">#REF!</definedName>
    <definedName name="CF17_Attr_Bus_Mr360D_Am_OthC">#REF!</definedName>
    <definedName name="CF17_Attr_Bus_Mr360D_Am_RUR" localSheetId="5">#REF!</definedName>
    <definedName name="CF17_Attr_Bus_Mr360D_Am_RUR">#REF!</definedName>
    <definedName name="CF17_Attr_Bus_Mr360D_Am_USD" localSheetId="5">#REF!</definedName>
    <definedName name="CF17_Attr_Bus_Mr360D_Am_USD">#REF!</definedName>
    <definedName name="CF17_Attr_Bus_Mr360D_I_AMD" localSheetId="5">#REF!</definedName>
    <definedName name="CF17_Attr_Bus_Mr360D_I_AMD">#REF!</definedName>
    <definedName name="CF17_Attr_Bus_Mr360D_I_EUR" localSheetId="5">#REF!</definedName>
    <definedName name="CF17_Attr_Bus_Mr360D_I_EUR">#REF!</definedName>
    <definedName name="CF17_Attr_Bus_Mr360D_I_OthC" localSheetId="5">#REF!</definedName>
    <definedName name="CF17_Attr_Bus_Mr360D_I_OthC">#REF!</definedName>
    <definedName name="CF17_Attr_Bus_Mr360D_I_RUR" localSheetId="5">#REF!</definedName>
    <definedName name="CF17_Attr_Bus_Mr360D_I_RUR">#REF!</definedName>
    <definedName name="CF17_Attr_Bus_Mr360D_I_USD" localSheetId="5">#REF!</definedName>
    <definedName name="CF17_Attr_Bus_Mr360D_I_USD">#REF!</definedName>
    <definedName name="CF17_Attr_Ind_15D_Am_AMD" localSheetId="5">#REF!</definedName>
    <definedName name="CF17_Attr_Ind_15D_Am_AMD">#REF!</definedName>
    <definedName name="CF17_Attr_Ind_15D_Am_EUR" localSheetId="5">#REF!</definedName>
    <definedName name="CF17_Attr_Ind_15D_Am_EUR">#REF!</definedName>
    <definedName name="CF17_Attr_Ind_15D_Am_OthC" localSheetId="5">#REF!</definedName>
    <definedName name="CF17_Attr_Ind_15D_Am_OthC">#REF!</definedName>
    <definedName name="CF17_Attr_Ind_15D_Am_RUR" localSheetId="5">#REF!</definedName>
    <definedName name="CF17_Attr_Ind_15D_Am_RUR">#REF!</definedName>
    <definedName name="CF17_Attr_Ind_15D_Am_USD" localSheetId="5">#REF!</definedName>
    <definedName name="CF17_Attr_Ind_15D_Am_USD">#REF!</definedName>
    <definedName name="CF17_Attr_Ind_15D_I_AMD" localSheetId="5">#REF!</definedName>
    <definedName name="CF17_Attr_Ind_15D_I_AMD">#REF!</definedName>
    <definedName name="CF17_Attr_Ind_15D_I_EUR" localSheetId="5">#REF!</definedName>
    <definedName name="CF17_Attr_Ind_15D_I_EUR">#REF!</definedName>
    <definedName name="CF17_Attr_Ind_15D_I_OthC" localSheetId="5">#REF!</definedName>
    <definedName name="CF17_Attr_Ind_15D_I_OthC">#REF!</definedName>
    <definedName name="CF17_Attr_Ind_15D_I_RUR" localSheetId="5">#REF!</definedName>
    <definedName name="CF17_Attr_Ind_15D_I_RUR">#REF!</definedName>
    <definedName name="CF17_Attr_Ind_15D_I_USD" localSheetId="5">#REF!</definedName>
    <definedName name="CF17_Attr_Ind_15D_I_USD">#REF!</definedName>
    <definedName name="CF17_Attr_Ind_180D_Am_AMD" localSheetId="5">#REF!</definedName>
    <definedName name="CF17_Attr_Ind_180D_Am_AMD">#REF!</definedName>
    <definedName name="CF17_Attr_Ind_180D_Am_EUR" localSheetId="5">#REF!</definedName>
    <definedName name="CF17_Attr_Ind_180D_Am_EUR">#REF!</definedName>
    <definedName name="CF17_Attr_Ind_180D_Am_OthC" localSheetId="5">#REF!</definedName>
    <definedName name="CF17_Attr_Ind_180D_Am_OthC">#REF!</definedName>
    <definedName name="CF17_Attr_Ind_180D_Am_RUR" localSheetId="5">#REF!</definedName>
    <definedName name="CF17_Attr_Ind_180D_Am_RUR">#REF!</definedName>
    <definedName name="CF17_Attr_Ind_180D_Am_USD" localSheetId="5">#REF!</definedName>
    <definedName name="CF17_Attr_Ind_180D_Am_USD">#REF!</definedName>
    <definedName name="CF17_Attr_Ind_180D_I_AMD" localSheetId="5">#REF!</definedName>
    <definedName name="CF17_Attr_Ind_180D_I_AMD">#REF!</definedName>
    <definedName name="CF17_Attr_Ind_180D_I_EUR" localSheetId="5">#REF!</definedName>
    <definedName name="CF17_Attr_Ind_180D_I_EUR">#REF!</definedName>
    <definedName name="CF17_Attr_Ind_180D_I_OthC" localSheetId="5">#REF!</definedName>
    <definedName name="CF17_Attr_Ind_180D_I_OthC">#REF!</definedName>
    <definedName name="CF17_Attr_Ind_180D_I_RUR" localSheetId="5">#REF!</definedName>
    <definedName name="CF17_Attr_Ind_180D_I_RUR">#REF!</definedName>
    <definedName name="CF17_Attr_Ind_180D_I_USD" localSheetId="5">#REF!</definedName>
    <definedName name="CF17_Attr_Ind_180D_I_USD">#REF!</definedName>
    <definedName name="CF17_Attr_Ind_30D_Am_AMD" localSheetId="5">#REF!</definedName>
    <definedName name="CF17_Attr_Ind_30D_Am_AMD">#REF!</definedName>
    <definedName name="CF17_Attr_Ind_30D_Am_EUR" localSheetId="5">#REF!</definedName>
    <definedName name="CF17_Attr_Ind_30D_Am_EUR">#REF!</definedName>
    <definedName name="CF17_Attr_Ind_30D_Am_OthC" localSheetId="5">#REF!</definedName>
    <definedName name="CF17_Attr_Ind_30D_Am_OthC">#REF!</definedName>
    <definedName name="CF17_Attr_Ind_30D_Am_RUR" localSheetId="5">#REF!</definedName>
    <definedName name="CF17_Attr_Ind_30D_Am_RUR">#REF!</definedName>
    <definedName name="CF17_Attr_Ind_30D_Am_USD" localSheetId="5">#REF!</definedName>
    <definedName name="CF17_Attr_Ind_30D_Am_USD">#REF!</definedName>
    <definedName name="CF17_Attr_Ind_30D_I_AMD" localSheetId="5">#REF!</definedName>
    <definedName name="CF17_Attr_Ind_30D_I_AMD">#REF!</definedName>
    <definedName name="CF17_Attr_Ind_30D_I_EUR" localSheetId="5">#REF!</definedName>
    <definedName name="CF17_Attr_Ind_30D_I_EUR">#REF!</definedName>
    <definedName name="CF17_Attr_Ind_30D_I_OthC" localSheetId="5">#REF!</definedName>
    <definedName name="CF17_Attr_Ind_30D_I_OthC">#REF!</definedName>
    <definedName name="CF17_Attr_Ind_30D_I_RUR" localSheetId="5">#REF!</definedName>
    <definedName name="CF17_Attr_Ind_30D_I_RUR">#REF!</definedName>
    <definedName name="CF17_Attr_Ind_30D_I_USD" localSheetId="5">#REF!</definedName>
    <definedName name="CF17_Attr_Ind_30D_I_USD">#REF!</definedName>
    <definedName name="CF17_Attr_Ind_360D_Am_AMD" localSheetId="5">#REF!</definedName>
    <definedName name="CF17_Attr_Ind_360D_Am_AMD">#REF!</definedName>
    <definedName name="CF17_Attr_Ind_360D_Am_EUR" localSheetId="5">#REF!</definedName>
    <definedName name="CF17_Attr_Ind_360D_Am_EUR">#REF!</definedName>
    <definedName name="CF17_Attr_Ind_360D_Am_OthC" localSheetId="5">#REF!</definedName>
    <definedName name="CF17_Attr_Ind_360D_Am_OthC">#REF!</definedName>
    <definedName name="CF17_Attr_Ind_360D_Am_RUR" localSheetId="5">#REF!</definedName>
    <definedName name="CF17_Attr_Ind_360D_Am_RUR">#REF!</definedName>
    <definedName name="CF17_Attr_Ind_360D_Am_USD" localSheetId="5">#REF!</definedName>
    <definedName name="CF17_Attr_Ind_360D_Am_USD">#REF!</definedName>
    <definedName name="CF17_Attr_Ind_360D_I_AMD" localSheetId="5">#REF!</definedName>
    <definedName name="CF17_Attr_Ind_360D_I_AMD">#REF!</definedName>
    <definedName name="CF17_Attr_Ind_360D_I_EUR" localSheetId="5">#REF!</definedName>
    <definedName name="CF17_Attr_Ind_360D_I_EUR">#REF!</definedName>
    <definedName name="CF17_Attr_Ind_360D_I_OthC" localSheetId="5">#REF!</definedName>
    <definedName name="CF17_Attr_Ind_360D_I_OthC">#REF!</definedName>
    <definedName name="CF17_Attr_Ind_360D_I_RUR" localSheetId="5">#REF!</definedName>
    <definedName name="CF17_Attr_Ind_360D_I_RUR">#REF!</definedName>
    <definedName name="CF17_Attr_Ind_360D_I_USD" localSheetId="5">#REF!</definedName>
    <definedName name="CF17_Attr_Ind_360D_I_USD">#REF!</definedName>
    <definedName name="CF17_Attr_Ind_60D_Am_AMD" localSheetId="5">#REF!</definedName>
    <definedName name="CF17_Attr_Ind_60D_Am_AMD">#REF!</definedName>
    <definedName name="CF17_Attr_Ind_60D_Am_EUR" localSheetId="5">#REF!</definedName>
    <definedName name="CF17_Attr_Ind_60D_Am_EUR">#REF!</definedName>
    <definedName name="CF17_Attr_Ind_60D_Am_OthC" localSheetId="5">#REF!</definedName>
    <definedName name="CF17_Attr_Ind_60D_Am_OthC">#REF!</definedName>
    <definedName name="CF17_Attr_Ind_60D_Am_RUR" localSheetId="5">#REF!</definedName>
    <definedName name="CF17_Attr_Ind_60D_Am_RUR">#REF!</definedName>
    <definedName name="CF17_Attr_Ind_60D_Am_USD" localSheetId="5">#REF!</definedName>
    <definedName name="CF17_Attr_Ind_60D_Am_USD">#REF!</definedName>
    <definedName name="CF17_Attr_Ind_60D_I_AMD" localSheetId="5">#REF!</definedName>
    <definedName name="CF17_Attr_Ind_60D_I_AMD">#REF!</definedName>
    <definedName name="CF17_Attr_Ind_60D_I_EUR" localSheetId="5">#REF!</definedName>
    <definedName name="CF17_Attr_Ind_60D_I_EUR">#REF!</definedName>
    <definedName name="CF17_Attr_Ind_60D_I_OthC" localSheetId="5">#REF!</definedName>
    <definedName name="CF17_Attr_Ind_60D_I_OthC">#REF!</definedName>
    <definedName name="CF17_Attr_Ind_60D_I_RUR" localSheetId="5">#REF!</definedName>
    <definedName name="CF17_Attr_Ind_60D_I_RUR">#REF!</definedName>
    <definedName name="CF17_Attr_Ind_60D_I_USD" localSheetId="5">#REF!</definedName>
    <definedName name="CF17_Attr_Ind_60D_I_USD">#REF!</definedName>
    <definedName name="CF17_Attr_Ind_90D_Am_AMD" localSheetId="5">#REF!</definedName>
    <definedName name="CF17_Attr_Ind_90D_Am_AMD">#REF!</definedName>
    <definedName name="CF17_Attr_Ind_90D_Am_EUR" localSheetId="5">#REF!</definedName>
    <definedName name="CF17_Attr_Ind_90D_Am_EUR">#REF!</definedName>
    <definedName name="CF17_Attr_Ind_90D_Am_OthC" localSheetId="5">#REF!</definedName>
    <definedName name="CF17_Attr_Ind_90D_Am_OthC">#REF!</definedName>
    <definedName name="CF17_Attr_Ind_90D_Am_RUR" localSheetId="5">#REF!</definedName>
    <definedName name="CF17_Attr_Ind_90D_Am_RUR">#REF!</definedName>
    <definedName name="CF17_Attr_Ind_90D_Am_USD" localSheetId="5">#REF!</definedName>
    <definedName name="CF17_Attr_Ind_90D_Am_USD">#REF!</definedName>
    <definedName name="CF17_Attr_Ind_90D_I_AMD" localSheetId="5">#REF!</definedName>
    <definedName name="CF17_Attr_Ind_90D_I_AMD">#REF!</definedName>
    <definedName name="CF17_Attr_Ind_90D_I_EUR" localSheetId="5">#REF!</definedName>
    <definedName name="CF17_Attr_Ind_90D_I_EUR">#REF!</definedName>
    <definedName name="CF17_Attr_Ind_90D_I_OthC" localSheetId="5">#REF!</definedName>
    <definedName name="CF17_Attr_Ind_90D_I_OthC">#REF!</definedName>
    <definedName name="CF17_Attr_Ind_90D_I_RUR" localSheetId="5">#REF!</definedName>
    <definedName name="CF17_Attr_Ind_90D_I_RUR">#REF!</definedName>
    <definedName name="CF17_Attr_Ind_90D_I_USD" localSheetId="5">#REF!</definedName>
    <definedName name="CF17_Attr_Ind_90D_I_USD">#REF!</definedName>
    <definedName name="CF17_Attr_Ind_Dem_Am_AMD" localSheetId="5">#REF!</definedName>
    <definedName name="CF17_Attr_Ind_Dem_Am_AMD">#REF!</definedName>
    <definedName name="CF17_Attr_Ind_Dem_Am_EUR" localSheetId="5">#REF!</definedName>
    <definedName name="CF17_Attr_Ind_Dem_Am_EUR">#REF!</definedName>
    <definedName name="CF17_Attr_Ind_Dem_Am_OthC" localSheetId="5">#REF!</definedName>
    <definedName name="CF17_Attr_Ind_Dem_Am_OthC">#REF!</definedName>
    <definedName name="CF17_Attr_Ind_Dem_Am_RUR" localSheetId="5">#REF!</definedName>
    <definedName name="CF17_Attr_Ind_Dem_Am_RUR">#REF!</definedName>
    <definedName name="CF17_Attr_Ind_Dem_Am_USD" localSheetId="5">#REF!</definedName>
    <definedName name="CF17_Attr_Ind_Dem_Am_USD">#REF!</definedName>
    <definedName name="CF17_Attr_Ind_Dem_I_AMD" localSheetId="5">#REF!</definedName>
    <definedName name="CF17_Attr_Ind_Dem_I_AMD">#REF!</definedName>
    <definedName name="CF17_Attr_Ind_Dem_I_EUR" localSheetId="5">#REF!</definedName>
    <definedName name="CF17_Attr_Ind_Dem_I_EUR">#REF!</definedName>
    <definedName name="CF17_Attr_Ind_Dem_I_OthC" localSheetId="5">#REF!</definedName>
    <definedName name="CF17_Attr_Ind_Dem_I_OthC">#REF!</definedName>
    <definedName name="CF17_Attr_Ind_Dem_I_RUR" localSheetId="5">#REF!</definedName>
    <definedName name="CF17_Attr_Ind_Dem_I_RUR">#REF!</definedName>
    <definedName name="CF17_Attr_Ind_Dem_I_USD" localSheetId="5">#REF!</definedName>
    <definedName name="CF17_Attr_Ind_Dem_I_USD">#REF!</definedName>
    <definedName name="CF17_Attr_Ind_Mr360D_Am_AMD" localSheetId="5">#REF!</definedName>
    <definedName name="CF17_Attr_Ind_Mr360D_Am_AMD">#REF!</definedName>
    <definedName name="CF17_Attr_Ind_Mr360D_Am_EUR" localSheetId="5">#REF!</definedName>
    <definedName name="CF17_Attr_Ind_Mr360D_Am_EUR">#REF!</definedName>
    <definedName name="CF17_Attr_Ind_Mr360D_Am_OthC" localSheetId="5">#REF!</definedName>
    <definedName name="CF17_Attr_Ind_Mr360D_Am_OthC">#REF!</definedName>
    <definedName name="CF17_Attr_Ind_Mr360D_Am_RUR" localSheetId="5">#REF!</definedName>
    <definedName name="CF17_Attr_Ind_Mr360D_Am_RUR">#REF!</definedName>
    <definedName name="CF17_Attr_Ind_Mr360D_Am_USD" localSheetId="5">#REF!</definedName>
    <definedName name="CF17_Attr_Ind_Mr360D_Am_USD">#REF!</definedName>
    <definedName name="CF17_Attr_Ind_Mr360D_I_AMD" localSheetId="5">#REF!</definedName>
    <definedName name="CF17_Attr_Ind_Mr360D_I_AMD">#REF!</definedName>
    <definedName name="CF17_Attr_Ind_Mr360D_I_EUR" localSheetId="5">#REF!</definedName>
    <definedName name="CF17_Attr_Ind_Mr360D_I_EUR">#REF!</definedName>
    <definedName name="CF17_Attr_Ind_Mr360D_I_OthC" localSheetId="5">#REF!</definedName>
    <definedName name="CF17_Attr_Ind_Mr360D_I_OthC">#REF!</definedName>
    <definedName name="CF17_Attr_Ind_Mr360D_I_RUR" localSheetId="5">#REF!</definedName>
    <definedName name="CF17_Attr_Ind_Mr360D_I_RUR">#REF!</definedName>
    <definedName name="CF17_Attr_Ind_Mr360D_I_USD" localSheetId="5">#REF!</definedName>
    <definedName name="CF17_Attr_Ind_Mr360D_I_USD">#REF!</definedName>
    <definedName name="CF17_Attr_IndCo_Mr360D_Am_OthC" localSheetId="5">#REF!</definedName>
    <definedName name="CF17_Attr_IndCo_Mr360D_Am_OthC">#REF!</definedName>
    <definedName name="CF17_Attr_IndCor_15D_Am_AMD" localSheetId="5">#REF!</definedName>
    <definedName name="CF17_Attr_IndCor_15D_Am_AMD">#REF!</definedName>
    <definedName name="CF17_Attr_IndCor_15D_Am_EUR" localSheetId="5">#REF!</definedName>
    <definedName name="CF17_Attr_IndCor_15D_Am_EUR">#REF!</definedName>
    <definedName name="CF17_Attr_IndCor_15D_Am_OthC" localSheetId="5">#REF!</definedName>
    <definedName name="CF17_Attr_IndCor_15D_Am_OthC">#REF!</definedName>
    <definedName name="CF17_Attr_IndCor_15D_Am_RUR" localSheetId="5">#REF!</definedName>
    <definedName name="CF17_Attr_IndCor_15D_Am_RUR">#REF!</definedName>
    <definedName name="CF17_Attr_IndCor_15D_Am_USD" localSheetId="5">#REF!</definedName>
    <definedName name="CF17_Attr_IndCor_15D_Am_USD">#REF!</definedName>
    <definedName name="CF17_Attr_IndCor_15D_I_AMD" localSheetId="5">#REF!</definedName>
    <definedName name="CF17_Attr_IndCor_15D_I_AMD">#REF!</definedName>
    <definedName name="CF17_Attr_IndCor_15D_I_EUR" localSheetId="5">#REF!</definedName>
    <definedName name="CF17_Attr_IndCor_15D_I_EUR">#REF!</definedName>
    <definedName name="CF17_Attr_IndCor_15D_I_OthC" localSheetId="5">#REF!</definedName>
    <definedName name="CF17_Attr_IndCor_15D_I_OthC">#REF!</definedName>
    <definedName name="CF17_Attr_IndCor_15D_I_RUR" localSheetId="5">#REF!</definedName>
    <definedName name="CF17_Attr_IndCor_15D_I_RUR">#REF!</definedName>
    <definedName name="CF17_Attr_IndCor_15D_I_USD" localSheetId="5">#REF!</definedName>
    <definedName name="CF17_Attr_IndCor_15D_I_USD">#REF!</definedName>
    <definedName name="CF17_Attr_IndCor_180D_Am_AMD" localSheetId="5">#REF!</definedName>
    <definedName name="CF17_Attr_IndCor_180D_Am_AMD">#REF!</definedName>
    <definedName name="CF17_Attr_IndCor_180D_Am_EUR" localSheetId="5">#REF!</definedName>
    <definedName name="CF17_Attr_IndCor_180D_Am_EUR">#REF!</definedName>
    <definedName name="CF17_Attr_IndCor_180D_Am_OthC" localSheetId="5">#REF!</definedName>
    <definedName name="CF17_Attr_IndCor_180D_Am_OthC">#REF!</definedName>
    <definedName name="CF17_Attr_IndCor_180D_Am_RUR" localSheetId="5">#REF!</definedName>
    <definedName name="CF17_Attr_IndCor_180D_Am_RUR">#REF!</definedName>
    <definedName name="CF17_Attr_IndCor_180D_Am_USD" localSheetId="5">#REF!</definedName>
    <definedName name="CF17_Attr_IndCor_180D_Am_USD">#REF!</definedName>
    <definedName name="CF17_Attr_IndCor_180D_I_AMD" localSheetId="5">#REF!</definedName>
    <definedName name="CF17_Attr_IndCor_180D_I_AMD">#REF!</definedName>
    <definedName name="CF17_Attr_IndCor_180D_I_EUR" localSheetId="5">#REF!</definedName>
    <definedName name="CF17_Attr_IndCor_180D_I_EUR">#REF!</definedName>
    <definedName name="CF17_Attr_IndCor_180D_I_OthC" localSheetId="5">#REF!</definedName>
    <definedName name="CF17_Attr_IndCor_180D_I_OthC">#REF!</definedName>
    <definedName name="CF17_Attr_IndCor_180D_I_RUR" localSheetId="5">#REF!</definedName>
    <definedName name="CF17_Attr_IndCor_180D_I_RUR">#REF!</definedName>
    <definedName name="CF17_Attr_IndCor_180D_I_USD" localSheetId="5">#REF!</definedName>
    <definedName name="CF17_Attr_IndCor_180D_I_USD">#REF!</definedName>
    <definedName name="CF17_Attr_IndCor_30D_Am_AMD" localSheetId="5">#REF!</definedName>
    <definedName name="CF17_Attr_IndCor_30D_Am_AMD">#REF!</definedName>
    <definedName name="CF17_Attr_IndCor_30D_Am_EUR" localSheetId="5">#REF!</definedName>
    <definedName name="CF17_Attr_IndCor_30D_Am_EUR">#REF!</definedName>
    <definedName name="CF17_Attr_IndCor_30D_Am_OthC" localSheetId="5">#REF!</definedName>
    <definedName name="CF17_Attr_IndCor_30D_Am_OthC">#REF!</definedName>
    <definedName name="CF17_Attr_IndCor_30D_Am_RUR" localSheetId="5">#REF!</definedName>
    <definedName name="CF17_Attr_IndCor_30D_Am_RUR">#REF!</definedName>
    <definedName name="CF17_Attr_IndCor_30D_Am_USD" localSheetId="5">#REF!</definedName>
    <definedName name="CF17_Attr_IndCor_30D_Am_USD">#REF!</definedName>
    <definedName name="CF17_Attr_IndCor_30D_I_AMD" localSheetId="5">#REF!</definedName>
    <definedName name="CF17_Attr_IndCor_30D_I_AMD">#REF!</definedName>
    <definedName name="CF17_Attr_IndCor_30D_I_EUR" localSheetId="5">#REF!</definedName>
    <definedName name="CF17_Attr_IndCor_30D_I_EUR">#REF!</definedName>
    <definedName name="CF17_Attr_IndCor_30D_I_OthC" localSheetId="5">#REF!</definedName>
    <definedName name="CF17_Attr_IndCor_30D_I_OthC">#REF!</definedName>
    <definedName name="CF17_Attr_IndCor_30D_I_RUR" localSheetId="5">#REF!</definedName>
    <definedName name="CF17_Attr_IndCor_30D_I_RUR">#REF!</definedName>
    <definedName name="CF17_Attr_IndCor_30D_I_USD" localSheetId="5">#REF!</definedName>
    <definedName name="CF17_Attr_IndCor_30D_I_USD">#REF!</definedName>
    <definedName name="CF17_Attr_IndCor_360D_Am_AMD" localSheetId="5">#REF!</definedName>
    <definedName name="CF17_Attr_IndCor_360D_Am_AMD">#REF!</definedName>
    <definedName name="CF17_Attr_IndCor_360D_Am_EUR" localSheetId="5">#REF!</definedName>
    <definedName name="CF17_Attr_IndCor_360D_Am_EUR">#REF!</definedName>
    <definedName name="CF17_Attr_IndCor_360D_Am_OthC" localSheetId="5">#REF!</definedName>
    <definedName name="CF17_Attr_IndCor_360D_Am_OthC">#REF!</definedName>
    <definedName name="CF17_Attr_IndCor_360D_Am_RUR" localSheetId="5">#REF!</definedName>
    <definedName name="CF17_Attr_IndCor_360D_Am_RUR">#REF!</definedName>
    <definedName name="CF17_Attr_IndCor_360D_Am_USD" localSheetId="5">#REF!</definedName>
    <definedName name="CF17_Attr_IndCor_360D_Am_USD">#REF!</definedName>
    <definedName name="CF17_Attr_IndCor_360D_I_AMD" localSheetId="5">#REF!</definedName>
    <definedName name="CF17_Attr_IndCor_360D_I_AMD">#REF!</definedName>
    <definedName name="CF17_Attr_IndCor_360D_I_EUR" localSheetId="5">#REF!</definedName>
    <definedName name="CF17_Attr_IndCor_360D_I_EUR">#REF!</definedName>
    <definedName name="CF17_Attr_IndCor_360D_I_OthC" localSheetId="5">#REF!</definedName>
    <definedName name="CF17_Attr_IndCor_360D_I_OthC">#REF!</definedName>
    <definedName name="CF17_Attr_IndCor_360D_I_RUR" localSheetId="5">#REF!</definedName>
    <definedName name="CF17_Attr_IndCor_360D_I_RUR">#REF!</definedName>
    <definedName name="CF17_Attr_IndCor_360D_I_USD" localSheetId="5">#REF!</definedName>
    <definedName name="CF17_Attr_IndCor_360D_I_USD">#REF!</definedName>
    <definedName name="CF17_Attr_IndCor_60D_Am_AMD" localSheetId="5">#REF!</definedName>
    <definedName name="CF17_Attr_IndCor_60D_Am_AMD">#REF!</definedName>
    <definedName name="CF17_Attr_IndCor_60D_Am_EUR" localSheetId="5">#REF!</definedName>
    <definedName name="CF17_Attr_IndCor_60D_Am_EUR">#REF!</definedName>
    <definedName name="CF17_Attr_IndCor_60D_Am_OthC" localSheetId="5">#REF!</definedName>
    <definedName name="CF17_Attr_IndCor_60D_Am_OthC">#REF!</definedName>
    <definedName name="CF17_Attr_IndCor_60D_Am_RUR" localSheetId="5">#REF!</definedName>
    <definedName name="CF17_Attr_IndCor_60D_Am_RUR">#REF!</definedName>
    <definedName name="CF17_Attr_IndCor_60D_Am_USD" localSheetId="5">#REF!</definedName>
    <definedName name="CF17_Attr_IndCor_60D_Am_USD">#REF!</definedName>
    <definedName name="CF17_Attr_IndCor_60D_I_AMD" localSheetId="5">#REF!</definedName>
    <definedName name="CF17_Attr_IndCor_60D_I_AMD">#REF!</definedName>
    <definedName name="CF17_Attr_IndCor_60D_I_EUR" localSheetId="5">#REF!</definedName>
    <definedName name="CF17_Attr_IndCor_60D_I_EUR">#REF!</definedName>
    <definedName name="CF17_Attr_IndCor_60D_I_OthC" localSheetId="5">#REF!</definedName>
    <definedName name="CF17_Attr_IndCor_60D_I_OthC">#REF!</definedName>
    <definedName name="CF17_Attr_IndCor_60D_I_RUR" localSheetId="5">#REF!</definedName>
    <definedName name="CF17_Attr_IndCor_60D_I_RUR">#REF!</definedName>
    <definedName name="CF17_Attr_IndCor_60D_I_USD" localSheetId="5">#REF!</definedName>
    <definedName name="CF17_Attr_IndCor_60D_I_USD">#REF!</definedName>
    <definedName name="CF17_Attr_IndCor_90D_Am_AMD" localSheetId="5">#REF!</definedName>
    <definedName name="CF17_Attr_IndCor_90D_Am_AMD">#REF!</definedName>
    <definedName name="CF17_Attr_IndCor_90D_Am_EUR" localSheetId="5">#REF!</definedName>
    <definedName name="CF17_Attr_IndCor_90D_Am_EUR">#REF!</definedName>
    <definedName name="CF17_Attr_IndCor_90D_Am_OthC" localSheetId="5">#REF!</definedName>
    <definedName name="CF17_Attr_IndCor_90D_Am_OthC">#REF!</definedName>
    <definedName name="CF17_Attr_IndCor_90D_Am_RUR" localSheetId="5">#REF!</definedName>
    <definedName name="CF17_Attr_IndCor_90D_Am_RUR">#REF!</definedName>
    <definedName name="CF17_Attr_IndCor_90D_Am_USD" localSheetId="5">#REF!</definedName>
    <definedName name="CF17_Attr_IndCor_90D_Am_USD">#REF!</definedName>
    <definedName name="CF17_Attr_IndCor_90D_I_AMD" localSheetId="5">#REF!</definedName>
    <definedName name="CF17_Attr_IndCor_90D_I_AMD">#REF!</definedName>
    <definedName name="CF17_Attr_IndCor_90D_I_EUR" localSheetId="5">#REF!</definedName>
    <definedName name="CF17_Attr_IndCor_90D_I_EUR">#REF!</definedName>
    <definedName name="CF17_Attr_IndCor_90D_I_OthC" localSheetId="5">#REF!</definedName>
    <definedName name="CF17_Attr_IndCor_90D_I_OthC">#REF!</definedName>
    <definedName name="CF17_Attr_IndCor_90D_I_RUR" localSheetId="5">#REF!</definedName>
    <definedName name="CF17_Attr_IndCor_90D_I_RUR">#REF!</definedName>
    <definedName name="CF17_Attr_IndCor_90D_I_USD" localSheetId="5">#REF!</definedName>
    <definedName name="CF17_Attr_IndCor_90D_I_USD">#REF!</definedName>
    <definedName name="CF17_Attr_IndCor_Dem_Am_AMD" localSheetId="5">#REF!</definedName>
    <definedName name="CF17_Attr_IndCor_Dem_Am_AMD">#REF!</definedName>
    <definedName name="CF17_Attr_IndCor_Dem_Am_EUR" localSheetId="5">#REF!</definedName>
    <definedName name="CF17_Attr_IndCor_Dem_Am_EUR">#REF!</definedName>
    <definedName name="CF17_Attr_IndCor_Dem_Am_OthC" localSheetId="5">#REF!</definedName>
    <definedName name="CF17_Attr_IndCor_Dem_Am_OthC">#REF!</definedName>
    <definedName name="CF17_Attr_IndCor_Dem_Am_RUR" localSheetId="5">#REF!</definedName>
    <definedName name="CF17_Attr_IndCor_Dem_Am_RUR">#REF!</definedName>
    <definedName name="CF17_Attr_IndCor_Dem_Am_USD" localSheetId="5">#REF!</definedName>
    <definedName name="CF17_Attr_IndCor_Dem_Am_USD">#REF!</definedName>
    <definedName name="CF17_Attr_IndCor_Dem_I_AMD" localSheetId="5">#REF!</definedName>
    <definedName name="CF17_Attr_IndCor_Dem_I_AMD">#REF!</definedName>
    <definedName name="CF17_Attr_IndCor_Dem_I_EUR" localSheetId="5">#REF!</definedName>
    <definedName name="CF17_Attr_IndCor_Dem_I_EUR">#REF!</definedName>
    <definedName name="CF17_Attr_IndCor_Dem_I_OthC" localSheetId="5">#REF!</definedName>
    <definedName name="CF17_Attr_IndCor_Dem_I_OthC">#REF!</definedName>
    <definedName name="CF17_Attr_IndCor_Dem_I_RUR" localSheetId="5">#REF!</definedName>
    <definedName name="CF17_Attr_IndCor_Dem_I_RUR">#REF!</definedName>
    <definedName name="CF17_Attr_IndCor_Dem_I_USD" localSheetId="5">#REF!</definedName>
    <definedName name="CF17_Attr_IndCor_Dem_I_USD">#REF!</definedName>
    <definedName name="CF17_Attr_IndCor_Mr360D_Am_AMD" localSheetId="5">#REF!</definedName>
    <definedName name="CF17_Attr_IndCor_Mr360D_Am_AMD">#REF!</definedName>
    <definedName name="CF17_Attr_IndCor_Mr360D_Am_EUR" localSheetId="5">#REF!</definedName>
    <definedName name="CF17_Attr_IndCor_Mr360D_Am_EUR">#REF!</definedName>
    <definedName name="CF17_Attr_IndCor_Mr360D_Am_RUR" localSheetId="5">#REF!</definedName>
    <definedName name="CF17_Attr_IndCor_Mr360D_Am_RUR">#REF!</definedName>
    <definedName name="CF17_Attr_IndCor_Mr360D_Am_USD" localSheetId="5">#REF!</definedName>
    <definedName name="CF17_Attr_IndCor_Mr360D_Am_USD">#REF!</definedName>
    <definedName name="CF17_Attr_IndCor_Mr360D_I_AMD" localSheetId="5">#REF!</definedName>
    <definedName name="CF17_Attr_IndCor_Mr360D_I_AMD">#REF!</definedName>
    <definedName name="CF17_Attr_IndCor_Mr360D_I_EUR" localSheetId="5">#REF!</definedName>
    <definedName name="CF17_Attr_IndCor_Mr360D_I_EUR">#REF!</definedName>
    <definedName name="CF17_Attr_IndCor_Mr360D_I_OthC" localSheetId="5">#REF!</definedName>
    <definedName name="CF17_Attr_IndCor_Mr360D_I_OthC">#REF!</definedName>
    <definedName name="CF17_Attr_IndCor_Mr360D_I_RUR" localSheetId="5">#REF!</definedName>
    <definedName name="CF17_Attr_IndCor_Mr360D_I_RUR">#REF!</definedName>
    <definedName name="CF17_Attr_IndCor_Mr360D_I_USD" localSheetId="5">#REF!</definedName>
    <definedName name="CF17_Attr_IndCor_Mr360D_I_USD">#REF!</definedName>
    <definedName name="CF17_Attr_InterPo_Mr360D_Am_AM" localSheetId="5">#REF!</definedName>
    <definedName name="CF17_Attr_InterPo_Mr360D_Am_AM">#REF!</definedName>
    <definedName name="CF17_Attr_InterPo_Mr360D_Am_EU" localSheetId="5">#REF!</definedName>
    <definedName name="CF17_Attr_InterPo_Mr360D_Am_EU">#REF!</definedName>
    <definedName name="CF17_Attr_InterPo_Mr360D_Am_Ot" localSheetId="5">#REF!</definedName>
    <definedName name="CF17_Attr_InterPo_Mr360D_Am_Ot">#REF!</definedName>
    <definedName name="CF17_Attr_InterPo_Mr360D_Am_RU" localSheetId="5">#REF!</definedName>
    <definedName name="CF17_Attr_InterPo_Mr360D_Am_RU">#REF!</definedName>
    <definedName name="CF17_Attr_InterPo_Mr360D_Am_US" localSheetId="5">#REF!</definedName>
    <definedName name="CF17_Attr_InterPo_Mr360D_Am_US">#REF!</definedName>
    <definedName name="CF17_Attr_InterPo_Mr360D_I_EUR" localSheetId="5">#REF!</definedName>
    <definedName name="CF17_Attr_InterPo_Mr360D_I_EUR">#REF!</definedName>
    <definedName name="CF17_Attr_InterPo_Mr360D_I_Oth" localSheetId="5">#REF!</definedName>
    <definedName name="CF17_Attr_InterPo_Mr360D_I_Oth">#REF!</definedName>
    <definedName name="CF17_Attr_InterPo_Mr360D_I_RUR" localSheetId="5">#REF!</definedName>
    <definedName name="CF17_Attr_InterPo_Mr360D_I_RUR">#REF!</definedName>
    <definedName name="CF17_Attr_InterPo_Mr360D_I_USD" localSheetId="5">#REF!</definedName>
    <definedName name="CF17_Attr_InterPo_Mr360D_I_USD">#REF!</definedName>
    <definedName name="CF17_Attr_InterPog_15D_Am_AMD" localSheetId="5">#REF!</definedName>
    <definedName name="CF17_Attr_InterPog_15D_Am_AMD">#REF!</definedName>
    <definedName name="CF17_Attr_InterPog_15D_Am_EUR" localSheetId="5">#REF!</definedName>
    <definedName name="CF17_Attr_InterPog_15D_Am_EUR">#REF!</definedName>
    <definedName name="CF17_Attr_InterPog_15D_Am_OthC" localSheetId="5">#REF!</definedName>
    <definedName name="CF17_Attr_InterPog_15D_Am_OthC">#REF!</definedName>
    <definedName name="CF17_Attr_InterPog_15D_Am_RUR" localSheetId="5">#REF!</definedName>
    <definedName name="CF17_Attr_InterPog_15D_Am_RUR">#REF!</definedName>
    <definedName name="CF17_Attr_InterPog_15D_Am_USD" localSheetId="5">#REF!</definedName>
    <definedName name="CF17_Attr_InterPog_15D_Am_USD">#REF!</definedName>
    <definedName name="CF17_Attr_InterPog_15D_I_AMD" localSheetId="5">#REF!</definedName>
    <definedName name="CF17_Attr_InterPog_15D_I_AMD">#REF!</definedName>
    <definedName name="CF17_Attr_InterPog_15D_I_EUR" localSheetId="5">#REF!</definedName>
    <definedName name="CF17_Attr_InterPog_15D_I_EUR">#REF!</definedName>
    <definedName name="CF17_Attr_InterPog_15D_I_OthC" localSheetId="5">#REF!</definedName>
    <definedName name="CF17_Attr_InterPog_15D_I_OthC">#REF!</definedName>
    <definedName name="CF17_Attr_InterPog_15D_I_RUR" localSheetId="5">#REF!</definedName>
    <definedName name="CF17_Attr_InterPog_15D_I_RUR">#REF!</definedName>
    <definedName name="CF17_Attr_InterPog_15D_I_USD" localSheetId="5">#REF!</definedName>
    <definedName name="CF17_Attr_InterPog_15D_I_USD">#REF!</definedName>
    <definedName name="CF17_Attr_InterPog_180D_Am_AMD" localSheetId="5">#REF!</definedName>
    <definedName name="CF17_Attr_InterPog_180D_Am_AMD">#REF!</definedName>
    <definedName name="CF17_Attr_InterPog_180D_Am_EUR" localSheetId="5">#REF!</definedName>
    <definedName name="CF17_Attr_InterPog_180D_Am_EUR">#REF!</definedName>
    <definedName name="CF17_Attr_InterPog_180D_Am_Oth" localSheetId="5">#REF!</definedName>
    <definedName name="CF17_Attr_InterPog_180D_Am_Oth">#REF!</definedName>
    <definedName name="CF17_Attr_InterPog_180D_Am_RUR" localSheetId="5">#REF!</definedName>
    <definedName name="CF17_Attr_InterPog_180D_Am_RUR">#REF!</definedName>
    <definedName name="CF17_Attr_InterPog_180D_Am_USD" localSheetId="5">#REF!</definedName>
    <definedName name="CF17_Attr_InterPog_180D_Am_USD">#REF!</definedName>
    <definedName name="CF17_Attr_InterPog_180D_I_AMD" localSheetId="5">#REF!</definedName>
    <definedName name="CF17_Attr_InterPog_180D_I_AMD">#REF!</definedName>
    <definedName name="CF17_Attr_InterPog_180D_I_EUR" localSheetId="5">#REF!</definedName>
    <definedName name="CF17_Attr_InterPog_180D_I_EUR">#REF!</definedName>
    <definedName name="CF17_Attr_InterPog_180D_I_OthC" localSheetId="5">#REF!</definedName>
    <definedName name="CF17_Attr_InterPog_180D_I_OthC">#REF!</definedName>
    <definedName name="CF17_Attr_InterPog_180D_I_RUR" localSheetId="5">#REF!</definedName>
    <definedName name="CF17_Attr_InterPog_180D_I_RUR">#REF!</definedName>
    <definedName name="CF17_Attr_InterPog_180D_I_USD" localSheetId="5">#REF!</definedName>
    <definedName name="CF17_Attr_InterPog_180D_I_USD">#REF!</definedName>
    <definedName name="CF17_Attr_InterPog_30D_Am_AMD" localSheetId="5">#REF!</definedName>
    <definedName name="CF17_Attr_InterPog_30D_Am_AMD">#REF!</definedName>
    <definedName name="CF17_Attr_InterPog_30D_Am_EUR" localSheetId="5">#REF!</definedName>
    <definedName name="CF17_Attr_InterPog_30D_Am_EUR">#REF!</definedName>
    <definedName name="CF17_Attr_InterPog_30D_Am_OthC" localSheetId="5">#REF!</definedName>
    <definedName name="CF17_Attr_InterPog_30D_Am_OthC">#REF!</definedName>
    <definedName name="CF17_Attr_InterPog_30D_Am_RUR" localSheetId="5">#REF!</definedName>
    <definedName name="CF17_Attr_InterPog_30D_Am_RUR">#REF!</definedName>
    <definedName name="CF17_Attr_InterPog_30D_Am_USD" localSheetId="5">#REF!</definedName>
    <definedName name="CF17_Attr_InterPog_30D_Am_USD">#REF!</definedName>
    <definedName name="CF17_Attr_InterPog_30D_I_AMD" localSheetId="5">#REF!</definedName>
    <definedName name="CF17_Attr_InterPog_30D_I_AMD">#REF!</definedName>
    <definedName name="CF17_Attr_InterPog_30D_I_EUR" localSheetId="5">#REF!</definedName>
    <definedName name="CF17_Attr_InterPog_30D_I_EUR">#REF!</definedName>
    <definedName name="CF17_Attr_InterPog_30D_I_OthC" localSheetId="5">#REF!</definedName>
    <definedName name="CF17_Attr_InterPog_30D_I_OthC">#REF!</definedName>
    <definedName name="CF17_Attr_InterPog_30D_I_RUR" localSheetId="5">#REF!</definedName>
    <definedName name="CF17_Attr_InterPog_30D_I_RUR">#REF!</definedName>
    <definedName name="CF17_Attr_InterPog_30D_I_USD" localSheetId="5">#REF!</definedName>
    <definedName name="CF17_Attr_InterPog_30D_I_USD">#REF!</definedName>
    <definedName name="CF17_Attr_InterPog_360D_Am_AMD" localSheetId="5">#REF!</definedName>
    <definedName name="CF17_Attr_InterPog_360D_Am_AMD">#REF!</definedName>
    <definedName name="CF17_Attr_InterPog_360D_Am_EUR" localSheetId="5">#REF!</definedName>
    <definedName name="CF17_Attr_InterPog_360D_Am_EUR">#REF!</definedName>
    <definedName name="CF17_Attr_InterPog_360D_Am_Oth" localSheetId="5">#REF!</definedName>
    <definedName name="CF17_Attr_InterPog_360D_Am_Oth">#REF!</definedName>
    <definedName name="CF17_Attr_InterPog_360D_Am_RUR" localSheetId="5">#REF!</definedName>
    <definedName name="CF17_Attr_InterPog_360D_Am_RUR">#REF!</definedName>
    <definedName name="CF17_Attr_InterPog_360D_Am_USD" localSheetId="5">#REF!</definedName>
    <definedName name="CF17_Attr_InterPog_360D_Am_USD">#REF!</definedName>
    <definedName name="CF17_Attr_InterPog_360D_I_AMD" localSheetId="5">#REF!</definedName>
    <definedName name="CF17_Attr_InterPog_360D_I_AMD">#REF!</definedName>
    <definedName name="CF17_Attr_InterPog_360D_I_EUR" localSheetId="5">#REF!</definedName>
    <definedName name="CF17_Attr_InterPog_360D_I_EUR">#REF!</definedName>
    <definedName name="CF17_Attr_InterPog_360D_I_OthC" localSheetId="5">#REF!</definedName>
    <definedName name="CF17_Attr_InterPog_360D_I_OthC">#REF!</definedName>
    <definedName name="CF17_Attr_InterPog_360D_I_RUR" localSheetId="5">#REF!</definedName>
    <definedName name="CF17_Attr_InterPog_360D_I_RUR">#REF!</definedName>
    <definedName name="CF17_Attr_InterPog_360D_I_USD" localSheetId="5">#REF!</definedName>
    <definedName name="CF17_Attr_InterPog_360D_I_USD">#REF!</definedName>
    <definedName name="CF17_Attr_InterPog_60D_Am_AMD" localSheetId="5">#REF!</definedName>
    <definedName name="CF17_Attr_InterPog_60D_Am_AMD">#REF!</definedName>
    <definedName name="CF17_Attr_InterPog_60D_Am_EUR" localSheetId="5">#REF!</definedName>
    <definedName name="CF17_Attr_InterPog_60D_Am_EUR">#REF!</definedName>
    <definedName name="CF17_Attr_InterPog_60D_Am_OthC" localSheetId="5">#REF!</definedName>
    <definedName name="CF17_Attr_InterPog_60D_Am_OthC">#REF!</definedName>
    <definedName name="CF17_Attr_InterPog_60D_Am_RUR" localSheetId="5">#REF!</definedName>
    <definedName name="CF17_Attr_InterPog_60D_Am_RUR">#REF!</definedName>
    <definedName name="CF17_Attr_InterPog_60D_Am_USD" localSheetId="5">#REF!</definedName>
    <definedName name="CF17_Attr_InterPog_60D_Am_USD">#REF!</definedName>
    <definedName name="CF17_Attr_InterPog_60D_I_AMD" localSheetId="5">#REF!</definedName>
    <definedName name="CF17_Attr_InterPog_60D_I_AMD">#REF!</definedName>
    <definedName name="CF17_Attr_InterPog_60D_I_EUR" localSheetId="5">#REF!</definedName>
    <definedName name="CF17_Attr_InterPog_60D_I_EUR">#REF!</definedName>
    <definedName name="CF17_Attr_InterPog_60D_I_OthC" localSheetId="5">#REF!</definedName>
    <definedName name="CF17_Attr_InterPog_60D_I_OthC">#REF!</definedName>
    <definedName name="CF17_Attr_InterPog_60D_I_RUR" localSheetId="5">#REF!</definedName>
    <definedName name="CF17_Attr_InterPog_60D_I_RUR">#REF!</definedName>
    <definedName name="CF17_Attr_InterPog_60D_I_USD" localSheetId="5">#REF!</definedName>
    <definedName name="CF17_Attr_InterPog_60D_I_USD">#REF!</definedName>
    <definedName name="CF17_Attr_InterPog_90D_Am_AMD" localSheetId="5">#REF!</definedName>
    <definedName name="CF17_Attr_InterPog_90D_Am_AMD">#REF!</definedName>
    <definedName name="CF17_Attr_InterPog_90D_Am_EUR" localSheetId="5">#REF!</definedName>
    <definedName name="CF17_Attr_InterPog_90D_Am_EUR">#REF!</definedName>
    <definedName name="CF17_Attr_InterPog_90D_Am_OthC" localSheetId="5">#REF!</definedName>
    <definedName name="CF17_Attr_InterPog_90D_Am_OthC">#REF!</definedName>
    <definedName name="CF17_Attr_InterPog_90D_Am_RUR" localSheetId="5">#REF!</definedName>
    <definedName name="CF17_Attr_InterPog_90D_Am_RUR">#REF!</definedName>
    <definedName name="CF17_Attr_InterPog_90D_Am_USD" localSheetId="5">#REF!</definedName>
    <definedName name="CF17_Attr_InterPog_90D_Am_USD">#REF!</definedName>
    <definedName name="CF17_Attr_InterPog_90D_I_AMD" localSheetId="5">#REF!</definedName>
    <definedName name="CF17_Attr_InterPog_90D_I_AMD">#REF!</definedName>
    <definedName name="CF17_Attr_InterPog_90D_I_EUR" localSheetId="5">#REF!</definedName>
    <definedName name="CF17_Attr_InterPog_90D_I_EUR">#REF!</definedName>
    <definedName name="CF17_Attr_InterPog_90D_I_OthC" localSheetId="5">#REF!</definedName>
    <definedName name="CF17_Attr_InterPog_90D_I_OthC">#REF!</definedName>
    <definedName name="CF17_Attr_InterPog_90D_I_RUR" localSheetId="5">#REF!</definedName>
    <definedName name="CF17_Attr_InterPog_90D_I_RUR">#REF!</definedName>
    <definedName name="CF17_Attr_InterPog_90D_I_USD" localSheetId="5">#REF!</definedName>
    <definedName name="CF17_Attr_InterPog_90D_I_USD">#REF!</definedName>
    <definedName name="CF17_Attr_InterPog_Dem_Am_AMD" localSheetId="5">#REF!</definedName>
    <definedName name="CF17_Attr_InterPog_Dem_Am_AMD">#REF!</definedName>
    <definedName name="CF17_Attr_InterPog_Dem_Am_EUR" localSheetId="5">#REF!</definedName>
    <definedName name="CF17_Attr_InterPog_Dem_Am_EUR">#REF!</definedName>
    <definedName name="CF17_Attr_InterPog_Dem_Am_OthC" localSheetId="5">#REF!</definedName>
    <definedName name="CF17_Attr_InterPog_Dem_Am_OthC">#REF!</definedName>
    <definedName name="CF17_Attr_InterPog_Dem_Am_RUR" localSheetId="5">#REF!</definedName>
    <definedName name="CF17_Attr_InterPog_Dem_Am_RUR">#REF!</definedName>
    <definedName name="CF17_Attr_InterPog_Dem_Am_USD" localSheetId="5">#REF!</definedName>
    <definedName name="CF17_Attr_InterPog_Dem_Am_USD">#REF!</definedName>
    <definedName name="CF17_Attr_InterPog_Dem_I_AMD" localSheetId="5">#REF!</definedName>
    <definedName name="CF17_Attr_InterPog_Dem_I_AMD">#REF!</definedName>
    <definedName name="CF17_Attr_InterPog_Dem_I_EUR" localSheetId="5">#REF!</definedName>
    <definedName name="CF17_Attr_InterPog_Dem_I_EUR">#REF!</definedName>
    <definedName name="CF17_Attr_InterPog_Dem_I_OthC" localSheetId="5">#REF!</definedName>
    <definedName name="CF17_Attr_InterPog_Dem_I_OthC">#REF!</definedName>
    <definedName name="CF17_Attr_InterPog_Dem_I_RUR" localSheetId="5">#REF!</definedName>
    <definedName name="CF17_Attr_InterPog_Dem_I_RUR">#REF!</definedName>
    <definedName name="CF17_Attr_InterPog_Dem_I_USD" localSheetId="5">#REF!</definedName>
    <definedName name="CF17_Attr_InterPog_Dem_I_USD">#REF!</definedName>
    <definedName name="CF17_Attr_InterPog_Mr360D_I_AMD" localSheetId="5">#REF!</definedName>
    <definedName name="CF17_Attr_InterPog_Mr360D_I_AMD">#REF!</definedName>
    <definedName name="CF17_Attr_OthBnk_15D_Am_AMD" localSheetId="5">#REF!</definedName>
    <definedName name="CF17_Attr_OthBnk_15D_Am_AMD">#REF!</definedName>
    <definedName name="CF17_Attr_OthBnk_15D_Am_EUR" localSheetId="5">#REF!</definedName>
    <definedName name="CF17_Attr_OthBnk_15D_Am_EUR">#REF!</definedName>
    <definedName name="CF17_Attr_OthBnk_15D_Am_OthC" localSheetId="5">#REF!</definedName>
    <definedName name="CF17_Attr_OthBnk_15D_Am_OthC">#REF!</definedName>
    <definedName name="CF17_Attr_OthBnk_15D_Am_RUR" localSheetId="5">#REF!</definedName>
    <definedName name="CF17_Attr_OthBnk_15D_Am_RUR">#REF!</definedName>
    <definedName name="CF17_Attr_OthBnk_15D_Am_USD" localSheetId="5">#REF!</definedName>
    <definedName name="CF17_Attr_OthBnk_15D_Am_USD">#REF!</definedName>
    <definedName name="CF17_Attr_OthBnk_15D_I_AMD" localSheetId="5">#REF!</definedName>
    <definedName name="CF17_Attr_OthBnk_15D_I_AMD">#REF!</definedName>
    <definedName name="CF17_Attr_OthBnk_15D_I_EUR" localSheetId="5">#REF!</definedName>
    <definedName name="CF17_Attr_OthBnk_15D_I_EUR">#REF!</definedName>
    <definedName name="CF17_Attr_OthBnk_15D_I_OthC" localSheetId="5">#REF!</definedName>
    <definedName name="CF17_Attr_OthBnk_15D_I_OthC">#REF!</definedName>
    <definedName name="CF17_Attr_OthBnk_15D_I_RUR" localSheetId="5">#REF!</definedName>
    <definedName name="CF17_Attr_OthBnk_15D_I_RUR">#REF!</definedName>
    <definedName name="CF17_Attr_OthBnk_15D_I_USD" localSheetId="5">#REF!</definedName>
    <definedName name="CF17_Attr_OthBnk_15D_I_USD">#REF!</definedName>
    <definedName name="CF17_Attr_OthBnk_180D_Am_AMD" localSheetId="5">#REF!</definedName>
    <definedName name="CF17_Attr_OthBnk_180D_Am_AMD">#REF!</definedName>
    <definedName name="CF17_Attr_OthBnk_180D_Am_EUR" localSheetId="5">#REF!</definedName>
    <definedName name="CF17_Attr_OthBnk_180D_Am_EUR">#REF!</definedName>
    <definedName name="CF17_Attr_OthBnk_180D_Am_OthC" localSheetId="5">#REF!</definedName>
    <definedName name="CF17_Attr_OthBnk_180D_Am_OthC">#REF!</definedName>
    <definedName name="CF17_Attr_OthBnk_180D_Am_RUR" localSheetId="5">#REF!</definedName>
    <definedName name="CF17_Attr_OthBnk_180D_Am_RUR">#REF!</definedName>
    <definedName name="CF17_Attr_OthBnk_180D_Am_USD" localSheetId="5">#REF!</definedName>
    <definedName name="CF17_Attr_OthBnk_180D_Am_USD">#REF!</definedName>
    <definedName name="CF17_Attr_OthBnk_180D_I_AMD" localSheetId="5">#REF!</definedName>
    <definedName name="CF17_Attr_OthBnk_180D_I_AMD">#REF!</definedName>
    <definedName name="CF17_Attr_OthBnk_180D_I_EUR" localSheetId="5">#REF!</definedName>
    <definedName name="CF17_Attr_OthBnk_180D_I_EUR">#REF!</definedName>
    <definedName name="CF17_Attr_OthBnk_180D_I_OthC" localSheetId="5">#REF!</definedName>
    <definedName name="CF17_Attr_OthBnk_180D_I_OthC">#REF!</definedName>
    <definedName name="CF17_Attr_OthBnk_180D_I_RUR" localSheetId="5">#REF!</definedName>
    <definedName name="CF17_Attr_OthBnk_180D_I_RUR">#REF!</definedName>
    <definedName name="CF17_Attr_OthBnk_180D_I_USD" localSheetId="5">#REF!</definedName>
    <definedName name="CF17_Attr_OthBnk_180D_I_USD">#REF!</definedName>
    <definedName name="CF17_Attr_OthBnk_30D_Am_AMD" localSheetId="5">#REF!</definedName>
    <definedName name="CF17_Attr_OthBnk_30D_Am_AMD">#REF!</definedName>
    <definedName name="CF17_Attr_OthBnk_30D_Am_EUR" localSheetId="5">#REF!</definedName>
    <definedName name="CF17_Attr_OthBnk_30D_Am_EUR">#REF!</definedName>
    <definedName name="CF17_Attr_OthBnk_30D_Am_OthC" localSheetId="5">#REF!</definedName>
    <definedName name="CF17_Attr_OthBnk_30D_Am_OthC">#REF!</definedName>
    <definedName name="CF17_Attr_OthBnk_30D_Am_RUR" localSheetId="5">#REF!</definedName>
    <definedName name="CF17_Attr_OthBnk_30D_Am_RUR">#REF!</definedName>
    <definedName name="CF17_Attr_OthBnk_30D_Am_USD" localSheetId="5">#REF!</definedName>
    <definedName name="CF17_Attr_OthBnk_30D_Am_USD">#REF!</definedName>
    <definedName name="CF17_Attr_OthBnk_30D_I_AMD" localSheetId="5">#REF!</definedName>
    <definedName name="CF17_Attr_OthBnk_30D_I_AMD">#REF!</definedName>
    <definedName name="CF17_Attr_OthBnk_30D_I_EUR" localSheetId="5">#REF!</definedName>
    <definedName name="CF17_Attr_OthBnk_30D_I_EUR">#REF!</definedName>
    <definedName name="CF17_Attr_OthBnk_30D_I_OthC" localSheetId="5">#REF!</definedName>
    <definedName name="CF17_Attr_OthBnk_30D_I_OthC">#REF!</definedName>
    <definedName name="CF17_Attr_OthBnk_30D_I_RUR" localSheetId="5">#REF!</definedName>
    <definedName name="CF17_Attr_OthBnk_30D_I_RUR">#REF!</definedName>
    <definedName name="CF17_Attr_OthBnk_30D_I_USD" localSheetId="5">#REF!</definedName>
    <definedName name="CF17_Attr_OthBnk_30D_I_USD">#REF!</definedName>
    <definedName name="CF17_Attr_OthBnk_360D_Am_AMD" localSheetId="5">#REF!</definedName>
    <definedName name="CF17_Attr_OthBnk_360D_Am_AMD">#REF!</definedName>
    <definedName name="CF17_Attr_OthBnk_360D_Am_EUR" localSheetId="5">#REF!</definedName>
    <definedName name="CF17_Attr_OthBnk_360D_Am_EUR">#REF!</definedName>
    <definedName name="CF17_Attr_OthBnk_360D_Am_OthC" localSheetId="5">#REF!</definedName>
    <definedName name="CF17_Attr_OthBnk_360D_Am_OthC">#REF!</definedName>
    <definedName name="CF17_Attr_OthBnk_360D_Am_RUR" localSheetId="5">#REF!</definedName>
    <definedName name="CF17_Attr_OthBnk_360D_Am_RUR">#REF!</definedName>
    <definedName name="CF17_Attr_OthBnk_360D_Am_USD" localSheetId="5">#REF!</definedName>
    <definedName name="CF17_Attr_OthBnk_360D_Am_USD">#REF!</definedName>
    <definedName name="CF17_Attr_OthBnk_360D_I_AMD" localSheetId="5">#REF!</definedName>
    <definedName name="CF17_Attr_OthBnk_360D_I_AMD">#REF!</definedName>
    <definedName name="CF17_Attr_OthBnk_360D_I_EUR" localSheetId="5">#REF!</definedName>
    <definedName name="CF17_Attr_OthBnk_360D_I_EUR">#REF!</definedName>
    <definedName name="CF17_Attr_OthBnk_360D_I_OthC" localSheetId="5">#REF!</definedName>
    <definedName name="CF17_Attr_OthBnk_360D_I_OthC">#REF!</definedName>
    <definedName name="CF17_Attr_OthBnk_360D_I_RUR" localSheetId="5">#REF!</definedName>
    <definedName name="CF17_Attr_OthBnk_360D_I_RUR">#REF!</definedName>
    <definedName name="CF17_Attr_OthBnk_360D_I_USD" localSheetId="5">#REF!</definedName>
    <definedName name="CF17_Attr_OthBnk_360D_I_USD">#REF!</definedName>
    <definedName name="CF17_Attr_OthBnk_60D_Am_AMD" localSheetId="5">#REF!</definedName>
    <definedName name="CF17_Attr_OthBnk_60D_Am_AMD">#REF!</definedName>
    <definedName name="CF17_Attr_OthBnk_60D_Am_EUR" localSheetId="5">#REF!</definedName>
    <definedName name="CF17_Attr_OthBnk_60D_Am_EUR">#REF!</definedName>
    <definedName name="CF17_Attr_OthBnk_60D_Am_OthC" localSheetId="5">#REF!</definedName>
    <definedName name="CF17_Attr_OthBnk_60D_Am_OthC">#REF!</definedName>
    <definedName name="CF17_Attr_OthBnk_60D_Am_RUR" localSheetId="5">#REF!</definedName>
    <definedName name="CF17_Attr_OthBnk_60D_Am_RUR">#REF!</definedName>
    <definedName name="CF17_Attr_OthBnk_60D_Am_USD" localSheetId="5">#REF!</definedName>
    <definedName name="CF17_Attr_OthBnk_60D_Am_USD">#REF!</definedName>
    <definedName name="CF17_Attr_OthBnk_60D_I_AMD" localSheetId="5">#REF!</definedName>
    <definedName name="CF17_Attr_OthBnk_60D_I_AMD">#REF!</definedName>
    <definedName name="CF17_Attr_OthBnk_60D_I_EUR" localSheetId="5">#REF!</definedName>
    <definedName name="CF17_Attr_OthBnk_60D_I_EUR">#REF!</definedName>
    <definedName name="CF17_Attr_OthBnk_60D_I_OthC" localSheetId="5">#REF!</definedName>
    <definedName name="CF17_Attr_OthBnk_60D_I_OthC">#REF!</definedName>
    <definedName name="CF17_Attr_OthBnk_60D_I_RUR" localSheetId="5">#REF!</definedName>
    <definedName name="CF17_Attr_OthBnk_60D_I_RUR">#REF!</definedName>
    <definedName name="CF17_Attr_OthBnk_60D_I_USD" localSheetId="5">#REF!</definedName>
    <definedName name="CF17_Attr_OthBnk_60D_I_USD">#REF!</definedName>
    <definedName name="CF17_Attr_OthBnk_90D_Am_AMD" localSheetId="5">#REF!</definedName>
    <definedName name="CF17_Attr_OthBnk_90D_Am_AMD">#REF!</definedName>
    <definedName name="CF17_Attr_OthBnk_90D_Am_EUR" localSheetId="5">#REF!</definedName>
    <definedName name="CF17_Attr_OthBnk_90D_Am_EUR">#REF!</definedName>
    <definedName name="CF17_Attr_OthBnk_90D_Am_OthC" localSheetId="5">#REF!</definedName>
    <definedName name="CF17_Attr_OthBnk_90D_Am_OthC">#REF!</definedName>
    <definedName name="CF17_Attr_OthBnk_90D_Am_RUR" localSheetId="5">#REF!</definedName>
    <definedName name="CF17_Attr_OthBnk_90D_Am_RUR">#REF!</definedName>
    <definedName name="CF17_Attr_OthBnk_90D_Am_USD" localSheetId="5">#REF!</definedName>
    <definedName name="CF17_Attr_OthBnk_90D_Am_USD">#REF!</definedName>
    <definedName name="CF17_Attr_OthBnk_90D_I_AMD" localSheetId="5">#REF!</definedName>
    <definedName name="CF17_Attr_OthBnk_90D_I_AMD">#REF!</definedName>
    <definedName name="CF17_Attr_OthBnk_90D_I_EUR" localSheetId="5">#REF!</definedName>
    <definedName name="CF17_Attr_OthBnk_90D_I_EUR">#REF!</definedName>
    <definedName name="CF17_Attr_OthBnk_90D_I_OthC" localSheetId="5">#REF!</definedName>
    <definedName name="CF17_Attr_OthBnk_90D_I_OthC">#REF!</definedName>
    <definedName name="CF17_Attr_OthBnk_90D_I_RUR" localSheetId="5">#REF!</definedName>
    <definedName name="CF17_Attr_OthBnk_90D_I_RUR">#REF!</definedName>
    <definedName name="CF17_Attr_OthBnk_90D_I_USD" localSheetId="5">#REF!</definedName>
    <definedName name="CF17_Attr_OthBnk_90D_I_USD">#REF!</definedName>
    <definedName name="CF17_Attr_OthBnk_Dem_Am_AMD" localSheetId="5">#REF!</definedName>
    <definedName name="CF17_Attr_OthBnk_Dem_Am_AMD">#REF!</definedName>
    <definedName name="CF17_Attr_OthBnk_Dem_Am_EUR" localSheetId="5">#REF!</definedName>
    <definedName name="CF17_Attr_OthBnk_Dem_Am_EUR">#REF!</definedName>
    <definedName name="CF17_Attr_OthBnk_Dem_Am_OthC" localSheetId="5">#REF!</definedName>
    <definedName name="CF17_Attr_OthBnk_Dem_Am_OthC">#REF!</definedName>
    <definedName name="CF17_Attr_OthBnk_Dem_Am_RUR" localSheetId="5">#REF!</definedName>
    <definedName name="CF17_Attr_OthBnk_Dem_Am_RUR">#REF!</definedName>
    <definedName name="CF17_Attr_OthBnk_Dem_Am_USD" localSheetId="5">#REF!</definedName>
    <definedName name="CF17_Attr_OthBnk_Dem_Am_USD">#REF!</definedName>
    <definedName name="CF17_Attr_OthBnk_Dem_I_AMD" localSheetId="5">#REF!</definedName>
    <definedName name="CF17_Attr_OthBnk_Dem_I_AMD">#REF!</definedName>
    <definedName name="CF17_Attr_OthBnk_Dem_I_EUR" localSheetId="5">#REF!</definedName>
    <definedName name="CF17_Attr_OthBnk_Dem_I_EUR">#REF!</definedName>
    <definedName name="CF17_Attr_OthBnk_Dem_I_OthC" localSheetId="5">#REF!</definedName>
    <definedName name="CF17_Attr_OthBnk_Dem_I_OthC">#REF!</definedName>
    <definedName name="CF17_Attr_OthBnk_Dem_I_RUR" localSheetId="5">#REF!</definedName>
    <definedName name="CF17_Attr_OthBnk_Dem_I_RUR">#REF!</definedName>
    <definedName name="CF17_Attr_OthBnk_Dem_I_USD" localSheetId="5">#REF!</definedName>
    <definedName name="CF17_Attr_OthBnk_Dem_I_USD">#REF!</definedName>
    <definedName name="CF17_Attr_OthBnk_Mr360D_Am_AMD" localSheetId="5">#REF!</definedName>
    <definedName name="CF17_Attr_OthBnk_Mr360D_Am_AMD">#REF!</definedName>
    <definedName name="CF17_Attr_OthBnk_Mr360D_Am_EUR" localSheetId="5">#REF!</definedName>
    <definedName name="CF17_Attr_OthBnk_Mr360D_Am_EUR">#REF!</definedName>
    <definedName name="CF17_Attr_OthBnk_Mr360D_Am_Oth" localSheetId="5">#REF!</definedName>
    <definedName name="CF17_Attr_OthBnk_Mr360D_Am_Oth">#REF!</definedName>
    <definedName name="CF17_Attr_OthBnk_Mr360D_Am_RUR" localSheetId="5">#REF!</definedName>
    <definedName name="CF17_Attr_OthBnk_Mr360D_Am_RUR">#REF!</definedName>
    <definedName name="CF17_Attr_OthBnk_Mr360D_Am_USD" localSheetId="5">#REF!</definedName>
    <definedName name="CF17_Attr_OthBnk_Mr360D_Am_USD">#REF!</definedName>
    <definedName name="CF17_Attr_OthBnk_Mr360D_I_AMD" localSheetId="5">#REF!</definedName>
    <definedName name="CF17_Attr_OthBnk_Mr360D_I_AMD">#REF!</definedName>
    <definedName name="CF17_Attr_OthBnk_Mr360D_I_EUR" localSheetId="5">#REF!</definedName>
    <definedName name="CF17_Attr_OthBnk_Mr360D_I_EUR">#REF!</definedName>
    <definedName name="CF17_Attr_OthBnk_Mr360D_I_OthC" localSheetId="5">#REF!</definedName>
    <definedName name="CF17_Attr_OthBnk_Mr360D_I_OthC">#REF!</definedName>
    <definedName name="CF17_Attr_OthBnk_Mr360D_I_RUR" localSheetId="5">#REF!</definedName>
    <definedName name="CF17_Attr_OthBnk_Mr360D_I_RUR">#REF!</definedName>
    <definedName name="CF17_Attr_OthBnk_Mr360D_I_USD" localSheetId="5">#REF!</definedName>
    <definedName name="CF17_Attr_OthBnk_Mr360D_I_USD">#REF!</definedName>
    <definedName name="CF17_Attr_RRepo_15D_Am_ABnk" localSheetId="5">#REF!</definedName>
    <definedName name="CF17_Attr_RRepo_15D_Am_ABnk">#REF!</definedName>
    <definedName name="CF17_Attr_RRepo_15D_Am_Bus" localSheetId="5">#REF!</definedName>
    <definedName name="CF17_Attr_RRepo_15D_Am_Bus">#REF!</definedName>
    <definedName name="CF17_Attr_RRepo_15D_Am_Ind" localSheetId="5">#REF!</definedName>
    <definedName name="CF17_Attr_RRepo_15D_Am_Ind">#REF!</definedName>
    <definedName name="CF17_Attr_RRepo_15D_Am_OthBn" localSheetId="5">#REF!</definedName>
    <definedName name="CF17_Attr_RRepo_15D_Am_OthBn">#REF!</definedName>
    <definedName name="CF17_Attr_RRepo_15D_I_ABnk" localSheetId="5">#REF!</definedName>
    <definedName name="CF17_Attr_RRepo_15D_I_ABnk">#REF!</definedName>
    <definedName name="CF17_Attr_RRepo_15D_I_Bus" localSheetId="5">#REF!</definedName>
    <definedName name="CF17_Attr_RRepo_15D_I_Bus">#REF!</definedName>
    <definedName name="CF17_Attr_RRepo_15D_I_Ind" localSheetId="5">#REF!</definedName>
    <definedName name="CF17_Attr_RRepo_15D_I_Ind">#REF!</definedName>
    <definedName name="CF17_Attr_RRepo_15D_I_OthBn" localSheetId="5">#REF!</definedName>
    <definedName name="CF17_Attr_RRepo_15D_I_OthBn">#REF!</definedName>
    <definedName name="CF17_Attr_RRepo_180D_Am_ABnk" localSheetId="5">#REF!</definedName>
    <definedName name="CF17_Attr_RRepo_180D_Am_ABnk">#REF!</definedName>
    <definedName name="CF17_Attr_RRepo_180D_Am_Bus" localSheetId="5">#REF!</definedName>
    <definedName name="CF17_Attr_RRepo_180D_Am_Bus">#REF!</definedName>
    <definedName name="CF17_Attr_RRepo_180D_Am_Ind" localSheetId="5">#REF!</definedName>
    <definedName name="CF17_Attr_RRepo_180D_Am_Ind">#REF!</definedName>
    <definedName name="CF17_Attr_RRepo_180D_Am_OthBn" localSheetId="5">#REF!</definedName>
    <definedName name="CF17_Attr_RRepo_180D_Am_OthBn">#REF!</definedName>
    <definedName name="CF17_Attr_RRepo_180D_I_ABnk" localSheetId="5">#REF!</definedName>
    <definedName name="CF17_Attr_RRepo_180D_I_ABnk">#REF!</definedName>
    <definedName name="CF17_Attr_RRepo_180D_I_Bus" localSheetId="5">#REF!</definedName>
    <definedName name="CF17_Attr_RRepo_180D_I_Bus">#REF!</definedName>
    <definedName name="CF17_Attr_RRepo_180D_I_Ind" localSheetId="5">#REF!</definedName>
    <definedName name="CF17_Attr_RRepo_180D_I_Ind">#REF!</definedName>
    <definedName name="CF17_Attr_RRepo_180D_I_OthBn" localSheetId="5">#REF!</definedName>
    <definedName name="CF17_Attr_RRepo_180D_I_OthBn">#REF!</definedName>
    <definedName name="CF17_Attr_RRepo_30D_Am_ABnk" localSheetId="5">#REF!</definedName>
    <definedName name="CF17_Attr_RRepo_30D_Am_ABnk">#REF!</definedName>
    <definedName name="CF17_Attr_RRepo_30D_Am_Bus" localSheetId="5">#REF!</definedName>
    <definedName name="CF17_Attr_RRepo_30D_Am_Bus">#REF!</definedName>
    <definedName name="CF17_Attr_RRepo_30D_Am_Ind" localSheetId="5">#REF!</definedName>
    <definedName name="CF17_Attr_RRepo_30D_Am_Ind">#REF!</definedName>
    <definedName name="CF17_Attr_RRepo_30D_Am_OthBn" localSheetId="5">#REF!</definedName>
    <definedName name="CF17_Attr_RRepo_30D_Am_OthBn">#REF!</definedName>
    <definedName name="CF17_Attr_RRepo_30D_I_ABnk" localSheetId="5">#REF!</definedName>
    <definedName name="CF17_Attr_RRepo_30D_I_ABnk">#REF!</definedName>
    <definedName name="CF17_Attr_RRepo_30D_I_Bus" localSheetId="5">#REF!</definedName>
    <definedName name="CF17_Attr_RRepo_30D_I_Bus">#REF!</definedName>
    <definedName name="CF17_Attr_RRepo_30D_I_Ind" localSheetId="5">#REF!</definedName>
    <definedName name="CF17_Attr_RRepo_30D_I_Ind">#REF!</definedName>
    <definedName name="CF17_Attr_RRepo_30D_I_OthBn" localSheetId="5">#REF!</definedName>
    <definedName name="CF17_Attr_RRepo_30D_I_OthBn">#REF!</definedName>
    <definedName name="CF17_Attr_RRepo_360D_Am_ABnk" localSheetId="5">#REF!</definedName>
    <definedName name="CF17_Attr_RRepo_360D_Am_ABnk">#REF!</definedName>
    <definedName name="CF17_Attr_RRepo_360D_Am_Bus" localSheetId="5">#REF!</definedName>
    <definedName name="CF17_Attr_RRepo_360D_Am_Bus">#REF!</definedName>
    <definedName name="CF17_Attr_RRepo_360D_Am_Ind" localSheetId="5">#REF!</definedName>
    <definedName name="CF17_Attr_RRepo_360D_Am_Ind">#REF!</definedName>
    <definedName name="CF17_Attr_RRepo_360D_Am_OthBn" localSheetId="5">#REF!</definedName>
    <definedName name="CF17_Attr_RRepo_360D_Am_OthBn">#REF!</definedName>
    <definedName name="CF17_Attr_RRepo_360D_I_ABnk" localSheetId="5">#REF!</definedName>
    <definedName name="CF17_Attr_RRepo_360D_I_ABnk">#REF!</definedName>
    <definedName name="CF17_Attr_RRepo_360D_I_Bus" localSheetId="5">#REF!</definedName>
    <definedName name="CF17_Attr_RRepo_360D_I_Bus">#REF!</definedName>
    <definedName name="CF17_Attr_RRepo_360D_I_Ind" localSheetId="5">#REF!</definedName>
    <definedName name="CF17_Attr_RRepo_360D_I_Ind">#REF!</definedName>
    <definedName name="CF17_Attr_RRepo_360D_I_OthBn" localSheetId="5">#REF!</definedName>
    <definedName name="CF17_Attr_RRepo_360D_I_OthBn">#REF!</definedName>
    <definedName name="CF17_Attr_RRepo_60D_Am_ABnk" localSheetId="5">#REF!</definedName>
    <definedName name="CF17_Attr_RRepo_60D_Am_ABnk">#REF!</definedName>
    <definedName name="CF17_Attr_RRepo_60D_Am_Bus" localSheetId="5">#REF!</definedName>
    <definedName name="CF17_Attr_RRepo_60D_Am_Bus">#REF!</definedName>
    <definedName name="CF17_Attr_RRepo_60D_Am_Ind" localSheetId="5">#REF!</definedName>
    <definedName name="CF17_Attr_RRepo_60D_Am_Ind">#REF!</definedName>
    <definedName name="CF17_Attr_RRepo_60D_Am_OthBn" localSheetId="5">#REF!</definedName>
    <definedName name="CF17_Attr_RRepo_60D_Am_OthBn">#REF!</definedName>
    <definedName name="CF17_Attr_RRepo_60D_I_ABnk" localSheetId="5">#REF!</definedName>
    <definedName name="CF17_Attr_RRepo_60D_I_ABnk">#REF!</definedName>
    <definedName name="CF17_Attr_RRepo_60D_I_Bus" localSheetId="5">#REF!</definedName>
    <definedName name="CF17_Attr_RRepo_60D_I_Bus">#REF!</definedName>
    <definedName name="CF17_Attr_RRepo_60D_I_Ind" localSheetId="5">#REF!</definedName>
    <definedName name="CF17_Attr_RRepo_60D_I_Ind">#REF!</definedName>
    <definedName name="CF17_Attr_RRepo_60D_I_OthBn" localSheetId="5">#REF!</definedName>
    <definedName name="CF17_Attr_RRepo_60D_I_OthBn">#REF!</definedName>
    <definedName name="CF17_Attr_RRepo_90D_Am_ABnk" localSheetId="5">#REF!</definedName>
    <definedName name="CF17_Attr_RRepo_90D_Am_ABnk">#REF!</definedName>
    <definedName name="CF17_Attr_RRepo_90D_Am_Bus" localSheetId="5">#REF!</definedName>
    <definedName name="CF17_Attr_RRepo_90D_Am_Bus">#REF!</definedName>
    <definedName name="CF17_Attr_RRepo_90D_Am_Ind" localSheetId="5">#REF!</definedName>
    <definedName name="CF17_Attr_RRepo_90D_Am_Ind">#REF!</definedName>
    <definedName name="CF17_Attr_RRepo_90D_Am_OthBn" localSheetId="5">#REF!</definedName>
    <definedName name="CF17_Attr_RRepo_90D_Am_OthBn">#REF!</definedName>
    <definedName name="CF17_Attr_RRepo_90D_I_ABnk" localSheetId="5">#REF!</definedName>
    <definedName name="CF17_Attr_RRepo_90D_I_ABnk">#REF!</definedName>
    <definedName name="CF17_Attr_RRepo_90D_I_Bus" localSheetId="5">#REF!</definedName>
    <definedName name="CF17_Attr_RRepo_90D_I_Bus">#REF!</definedName>
    <definedName name="CF17_Attr_RRepo_90D_I_Ind" localSheetId="5">#REF!</definedName>
    <definedName name="CF17_Attr_RRepo_90D_I_Ind">#REF!</definedName>
    <definedName name="CF17_Attr_RRepo_90D_I_OthBn" localSheetId="5">#REF!</definedName>
    <definedName name="CF17_Attr_RRepo_90D_I_OthBn">#REF!</definedName>
    <definedName name="CF17_Attr_RRepo_Dem_Am_ABnk" localSheetId="5">#REF!</definedName>
    <definedName name="CF17_Attr_RRepo_Dem_Am_ABnk">#REF!</definedName>
    <definedName name="CF17_Attr_RRepo_Dem_Am_Bus" localSheetId="5">#REF!</definedName>
    <definedName name="CF17_Attr_RRepo_Dem_Am_Bus">#REF!</definedName>
    <definedName name="CF17_Attr_RRepo_Dem_Am_Ind" localSheetId="5">#REF!</definedName>
    <definedName name="CF17_Attr_RRepo_Dem_Am_Ind">#REF!</definedName>
    <definedName name="CF17_Attr_RRepo_Dem_Am_OthBn" localSheetId="5">#REF!</definedName>
    <definedName name="CF17_Attr_RRepo_Dem_Am_OthBn">#REF!</definedName>
    <definedName name="CF17_Attr_RRepo_Dem_I_ABnk" localSheetId="5">#REF!</definedName>
    <definedName name="CF17_Attr_RRepo_Dem_I_ABnk">#REF!</definedName>
    <definedName name="CF17_Attr_RRepo_Dem_I_Bus" localSheetId="5">#REF!</definedName>
    <definedName name="CF17_Attr_RRepo_Dem_I_Bus">#REF!</definedName>
    <definedName name="CF17_Attr_RRepo_Dem_I_Ind" localSheetId="5">#REF!</definedName>
    <definedName name="CF17_Attr_RRepo_Dem_I_Ind">#REF!</definedName>
    <definedName name="CF17_Attr_RRepo_Dem_I_OthBn" localSheetId="5">#REF!</definedName>
    <definedName name="CF17_Attr_RRepo_Dem_I_OthBn">#REF!</definedName>
    <definedName name="CF17_Attr_RRepo_Mr360D_Am_ABnk" localSheetId="5">#REF!</definedName>
    <definedName name="CF17_Attr_RRepo_Mr360D_Am_ABnk">#REF!</definedName>
    <definedName name="CF17_Attr_RRepo_Mr360D_Am_Bus" localSheetId="5">#REF!</definedName>
    <definedName name="CF17_Attr_RRepo_Mr360D_Am_Bus">#REF!</definedName>
    <definedName name="CF17_Attr_RRepo_Mr360D_Am_Ind" localSheetId="5">#REF!</definedName>
    <definedName name="CF17_Attr_RRepo_Mr360D_Am_Ind">#REF!</definedName>
    <definedName name="CF17_Attr_RRepo_Mr360D_Am_OthB" localSheetId="5">#REF!</definedName>
    <definedName name="CF17_Attr_RRepo_Mr360D_Am_OthB">#REF!</definedName>
    <definedName name="CF17_Attr_RRepo_Mr360D_I_ABnk" localSheetId="5">#REF!</definedName>
    <definedName name="CF17_Attr_RRepo_Mr360D_I_ABnk">#REF!</definedName>
    <definedName name="CF17_Attr_RRepo_Mr360D_I_Bus" localSheetId="5">#REF!</definedName>
    <definedName name="CF17_Attr_RRepo_Mr360D_I_Bus">#REF!</definedName>
    <definedName name="CF17_Attr_RRepo_Mr360D_I_Ind" localSheetId="5">#REF!</definedName>
    <definedName name="CF17_Attr_RRepo_Mr360D_I_Ind">#REF!</definedName>
    <definedName name="CF17_Attr_RRepo_Mr360D_I_OthBn" localSheetId="5">#REF!</definedName>
    <definedName name="CF17_Attr_RRepo_Mr360D_I_OthBn">#REF!</definedName>
    <definedName name="CF17_Attr_RRepoF_Mr360D_Am" localSheetId="5">#REF!</definedName>
    <definedName name="CF17_Attr_RRepoF_Mr360D_Am">#REF!</definedName>
    <definedName name="CF17_Attr_RRepoFX_15D_Am" localSheetId="5">#REF!</definedName>
    <definedName name="CF17_Attr_RRepoFX_15D_Am">#REF!</definedName>
    <definedName name="CF17_Attr_RRepoFX_15D_I" localSheetId="5">#REF!</definedName>
    <definedName name="CF17_Attr_RRepoFX_15D_I">#REF!</definedName>
    <definedName name="CF17_Attr_RRepoFX_180D_Am" localSheetId="5">#REF!</definedName>
    <definedName name="CF17_Attr_RRepoFX_180D_Am">#REF!</definedName>
    <definedName name="CF17_Attr_RRepoFX_180D_I" localSheetId="5">#REF!</definedName>
    <definedName name="CF17_Attr_RRepoFX_180D_I">#REF!</definedName>
    <definedName name="CF17_Attr_RRepoFX_30D_Am" localSheetId="5">#REF!</definedName>
    <definedName name="CF17_Attr_RRepoFX_30D_Am">#REF!</definedName>
    <definedName name="CF17_Attr_RRepoFX_30D_I" localSheetId="5">#REF!</definedName>
    <definedName name="CF17_Attr_RRepoFX_30D_I">#REF!</definedName>
    <definedName name="CF17_Attr_RRepoFX_360D_Am" localSheetId="5">#REF!</definedName>
    <definedName name="CF17_Attr_RRepoFX_360D_Am">#REF!</definedName>
    <definedName name="CF17_Attr_RRepoFX_360D_I" localSheetId="5">#REF!</definedName>
    <definedName name="CF17_Attr_RRepoFX_360D_I">#REF!</definedName>
    <definedName name="CF17_Attr_RRepoFX_60D_Am" localSheetId="5">#REF!</definedName>
    <definedName name="CF17_Attr_RRepoFX_60D_Am">#REF!</definedName>
    <definedName name="CF17_Attr_RRepoFX_60D_I" localSheetId="5">#REF!</definedName>
    <definedName name="CF17_Attr_RRepoFX_60D_I">#REF!</definedName>
    <definedName name="CF17_Attr_RRepoFX_90D_Am" localSheetId="5">#REF!</definedName>
    <definedName name="CF17_Attr_RRepoFX_90D_Am">#REF!</definedName>
    <definedName name="CF17_Attr_RRepoFX_90D_I" localSheetId="5">#REF!</definedName>
    <definedName name="CF17_Attr_RRepoFX_90D_I">#REF!</definedName>
    <definedName name="CF17_Attr_RRepoFX_Dem_Am" localSheetId="5">#REF!</definedName>
    <definedName name="CF17_Attr_RRepoFX_Dem_Am">#REF!</definedName>
    <definedName name="CF17_Attr_RRepoFX_Dem_I" localSheetId="5">#REF!</definedName>
    <definedName name="CF17_Attr_RRepoFX_Dem_I">#REF!</definedName>
    <definedName name="CF17_Attr_RRepoFX_Mr360D_I" localSheetId="5">#REF!</definedName>
    <definedName name="CF17_Attr_RRepoFX_Mr360D_I">#REF!</definedName>
    <definedName name="CF17_Tot_15D_Am_AMD" localSheetId="5">#REF!</definedName>
    <definedName name="CF17_Tot_15D_Am_AMD">#REF!</definedName>
    <definedName name="CF17_Tot_15D_Am_EUR" localSheetId="5">#REF!</definedName>
    <definedName name="CF17_Tot_15D_Am_EUR">#REF!</definedName>
    <definedName name="CF17_Tot_15D_Am_OthC" localSheetId="5">#REF!</definedName>
    <definedName name="CF17_Tot_15D_Am_OthC">#REF!</definedName>
    <definedName name="CF17_Tot_15D_Am_RUR" localSheetId="5">#REF!</definedName>
    <definedName name="CF17_Tot_15D_Am_RUR">#REF!</definedName>
    <definedName name="CF17_Tot_15D_Am_USD" localSheetId="5">#REF!</definedName>
    <definedName name="CF17_Tot_15D_Am_USD">#REF!</definedName>
    <definedName name="CF17_Tot_15D_I_AMD" localSheetId="5">#REF!</definedName>
    <definedName name="CF17_Tot_15D_I_AMD">#REF!</definedName>
    <definedName name="CF17_Tot_15D_I_EUR" localSheetId="5">#REF!</definedName>
    <definedName name="CF17_Tot_15D_I_EUR">#REF!</definedName>
    <definedName name="CF17_Tot_15D_I_OthC" localSheetId="5">#REF!</definedName>
    <definedName name="CF17_Tot_15D_I_OthC">#REF!</definedName>
    <definedName name="CF17_Tot_15D_I_RUR" localSheetId="5">#REF!</definedName>
    <definedName name="CF17_Tot_15D_I_RUR">#REF!</definedName>
    <definedName name="CF17_Tot_15D_I_USD" localSheetId="5">#REF!</definedName>
    <definedName name="CF17_Tot_15D_I_USD">#REF!</definedName>
    <definedName name="CF17_Tot_180D_Am_AMD" localSheetId="5">#REF!</definedName>
    <definedName name="CF17_Tot_180D_Am_AMD">#REF!</definedName>
    <definedName name="CF17_Tot_180D_Am_EUR" localSheetId="5">#REF!</definedName>
    <definedName name="CF17_Tot_180D_Am_EUR">#REF!</definedName>
    <definedName name="CF17_Tot_180D_Am_OthC" localSheetId="5">#REF!</definedName>
    <definedName name="CF17_Tot_180D_Am_OthC">#REF!</definedName>
    <definedName name="CF17_Tot_180D_Am_RUR" localSheetId="5">#REF!</definedName>
    <definedName name="CF17_Tot_180D_Am_RUR">#REF!</definedName>
    <definedName name="CF17_Tot_180D_Am_USD" localSheetId="5">#REF!</definedName>
    <definedName name="CF17_Tot_180D_Am_USD">#REF!</definedName>
    <definedName name="CF17_Tot_180D_I_AMD" localSheetId="5">#REF!</definedName>
    <definedName name="CF17_Tot_180D_I_AMD">#REF!</definedName>
    <definedName name="CF17_Tot_180D_I_EUR" localSheetId="5">#REF!</definedName>
    <definedName name="CF17_Tot_180D_I_EUR">#REF!</definedName>
    <definedName name="CF17_Tot_180D_I_OthC" localSheetId="5">#REF!</definedName>
    <definedName name="CF17_Tot_180D_I_OthC">#REF!</definedName>
    <definedName name="CF17_Tot_180D_I_RUR" localSheetId="5">#REF!</definedName>
    <definedName name="CF17_Tot_180D_I_RUR">#REF!</definedName>
    <definedName name="CF17_Tot_180D_I_USD" localSheetId="5">#REF!</definedName>
    <definedName name="CF17_Tot_180D_I_USD">#REF!</definedName>
    <definedName name="CF17_Tot_30D_Am_AMD" localSheetId="5">#REF!</definedName>
    <definedName name="CF17_Tot_30D_Am_AMD">#REF!</definedName>
    <definedName name="CF17_Tot_30D_Am_EUR" localSheetId="5">#REF!</definedName>
    <definedName name="CF17_Tot_30D_Am_EUR">#REF!</definedName>
    <definedName name="CF17_Tot_30D_Am_OthC" localSheetId="5">#REF!</definedName>
    <definedName name="CF17_Tot_30D_Am_OthC">#REF!</definedName>
    <definedName name="CF17_Tot_30D_Am_RUR" localSheetId="5">#REF!</definedName>
    <definedName name="CF17_Tot_30D_Am_RUR">#REF!</definedName>
    <definedName name="CF17_Tot_30D_Am_USD" localSheetId="5">#REF!</definedName>
    <definedName name="CF17_Tot_30D_Am_USD">#REF!</definedName>
    <definedName name="CF17_Tot_30D_I_AMD" localSheetId="5">#REF!</definedName>
    <definedName name="CF17_Tot_30D_I_AMD">#REF!</definedName>
    <definedName name="CF17_Tot_30D_I_EUR" localSheetId="5">#REF!</definedName>
    <definedName name="CF17_Tot_30D_I_EUR">#REF!</definedName>
    <definedName name="CF17_Tot_30D_I_OthC" localSheetId="5">#REF!</definedName>
    <definedName name="CF17_Tot_30D_I_OthC">#REF!</definedName>
    <definedName name="CF17_Tot_30D_I_RUR" localSheetId="5">#REF!</definedName>
    <definedName name="CF17_Tot_30D_I_RUR">#REF!</definedName>
    <definedName name="CF17_Tot_30D_I_USD" localSheetId="5">#REF!</definedName>
    <definedName name="CF17_Tot_30D_I_USD">#REF!</definedName>
    <definedName name="CF17_Tot_360D_Am_AMD" localSheetId="5">#REF!</definedName>
    <definedName name="CF17_Tot_360D_Am_AMD">#REF!</definedName>
    <definedName name="CF17_Tot_360D_Am_EUR" localSheetId="5">#REF!</definedName>
    <definedName name="CF17_Tot_360D_Am_EUR">#REF!</definedName>
    <definedName name="CF17_Tot_360D_Am_OthC" localSheetId="5">#REF!</definedName>
    <definedName name="CF17_Tot_360D_Am_OthC">#REF!</definedName>
    <definedName name="CF17_Tot_360D_Am_RUR" localSheetId="5">#REF!</definedName>
    <definedName name="CF17_Tot_360D_Am_RUR">#REF!</definedName>
    <definedName name="CF17_Tot_360D_Am_USD" localSheetId="5">#REF!</definedName>
    <definedName name="CF17_Tot_360D_Am_USD">#REF!</definedName>
    <definedName name="CF17_Tot_360D_I_AMD" localSheetId="5">#REF!</definedName>
    <definedName name="CF17_Tot_360D_I_AMD">#REF!</definedName>
    <definedName name="CF17_Tot_360D_I_EUR" localSheetId="5">#REF!</definedName>
    <definedName name="CF17_Tot_360D_I_EUR">#REF!</definedName>
    <definedName name="CF17_Tot_360D_I_OthC" localSheetId="5">#REF!</definedName>
    <definedName name="CF17_Tot_360D_I_OthC">#REF!</definedName>
    <definedName name="CF17_Tot_360D_I_RUR" localSheetId="5">#REF!</definedName>
    <definedName name="CF17_Tot_360D_I_RUR">#REF!</definedName>
    <definedName name="CF17_Tot_360D_I_USD" localSheetId="5">#REF!</definedName>
    <definedName name="CF17_Tot_360D_I_USD">#REF!</definedName>
    <definedName name="CF17_Tot_60D_Am_AMD" localSheetId="5">#REF!</definedName>
    <definedName name="CF17_Tot_60D_Am_AMD">#REF!</definedName>
    <definedName name="CF17_Tot_60D_Am_EUR" localSheetId="5">#REF!</definedName>
    <definedName name="CF17_Tot_60D_Am_EUR">#REF!</definedName>
    <definedName name="CF17_Tot_60D_Am_OthC" localSheetId="5">#REF!</definedName>
    <definedName name="CF17_Tot_60D_Am_OthC">#REF!</definedName>
    <definedName name="CF17_Tot_60D_Am_RUR" localSheetId="5">#REF!</definedName>
    <definedName name="CF17_Tot_60D_Am_RUR">#REF!</definedName>
    <definedName name="CF17_Tot_60D_Am_USD" localSheetId="5">#REF!</definedName>
    <definedName name="CF17_Tot_60D_Am_USD">#REF!</definedName>
    <definedName name="CF17_Tot_60D_I_AMD" localSheetId="5">#REF!</definedName>
    <definedName name="CF17_Tot_60D_I_AMD">#REF!</definedName>
    <definedName name="CF17_Tot_60D_I_EUR" localSheetId="5">#REF!</definedName>
    <definedName name="CF17_Tot_60D_I_EUR">#REF!</definedName>
    <definedName name="CF17_Tot_60D_I_OthC" localSheetId="5">#REF!</definedName>
    <definedName name="CF17_Tot_60D_I_OthC">#REF!</definedName>
    <definedName name="CF17_Tot_60D_I_RUR" localSheetId="5">#REF!</definedName>
    <definedName name="CF17_Tot_60D_I_RUR">#REF!</definedName>
    <definedName name="CF17_Tot_60D_I_USD" localSheetId="5">#REF!</definedName>
    <definedName name="CF17_Tot_60D_I_USD">#REF!</definedName>
    <definedName name="CF17_Tot_90D_Am_AMD" localSheetId="5">#REF!</definedName>
    <definedName name="CF17_Tot_90D_Am_AMD">#REF!</definedName>
    <definedName name="CF17_Tot_90D_Am_EUR" localSheetId="5">#REF!</definedName>
    <definedName name="CF17_Tot_90D_Am_EUR">#REF!</definedName>
    <definedName name="CF17_Tot_90D_Am_OthC" localSheetId="5">#REF!</definedName>
    <definedName name="CF17_Tot_90D_Am_OthC">#REF!</definedName>
    <definedName name="CF17_Tot_90D_Am_RUR" localSheetId="5">#REF!</definedName>
    <definedName name="CF17_Tot_90D_Am_RUR">#REF!</definedName>
    <definedName name="CF17_Tot_90D_Am_USD" localSheetId="5">#REF!</definedName>
    <definedName name="CF17_Tot_90D_Am_USD">#REF!</definedName>
    <definedName name="CF17_Tot_90D_I_AMD" localSheetId="5">#REF!</definedName>
    <definedName name="CF17_Tot_90D_I_AMD">#REF!</definedName>
    <definedName name="CF17_Tot_90D_I_EUR" localSheetId="5">#REF!</definedName>
    <definedName name="CF17_Tot_90D_I_EUR">#REF!</definedName>
    <definedName name="CF17_Tot_90D_I_OthC" localSheetId="5">#REF!</definedName>
    <definedName name="CF17_Tot_90D_I_OthC">#REF!</definedName>
    <definedName name="CF17_Tot_90D_I_RUR" localSheetId="5">#REF!</definedName>
    <definedName name="CF17_Tot_90D_I_RUR">#REF!</definedName>
    <definedName name="CF17_Tot_90D_I_USD" localSheetId="5">#REF!</definedName>
    <definedName name="CF17_Tot_90D_I_USD">#REF!</definedName>
    <definedName name="CF17_Tot_Dem_Am_AMD" localSheetId="5">#REF!</definedName>
    <definedName name="CF17_Tot_Dem_Am_AMD">#REF!</definedName>
    <definedName name="CF17_Tot_Dem_Am_EUR" localSheetId="5">#REF!</definedName>
    <definedName name="CF17_Tot_Dem_Am_EUR">#REF!</definedName>
    <definedName name="CF17_Tot_Dem_Am_OthC" localSheetId="5">#REF!</definedName>
    <definedName name="CF17_Tot_Dem_Am_OthC">#REF!</definedName>
    <definedName name="CF17_Tot_Dem_Am_RUR" localSheetId="5">#REF!</definedName>
    <definedName name="CF17_Tot_Dem_Am_RUR">#REF!</definedName>
    <definedName name="CF17_Tot_Dem_Am_USD" localSheetId="5">#REF!</definedName>
    <definedName name="CF17_Tot_Dem_Am_USD">#REF!</definedName>
    <definedName name="CF17_Tot_Dem_I_AMD" localSheetId="5">#REF!</definedName>
    <definedName name="CF17_Tot_Dem_I_AMD">#REF!</definedName>
    <definedName name="CF17_Tot_Dem_I_EUR" localSheetId="5">#REF!</definedName>
    <definedName name="CF17_Tot_Dem_I_EUR">#REF!</definedName>
    <definedName name="CF17_Tot_Dem_I_OthC" localSheetId="5">#REF!</definedName>
    <definedName name="CF17_Tot_Dem_I_OthC">#REF!</definedName>
    <definedName name="CF17_Tot_Dem_I_RUR" localSheetId="5">#REF!</definedName>
    <definedName name="CF17_Tot_Dem_I_RUR">#REF!</definedName>
    <definedName name="CF17_Tot_Dem_I_USD" localSheetId="5">#REF!</definedName>
    <definedName name="CF17_Tot_Dem_I_USD">#REF!</definedName>
    <definedName name="CF17_Tot_Mr360D_Am_AMD" localSheetId="5">#REF!</definedName>
    <definedName name="CF17_Tot_Mr360D_Am_AMD">#REF!</definedName>
    <definedName name="CF17_Tot_Mr360D_Am_EUR" localSheetId="5">#REF!</definedName>
    <definedName name="CF17_Tot_Mr360D_Am_EUR">#REF!</definedName>
    <definedName name="CF17_Tot_Mr360D_Am_OthC" localSheetId="5">#REF!</definedName>
    <definedName name="CF17_Tot_Mr360D_Am_OthC">#REF!</definedName>
    <definedName name="CF17_Tot_Mr360D_Am_RUR" localSheetId="5">#REF!</definedName>
    <definedName name="CF17_Tot_Mr360D_Am_RUR">#REF!</definedName>
    <definedName name="CF17_Tot_Mr360D_Am_USD" localSheetId="5">#REF!</definedName>
    <definedName name="CF17_Tot_Mr360D_Am_USD">#REF!</definedName>
    <definedName name="CF17_Tot_Mr360D_I_AMD" localSheetId="5">#REF!</definedName>
    <definedName name="CF17_Tot_Mr360D_I_AMD">#REF!</definedName>
    <definedName name="CF17_Tot_Mr360D_I_EUR" localSheetId="5">#REF!</definedName>
    <definedName name="CF17_Tot_Mr360D_I_EUR">#REF!</definedName>
    <definedName name="CF17_Tot_Mr360D_I_OthC" localSheetId="5">#REF!</definedName>
    <definedName name="CF17_Tot_Mr360D_I_OthC">#REF!</definedName>
    <definedName name="CF17_Tot_Mr360D_I_RUR" localSheetId="5">#REF!</definedName>
    <definedName name="CF17_Tot_Mr360D_I_RUR">#REF!</definedName>
    <definedName name="CF17_Tot_Mr360D_I_USD" localSheetId="5">#REF!</definedName>
    <definedName name="CF17_Tot_Mr360D_I_USD">#REF!</definedName>
    <definedName name="d" localSheetId="5">#REF!</definedName>
    <definedName name="d">#REF!</definedName>
    <definedName name="Date1" localSheetId="5">#REF!</definedName>
    <definedName name="Date1">#REF!</definedName>
    <definedName name="Date2" localSheetId="5">#REF!</definedName>
    <definedName name="Date2">#REF!</definedName>
    <definedName name="dddd" localSheetId="5">#REF!</definedName>
    <definedName name="dddd">#REF!</definedName>
    <definedName name="DF17_Alloc_ABnk_15D_Am_AMD" localSheetId="5">#REF!</definedName>
    <definedName name="DF17_Alloc_ABnk_15D_Am_AMD">#REF!</definedName>
    <definedName name="DF17_Alloc_ABnk_15D_Am_EUR" localSheetId="5">#REF!</definedName>
    <definedName name="DF17_Alloc_ABnk_15D_Am_EUR">#REF!</definedName>
    <definedName name="DF17_Alloc_ABnk_15D_Am_OthC" localSheetId="5">#REF!</definedName>
    <definedName name="DF17_Alloc_ABnk_15D_Am_OthC">#REF!</definedName>
    <definedName name="DF17_Alloc_ABnk_15D_Am_RUR" localSheetId="5">#REF!</definedName>
    <definedName name="DF17_Alloc_ABnk_15D_Am_RUR">#REF!</definedName>
    <definedName name="DF17_Alloc_ABnk_15D_Am_USD" localSheetId="5">#REF!</definedName>
    <definedName name="DF17_Alloc_ABnk_15D_Am_USD">#REF!</definedName>
    <definedName name="DF17_Alloc_ABnk_15D_I_AMD" localSheetId="5">#REF!</definedName>
    <definedName name="DF17_Alloc_ABnk_15D_I_AMD">#REF!</definedName>
    <definedName name="DF17_Alloc_ABnk_15D_I_EUR" localSheetId="5">#REF!</definedName>
    <definedName name="DF17_Alloc_ABnk_15D_I_EUR">#REF!</definedName>
    <definedName name="DF17_Alloc_ABnk_15D_I_OthC" localSheetId="5">#REF!</definedName>
    <definedName name="DF17_Alloc_ABnk_15D_I_OthC">#REF!</definedName>
    <definedName name="DF17_Alloc_ABnk_15D_I_RUR" localSheetId="5">#REF!</definedName>
    <definedName name="DF17_Alloc_ABnk_15D_I_RUR">#REF!</definedName>
    <definedName name="DF17_Alloc_ABnk_15D_I_USD" localSheetId="5">#REF!</definedName>
    <definedName name="DF17_Alloc_ABnk_15D_I_USD">#REF!</definedName>
    <definedName name="DF17_Alloc_ABnk_180D_Am_AMD" localSheetId="5">#REF!</definedName>
    <definedName name="DF17_Alloc_ABnk_180D_Am_AMD">#REF!</definedName>
    <definedName name="DF17_Alloc_ABnk_180D_Am_EUR" localSheetId="5">#REF!</definedName>
    <definedName name="DF17_Alloc_ABnk_180D_Am_EUR">#REF!</definedName>
    <definedName name="DF17_Alloc_ABnk_180D_Am_OthC" localSheetId="5">#REF!</definedName>
    <definedName name="DF17_Alloc_ABnk_180D_Am_OthC">#REF!</definedName>
    <definedName name="DF17_Alloc_ABnk_180D_Am_RUR" localSheetId="5">#REF!</definedName>
    <definedName name="DF17_Alloc_ABnk_180D_Am_RUR">#REF!</definedName>
    <definedName name="DF17_Alloc_ABnk_180D_Am_USD" localSheetId="5">#REF!</definedName>
    <definedName name="DF17_Alloc_ABnk_180D_Am_USD">#REF!</definedName>
    <definedName name="DF17_Alloc_ABnk_180D_I_AMD" localSheetId="5">#REF!</definedName>
    <definedName name="DF17_Alloc_ABnk_180D_I_AMD">#REF!</definedName>
    <definedName name="DF17_Alloc_ABnk_180D_I_EUR" localSheetId="5">#REF!</definedName>
    <definedName name="DF17_Alloc_ABnk_180D_I_EUR">#REF!</definedName>
    <definedName name="DF17_Alloc_ABnk_180D_I_OthC" localSheetId="5">#REF!</definedName>
    <definedName name="DF17_Alloc_ABnk_180D_I_OthC">#REF!</definedName>
    <definedName name="DF17_Alloc_ABnk_180D_I_RUR" localSheetId="5">#REF!</definedName>
    <definedName name="DF17_Alloc_ABnk_180D_I_RUR">#REF!</definedName>
    <definedName name="DF17_Alloc_ABnk_180D_I_USD" localSheetId="5">#REF!</definedName>
    <definedName name="DF17_Alloc_ABnk_180D_I_USD">#REF!</definedName>
    <definedName name="DF17_Alloc_ABnk_30D_Am_AMD" localSheetId="5">#REF!</definedName>
    <definedName name="DF17_Alloc_ABnk_30D_Am_AMD">#REF!</definedName>
    <definedName name="DF17_Alloc_ABnk_30D_Am_EUR" localSheetId="5">#REF!</definedName>
    <definedName name="DF17_Alloc_ABnk_30D_Am_EUR">#REF!</definedName>
    <definedName name="DF17_Alloc_ABnk_30D_Am_OthC" localSheetId="5">#REF!</definedName>
    <definedName name="DF17_Alloc_ABnk_30D_Am_OthC">#REF!</definedName>
    <definedName name="DF17_Alloc_ABnk_30D_Am_RUR" localSheetId="5">#REF!</definedName>
    <definedName name="DF17_Alloc_ABnk_30D_Am_RUR">#REF!</definedName>
    <definedName name="DF17_Alloc_ABnk_30D_Am_USD" localSheetId="5">#REF!</definedName>
    <definedName name="DF17_Alloc_ABnk_30D_Am_USD">#REF!</definedName>
    <definedName name="DF17_Alloc_ABnk_30D_I_AMD" localSheetId="5">#REF!</definedName>
    <definedName name="DF17_Alloc_ABnk_30D_I_AMD">#REF!</definedName>
    <definedName name="DF17_Alloc_ABnk_30D_I_EUR" localSheetId="5">#REF!</definedName>
    <definedName name="DF17_Alloc_ABnk_30D_I_EUR">#REF!</definedName>
    <definedName name="DF17_Alloc_ABnk_30D_I_OthC" localSheetId="5">#REF!</definedName>
    <definedName name="DF17_Alloc_ABnk_30D_I_OthC">#REF!</definedName>
    <definedName name="DF17_Alloc_ABnk_30D_I_RUR" localSheetId="5">#REF!</definedName>
    <definedName name="DF17_Alloc_ABnk_30D_I_RUR">#REF!</definedName>
    <definedName name="DF17_Alloc_ABnk_30D_I_USD" localSheetId="5">#REF!</definedName>
    <definedName name="DF17_Alloc_ABnk_30D_I_USD">#REF!</definedName>
    <definedName name="DF17_Alloc_ABnk_360D_Am_AMD" localSheetId="5">#REF!</definedName>
    <definedName name="DF17_Alloc_ABnk_360D_Am_AMD">#REF!</definedName>
    <definedName name="DF17_Alloc_ABnk_360D_Am_EUR" localSheetId="5">#REF!</definedName>
    <definedName name="DF17_Alloc_ABnk_360D_Am_EUR">#REF!</definedName>
    <definedName name="DF17_Alloc_ABnk_360D_Am_OthC" localSheetId="5">#REF!</definedName>
    <definedName name="DF17_Alloc_ABnk_360D_Am_OthC">#REF!</definedName>
    <definedName name="DF17_Alloc_ABnk_360D_Am_RUR" localSheetId="5">#REF!</definedName>
    <definedName name="DF17_Alloc_ABnk_360D_Am_RUR">#REF!</definedName>
    <definedName name="DF17_Alloc_ABnk_360D_Am_USD" localSheetId="5">#REF!</definedName>
    <definedName name="DF17_Alloc_ABnk_360D_Am_USD">#REF!</definedName>
    <definedName name="DF17_Alloc_ABnk_360D_I_AMD" localSheetId="5">#REF!</definedName>
    <definedName name="DF17_Alloc_ABnk_360D_I_AMD">#REF!</definedName>
    <definedName name="DF17_Alloc_ABnk_360D_I_EUR" localSheetId="5">#REF!</definedName>
    <definedName name="DF17_Alloc_ABnk_360D_I_EUR">#REF!</definedName>
    <definedName name="DF17_Alloc_ABnk_360D_I_OthC" localSheetId="5">#REF!</definedName>
    <definedName name="DF17_Alloc_ABnk_360D_I_OthC">#REF!</definedName>
    <definedName name="DF17_Alloc_ABnk_360D_I_RUR" localSheetId="5">#REF!</definedName>
    <definedName name="DF17_Alloc_ABnk_360D_I_RUR">#REF!</definedName>
    <definedName name="DF17_Alloc_ABnk_360D_I_USD" localSheetId="5">#REF!</definedName>
    <definedName name="DF17_Alloc_ABnk_360D_I_USD">#REF!</definedName>
    <definedName name="DF17_Alloc_ABnk_60D_Am_AMD" localSheetId="5">#REF!</definedName>
    <definedName name="DF17_Alloc_ABnk_60D_Am_AMD">#REF!</definedName>
    <definedName name="DF17_Alloc_ABnk_60D_Am_EUR" localSheetId="5">#REF!</definedName>
    <definedName name="DF17_Alloc_ABnk_60D_Am_EUR">#REF!</definedName>
    <definedName name="DF17_Alloc_ABnk_60D_Am_OthC" localSheetId="5">#REF!</definedName>
    <definedName name="DF17_Alloc_ABnk_60D_Am_OthC">#REF!</definedName>
    <definedName name="DF17_Alloc_ABnk_60D_Am_RUR" localSheetId="5">#REF!</definedName>
    <definedName name="DF17_Alloc_ABnk_60D_Am_RUR">#REF!</definedName>
    <definedName name="DF17_Alloc_ABnk_60D_Am_USD" localSheetId="5">#REF!</definedName>
    <definedName name="DF17_Alloc_ABnk_60D_Am_USD">#REF!</definedName>
    <definedName name="DF17_Alloc_ABnk_60D_I_AMD" localSheetId="5">#REF!</definedName>
    <definedName name="DF17_Alloc_ABnk_60D_I_AMD">#REF!</definedName>
    <definedName name="DF17_Alloc_ABnk_60D_I_EUR" localSheetId="5">#REF!</definedName>
    <definedName name="DF17_Alloc_ABnk_60D_I_EUR">#REF!</definedName>
    <definedName name="DF17_Alloc_ABnk_60D_I_OthC" localSheetId="5">#REF!</definedName>
    <definedName name="DF17_Alloc_ABnk_60D_I_OthC">#REF!</definedName>
    <definedName name="DF17_Alloc_ABnk_60D_I_RUR" localSheetId="5">#REF!</definedName>
    <definedName name="DF17_Alloc_ABnk_60D_I_RUR">#REF!</definedName>
    <definedName name="DF17_Alloc_ABnk_60D_I_USD" localSheetId="5">#REF!</definedName>
    <definedName name="DF17_Alloc_ABnk_60D_I_USD">#REF!</definedName>
    <definedName name="DF17_Alloc_ABnk_90D_Am_AMD" localSheetId="5">#REF!</definedName>
    <definedName name="DF17_Alloc_ABnk_90D_Am_AMD">#REF!</definedName>
    <definedName name="DF17_Alloc_ABnk_90D_Am_EUR" localSheetId="5">#REF!</definedName>
    <definedName name="DF17_Alloc_ABnk_90D_Am_EUR">#REF!</definedName>
    <definedName name="DF17_Alloc_ABnk_90D_Am_OthC" localSheetId="5">#REF!</definedName>
    <definedName name="DF17_Alloc_ABnk_90D_Am_OthC">#REF!</definedName>
    <definedName name="DF17_Alloc_ABnk_90D_Am_RUR" localSheetId="5">#REF!</definedName>
    <definedName name="DF17_Alloc_ABnk_90D_Am_RUR">#REF!</definedName>
    <definedName name="DF17_Alloc_ABnk_90D_Am_USD" localSheetId="5">#REF!</definedName>
    <definedName name="DF17_Alloc_ABnk_90D_Am_USD">#REF!</definedName>
    <definedName name="DF17_Alloc_ABnk_90D_I_AMD" localSheetId="5">#REF!</definedName>
    <definedName name="DF17_Alloc_ABnk_90D_I_AMD">#REF!</definedName>
    <definedName name="DF17_Alloc_ABnk_90D_I_EUR" localSheetId="5">#REF!</definedName>
    <definedName name="DF17_Alloc_ABnk_90D_I_EUR">#REF!</definedName>
    <definedName name="DF17_Alloc_ABnk_90D_I_OthC" localSheetId="5">#REF!</definedName>
    <definedName name="DF17_Alloc_ABnk_90D_I_OthC">#REF!</definedName>
    <definedName name="DF17_Alloc_ABnk_90D_I_RUR" localSheetId="5">#REF!</definedName>
    <definedName name="DF17_Alloc_ABnk_90D_I_RUR">#REF!</definedName>
    <definedName name="DF17_Alloc_ABnk_90D_I_USD" localSheetId="5">#REF!</definedName>
    <definedName name="DF17_Alloc_ABnk_90D_I_USD">#REF!</definedName>
    <definedName name="DF17_Alloc_ABnk_Dem_Am_AMD" localSheetId="5">#REF!</definedName>
    <definedName name="DF17_Alloc_ABnk_Dem_Am_AMD">#REF!</definedName>
    <definedName name="DF17_Alloc_ABnk_Dem_Am_EUR" localSheetId="5">#REF!</definedName>
    <definedName name="DF17_Alloc_ABnk_Dem_Am_EUR">#REF!</definedName>
    <definedName name="DF17_Alloc_ABnk_Dem_Am_OthC" localSheetId="5">#REF!</definedName>
    <definedName name="DF17_Alloc_ABnk_Dem_Am_OthC">#REF!</definedName>
    <definedName name="DF17_Alloc_ABnk_Dem_Am_RUR" localSheetId="5">#REF!</definedName>
    <definedName name="DF17_Alloc_ABnk_Dem_Am_RUR">#REF!</definedName>
    <definedName name="DF17_Alloc_ABnk_Dem_Am_USD" localSheetId="5">#REF!</definedName>
    <definedName name="DF17_Alloc_ABnk_Dem_Am_USD">#REF!</definedName>
    <definedName name="DF17_Alloc_ABnk_Dem_I_AMD" localSheetId="5">#REF!</definedName>
    <definedName name="DF17_Alloc_ABnk_Dem_I_AMD">#REF!</definedName>
    <definedName name="DF17_Alloc_ABnk_Dem_I_EUR" localSheetId="5">#REF!</definedName>
    <definedName name="DF17_Alloc_ABnk_Dem_I_EUR">#REF!</definedName>
    <definedName name="DF17_Alloc_ABnk_Dem_I_OthC" localSheetId="5">#REF!</definedName>
    <definedName name="DF17_Alloc_ABnk_Dem_I_OthC">#REF!</definedName>
    <definedName name="DF17_Alloc_ABnk_Dem_I_RUR" localSheetId="5">#REF!</definedName>
    <definedName name="DF17_Alloc_ABnk_Dem_I_RUR">#REF!</definedName>
    <definedName name="DF17_Alloc_ABnk_Dem_I_USD" localSheetId="5">#REF!</definedName>
    <definedName name="DF17_Alloc_ABnk_Dem_I_USD">#REF!</definedName>
    <definedName name="DF17_Alloc_ABnk_Mr360D_Am_AMD" localSheetId="5">#REF!</definedName>
    <definedName name="DF17_Alloc_ABnk_Mr360D_Am_AMD">#REF!</definedName>
    <definedName name="DF17_Alloc_ABnk_Mr360D_Am_EUR" localSheetId="5">#REF!</definedName>
    <definedName name="DF17_Alloc_ABnk_Mr360D_Am_EUR">#REF!</definedName>
    <definedName name="DF17_Alloc_ABnk_Mr360D_Am_OthC" localSheetId="5">#REF!</definedName>
    <definedName name="DF17_Alloc_ABnk_Mr360D_Am_OthC">#REF!</definedName>
    <definedName name="DF17_Alloc_ABnk_Mr360D_Am_RUR" localSheetId="5">#REF!</definedName>
    <definedName name="DF17_Alloc_ABnk_Mr360D_Am_RUR">#REF!</definedName>
    <definedName name="DF17_Alloc_ABnk_Mr360D_Am_USD" localSheetId="5">#REF!</definedName>
    <definedName name="DF17_Alloc_ABnk_Mr360D_Am_USD">#REF!</definedName>
    <definedName name="DF17_Alloc_ABnk_Mr360D_I_AMD" localSheetId="5">#REF!</definedName>
    <definedName name="DF17_Alloc_ABnk_Mr360D_I_AMD">#REF!</definedName>
    <definedName name="DF17_Alloc_ABnk_Mr360D_I_EUR" localSheetId="5">#REF!</definedName>
    <definedName name="DF17_Alloc_ABnk_Mr360D_I_EUR">#REF!</definedName>
    <definedName name="DF17_Alloc_ABnk_Mr360D_I_OthC" localSheetId="5">#REF!</definedName>
    <definedName name="DF17_Alloc_ABnk_Mr360D_I_OthC">#REF!</definedName>
    <definedName name="DF17_Alloc_ABnk_Mr360D_I_RUR" localSheetId="5">#REF!</definedName>
    <definedName name="DF17_Alloc_ABnk_Mr360D_I_RUR">#REF!</definedName>
    <definedName name="DF17_Alloc_ABnk_Mr360D_I_USD" localSheetId="5">#REF!</definedName>
    <definedName name="DF17_Alloc_ABnk_Mr360D_I_USD">#REF!</definedName>
    <definedName name="DF17_Alloc_Bus_15D_Am_AMD" localSheetId="5">#REF!</definedName>
    <definedName name="DF17_Alloc_Bus_15D_Am_AMD">#REF!</definedName>
    <definedName name="DF17_Alloc_Bus_15D_Am_EUR" localSheetId="5">#REF!</definedName>
    <definedName name="DF17_Alloc_Bus_15D_Am_EUR">#REF!</definedName>
    <definedName name="DF17_Alloc_Bus_15D_Am_OthC" localSheetId="5">#REF!</definedName>
    <definedName name="DF17_Alloc_Bus_15D_Am_OthC">#REF!</definedName>
    <definedName name="DF17_Alloc_Bus_15D_Am_RUR" localSheetId="5">#REF!</definedName>
    <definedName name="DF17_Alloc_Bus_15D_Am_RUR">#REF!</definedName>
    <definedName name="DF17_Alloc_Bus_15D_Am_USD" localSheetId="5">#REF!</definedName>
    <definedName name="DF17_Alloc_Bus_15D_Am_USD">#REF!</definedName>
    <definedName name="DF17_Alloc_Bus_15D_I_AMD" localSheetId="5">#REF!</definedName>
    <definedName name="DF17_Alloc_Bus_15D_I_AMD">#REF!</definedName>
    <definedName name="DF17_Alloc_Bus_15D_I_EUR" localSheetId="5">#REF!</definedName>
    <definedName name="DF17_Alloc_Bus_15D_I_EUR">#REF!</definedName>
    <definedName name="DF17_Alloc_Bus_15D_I_OthC" localSheetId="5">#REF!</definedName>
    <definedName name="DF17_Alloc_Bus_15D_I_OthC">#REF!</definedName>
    <definedName name="DF17_Alloc_Bus_15D_I_RUR" localSheetId="5">#REF!</definedName>
    <definedName name="DF17_Alloc_Bus_15D_I_RUR">#REF!</definedName>
    <definedName name="DF17_Alloc_Bus_15D_I_USD" localSheetId="5">#REF!</definedName>
    <definedName name="DF17_Alloc_Bus_15D_I_USD">#REF!</definedName>
    <definedName name="DF17_Alloc_Bus_180D_Am_AMD" localSheetId="5">#REF!</definedName>
    <definedName name="DF17_Alloc_Bus_180D_Am_AMD">#REF!</definedName>
    <definedName name="DF17_Alloc_Bus_180D_Am_EUR" localSheetId="5">#REF!</definedName>
    <definedName name="DF17_Alloc_Bus_180D_Am_EUR">#REF!</definedName>
    <definedName name="DF17_Alloc_Bus_180D_Am_OthC" localSheetId="5">#REF!</definedName>
    <definedName name="DF17_Alloc_Bus_180D_Am_OthC">#REF!</definedName>
    <definedName name="DF17_Alloc_Bus_180D_Am_RUR" localSheetId="5">#REF!</definedName>
    <definedName name="DF17_Alloc_Bus_180D_Am_RUR">#REF!</definedName>
    <definedName name="DF17_Alloc_Bus_180D_Am_USD" localSheetId="5">#REF!</definedName>
    <definedName name="DF17_Alloc_Bus_180D_Am_USD">#REF!</definedName>
    <definedName name="DF17_Alloc_Bus_180D_I_AMD" localSheetId="5">#REF!</definedName>
    <definedName name="DF17_Alloc_Bus_180D_I_AMD">#REF!</definedName>
    <definedName name="DF17_Alloc_Bus_180D_I_EUR" localSheetId="5">#REF!</definedName>
    <definedName name="DF17_Alloc_Bus_180D_I_EUR">#REF!</definedName>
    <definedName name="DF17_Alloc_Bus_180D_I_OthC" localSheetId="5">#REF!</definedName>
    <definedName name="DF17_Alloc_Bus_180D_I_OthC">#REF!</definedName>
    <definedName name="DF17_Alloc_Bus_180D_I_RUR" localSheetId="5">#REF!</definedName>
    <definedName name="DF17_Alloc_Bus_180D_I_RUR">#REF!</definedName>
    <definedName name="DF17_Alloc_Bus_180D_I_USD" localSheetId="5">#REF!</definedName>
    <definedName name="DF17_Alloc_Bus_180D_I_USD">#REF!</definedName>
    <definedName name="DF17_Alloc_Bus_30D_Am_AMD" localSheetId="5">#REF!</definedName>
    <definedName name="DF17_Alloc_Bus_30D_Am_AMD">#REF!</definedName>
    <definedName name="DF17_Alloc_Bus_30D_Am_EUR" localSheetId="5">#REF!</definedName>
    <definedName name="DF17_Alloc_Bus_30D_Am_EUR">#REF!</definedName>
    <definedName name="DF17_Alloc_Bus_30D_Am_OthC" localSheetId="5">#REF!</definedName>
    <definedName name="DF17_Alloc_Bus_30D_Am_OthC">#REF!</definedName>
    <definedName name="DF17_Alloc_Bus_30D_Am_RUR" localSheetId="5">#REF!</definedName>
    <definedName name="DF17_Alloc_Bus_30D_Am_RUR">#REF!</definedName>
    <definedName name="DF17_Alloc_Bus_30D_Am_USD" localSheetId="5">#REF!</definedName>
    <definedName name="DF17_Alloc_Bus_30D_Am_USD">#REF!</definedName>
    <definedName name="DF17_Alloc_Bus_30D_I_AMD" localSheetId="5">#REF!</definedName>
    <definedName name="DF17_Alloc_Bus_30D_I_AMD">#REF!</definedName>
    <definedName name="DF17_Alloc_Bus_30D_I_EUR" localSheetId="5">#REF!</definedName>
    <definedName name="DF17_Alloc_Bus_30D_I_EUR">#REF!</definedName>
    <definedName name="DF17_Alloc_Bus_30D_I_OthC" localSheetId="5">#REF!</definedName>
    <definedName name="DF17_Alloc_Bus_30D_I_OthC">#REF!</definedName>
    <definedName name="DF17_Alloc_Bus_30D_I_RUR" localSheetId="5">#REF!</definedName>
    <definedName name="DF17_Alloc_Bus_30D_I_RUR">#REF!</definedName>
    <definedName name="DF17_Alloc_Bus_30D_I_USD" localSheetId="5">#REF!</definedName>
    <definedName name="DF17_Alloc_Bus_30D_I_USD">#REF!</definedName>
    <definedName name="DF17_Alloc_Bus_360D_Am_AMD" localSheetId="5">#REF!</definedName>
    <definedName name="DF17_Alloc_Bus_360D_Am_AMD">#REF!</definedName>
    <definedName name="DF17_Alloc_Bus_360D_Am_EUR" localSheetId="5">#REF!</definedName>
    <definedName name="DF17_Alloc_Bus_360D_Am_EUR">#REF!</definedName>
    <definedName name="DF17_Alloc_Bus_360D_Am_OthC" localSheetId="5">#REF!</definedName>
    <definedName name="DF17_Alloc_Bus_360D_Am_OthC">#REF!</definedName>
    <definedName name="DF17_Alloc_Bus_360D_Am_RUR" localSheetId="5">#REF!</definedName>
    <definedName name="DF17_Alloc_Bus_360D_Am_RUR">#REF!</definedName>
    <definedName name="DF17_Alloc_Bus_360D_Am_USD" localSheetId="5">#REF!</definedName>
    <definedName name="DF17_Alloc_Bus_360D_Am_USD">#REF!</definedName>
    <definedName name="DF17_Alloc_Bus_360D_I_AMD" localSheetId="5">#REF!</definedName>
    <definedName name="DF17_Alloc_Bus_360D_I_AMD">#REF!</definedName>
    <definedName name="DF17_Alloc_Bus_360D_I_EUR" localSheetId="5">#REF!</definedName>
    <definedName name="DF17_Alloc_Bus_360D_I_EUR">#REF!</definedName>
    <definedName name="DF17_Alloc_Bus_360D_I_OthC" localSheetId="5">#REF!</definedName>
    <definedName name="DF17_Alloc_Bus_360D_I_OthC">#REF!</definedName>
    <definedName name="DF17_Alloc_Bus_360D_I_RUR" localSheetId="5">#REF!</definedName>
    <definedName name="DF17_Alloc_Bus_360D_I_RUR">#REF!</definedName>
    <definedName name="DF17_Alloc_Bus_360D_I_USD" localSheetId="5">#REF!</definedName>
    <definedName name="DF17_Alloc_Bus_360D_I_USD">#REF!</definedName>
    <definedName name="DF17_Alloc_Bus_60D_Am_AMD" localSheetId="5">#REF!</definedName>
    <definedName name="DF17_Alloc_Bus_60D_Am_AMD">#REF!</definedName>
    <definedName name="DF17_Alloc_Bus_60D_Am_EUR" localSheetId="5">#REF!</definedName>
    <definedName name="DF17_Alloc_Bus_60D_Am_EUR">#REF!</definedName>
    <definedName name="DF17_Alloc_Bus_60D_Am_OthC" localSheetId="5">#REF!</definedName>
    <definedName name="DF17_Alloc_Bus_60D_Am_OthC">#REF!</definedName>
    <definedName name="DF17_Alloc_Bus_60D_Am_RUR" localSheetId="5">#REF!</definedName>
    <definedName name="DF17_Alloc_Bus_60D_Am_RUR">#REF!</definedName>
    <definedName name="DF17_Alloc_Bus_60D_Am_USD" localSheetId="5">#REF!</definedName>
    <definedName name="DF17_Alloc_Bus_60D_Am_USD">#REF!</definedName>
    <definedName name="DF17_Alloc_Bus_60D_I_AMD" localSheetId="5">#REF!</definedName>
    <definedName name="DF17_Alloc_Bus_60D_I_AMD">#REF!</definedName>
    <definedName name="DF17_Alloc_Bus_60D_I_EUR" localSheetId="5">#REF!</definedName>
    <definedName name="DF17_Alloc_Bus_60D_I_EUR">#REF!</definedName>
    <definedName name="DF17_Alloc_Bus_60D_I_OthC" localSheetId="5">#REF!</definedName>
    <definedName name="DF17_Alloc_Bus_60D_I_OthC">#REF!</definedName>
    <definedName name="DF17_Alloc_Bus_60D_I_RUR" localSheetId="5">#REF!</definedName>
    <definedName name="DF17_Alloc_Bus_60D_I_RUR">#REF!</definedName>
    <definedName name="DF17_Alloc_Bus_60D_I_USD" localSheetId="5">#REF!</definedName>
    <definedName name="DF17_Alloc_Bus_60D_I_USD">#REF!</definedName>
    <definedName name="DF17_Alloc_Bus_90D_Am_AMD" localSheetId="5">#REF!</definedName>
    <definedName name="DF17_Alloc_Bus_90D_Am_AMD">#REF!</definedName>
    <definedName name="DF17_Alloc_Bus_90D_Am_EUR" localSheetId="5">#REF!</definedName>
    <definedName name="DF17_Alloc_Bus_90D_Am_EUR">#REF!</definedName>
    <definedName name="DF17_Alloc_Bus_90D_Am_OthC" localSheetId="5">#REF!</definedName>
    <definedName name="DF17_Alloc_Bus_90D_Am_OthC">#REF!</definedName>
    <definedName name="DF17_Alloc_Bus_90D_Am_RUR" localSheetId="5">#REF!</definedName>
    <definedName name="DF17_Alloc_Bus_90D_Am_RUR">#REF!</definedName>
    <definedName name="DF17_Alloc_Bus_90D_Am_USD" localSheetId="5">#REF!</definedName>
    <definedName name="DF17_Alloc_Bus_90D_Am_USD">#REF!</definedName>
    <definedName name="DF17_Alloc_Bus_90D_I_AMD" localSheetId="5">#REF!</definedName>
    <definedName name="DF17_Alloc_Bus_90D_I_AMD">#REF!</definedName>
    <definedName name="DF17_Alloc_Bus_90D_I_EUR" localSheetId="5">#REF!</definedName>
    <definedName name="DF17_Alloc_Bus_90D_I_EUR">#REF!</definedName>
    <definedName name="DF17_Alloc_Bus_90D_I_OthC" localSheetId="5">#REF!</definedName>
    <definedName name="DF17_Alloc_Bus_90D_I_OthC">#REF!</definedName>
    <definedName name="DF17_Alloc_Bus_90D_I_RUR" localSheetId="5">#REF!</definedName>
    <definedName name="DF17_Alloc_Bus_90D_I_RUR">#REF!</definedName>
    <definedName name="DF17_Alloc_Bus_90D_I_USD" localSheetId="5">#REF!</definedName>
    <definedName name="DF17_Alloc_Bus_90D_I_USD">#REF!</definedName>
    <definedName name="DF17_Alloc_Bus_Dem_Am_AMD" localSheetId="5">#REF!</definedName>
    <definedName name="DF17_Alloc_Bus_Dem_Am_AMD">#REF!</definedName>
    <definedName name="DF17_Alloc_Bus_Dem_Am_EUR" localSheetId="5">#REF!</definedName>
    <definedName name="DF17_Alloc_Bus_Dem_Am_EUR">#REF!</definedName>
    <definedName name="DF17_Alloc_Bus_Dem_Am_OthC" localSheetId="5">#REF!</definedName>
    <definedName name="DF17_Alloc_Bus_Dem_Am_OthC">#REF!</definedName>
    <definedName name="DF17_Alloc_Bus_Dem_Am_RUR" localSheetId="5">#REF!</definedName>
    <definedName name="DF17_Alloc_Bus_Dem_Am_RUR">#REF!</definedName>
    <definedName name="DF17_Alloc_Bus_Dem_Am_USD" localSheetId="5">#REF!</definedName>
    <definedName name="DF17_Alloc_Bus_Dem_Am_USD">#REF!</definedName>
    <definedName name="DF17_Alloc_Bus_Dem_I_AMD" localSheetId="5">#REF!</definedName>
    <definedName name="DF17_Alloc_Bus_Dem_I_AMD">#REF!</definedName>
    <definedName name="DF17_Alloc_Bus_Dem_I_EUR" localSheetId="5">#REF!</definedName>
    <definedName name="DF17_Alloc_Bus_Dem_I_EUR">#REF!</definedName>
    <definedName name="DF17_Alloc_Bus_Dem_I_OthC" localSheetId="5">#REF!</definedName>
    <definedName name="DF17_Alloc_Bus_Dem_I_OthC">#REF!</definedName>
    <definedName name="DF17_Alloc_Bus_Dem_I_RUR" localSheetId="5">#REF!</definedName>
    <definedName name="DF17_Alloc_Bus_Dem_I_RUR">#REF!</definedName>
    <definedName name="DF17_Alloc_Bus_Dem_I_USD" localSheetId="5">#REF!</definedName>
    <definedName name="DF17_Alloc_Bus_Dem_I_USD">#REF!</definedName>
    <definedName name="DF17_Alloc_Bus_Mr360D_Am_AMD" localSheetId="5">#REF!</definedName>
    <definedName name="DF17_Alloc_Bus_Mr360D_Am_AMD">#REF!</definedName>
    <definedName name="DF17_Alloc_Bus_Mr360D_Am_EUR" localSheetId="5">#REF!</definedName>
    <definedName name="DF17_Alloc_Bus_Mr360D_Am_EUR">#REF!</definedName>
    <definedName name="DF17_Alloc_Bus_Mr360D_Am_OthC" localSheetId="5">#REF!</definedName>
    <definedName name="DF17_Alloc_Bus_Mr360D_Am_OthC">#REF!</definedName>
    <definedName name="DF17_Alloc_Bus_Mr360D_Am_RUR" localSheetId="5">#REF!</definedName>
    <definedName name="DF17_Alloc_Bus_Mr360D_Am_RUR">#REF!</definedName>
    <definedName name="DF17_Alloc_Bus_Mr360D_Am_USD" localSheetId="5">#REF!</definedName>
    <definedName name="DF17_Alloc_Bus_Mr360D_Am_USD">#REF!</definedName>
    <definedName name="DF17_Alloc_Bus_Mr360D_I_AMD" localSheetId="5">#REF!</definedName>
    <definedName name="DF17_Alloc_Bus_Mr360D_I_AMD">#REF!</definedName>
    <definedName name="DF17_Alloc_Bus_Mr360D_I_EUR" localSheetId="5">#REF!</definedName>
    <definedName name="DF17_Alloc_Bus_Mr360D_I_EUR">#REF!</definedName>
    <definedName name="DF17_Alloc_Bus_Mr360D_I_OthC" localSheetId="5">#REF!</definedName>
    <definedName name="DF17_Alloc_Bus_Mr360D_I_OthC">#REF!</definedName>
    <definedName name="DF17_Alloc_Bus_Mr360D_I_RUR" localSheetId="5">#REF!</definedName>
    <definedName name="DF17_Alloc_Bus_Mr360D_I_RUR">#REF!</definedName>
    <definedName name="DF17_Alloc_Bus_Mr360D_I_USD" localSheetId="5">#REF!</definedName>
    <definedName name="DF17_Alloc_Bus_Mr360D_I_USD">#REF!</definedName>
    <definedName name="DF17_Alloc_GovG_15D_Am_AMD" localSheetId="5">#REF!</definedName>
    <definedName name="DF17_Alloc_GovG_15D_Am_AMD">#REF!</definedName>
    <definedName name="DF17_Alloc_GovG_15D_Am_EUR" localSheetId="5">#REF!</definedName>
    <definedName name="DF17_Alloc_GovG_15D_Am_EUR">#REF!</definedName>
    <definedName name="DF17_Alloc_GovG_15D_Am_OthC" localSheetId="5">#REF!</definedName>
    <definedName name="DF17_Alloc_GovG_15D_Am_OthC">#REF!</definedName>
    <definedName name="DF17_Alloc_GovG_15D_Am_RUR" localSheetId="5">#REF!</definedName>
    <definedName name="DF17_Alloc_GovG_15D_Am_RUR">#REF!</definedName>
    <definedName name="DF17_Alloc_GovG_15D_Am_USD" localSheetId="5">#REF!</definedName>
    <definedName name="DF17_Alloc_GovG_15D_Am_USD">#REF!</definedName>
    <definedName name="DF17_Alloc_GovG_15D_I_AMD" localSheetId="5">#REF!</definedName>
    <definedName name="DF17_Alloc_GovG_15D_I_AMD">#REF!</definedName>
    <definedName name="DF17_Alloc_GovG_15D_I_EUR" localSheetId="5">#REF!</definedName>
    <definedName name="DF17_Alloc_GovG_15D_I_EUR">#REF!</definedName>
    <definedName name="DF17_Alloc_GovG_15D_I_OthC" localSheetId="5">#REF!</definedName>
    <definedName name="DF17_Alloc_GovG_15D_I_OthC">#REF!</definedName>
    <definedName name="DF17_Alloc_GovG_15D_I_RUR" localSheetId="5">#REF!</definedName>
    <definedName name="DF17_Alloc_GovG_15D_I_RUR">#REF!</definedName>
    <definedName name="DF17_Alloc_GovG_15D_I_USD" localSheetId="5">#REF!</definedName>
    <definedName name="DF17_Alloc_GovG_15D_I_USD">#REF!</definedName>
    <definedName name="DF17_Alloc_GovG_180D_Am_AMD" localSheetId="5">#REF!</definedName>
    <definedName name="DF17_Alloc_GovG_180D_Am_AMD">#REF!</definedName>
    <definedName name="DF17_Alloc_GovG_180D_Am_EUR" localSheetId="5">#REF!</definedName>
    <definedName name="DF17_Alloc_GovG_180D_Am_EUR">#REF!</definedName>
    <definedName name="DF17_Alloc_GovG_180D_Am_OthC" localSheetId="5">#REF!</definedName>
    <definedName name="DF17_Alloc_GovG_180D_Am_OthC">#REF!</definedName>
    <definedName name="DF17_Alloc_GovG_180D_Am_RUR" localSheetId="5">#REF!</definedName>
    <definedName name="DF17_Alloc_GovG_180D_Am_RUR">#REF!</definedName>
    <definedName name="DF17_Alloc_GovG_180D_Am_USD" localSheetId="5">#REF!</definedName>
    <definedName name="DF17_Alloc_GovG_180D_Am_USD">#REF!</definedName>
    <definedName name="DF17_Alloc_GovG_180D_I_AMD" localSheetId="5">#REF!</definedName>
    <definedName name="DF17_Alloc_GovG_180D_I_AMD">#REF!</definedName>
    <definedName name="DF17_Alloc_GovG_180D_I_EUR" localSheetId="5">#REF!</definedName>
    <definedName name="DF17_Alloc_GovG_180D_I_EUR">#REF!</definedName>
    <definedName name="DF17_Alloc_GovG_180D_I_OthC" localSheetId="5">#REF!</definedName>
    <definedName name="DF17_Alloc_GovG_180D_I_OthC">#REF!</definedName>
    <definedName name="DF17_Alloc_GovG_180D_I_RUR" localSheetId="5">#REF!</definedName>
    <definedName name="DF17_Alloc_GovG_180D_I_RUR">#REF!</definedName>
    <definedName name="DF17_Alloc_GovG_180D_I_USD" localSheetId="5">#REF!</definedName>
    <definedName name="DF17_Alloc_GovG_180D_I_USD">#REF!</definedName>
    <definedName name="DF17_Alloc_GovG_30D_Am_AMD" localSheetId="5">#REF!</definedName>
    <definedName name="DF17_Alloc_GovG_30D_Am_AMD">#REF!</definedName>
    <definedName name="DF17_Alloc_GovG_30D_Am_EUR" localSheetId="5">#REF!</definedName>
    <definedName name="DF17_Alloc_GovG_30D_Am_EUR">#REF!</definedName>
    <definedName name="DF17_Alloc_GovG_30D_Am_OthC" localSheetId="5">#REF!</definedName>
    <definedName name="DF17_Alloc_GovG_30D_Am_OthC">#REF!</definedName>
    <definedName name="DF17_Alloc_GovG_30D_Am_RUR" localSheetId="5">#REF!</definedName>
    <definedName name="DF17_Alloc_GovG_30D_Am_RUR">#REF!</definedName>
    <definedName name="DF17_Alloc_GovG_30D_Am_USD" localSheetId="5">#REF!</definedName>
    <definedName name="DF17_Alloc_GovG_30D_Am_USD">#REF!</definedName>
    <definedName name="DF17_Alloc_GovG_30D_I_AMD" localSheetId="5">#REF!</definedName>
    <definedName name="DF17_Alloc_GovG_30D_I_AMD">#REF!</definedName>
    <definedName name="DF17_Alloc_GovG_30D_I_EUR" localSheetId="5">#REF!</definedName>
    <definedName name="DF17_Alloc_GovG_30D_I_EUR">#REF!</definedName>
    <definedName name="DF17_Alloc_GovG_30D_I_OthC" localSheetId="5">#REF!</definedName>
    <definedName name="DF17_Alloc_GovG_30D_I_OthC">#REF!</definedName>
    <definedName name="DF17_Alloc_GovG_30D_I_RUR" localSheetId="5">#REF!</definedName>
    <definedName name="DF17_Alloc_GovG_30D_I_RUR">#REF!</definedName>
    <definedName name="DF17_Alloc_GovG_30D_I_USD" localSheetId="5">#REF!</definedName>
    <definedName name="DF17_Alloc_GovG_30D_I_USD">#REF!</definedName>
    <definedName name="DF17_Alloc_GovG_360D_Am_AMD" localSheetId="5">#REF!</definedName>
    <definedName name="DF17_Alloc_GovG_360D_Am_AMD">#REF!</definedName>
    <definedName name="DF17_Alloc_GovG_360D_Am_EUR" localSheetId="5">#REF!</definedName>
    <definedName name="DF17_Alloc_GovG_360D_Am_EUR">#REF!</definedName>
    <definedName name="DF17_Alloc_GovG_360D_Am_OthC" localSheetId="5">#REF!</definedName>
    <definedName name="DF17_Alloc_GovG_360D_Am_OthC">#REF!</definedName>
    <definedName name="DF17_Alloc_GovG_360D_Am_RUR" localSheetId="5">#REF!</definedName>
    <definedName name="DF17_Alloc_GovG_360D_Am_RUR">#REF!</definedName>
    <definedName name="DF17_Alloc_GovG_360D_Am_USD" localSheetId="5">#REF!</definedName>
    <definedName name="DF17_Alloc_GovG_360D_Am_USD">#REF!</definedName>
    <definedName name="DF17_Alloc_GovG_360D_I_AMD" localSheetId="5">#REF!</definedName>
    <definedName name="DF17_Alloc_GovG_360D_I_AMD">#REF!</definedName>
    <definedName name="DF17_Alloc_GovG_360D_I_EUR" localSheetId="5">#REF!</definedName>
    <definedName name="DF17_Alloc_GovG_360D_I_EUR">#REF!</definedName>
    <definedName name="DF17_Alloc_GovG_360D_I_OthC" localSheetId="5">#REF!</definedName>
    <definedName name="DF17_Alloc_GovG_360D_I_OthC">#REF!</definedName>
    <definedName name="DF17_Alloc_GovG_360D_I_RUR" localSheetId="5">#REF!</definedName>
    <definedName name="DF17_Alloc_GovG_360D_I_RUR">#REF!</definedName>
    <definedName name="DF17_Alloc_GovG_360D_I_USD" localSheetId="5">#REF!</definedName>
    <definedName name="DF17_Alloc_GovG_360D_I_USD">#REF!</definedName>
    <definedName name="DF17_Alloc_GovG_60D_Am_AMD" localSheetId="5">#REF!</definedName>
    <definedName name="DF17_Alloc_GovG_60D_Am_AMD">#REF!</definedName>
    <definedName name="DF17_Alloc_GovG_60D_Am_EUR" localSheetId="5">#REF!</definedName>
    <definedName name="DF17_Alloc_GovG_60D_Am_EUR">#REF!</definedName>
    <definedName name="DF17_Alloc_GovG_60D_Am_OthC" localSheetId="5">#REF!</definedName>
    <definedName name="DF17_Alloc_GovG_60D_Am_OthC">#REF!</definedName>
    <definedName name="DF17_Alloc_GovG_60D_Am_RUR" localSheetId="5">#REF!</definedName>
    <definedName name="DF17_Alloc_GovG_60D_Am_RUR">#REF!</definedName>
    <definedName name="DF17_Alloc_GovG_60D_Am_USD" localSheetId="5">#REF!</definedName>
    <definedName name="DF17_Alloc_GovG_60D_Am_USD">#REF!</definedName>
    <definedName name="DF17_Alloc_GovG_60D_I_AMD" localSheetId="5">#REF!</definedName>
    <definedName name="DF17_Alloc_GovG_60D_I_AMD">#REF!</definedName>
    <definedName name="DF17_Alloc_GovG_60D_I_EUR" localSheetId="5">#REF!</definedName>
    <definedName name="DF17_Alloc_GovG_60D_I_EUR">#REF!</definedName>
    <definedName name="DF17_Alloc_GovG_60D_I_OthC" localSheetId="5">#REF!</definedName>
    <definedName name="DF17_Alloc_GovG_60D_I_OthC">#REF!</definedName>
    <definedName name="DF17_Alloc_GovG_60D_I_RUR" localSheetId="5">#REF!</definedName>
    <definedName name="DF17_Alloc_GovG_60D_I_RUR">#REF!</definedName>
    <definedName name="DF17_Alloc_GovG_60D_I_USD" localSheetId="5">#REF!</definedName>
    <definedName name="DF17_Alloc_GovG_60D_I_USD">#REF!</definedName>
    <definedName name="DF17_Alloc_GovG_90D_Am_AMD" localSheetId="5">#REF!</definedName>
    <definedName name="DF17_Alloc_GovG_90D_Am_AMD">#REF!</definedName>
    <definedName name="DF17_Alloc_GovG_90D_Am_EUR" localSheetId="5">#REF!</definedName>
    <definedName name="DF17_Alloc_GovG_90D_Am_EUR">#REF!</definedName>
    <definedName name="DF17_Alloc_GovG_90D_Am_OthC" localSheetId="5">#REF!</definedName>
    <definedName name="DF17_Alloc_GovG_90D_Am_OthC">#REF!</definedName>
    <definedName name="DF17_Alloc_GovG_90D_Am_RUR" localSheetId="5">#REF!</definedName>
    <definedName name="DF17_Alloc_GovG_90D_Am_RUR">#REF!</definedName>
    <definedName name="DF17_Alloc_GovG_90D_Am_USD" localSheetId="5">#REF!</definedName>
    <definedName name="DF17_Alloc_GovG_90D_Am_USD">#REF!</definedName>
    <definedName name="DF17_Alloc_GovG_90D_I_AMD" localSheetId="5">#REF!</definedName>
    <definedName name="DF17_Alloc_GovG_90D_I_AMD">#REF!</definedName>
    <definedName name="DF17_Alloc_GovG_90D_I_EUR" localSheetId="5">#REF!</definedName>
    <definedName name="DF17_Alloc_GovG_90D_I_EUR">#REF!</definedName>
    <definedName name="DF17_Alloc_GovG_90D_I_OthC" localSheetId="5">#REF!</definedName>
    <definedName name="DF17_Alloc_GovG_90D_I_OthC">#REF!</definedName>
    <definedName name="DF17_Alloc_GovG_90D_I_RUR" localSheetId="5">#REF!</definedName>
    <definedName name="DF17_Alloc_GovG_90D_I_RUR">#REF!</definedName>
    <definedName name="DF17_Alloc_GovG_90D_I_USD" localSheetId="5">#REF!</definedName>
    <definedName name="DF17_Alloc_GovG_90D_I_USD">#REF!</definedName>
    <definedName name="DF17_Alloc_GovG_Dem_Am_AMD" localSheetId="5">#REF!</definedName>
    <definedName name="DF17_Alloc_GovG_Dem_Am_AMD">#REF!</definedName>
    <definedName name="DF17_Alloc_GovG_Dem_Am_EUR" localSheetId="5">#REF!</definedName>
    <definedName name="DF17_Alloc_GovG_Dem_Am_EUR">#REF!</definedName>
    <definedName name="DF17_Alloc_GovG_Dem_Am_OthC" localSheetId="5">#REF!</definedName>
    <definedName name="DF17_Alloc_GovG_Dem_Am_OthC">#REF!</definedName>
    <definedName name="DF17_Alloc_GovG_Dem_Am_RUR" localSheetId="5">#REF!</definedName>
    <definedName name="DF17_Alloc_GovG_Dem_Am_RUR">#REF!</definedName>
    <definedName name="DF17_Alloc_GovG_Dem_Am_USD" localSheetId="5">#REF!</definedName>
    <definedName name="DF17_Alloc_GovG_Dem_Am_USD">#REF!</definedName>
    <definedName name="DF17_Alloc_GovG_Dem_I_AMD" localSheetId="5">#REF!</definedName>
    <definedName name="DF17_Alloc_GovG_Dem_I_AMD">#REF!</definedName>
    <definedName name="DF17_Alloc_GovG_Dem_I_EUR" localSheetId="5">#REF!</definedName>
    <definedName name="DF17_Alloc_GovG_Dem_I_EUR">#REF!</definedName>
    <definedName name="DF17_Alloc_GovG_Dem_I_OthC" localSheetId="5">#REF!</definedName>
    <definedName name="DF17_Alloc_GovG_Dem_I_OthC">#REF!</definedName>
    <definedName name="DF17_Alloc_GovG_Dem_I_RUR" localSheetId="5">#REF!</definedName>
    <definedName name="DF17_Alloc_GovG_Dem_I_RUR">#REF!</definedName>
    <definedName name="DF17_Alloc_GovG_Dem_I_USD" localSheetId="5">#REF!</definedName>
    <definedName name="DF17_Alloc_GovG_Dem_I_USD">#REF!</definedName>
    <definedName name="DF17_Alloc_GovG_Mr360D_Am_AMD" localSheetId="5">#REF!</definedName>
    <definedName name="DF17_Alloc_GovG_Mr360D_Am_AMD">#REF!</definedName>
    <definedName name="DF17_Alloc_GovG_Mr360D_Am_EUR" localSheetId="5">#REF!</definedName>
    <definedName name="DF17_Alloc_GovG_Mr360D_Am_EUR">#REF!</definedName>
    <definedName name="DF17_Alloc_GovG_Mr360D_Am_OthC" localSheetId="5">#REF!</definedName>
    <definedName name="DF17_Alloc_GovG_Mr360D_Am_OthC">#REF!</definedName>
    <definedName name="DF17_Alloc_GovG_Mr360D_Am_RUR" localSheetId="5">#REF!</definedName>
    <definedName name="DF17_Alloc_GovG_Mr360D_Am_RUR">#REF!</definedName>
    <definedName name="DF17_Alloc_GovG_Mr360D_Am_USD" localSheetId="5">#REF!</definedName>
    <definedName name="DF17_Alloc_GovG_Mr360D_Am_USD">#REF!</definedName>
    <definedName name="DF17_Alloc_GovG_Mr360D_I_AMD" localSheetId="5">#REF!</definedName>
    <definedName name="DF17_Alloc_GovG_Mr360D_I_AMD">#REF!</definedName>
    <definedName name="DF17_Alloc_GovG_Mr360D_I_EUR" localSheetId="5">#REF!</definedName>
    <definedName name="DF17_Alloc_GovG_Mr360D_I_EUR">#REF!</definedName>
    <definedName name="DF17_Alloc_GovG_Mr360D_I_OthC" localSheetId="5">#REF!</definedName>
    <definedName name="DF17_Alloc_GovG_Mr360D_I_OthC">#REF!</definedName>
    <definedName name="DF17_Alloc_GovG_Mr360D_I_RUR" localSheetId="5">#REF!</definedName>
    <definedName name="DF17_Alloc_GovG_Mr360D_I_RUR">#REF!</definedName>
    <definedName name="DF17_Alloc_GovG_Mr360D_I_USD" localSheetId="5">#REF!</definedName>
    <definedName name="DF17_Alloc_GovG_Mr360D_I_USD">#REF!</definedName>
    <definedName name="DF17_Alloc_Ind_15D_Am_AMD" localSheetId="5">#REF!</definedName>
    <definedName name="DF17_Alloc_Ind_15D_Am_AMD">#REF!</definedName>
    <definedName name="DF17_Alloc_Ind_15D_Am_EUR" localSheetId="5">#REF!</definedName>
    <definedName name="DF17_Alloc_Ind_15D_Am_EUR">#REF!</definedName>
    <definedName name="DF17_Alloc_Ind_15D_Am_OthC" localSheetId="5">#REF!</definedName>
    <definedName name="DF17_Alloc_Ind_15D_Am_OthC">#REF!</definedName>
    <definedName name="DF17_Alloc_Ind_15D_Am_RUR" localSheetId="5">#REF!</definedName>
    <definedName name="DF17_Alloc_Ind_15D_Am_RUR">#REF!</definedName>
    <definedName name="DF17_Alloc_Ind_15D_Am_USD" localSheetId="5">#REF!</definedName>
    <definedName name="DF17_Alloc_Ind_15D_Am_USD">#REF!</definedName>
    <definedName name="DF17_Alloc_Ind_15D_I_AMD" localSheetId="5">#REF!</definedName>
    <definedName name="DF17_Alloc_Ind_15D_I_AMD">#REF!</definedName>
    <definedName name="DF17_Alloc_Ind_15D_I_EUR" localSheetId="5">#REF!</definedName>
    <definedName name="DF17_Alloc_Ind_15D_I_EUR">#REF!</definedName>
    <definedName name="DF17_Alloc_Ind_15D_I_OthC" localSheetId="5">#REF!</definedName>
    <definedName name="DF17_Alloc_Ind_15D_I_OthC">#REF!</definedName>
    <definedName name="DF17_Alloc_Ind_15D_I_RUR" localSheetId="5">#REF!</definedName>
    <definedName name="DF17_Alloc_Ind_15D_I_RUR">#REF!</definedName>
    <definedName name="DF17_Alloc_Ind_15D_I_USD" localSheetId="5">#REF!</definedName>
    <definedName name="DF17_Alloc_Ind_15D_I_USD">#REF!</definedName>
    <definedName name="DF17_Alloc_Ind_180D_Am_AMD" localSheetId="5">#REF!</definedName>
    <definedName name="DF17_Alloc_Ind_180D_Am_AMD">#REF!</definedName>
    <definedName name="DF17_Alloc_Ind_180D_Am_EUR" localSheetId="5">#REF!</definedName>
    <definedName name="DF17_Alloc_Ind_180D_Am_EUR">#REF!</definedName>
    <definedName name="DF17_Alloc_Ind_180D_Am_OthC" localSheetId="5">#REF!</definedName>
    <definedName name="DF17_Alloc_Ind_180D_Am_OthC">#REF!</definedName>
    <definedName name="DF17_Alloc_Ind_180D_Am_RUR" localSheetId="5">#REF!</definedName>
    <definedName name="DF17_Alloc_Ind_180D_Am_RUR">#REF!</definedName>
    <definedName name="DF17_Alloc_Ind_180D_Am_USD" localSheetId="5">#REF!</definedName>
    <definedName name="DF17_Alloc_Ind_180D_Am_USD">#REF!</definedName>
    <definedName name="DF17_Alloc_Ind_180D_I_AMD" localSheetId="5">#REF!</definedName>
    <definedName name="DF17_Alloc_Ind_180D_I_AMD">#REF!</definedName>
    <definedName name="DF17_Alloc_Ind_180D_I_EUR" localSheetId="5">#REF!</definedName>
    <definedName name="DF17_Alloc_Ind_180D_I_EUR">#REF!</definedName>
    <definedName name="DF17_Alloc_Ind_180D_I_OthC" localSheetId="5">#REF!</definedName>
    <definedName name="DF17_Alloc_Ind_180D_I_OthC">#REF!</definedName>
    <definedName name="DF17_Alloc_Ind_180D_I_RUR" localSheetId="5">#REF!</definedName>
    <definedName name="DF17_Alloc_Ind_180D_I_RUR">#REF!</definedName>
    <definedName name="DF17_Alloc_Ind_180D_I_USD" localSheetId="5">#REF!</definedName>
    <definedName name="DF17_Alloc_Ind_180D_I_USD">#REF!</definedName>
    <definedName name="DF17_Alloc_Ind_30D_Am_AMD" localSheetId="5">#REF!</definedName>
    <definedName name="DF17_Alloc_Ind_30D_Am_AMD">#REF!</definedName>
    <definedName name="DF17_Alloc_Ind_30D_Am_EUR" localSheetId="5">#REF!</definedName>
    <definedName name="DF17_Alloc_Ind_30D_Am_EUR">#REF!</definedName>
    <definedName name="DF17_Alloc_Ind_30D_Am_OthC" localSheetId="5">#REF!</definedName>
    <definedName name="DF17_Alloc_Ind_30D_Am_OthC">#REF!</definedName>
    <definedName name="DF17_Alloc_Ind_30D_Am_RUR" localSheetId="5">#REF!</definedName>
    <definedName name="DF17_Alloc_Ind_30D_Am_RUR">#REF!</definedName>
    <definedName name="DF17_Alloc_Ind_30D_Am_USD" localSheetId="5">#REF!</definedName>
    <definedName name="DF17_Alloc_Ind_30D_Am_USD">#REF!</definedName>
    <definedName name="DF17_Alloc_Ind_30D_I_AMD" localSheetId="5">#REF!</definedName>
    <definedName name="DF17_Alloc_Ind_30D_I_AMD">#REF!</definedName>
    <definedName name="DF17_Alloc_Ind_30D_I_EUR" localSheetId="5">#REF!</definedName>
    <definedName name="DF17_Alloc_Ind_30D_I_EUR">#REF!</definedName>
    <definedName name="DF17_Alloc_Ind_30D_I_OthC" localSheetId="5">#REF!</definedName>
    <definedName name="DF17_Alloc_Ind_30D_I_OthC">#REF!</definedName>
    <definedName name="DF17_Alloc_Ind_30D_I_RUR" localSheetId="5">#REF!</definedName>
    <definedName name="DF17_Alloc_Ind_30D_I_RUR">#REF!</definedName>
    <definedName name="DF17_Alloc_Ind_30D_I_USD" localSheetId="5">#REF!</definedName>
    <definedName name="DF17_Alloc_Ind_30D_I_USD">#REF!</definedName>
    <definedName name="DF17_Alloc_Ind_360D_Am_AMD" localSheetId="5">#REF!</definedName>
    <definedName name="DF17_Alloc_Ind_360D_Am_AMD">#REF!</definedName>
    <definedName name="DF17_Alloc_Ind_360D_Am_EUR" localSheetId="5">#REF!</definedName>
    <definedName name="DF17_Alloc_Ind_360D_Am_EUR">#REF!</definedName>
    <definedName name="DF17_Alloc_Ind_360D_Am_OthC" localSheetId="5">#REF!</definedName>
    <definedName name="DF17_Alloc_Ind_360D_Am_OthC">#REF!</definedName>
    <definedName name="DF17_Alloc_Ind_360D_Am_RUR" localSheetId="5">#REF!</definedName>
    <definedName name="DF17_Alloc_Ind_360D_Am_RUR">#REF!</definedName>
    <definedName name="DF17_Alloc_Ind_360D_Am_USD" localSheetId="5">#REF!</definedName>
    <definedName name="DF17_Alloc_Ind_360D_Am_USD">#REF!</definedName>
    <definedName name="DF17_Alloc_Ind_360D_I_AMD" localSheetId="5">#REF!</definedName>
    <definedName name="DF17_Alloc_Ind_360D_I_AMD">#REF!</definedName>
    <definedName name="DF17_Alloc_Ind_360D_I_EUR" localSheetId="5">#REF!</definedName>
    <definedName name="DF17_Alloc_Ind_360D_I_EUR">#REF!</definedName>
    <definedName name="DF17_Alloc_Ind_360D_I_OthC" localSheetId="5">#REF!</definedName>
    <definedName name="DF17_Alloc_Ind_360D_I_OthC">#REF!</definedName>
    <definedName name="DF17_Alloc_Ind_360D_I_RUR" localSheetId="5">#REF!</definedName>
    <definedName name="DF17_Alloc_Ind_360D_I_RUR">#REF!</definedName>
    <definedName name="DF17_Alloc_Ind_360D_I_USD" localSheetId="5">#REF!</definedName>
    <definedName name="DF17_Alloc_Ind_360D_I_USD">#REF!</definedName>
    <definedName name="DF17_Alloc_Ind_60D_Am_AMD" localSheetId="5">#REF!</definedName>
    <definedName name="DF17_Alloc_Ind_60D_Am_AMD">#REF!</definedName>
    <definedName name="DF17_Alloc_Ind_60D_Am_EUR" localSheetId="5">#REF!</definedName>
    <definedName name="DF17_Alloc_Ind_60D_Am_EUR">#REF!</definedName>
    <definedName name="DF17_Alloc_Ind_60D_Am_OthC" localSheetId="5">#REF!</definedName>
    <definedName name="DF17_Alloc_Ind_60D_Am_OthC">#REF!</definedName>
    <definedName name="DF17_Alloc_Ind_60D_Am_RUR" localSheetId="5">#REF!</definedName>
    <definedName name="DF17_Alloc_Ind_60D_Am_RUR">#REF!</definedName>
    <definedName name="DF17_Alloc_Ind_60D_Am_USD" localSheetId="5">#REF!</definedName>
    <definedName name="DF17_Alloc_Ind_60D_Am_USD">#REF!</definedName>
    <definedName name="DF17_Alloc_Ind_60D_I_AMD" localSheetId="5">#REF!</definedName>
    <definedName name="DF17_Alloc_Ind_60D_I_AMD">#REF!</definedName>
    <definedName name="DF17_Alloc_Ind_60D_I_EUR" localSheetId="5">#REF!</definedName>
    <definedName name="DF17_Alloc_Ind_60D_I_EUR">#REF!</definedName>
    <definedName name="DF17_Alloc_Ind_60D_I_OthC" localSheetId="5">#REF!</definedName>
    <definedName name="DF17_Alloc_Ind_60D_I_OthC">#REF!</definedName>
    <definedName name="DF17_Alloc_Ind_60D_I_RUR" localSheetId="5">#REF!</definedName>
    <definedName name="DF17_Alloc_Ind_60D_I_RUR">#REF!</definedName>
    <definedName name="DF17_Alloc_Ind_60D_I_USD" localSheetId="5">#REF!</definedName>
    <definedName name="DF17_Alloc_Ind_60D_I_USD">#REF!</definedName>
    <definedName name="DF17_Alloc_Ind_90D_Am_AMD" localSheetId="5">#REF!</definedName>
    <definedName name="DF17_Alloc_Ind_90D_Am_AMD">#REF!</definedName>
    <definedName name="DF17_Alloc_Ind_90D_Am_EUR" localSheetId="5">#REF!</definedName>
    <definedName name="DF17_Alloc_Ind_90D_Am_EUR">#REF!</definedName>
    <definedName name="DF17_Alloc_Ind_90D_Am_OthC" localSheetId="5">#REF!</definedName>
    <definedName name="DF17_Alloc_Ind_90D_Am_OthC">#REF!</definedName>
    <definedName name="DF17_Alloc_Ind_90D_Am_RUR" localSheetId="5">#REF!</definedName>
    <definedName name="DF17_Alloc_Ind_90D_Am_RUR">#REF!</definedName>
    <definedName name="DF17_Alloc_Ind_90D_Am_USD" localSheetId="5">#REF!</definedName>
    <definedName name="DF17_Alloc_Ind_90D_Am_USD">#REF!</definedName>
    <definedName name="DF17_Alloc_Ind_90D_I_AMD" localSheetId="5">#REF!</definedName>
    <definedName name="DF17_Alloc_Ind_90D_I_AMD">#REF!</definedName>
    <definedName name="DF17_Alloc_Ind_90D_I_EUR" localSheetId="5">#REF!</definedName>
    <definedName name="DF17_Alloc_Ind_90D_I_EUR">#REF!</definedName>
    <definedName name="DF17_Alloc_Ind_90D_I_OthC" localSheetId="5">#REF!</definedName>
    <definedName name="DF17_Alloc_Ind_90D_I_OthC">#REF!</definedName>
    <definedName name="DF17_Alloc_Ind_90D_I_RUR" localSheetId="5">#REF!</definedName>
    <definedName name="DF17_Alloc_Ind_90D_I_RUR">#REF!</definedName>
    <definedName name="DF17_Alloc_Ind_90D_I_USD" localSheetId="5">#REF!</definedName>
    <definedName name="DF17_Alloc_Ind_90D_I_USD">#REF!</definedName>
    <definedName name="DF17_Alloc_Ind_Dem_Am_AMD" localSheetId="5">#REF!</definedName>
    <definedName name="DF17_Alloc_Ind_Dem_Am_AMD">#REF!</definedName>
    <definedName name="DF17_Alloc_Ind_Dem_Am_EUR" localSheetId="5">#REF!</definedName>
    <definedName name="DF17_Alloc_Ind_Dem_Am_EUR">#REF!</definedName>
    <definedName name="DF17_Alloc_Ind_Dem_Am_OthC" localSheetId="5">#REF!</definedName>
    <definedName name="DF17_Alloc_Ind_Dem_Am_OthC">#REF!</definedName>
    <definedName name="DF17_Alloc_Ind_Dem_Am_RUR" localSheetId="5">#REF!</definedName>
    <definedName name="DF17_Alloc_Ind_Dem_Am_RUR">#REF!</definedName>
    <definedName name="DF17_Alloc_Ind_Dem_Am_USD" localSheetId="5">#REF!</definedName>
    <definedName name="DF17_Alloc_Ind_Dem_Am_USD">#REF!</definedName>
    <definedName name="DF17_Alloc_Ind_Dem_I_AMD" localSheetId="5">#REF!</definedName>
    <definedName name="DF17_Alloc_Ind_Dem_I_AMD">#REF!</definedName>
    <definedName name="DF17_Alloc_Ind_Dem_I_EUR" localSheetId="5">#REF!</definedName>
    <definedName name="DF17_Alloc_Ind_Dem_I_EUR">#REF!</definedName>
    <definedName name="DF17_Alloc_Ind_Dem_I_OthC" localSheetId="5">#REF!</definedName>
    <definedName name="DF17_Alloc_Ind_Dem_I_OthC">#REF!</definedName>
    <definedName name="DF17_Alloc_Ind_Dem_I_RUR" localSheetId="5">#REF!</definedName>
    <definedName name="DF17_Alloc_Ind_Dem_I_RUR">#REF!</definedName>
    <definedName name="DF17_Alloc_Ind_Dem_I_USD" localSheetId="5">#REF!</definedName>
    <definedName name="DF17_Alloc_Ind_Dem_I_USD">#REF!</definedName>
    <definedName name="DF17_Alloc_Ind_Mr360D_Am_AMD" localSheetId="5">#REF!</definedName>
    <definedName name="DF17_Alloc_Ind_Mr360D_Am_AMD">#REF!</definedName>
    <definedName name="DF17_Alloc_Ind_Mr360D_Am_EUR" localSheetId="5">#REF!</definedName>
    <definedName name="DF17_Alloc_Ind_Mr360D_Am_EUR">#REF!</definedName>
    <definedName name="DF17_Alloc_Ind_Mr360D_Am_OthC" localSheetId="5">#REF!</definedName>
    <definedName name="DF17_Alloc_Ind_Mr360D_Am_OthC">#REF!</definedName>
    <definedName name="DF17_Alloc_Ind_Mr360D_Am_RUR" localSheetId="5">#REF!</definedName>
    <definedName name="DF17_Alloc_Ind_Mr360D_Am_RUR">#REF!</definedName>
    <definedName name="DF17_Alloc_Ind_Mr360D_Am_USD" localSheetId="5">#REF!</definedName>
    <definedName name="DF17_Alloc_Ind_Mr360D_Am_USD">#REF!</definedName>
    <definedName name="DF17_Alloc_Ind_Mr360D_I_AMD" localSheetId="5">#REF!</definedName>
    <definedName name="DF17_Alloc_Ind_Mr360D_I_AMD">#REF!</definedName>
    <definedName name="DF17_Alloc_Ind_Mr360D_I_EUR" localSheetId="5">#REF!</definedName>
    <definedName name="DF17_Alloc_Ind_Mr360D_I_EUR">#REF!</definedName>
    <definedName name="DF17_Alloc_Ind_Mr360D_I_OthC" localSheetId="5">#REF!</definedName>
    <definedName name="DF17_Alloc_Ind_Mr360D_I_OthC">#REF!</definedName>
    <definedName name="DF17_Alloc_Ind_Mr360D_I_RUR" localSheetId="5">#REF!</definedName>
    <definedName name="DF17_Alloc_Ind_Mr360D_I_RUR">#REF!</definedName>
    <definedName name="DF17_Alloc_Ind_Mr360D_I_USD" localSheetId="5">#REF!</definedName>
    <definedName name="DF17_Alloc_Ind_Mr360D_I_USD">#REF!</definedName>
    <definedName name="DF17_Alloc_IndCo_Mr360D_Am_Oth" localSheetId="5">#REF!</definedName>
    <definedName name="DF17_Alloc_IndCo_Mr360D_Am_Oth">#REF!</definedName>
    <definedName name="DF17_Alloc_IndCo_Mr360D_Am_USD" localSheetId="5">#REF!</definedName>
    <definedName name="DF17_Alloc_IndCo_Mr360D_Am_USD">#REF!</definedName>
    <definedName name="DF17_Alloc_IndCo_Mr360D_I_OthC" localSheetId="5">#REF!</definedName>
    <definedName name="DF17_Alloc_IndCo_Mr360D_I_OthC">#REF!</definedName>
    <definedName name="DF17_Alloc_IndCor_15D_Am_AMD" localSheetId="5">#REF!</definedName>
    <definedName name="DF17_Alloc_IndCor_15D_Am_AMD">#REF!</definedName>
    <definedName name="DF17_Alloc_IndCor_15D_Am_EUR" localSheetId="5">#REF!</definedName>
    <definedName name="DF17_Alloc_IndCor_15D_Am_EUR">#REF!</definedName>
    <definedName name="DF17_Alloc_IndCor_15D_Am_OthC" localSheetId="5">#REF!</definedName>
    <definedName name="DF17_Alloc_IndCor_15D_Am_OthC">#REF!</definedName>
    <definedName name="DF17_Alloc_IndCor_15D_Am_RUR" localSheetId="5">#REF!</definedName>
    <definedName name="DF17_Alloc_IndCor_15D_Am_RUR">#REF!</definedName>
    <definedName name="DF17_Alloc_IndCor_15D_Am_USD" localSheetId="5">#REF!</definedName>
    <definedName name="DF17_Alloc_IndCor_15D_Am_USD">#REF!</definedName>
    <definedName name="DF17_Alloc_IndCor_15D_I_AMD" localSheetId="5">#REF!</definedName>
    <definedName name="DF17_Alloc_IndCor_15D_I_AMD">#REF!</definedName>
    <definedName name="DF17_Alloc_IndCor_15D_I_EUR" localSheetId="5">#REF!</definedName>
    <definedName name="DF17_Alloc_IndCor_15D_I_EUR">#REF!</definedName>
    <definedName name="DF17_Alloc_IndCor_15D_I_OthC" localSheetId="5">#REF!</definedName>
    <definedName name="DF17_Alloc_IndCor_15D_I_OthC">#REF!</definedName>
    <definedName name="DF17_Alloc_IndCor_15D_I_RUR" localSheetId="5">#REF!</definedName>
    <definedName name="DF17_Alloc_IndCor_15D_I_RUR">#REF!</definedName>
    <definedName name="DF17_Alloc_IndCor_15D_I_USD" localSheetId="5">#REF!</definedName>
    <definedName name="DF17_Alloc_IndCor_15D_I_USD">#REF!</definedName>
    <definedName name="DF17_Alloc_IndCor_180D_Am_AMD" localSheetId="5">#REF!</definedName>
    <definedName name="DF17_Alloc_IndCor_180D_Am_AMD">#REF!</definedName>
    <definedName name="DF17_Alloc_IndCor_180D_Am_EUR" localSheetId="5">#REF!</definedName>
    <definedName name="DF17_Alloc_IndCor_180D_Am_EUR">#REF!</definedName>
    <definedName name="DF17_Alloc_IndCor_180D_Am_OthC" localSheetId="5">#REF!</definedName>
    <definedName name="DF17_Alloc_IndCor_180D_Am_OthC">#REF!</definedName>
    <definedName name="DF17_Alloc_IndCor_180D_Am_RUR" localSheetId="5">#REF!</definedName>
    <definedName name="DF17_Alloc_IndCor_180D_Am_RUR">#REF!</definedName>
    <definedName name="DF17_Alloc_IndCor_180D_Am_USD" localSheetId="5">#REF!</definedName>
    <definedName name="DF17_Alloc_IndCor_180D_Am_USD">#REF!</definedName>
    <definedName name="DF17_Alloc_IndCor_180D_I_AMD" localSheetId="5">#REF!</definedName>
    <definedName name="DF17_Alloc_IndCor_180D_I_AMD">#REF!</definedName>
    <definedName name="DF17_Alloc_IndCor_180D_I_EUR" localSheetId="5">#REF!</definedName>
    <definedName name="DF17_Alloc_IndCor_180D_I_EUR">#REF!</definedName>
    <definedName name="DF17_Alloc_IndCor_180D_I_OthC" localSheetId="5">#REF!</definedName>
    <definedName name="DF17_Alloc_IndCor_180D_I_OthC">#REF!</definedName>
    <definedName name="DF17_Alloc_IndCor_180D_I_RUR" localSheetId="5">#REF!</definedName>
    <definedName name="DF17_Alloc_IndCor_180D_I_RUR">#REF!</definedName>
    <definedName name="DF17_Alloc_IndCor_180D_I_USD" localSheetId="5">#REF!</definedName>
    <definedName name="DF17_Alloc_IndCor_180D_I_USD">#REF!</definedName>
    <definedName name="DF17_Alloc_IndCor_30D_Am_AMD" localSheetId="5">#REF!</definedName>
    <definedName name="DF17_Alloc_IndCor_30D_Am_AMD">#REF!</definedName>
    <definedName name="DF17_Alloc_IndCor_30D_Am_EUR" localSheetId="5">#REF!</definedName>
    <definedName name="DF17_Alloc_IndCor_30D_Am_EUR">#REF!</definedName>
    <definedName name="DF17_Alloc_IndCor_30D_Am_OthC" localSheetId="5">#REF!</definedName>
    <definedName name="DF17_Alloc_IndCor_30D_Am_OthC">#REF!</definedName>
    <definedName name="DF17_Alloc_IndCor_30D_Am_RUR" localSheetId="5">#REF!</definedName>
    <definedName name="DF17_Alloc_IndCor_30D_Am_RUR">#REF!</definedName>
    <definedName name="DF17_Alloc_IndCor_30D_Am_USD" localSheetId="5">#REF!</definedName>
    <definedName name="DF17_Alloc_IndCor_30D_Am_USD">#REF!</definedName>
    <definedName name="DF17_Alloc_IndCor_30D_I_AMD" localSheetId="5">#REF!</definedName>
    <definedName name="DF17_Alloc_IndCor_30D_I_AMD">#REF!</definedName>
    <definedName name="DF17_Alloc_IndCor_30D_I_EUR" localSheetId="5">#REF!</definedName>
    <definedName name="DF17_Alloc_IndCor_30D_I_EUR">#REF!</definedName>
    <definedName name="DF17_Alloc_IndCor_30D_I_OthC" localSheetId="5">#REF!</definedName>
    <definedName name="DF17_Alloc_IndCor_30D_I_OthC">#REF!</definedName>
    <definedName name="DF17_Alloc_IndCor_30D_I_RUR" localSheetId="5">#REF!</definedName>
    <definedName name="DF17_Alloc_IndCor_30D_I_RUR">#REF!</definedName>
    <definedName name="DF17_Alloc_IndCor_30D_I_USD" localSheetId="5">#REF!</definedName>
    <definedName name="DF17_Alloc_IndCor_30D_I_USD">#REF!</definedName>
    <definedName name="DF17_Alloc_IndCor_360D_Am_AMD" localSheetId="5">#REF!</definedName>
    <definedName name="DF17_Alloc_IndCor_360D_Am_AMD">#REF!</definedName>
    <definedName name="DF17_Alloc_IndCor_360D_Am_EUR" localSheetId="5">#REF!</definedName>
    <definedName name="DF17_Alloc_IndCor_360D_Am_EUR">#REF!</definedName>
    <definedName name="DF17_Alloc_IndCor_360D_Am_OthC" localSheetId="5">#REF!</definedName>
    <definedName name="DF17_Alloc_IndCor_360D_Am_OthC">#REF!</definedName>
    <definedName name="DF17_Alloc_IndCor_360D_Am_RUR" localSheetId="5">#REF!</definedName>
    <definedName name="DF17_Alloc_IndCor_360D_Am_RUR">#REF!</definedName>
    <definedName name="DF17_Alloc_IndCor_360D_Am_USD" localSheetId="5">#REF!</definedName>
    <definedName name="DF17_Alloc_IndCor_360D_Am_USD">#REF!</definedName>
    <definedName name="DF17_Alloc_IndCor_360D_I_AMD" localSheetId="5">#REF!</definedName>
    <definedName name="DF17_Alloc_IndCor_360D_I_AMD">#REF!</definedName>
    <definedName name="DF17_Alloc_IndCor_360D_I_EUR" localSheetId="5">#REF!</definedName>
    <definedName name="DF17_Alloc_IndCor_360D_I_EUR">#REF!</definedName>
    <definedName name="DF17_Alloc_IndCor_360D_I_OthC" localSheetId="5">#REF!</definedName>
    <definedName name="DF17_Alloc_IndCor_360D_I_OthC">#REF!</definedName>
    <definedName name="DF17_Alloc_IndCor_360D_I_RUR" localSheetId="5">#REF!</definedName>
    <definedName name="DF17_Alloc_IndCor_360D_I_RUR">#REF!</definedName>
    <definedName name="DF17_Alloc_IndCor_360D_I_USD" localSheetId="5">#REF!</definedName>
    <definedName name="DF17_Alloc_IndCor_360D_I_USD">#REF!</definedName>
    <definedName name="DF17_Alloc_IndCor_60D_Am_AMD" localSheetId="5">#REF!</definedName>
    <definedName name="DF17_Alloc_IndCor_60D_Am_AMD">#REF!</definedName>
    <definedName name="DF17_Alloc_IndCor_60D_Am_EUR" localSheetId="5">#REF!</definedName>
    <definedName name="DF17_Alloc_IndCor_60D_Am_EUR">#REF!</definedName>
    <definedName name="DF17_Alloc_IndCor_60D_Am_OthC" localSheetId="5">#REF!</definedName>
    <definedName name="DF17_Alloc_IndCor_60D_Am_OthC">#REF!</definedName>
    <definedName name="DF17_Alloc_IndCor_60D_Am_RUR" localSheetId="5">#REF!</definedName>
    <definedName name="DF17_Alloc_IndCor_60D_Am_RUR">#REF!</definedName>
    <definedName name="DF17_Alloc_IndCor_60D_Am_USD" localSheetId="5">#REF!</definedName>
    <definedName name="DF17_Alloc_IndCor_60D_Am_USD">#REF!</definedName>
    <definedName name="DF17_Alloc_IndCor_60D_I_AMD" localSheetId="5">#REF!</definedName>
    <definedName name="DF17_Alloc_IndCor_60D_I_AMD">#REF!</definedName>
    <definedName name="DF17_Alloc_IndCor_60D_I_EUR" localSheetId="5">#REF!</definedName>
    <definedName name="DF17_Alloc_IndCor_60D_I_EUR">#REF!</definedName>
    <definedName name="DF17_Alloc_IndCor_60D_I_OthC" localSheetId="5">#REF!</definedName>
    <definedName name="DF17_Alloc_IndCor_60D_I_OthC">#REF!</definedName>
    <definedName name="DF17_Alloc_IndCor_60D_I_RUR" localSheetId="5">#REF!</definedName>
    <definedName name="DF17_Alloc_IndCor_60D_I_RUR">#REF!</definedName>
    <definedName name="DF17_Alloc_IndCor_60D_I_USD" localSheetId="5">#REF!</definedName>
    <definedName name="DF17_Alloc_IndCor_60D_I_USD">#REF!</definedName>
    <definedName name="DF17_Alloc_IndCor_90D_Am_AMD" localSheetId="5">#REF!</definedName>
    <definedName name="DF17_Alloc_IndCor_90D_Am_AMD">#REF!</definedName>
    <definedName name="DF17_Alloc_IndCor_90D_Am_EUR" localSheetId="5">#REF!</definedName>
    <definedName name="DF17_Alloc_IndCor_90D_Am_EUR">#REF!</definedName>
    <definedName name="DF17_Alloc_IndCor_90D_Am_OthC" localSheetId="5">#REF!</definedName>
    <definedName name="DF17_Alloc_IndCor_90D_Am_OthC">#REF!</definedName>
    <definedName name="DF17_Alloc_IndCor_90D_Am_RUR" localSheetId="5">#REF!</definedName>
    <definedName name="DF17_Alloc_IndCor_90D_Am_RUR">#REF!</definedName>
    <definedName name="DF17_Alloc_IndCor_90D_Am_USD" localSheetId="5">#REF!</definedName>
    <definedName name="DF17_Alloc_IndCor_90D_Am_USD">#REF!</definedName>
    <definedName name="DF17_Alloc_IndCor_90D_I_AMD" localSheetId="5">#REF!</definedName>
    <definedName name="DF17_Alloc_IndCor_90D_I_AMD">#REF!</definedName>
    <definedName name="DF17_Alloc_IndCor_90D_I_EUR" localSheetId="5">#REF!</definedName>
    <definedName name="DF17_Alloc_IndCor_90D_I_EUR">#REF!</definedName>
    <definedName name="DF17_Alloc_IndCor_90D_I_OthC" localSheetId="5">#REF!</definedName>
    <definedName name="DF17_Alloc_IndCor_90D_I_OthC">#REF!</definedName>
    <definedName name="DF17_Alloc_IndCor_90D_I_RUR" localSheetId="5">#REF!</definedName>
    <definedName name="DF17_Alloc_IndCor_90D_I_RUR">#REF!</definedName>
    <definedName name="DF17_Alloc_IndCor_90D_I_USD" localSheetId="5">#REF!</definedName>
    <definedName name="DF17_Alloc_IndCor_90D_I_USD">#REF!</definedName>
    <definedName name="DF17_Alloc_IndCor_Dem_Am_AMD" localSheetId="5">#REF!</definedName>
    <definedName name="DF17_Alloc_IndCor_Dem_Am_AMD">#REF!</definedName>
    <definedName name="DF17_Alloc_IndCor_Dem_Am_EUR" localSheetId="5">#REF!</definedName>
    <definedName name="DF17_Alloc_IndCor_Dem_Am_EUR">#REF!</definedName>
    <definedName name="DF17_Alloc_IndCor_Dem_Am_OthC" localSheetId="5">#REF!</definedName>
    <definedName name="DF17_Alloc_IndCor_Dem_Am_OthC">#REF!</definedName>
    <definedName name="DF17_Alloc_IndCor_Dem_Am_RUR" localSheetId="5">#REF!</definedName>
    <definedName name="DF17_Alloc_IndCor_Dem_Am_RUR">#REF!</definedName>
    <definedName name="DF17_Alloc_IndCor_Dem_Am_USD" localSheetId="5">#REF!</definedName>
    <definedName name="DF17_Alloc_IndCor_Dem_Am_USD">#REF!</definedName>
    <definedName name="DF17_Alloc_IndCor_Dem_I_AMD" localSheetId="5">#REF!</definedName>
    <definedName name="DF17_Alloc_IndCor_Dem_I_AMD">#REF!</definedName>
    <definedName name="DF17_Alloc_IndCor_Dem_I_EUR" localSheetId="5">#REF!</definedName>
    <definedName name="DF17_Alloc_IndCor_Dem_I_EUR">#REF!</definedName>
    <definedName name="DF17_Alloc_IndCor_Dem_I_OthC" localSheetId="5">#REF!</definedName>
    <definedName name="DF17_Alloc_IndCor_Dem_I_OthC">#REF!</definedName>
    <definedName name="DF17_Alloc_IndCor_Dem_I_RUR" localSheetId="5">#REF!</definedName>
    <definedName name="DF17_Alloc_IndCor_Dem_I_RUR">#REF!</definedName>
    <definedName name="DF17_Alloc_IndCor_Dem_I_USD" localSheetId="5">#REF!</definedName>
    <definedName name="DF17_Alloc_IndCor_Dem_I_USD">#REF!</definedName>
    <definedName name="DF17_Alloc_IndCor_Mr360D_Am_AM" localSheetId="5">#REF!</definedName>
    <definedName name="DF17_Alloc_IndCor_Mr360D_Am_AM">#REF!</definedName>
    <definedName name="DF17_Alloc_IndCor_Mr360D_Am_EU" localSheetId="5">#REF!</definedName>
    <definedName name="DF17_Alloc_IndCor_Mr360D_Am_EU">#REF!</definedName>
    <definedName name="DF17_Alloc_IndCor_Mr360D_Am_RU" localSheetId="5">#REF!</definedName>
    <definedName name="DF17_Alloc_IndCor_Mr360D_Am_RU">#REF!</definedName>
    <definedName name="DF17_Alloc_IndCor_Mr360D_I_AMD" localSheetId="5">#REF!</definedName>
    <definedName name="DF17_Alloc_IndCor_Mr360D_I_AMD">#REF!</definedName>
    <definedName name="DF17_Alloc_IndCor_Mr360D_I_EUR" localSheetId="5">#REF!</definedName>
    <definedName name="DF17_Alloc_IndCor_Mr360D_I_EUR">#REF!</definedName>
    <definedName name="DF17_Alloc_IndCor_Mr360D_I_RUR" localSheetId="5">#REF!</definedName>
    <definedName name="DF17_Alloc_IndCor_Mr360D_I_RUR">#REF!</definedName>
    <definedName name="DF17_Alloc_IndCor_Mr360D_I_USD" localSheetId="5">#REF!</definedName>
    <definedName name="DF17_Alloc_IndCor_Mr360D_I_USD">#REF!</definedName>
    <definedName name="DF17_Alloc_IntOr_15D_Am_AMD" localSheetId="5">#REF!</definedName>
    <definedName name="DF17_Alloc_IntOr_15D_Am_AMD">#REF!</definedName>
    <definedName name="DF17_Alloc_IntOr_15D_Am_EUR" localSheetId="5">#REF!</definedName>
    <definedName name="DF17_Alloc_IntOr_15D_Am_EUR">#REF!</definedName>
    <definedName name="DF17_Alloc_IntOr_15D_Am_OthC" localSheetId="5">#REF!</definedName>
    <definedName name="DF17_Alloc_IntOr_15D_Am_OthC">#REF!</definedName>
    <definedName name="DF17_Alloc_IntOr_15D_Am_RUR" localSheetId="5">#REF!</definedName>
    <definedName name="DF17_Alloc_IntOr_15D_Am_RUR">#REF!</definedName>
    <definedName name="DF17_Alloc_IntOr_15D_Am_USD" localSheetId="5">#REF!</definedName>
    <definedName name="DF17_Alloc_IntOr_15D_Am_USD">#REF!</definedName>
    <definedName name="DF17_Alloc_IntOr_15D_I_AMD" localSheetId="5">#REF!</definedName>
    <definedName name="DF17_Alloc_IntOr_15D_I_AMD">#REF!</definedName>
    <definedName name="DF17_Alloc_IntOr_15D_I_EUR" localSheetId="5">#REF!</definedName>
    <definedName name="DF17_Alloc_IntOr_15D_I_EUR">#REF!</definedName>
    <definedName name="DF17_Alloc_IntOr_15D_I_OthC" localSheetId="5">#REF!</definedName>
    <definedName name="DF17_Alloc_IntOr_15D_I_OthC">#REF!</definedName>
    <definedName name="DF17_Alloc_IntOr_15D_I_RUR" localSheetId="5">#REF!</definedName>
    <definedName name="DF17_Alloc_IntOr_15D_I_RUR">#REF!</definedName>
    <definedName name="DF17_Alloc_IntOr_15D_I_USD" localSheetId="5">#REF!</definedName>
    <definedName name="DF17_Alloc_IntOr_15D_I_USD">#REF!</definedName>
    <definedName name="DF17_Alloc_IntOr_180D_Am_AMD" localSheetId="5">#REF!</definedName>
    <definedName name="DF17_Alloc_IntOr_180D_Am_AMD">#REF!</definedName>
    <definedName name="DF17_Alloc_IntOr_180D_Am_EUR" localSheetId="5">#REF!</definedName>
    <definedName name="DF17_Alloc_IntOr_180D_Am_EUR">#REF!</definedName>
    <definedName name="DF17_Alloc_IntOr_180D_Am_OthC" localSheetId="5">#REF!</definedName>
    <definedName name="DF17_Alloc_IntOr_180D_Am_OthC">#REF!</definedName>
    <definedName name="DF17_Alloc_IntOr_180D_Am_RUR" localSheetId="5">#REF!</definedName>
    <definedName name="DF17_Alloc_IntOr_180D_Am_RUR">#REF!</definedName>
    <definedName name="DF17_Alloc_IntOr_180D_Am_USD" localSheetId="5">#REF!</definedName>
    <definedName name="DF17_Alloc_IntOr_180D_Am_USD">#REF!</definedName>
    <definedName name="DF17_Alloc_IntOr_180D_I_AMD" localSheetId="5">#REF!</definedName>
    <definedName name="DF17_Alloc_IntOr_180D_I_AMD">#REF!</definedName>
    <definedName name="DF17_Alloc_IntOr_180D_I_EUR" localSheetId="5">#REF!</definedName>
    <definedName name="DF17_Alloc_IntOr_180D_I_EUR">#REF!</definedName>
    <definedName name="DF17_Alloc_IntOr_180D_I_OthC" localSheetId="5">#REF!</definedName>
    <definedName name="DF17_Alloc_IntOr_180D_I_OthC">#REF!</definedName>
    <definedName name="DF17_Alloc_IntOr_180D_I_RUR" localSheetId="5">#REF!</definedName>
    <definedName name="DF17_Alloc_IntOr_180D_I_RUR">#REF!</definedName>
    <definedName name="DF17_Alloc_IntOr_180D_I_USD" localSheetId="5">#REF!</definedName>
    <definedName name="DF17_Alloc_IntOr_180D_I_USD">#REF!</definedName>
    <definedName name="DF17_Alloc_IntOr_30D_Am_AMD" localSheetId="5">#REF!</definedName>
    <definedName name="DF17_Alloc_IntOr_30D_Am_AMD">#REF!</definedName>
    <definedName name="DF17_Alloc_IntOr_30D_Am_EUR" localSheetId="5">#REF!</definedName>
    <definedName name="DF17_Alloc_IntOr_30D_Am_EUR">#REF!</definedName>
    <definedName name="DF17_Alloc_IntOr_30D_Am_OthC" localSheetId="5">#REF!</definedName>
    <definedName name="DF17_Alloc_IntOr_30D_Am_OthC">#REF!</definedName>
    <definedName name="DF17_Alloc_IntOr_30D_Am_RUR" localSheetId="5">#REF!</definedName>
    <definedName name="DF17_Alloc_IntOr_30D_Am_RUR">#REF!</definedName>
    <definedName name="DF17_Alloc_IntOr_30D_Am_USD" localSheetId="5">#REF!</definedName>
    <definedName name="DF17_Alloc_IntOr_30D_Am_USD">#REF!</definedName>
    <definedName name="DF17_Alloc_IntOr_30D_I_AMD" localSheetId="5">#REF!</definedName>
    <definedName name="DF17_Alloc_IntOr_30D_I_AMD">#REF!</definedName>
    <definedName name="DF17_Alloc_IntOr_30D_I_EUR" localSheetId="5">#REF!</definedName>
    <definedName name="DF17_Alloc_IntOr_30D_I_EUR">#REF!</definedName>
    <definedName name="DF17_Alloc_IntOr_30D_I_OthC" localSheetId="5">#REF!</definedName>
    <definedName name="DF17_Alloc_IntOr_30D_I_OthC">#REF!</definedName>
    <definedName name="DF17_Alloc_IntOr_30D_I_RUR" localSheetId="5">#REF!</definedName>
    <definedName name="DF17_Alloc_IntOr_30D_I_RUR">#REF!</definedName>
    <definedName name="DF17_Alloc_IntOr_30D_I_USD" localSheetId="5">#REF!</definedName>
    <definedName name="DF17_Alloc_IntOr_30D_I_USD">#REF!</definedName>
    <definedName name="DF17_Alloc_IntOr_360D_Am_AMD" localSheetId="5">#REF!</definedName>
    <definedName name="DF17_Alloc_IntOr_360D_Am_AMD">#REF!</definedName>
    <definedName name="DF17_Alloc_IntOr_360D_Am_EUR" localSheetId="5">#REF!</definedName>
    <definedName name="DF17_Alloc_IntOr_360D_Am_EUR">#REF!</definedName>
    <definedName name="DF17_Alloc_IntOr_360D_Am_OthC" localSheetId="5">#REF!</definedName>
    <definedName name="DF17_Alloc_IntOr_360D_Am_OthC">#REF!</definedName>
    <definedName name="DF17_Alloc_IntOr_360D_Am_RUR" localSheetId="5">#REF!</definedName>
    <definedName name="DF17_Alloc_IntOr_360D_Am_RUR">#REF!</definedName>
    <definedName name="DF17_Alloc_IntOr_360D_Am_USD" localSheetId="5">#REF!</definedName>
    <definedName name="DF17_Alloc_IntOr_360D_Am_USD">#REF!</definedName>
    <definedName name="DF17_Alloc_IntOr_360D_I_AMD" localSheetId="5">#REF!</definedName>
    <definedName name="DF17_Alloc_IntOr_360D_I_AMD">#REF!</definedName>
    <definedName name="DF17_Alloc_IntOr_360D_I_EUR" localSheetId="5">#REF!</definedName>
    <definedName name="DF17_Alloc_IntOr_360D_I_EUR">#REF!</definedName>
    <definedName name="DF17_Alloc_IntOr_360D_I_OthC" localSheetId="5">#REF!</definedName>
    <definedName name="DF17_Alloc_IntOr_360D_I_OthC">#REF!</definedName>
    <definedName name="DF17_Alloc_IntOr_360D_I_RUR" localSheetId="5">#REF!</definedName>
    <definedName name="DF17_Alloc_IntOr_360D_I_RUR">#REF!</definedName>
    <definedName name="DF17_Alloc_IntOr_360D_I_USD" localSheetId="5">#REF!</definedName>
    <definedName name="DF17_Alloc_IntOr_360D_I_USD">#REF!</definedName>
    <definedName name="DF17_Alloc_IntOr_60D_Am_AMD" localSheetId="5">#REF!</definedName>
    <definedName name="DF17_Alloc_IntOr_60D_Am_AMD">#REF!</definedName>
    <definedName name="DF17_Alloc_IntOr_60D_Am_EUR" localSheetId="5">#REF!</definedName>
    <definedName name="DF17_Alloc_IntOr_60D_Am_EUR">#REF!</definedName>
    <definedName name="DF17_Alloc_IntOr_60D_Am_OthC" localSheetId="5">#REF!</definedName>
    <definedName name="DF17_Alloc_IntOr_60D_Am_OthC">#REF!</definedName>
    <definedName name="DF17_Alloc_IntOr_60D_Am_RUR" localSheetId="5">#REF!</definedName>
    <definedName name="DF17_Alloc_IntOr_60D_Am_RUR">#REF!</definedName>
    <definedName name="DF17_Alloc_IntOr_60D_Am_USD" localSheetId="5">#REF!</definedName>
    <definedName name="DF17_Alloc_IntOr_60D_Am_USD">#REF!</definedName>
    <definedName name="DF17_Alloc_IntOr_60D_I_AMD" localSheetId="5">#REF!</definedName>
    <definedName name="DF17_Alloc_IntOr_60D_I_AMD">#REF!</definedName>
    <definedName name="DF17_Alloc_IntOr_60D_I_EUR" localSheetId="5">#REF!</definedName>
    <definedName name="DF17_Alloc_IntOr_60D_I_EUR">#REF!</definedName>
    <definedName name="DF17_Alloc_IntOr_60D_I_OthC" localSheetId="5">#REF!</definedName>
    <definedName name="DF17_Alloc_IntOr_60D_I_OthC">#REF!</definedName>
    <definedName name="DF17_Alloc_IntOr_60D_I_RUR" localSheetId="5">#REF!</definedName>
    <definedName name="DF17_Alloc_IntOr_60D_I_RUR">#REF!</definedName>
    <definedName name="DF17_Alloc_IntOr_60D_I_USD" localSheetId="5">#REF!</definedName>
    <definedName name="DF17_Alloc_IntOr_60D_I_USD">#REF!</definedName>
    <definedName name="DF17_Alloc_IntOr_90D_Am_AMD" localSheetId="5">#REF!</definedName>
    <definedName name="DF17_Alloc_IntOr_90D_Am_AMD">#REF!</definedName>
    <definedName name="DF17_Alloc_IntOr_90D_Am_EUR" localSheetId="5">#REF!</definedName>
    <definedName name="DF17_Alloc_IntOr_90D_Am_EUR">#REF!</definedName>
    <definedName name="DF17_Alloc_IntOr_90D_Am_OthC" localSheetId="5">#REF!</definedName>
    <definedName name="DF17_Alloc_IntOr_90D_Am_OthC">#REF!</definedName>
    <definedName name="DF17_Alloc_IntOr_90D_Am_RUR" localSheetId="5">#REF!</definedName>
    <definedName name="DF17_Alloc_IntOr_90D_Am_RUR">#REF!</definedName>
    <definedName name="DF17_Alloc_IntOr_90D_Am_USD" localSheetId="5">#REF!</definedName>
    <definedName name="DF17_Alloc_IntOr_90D_Am_USD">#REF!</definedName>
    <definedName name="DF17_Alloc_IntOr_90D_I_AMD" localSheetId="5">#REF!</definedName>
    <definedName name="DF17_Alloc_IntOr_90D_I_AMD">#REF!</definedName>
    <definedName name="DF17_Alloc_IntOr_90D_I_EUR" localSheetId="5">#REF!</definedName>
    <definedName name="DF17_Alloc_IntOr_90D_I_EUR">#REF!</definedName>
    <definedName name="DF17_Alloc_IntOr_90D_I_OthC" localSheetId="5">#REF!</definedName>
    <definedName name="DF17_Alloc_IntOr_90D_I_OthC">#REF!</definedName>
    <definedName name="DF17_Alloc_IntOr_90D_I_RUR" localSheetId="5">#REF!</definedName>
    <definedName name="DF17_Alloc_IntOr_90D_I_RUR">#REF!</definedName>
    <definedName name="DF17_Alloc_IntOr_90D_I_USD" localSheetId="5">#REF!</definedName>
    <definedName name="DF17_Alloc_IntOr_90D_I_USD">#REF!</definedName>
    <definedName name="DF17_Alloc_IntOr_Dem_Am_AMD" localSheetId="5">#REF!</definedName>
    <definedName name="DF17_Alloc_IntOr_Dem_Am_AMD">#REF!</definedName>
    <definedName name="DF17_Alloc_IntOr_Dem_Am_EUR" localSheetId="5">#REF!</definedName>
    <definedName name="DF17_Alloc_IntOr_Dem_Am_EUR">#REF!</definedName>
    <definedName name="DF17_Alloc_IntOr_Dem_Am_OthC" localSheetId="5">#REF!</definedName>
    <definedName name="DF17_Alloc_IntOr_Dem_Am_OthC">#REF!</definedName>
    <definedName name="DF17_Alloc_IntOr_Dem_Am_RUR" localSheetId="5">#REF!</definedName>
    <definedName name="DF17_Alloc_IntOr_Dem_Am_RUR">#REF!</definedName>
    <definedName name="DF17_Alloc_IntOr_Dem_Am_USD" localSheetId="5">#REF!</definedName>
    <definedName name="DF17_Alloc_IntOr_Dem_Am_USD">#REF!</definedName>
    <definedName name="DF17_Alloc_IntOr_Dem_I_AMD" localSheetId="5">#REF!</definedName>
    <definedName name="DF17_Alloc_IntOr_Dem_I_AMD">#REF!</definedName>
    <definedName name="DF17_Alloc_IntOr_Dem_I_EUR" localSheetId="5">#REF!</definedName>
    <definedName name="DF17_Alloc_IntOr_Dem_I_EUR">#REF!</definedName>
    <definedName name="DF17_Alloc_IntOr_Dem_I_OthC" localSheetId="5">#REF!</definedName>
    <definedName name="DF17_Alloc_IntOr_Dem_I_OthC">#REF!</definedName>
    <definedName name="DF17_Alloc_IntOr_Dem_I_RUR" localSheetId="5">#REF!</definedName>
    <definedName name="DF17_Alloc_IntOr_Dem_I_RUR">#REF!</definedName>
    <definedName name="DF17_Alloc_IntOr_Dem_I_USD" localSheetId="5">#REF!</definedName>
    <definedName name="DF17_Alloc_IntOr_Dem_I_USD">#REF!</definedName>
    <definedName name="DF17_Alloc_IntOr_Mr360D_Am_AMD" localSheetId="5">#REF!</definedName>
    <definedName name="DF17_Alloc_IntOr_Mr360D_Am_AMD">#REF!</definedName>
    <definedName name="DF17_Alloc_IntOr_Mr360D_Am_EUR" localSheetId="5">#REF!</definedName>
    <definedName name="DF17_Alloc_IntOr_Mr360D_Am_EUR">#REF!</definedName>
    <definedName name="DF17_Alloc_IntOr_Mr360D_Am_Oth" localSheetId="5">#REF!</definedName>
    <definedName name="DF17_Alloc_IntOr_Mr360D_Am_Oth">#REF!</definedName>
    <definedName name="DF17_Alloc_IntOr_Mr360D_Am_RUR" localSheetId="5">#REF!</definedName>
    <definedName name="DF17_Alloc_IntOr_Mr360D_Am_RUR">#REF!</definedName>
    <definedName name="DF17_Alloc_IntOr_Mr360D_Am_USD" localSheetId="5">#REF!</definedName>
    <definedName name="DF17_Alloc_IntOr_Mr360D_Am_USD">#REF!</definedName>
    <definedName name="DF17_Alloc_IntOr_Mr360D_I_AMD" localSheetId="5">#REF!</definedName>
    <definedName name="DF17_Alloc_IntOr_Mr360D_I_AMD">#REF!</definedName>
    <definedName name="DF17_Alloc_IntOr_Mr360D_I_EUR" localSheetId="5">#REF!</definedName>
    <definedName name="DF17_Alloc_IntOr_Mr360D_I_EUR">#REF!</definedName>
    <definedName name="DF17_Alloc_IntOr_Mr360D_I_OthC" localSheetId="5">#REF!</definedName>
    <definedName name="DF17_Alloc_IntOr_Mr360D_I_OthC">#REF!</definedName>
    <definedName name="DF17_Alloc_IntOr_Mr360D_I_RUR" localSheetId="5">#REF!</definedName>
    <definedName name="DF17_Alloc_IntOr_Mr360D_I_RUR">#REF!</definedName>
    <definedName name="DF17_Alloc_IntOr_Mr360D_I_USD" localSheetId="5">#REF!</definedName>
    <definedName name="DF17_Alloc_IntOr_Mr360D_I_USD">#REF!</definedName>
    <definedName name="DF17_Alloc_OthBn_15D_Am_AMD" localSheetId="5">#REF!</definedName>
    <definedName name="DF17_Alloc_OthBn_15D_Am_AMD">#REF!</definedName>
    <definedName name="DF17_Alloc_OthBn_15D_Am_EUR" localSheetId="5">#REF!</definedName>
    <definedName name="DF17_Alloc_OthBn_15D_Am_EUR">#REF!</definedName>
    <definedName name="DF17_Alloc_OthBn_15D_Am_OthC" localSheetId="5">#REF!</definedName>
    <definedName name="DF17_Alloc_OthBn_15D_Am_OthC">#REF!</definedName>
    <definedName name="DF17_Alloc_OthBn_15D_Am_RUR" localSheetId="5">#REF!</definedName>
    <definedName name="DF17_Alloc_OthBn_15D_Am_RUR">#REF!</definedName>
    <definedName name="DF17_Alloc_OthBn_15D_Am_USD" localSheetId="5">#REF!</definedName>
    <definedName name="DF17_Alloc_OthBn_15D_Am_USD">#REF!</definedName>
    <definedName name="DF17_Alloc_OthBn_15D_I_AMD" localSheetId="5">#REF!</definedName>
    <definedName name="DF17_Alloc_OthBn_15D_I_AMD">#REF!</definedName>
    <definedName name="DF17_Alloc_OthBn_15D_I_EUR" localSheetId="5">#REF!</definedName>
    <definedName name="DF17_Alloc_OthBn_15D_I_EUR">#REF!</definedName>
    <definedName name="DF17_Alloc_OthBn_15D_I_OthC" localSheetId="5">#REF!</definedName>
    <definedName name="DF17_Alloc_OthBn_15D_I_OthC">#REF!</definedName>
    <definedName name="DF17_Alloc_OthBn_15D_I_RUR" localSheetId="5">#REF!</definedName>
    <definedName name="DF17_Alloc_OthBn_15D_I_RUR">#REF!</definedName>
    <definedName name="DF17_Alloc_OthBn_15D_I_USD" localSheetId="5">#REF!</definedName>
    <definedName name="DF17_Alloc_OthBn_15D_I_USD">#REF!</definedName>
    <definedName name="DF17_Alloc_OthBn_180D_Am_AMD" localSheetId="5">#REF!</definedName>
    <definedName name="DF17_Alloc_OthBn_180D_Am_AMD">#REF!</definedName>
    <definedName name="DF17_Alloc_OthBn_180D_Am_EUR" localSheetId="5">#REF!</definedName>
    <definedName name="DF17_Alloc_OthBn_180D_Am_EUR">#REF!</definedName>
    <definedName name="DF17_Alloc_OthBn_180D_Am_OthC" localSheetId="5">#REF!</definedName>
    <definedName name="DF17_Alloc_OthBn_180D_Am_OthC">#REF!</definedName>
    <definedName name="DF17_Alloc_OthBn_180D_Am_RUR" localSheetId="5">#REF!</definedName>
    <definedName name="DF17_Alloc_OthBn_180D_Am_RUR">#REF!</definedName>
    <definedName name="DF17_Alloc_OthBn_180D_Am_USD" localSheetId="5">#REF!</definedName>
    <definedName name="DF17_Alloc_OthBn_180D_Am_USD">#REF!</definedName>
    <definedName name="DF17_Alloc_OthBn_180D_I_AMD" localSheetId="5">#REF!</definedName>
    <definedName name="DF17_Alloc_OthBn_180D_I_AMD">#REF!</definedName>
    <definedName name="DF17_Alloc_OthBn_180D_I_EUR" localSheetId="5">#REF!</definedName>
    <definedName name="DF17_Alloc_OthBn_180D_I_EUR">#REF!</definedName>
    <definedName name="DF17_Alloc_OthBn_180D_I_OthC" localSheetId="5">#REF!</definedName>
    <definedName name="DF17_Alloc_OthBn_180D_I_OthC">#REF!</definedName>
    <definedName name="DF17_Alloc_OthBn_180D_I_RUR" localSheetId="5">#REF!</definedName>
    <definedName name="DF17_Alloc_OthBn_180D_I_RUR">#REF!</definedName>
    <definedName name="DF17_Alloc_OthBn_180D_I_USD" localSheetId="5">#REF!</definedName>
    <definedName name="DF17_Alloc_OthBn_180D_I_USD">#REF!</definedName>
    <definedName name="DF17_Alloc_OthBn_30D_Am_AMD" localSheetId="5">#REF!</definedName>
    <definedName name="DF17_Alloc_OthBn_30D_Am_AMD">#REF!</definedName>
    <definedName name="DF17_Alloc_OthBn_30D_Am_EUR" localSheetId="5">#REF!</definedName>
    <definedName name="DF17_Alloc_OthBn_30D_Am_EUR">#REF!</definedName>
    <definedName name="DF17_Alloc_OthBn_30D_Am_OthC" localSheetId="5">#REF!</definedName>
    <definedName name="DF17_Alloc_OthBn_30D_Am_OthC">#REF!</definedName>
    <definedName name="DF17_Alloc_OthBn_30D_Am_RUR" localSheetId="5">#REF!</definedName>
    <definedName name="DF17_Alloc_OthBn_30D_Am_RUR">#REF!</definedName>
    <definedName name="DF17_Alloc_OthBn_30D_Am_USD" localSheetId="5">#REF!</definedName>
    <definedName name="DF17_Alloc_OthBn_30D_Am_USD">#REF!</definedName>
    <definedName name="DF17_Alloc_OthBn_30D_I_AMD" localSheetId="5">#REF!</definedName>
    <definedName name="DF17_Alloc_OthBn_30D_I_AMD">#REF!</definedName>
    <definedName name="DF17_Alloc_OthBn_30D_I_EUR" localSheetId="5">#REF!</definedName>
    <definedName name="DF17_Alloc_OthBn_30D_I_EUR">#REF!</definedName>
    <definedName name="DF17_Alloc_OthBn_30D_I_OthC" localSheetId="5">#REF!</definedName>
    <definedName name="DF17_Alloc_OthBn_30D_I_OthC">#REF!</definedName>
    <definedName name="DF17_Alloc_OthBn_30D_I_RUR" localSheetId="5">#REF!</definedName>
    <definedName name="DF17_Alloc_OthBn_30D_I_RUR">#REF!</definedName>
    <definedName name="DF17_Alloc_OthBn_30D_I_USD" localSheetId="5">#REF!</definedName>
    <definedName name="DF17_Alloc_OthBn_30D_I_USD">#REF!</definedName>
    <definedName name="DF17_Alloc_OthBn_360D_Am_AMD" localSheetId="5">#REF!</definedName>
    <definedName name="DF17_Alloc_OthBn_360D_Am_AMD">#REF!</definedName>
    <definedName name="DF17_Alloc_OthBn_360D_Am_EUR" localSheetId="5">#REF!</definedName>
    <definedName name="DF17_Alloc_OthBn_360D_Am_EUR">#REF!</definedName>
    <definedName name="DF17_Alloc_OthBn_360D_Am_OthC" localSheetId="5">#REF!</definedName>
    <definedName name="DF17_Alloc_OthBn_360D_Am_OthC">#REF!</definedName>
    <definedName name="DF17_Alloc_OthBn_360D_Am_RUR" localSheetId="5">#REF!</definedName>
    <definedName name="DF17_Alloc_OthBn_360D_Am_RUR">#REF!</definedName>
    <definedName name="DF17_Alloc_OthBn_360D_Am_USD" localSheetId="5">#REF!</definedName>
    <definedName name="DF17_Alloc_OthBn_360D_Am_USD">#REF!</definedName>
    <definedName name="DF17_Alloc_OthBn_360D_I_AMD" localSheetId="5">#REF!</definedName>
    <definedName name="DF17_Alloc_OthBn_360D_I_AMD">#REF!</definedName>
    <definedName name="DF17_Alloc_OthBn_360D_I_EUR" localSheetId="5">#REF!</definedName>
    <definedName name="DF17_Alloc_OthBn_360D_I_EUR">#REF!</definedName>
    <definedName name="DF17_Alloc_OthBn_360D_I_OthC" localSheetId="5">#REF!</definedName>
    <definedName name="DF17_Alloc_OthBn_360D_I_OthC">#REF!</definedName>
    <definedName name="DF17_Alloc_OthBn_360D_I_RUR" localSheetId="5">#REF!</definedName>
    <definedName name="DF17_Alloc_OthBn_360D_I_RUR">#REF!</definedName>
    <definedName name="DF17_Alloc_OthBn_360D_I_USD" localSheetId="5">#REF!</definedName>
    <definedName name="DF17_Alloc_OthBn_360D_I_USD">#REF!</definedName>
    <definedName name="DF17_Alloc_OthBn_60D_Am_AMD" localSheetId="5">#REF!</definedName>
    <definedName name="DF17_Alloc_OthBn_60D_Am_AMD">#REF!</definedName>
    <definedName name="DF17_Alloc_OthBn_60D_Am_EUR" localSheetId="5">#REF!</definedName>
    <definedName name="DF17_Alloc_OthBn_60D_Am_EUR">#REF!</definedName>
    <definedName name="DF17_Alloc_OthBn_60D_Am_OthC" localSheetId="5">#REF!</definedName>
    <definedName name="DF17_Alloc_OthBn_60D_Am_OthC">#REF!</definedName>
    <definedName name="DF17_Alloc_OthBn_60D_Am_RUR" localSheetId="5">#REF!</definedName>
    <definedName name="DF17_Alloc_OthBn_60D_Am_RUR">#REF!</definedName>
    <definedName name="DF17_Alloc_OthBn_60D_Am_USD" localSheetId="5">#REF!</definedName>
    <definedName name="DF17_Alloc_OthBn_60D_Am_USD">#REF!</definedName>
    <definedName name="DF17_Alloc_OthBn_60D_I_AMD" localSheetId="5">#REF!</definedName>
    <definedName name="DF17_Alloc_OthBn_60D_I_AMD">#REF!</definedName>
    <definedName name="DF17_Alloc_OthBn_60D_I_EUR" localSheetId="5">#REF!</definedName>
    <definedName name="DF17_Alloc_OthBn_60D_I_EUR">#REF!</definedName>
    <definedName name="DF17_Alloc_OthBn_60D_I_OthC" localSheetId="5">#REF!</definedName>
    <definedName name="DF17_Alloc_OthBn_60D_I_OthC">#REF!</definedName>
    <definedName name="DF17_Alloc_OthBn_60D_I_RUR" localSheetId="5">#REF!</definedName>
    <definedName name="DF17_Alloc_OthBn_60D_I_RUR">#REF!</definedName>
    <definedName name="DF17_Alloc_OthBn_60D_I_USD" localSheetId="5">#REF!</definedName>
    <definedName name="DF17_Alloc_OthBn_60D_I_USD">#REF!</definedName>
    <definedName name="DF17_Alloc_OthBn_90D_Am_AMD" localSheetId="5">#REF!</definedName>
    <definedName name="DF17_Alloc_OthBn_90D_Am_AMD">#REF!</definedName>
    <definedName name="DF17_Alloc_OthBn_90D_Am_EUR" localSheetId="5">#REF!</definedName>
    <definedName name="DF17_Alloc_OthBn_90D_Am_EUR">#REF!</definedName>
    <definedName name="DF17_Alloc_OthBn_90D_Am_OthC" localSheetId="5">#REF!</definedName>
    <definedName name="DF17_Alloc_OthBn_90D_Am_OthC">#REF!</definedName>
    <definedName name="DF17_Alloc_OthBn_90D_Am_RUR" localSheetId="5">#REF!</definedName>
    <definedName name="DF17_Alloc_OthBn_90D_Am_RUR">#REF!</definedName>
    <definedName name="DF17_Alloc_OthBn_90D_Am_USD" localSheetId="5">#REF!</definedName>
    <definedName name="DF17_Alloc_OthBn_90D_Am_USD">#REF!</definedName>
    <definedName name="DF17_Alloc_OthBn_90D_I_AMD" localSheetId="5">#REF!</definedName>
    <definedName name="DF17_Alloc_OthBn_90D_I_AMD">#REF!</definedName>
    <definedName name="DF17_Alloc_OthBn_90D_I_EUR" localSheetId="5">#REF!</definedName>
    <definedName name="DF17_Alloc_OthBn_90D_I_EUR">#REF!</definedName>
    <definedName name="DF17_Alloc_OthBn_90D_I_OthC" localSheetId="5">#REF!</definedName>
    <definedName name="DF17_Alloc_OthBn_90D_I_OthC">#REF!</definedName>
    <definedName name="DF17_Alloc_OthBn_90D_I_RUR" localSheetId="5">#REF!</definedName>
    <definedName name="DF17_Alloc_OthBn_90D_I_RUR">#REF!</definedName>
    <definedName name="DF17_Alloc_OthBn_90D_I_USD" localSheetId="5">#REF!</definedName>
    <definedName name="DF17_Alloc_OthBn_90D_I_USD">#REF!</definedName>
    <definedName name="DF17_Alloc_OthBn_Dem_Am_AMD" localSheetId="5">#REF!</definedName>
    <definedName name="DF17_Alloc_OthBn_Dem_Am_AMD">#REF!</definedName>
    <definedName name="DF17_Alloc_OthBn_Dem_Am_EUR" localSheetId="5">#REF!</definedName>
    <definedName name="DF17_Alloc_OthBn_Dem_Am_EUR">#REF!</definedName>
    <definedName name="DF17_Alloc_OthBn_Dem_Am_OthC" localSheetId="5">#REF!</definedName>
    <definedName name="DF17_Alloc_OthBn_Dem_Am_OthC">#REF!</definedName>
    <definedName name="DF17_Alloc_OthBn_Dem_Am_RUR" localSheetId="5">#REF!</definedName>
    <definedName name="DF17_Alloc_OthBn_Dem_Am_RUR">#REF!</definedName>
    <definedName name="DF17_Alloc_OthBn_Dem_Am_USD" localSheetId="5">#REF!</definedName>
    <definedName name="DF17_Alloc_OthBn_Dem_Am_USD">#REF!</definedName>
    <definedName name="DF17_Alloc_OthBn_Dem_I_AMD" localSheetId="5">#REF!</definedName>
    <definedName name="DF17_Alloc_OthBn_Dem_I_AMD">#REF!</definedName>
    <definedName name="DF17_Alloc_OthBn_Dem_I_EUR" localSheetId="5">#REF!</definedName>
    <definedName name="DF17_Alloc_OthBn_Dem_I_EUR">#REF!</definedName>
    <definedName name="DF17_Alloc_OthBn_Dem_I_OthC" localSheetId="5">#REF!</definedName>
    <definedName name="DF17_Alloc_OthBn_Dem_I_OthC">#REF!</definedName>
    <definedName name="DF17_Alloc_OthBn_Dem_I_RUR" localSheetId="5">#REF!</definedName>
    <definedName name="DF17_Alloc_OthBn_Dem_I_RUR">#REF!</definedName>
    <definedName name="DF17_Alloc_OthBn_Dem_I_USD" localSheetId="5">#REF!</definedName>
    <definedName name="DF17_Alloc_OthBn_Dem_I_USD">#REF!</definedName>
    <definedName name="DF17_Alloc_OthBn_Mr360D_Am_AMD" localSheetId="5">#REF!</definedName>
    <definedName name="DF17_Alloc_OthBn_Mr360D_Am_AMD">#REF!</definedName>
    <definedName name="DF17_Alloc_OthBn_Mr360D_Am_EUR" localSheetId="5">#REF!</definedName>
    <definedName name="DF17_Alloc_OthBn_Mr360D_Am_EUR">#REF!</definedName>
    <definedName name="DF17_Alloc_OthBn_Mr360D_Am_Oth" localSheetId="5">#REF!</definedName>
    <definedName name="DF17_Alloc_OthBn_Mr360D_Am_Oth">#REF!</definedName>
    <definedName name="DF17_Alloc_OthBn_Mr360D_Am_RUR" localSheetId="5">#REF!</definedName>
    <definedName name="DF17_Alloc_OthBn_Mr360D_Am_RUR">#REF!</definedName>
    <definedName name="DF17_Alloc_OthBn_Mr360D_Am_USD" localSheetId="5">#REF!</definedName>
    <definedName name="DF17_Alloc_OthBn_Mr360D_Am_USD">#REF!</definedName>
    <definedName name="DF17_Alloc_OthBn_Mr360D_I_AMD" localSheetId="5">#REF!</definedName>
    <definedName name="DF17_Alloc_OthBn_Mr360D_I_AMD">#REF!</definedName>
    <definedName name="DF17_Alloc_OthBn_Mr360D_I_EUR" localSheetId="5">#REF!</definedName>
    <definedName name="DF17_Alloc_OthBn_Mr360D_I_EUR">#REF!</definedName>
    <definedName name="DF17_Alloc_OthBn_Mr360D_I_OthC" localSheetId="5">#REF!</definedName>
    <definedName name="DF17_Alloc_OthBn_Mr360D_I_OthC">#REF!</definedName>
    <definedName name="DF17_Alloc_OthBn_Mr360D_I_RUR" localSheetId="5">#REF!</definedName>
    <definedName name="DF17_Alloc_OthBn_Mr360D_I_RUR">#REF!</definedName>
    <definedName name="DF17_Alloc_OthBn_Mr360D_I_USD" localSheetId="5">#REF!</definedName>
    <definedName name="DF17_Alloc_OthBn_Mr360D_I_USD">#REF!</definedName>
    <definedName name="DF17_Alloc_Repo_15D_Am_ABnk" localSheetId="5">#REF!</definedName>
    <definedName name="DF17_Alloc_Repo_15D_Am_ABnk">#REF!</definedName>
    <definedName name="DF17_Alloc_Repo_15D_Am_Bus" localSheetId="5">#REF!</definedName>
    <definedName name="DF17_Alloc_Repo_15D_Am_Bus">#REF!</definedName>
    <definedName name="DF17_Alloc_Repo_15D_Am_Ind" localSheetId="5">#REF!</definedName>
    <definedName name="DF17_Alloc_Repo_15D_Am_Ind">#REF!</definedName>
    <definedName name="DF17_Alloc_Repo_15D_Am_OthBn" localSheetId="5">#REF!</definedName>
    <definedName name="DF17_Alloc_Repo_15D_Am_OthBn">#REF!</definedName>
    <definedName name="DF17_Alloc_Repo_15D_I_ABnk" localSheetId="5">#REF!</definedName>
    <definedName name="DF17_Alloc_Repo_15D_I_ABnk">#REF!</definedName>
    <definedName name="DF17_Alloc_Repo_15D_I_Bus" localSheetId="5">#REF!</definedName>
    <definedName name="DF17_Alloc_Repo_15D_I_Bus">#REF!</definedName>
    <definedName name="DF17_Alloc_Repo_15D_I_Ind" localSheetId="5">#REF!</definedName>
    <definedName name="DF17_Alloc_Repo_15D_I_Ind">#REF!</definedName>
    <definedName name="DF17_Alloc_Repo_15D_I_OthBn" localSheetId="5">#REF!</definedName>
    <definedName name="DF17_Alloc_Repo_15D_I_OthBn">#REF!</definedName>
    <definedName name="DF17_Alloc_Repo_180D_Am_ABnk" localSheetId="5">#REF!</definedName>
    <definedName name="DF17_Alloc_Repo_180D_Am_ABnk">#REF!</definedName>
    <definedName name="DF17_Alloc_Repo_180D_Am_Bus" localSheetId="5">#REF!</definedName>
    <definedName name="DF17_Alloc_Repo_180D_Am_Bus">#REF!</definedName>
    <definedName name="DF17_Alloc_Repo_180D_Am_Ind" localSheetId="5">#REF!</definedName>
    <definedName name="DF17_Alloc_Repo_180D_Am_Ind">#REF!</definedName>
    <definedName name="DF17_Alloc_Repo_180D_Am_OthBn" localSheetId="5">#REF!</definedName>
    <definedName name="DF17_Alloc_Repo_180D_Am_OthBn">#REF!</definedName>
    <definedName name="DF17_Alloc_Repo_180D_I_ABnk" localSheetId="5">#REF!</definedName>
    <definedName name="DF17_Alloc_Repo_180D_I_ABnk">#REF!</definedName>
    <definedName name="DF17_Alloc_Repo_180D_I_Bus" localSheetId="5">#REF!</definedName>
    <definedName name="DF17_Alloc_Repo_180D_I_Bus">#REF!</definedName>
    <definedName name="DF17_Alloc_Repo_180D_I_Ind" localSheetId="5">#REF!</definedName>
    <definedName name="DF17_Alloc_Repo_180D_I_Ind">#REF!</definedName>
    <definedName name="DF17_Alloc_Repo_180D_I_OthBn" localSheetId="5">#REF!</definedName>
    <definedName name="DF17_Alloc_Repo_180D_I_OthBn">#REF!</definedName>
    <definedName name="DF17_Alloc_Repo_30D_Am_ABnk" localSheetId="5">#REF!</definedName>
    <definedName name="DF17_Alloc_Repo_30D_Am_ABnk">#REF!</definedName>
    <definedName name="DF17_Alloc_Repo_30D_Am_Bus" localSheetId="5">#REF!</definedName>
    <definedName name="DF17_Alloc_Repo_30D_Am_Bus">#REF!</definedName>
    <definedName name="DF17_Alloc_Repo_30D_Am_Ind" localSheetId="5">#REF!</definedName>
    <definedName name="DF17_Alloc_Repo_30D_Am_Ind">#REF!</definedName>
    <definedName name="DF17_Alloc_Repo_30D_Am_OthBn" localSheetId="5">#REF!</definedName>
    <definedName name="DF17_Alloc_Repo_30D_Am_OthBn">#REF!</definedName>
    <definedName name="DF17_Alloc_Repo_30D_I_ABnk" localSheetId="5">#REF!</definedName>
    <definedName name="DF17_Alloc_Repo_30D_I_ABnk">#REF!</definedName>
    <definedName name="DF17_Alloc_Repo_30D_I_Bus" localSheetId="5">#REF!</definedName>
    <definedName name="DF17_Alloc_Repo_30D_I_Bus">#REF!</definedName>
    <definedName name="DF17_Alloc_Repo_30D_I_Ind" localSheetId="5">#REF!</definedName>
    <definedName name="DF17_Alloc_Repo_30D_I_Ind">#REF!</definedName>
    <definedName name="DF17_Alloc_Repo_30D_I_OthBn" localSheetId="5">#REF!</definedName>
    <definedName name="DF17_Alloc_Repo_30D_I_OthBn">#REF!</definedName>
    <definedName name="DF17_Alloc_Repo_360D_Am_ABnk" localSheetId="5">#REF!</definedName>
    <definedName name="DF17_Alloc_Repo_360D_Am_ABnk">#REF!</definedName>
    <definedName name="DF17_Alloc_Repo_360D_Am_Bus" localSheetId="5">#REF!</definedName>
    <definedName name="DF17_Alloc_Repo_360D_Am_Bus">#REF!</definedName>
    <definedName name="DF17_Alloc_Repo_360D_Am_Ind" localSheetId="5">#REF!</definedName>
    <definedName name="DF17_Alloc_Repo_360D_Am_Ind">#REF!</definedName>
    <definedName name="DF17_Alloc_Repo_360D_Am_OthBn" localSheetId="5">#REF!</definedName>
    <definedName name="DF17_Alloc_Repo_360D_Am_OthBn">#REF!</definedName>
    <definedName name="DF17_Alloc_Repo_360D_I_ABnk" localSheetId="5">#REF!</definedName>
    <definedName name="DF17_Alloc_Repo_360D_I_ABnk">#REF!</definedName>
    <definedName name="DF17_Alloc_Repo_360D_I_Bus" localSheetId="5">#REF!</definedName>
    <definedName name="DF17_Alloc_Repo_360D_I_Bus">#REF!</definedName>
    <definedName name="DF17_Alloc_Repo_360D_I_Ind" localSheetId="5">#REF!</definedName>
    <definedName name="DF17_Alloc_Repo_360D_I_Ind">#REF!</definedName>
    <definedName name="DF17_Alloc_Repo_360D_I_OthBn" localSheetId="5">#REF!</definedName>
    <definedName name="DF17_Alloc_Repo_360D_I_OthBn">#REF!</definedName>
    <definedName name="DF17_Alloc_Repo_60D_Am_ABnk" localSheetId="5">#REF!</definedName>
    <definedName name="DF17_Alloc_Repo_60D_Am_ABnk">#REF!</definedName>
    <definedName name="DF17_Alloc_Repo_60D_Am_Bus" localSheetId="5">#REF!</definedName>
    <definedName name="DF17_Alloc_Repo_60D_Am_Bus">#REF!</definedName>
    <definedName name="DF17_Alloc_Repo_60D_Am_Ind" localSheetId="5">#REF!</definedName>
    <definedName name="DF17_Alloc_Repo_60D_Am_Ind">#REF!</definedName>
    <definedName name="DF17_Alloc_Repo_60D_Am_OthBn" localSheetId="5">#REF!</definedName>
    <definedName name="DF17_Alloc_Repo_60D_Am_OthBn">#REF!</definedName>
    <definedName name="DF17_Alloc_Repo_60D_I_ABnk" localSheetId="5">#REF!</definedName>
    <definedName name="DF17_Alloc_Repo_60D_I_ABnk">#REF!</definedName>
    <definedName name="DF17_Alloc_Repo_60D_I_Bus" localSheetId="5">#REF!</definedName>
    <definedName name="DF17_Alloc_Repo_60D_I_Bus">#REF!</definedName>
    <definedName name="DF17_Alloc_Repo_60D_I_Ind" localSheetId="5">#REF!</definedName>
    <definedName name="DF17_Alloc_Repo_60D_I_Ind">#REF!</definedName>
    <definedName name="DF17_Alloc_Repo_60D_I_OthBn" localSheetId="5">#REF!</definedName>
    <definedName name="DF17_Alloc_Repo_60D_I_OthBn">#REF!</definedName>
    <definedName name="DF17_Alloc_Repo_90D_Am_ABnk" localSheetId="5">#REF!</definedName>
    <definedName name="DF17_Alloc_Repo_90D_Am_ABnk">#REF!</definedName>
    <definedName name="DF17_Alloc_Repo_90D_Am_Bus" localSheetId="5">#REF!</definedName>
    <definedName name="DF17_Alloc_Repo_90D_Am_Bus">#REF!</definedName>
    <definedName name="DF17_Alloc_Repo_90D_Am_Ind" localSheetId="5">#REF!</definedName>
    <definedName name="DF17_Alloc_Repo_90D_Am_Ind">#REF!</definedName>
    <definedName name="DF17_Alloc_Repo_90D_Am_OthBn" localSheetId="5">#REF!</definedName>
    <definedName name="DF17_Alloc_Repo_90D_Am_OthBn">#REF!</definedName>
    <definedName name="DF17_Alloc_Repo_90D_I_ABnk" localSheetId="5">#REF!</definedName>
    <definedName name="DF17_Alloc_Repo_90D_I_ABnk">#REF!</definedName>
    <definedName name="DF17_Alloc_Repo_90D_I_Bus" localSheetId="5">#REF!</definedName>
    <definedName name="DF17_Alloc_Repo_90D_I_Bus">#REF!</definedName>
    <definedName name="DF17_Alloc_Repo_90D_I_Ind" localSheetId="5">#REF!</definedName>
    <definedName name="DF17_Alloc_Repo_90D_I_Ind">#REF!</definedName>
    <definedName name="DF17_Alloc_Repo_90D_I_OthBn" localSheetId="5">#REF!</definedName>
    <definedName name="DF17_Alloc_Repo_90D_I_OthBn">#REF!</definedName>
    <definedName name="DF17_Alloc_Repo_Dem_Am_ABnk" localSheetId="5">#REF!</definedName>
    <definedName name="DF17_Alloc_Repo_Dem_Am_ABnk">#REF!</definedName>
    <definedName name="DF17_Alloc_Repo_Dem_Am_Bus" localSheetId="5">#REF!</definedName>
    <definedName name="DF17_Alloc_Repo_Dem_Am_Bus">#REF!</definedName>
    <definedName name="DF17_Alloc_Repo_Dem_Am_Ind" localSheetId="5">#REF!</definedName>
    <definedName name="DF17_Alloc_Repo_Dem_Am_Ind">#REF!</definedName>
    <definedName name="DF17_Alloc_Repo_Dem_Am_OthBn" localSheetId="5">#REF!</definedName>
    <definedName name="DF17_Alloc_Repo_Dem_Am_OthBn">#REF!</definedName>
    <definedName name="DF17_Alloc_Repo_Dem_I_ABnk" localSheetId="5">#REF!</definedName>
    <definedName name="DF17_Alloc_Repo_Dem_I_ABnk">#REF!</definedName>
    <definedName name="DF17_Alloc_Repo_Dem_I_Bus" localSheetId="5">#REF!</definedName>
    <definedName name="DF17_Alloc_Repo_Dem_I_Bus">#REF!</definedName>
    <definedName name="DF17_Alloc_Repo_Dem_I_Ind" localSheetId="5">#REF!</definedName>
    <definedName name="DF17_Alloc_Repo_Dem_I_Ind">#REF!</definedName>
    <definedName name="DF17_Alloc_Repo_Dem_I_OthBn" localSheetId="5">#REF!</definedName>
    <definedName name="DF17_Alloc_Repo_Dem_I_OthBn">#REF!</definedName>
    <definedName name="DF17_Alloc_Repo_Mr360D_Am_ABnk" localSheetId="5">#REF!</definedName>
    <definedName name="DF17_Alloc_Repo_Mr360D_Am_ABnk">#REF!</definedName>
    <definedName name="DF17_Alloc_Repo_Mr360D_Am_Bus" localSheetId="5">#REF!</definedName>
    <definedName name="DF17_Alloc_Repo_Mr360D_Am_Bus">#REF!</definedName>
    <definedName name="DF17_Alloc_Repo_Mr360D_Am_Ind" localSheetId="5">#REF!</definedName>
    <definedName name="DF17_Alloc_Repo_Mr360D_Am_Ind">#REF!</definedName>
    <definedName name="DF17_Alloc_Repo_Mr360D_Am_OthB" localSheetId="5">#REF!</definedName>
    <definedName name="DF17_Alloc_Repo_Mr360D_Am_OthB">#REF!</definedName>
    <definedName name="DF17_Alloc_Repo_Mr360D_I_ABnk" localSheetId="5">#REF!</definedName>
    <definedName name="DF17_Alloc_Repo_Mr360D_I_ABnk">#REF!</definedName>
    <definedName name="DF17_Alloc_Repo_Mr360D_I_Bus" localSheetId="5">#REF!</definedName>
    <definedName name="DF17_Alloc_Repo_Mr360D_I_Bus">#REF!</definedName>
    <definedName name="DF17_Alloc_Repo_Mr360D_I_Ind" localSheetId="5">#REF!</definedName>
    <definedName name="DF17_Alloc_Repo_Mr360D_I_Ind">#REF!</definedName>
    <definedName name="DF17_Alloc_Repo_Mr360D_I_OthBn" localSheetId="5">#REF!</definedName>
    <definedName name="DF17_Alloc_Repo_Mr360D_I_OthBn">#REF!</definedName>
    <definedName name="DF17_Alloc_RepoF_Mr360D_Am" localSheetId="5">#REF!</definedName>
    <definedName name="DF17_Alloc_RepoF_Mr360D_Am">#REF!</definedName>
    <definedName name="DF17_Alloc_RepoFX_15D_Am" localSheetId="5">#REF!</definedName>
    <definedName name="DF17_Alloc_RepoFX_15D_Am">#REF!</definedName>
    <definedName name="DF17_Alloc_RepoFX_15D_I" localSheetId="5">#REF!</definedName>
    <definedName name="DF17_Alloc_RepoFX_15D_I">#REF!</definedName>
    <definedName name="DF17_Alloc_RepoFX_180D_Am" localSheetId="5">#REF!</definedName>
    <definedName name="DF17_Alloc_RepoFX_180D_Am">#REF!</definedName>
    <definedName name="DF17_Alloc_RepoFX_180D_I" localSheetId="5">#REF!</definedName>
    <definedName name="DF17_Alloc_RepoFX_180D_I">#REF!</definedName>
    <definedName name="DF17_Alloc_RepoFX_30D_Am" localSheetId="5">#REF!</definedName>
    <definedName name="DF17_Alloc_RepoFX_30D_Am">#REF!</definedName>
    <definedName name="DF17_Alloc_RepoFX_30D_I" localSheetId="5">#REF!</definedName>
    <definedName name="DF17_Alloc_RepoFX_30D_I">#REF!</definedName>
    <definedName name="DF17_Alloc_RepoFX_360D_Am" localSheetId="5">#REF!</definedName>
    <definedName name="DF17_Alloc_RepoFX_360D_Am">#REF!</definedName>
    <definedName name="DF17_Alloc_RepoFX_360D_I" localSheetId="5">#REF!</definedName>
    <definedName name="DF17_Alloc_RepoFX_360D_I">#REF!</definedName>
    <definedName name="DF17_Alloc_RepoFX_60D_Am" localSheetId="5">#REF!</definedName>
    <definedName name="DF17_Alloc_RepoFX_60D_Am">#REF!</definedName>
    <definedName name="DF17_Alloc_RepoFX_60D_I" localSheetId="5">#REF!</definedName>
    <definedName name="DF17_Alloc_RepoFX_60D_I">#REF!</definedName>
    <definedName name="DF17_Alloc_RepoFX_90D_Am" localSheetId="5">#REF!</definedName>
    <definedName name="DF17_Alloc_RepoFX_90D_Am">#REF!</definedName>
    <definedName name="DF17_Alloc_RepoFX_90D_I" localSheetId="5">#REF!</definedName>
    <definedName name="DF17_Alloc_RepoFX_90D_I">#REF!</definedName>
    <definedName name="DF17_Alloc_RepoFX_Dem_Am" localSheetId="5">#REF!</definedName>
    <definedName name="DF17_Alloc_RepoFX_Dem_Am">#REF!</definedName>
    <definedName name="DF17_Alloc_RepoFX_Dem_I" localSheetId="5">#REF!</definedName>
    <definedName name="DF17_Alloc_RepoFX_Dem_I">#REF!</definedName>
    <definedName name="DF17_Alloc_RepoFX_Mr360D_I" localSheetId="5">#REF!</definedName>
    <definedName name="DF17_Alloc_RepoFX_Mr360D_I">#REF!</definedName>
    <definedName name="DF17_Tot_15D_Am_AMD" localSheetId="5">#REF!</definedName>
    <definedName name="DF17_Tot_15D_Am_AMD">#REF!</definedName>
    <definedName name="DF17_Tot_15D_Am_EUR" localSheetId="5">#REF!</definedName>
    <definedName name="DF17_Tot_15D_Am_EUR">#REF!</definedName>
    <definedName name="DF17_Tot_15D_Am_OthC" localSheetId="5">#REF!</definedName>
    <definedName name="DF17_Tot_15D_Am_OthC">#REF!</definedName>
    <definedName name="DF17_Tot_15D_Am_RUR" localSheetId="5">#REF!</definedName>
    <definedName name="DF17_Tot_15D_Am_RUR">#REF!</definedName>
    <definedName name="DF17_Tot_15D_Am_USD" localSheetId="5">#REF!</definedName>
    <definedName name="DF17_Tot_15D_Am_USD">#REF!</definedName>
    <definedName name="DF17_Tot_15D_I_AMD" localSheetId="5">#REF!</definedName>
    <definedName name="DF17_Tot_15D_I_AMD">#REF!</definedName>
    <definedName name="DF17_Tot_15D_I_EUR" localSheetId="5">#REF!</definedName>
    <definedName name="DF17_Tot_15D_I_EUR">#REF!</definedName>
    <definedName name="DF17_Tot_15D_I_OthC" localSheetId="5">#REF!</definedName>
    <definedName name="DF17_Tot_15D_I_OthC">#REF!</definedName>
    <definedName name="DF17_Tot_15D_I_RUR" localSheetId="5">#REF!</definedName>
    <definedName name="DF17_Tot_15D_I_RUR">#REF!</definedName>
    <definedName name="DF17_Tot_15D_I_USD" localSheetId="5">#REF!</definedName>
    <definedName name="DF17_Tot_15D_I_USD">#REF!</definedName>
    <definedName name="DF17_Tot_180D_Am_AMD" localSheetId="5">#REF!</definedName>
    <definedName name="DF17_Tot_180D_Am_AMD">#REF!</definedName>
    <definedName name="DF17_Tot_180D_Am_EUR" localSheetId="5">#REF!</definedName>
    <definedName name="DF17_Tot_180D_Am_EUR">#REF!</definedName>
    <definedName name="DF17_Tot_180D_Am_OthC" localSheetId="5">#REF!</definedName>
    <definedName name="DF17_Tot_180D_Am_OthC">#REF!</definedName>
    <definedName name="DF17_Tot_180D_Am_RUR" localSheetId="5">#REF!</definedName>
    <definedName name="DF17_Tot_180D_Am_RUR">#REF!</definedName>
    <definedName name="DF17_Tot_180D_Am_USD" localSheetId="5">#REF!</definedName>
    <definedName name="DF17_Tot_180D_Am_USD">#REF!</definedName>
    <definedName name="DF17_Tot_180D_I_AMD" localSheetId="5">#REF!</definedName>
    <definedName name="DF17_Tot_180D_I_AMD">#REF!</definedName>
    <definedName name="DF17_Tot_180D_I_EUR" localSheetId="5">#REF!</definedName>
    <definedName name="DF17_Tot_180D_I_EUR">#REF!</definedName>
    <definedName name="DF17_Tot_180D_I_OthC" localSheetId="5">#REF!</definedName>
    <definedName name="DF17_Tot_180D_I_OthC">#REF!</definedName>
    <definedName name="DF17_Tot_180D_I_RUR" localSheetId="5">#REF!</definedName>
    <definedName name="DF17_Tot_180D_I_RUR">#REF!</definedName>
    <definedName name="DF17_Tot_180D_I_USD" localSheetId="5">#REF!</definedName>
    <definedName name="DF17_Tot_180D_I_USD">#REF!</definedName>
    <definedName name="DF17_Tot_30D_Am_AMD" localSheetId="5">#REF!</definedName>
    <definedName name="DF17_Tot_30D_Am_AMD">#REF!</definedName>
    <definedName name="DF17_Tot_30D_Am_EUR" localSheetId="5">#REF!</definedName>
    <definedName name="DF17_Tot_30D_Am_EUR">#REF!</definedName>
    <definedName name="DF17_Tot_30D_Am_OthC" localSheetId="5">#REF!</definedName>
    <definedName name="DF17_Tot_30D_Am_OthC">#REF!</definedName>
    <definedName name="DF17_Tot_30D_Am_RUR" localSheetId="5">#REF!</definedName>
    <definedName name="DF17_Tot_30D_Am_RUR">#REF!</definedName>
    <definedName name="DF17_Tot_30D_Am_USD" localSheetId="5">#REF!</definedName>
    <definedName name="DF17_Tot_30D_Am_USD">#REF!</definedName>
    <definedName name="DF17_Tot_30D_I_AMD" localSheetId="5">#REF!</definedName>
    <definedName name="DF17_Tot_30D_I_AMD">#REF!</definedName>
    <definedName name="DF17_Tot_30D_I_EUR" localSheetId="5">#REF!</definedName>
    <definedName name="DF17_Tot_30D_I_EUR">#REF!</definedName>
    <definedName name="DF17_Tot_30D_I_OthC" localSheetId="5">#REF!</definedName>
    <definedName name="DF17_Tot_30D_I_OthC">#REF!</definedName>
    <definedName name="DF17_Tot_30D_I_RUR" localSheetId="5">#REF!</definedName>
    <definedName name="DF17_Tot_30D_I_RUR">#REF!</definedName>
    <definedName name="DF17_Tot_30D_I_USD" localSheetId="5">#REF!</definedName>
    <definedName name="DF17_Tot_30D_I_USD">#REF!</definedName>
    <definedName name="DF17_Tot_360D_Am_AMD" localSheetId="5">#REF!</definedName>
    <definedName name="DF17_Tot_360D_Am_AMD">#REF!</definedName>
    <definedName name="DF17_Tot_360D_Am_EUR" localSheetId="5">#REF!</definedName>
    <definedName name="DF17_Tot_360D_Am_EUR">#REF!</definedName>
    <definedName name="DF17_Tot_360D_Am_OthC" localSheetId="5">#REF!</definedName>
    <definedName name="DF17_Tot_360D_Am_OthC">#REF!</definedName>
    <definedName name="DF17_Tot_360D_Am_RUR" localSheetId="5">#REF!</definedName>
    <definedName name="DF17_Tot_360D_Am_RUR">#REF!</definedName>
    <definedName name="DF17_Tot_360D_Am_USD" localSheetId="5">#REF!</definedName>
    <definedName name="DF17_Tot_360D_Am_USD">#REF!</definedName>
    <definedName name="DF17_Tot_360D_I_AMD" localSheetId="5">#REF!</definedName>
    <definedName name="DF17_Tot_360D_I_AMD">#REF!</definedName>
    <definedName name="DF17_Tot_360D_I_EUR" localSheetId="5">#REF!</definedName>
    <definedName name="DF17_Tot_360D_I_EUR">#REF!</definedName>
    <definedName name="DF17_Tot_360D_I_OthC" localSheetId="5">#REF!</definedName>
    <definedName name="DF17_Tot_360D_I_OthC">#REF!</definedName>
    <definedName name="DF17_Tot_360D_I_RUR" localSheetId="5">#REF!</definedName>
    <definedName name="DF17_Tot_360D_I_RUR">#REF!</definedName>
    <definedName name="DF17_Tot_360D_I_USD" localSheetId="5">#REF!</definedName>
    <definedName name="DF17_Tot_360D_I_USD">#REF!</definedName>
    <definedName name="DF17_Tot_60D_Am_AMD" localSheetId="5">#REF!</definedName>
    <definedName name="DF17_Tot_60D_Am_AMD">#REF!</definedName>
    <definedName name="DF17_Tot_60D_Am_EUR" localSheetId="5">#REF!</definedName>
    <definedName name="DF17_Tot_60D_Am_EUR">#REF!</definedName>
    <definedName name="DF17_Tot_60D_Am_OthC" localSheetId="5">#REF!</definedName>
    <definedName name="DF17_Tot_60D_Am_OthC">#REF!</definedName>
    <definedName name="DF17_Tot_60D_Am_RUR" localSheetId="5">#REF!</definedName>
    <definedName name="DF17_Tot_60D_Am_RUR">#REF!</definedName>
    <definedName name="DF17_Tot_60D_Am_USD" localSheetId="5">#REF!</definedName>
    <definedName name="DF17_Tot_60D_Am_USD">#REF!</definedName>
    <definedName name="DF17_Tot_60D_I_AMD" localSheetId="5">#REF!</definedName>
    <definedName name="DF17_Tot_60D_I_AMD">#REF!</definedName>
    <definedName name="DF17_Tot_60D_I_EUR" localSheetId="5">#REF!</definedName>
    <definedName name="DF17_Tot_60D_I_EUR">#REF!</definedName>
    <definedName name="DF17_Tot_60D_I_OthC" localSheetId="5">#REF!</definedName>
    <definedName name="DF17_Tot_60D_I_OthC">#REF!</definedName>
    <definedName name="DF17_Tot_60D_I_RUR" localSheetId="5">#REF!</definedName>
    <definedName name="DF17_Tot_60D_I_RUR">#REF!</definedName>
    <definedName name="DF17_Tot_60D_I_USD" localSheetId="5">#REF!</definedName>
    <definedName name="DF17_Tot_60D_I_USD">#REF!</definedName>
    <definedName name="DF17_Tot_90D_Am_AMD" localSheetId="5">#REF!</definedName>
    <definedName name="DF17_Tot_90D_Am_AMD">#REF!</definedName>
    <definedName name="DF17_Tot_90D_Am_EUR" localSheetId="5">#REF!</definedName>
    <definedName name="DF17_Tot_90D_Am_EUR">#REF!</definedName>
    <definedName name="DF17_Tot_90D_Am_OthC" localSheetId="5">#REF!</definedName>
    <definedName name="DF17_Tot_90D_Am_OthC">#REF!</definedName>
    <definedName name="DF17_Tot_90D_Am_RUR" localSheetId="5">#REF!</definedName>
    <definedName name="DF17_Tot_90D_Am_RUR">#REF!</definedName>
    <definedName name="DF17_Tot_90D_Am_USD" localSheetId="5">#REF!</definedName>
    <definedName name="DF17_Tot_90D_Am_USD">#REF!</definedName>
    <definedName name="DF17_Tot_90D_I_AMD" localSheetId="5">#REF!</definedName>
    <definedName name="DF17_Tot_90D_I_AMD">#REF!</definedName>
    <definedName name="DF17_Tot_90D_I_EUR" localSheetId="5">#REF!</definedName>
    <definedName name="DF17_Tot_90D_I_EUR">#REF!</definedName>
    <definedName name="DF17_Tot_90D_I_OthC" localSheetId="5">#REF!</definedName>
    <definedName name="DF17_Tot_90D_I_OthC">#REF!</definedName>
    <definedName name="DF17_Tot_90D_I_RUR" localSheetId="5">#REF!</definedName>
    <definedName name="DF17_Tot_90D_I_RUR">#REF!</definedName>
    <definedName name="DF17_Tot_90D_I_USD" localSheetId="5">#REF!</definedName>
    <definedName name="DF17_Tot_90D_I_USD">#REF!</definedName>
    <definedName name="DF17_Tot_Dem_Am_AMD" localSheetId="5">#REF!</definedName>
    <definedName name="DF17_Tot_Dem_Am_AMD">#REF!</definedName>
    <definedName name="DF17_Tot_Dem_Am_EUR" localSheetId="5">#REF!</definedName>
    <definedName name="DF17_Tot_Dem_Am_EUR">#REF!</definedName>
    <definedName name="DF17_Tot_Dem_Am_OthC" localSheetId="5">#REF!</definedName>
    <definedName name="DF17_Tot_Dem_Am_OthC">#REF!</definedName>
    <definedName name="DF17_Tot_Dem_Am_RUR" localSheetId="5">#REF!</definedName>
    <definedName name="DF17_Tot_Dem_Am_RUR">#REF!</definedName>
    <definedName name="DF17_Tot_Dem_Am_USD" localSheetId="5">#REF!</definedName>
    <definedName name="DF17_Tot_Dem_Am_USD">#REF!</definedName>
    <definedName name="DF17_Tot_Dem_I_AMD" localSheetId="5">#REF!</definedName>
    <definedName name="DF17_Tot_Dem_I_AMD">#REF!</definedName>
    <definedName name="DF17_Tot_Dem_I_EUR" localSheetId="5">#REF!</definedName>
    <definedName name="DF17_Tot_Dem_I_EUR">#REF!</definedName>
    <definedName name="DF17_Tot_Dem_I_OthC" localSheetId="5">#REF!</definedName>
    <definedName name="DF17_Tot_Dem_I_OthC">#REF!</definedName>
    <definedName name="DF17_Tot_Dem_I_RUR" localSheetId="5">#REF!</definedName>
    <definedName name="DF17_Tot_Dem_I_RUR">#REF!</definedName>
    <definedName name="DF17_Tot_Dem_I_USD" localSheetId="5">#REF!</definedName>
    <definedName name="DF17_Tot_Dem_I_USD">#REF!</definedName>
    <definedName name="DF17_Tot_Mr360D_Am_AMD" localSheetId="5">#REF!</definedName>
    <definedName name="DF17_Tot_Mr360D_Am_AMD">#REF!</definedName>
    <definedName name="DF17_Tot_Mr360D_Am_EUR" localSheetId="5">#REF!</definedName>
    <definedName name="DF17_Tot_Mr360D_Am_EUR">#REF!</definedName>
    <definedName name="DF17_Tot_Mr360D_Am_OthC" localSheetId="5">#REF!</definedName>
    <definedName name="DF17_Tot_Mr360D_Am_OthC">#REF!</definedName>
    <definedName name="DF17_Tot_Mr360D_Am_RUR" localSheetId="5">#REF!</definedName>
    <definedName name="DF17_Tot_Mr360D_Am_RUR">#REF!</definedName>
    <definedName name="DF17_Tot_Mr360D_Am_USD" localSheetId="5">#REF!</definedName>
    <definedName name="DF17_Tot_Mr360D_Am_USD">#REF!</definedName>
    <definedName name="DF17_Tot_Mr360D_I_AMD" localSheetId="5">#REF!</definedName>
    <definedName name="DF17_Tot_Mr360D_I_AMD">#REF!</definedName>
    <definedName name="DF17_Tot_Mr360D_I_EUR" localSheetId="5">#REF!</definedName>
    <definedName name="DF17_Tot_Mr360D_I_EUR">#REF!</definedName>
    <definedName name="DF17_Tot_Mr360D_I_OthC" localSheetId="5">#REF!</definedName>
    <definedName name="DF17_Tot_Mr360D_I_OthC">#REF!</definedName>
    <definedName name="DF17_Tot_Mr360D_I_RUR" localSheetId="5">#REF!</definedName>
    <definedName name="DF17_Tot_Mr360D_I_RUR">#REF!</definedName>
    <definedName name="DF17_Tot_Mr360D_I_USD" localSheetId="5">#REF!</definedName>
    <definedName name="DF17_Tot_Mr360D_I_USD">#REF!</definedName>
    <definedName name="f" localSheetId="5">#REF!</definedName>
    <definedName name="f">#REF!</definedName>
    <definedName name="F17_Alloc_ABnk_15D_Am_AMD" localSheetId="5">#REF!</definedName>
    <definedName name="F17_Alloc_ABnk_15D_Am_AMD">#REF!</definedName>
    <definedName name="F17_Alloc_ABnk_15D_Am_EUR" localSheetId="5">#REF!</definedName>
    <definedName name="F17_Alloc_ABnk_15D_Am_EUR">#REF!</definedName>
    <definedName name="F17_Alloc_ABnk_15D_Am_OthC" localSheetId="5">#REF!</definedName>
    <definedName name="F17_Alloc_ABnk_15D_Am_OthC">#REF!</definedName>
    <definedName name="F17_Alloc_ABnk_15D_Am_RUR" localSheetId="5">#REF!</definedName>
    <definedName name="F17_Alloc_ABnk_15D_Am_RUR">#REF!</definedName>
    <definedName name="F17_Alloc_ABnk_15D_Am_USD" localSheetId="5">#REF!</definedName>
    <definedName name="F17_Alloc_ABnk_15D_Am_USD">#REF!</definedName>
    <definedName name="F17_Alloc_ABnk_15D_I_AMD" localSheetId="5">#REF!</definedName>
    <definedName name="F17_Alloc_ABnk_15D_I_AMD">#REF!</definedName>
    <definedName name="F17_Alloc_ABnk_15D_I_EUR" localSheetId="5">#REF!</definedName>
    <definedName name="F17_Alloc_ABnk_15D_I_EUR">#REF!</definedName>
    <definedName name="F17_Alloc_ABnk_15D_I_OthC" localSheetId="5">#REF!</definedName>
    <definedName name="F17_Alloc_ABnk_15D_I_OthC">#REF!</definedName>
    <definedName name="F17_Alloc_ABnk_15D_I_RUR" localSheetId="5">#REF!</definedName>
    <definedName name="F17_Alloc_ABnk_15D_I_RUR">#REF!</definedName>
    <definedName name="F17_Alloc_ABnk_15D_I_USD" localSheetId="5">#REF!</definedName>
    <definedName name="F17_Alloc_ABnk_15D_I_USD">#REF!</definedName>
    <definedName name="F17_Alloc_ABnk_180D_Am_AMD" localSheetId="5">#REF!</definedName>
    <definedName name="F17_Alloc_ABnk_180D_Am_AMD">#REF!</definedName>
    <definedName name="F17_Alloc_ABnk_180D_Am_EUR" localSheetId="5">#REF!</definedName>
    <definedName name="F17_Alloc_ABnk_180D_Am_EUR">#REF!</definedName>
    <definedName name="F17_Alloc_ABnk_180D_Am_OthC" localSheetId="5">#REF!</definedName>
    <definedName name="F17_Alloc_ABnk_180D_Am_OthC">#REF!</definedName>
    <definedName name="F17_Alloc_ABnk_180D_Am_RUR" localSheetId="5">#REF!</definedName>
    <definedName name="F17_Alloc_ABnk_180D_Am_RUR">#REF!</definedName>
    <definedName name="F17_Alloc_ABnk_180D_Am_USD" localSheetId="5">#REF!</definedName>
    <definedName name="F17_Alloc_ABnk_180D_Am_USD">#REF!</definedName>
    <definedName name="F17_Alloc_ABnk_180D_I_AMD" localSheetId="5">#REF!</definedName>
    <definedName name="F17_Alloc_ABnk_180D_I_AMD">#REF!</definedName>
    <definedName name="F17_Alloc_ABnk_180D_I_EUR" localSheetId="5">#REF!</definedName>
    <definedName name="F17_Alloc_ABnk_180D_I_EUR">#REF!</definedName>
    <definedName name="F17_Alloc_ABnk_180D_I_OthC" localSheetId="5">#REF!</definedName>
    <definedName name="F17_Alloc_ABnk_180D_I_OthC">#REF!</definedName>
    <definedName name="F17_Alloc_ABnk_180D_I_RUR" localSheetId="5">#REF!</definedName>
    <definedName name="F17_Alloc_ABnk_180D_I_RUR">#REF!</definedName>
    <definedName name="F17_Alloc_ABnk_180D_I_USD" localSheetId="5">#REF!</definedName>
    <definedName name="F17_Alloc_ABnk_180D_I_USD">#REF!</definedName>
    <definedName name="F17_Alloc_ABnk_30D_Am_AMD" localSheetId="5">#REF!</definedName>
    <definedName name="F17_Alloc_ABnk_30D_Am_AMD">#REF!</definedName>
    <definedName name="F17_Alloc_ABnk_30D_Am_EUR" localSheetId="5">#REF!</definedName>
    <definedName name="F17_Alloc_ABnk_30D_Am_EUR">#REF!</definedName>
    <definedName name="F17_Alloc_ABnk_30D_Am_OthC" localSheetId="5">#REF!</definedName>
    <definedName name="F17_Alloc_ABnk_30D_Am_OthC">#REF!</definedName>
    <definedName name="F17_Alloc_ABnk_30D_Am_RUR" localSheetId="5">#REF!</definedName>
    <definedName name="F17_Alloc_ABnk_30D_Am_RUR">#REF!</definedName>
    <definedName name="F17_Alloc_ABnk_30D_Am_USD" localSheetId="5">#REF!</definedName>
    <definedName name="F17_Alloc_ABnk_30D_Am_USD">#REF!</definedName>
    <definedName name="F17_Alloc_ABnk_30D_I_AMD" localSheetId="5">#REF!</definedName>
    <definedName name="F17_Alloc_ABnk_30D_I_AMD">#REF!</definedName>
    <definedName name="F17_Alloc_ABnk_30D_I_EUR" localSheetId="5">#REF!</definedName>
    <definedName name="F17_Alloc_ABnk_30D_I_EUR">#REF!</definedName>
    <definedName name="F17_Alloc_ABnk_30D_I_OthC" localSheetId="5">#REF!</definedName>
    <definedName name="F17_Alloc_ABnk_30D_I_OthC">#REF!</definedName>
    <definedName name="F17_Alloc_ABnk_30D_I_RUR" localSheetId="5">#REF!</definedName>
    <definedName name="F17_Alloc_ABnk_30D_I_RUR">#REF!</definedName>
    <definedName name="F17_Alloc_ABnk_30D_I_USD" localSheetId="5">#REF!</definedName>
    <definedName name="F17_Alloc_ABnk_30D_I_USD">#REF!</definedName>
    <definedName name="F17_Alloc_ABnk_360D_Am_AMD" localSheetId="5">#REF!</definedName>
    <definedName name="F17_Alloc_ABnk_360D_Am_AMD">#REF!</definedName>
    <definedName name="F17_Alloc_ABnk_360D_Am_EUR" localSheetId="5">#REF!</definedName>
    <definedName name="F17_Alloc_ABnk_360D_Am_EUR">#REF!</definedName>
    <definedName name="F17_Alloc_ABnk_360D_Am_OthC" localSheetId="5">#REF!</definedName>
    <definedName name="F17_Alloc_ABnk_360D_Am_OthC">#REF!</definedName>
    <definedName name="F17_Alloc_ABnk_360D_Am_RUR" localSheetId="5">#REF!</definedName>
    <definedName name="F17_Alloc_ABnk_360D_Am_RUR">#REF!</definedName>
    <definedName name="F17_Alloc_ABnk_360D_Am_USD" localSheetId="5">#REF!</definedName>
    <definedName name="F17_Alloc_ABnk_360D_Am_USD">#REF!</definedName>
    <definedName name="F17_Alloc_ABnk_360D_I_AMD" localSheetId="5">#REF!</definedName>
    <definedName name="F17_Alloc_ABnk_360D_I_AMD">#REF!</definedName>
    <definedName name="F17_Alloc_ABnk_360D_I_EUR" localSheetId="5">#REF!</definedName>
    <definedName name="F17_Alloc_ABnk_360D_I_EUR">#REF!</definedName>
    <definedName name="F17_Alloc_ABnk_360D_I_OthC" localSheetId="5">#REF!</definedName>
    <definedName name="F17_Alloc_ABnk_360D_I_OthC">#REF!</definedName>
    <definedName name="F17_Alloc_ABnk_360D_I_RUR" localSheetId="5">#REF!</definedName>
    <definedName name="F17_Alloc_ABnk_360D_I_RUR">#REF!</definedName>
    <definedName name="F17_Alloc_ABnk_360D_I_USD" localSheetId="5">#REF!</definedName>
    <definedName name="F17_Alloc_ABnk_360D_I_USD">#REF!</definedName>
    <definedName name="F17_Alloc_ABnk_60D_Am_AMD" localSheetId="5">#REF!</definedName>
    <definedName name="F17_Alloc_ABnk_60D_Am_AMD">#REF!</definedName>
    <definedName name="F17_Alloc_ABnk_60D_Am_EUR" localSheetId="5">#REF!</definedName>
    <definedName name="F17_Alloc_ABnk_60D_Am_EUR">#REF!</definedName>
    <definedName name="F17_Alloc_ABnk_60D_Am_OthC" localSheetId="5">#REF!</definedName>
    <definedName name="F17_Alloc_ABnk_60D_Am_OthC">#REF!</definedName>
    <definedName name="F17_Alloc_ABnk_60D_Am_RUR" localSheetId="5">#REF!</definedName>
    <definedName name="F17_Alloc_ABnk_60D_Am_RUR">#REF!</definedName>
    <definedName name="F17_Alloc_ABnk_60D_Am_USD" localSheetId="5">#REF!</definedName>
    <definedName name="F17_Alloc_ABnk_60D_Am_USD">#REF!</definedName>
    <definedName name="F17_Alloc_ABnk_60D_I_AMD" localSheetId="5">#REF!</definedName>
    <definedName name="F17_Alloc_ABnk_60D_I_AMD">#REF!</definedName>
    <definedName name="F17_Alloc_ABnk_60D_I_EUR" localSheetId="5">#REF!</definedName>
    <definedName name="F17_Alloc_ABnk_60D_I_EUR">#REF!</definedName>
    <definedName name="F17_Alloc_ABnk_60D_I_OthC" localSheetId="5">#REF!</definedName>
    <definedName name="F17_Alloc_ABnk_60D_I_OthC">#REF!</definedName>
    <definedName name="F17_Alloc_ABnk_60D_I_RUR" localSheetId="5">#REF!</definedName>
    <definedName name="F17_Alloc_ABnk_60D_I_RUR">#REF!</definedName>
    <definedName name="F17_Alloc_ABnk_60D_I_USD" localSheetId="5">#REF!</definedName>
    <definedName name="F17_Alloc_ABnk_60D_I_USD">#REF!</definedName>
    <definedName name="F17_Alloc_ABnk_90D_Am_AMD" localSheetId="5">#REF!</definedName>
    <definedName name="F17_Alloc_ABnk_90D_Am_AMD">#REF!</definedName>
    <definedName name="F17_Alloc_ABnk_90D_Am_EUR" localSheetId="5">#REF!</definedName>
    <definedName name="F17_Alloc_ABnk_90D_Am_EUR">#REF!</definedName>
    <definedName name="F17_Alloc_ABnk_90D_Am_OthC" localSheetId="5">#REF!</definedName>
    <definedName name="F17_Alloc_ABnk_90D_Am_OthC">#REF!</definedName>
    <definedName name="F17_Alloc_ABnk_90D_Am_RUR" localSheetId="5">#REF!</definedName>
    <definedName name="F17_Alloc_ABnk_90D_Am_RUR">#REF!</definedName>
    <definedName name="F17_Alloc_ABnk_90D_Am_USD" localSheetId="5">#REF!</definedName>
    <definedName name="F17_Alloc_ABnk_90D_Am_USD">#REF!</definedName>
    <definedName name="F17_Alloc_ABnk_90D_I_AMD" localSheetId="5">#REF!</definedName>
    <definedName name="F17_Alloc_ABnk_90D_I_AMD">#REF!</definedName>
    <definedName name="F17_Alloc_ABnk_90D_I_EUR" localSheetId="5">#REF!</definedName>
    <definedName name="F17_Alloc_ABnk_90D_I_EUR">#REF!</definedName>
    <definedName name="F17_Alloc_ABnk_90D_I_OthC" localSheetId="5">#REF!</definedName>
    <definedName name="F17_Alloc_ABnk_90D_I_OthC">#REF!</definedName>
    <definedName name="F17_Alloc_ABnk_90D_I_RUR" localSheetId="5">#REF!</definedName>
    <definedName name="F17_Alloc_ABnk_90D_I_RUR">#REF!</definedName>
    <definedName name="F17_Alloc_ABnk_90D_I_USD" localSheetId="5">#REF!</definedName>
    <definedName name="F17_Alloc_ABnk_90D_I_USD">#REF!</definedName>
    <definedName name="F17_Alloc_ABnk_Dem_Am_AMD" localSheetId="5">#REF!</definedName>
    <definedName name="F17_Alloc_ABnk_Dem_Am_AMD">#REF!</definedName>
    <definedName name="F17_Alloc_ABnk_Dem_Am_EUR" localSheetId="5">#REF!</definedName>
    <definedName name="F17_Alloc_ABnk_Dem_Am_EUR">#REF!</definedName>
    <definedName name="F17_Alloc_ABnk_Dem_Am_OthC" localSheetId="5">#REF!</definedName>
    <definedName name="F17_Alloc_ABnk_Dem_Am_OthC">#REF!</definedName>
    <definedName name="F17_Alloc_ABnk_Dem_Am_RUR" localSheetId="5">#REF!</definedName>
    <definedName name="F17_Alloc_ABnk_Dem_Am_RUR">#REF!</definedName>
    <definedName name="F17_Alloc_ABnk_Dem_Am_USD" localSheetId="5">#REF!</definedName>
    <definedName name="F17_Alloc_ABnk_Dem_Am_USD">#REF!</definedName>
    <definedName name="F17_Alloc_ABnk_Dem_I_AMD" localSheetId="5">#REF!</definedName>
    <definedName name="F17_Alloc_ABnk_Dem_I_AMD">#REF!</definedName>
    <definedName name="F17_Alloc_ABnk_Dem_I_EUR" localSheetId="5">#REF!</definedName>
    <definedName name="F17_Alloc_ABnk_Dem_I_EUR">#REF!</definedName>
    <definedName name="F17_Alloc_ABnk_Dem_I_OthC" localSheetId="5">#REF!</definedName>
    <definedName name="F17_Alloc_ABnk_Dem_I_OthC">#REF!</definedName>
    <definedName name="F17_Alloc_ABnk_Dem_I_RUR" localSheetId="5">#REF!</definedName>
    <definedName name="F17_Alloc_ABnk_Dem_I_RUR">#REF!</definedName>
    <definedName name="F17_Alloc_ABnk_Dem_I_USD" localSheetId="5">#REF!</definedName>
    <definedName name="F17_Alloc_ABnk_Dem_I_USD">#REF!</definedName>
    <definedName name="F17_Alloc_ABnk_Mr360D_Am_AMD" localSheetId="5">#REF!</definedName>
    <definedName name="F17_Alloc_ABnk_Mr360D_Am_AMD">#REF!</definedName>
    <definedName name="F17_Alloc_ABnk_Mr360D_Am_EUR" localSheetId="5">#REF!</definedName>
    <definedName name="F17_Alloc_ABnk_Mr360D_Am_EUR">#REF!</definedName>
    <definedName name="F17_Alloc_ABnk_Mr360D_Am_OthC" localSheetId="5">#REF!</definedName>
    <definedName name="F17_Alloc_ABnk_Mr360D_Am_OthC">#REF!</definedName>
    <definedName name="F17_Alloc_ABnk_Mr360D_Am_RUR" localSheetId="5">#REF!</definedName>
    <definedName name="F17_Alloc_ABnk_Mr360D_Am_RUR">#REF!</definedName>
    <definedName name="F17_Alloc_ABnk_Mr360D_Am_USD" localSheetId="5">#REF!</definedName>
    <definedName name="F17_Alloc_ABnk_Mr360D_Am_USD">#REF!</definedName>
    <definedName name="F17_Alloc_ABnk_Mr360D_I_AMD" localSheetId="5">#REF!</definedName>
    <definedName name="F17_Alloc_ABnk_Mr360D_I_AMD">#REF!</definedName>
    <definedName name="F17_Alloc_ABnk_Mr360D_I_EUR" localSheetId="5">#REF!</definedName>
    <definedName name="F17_Alloc_ABnk_Mr360D_I_EUR">#REF!</definedName>
    <definedName name="F17_Alloc_ABnk_Mr360D_I_OthC" localSheetId="5">#REF!</definedName>
    <definedName name="F17_Alloc_ABnk_Mr360D_I_OthC">#REF!</definedName>
    <definedName name="F17_Alloc_ABnk_Mr360D_I_RUR" localSheetId="5">#REF!</definedName>
    <definedName name="F17_Alloc_ABnk_Mr360D_I_RUR">#REF!</definedName>
    <definedName name="F17_Alloc_ABnk_Mr360D_I_USD" localSheetId="5">#REF!</definedName>
    <definedName name="F17_Alloc_ABnk_Mr360D_I_USD">#REF!</definedName>
    <definedName name="F17_Alloc_ABnk_Tot_Am_AMD1" localSheetId="5">#REF!</definedName>
    <definedName name="F17_Alloc_ABnk_Tot_Am_AMD1">#REF!</definedName>
    <definedName name="F17_Alloc_ABnk_Tot_Am_EUR1" localSheetId="5">#REF!</definedName>
    <definedName name="F17_Alloc_ABnk_Tot_Am_EUR1">#REF!</definedName>
    <definedName name="F17_Alloc_ABnk_Tot_Am_OthC1" localSheetId="5">#REF!</definedName>
    <definedName name="F17_Alloc_ABnk_Tot_Am_OthC1">#REF!</definedName>
    <definedName name="F17_Alloc_ABnk_Tot_Am_RUR1" localSheetId="5">#REF!</definedName>
    <definedName name="F17_Alloc_ABnk_Tot_Am_RUR1">#REF!</definedName>
    <definedName name="F17_Alloc_ABnk_Tot_Am_USD1" localSheetId="5">#REF!</definedName>
    <definedName name="F17_Alloc_ABnk_Tot_Am_USD1">#REF!</definedName>
    <definedName name="F17_Alloc_ABnk_Tot_I_AMD11" localSheetId="5">#REF!</definedName>
    <definedName name="F17_Alloc_ABnk_Tot_I_AMD11">#REF!</definedName>
    <definedName name="F17_Alloc_ABnk_Tot_I_AMD12" localSheetId="5">#REF!</definedName>
    <definedName name="F17_Alloc_ABnk_Tot_I_AMD12">#REF!</definedName>
    <definedName name="F17_Alloc_ABnk_Tot_I_EUR11" localSheetId="5">#REF!</definedName>
    <definedName name="F17_Alloc_ABnk_Tot_I_EUR11">#REF!</definedName>
    <definedName name="F17_Alloc_ABnk_Tot_I_EUR12" localSheetId="5">#REF!</definedName>
    <definedName name="F17_Alloc_ABnk_Tot_I_EUR12">#REF!</definedName>
    <definedName name="F17_Alloc_ABnk_Tot_I_OthC11" localSheetId="5">#REF!</definedName>
    <definedName name="F17_Alloc_ABnk_Tot_I_OthC11">#REF!</definedName>
    <definedName name="F17_Alloc_ABnk_Tot_I_OthC12" localSheetId="5">#REF!</definedName>
    <definedName name="F17_Alloc_ABnk_Tot_I_OthC12">#REF!</definedName>
    <definedName name="F17_Alloc_ABnk_Tot_I_RUR11" localSheetId="5">#REF!</definedName>
    <definedName name="F17_Alloc_ABnk_Tot_I_RUR11">#REF!</definedName>
    <definedName name="F17_Alloc_ABnk_Tot_I_RUR12" localSheetId="5">#REF!</definedName>
    <definedName name="F17_Alloc_ABnk_Tot_I_RUR12">#REF!</definedName>
    <definedName name="F17_Alloc_ABnk_Tot_I_USD11" localSheetId="5">#REF!</definedName>
    <definedName name="F17_Alloc_ABnk_Tot_I_USD11">#REF!</definedName>
    <definedName name="F17_Alloc_ABnk_Tot_I_USD12" localSheetId="5">#REF!</definedName>
    <definedName name="F17_Alloc_ABnk_Tot_I_USD12">#REF!</definedName>
    <definedName name="F17_Alloc_Bus_15D_Am_AMD" localSheetId="5">#REF!</definedName>
    <definedName name="F17_Alloc_Bus_15D_Am_AMD">#REF!</definedName>
    <definedName name="F17_Alloc_Bus_15D_Am_EUR" localSheetId="5">#REF!</definedName>
    <definedName name="F17_Alloc_Bus_15D_Am_EUR">#REF!</definedName>
    <definedName name="F17_Alloc_Bus_15D_Am_OthC" localSheetId="5">#REF!</definedName>
    <definedName name="F17_Alloc_Bus_15D_Am_OthC">#REF!</definedName>
    <definedName name="F17_Alloc_Bus_15D_Am_RUR" localSheetId="5">#REF!</definedName>
    <definedName name="F17_Alloc_Bus_15D_Am_RUR">#REF!</definedName>
    <definedName name="F17_Alloc_Bus_15D_Am_USD" localSheetId="5">#REF!</definedName>
    <definedName name="F17_Alloc_Bus_15D_Am_USD">#REF!</definedName>
    <definedName name="F17_Alloc_Bus_15D_I_AMD" localSheetId="5">#REF!</definedName>
    <definedName name="F17_Alloc_Bus_15D_I_AMD">#REF!</definedName>
    <definedName name="F17_Alloc_Bus_15D_I_EUR" localSheetId="5">#REF!</definedName>
    <definedName name="F17_Alloc_Bus_15D_I_EUR">#REF!</definedName>
    <definedName name="F17_Alloc_Bus_15D_I_OthC" localSheetId="5">#REF!</definedName>
    <definedName name="F17_Alloc_Bus_15D_I_OthC">#REF!</definedName>
    <definedName name="F17_Alloc_Bus_15D_I_RUR" localSheetId="5">#REF!</definedName>
    <definedName name="F17_Alloc_Bus_15D_I_RUR">#REF!</definedName>
    <definedName name="F17_Alloc_Bus_15D_I_USD" localSheetId="5">#REF!</definedName>
    <definedName name="F17_Alloc_Bus_15D_I_USD">#REF!</definedName>
    <definedName name="F17_Alloc_Bus_180D_Am_AMD" localSheetId="5">#REF!</definedName>
    <definedName name="F17_Alloc_Bus_180D_Am_AMD">#REF!</definedName>
    <definedName name="F17_Alloc_Bus_180D_Am_EUR" localSheetId="5">#REF!</definedName>
    <definedName name="F17_Alloc_Bus_180D_Am_EUR">#REF!</definedName>
    <definedName name="F17_Alloc_Bus_180D_Am_OthC" localSheetId="5">#REF!</definedName>
    <definedName name="F17_Alloc_Bus_180D_Am_OthC">#REF!</definedName>
    <definedName name="F17_Alloc_Bus_180D_Am_RUR" localSheetId="5">#REF!</definedName>
    <definedName name="F17_Alloc_Bus_180D_Am_RUR">#REF!</definedName>
    <definedName name="F17_Alloc_Bus_180D_Am_USD" localSheetId="5">#REF!</definedName>
    <definedName name="F17_Alloc_Bus_180D_Am_USD">#REF!</definedName>
    <definedName name="F17_Alloc_Bus_180D_I_AMD" localSheetId="5">#REF!</definedName>
    <definedName name="F17_Alloc_Bus_180D_I_AMD">#REF!</definedName>
    <definedName name="F17_Alloc_Bus_180D_I_EUR" localSheetId="5">#REF!</definedName>
    <definedName name="F17_Alloc_Bus_180D_I_EUR">#REF!</definedName>
    <definedName name="F17_Alloc_Bus_180D_I_OthC" localSheetId="5">#REF!</definedName>
    <definedName name="F17_Alloc_Bus_180D_I_OthC">#REF!</definedName>
    <definedName name="F17_Alloc_Bus_180D_I_RUR" localSheetId="5">#REF!</definedName>
    <definedName name="F17_Alloc_Bus_180D_I_RUR">#REF!</definedName>
    <definedName name="F17_Alloc_Bus_180D_I_USD" localSheetId="5">#REF!</definedName>
    <definedName name="F17_Alloc_Bus_180D_I_USD">#REF!</definedName>
    <definedName name="F17_Alloc_Bus_30D_Am_AMD" localSheetId="5">#REF!</definedName>
    <definedName name="F17_Alloc_Bus_30D_Am_AMD">#REF!</definedName>
    <definedName name="F17_Alloc_Bus_30D_Am_EUR" localSheetId="5">#REF!</definedName>
    <definedName name="F17_Alloc_Bus_30D_Am_EUR">#REF!</definedName>
    <definedName name="F17_Alloc_Bus_30D_Am_OthC" localSheetId="5">#REF!</definedName>
    <definedName name="F17_Alloc_Bus_30D_Am_OthC">#REF!</definedName>
    <definedName name="F17_Alloc_Bus_30D_Am_RUR" localSheetId="5">#REF!</definedName>
    <definedName name="F17_Alloc_Bus_30D_Am_RUR">#REF!</definedName>
    <definedName name="F17_Alloc_Bus_30D_Am_USD" localSheetId="5">#REF!</definedName>
    <definedName name="F17_Alloc_Bus_30D_Am_USD">#REF!</definedName>
    <definedName name="F17_Alloc_Bus_30D_I_AMD" localSheetId="5">#REF!</definedName>
    <definedName name="F17_Alloc_Bus_30D_I_AMD">#REF!</definedName>
    <definedName name="F17_Alloc_Bus_30D_I_EUR" localSheetId="5">#REF!</definedName>
    <definedName name="F17_Alloc_Bus_30D_I_EUR">#REF!</definedName>
    <definedName name="F17_Alloc_Bus_30D_I_OthC" localSheetId="5">#REF!</definedName>
    <definedName name="F17_Alloc_Bus_30D_I_OthC">#REF!</definedName>
    <definedName name="F17_Alloc_Bus_30D_I_RUR" localSheetId="5">#REF!</definedName>
    <definedName name="F17_Alloc_Bus_30D_I_RUR">#REF!</definedName>
    <definedName name="F17_Alloc_Bus_30D_I_USD" localSheetId="5">#REF!</definedName>
    <definedName name="F17_Alloc_Bus_30D_I_USD">#REF!</definedName>
    <definedName name="F17_Alloc_Bus_360D_Am_AMD" localSheetId="5">#REF!</definedName>
    <definedName name="F17_Alloc_Bus_360D_Am_AMD">#REF!</definedName>
    <definedName name="F17_Alloc_Bus_360D_Am_EUR" localSheetId="5">#REF!</definedName>
    <definedName name="F17_Alloc_Bus_360D_Am_EUR">#REF!</definedName>
    <definedName name="F17_Alloc_Bus_360D_Am_OthC" localSheetId="5">#REF!</definedName>
    <definedName name="F17_Alloc_Bus_360D_Am_OthC">#REF!</definedName>
    <definedName name="F17_Alloc_Bus_360D_Am_RUR" localSheetId="5">#REF!</definedName>
    <definedName name="F17_Alloc_Bus_360D_Am_RUR">#REF!</definedName>
    <definedName name="F17_Alloc_Bus_360D_Am_USD">[1]Sheet2!#REF!</definedName>
    <definedName name="F17_Alloc_Bus_360D_I_AMD" localSheetId="5">#REF!</definedName>
    <definedName name="F17_Alloc_Bus_360D_I_AMD">#REF!</definedName>
    <definedName name="F17_Alloc_Bus_360D_I_EUR" localSheetId="5">#REF!</definedName>
    <definedName name="F17_Alloc_Bus_360D_I_EUR">#REF!</definedName>
    <definedName name="F17_Alloc_Bus_360D_I_OthC" localSheetId="5">#REF!</definedName>
    <definedName name="F17_Alloc_Bus_360D_I_OthC">#REF!</definedName>
    <definedName name="F17_Alloc_Bus_360D_I_RUR" localSheetId="5">#REF!</definedName>
    <definedName name="F17_Alloc_Bus_360D_I_RUR">#REF!</definedName>
    <definedName name="F17_Alloc_Bus_360D_I_USD">[1]Sheet2!#REF!</definedName>
    <definedName name="F17_Alloc_Bus_60D_Am_AMD" localSheetId="5">#REF!</definedName>
    <definedName name="F17_Alloc_Bus_60D_Am_AMD">#REF!</definedName>
    <definedName name="F17_Alloc_Bus_60D_Am_EUR" localSheetId="5">#REF!</definedName>
    <definedName name="F17_Alloc_Bus_60D_Am_EUR">#REF!</definedName>
    <definedName name="F17_Alloc_Bus_60D_Am_OthC" localSheetId="5">#REF!</definedName>
    <definedName name="F17_Alloc_Bus_60D_Am_OthC">#REF!</definedName>
    <definedName name="F17_Alloc_Bus_60D_Am_RUR" localSheetId="5">#REF!</definedName>
    <definedName name="F17_Alloc_Bus_60D_Am_RUR">#REF!</definedName>
    <definedName name="F17_Alloc_Bus_60D_Am_USD" localSheetId="5">#REF!</definedName>
    <definedName name="F17_Alloc_Bus_60D_Am_USD">#REF!</definedName>
    <definedName name="F17_Alloc_Bus_60D_I_AMD" localSheetId="5">#REF!</definedName>
    <definedName name="F17_Alloc_Bus_60D_I_AMD">#REF!</definedName>
    <definedName name="F17_Alloc_Bus_60D_I_EUR" localSheetId="5">#REF!</definedName>
    <definedName name="F17_Alloc_Bus_60D_I_EUR">#REF!</definedName>
    <definedName name="F17_Alloc_Bus_60D_I_OthC" localSheetId="5">#REF!</definedName>
    <definedName name="F17_Alloc_Bus_60D_I_OthC">#REF!</definedName>
    <definedName name="F17_Alloc_Bus_60D_I_RUR" localSheetId="5">#REF!</definedName>
    <definedName name="F17_Alloc_Bus_60D_I_RUR">#REF!</definedName>
    <definedName name="F17_Alloc_Bus_60D_I_USD" localSheetId="5">#REF!</definedName>
    <definedName name="F17_Alloc_Bus_60D_I_USD">#REF!</definedName>
    <definedName name="F17_Alloc_Bus_90D_Am_AMD" localSheetId="5">#REF!</definedName>
    <definedName name="F17_Alloc_Bus_90D_Am_AMD">#REF!</definedName>
    <definedName name="F17_Alloc_Bus_90D_Am_EUR" localSheetId="5">#REF!</definedName>
    <definedName name="F17_Alloc_Bus_90D_Am_EUR">#REF!</definedName>
    <definedName name="F17_Alloc_Bus_90D_Am_OthC" localSheetId="5">#REF!</definedName>
    <definedName name="F17_Alloc_Bus_90D_Am_OthC">#REF!</definedName>
    <definedName name="F17_Alloc_Bus_90D_Am_RUR" localSheetId="5">#REF!</definedName>
    <definedName name="F17_Alloc_Bus_90D_Am_RUR">#REF!</definedName>
    <definedName name="F17_Alloc_Bus_90D_Am_USD" localSheetId="5">#REF!</definedName>
    <definedName name="F17_Alloc_Bus_90D_Am_USD">#REF!</definedName>
    <definedName name="F17_Alloc_Bus_90D_I_AMD" localSheetId="5">#REF!</definedName>
    <definedName name="F17_Alloc_Bus_90D_I_AMD">#REF!</definedName>
    <definedName name="F17_Alloc_Bus_90D_I_EUR" localSheetId="5">#REF!</definedName>
    <definedName name="F17_Alloc_Bus_90D_I_EUR">#REF!</definedName>
    <definedName name="F17_Alloc_Bus_90D_I_OthC" localSheetId="5">#REF!</definedName>
    <definedName name="F17_Alloc_Bus_90D_I_OthC">#REF!</definedName>
    <definedName name="F17_Alloc_Bus_90D_I_RUR" localSheetId="5">#REF!</definedName>
    <definedName name="F17_Alloc_Bus_90D_I_RUR">#REF!</definedName>
    <definedName name="F17_Alloc_Bus_90D_I_USD" localSheetId="5">#REF!</definedName>
    <definedName name="F17_Alloc_Bus_90D_I_USD">#REF!</definedName>
    <definedName name="F17_Alloc_Bus_Dem_Am_AMD" localSheetId="5">#REF!</definedName>
    <definedName name="F17_Alloc_Bus_Dem_Am_AMD">#REF!</definedName>
    <definedName name="F17_Alloc_Bus_Dem_Am_EUR" localSheetId="5">#REF!</definedName>
    <definedName name="F17_Alloc_Bus_Dem_Am_EUR">#REF!</definedName>
    <definedName name="F17_Alloc_Bus_Dem_Am_OthC" localSheetId="5">#REF!</definedName>
    <definedName name="F17_Alloc_Bus_Dem_Am_OthC">#REF!</definedName>
    <definedName name="F17_Alloc_Bus_Dem_Am_RUR" localSheetId="5">#REF!</definedName>
    <definedName name="F17_Alloc_Bus_Dem_Am_RUR">#REF!</definedName>
    <definedName name="F17_Alloc_Bus_Dem_Am_USD" localSheetId="5">#REF!</definedName>
    <definedName name="F17_Alloc_Bus_Dem_Am_USD">#REF!</definedName>
    <definedName name="F17_Alloc_Bus_Dem_I_AMD" localSheetId="5">#REF!</definedName>
    <definedName name="F17_Alloc_Bus_Dem_I_AMD">#REF!</definedName>
    <definedName name="F17_Alloc_Bus_Dem_I_EUR" localSheetId="5">#REF!</definedName>
    <definedName name="F17_Alloc_Bus_Dem_I_EUR">#REF!</definedName>
    <definedName name="F17_Alloc_Bus_Dem_I_OthC" localSheetId="5">#REF!</definedName>
    <definedName name="F17_Alloc_Bus_Dem_I_OthC">#REF!</definedName>
    <definedName name="F17_Alloc_Bus_Dem_I_RUR" localSheetId="5">#REF!</definedName>
    <definedName name="F17_Alloc_Bus_Dem_I_RUR">#REF!</definedName>
    <definedName name="F17_Alloc_Bus_Dem_I_USD" localSheetId="5">#REF!</definedName>
    <definedName name="F17_Alloc_Bus_Dem_I_USD">#REF!</definedName>
    <definedName name="F17_Alloc_Bus_Mr360D_Am_AMD" localSheetId="5">#REF!</definedName>
    <definedName name="F17_Alloc_Bus_Mr360D_Am_AMD">#REF!</definedName>
    <definedName name="F17_Alloc_Bus_Mr360D_Am_EUR" localSheetId="5">#REF!</definedName>
    <definedName name="F17_Alloc_Bus_Mr360D_Am_EUR">#REF!</definedName>
    <definedName name="F17_Alloc_Bus_Mr360D_Am_OthC" localSheetId="5">#REF!</definedName>
    <definedName name="F17_Alloc_Bus_Mr360D_Am_OthC">#REF!</definedName>
    <definedName name="F17_Alloc_Bus_Mr360D_Am_RUR" localSheetId="5">#REF!</definedName>
    <definedName name="F17_Alloc_Bus_Mr360D_Am_RUR">#REF!</definedName>
    <definedName name="F17_Alloc_Bus_Mr360D_Am_USD" localSheetId="5">#REF!</definedName>
    <definedName name="F17_Alloc_Bus_Mr360D_Am_USD">#REF!</definedName>
    <definedName name="F17_Alloc_Bus_Mr360D_I_AMD" localSheetId="5">#REF!</definedName>
    <definedName name="F17_Alloc_Bus_Mr360D_I_AMD">#REF!</definedName>
    <definedName name="F17_Alloc_Bus_Mr360D_I_EUR" localSheetId="5">#REF!</definedName>
    <definedName name="F17_Alloc_Bus_Mr360D_I_EUR">#REF!</definedName>
    <definedName name="F17_Alloc_Bus_Mr360D_I_OthC" localSheetId="5">#REF!</definedName>
    <definedName name="F17_Alloc_Bus_Mr360D_I_OthC">#REF!</definedName>
    <definedName name="F17_Alloc_Bus_Mr360D_I_RUR" localSheetId="5">#REF!</definedName>
    <definedName name="F17_Alloc_Bus_Mr360D_I_RUR">#REF!</definedName>
    <definedName name="F17_Alloc_Bus_Mr360D_I_USD" localSheetId="5">#REF!</definedName>
    <definedName name="F17_Alloc_Bus_Mr360D_I_USD">#REF!</definedName>
    <definedName name="F17_Alloc_Bus_Tot_Am_AMD1" localSheetId="5">#REF!</definedName>
    <definedName name="F17_Alloc_Bus_Tot_Am_AMD1">#REF!</definedName>
    <definedName name="F17_Alloc_Bus_Tot_Am_EUR1" localSheetId="5">#REF!</definedName>
    <definedName name="F17_Alloc_Bus_Tot_Am_EUR1">#REF!</definedName>
    <definedName name="F17_Alloc_Bus_Tot_Am_OthC1" localSheetId="5">#REF!</definedName>
    <definedName name="F17_Alloc_Bus_Tot_Am_OthC1">#REF!</definedName>
    <definedName name="F17_Alloc_Bus_Tot_Am_RUR1" localSheetId="5">#REF!</definedName>
    <definedName name="F17_Alloc_Bus_Tot_Am_RUR1">#REF!</definedName>
    <definedName name="F17_Alloc_Bus_Tot_Am_USD1" localSheetId="5">#REF!</definedName>
    <definedName name="F17_Alloc_Bus_Tot_Am_USD1">#REF!</definedName>
    <definedName name="F17_Alloc_Bus_Tot_I_AMD11" localSheetId="5">#REF!</definedName>
    <definedName name="F17_Alloc_Bus_Tot_I_AMD11">#REF!</definedName>
    <definedName name="F17_Alloc_Bus_Tot_I_AMD12" localSheetId="5">#REF!</definedName>
    <definedName name="F17_Alloc_Bus_Tot_I_AMD12">#REF!</definedName>
    <definedName name="F17_Alloc_Bus_Tot_I_EUR11" localSheetId="5">#REF!</definedName>
    <definedName name="F17_Alloc_Bus_Tot_I_EUR11">#REF!</definedName>
    <definedName name="F17_Alloc_Bus_Tot_I_EUR12" localSheetId="5">#REF!</definedName>
    <definedName name="F17_Alloc_Bus_Tot_I_EUR12">#REF!</definedName>
    <definedName name="F17_Alloc_Bus_Tot_I_OthC11" localSheetId="5">#REF!</definedName>
    <definedName name="F17_Alloc_Bus_Tot_I_OthC11">#REF!</definedName>
    <definedName name="F17_Alloc_Bus_Tot_I_OthC12" localSheetId="5">#REF!</definedName>
    <definedName name="F17_Alloc_Bus_Tot_I_OthC12">#REF!</definedName>
    <definedName name="F17_Alloc_Bus_Tot_I_RUR11" localSheetId="5">#REF!</definedName>
    <definedName name="F17_Alloc_Bus_Tot_I_RUR11">#REF!</definedName>
    <definedName name="F17_Alloc_Bus_Tot_I_RUR12" localSheetId="5">#REF!</definedName>
    <definedName name="F17_Alloc_Bus_Tot_I_RUR12">#REF!</definedName>
    <definedName name="F17_Alloc_Bus_Tot_I_USD11" localSheetId="5">#REF!</definedName>
    <definedName name="F17_Alloc_Bus_Tot_I_USD11">#REF!</definedName>
    <definedName name="F17_Alloc_Bus_Tot_I_USD12" localSheetId="5">#REF!</definedName>
    <definedName name="F17_Alloc_Bus_Tot_I_USD12">#REF!</definedName>
    <definedName name="F17_Alloc_GovG_15D_Am_AMD" localSheetId="5">#REF!</definedName>
    <definedName name="F17_Alloc_GovG_15D_Am_AMD">#REF!</definedName>
    <definedName name="F17_Alloc_GovG_15D_Am_EUR" localSheetId="5">#REF!</definedName>
    <definedName name="F17_Alloc_GovG_15D_Am_EUR">#REF!</definedName>
    <definedName name="F17_Alloc_GovG_15D_Am_OthC" localSheetId="5">#REF!</definedName>
    <definedName name="F17_Alloc_GovG_15D_Am_OthC">#REF!</definedName>
    <definedName name="F17_Alloc_GovG_15D_Am_RUR" localSheetId="5">#REF!</definedName>
    <definedName name="F17_Alloc_GovG_15D_Am_RUR">#REF!</definedName>
    <definedName name="F17_Alloc_GovG_15D_Am_USD" localSheetId="5">#REF!</definedName>
    <definedName name="F17_Alloc_GovG_15D_Am_USD">#REF!</definedName>
    <definedName name="F17_Alloc_GovG_15D_I_AMD" localSheetId="5">#REF!</definedName>
    <definedName name="F17_Alloc_GovG_15D_I_AMD">#REF!</definedName>
    <definedName name="F17_Alloc_GovG_15D_I_EUR" localSheetId="5">#REF!</definedName>
    <definedName name="F17_Alloc_GovG_15D_I_EUR">#REF!</definedName>
    <definedName name="F17_Alloc_GovG_15D_I_OthC" localSheetId="5">#REF!</definedName>
    <definedName name="F17_Alloc_GovG_15D_I_OthC">#REF!</definedName>
    <definedName name="F17_Alloc_GovG_15D_I_RUR" localSheetId="5">#REF!</definedName>
    <definedName name="F17_Alloc_GovG_15D_I_RUR">#REF!</definedName>
    <definedName name="F17_Alloc_GovG_15D_I_USD" localSheetId="5">#REF!</definedName>
    <definedName name="F17_Alloc_GovG_15D_I_USD">#REF!</definedName>
    <definedName name="F17_Alloc_GovG_180D_Am_AMD" localSheetId="5">#REF!</definedName>
    <definedName name="F17_Alloc_GovG_180D_Am_AMD">#REF!</definedName>
    <definedName name="F17_Alloc_GovG_180D_Am_EUR" localSheetId="5">#REF!</definedName>
    <definedName name="F17_Alloc_GovG_180D_Am_EUR">#REF!</definedName>
    <definedName name="F17_Alloc_GovG_180D_Am_OthC" localSheetId="5">#REF!</definedName>
    <definedName name="F17_Alloc_GovG_180D_Am_OthC">#REF!</definedName>
    <definedName name="F17_Alloc_GovG_180D_Am_RUR" localSheetId="5">#REF!</definedName>
    <definedName name="F17_Alloc_GovG_180D_Am_RUR">#REF!</definedName>
    <definedName name="F17_Alloc_GovG_180D_Am_USD" localSheetId="5">#REF!</definedName>
    <definedName name="F17_Alloc_GovG_180D_Am_USD">#REF!</definedName>
    <definedName name="F17_Alloc_GovG_180D_I_AMD" localSheetId="5">#REF!</definedName>
    <definedName name="F17_Alloc_GovG_180D_I_AMD">#REF!</definedName>
    <definedName name="F17_Alloc_GovG_180D_I_EUR" localSheetId="5">#REF!</definedName>
    <definedName name="F17_Alloc_GovG_180D_I_EUR">#REF!</definedName>
    <definedName name="F17_Alloc_GovG_180D_I_OthC" localSheetId="5">#REF!</definedName>
    <definedName name="F17_Alloc_GovG_180D_I_OthC">#REF!</definedName>
    <definedName name="F17_Alloc_GovG_180D_I_RUR" localSheetId="5">#REF!</definedName>
    <definedName name="F17_Alloc_GovG_180D_I_RUR">#REF!</definedName>
    <definedName name="F17_Alloc_GovG_180D_I_USD" localSheetId="5">#REF!</definedName>
    <definedName name="F17_Alloc_GovG_180D_I_USD">#REF!</definedName>
    <definedName name="F17_Alloc_GovG_30D_Am_AMD" localSheetId="5">#REF!</definedName>
    <definedName name="F17_Alloc_GovG_30D_Am_AMD">#REF!</definedName>
    <definedName name="F17_Alloc_GovG_30D_Am_EUR" localSheetId="5">#REF!</definedName>
    <definedName name="F17_Alloc_GovG_30D_Am_EUR">#REF!</definedName>
    <definedName name="F17_Alloc_GovG_30D_Am_OthC" localSheetId="5">#REF!</definedName>
    <definedName name="F17_Alloc_GovG_30D_Am_OthC">#REF!</definedName>
    <definedName name="F17_Alloc_GovG_30D_Am_RUR" localSheetId="5">#REF!</definedName>
    <definedName name="F17_Alloc_GovG_30D_Am_RUR">#REF!</definedName>
    <definedName name="F17_Alloc_GovG_30D_Am_USD" localSheetId="5">#REF!</definedName>
    <definedName name="F17_Alloc_GovG_30D_Am_USD">#REF!</definedName>
    <definedName name="F17_Alloc_GovG_30D_I_AMD" localSheetId="5">#REF!</definedName>
    <definedName name="F17_Alloc_GovG_30D_I_AMD">#REF!</definedName>
    <definedName name="F17_Alloc_GovG_30D_I_EUR" localSheetId="5">#REF!</definedName>
    <definedName name="F17_Alloc_GovG_30D_I_EUR">#REF!</definedName>
    <definedName name="F17_Alloc_GovG_30D_I_OthC" localSheetId="5">#REF!</definedName>
    <definedName name="F17_Alloc_GovG_30D_I_OthC">#REF!</definedName>
    <definedName name="F17_Alloc_GovG_30D_I_RUR" localSheetId="5">#REF!</definedName>
    <definedName name="F17_Alloc_GovG_30D_I_RUR">#REF!</definedName>
    <definedName name="F17_Alloc_GovG_30D_I_USD" localSheetId="5">#REF!</definedName>
    <definedName name="F17_Alloc_GovG_30D_I_USD">#REF!</definedName>
    <definedName name="F17_Alloc_GovG_360D_Am_AMD" localSheetId="5">#REF!</definedName>
    <definedName name="F17_Alloc_GovG_360D_Am_AMD">#REF!</definedName>
    <definedName name="F17_Alloc_GovG_360D_Am_EUR" localSheetId="5">#REF!</definedName>
    <definedName name="F17_Alloc_GovG_360D_Am_EUR">#REF!</definedName>
    <definedName name="F17_Alloc_GovG_360D_Am_OthC" localSheetId="5">#REF!</definedName>
    <definedName name="F17_Alloc_GovG_360D_Am_OthC">#REF!</definedName>
    <definedName name="F17_Alloc_GovG_360D_Am_RUR" localSheetId="5">#REF!</definedName>
    <definedName name="F17_Alloc_GovG_360D_Am_RUR">#REF!</definedName>
    <definedName name="F17_Alloc_GovG_360D_Am_USD" localSheetId="5">#REF!</definedName>
    <definedName name="F17_Alloc_GovG_360D_Am_USD">#REF!</definedName>
    <definedName name="F17_Alloc_GovG_360D_I_AMD" localSheetId="5">#REF!</definedName>
    <definedName name="F17_Alloc_GovG_360D_I_AMD">#REF!</definedName>
    <definedName name="F17_Alloc_GovG_360D_I_EUR" localSheetId="5">#REF!</definedName>
    <definedName name="F17_Alloc_GovG_360D_I_EUR">#REF!</definedName>
    <definedName name="F17_Alloc_GovG_360D_I_OthC" localSheetId="5">#REF!</definedName>
    <definedName name="F17_Alloc_GovG_360D_I_OthC">#REF!</definedName>
    <definedName name="F17_Alloc_GovG_360D_I_RUR" localSheetId="5">#REF!</definedName>
    <definedName name="F17_Alloc_GovG_360D_I_RUR">#REF!</definedName>
    <definedName name="F17_Alloc_GovG_360D_I_USD" localSheetId="5">#REF!</definedName>
    <definedName name="F17_Alloc_GovG_360D_I_USD">#REF!</definedName>
    <definedName name="F17_Alloc_GovG_60D_Am_AMD" localSheetId="5">#REF!</definedName>
    <definedName name="F17_Alloc_GovG_60D_Am_AMD">#REF!</definedName>
    <definedName name="F17_Alloc_GovG_60D_Am_EUR" localSheetId="5">#REF!</definedName>
    <definedName name="F17_Alloc_GovG_60D_Am_EUR">#REF!</definedName>
    <definedName name="F17_Alloc_GovG_60D_Am_OthC" localSheetId="5">#REF!</definedName>
    <definedName name="F17_Alloc_GovG_60D_Am_OthC">#REF!</definedName>
    <definedName name="F17_Alloc_GovG_60D_Am_RUR" localSheetId="5">#REF!</definedName>
    <definedName name="F17_Alloc_GovG_60D_Am_RUR">#REF!</definedName>
    <definedName name="F17_Alloc_GovG_60D_Am_USD" localSheetId="5">#REF!</definedName>
    <definedName name="F17_Alloc_GovG_60D_Am_USD">#REF!</definedName>
    <definedName name="F17_Alloc_GovG_60D_I_AMD" localSheetId="5">#REF!</definedName>
    <definedName name="F17_Alloc_GovG_60D_I_AMD">#REF!</definedName>
    <definedName name="F17_Alloc_GovG_60D_I_EUR" localSheetId="5">#REF!</definedName>
    <definedName name="F17_Alloc_GovG_60D_I_EUR">#REF!</definedName>
    <definedName name="F17_Alloc_GovG_60D_I_OthC" localSheetId="5">#REF!</definedName>
    <definedName name="F17_Alloc_GovG_60D_I_OthC">#REF!</definedName>
    <definedName name="F17_Alloc_GovG_60D_I_RUR" localSheetId="5">#REF!</definedName>
    <definedName name="F17_Alloc_GovG_60D_I_RUR">#REF!</definedName>
    <definedName name="F17_Alloc_GovG_60D_I_USD" localSheetId="5">#REF!</definedName>
    <definedName name="F17_Alloc_GovG_60D_I_USD">#REF!</definedName>
    <definedName name="F17_Alloc_GovG_90D_Am_AMD" localSheetId="5">#REF!</definedName>
    <definedName name="F17_Alloc_GovG_90D_Am_AMD">#REF!</definedName>
    <definedName name="F17_Alloc_GovG_90D_Am_EUR" localSheetId="5">#REF!</definedName>
    <definedName name="F17_Alloc_GovG_90D_Am_EUR">#REF!</definedName>
    <definedName name="F17_Alloc_GovG_90D_Am_OthC" localSheetId="5">#REF!</definedName>
    <definedName name="F17_Alloc_GovG_90D_Am_OthC">#REF!</definedName>
    <definedName name="F17_Alloc_GovG_90D_Am_RUR" localSheetId="5">#REF!</definedName>
    <definedName name="F17_Alloc_GovG_90D_Am_RUR">#REF!</definedName>
    <definedName name="F17_Alloc_GovG_90D_Am_USD" localSheetId="5">#REF!</definedName>
    <definedName name="F17_Alloc_GovG_90D_Am_USD">#REF!</definedName>
    <definedName name="F17_Alloc_GovG_90D_I_AMD" localSheetId="5">#REF!</definedName>
    <definedName name="F17_Alloc_GovG_90D_I_AMD">#REF!</definedName>
    <definedName name="F17_Alloc_GovG_90D_I_EUR" localSheetId="5">#REF!</definedName>
    <definedName name="F17_Alloc_GovG_90D_I_EUR">#REF!</definedName>
    <definedName name="F17_Alloc_GovG_90D_I_OthC" localSheetId="5">#REF!</definedName>
    <definedName name="F17_Alloc_GovG_90D_I_OthC">#REF!</definedName>
    <definedName name="F17_Alloc_GovG_90D_I_RUR" localSheetId="5">#REF!</definedName>
    <definedName name="F17_Alloc_GovG_90D_I_RUR">#REF!</definedName>
    <definedName name="F17_Alloc_GovG_90D_I_USD" localSheetId="5">#REF!</definedName>
    <definedName name="F17_Alloc_GovG_90D_I_USD">#REF!</definedName>
    <definedName name="F17_Alloc_GovG_Dem_Am_AMD" localSheetId="5">#REF!</definedName>
    <definedName name="F17_Alloc_GovG_Dem_Am_AMD">#REF!</definedName>
    <definedName name="F17_Alloc_GovG_Dem_Am_EUR" localSheetId="5">#REF!</definedName>
    <definedName name="F17_Alloc_GovG_Dem_Am_EUR">#REF!</definedName>
    <definedName name="F17_Alloc_GovG_Dem_Am_OthC" localSheetId="5">#REF!</definedName>
    <definedName name="F17_Alloc_GovG_Dem_Am_OthC">#REF!</definedName>
    <definedName name="F17_Alloc_GovG_Dem_Am_RUR" localSheetId="5">#REF!</definedName>
    <definedName name="F17_Alloc_GovG_Dem_Am_RUR">#REF!</definedName>
    <definedName name="F17_Alloc_GovG_Dem_Am_USD" localSheetId="5">#REF!</definedName>
    <definedName name="F17_Alloc_GovG_Dem_Am_USD">#REF!</definedName>
    <definedName name="F17_Alloc_GovG_Dem_I_AMD" localSheetId="5">#REF!</definedName>
    <definedName name="F17_Alloc_GovG_Dem_I_AMD">#REF!</definedName>
    <definedName name="F17_Alloc_GovG_Dem_I_EUR" localSheetId="5">#REF!</definedName>
    <definedName name="F17_Alloc_GovG_Dem_I_EUR">#REF!</definedName>
    <definedName name="F17_Alloc_GovG_Dem_I_OthC" localSheetId="5">#REF!</definedName>
    <definedName name="F17_Alloc_GovG_Dem_I_OthC">#REF!</definedName>
    <definedName name="F17_Alloc_GovG_Dem_I_RUR" localSheetId="5">#REF!</definedName>
    <definedName name="F17_Alloc_GovG_Dem_I_RUR">#REF!</definedName>
    <definedName name="F17_Alloc_GovG_Dem_I_USD" localSheetId="5">#REF!</definedName>
    <definedName name="F17_Alloc_GovG_Dem_I_USD">#REF!</definedName>
    <definedName name="F17_Alloc_GovG_Mr360D_Am_AMD" localSheetId="5">#REF!</definedName>
    <definedName name="F17_Alloc_GovG_Mr360D_Am_AMD">#REF!</definedName>
    <definedName name="F17_Alloc_GovG_Mr360D_Am_EUR" localSheetId="5">#REF!</definedName>
    <definedName name="F17_Alloc_GovG_Mr360D_Am_EUR">#REF!</definedName>
    <definedName name="F17_Alloc_GovG_Mr360D_Am_OthC" localSheetId="5">#REF!</definedName>
    <definedName name="F17_Alloc_GovG_Mr360D_Am_OthC">#REF!</definedName>
    <definedName name="F17_Alloc_GovG_Mr360D_Am_RUR" localSheetId="5">#REF!</definedName>
    <definedName name="F17_Alloc_GovG_Mr360D_Am_RUR">#REF!</definedName>
    <definedName name="F17_Alloc_GovG_Mr360D_Am_USD" localSheetId="5">#REF!</definedName>
    <definedName name="F17_Alloc_GovG_Mr360D_Am_USD">#REF!</definedName>
    <definedName name="F17_Alloc_GovG_Mr360D_I_AMD" localSheetId="5">#REF!</definedName>
    <definedName name="F17_Alloc_GovG_Mr360D_I_AMD">#REF!</definedName>
    <definedName name="F17_Alloc_GovG_Mr360D_I_EUR" localSheetId="5">#REF!</definedName>
    <definedName name="F17_Alloc_GovG_Mr360D_I_EUR">#REF!</definedName>
    <definedName name="F17_Alloc_GovG_Mr360D_I_OthC" localSheetId="5">#REF!</definedName>
    <definedName name="F17_Alloc_GovG_Mr360D_I_OthC">#REF!</definedName>
    <definedName name="F17_Alloc_GovG_Mr360D_I_RUR" localSheetId="5">#REF!</definedName>
    <definedName name="F17_Alloc_GovG_Mr360D_I_RUR">#REF!</definedName>
    <definedName name="F17_Alloc_GovG_Mr360D_I_USD" localSheetId="5">#REF!</definedName>
    <definedName name="F17_Alloc_GovG_Mr360D_I_USD">#REF!</definedName>
    <definedName name="F17_Alloc_GovG_Tot_Am_AMD1" localSheetId="5">#REF!</definedName>
    <definedName name="F17_Alloc_GovG_Tot_Am_AMD1">#REF!</definedName>
    <definedName name="F17_Alloc_GovG_Tot_Am_EUR1" localSheetId="5">#REF!</definedName>
    <definedName name="F17_Alloc_GovG_Tot_Am_EUR1">#REF!</definedName>
    <definedName name="F17_Alloc_GovG_Tot_Am_OthC1" localSheetId="5">#REF!</definedName>
    <definedName name="F17_Alloc_GovG_Tot_Am_OthC1">#REF!</definedName>
    <definedName name="F17_Alloc_GovG_Tot_Am_RUR1" localSheetId="5">#REF!</definedName>
    <definedName name="F17_Alloc_GovG_Tot_Am_RUR1">#REF!</definedName>
    <definedName name="F17_Alloc_GovG_Tot_Am_USD1" localSheetId="5">#REF!</definedName>
    <definedName name="F17_Alloc_GovG_Tot_Am_USD1">#REF!</definedName>
    <definedName name="F17_Alloc_GovG_Tot_I_AMD11" localSheetId="5">#REF!</definedName>
    <definedName name="F17_Alloc_GovG_Tot_I_AMD11">#REF!</definedName>
    <definedName name="F17_Alloc_GovG_Tot_I_AMD12" localSheetId="5">#REF!</definedName>
    <definedName name="F17_Alloc_GovG_Tot_I_AMD12">#REF!</definedName>
    <definedName name="F17_Alloc_GovG_Tot_I_EUR11" localSheetId="5">#REF!</definedName>
    <definedName name="F17_Alloc_GovG_Tot_I_EUR11">#REF!</definedName>
    <definedName name="F17_Alloc_GovG_Tot_I_EUR12" localSheetId="5">#REF!</definedName>
    <definedName name="F17_Alloc_GovG_Tot_I_EUR12">#REF!</definedName>
    <definedName name="F17_Alloc_GovG_Tot_I_OthC11" localSheetId="5">#REF!</definedName>
    <definedName name="F17_Alloc_GovG_Tot_I_OthC11">#REF!</definedName>
    <definedName name="F17_Alloc_GovG_Tot_I_OthC12" localSheetId="5">#REF!</definedName>
    <definedName name="F17_Alloc_GovG_Tot_I_OthC12">#REF!</definedName>
    <definedName name="F17_Alloc_GovG_Tot_I_RUR11" localSheetId="5">#REF!</definedName>
    <definedName name="F17_Alloc_GovG_Tot_I_RUR11">#REF!</definedName>
    <definedName name="F17_Alloc_GovG_Tot_I_RUR12" localSheetId="5">#REF!</definedName>
    <definedName name="F17_Alloc_GovG_Tot_I_RUR12">#REF!</definedName>
    <definedName name="F17_Alloc_GovG_Tot_I_USD11" localSheetId="5">#REF!</definedName>
    <definedName name="F17_Alloc_GovG_Tot_I_USD11">#REF!</definedName>
    <definedName name="F17_Alloc_GovG_Tot_I_USD12" localSheetId="5">#REF!</definedName>
    <definedName name="F17_Alloc_GovG_Tot_I_USD12">#REF!</definedName>
    <definedName name="F17_Alloc_Ind_15D_Am_AMD" localSheetId="5">#REF!</definedName>
    <definedName name="F17_Alloc_Ind_15D_Am_AMD">#REF!</definedName>
    <definedName name="F17_Alloc_Ind_15D_Am_EUR" localSheetId="5">#REF!</definedName>
    <definedName name="F17_Alloc_Ind_15D_Am_EUR">#REF!</definedName>
    <definedName name="F17_Alloc_Ind_15D_Am_OthC" localSheetId="5">#REF!</definedName>
    <definedName name="F17_Alloc_Ind_15D_Am_OthC">#REF!</definedName>
    <definedName name="F17_Alloc_Ind_15D_Am_RUR" localSheetId="5">#REF!</definedName>
    <definedName name="F17_Alloc_Ind_15D_Am_RUR">#REF!</definedName>
    <definedName name="F17_Alloc_Ind_15D_Am_USD" localSheetId="5">#REF!</definedName>
    <definedName name="F17_Alloc_Ind_15D_Am_USD">#REF!</definedName>
    <definedName name="F17_Alloc_Ind_15D_I_AMD" localSheetId="5">#REF!</definedName>
    <definedName name="F17_Alloc_Ind_15D_I_AMD">#REF!</definedName>
    <definedName name="F17_Alloc_Ind_15D_I_EUR" localSheetId="5">#REF!</definedName>
    <definedName name="F17_Alloc_Ind_15D_I_EUR">#REF!</definedName>
    <definedName name="F17_Alloc_Ind_15D_I_OthC" localSheetId="5">#REF!</definedName>
    <definedName name="F17_Alloc_Ind_15D_I_OthC">#REF!</definedName>
    <definedName name="F17_Alloc_Ind_15D_I_RUR" localSheetId="5">#REF!</definedName>
    <definedName name="F17_Alloc_Ind_15D_I_RUR">#REF!</definedName>
    <definedName name="F17_Alloc_Ind_15D_I_USD" localSheetId="5">#REF!</definedName>
    <definedName name="F17_Alloc_Ind_15D_I_USD">#REF!</definedName>
    <definedName name="F17_Alloc_Ind_180D_Am_AMD">[2]Sheet2!#REF!</definedName>
    <definedName name="F17_Alloc_Ind_180D_Am_EUR" localSheetId="5">#REF!</definedName>
    <definedName name="F17_Alloc_Ind_180D_Am_EUR">#REF!</definedName>
    <definedName name="F17_Alloc_Ind_180D_Am_OthC" localSheetId="5">#REF!</definedName>
    <definedName name="F17_Alloc_Ind_180D_Am_OthC">#REF!</definedName>
    <definedName name="F17_Alloc_Ind_180D_Am_RUR" localSheetId="5">#REF!</definedName>
    <definedName name="F17_Alloc_Ind_180D_Am_RUR">#REF!</definedName>
    <definedName name="F17_Alloc_Ind_180D_Am_USD" localSheetId="5">#REF!</definedName>
    <definedName name="F17_Alloc_Ind_180D_Am_USD">#REF!</definedName>
    <definedName name="F17_Alloc_Ind_180D_I_AMD">[2]Sheet2!#REF!</definedName>
    <definedName name="F17_Alloc_Ind_180D_I_EUR" localSheetId="5">#REF!</definedName>
    <definedName name="F17_Alloc_Ind_180D_I_EUR">#REF!</definedName>
    <definedName name="F17_Alloc_Ind_180D_I_OthC" localSheetId="5">#REF!</definedName>
    <definedName name="F17_Alloc_Ind_180D_I_OthC">#REF!</definedName>
    <definedName name="F17_Alloc_Ind_180D_I_RUR" localSheetId="5">#REF!</definedName>
    <definedName name="F17_Alloc_Ind_180D_I_RUR">#REF!</definedName>
    <definedName name="F17_Alloc_Ind_180D_I_USD" localSheetId="5">#REF!</definedName>
    <definedName name="F17_Alloc_Ind_180D_I_USD">#REF!</definedName>
    <definedName name="F17_Alloc_Ind_30D_Am_AMD" localSheetId="5">#REF!</definedName>
    <definedName name="F17_Alloc_Ind_30D_Am_AMD">#REF!</definedName>
    <definedName name="F17_Alloc_Ind_30D_Am_EUR" localSheetId="5">#REF!</definedName>
    <definedName name="F17_Alloc_Ind_30D_Am_EUR">#REF!</definedName>
    <definedName name="F17_Alloc_Ind_30D_Am_OthC" localSheetId="5">#REF!</definedName>
    <definedName name="F17_Alloc_Ind_30D_Am_OthC">#REF!</definedName>
    <definedName name="F17_Alloc_Ind_30D_Am_RUR" localSheetId="5">#REF!</definedName>
    <definedName name="F17_Alloc_Ind_30D_Am_RUR">#REF!</definedName>
    <definedName name="F17_Alloc_Ind_30D_Am_USD">[2]Sheet2!#REF!</definedName>
    <definedName name="F17_Alloc_Ind_30D_I_AMD" localSheetId="5">#REF!</definedName>
    <definedName name="F17_Alloc_Ind_30D_I_AMD">#REF!</definedName>
    <definedName name="F17_Alloc_Ind_30D_I_EUR" localSheetId="5">#REF!</definedName>
    <definedName name="F17_Alloc_Ind_30D_I_EUR">#REF!</definedName>
    <definedName name="F17_Alloc_Ind_30D_I_OthC" localSheetId="5">#REF!</definedName>
    <definedName name="F17_Alloc_Ind_30D_I_OthC">#REF!</definedName>
    <definedName name="F17_Alloc_Ind_30D_I_RUR" localSheetId="5">#REF!</definedName>
    <definedName name="F17_Alloc_Ind_30D_I_RUR">#REF!</definedName>
    <definedName name="F17_Alloc_Ind_30D_I_USD">[2]Sheet2!#REF!</definedName>
    <definedName name="F17_Alloc_Ind_360D_Am_AMD" localSheetId="5">#REF!</definedName>
    <definedName name="F17_Alloc_Ind_360D_Am_AMD">#REF!</definedName>
    <definedName name="F17_Alloc_Ind_360D_Am_EUR" localSheetId="5">#REF!</definedName>
    <definedName name="F17_Alloc_Ind_360D_Am_EUR">#REF!</definedName>
    <definedName name="F17_Alloc_Ind_360D_Am_OthC" localSheetId="5">#REF!</definedName>
    <definedName name="F17_Alloc_Ind_360D_Am_OthC">#REF!</definedName>
    <definedName name="F17_Alloc_Ind_360D_Am_RUR" localSheetId="5">#REF!</definedName>
    <definedName name="F17_Alloc_Ind_360D_Am_RUR">#REF!</definedName>
    <definedName name="F17_Alloc_Ind_360D_Am_USD" localSheetId="5">#REF!</definedName>
    <definedName name="F17_Alloc_Ind_360D_Am_USD">#REF!</definedName>
    <definedName name="F17_Alloc_Ind_360D_I_AMD" localSheetId="5">#REF!</definedName>
    <definedName name="F17_Alloc_Ind_360D_I_AMD">#REF!</definedName>
    <definedName name="F17_Alloc_Ind_360D_I_EUR" localSheetId="5">#REF!</definedName>
    <definedName name="F17_Alloc_Ind_360D_I_EUR">#REF!</definedName>
    <definedName name="F17_Alloc_Ind_360D_I_OthC" localSheetId="5">#REF!</definedName>
    <definedName name="F17_Alloc_Ind_360D_I_OthC">#REF!</definedName>
    <definedName name="F17_Alloc_Ind_360D_I_RUR" localSheetId="5">#REF!</definedName>
    <definedName name="F17_Alloc_Ind_360D_I_RUR">#REF!</definedName>
    <definedName name="F17_Alloc_Ind_360D_I_USD" localSheetId="5">#REF!</definedName>
    <definedName name="F17_Alloc_Ind_360D_I_USD">#REF!</definedName>
    <definedName name="F17_Alloc_Ind_60D_Am_AMD" localSheetId="5">#REF!</definedName>
    <definedName name="F17_Alloc_Ind_60D_Am_AMD">#REF!</definedName>
    <definedName name="F17_Alloc_Ind_60D_Am_EUR" localSheetId="5">#REF!</definedName>
    <definedName name="F17_Alloc_Ind_60D_Am_EUR">#REF!</definedName>
    <definedName name="F17_Alloc_Ind_60D_Am_OthC" localSheetId="5">#REF!</definedName>
    <definedName name="F17_Alloc_Ind_60D_Am_OthC">#REF!</definedName>
    <definedName name="F17_Alloc_Ind_60D_Am_RUR" localSheetId="5">#REF!</definedName>
    <definedName name="F17_Alloc_Ind_60D_Am_RUR">#REF!</definedName>
    <definedName name="F17_Alloc_Ind_60D_Am_USD" localSheetId="5">#REF!</definedName>
    <definedName name="F17_Alloc_Ind_60D_Am_USD">#REF!</definedName>
    <definedName name="F17_Alloc_Ind_60D_I_AMD" localSheetId="5">#REF!</definedName>
    <definedName name="F17_Alloc_Ind_60D_I_AMD">#REF!</definedName>
    <definedName name="F17_Alloc_Ind_60D_I_EUR" localSheetId="5">#REF!</definedName>
    <definedName name="F17_Alloc_Ind_60D_I_EUR">#REF!</definedName>
    <definedName name="F17_Alloc_Ind_60D_I_OthC" localSheetId="5">#REF!</definedName>
    <definedName name="F17_Alloc_Ind_60D_I_OthC">#REF!</definedName>
    <definedName name="F17_Alloc_Ind_60D_I_RUR" localSheetId="5">#REF!</definedName>
    <definedName name="F17_Alloc_Ind_60D_I_RUR">#REF!</definedName>
    <definedName name="F17_Alloc_Ind_60D_I_USD" localSheetId="5">#REF!</definedName>
    <definedName name="F17_Alloc_Ind_60D_I_USD">#REF!</definedName>
    <definedName name="F17_Alloc_Ind_90D_Am_AMD" localSheetId="5">#REF!</definedName>
    <definedName name="F17_Alloc_Ind_90D_Am_AMD">#REF!</definedName>
    <definedName name="F17_Alloc_Ind_90D_Am_EUR" localSheetId="5">#REF!</definedName>
    <definedName name="F17_Alloc_Ind_90D_Am_EUR">#REF!</definedName>
    <definedName name="F17_Alloc_Ind_90D_Am_OthC" localSheetId="5">#REF!</definedName>
    <definedName name="F17_Alloc_Ind_90D_Am_OthC">#REF!</definedName>
    <definedName name="F17_Alloc_Ind_90D_Am_RUR" localSheetId="5">#REF!</definedName>
    <definedName name="F17_Alloc_Ind_90D_Am_RUR">#REF!</definedName>
    <definedName name="F17_Alloc_Ind_90D_Am_USD" localSheetId="5">#REF!</definedName>
    <definedName name="F17_Alloc_Ind_90D_Am_USD">#REF!</definedName>
    <definedName name="F17_Alloc_Ind_90D_I_AMD" localSheetId="5">#REF!</definedName>
    <definedName name="F17_Alloc_Ind_90D_I_AMD">#REF!</definedName>
    <definedName name="F17_Alloc_Ind_90D_I_EUR" localSheetId="5">#REF!</definedName>
    <definedName name="F17_Alloc_Ind_90D_I_EUR">#REF!</definedName>
    <definedName name="F17_Alloc_Ind_90D_I_OthC" localSheetId="5">#REF!</definedName>
    <definedName name="F17_Alloc_Ind_90D_I_OthC">#REF!</definedName>
    <definedName name="F17_Alloc_Ind_90D_I_RUR" localSheetId="5">#REF!</definedName>
    <definedName name="F17_Alloc_Ind_90D_I_RUR">#REF!</definedName>
    <definedName name="F17_Alloc_Ind_90D_I_USD" localSheetId="5">#REF!</definedName>
    <definedName name="F17_Alloc_Ind_90D_I_USD">#REF!</definedName>
    <definedName name="F17_Alloc_Ind_Dem_Am_AMD" localSheetId="5">#REF!</definedName>
    <definedName name="F17_Alloc_Ind_Dem_Am_AMD">#REF!</definedName>
    <definedName name="F17_Alloc_Ind_Dem_Am_EUR" localSheetId="5">#REF!</definedName>
    <definedName name="F17_Alloc_Ind_Dem_Am_EUR">#REF!</definedName>
    <definedName name="F17_Alloc_Ind_Dem_Am_OthC" localSheetId="5">#REF!</definedName>
    <definedName name="F17_Alloc_Ind_Dem_Am_OthC">#REF!</definedName>
    <definedName name="F17_Alloc_Ind_Dem_Am_RUR" localSheetId="5">#REF!</definedName>
    <definedName name="F17_Alloc_Ind_Dem_Am_RUR">#REF!</definedName>
    <definedName name="F17_Alloc_Ind_Dem_Am_USD" localSheetId="5">#REF!</definedName>
    <definedName name="F17_Alloc_Ind_Dem_Am_USD">#REF!</definedName>
    <definedName name="F17_Alloc_Ind_Dem_I_AMD" localSheetId="5">#REF!</definedName>
    <definedName name="F17_Alloc_Ind_Dem_I_AMD">#REF!</definedName>
    <definedName name="F17_Alloc_Ind_Dem_I_EUR" localSheetId="5">#REF!</definedName>
    <definedName name="F17_Alloc_Ind_Dem_I_EUR">#REF!</definedName>
    <definedName name="F17_Alloc_Ind_Dem_I_OthC" localSheetId="5">#REF!</definedName>
    <definedName name="F17_Alloc_Ind_Dem_I_OthC">#REF!</definedName>
    <definedName name="F17_Alloc_Ind_Dem_I_RUR" localSheetId="5">#REF!</definedName>
    <definedName name="F17_Alloc_Ind_Dem_I_RUR">#REF!</definedName>
    <definedName name="F17_Alloc_Ind_Dem_I_USD" localSheetId="5">#REF!</definedName>
    <definedName name="F17_Alloc_Ind_Dem_I_USD">#REF!</definedName>
    <definedName name="F17_Alloc_Ind_Mr360D_Am_AMD" localSheetId="5">#REF!</definedName>
    <definedName name="F17_Alloc_Ind_Mr360D_Am_AMD">#REF!</definedName>
    <definedName name="F17_Alloc_Ind_Mr360D_Am_EUR" localSheetId="5">#REF!</definedName>
    <definedName name="F17_Alloc_Ind_Mr360D_Am_EUR">#REF!</definedName>
    <definedName name="F17_Alloc_Ind_Mr360D_Am_OthC" localSheetId="5">#REF!</definedName>
    <definedName name="F17_Alloc_Ind_Mr360D_Am_OthC">#REF!</definedName>
    <definedName name="F17_Alloc_Ind_Mr360D_Am_RUR" localSheetId="5">#REF!</definedName>
    <definedName name="F17_Alloc_Ind_Mr360D_Am_RUR">#REF!</definedName>
    <definedName name="F17_Alloc_Ind_Mr360D_Am_USD" localSheetId="5">#REF!</definedName>
    <definedName name="F17_Alloc_Ind_Mr360D_Am_USD">#REF!</definedName>
    <definedName name="F17_Alloc_Ind_Mr360D_I_AMD" localSheetId="5">#REF!</definedName>
    <definedName name="F17_Alloc_Ind_Mr360D_I_AMD">#REF!</definedName>
    <definedName name="F17_Alloc_Ind_Mr360D_I_EUR" localSheetId="5">#REF!</definedName>
    <definedName name="F17_Alloc_Ind_Mr360D_I_EUR">#REF!</definedName>
    <definedName name="F17_Alloc_Ind_Mr360D_I_OthC" localSheetId="5">#REF!</definedName>
    <definedName name="F17_Alloc_Ind_Mr360D_I_OthC">#REF!</definedName>
    <definedName name="F17_Alloc_Ind_Mr360D_I_RUR" localSheetId="5">#REF!</definedName>
    <definedName name="F17_Alloc_Ind_Mr360D_I_RUR">#REF!</definedName>
    <definedName name="F17_Alloc_Ind_Mr360D_I_USD" localSheetId="5">#REF!</definedName>
    <definedName name="F17_Alloc_Ind_Mr360D_I_USD">#REF!</definedName>
    <definedName name="F17_Alloc_Ind_Tot_Am_AMD1" localSheetId="5">#REF!</definedName>
    <definedName name="F17_Alloc_Ind_Tot_Am_AMD1">#REF!</definedName>
    <definedName name="F17_Alloc_Ind_Tot_Am_EUR1" localSheetId="5">#REF!</definedName>
    <definedName name="F17_Alloc_Ind_Tot_Am_EUR1">#REF!</definedName>
    <definedName name="F17_Alloc_Ind_Tot_Am_OthC1" localSheetId="5">#REF!</definedName>
    <definedName name="F17_Alloc_Ind_Tot_Am_OthC1">#REF!</definedName>
    <definedName name="F17_Alloc_Ind_Tot_Am_RUR1" localSheetId="5">#REF!</definedName>
    <definedName name="F17_Alloc_Ind_Tot_Am_RUR1">#REF!</definedName>
    <definedName name="F17_Alloc_Ind_Tot_Am_USD1" localSheetId="5">#REF!</definedName>
    <definedName name="F17_Alloc_Ind_Tot_Am_USD1">#REF!</definedName>
    <definedName name="F17_Alloc_Ind_Tot_I_AMD11" localSheetId="5">#REF!</definedName>
    <definedName name="F17_Alloc_Ind_Tot_I_AMD11">#REF!</definedName>
    <definedName name="F17_Alloc_Ind_Tot_I_AMD12" localSheetId="5">#REF!</definedName>
    <definedName name="F17_Alloc_Ind_Tot_I_AMD12">#REF!</definedName>
    <definedName name="F17_Alloc_Ind_Tot_I_EUR11" localSheetId="5">#REF!</definedName>
    <definedName name="F17_Alloc_Ind_Tot_I_EUR11">#REF!</definedName>
    <definedName name="F17_Alloc_Ind_Tot_I_EUR12" localSheetId="5">#REF!</definedName>
    <definedName name="F17_Alloc_Ind_Tot_I_EUR12">#REF!</definedName>
    <definedName name="F17_Alloc_Ind_Tot_I_OthC11" localSheetId="5">#REF!</definedName>
    <definedName name="F17_Alloc_Ind_Tot_I_OthC11">#REF!</definedName>
    <definedName name="F17_Alloc_Ind_Tot_I_OthC12" localSheetId="5">#REF!</definedName>
    <definedName name="F17_Alloc_Ind_Tot_I_OthC12">#REF!</definedName>
    <definedName name="F17_Alloc_Ind_Tot_I_RUR11" localSheetId="5">#REF!</definedName>
    <definedName name="F17_Alloc_Ind_Tot_I_RUR11">#REF!</definedName>
    <definedName name="F17_Alloc_Ind_Tot_I_RUR12" localSheetId="5">#REF!</definedName>
    <definedName name="F17_Alloc_Ind_Tot_I_RUR12">#REF!</definedName>
    <definedName name="F17_Alloc_Ind_Tot_I_USD11" localSheetId="5">#REF!</definedName>
    <definedName name="F17_Alloc_Ind_Tot_I_USD11">#REF!</definedName>
    <definedName name="F17_Alloc_Ind_Tot_I_USD12" localSheetId="5">#REF!</definedName>
    <definedName name="F17_Alloc_Ind_Tot_I_USD12">#REF!</definedName>
    <definedName name="F17_Alloc_IndCo_Mr360D_Am_OthC" localSheetId="5">#REF!</definedName>
    <definedName name="F17_Alloc_IndCo_Mr360D_Am_OthC">#REF!</definedName>
    <definedName name="F17_Alloc_IndCo_Mr360D_Am_USD" localSheetId="5">#REF!</definedName>
    <definedName name="F17_Alloc_IndCo_Mr360D_Am_USD">#REF!</definedName>
    <definedName name="F17_Alloc_IndCo_Mr360D_I_OthC" localSheetId="5">#REF!</definedName>
    <definedName name="F17_Alloc_IndCo_Mr360D_I_OthC">#REF!</definedName>
    <definedName name="F17_Alloc_IndCor_15D_Am_AMD" localSheetId="5">#REF!</definedName>
    <definedName name="F17_Alloc_IndCor_15D_Am_AMD">#REF!</definedName>
    <definedName name="F17_Alloc_IndCor_15D_Am_EUR" localSheetId="5">#REF!</definedName>
    <definedName name="F17_Alloc_IndCor_15D_Am_EUR">#REF!</definedName>
    <definedName name="F17_Alloc_IndCor_15D_Am_OthC" localSheetId="5">#REF!</definedName>
    <definedName name="F17_Alloc_IndCor_15D_Am_OthC">#REF!</definedName>
    <definedName name="F17_Alloc_IndCor_15D_Am_RUR" localSheetId="5">#REF!</definedName>
    <definedName name="F17_Alloc_IndCor_15D_Am_RUR">#REF!</definedName>
    <definedName name="F17_Alloc_IndCor_15D_Am_USD" localSheetId="5">#REF!</definedName>
    <definedName name="F17_Alloc_IndCor_15D_Am_USD">#REF!</definedName>
    <definedName name="F17_Alloc_IndCor_15D_I_AMD" localSheetId="5">#REF!</definedName>
    <definedName name="F17_Alloc_IndCor_15D_I_AMD">#REF!</definedName>
    <definedName name="F17_Alloc_IndCor_15D_I_EUR" localSheetId="5">#REF!</definedName>
    <definedName name="F17_Alloc_IndCor_15D_I_EUR">#REF!</definedName>
    <definedName name="F17_Alloc_IndCor_15D_I_OthC" localSheetId="5">#REF!</definedName>
    <definedName name="F17_Alloc_IndCor_15D_I_OthC">#REF!</definedName>
    <definedName name="F17_Alloc_IndCor_15D_I_RUR" localSheetId="5">#REF!</definedName>
    <definedName name="F17_Alloc_IndCor_15D_I_RUR">#REF!</definedName>
    <definedName name="F17_Alloc_IndCor_15D_I_USD" localSheetId="5">#REF!</definedName>
    <definedName name="F17_Alloc_IndCor_15D_I_USD">#REF!</definedName>
    <definedName name="F17_Alloc_IndCor_180D_Am_AMD" localSheetId="5">#REF!</definedName>
    <definedName name="F17_Alloc_IndCor_180D_Am_AMD">#REF!</definedName>
    <definedName name="F17_Alloc_IndCor_180D_Am_EUR" localSheetId="5">#REF!</definedName>
    <definedName name="F17_Alloc_IndCor_180D_Am_EUR">#REF!</definedName>
    <definedName name="F17_Alloc_IndCor_180D_Am_OthC" localSheetId="5">#REF!</definedName>
    <definedName name="F17_Alloc_IndCor_180D_Am_OthC">#REF!</definedName>
    <definedName name="F17_Alloc_IndCor_180D_Am_RUR" localSheetId="5">#REF!</definedName>
    <definedName name="F17_Alloc_IndCor_180D_Am_RUR">#REF!</definedName>
    <definedName name="F17_Alloc_IndCor_180D_Am_USD" localSheetId="5">#REF!</definedName>
    <definedName name="F17_Alloc_IndCor_180D_Am_USD">#REF!</definedName>
    <definedName name="F17_Alloc_IndCor_180D_I_AMD" localSheetId="5">#REF!</definedName>
    <definedName name="F17_Alloc_IndCor_180D_I_AMD">#REF!</definedName>
    <definedName name="F17_Alloc_IndCor_180D_I_EUR" localSheetId="5">#REF!</definedName>
    <definedName name="F17_Alloc_IndCor_180D_I_EUR">#REF!</definedName>
    <definedName name="F17_Alloc_IndCor_180D_I_OthC" localSheetId="5">#REF!</definedName>
    <definedName name="F17_Alloc_IndCor_180D_I_OthC">#REF!</definedName>
    <definedName name="F17_Alloc_IndCor_180D_I_RUR" localSheetId="5">#REF!</definedName>
    <definedName name="F17_Alloc_IndCor_180D_I_RUR">#REF!</definedName>
    <definedName name="F17_Alloc_IndCor_180D_I_USD" localSheetId="5">#REF!</definedName>
    <definedName name="F17_Alloc_IndCor_180D_I_USD">#REF!</definedName>
    <definedName name="F17_Alloc_IndCor_30D_Am_AMD" localSheetId="5">#REF!</definedName>
    <definedName name="F17_Alloc_IndCor_30D_Am_AMD">#REF!</definedName>
    <definedName name="F17_Alloc_IndCor_30D_Am_EUR" localSheetId="5">#REF!</definedName>
    <definedName name="F17_Alloc_IndCor_30D_Am_EUR">#REF!</definedName>
    <definedName name="F17_Alloc_IndCor_30D_Am_OthC" localSheetId="5">#REF!</definedName>
    <definedName name="F17_Alloc_IndCor_30D_Am_OthC">#REF!</definedName>
    <definedName name="F17_Alloc_IndCor_30D_Am_RUR" localSheetId="5">#REF!</definedName>
    <definedName name="F17_Alloc_IndCor_30D_Am_RUR">#REF!</definedName>
    <definedName name="F17_Alloc_IndCor_30D_Am_USD" localSheetId="5">#REF!</definedName>
    <definedName name="F17_Alloc_IndCor_30D_Am_USD">#REF!</definedName>
    <definedName name="F17_Alloc_IndCor_30D_I_AMD" localSheetId="5">#REF!</definedName>
    <definedName name="F17_Alloc_IndCor_30D_I_AMD">#REF!</definedName>
    <definedName name="F17_Alloc_IndCor_30D_I_EUR" localSheetId="5">#REF!</definedName>
    <definedName name="F17_Alloc_IndCor_30D_I_EUR">#REF!</definedName>
    <definedName name="F17_Alloc_IndCor_30D_I_OthC" localSheetId="5">#REF!</definedName>
    <definedName name="F17_Alloc_IndCor_30D_I_OthC">#REF!</definedName>
    <definedName name="F17_Alloc_IndCor_30D_I_RUR" localSheetId="5">#REF!</definedName>
    <definedName name="F17_Alloc_IndCor_30D_I_RUR">#REF!</definedName>
    <definedName name="F17_Alloc_IndCor_30D_I_USD" localSheetId="5">#REF!</definedName>
    <definedName name="F17_Alloc_IndCor_30D_I_USD">#REF!</definedName>
    <definedName name="F17_Alloc_IndCor_360D_Am_AMD" localSheetId="5">#REF!</definedName>
    <definedName name="F17_Alloc_IndCor_360D_Am_AMD">#REF!</definedName>
    <definedName name="F17_Alloc_IndCor_360D_Am_EUR" localSheetId="5">#REF!</definedName>
    <definedName name="F17_Alloc_IndCor_360D_Am_EUR">#REF!</definedName>
    <definedName name="F17_Alloc_IndCor_360D_Am_OthC" localSheetId="5">#REF!</definedName>
    <definedName name="F17_Alloc_IndCor_360D_Am_OthC">#REF!</definedName>
    <definedName name="F17_Alloc_IndCor_360D_Am_RUR" localSheetId="5">#REF!</definedName>
    <definedName name="F17_Alloc_IndCor_360D_Am_RUR">#REF!</definedName>
    <definedName name="F17_Alloc_IndCor_360D_Am_USD" localSheetId="5">#REF!</definedName>
    <definedName name="F17_Alloc_IndCor_360D_Am_USD">#REF!</definedName>
    <definedName name="F17_Alloc_IndCor_360D_I_AMD" localSheetId="5">#REF!</definedName>
    <definedName name="F17_Alloc_IndCor_360D_I_AMD">#REF!</definedName>
    <definedName name="F17_Alloc_IndCor_360D_I_EUR" localSheetId="5">#REF!</definedName>
    <definedName name="F17_Alloc_IndCor_360D_I_EUR">#REF!</definedName>
    <definedName name="F17_Alloc_IndCor_360D_I_OthC" localSheetId="5">#REF!</definedName>
    <definedName name="F17_Alloc_IndCor_360D_I_OthC">#REF!</definedName>
    <definedName name="F17_Alloc_IndCor_360D_I_RUR" localSheetId="5">#REF!</definedName>
    <definedName name="F17_Alloc_IndCor_360D_I_RUR">#REF!</definedName>
    <definedName name="F17_Alloc_IndCor_360D_I_USD" localSheetId="5">#REF!</definedName>
    <definedName name="F17_Alloc_IndCor_360D_I_USD">#REF!</definedName>
    <definedName name="F17_Alloc_IndCor_60D_Am_AMD" localSheetId="5">#REF!</definedName>
    <definedName name="F17_Alloc_IndCor_60D_Am_AMD">#REF!</definedName>
    <definedName name="F17_Alloc_IndCor_60D_Am_EUR" localSheetId="5">#REF!</definedName>
    <definedName name="F17_Alloc_IndCor_60D_Am_EUR">#REF!</definedName>
    <definedName name="F17_Alloc_IndCor_60D_Am_OthC" localSheetId="5">#REF!</definedName>
    <definedName name="F17_Alloc_IndCor_60D_Am_OthC">#REF!</definedName>
    <definedName name="F17_Alloc_IndCor_60D_Am_RUR" localSheetId="5">#REF!</definedName>
    <definedName name="F17_Alloc_IndCor_60D_Am_RUR">#REF!</definedName>
    <definedName name="F17_Alloc_IndCor_60D_Am_USD" localSheetId="5">#REF!</definedName>
    <definedName name="F17_Alloc_IndCor_60D_Am_USD">#REF!</definedName>
    <definedName name="F17_Alloc_IndCor_60D_I_AMD" localSheetId="5">#REF!</definedName>
    <definedName name="F17_Alloc_IndCor_60D_I_AMD">#REF!</definedName>
    <definedName name="F17_Alloc_IndCor_60D_I_EUR" localSheetId="5">#REF!</definedName>
    <definedName name="F17_Alloc_IndCor_60D_I_EUR">#REF!</definedName>
    <definedName name="F17_Alloc_IndCor_60D_I_OthC" localSheetId="5">#REF!</definedName>
    <definedName name="F17_Alloc_IndCor_60D_I_OthC">#REF!</definedName>
    <definedName name="F17_Alloc_IndCor_60D_I_RUR" localSheetId="5">#REF!</definedName>
    <definedName name="F17_Alloc_IndCor_60D_I_RUR">#REF!</definedName>
    <definedName name="F17_Alloc_IndCor_60D_I_USD" localSheetId="5">#REF!</definedName>
    <definedName name="F17_Alloc_IndCor_60D_I_USD">#REF!</definedName>
    <definedName name="F17_Alloc_IndCor_90D_Am_AMD" localSheetId="5">#REF!</definedName>
    <definedName name="F17_Alloc_IndCor_90D_Am_AMD">#REF!</definedName>
    <definedName name="F17_Alloc_IndCor_90D_Am_EUR" localSheetId="5">#REF!</definedName>
    <definedName name="F17_Alloc_IndCor_90D_Am_EUR">#REF!</definedName>
    <definedName name="F17_Alloc_IndCor_90D_Am_OthC" localSheetId="5">#REF!</definedName>
    <definedName name="F17_Alloc_IndCor_90D_Am_OthC">#REF!</definedName>
    <definedName name="F17_Alloc_IndCor_90D_Am_RUR" localSheetId="5">#REF!</definedName>
    <definedName name="F17_Alloc_IndCor_90D_Am_RUR">#REF!</definedName>
    <definedName name="F17_Alloc_IndCor_90D_Am_USD" localSheetId="5">#REF!</definedName>
    <definedName name="F17_Alloc_IndCor_90D_Am_USD">#REF!</definedName>
    <definedName name="F17_Alloc_IndCor_90D_I_AMD" localSheetId="5">#REF!</definedName>
    <definedName name="F17_Alloc_IndCor_90D_I_AMD">#REF!</definedName>
    <definedName name="F17_Alloc_IndCor_90D_I_EUR" localSheetId="5">#REF!</definedName>
    <definedName name="F17_Alloc_IndCor_90D_I_EUR">#REF!</definedName>
    <definedName name="F17_Alloc_IndCor_90D_I_OthC" localSheetId="5">#REF!</definedName>
    <definedName name="F17_Alloc_IndCor_90D_I_OthC">#REF!</definedName>
    <definedName name="F17_Alloc_IndCor_90D_I_RUR" localSheetId="5">#REF!</definedName>
    <definedName name="F17_Alloc_IndCor_90D_I_RUR">#REF!</definedName>
    <definedName name="F17_Alloc_IndCor_90D_I_USD" localSheetId="5">#REF!</definedName>
    <definedName name="F17_Alloc_IndCor_90D_I_USD">#REF!</definedName>
    <definedName name="F17_Alloc_IndCor_Dem_Am_AMD" localSheetId="5">#REF!</definedName>
    <definedName name="F17_Alloc_IndCor_Dem_Am_AMD">#REF!</definedName>
    <definedName name="F17_Alloc_IndCor_Dem_Am_EUR" localSheetId="5">#REF!</definedName>
    <definedName name="F17_Alloc_IndCor_Dem_Am_EUR">#REF!</definedName>
    <definedName name="F17_Alloc_IndCor_Dem_Am_OthC" localSheetId="5">#REF!</definedName>
    <definedName name="F17_Alloc_IndCor_Dem_Am_OthC">#REF!</definedName>
    <definedName name="F17_Alloc_IndCor_Dem_Am_RUR" localSheetId="5">#REF!</definedName>
    <definedName name="F17_Alloc_IndCor_Dem_Am_RUR">#REF!</definedName>
    <definedName name="F17_Alloc_IndCor_Dem_Am_USD" localSheetId="5">#REF!</definedName>
    <definedName name="F17_Alloc_IndCor_Dem_Am_USD">#REF!</definedName>
    <definedName name="F17_Alloc_IndCor_Dem_I_AMD" localSheetId="5">#REF!</definedName>
    <definedName name="F17_Alloc_IndCor_Dem_I_AMD">#REF!</definedName>
    <definedName name="F17_Alloc_IndCor_Dem_I_EUR" localSheetId="5">#REF!</definedName>
    <definedName name="F17_Alloc_IndCor_Dem_I_EUR">#REF!</definedName>
    <definedName name="F17_Alloc_IndCor_Dem_I_OthC" localSheetId="5">#REF!</definedName>
    <definedName name="F17_Alloc_IndCor_Dem_I_OthC">#REF!</definedName>
    <definedName name="F17_Alloc_IndCor_Dem_I_RUR" localSheetId="5">#REF!</definedName>
    <definedName name="F17_Alloc_IndCor_Dem_I_RUR">#REF!</definedName>
    <definedName name="F17_Alloc_IndCor_Dem_I_USD" localSheetId="5">#REF!</definedName>
    <definedName name="F17_Alloc_IndCor_Dem_I_USD">#REF!</definedName>
    <definedName name="F17_Alloc_IndCor_Mr360D_Am_AMD" localSheetId="5">#REF!</definedName>
    <definedName name="F17_Alloc_IndCor_Mr360D_Am_AMD">#REF!</definedName>
    <definedName name="F17_Alloc_IndCor_Mr360D_Am_EUR" localSheetId="5">#REF!</definedName>
    <definedName name="F17_Alloc_IndCor_Mr360D_Am_EUR">#REF!</definedName>
    <definedName name="F17_Alloc_IndCor_Mr360D_Am_RUR" localSheetId="5">#REF!</definedName>
    <definedName name="F17_Alloc_IndCor_Mr360D_Am_RUR">#REF!</definedName>
    <definedName name="F17_Alloc_IndCor_Mr360D_I_AMD" localSheetId="5">#REF!</definedName>
    <definedName name="F17_Alloc_IndCor_Mr360D_I_AMD">#REF!</definedName>
    <definedName name="F17_Alloc_IndCor_Mr360D_I_EUR" localSheetId="5">#REF!</definedName>
    <definedName name="F17_Alloc_IndCor_Mr360D_I_EUR">#REF!</definedName>
    <definedName name="F17_Alloc_IndCor_Mr360D_I_RUR" localSheetId="5">#REF!</definedName>
    <definedName name="F17_Alloc_IndCor_Mr360D_I_RUR">#REF!</definedName>
    <definedName name="F17_Alloc_IndCor_Mr360D_I_USD" localSheetId="5">#REF!</definedName>
    <definedName name="F17_Alloc_IndCor_Mr360D_I_USD">#REF!</definedName>
    <definedName name="F17_Alloc_IndCor_Tot_Am_AMD1" localSheetId="5">#REF!</definedName>
    <definedName name="F17_Alloc_IndCor_Tot_Am_AMD1">#REF!</definedName>
    <definedName name="F17_Alloc_IndCor_Tot_Am_EUR1" localSheetId="5">#REF!</definedName>
    <definedName name="F17_Alloc_IndCor_Tot_Am_EUR1">#REF!</definedName>
    <definedName name="F17_Alloc_IndCor_Tot_Am_OthC1" localSheetId="5">#REF!</definedName>
    <definedName name="F17_Alloc_IndCor_Tot_Am_OthC1">#REF!</definedName>
    <definedName name="F17_Alloc_IndCor_Tot_Am_RUR1" localSheetId="5">#REF!</definedName>
    <definedName name="F17_Alloc_IndCor_Tot_Am_RUR1">#REF!</definedName>
    <definedName name="F17_Alloc_IndCor_Tot_Am_USD1" localSheetId="5">#REF!</definedName>
    <definedName name="F17_Alloc_IndCor_Tot_Am_USD1">#REF!</definedName>
    <definedName name="F17_Alloc_IndCor_Tot_I_AMD11" localSheetId="5">#REF!</definedName>
    <definedName name="F17_Alloc_IndCor_Tot_I_AMD11">#REF!</definedName>
    <definedName name="F17_Alloc_IndCor_Tot_I_AMD12" localSheetId="5">#REF!</definedName>
    <definedName name="F17_Alloc_IndCor_Tot_I_AMD12">#REF!</definedName>
    <definedName name="F17_Alloc_IndCor_Tot_I_EUR11" localSheetId="5">#REF!</definedName>
    <definedName name="F17_Alloc_IndCor_Tot_I_EUR11">#REF!</definedName>
    <definedName name="F17_Alloc_IndCor_Tot_I_EUR12" localSheetId="5">#REF!</definedName>
    <definedName name="F17_Alloc_IndCor_Tot_I_EUR12">#REF!</definedName>
    <definedName name="F17_Alloc_IndCor_Tot_I_OthC11" localSheetId="5">#REF!</definedName>
    <definedName name="F17_Alloc_IndCor_Tot_I_OthC11">#REF!</definedName>
    <definedName name="F17_Alloc_IndCor_Tot_I_OthC12" localSheetId="5">#REF!</definedName>
    <definedName name="F17_Alloc_IndCor_Tot_I_OthC12">#REF!</definedName>
    <definedName name="F17_Alloc_IndCor_Tot_I_RUR11" localSheetId="5">#REF!</definedName>
    <definedName name="F17_Alloc_IndCor_Tot_I_RUR11">#REF!</definedName>
    <definedName name="F17_Alloc_IndCor_Tot_I_RUR12" localSheetId="5">#REF!</definedName>
    <definedName name="F17_Alloc_IndCor_Tot_I_RUR12">#REF!</definedName>
    <definedName name="F17_Alloc_IndCor_Tot_I_USD11" localSheetId="5">#REF!</definedName>
    <definedName name="F17_Alloc_IndCor_Tot_I_USD11">#REF!</definedName>
    <definedName name="F17_Alloc_IndCor_Tot_I_USD12" localSheetId="5">#REF!</definedName>
    <definedName name="F17_Alloc_IndCor_Tot_I_USD12">#REF!</definedName>
    <definedName name="F17_Alloc_IntOr_15D_Am_AMD" localSheetId="5">#REF!</definedName>
    <definedName name="F17_Alloc_IntOr_15D_Am_AMD">#REF!</definedName>
    <definedName name="F17_Alloc_IntOr_15D_Am_EUR" localSheetId="5">#REF!</definedName>
    <definedName name="F17_Alloc_IntOr_15D_Am_EUR">#REF!</definedName>
    <definedName name="F17_Alloc_IntOr_15D_Am_OthC" localSheetId="5">#REF!</definedName>
    <definedName name="F17_Alloc_IntOr_15D_Am_OthC">#REF!</definedName>
    <definedName name="F17_Alloc_IntOr_15D_Am_RUR" localSheetId="5">#REF!</definedName>
    <definedName name="F17_Alloc_IntOr_15D_Am_RUR">#REF!</definedName>
    <definedName name="F17_Alloc_IntOr_15D_Am_USD" localSheetId="5">#REF!</definedName>
    <definedName name="F17_Alloc_IntOr_15D_Am_USD">#REF!</definedName>
    <definedName name="F17_Alloc_IntOr_15D_I_AMD" localSheetId="5">#REF!</definedName>
    <definedName name="F17_Alloc_IntOr_15D_I_AMD">#REF!</definedName>
    <definedName name="F17_Alloc_IntOr_15D_I_EUR" localSheetId="5">#REF!</definedName>
    <definedName name="F17_Alloc_IntOr_15D_I_EUR">#REF!</definedName>
    <definedName name="F17_Alloc_IntOr_15D_I_OthC" localSheetId="5">#REF!</definedName>
    <definedName name="F17_Alloc_IntOr_15D_I_OthC">#REF!</definedName>
    <definedName name="F17_Alloc_IntOr_15D_I_RUR" localSheetId="5">#REF!</definedName>
    <definedName name="F17_Alloc_IntOr_15D_I_RUR">#REF!</definedName>
    <definedName name="F17_Alloc_IntOr_15D_I_USD" localSheetId="5">#REF!</definedName>
    <definedName name="F17_Alloc_IntOr_15D_I_USD">#REF!</definedName>
    <definedName name="F17_Alloc_IntOr_180D_Am_AMD" localSheetId="5">#REF!</definedName>
    <definedName name="F17_Alloc_IntOr_180D_Am_AMD">#REF!</definedName>
    <definedName name="F17_Alloc_IntOr_180D_Am_EUR" localSheetId="5">#REF!</definedName>
    <definedName name="F17_Alloc_IntOr_180D_Am_EUR">#REF!</definedName>
    <definedName name="F17_Alloc_IntOr_180D_Am_OthC" localSheetId="5">#REF!</definedName>
    <definedName name="F17_Alloc_IntOr_180D_Am_OthC">#REF!</definedName>
    <definedName name="F17_Alloc_IntOr_180D_Am_RUR" localSheetId="5">#REF!</definedName>
    <definedName name="F17_Alloc_IntOr_180D_Am_RUR">#REF!</definedName>
    <definedName name="F17_Alloc_IntOr_180D_Am_USD" localSheetId="5">#REF!</definedName>
    <definedName name="F17_Alloc_IntOr_180D_Am_USD">#REF!</definedName>
    <definedName name="F17_Alloc_IntOr_180D_I_AMD" localSheetId="5">#REF!</definedName>
    <definedName name="F17_Alloc_IntOr_180D_I_AMD">#REF!</definedName>
    <definedName name="F17_Alloc_IntOr_180D_I_EUR" localSheetId="5">#REF!</definedName>
    <definedName name="F17_Alloc_IntOr_180D_I_EUR">#REF!</definedName>
    <definedName name="F17_Alloc_IntOr_180D_I_OthC" localSheetId="5">#REF!</definedName>
    <definedName name="F17_Alloc_IntOr_180D_I_OthC">#REF!</definedName>
    <definedName name="F17_Alloc_IntOr_180D_I_RUR" localSheetId="5">#REF!</definedName>
    <definedName name="F17_Alloc_IntOr_180D_I_RUR">#REF!</definedName>
    <definedName name="F17_Alloc_IntOr_180D_I_USD" localSheetId="5">#REF!</definedName>
    <definedName name="F17_Alloc_IntOr_180D_I_USD">#REF!</definedName>
    <definedName name="F17_Alloc_IntOr_30D_Am_AMD" localSheetId="5">#REF!</definedName>
    <definedName name="F17_Alloc_IntOr_30D_Am_AMD">#REF!</definedName>
    <definedName name="F17_Alloc_IntOr_30D_Am_EUR" localSheetId="5">#REF!</definedName>
    <definedName name="F17_Alloc_IntOr_30D_Am_EUR">#REF!</definedName>
    <definedName name="F17_Alloc_IntOr_30D_Am_OthC" localSheetId="5">#REF!</definedName>
    <definedName name="F17_Alloc_IntOr_30D_Am_OthC">#REF!</definedName>
    <definedName name="F17_Alloc_IntOr_30D_Am_RUR" localSheetId="5">#REF!</definedName>
    <definedName name="F17_Alloc_IntOr_30D_Am_RUR">#REF!</definedName>
    <definedName name="F17_Alloc_IntOr_30D_Am_USD" localSheetId="5">#REF!</definedName>
    <definedName name="F17_Alloc_IntOr_30D_Am_USD">#REF!</definedName>
    <definedName name="F17_Alloc_IntOr_30D_I_AMD" localSheetId="5">#REF!</definedName>
    <definedName name="F17_Alloc_IntOr_30D_I_AMD">#REF!</definedName>
    <definedName name="F17_Alloc_IntOr_30D_I_EUR" localSheetId="5">#REF!</definedName>
    <definedName name="F17_Alloc_IntOr_30D_I_EUR">#REF!</definedName>
    <definedName name="F17_Alloc_IntOr_30D_I_OthC" localSheetId="5">#REF!</definedName>
    <definedName name="F17_Alloc_IntOr_30D_I_OthC">#REF!</definedName>
    <definedName name="F17_Alloc_IntOr_30D_I_RUR" localSheetId="5">#REF!</definedName>
    <definedName name="F17_Alloc_IntOr_30D_I_RUR">#REF!</definedName>
    <definedName name="F17_Alloc_IntOr_30D_I_USD" localSheetId="5">#REF!</definedName>
    <definedName name="F17_Alloc_IntOr_30D_I_USD">#REF!</definedName>
    <definedName name="F17_Alloc_IntOr_360D_Am_AMD" localSheetId="5">#REF!</definedName>
    <definedName name="F17_Alloc_IntOr_360D_Am_AMD">#REF!</definedName>
    <definedName name="F17_Alloc_IntOr_360D_Am_EUR" localSheetId="5">#REF!</definedName>
    <definedName name="F17_Alloc_IntOr_360D_Am_EUR">#REF!</definedName>
    <definedName name="F17_Alloc_IntOr_360D_Am_OthC" localSheetId="5">#REF!</definedName>
    <definedName name="F17_Alloc_IntOr_360D_Am_OthC">#REF!</definedName>
    <definedName name="F17_Alloc_IntOr_360D_Am_RUR" localSheetId="5">#REF!</definedName>
    <definedName name="F17_Alloc_IntOr_360D_Am_RUR">#REF!</definedName>
    <definedName name="F17_Alloc_IntOr_360D_Am_USD" localSheetId="5">#REF!</definedName>
    <definedName name="F17_Alloc_IntOr_360D_Am_USD">#REF!</definedName>
    <definedName name="F17_Alloc_IntOr_360D_I_AMD" localSheetId="5">#REF!</definedName>
    <definedName name="F17_Alloc_IntOr_360D_I_AMD">#REF!</definedName>
    <definedName name="F17_Alloc_IntOr_360D_I_EUR" localSheetId="5">#REF!</definedName>
    <definedName name="F17_Alloc_IntOr_360D_I_EUR">#REF!</definedName>
    <definedName name="F17_Alloc_IntOr_360D_I_OthC" localSheetId="5">#REF!</definedName>
    <definedName name="F17_Alloc_IntOr_360D_I_OthC">#REF!</definedName>
    <definedName name="F17_Alloc_IntOr_360D_I_RUR" localSheetId="5">#REF!</definedName>
    <definedName name="F17_Alloc_IntOr_360D_I_RUR">#REF!</definedName>
    <definedName name="F17_Alloc_IntOr_360D_I_USD" localSheetId="5">#REF!</definedName>
    <definedName name="F17_Alloc_IntOr_360D_I_USD">#REF!</definedName>
    <definedName name="F17_Alloc_IntOr_60D_Am_AMD" localSheetId="5">#REF!</definedName>
    <definedName name="F17_Alloc_IntOr_60D_Am_AMD">#REF!</definedName>
    <definedName name="F17_Alloc_IntOr_60D_Am_EUR" localSheetId="5">#REF!</definedName>
    <definedName name="F17_Alloc_IntOr_60D_Am_EUR">#REF!</definedName>
    <definedName name="F17_Alloc_IntOr_60D_Am_OthC" localSheetId="5">#REF!</definedName>
    <definedName name="F17_Alloc_IntOr_60D_Am_OthC">#REF!</definedName>
    <definedName name="F17_Alloc_IntOr_60D_Am_RUR" localSheetId="5">#REF!</definedName>
    <definedName name="F17_Alloc_IntOr_60D_Am_RUR">#REF!</definedName>
    <definedName name="F17_Alloc_IntOr_60D_Am_USD" localSheetId="5">#REF!</definedName>
    <definedName name="F17_Alloc_IntOr_60D_Am_USD">#REF!</definedName>
    <definedName name="F17_Alloc_IntOr_60D_I_AMD" localSheetId="5">#REF!</definedName>
    <definedName name="F17_Alloc_IntOr_60D_I_AMD">#REF!</definedName>
    <definedName name="F17_Alloc_IntOr_60D_I_EUR" localSheetId="5">#REF!</definedName>
    <definedName name="F17_Alloc_IntOr_60D_I_EUR">#REF!</definedName>
    <definedName name="F17_Alloc_IntOr_60D_I_OthC" localSheetId="5">#REF!</definedName>
    <definedName name="F17_Alloc_IntOr_60D_I_OthC">#REF!</definedName>
    <definedName name="F17_Alloc_IntOr_60D_I_RUR" localSheetId="5">#REF!</definedName>
    <definedName name="F17_Alloc_IntOr_60D_I_RUR">#REF!</definedName>
    <definedName name="F17_Alloc_IntOr_60D_I_USD" localSheetId="5">#REF!</definedName>
    <definedName name="F17_Alloc_IntOr_60D_I_USD">#REF!</definedName>
    <definedName name="F17_Alloc_IntOr_90D_Am_AMD" localSheetId="5">#REF!</definedName>
    <definedName name="F17_Alloc_IntOr_90D_Am_AMD">#REF!</definedName>
    <definedName name="F17_Alloc_IntOr_90D_Am_EUR" localSheetId="5">#REF!</definedName>
    <definedName name="F17_Alloc_IntOr_90D_Am_EUR">#REF!</definedName>
    <definedName name="F17_Alloc_IntOr_90D_Am_OthC" localSheetId="5">#REF!</definedName>
    <definedName name="F17_Alloc_IntOr_90D_Am_OthC">#REF!</definedName>
    <definedName name="F17_Alloc_IntOr_90D_Am_RUR" localSheetId="5">#REF!</definedName>
    <definedName name="F17_Alloc_IntOr_90D_Am_RUR">#REF!</definedName>
    <definedName name="F17_Alloc_IntOr_90D_Am_USD" localSheetId="5">#REF!</definedName>
    <definedName name="F17_Alloc_IntOr_90D_Am_USD">#REF!</definedName>
    <definedName name="F17_Alloc_IntOr_90D_I_AMD" localSheetId="5">#REF!</definedName>
    <definedName name="F17_Alloc_IntOr_90D_I_AMD">#REF!</definedName>
    <definedName name="F17_Alloc_IntOr_90D_I_EUR" localSheetId="5">#REF!</definedName>
    <definedName name="F17_Alloc_IntOr_90D_I_EUR">#REF!</definedName>
    <definedName name="F17_Alloc_IntOr_90D_I_OthC" localSheetId="5">#REF!</definedName>
    <definedName name="F17_Alloc_IntOr_90D_I_OthC">#REF!</definedName>
    <definedName name="F17_Alloc_IntOr_90D_I_RUR" localSheetId="5">#REF!</definedName>
    <definedName name="F17_Alloc_IntOr_90D_I_RUR">#REF!</definedName>
    <definedName name="F17_Alloc_IntOr_90D_I_USD" localSheetId="5">#REF!</definedName>
    <definedName name="F17_Alloc_IntOr_90D_I_USD">#REF!</definedName>
    <definedName name="F17_Alloc_IntOr_Dem_Am_AMD" localSheetId="5">#REF!</definedName>
    <definedName name="F17_Alloc_IntOr_Dem_Am_AMD">#REF!</definedName>
    <definedName name="F17_Alloc_IntOr_Dem_Am_EUR" localSheetId="5">#REF!</definedName>
    <definedName name="F17_Alloc_IntOr_Dem_Am_EUR">#REF!</definedName>
    <definedName name="F17_Alloc_IntOr_Dem_Am_OthC" localSheetId="5">#REF!</definedName>
    <definedName name="F17_Alloc_IntOr_Dem_Am_OthC">#REF!</definedName>
    <definedName name="F17_Alloc_IntOr_Dem_Am_RUR" localSheetId="5">#REF!</definedName>
    <definedName name="F17_Alloc_IntOr_Dem_Am_RUR">#REF!</definedName>
    <definedName name="F17_Alloc_IntOr_Dem_Am_USD" localSheetId="5">#REF!</definedName>
    <definedName name="F17_Alloc_IntOr_Dem_Am_USD">#REF!</definedName>
    <definedName name="F17_Alloc_IntOr_Dem_I_AMD" localSheetId="5">#REF!</definedName>
    <definedName name="F17_Alloc_IntOr_Dem_I_AMD">#REF!</definedName>
    <definedName name="F17_Alloc_IntOr_Dem_I_EUR" localSheetId="5">#REF!</definedName>
    <definedName name="F17_Alloc_IntOr_Dem_I_EUR">#REF!</definedName>
    <definedName name="F17_Alloc_IntOr_Dem_I_OthC" localSheetId="5">#REF!</definedName>
    <definedName name="F17_Alloc_IntOr_Dem_I_OthC">#REF!</definedName>
    <definedName name="F17_Alloc_IntOr_Dem_I_RUR" localSheetId="5">#REF!</definedName>
    <definedName name="F17_Alloc_IntOr_Dem_I_RUR">#REF!</definedName>
    <definedName name="F17_Alloc_IntOr_Dem_I_USD" localSheetId="5">#REF!</definedName>
    <definedName name="F17_Alloc_IntOr_Dem_I_USD">#REF!</definedName>
    <definedName name="F17_Alloc_IntOr_Mr360D_Am_AMD" localSheetId="5">#REF!</definedName>
    <definedName name="F17_Alloc_IntOr_Mr360D_Am_AMD">#REF!</definedName>
    <definedName name="F17_Alloc_IntOr_Mr360D_Am_EUR" localSheetId="5">#REF!</definedName>
    <definedName name="F17_Alloc_IntOr_Mr360D_Am_EUR">#REF!</definedName>
    <definedName name="F17_Alloc_IntOr_Mr360D_Am_OthC" localSheetId="5">#REF!</definedName>
    <definedName name="F17_Alloc_IntOr_Mr360D_Am_OthC">#REF!</definedName>
    <definedName name="F17_Alloc_IntOr_Mr360D_Am_RUR" localSheetId="5">#REF!</definedName>
    <definedName name="F17_Alloc_IntOr_Mr360D_Am_RUR">#REF!</definedName>
    <definedName name="F17_Alloc_IntOr_Mr360D_Am_USD" localSheetId="5">#REF!</definedName>
    <definedName name="F17_Alloc_IntOr_Mr360D_Am_USD">#REF!</definedName>
    <definedName name="F17_Alloc_IntOr_Mr360D_I_AMD" localSheetId="5">#REF!</definedName>
    <definedName name="F17_Alloc_IntOr_Mr360D_I_AMD">#REF!</definedName>
    <definedName name="F17_Alloc_IntOr_Mr360D_I_EUR" localSheetId="5">#REF!</definedName>
    <definedName name="F17_Alloc_IntOr_Mr360D_I_EUR">#REF!</definedName>
    <definedName name="F17_Alloc_IntOr_Mr360D_I_OthC" localSheetId="5">#REF!</definedName>
    <definedName name="F17_Alloc_IntOr_Mr360D_I_OthC">#REF!</definedName>
    <definedName name="F17_Alloc_IntOr_Mr360D_I_RUR" localSheetId="5">#REF!</definedName>
    <definedName name="F17_Alloc_IntOr_Mr360D_I_RUR">#REF!</definedName>
    <definedName name="F17_Alloc_IntOr_Mr360D_I_USD" localSheetId="5">#REF!</definedName>
    <definedName name="F17_Alloc_IntOr_Mr360D_I_USD">#REF!</definedName>
    <definedName name="F17_Alloc_IntOr_Tot_Am_AMD1" localSheetId="5">#REF!</definedName>
    <definedName name="F17_Alloc_IntOr_Tot_Am_AMD1">#REF!</definedName>
    <definedName name="F17_Alloc_IntOr_Tot_Am_EUR1" localSheetId="5">#REF!</definedName>
    <definedName name="F17_Alloc_IntOr_Tot_Am_EUR1">#REF!</definedName>
    <definedName name="F17_Alloc_IntOr_Tot_Am_OthC1" localSheetId="5">#REF!</definedName>
    <definedName name="F17_Alloc_IntOr_Tot_Am_OthC1">#REF!</definedName>
    <definedName name="F17_Alloc_IntOr_Tot_Am_RUR1" localSheetId="5">#REF!</definedName>
    <definedName name="F17_Alloc_IntOr_Tot_Am_RUR1">#REF!</definedName>
    <definedName name="F17_Alloc_IntOr_Tot_Am_USD1" localSheetId="5">#REF!</definedName>
    <definedName name="F17_Alloc_IntOr_Tot_Am_USD1">#REF!</definedName>
    <definedName name="F17_Alloc_IntOr_Tot_I_AMD11" localSheetId="5">#REF!</definedName>
    <definedName name="F17_Alloc_IntOr_Tot_I_AMD11">#REF!</definedName>
    <definedName name="F17_Alloc_IntOr_Tot_I_AMD12" localSheetId="5">#REF!</definedName>
    <definedName name="F17_Alloc_IntOr_Tot_I_AMD12">#REF!</definedName>
    <definedName name="F17_Alloc_IntOr_Tot_I_EUR11" localSheetId="5">#REF!</definedName>
    <definedName name="F17_Alloc_IntOr_Tot_I_EUR11">#REF!</definedName>
    <definedName name="F17_Alloc_IntOr_Tot_I_EUR12" localSheetId="5">#REF!</definedName>
    <definedName name="F17_Alloc_IntOr_Tot_I_EUR12">#REF!</definedName>
    <definedName name="F17_Alloc_IntOr_Tot_I_OthC11" localSheetId="5">#REF!</definedName>
    <definedName name="F17_Alloc_IntOr_Tot_I_OthC11">#REF!</definedName>
    <definedName name="F17_Alloc_IntOr_Tot_I_OthC12" localSheetId="5">#REF!</definedName>
    <definedName name="F17_Alloc_IntOr_Tot_I_OthC12">#REF!</definedName>
    <definedName name="F17_Alloc_IntOr_Tot_I_RUR11" localSheetId="5">#REF!</definedName>
    <definedName name="F17_Alloc_IntOr_Tot_I_RUR11">#REF!</definedName>
    <definedName name="F17_Alloc_IntOr_Tot_I_RUR12" localSheetId="5">#REF!</definedName>
    <definedName name="F17_Alloc_IntOr_Tot_I_RUR12">#REF!</definedName>
    <definedName name="F17_Alloc_IntOr_Tot_I_USD11" localSheetId="5">#REF!</definedName>
    <definedName name="F17_Alloc_IntOr_Tot_I_USD11">#REF!</definedName>
    <definedName name="F17_Alloc_IntOr_Tot_I_USD12" localSheetId="5">#REF!</definedName>
    <definedName name="F17_Alloc_IntOr_Tot_I_USD12">#REF!</definedName>
    <definedName name="F17_Alloc_OthBn_15D_Am_AMD" localSheetId="5">#REF!</definedName>
    <definedName name="F17_Alloc_OthBn_15D_Am_AMD">#REF!</definedName>
    <definedName name="F17_Alloc_OthBn_15D_Am_EUR" localSheetId="5">#REF!</definedName>
    <definedName name="F17_Alloc_OthBn_15D_Am_EUR">#REF!</definedName>
    <definedName name="F17_Alloc_OthBn_15D_Am_OthC" localSheetId="5">#REF!</definedName>
    <definedName name="F17_Alloc_OthBn_15D_Am_OthC">#REF!</definedName>
    <definedName name="F17_Alloc_OthBn_15D_Am_RUR" localSheetId="5">#REF!</definedName>
    <definedName name="F17_Alloc_OthBn_15D_Am_RUR">#REF!</definedName>
    <definedName name="F17_Alloc_OthBn_15D_Am_USD" localSheetId="5">#REF!</definedName>
    <definedName name="F17_Alloc_OthBn_15D_Am_USD">#REF!</definedName>
    <definedName name="F17_Alloc_OthBn_15D_I_AMD" localSheetId="5">#REF!</definedName>
    <definedName name="F17_Alloc_OthBn_15D_I_AMD">#REF!</definedName>
    <definedName name="F17_Alloc_OthBn_15D_I_EUR" localSheetId="5">#REF!</definedName>
    <definedName name="F17_Alloc_OthBn_15D_I_EUR">#REF!</definedName>
    <definedName name="F17_Alloc_OthBn_15D_I_OthC" localSheetId="5">#REF!</definedName>
    <definedName name="F17_Alloc_OthBn_15D_I_OthC">#REF!</definedName>
    <definedName name="F17_Alloc_OthBn_15D_I_RUR" localSheetId="5">#REF!</definedName>
    <definedName name="F17_Alloc_OthBn_15D_I_RUR">#REF!</definedName>
    <definedName name="F17_Alloc_OthBn_15D_I_USD" localSheetId="5">#REF!</definedName>
    <definedName name="F17_Alloc_OthBn_15D_I_USD">#REF!</definedName>
    <definedName name="F17_Alloc_OthBn_180D_Am_AMD" localSheetId="5">#REF!</definedName>
    <definedName name="F17_Alloc_OthBn_180D_Am_AMD">#REF!</definedName>
    <definedName name="F17_Alloc_OthBn_180D_Am_EUR" localSheetId="5">#REF!</definedName>
    <definedName name="F17_Alloc_OthBn_180D_Am_EUR">#REF!</definedName>
    <definedName name="F17_Alloc_OthBn_180D_Am_OthC" localSheetId="5">#REF!</definedName>
    <definedName name="F17_Alloc_OthBn_180D_Am_OthC">#REF!</definedName>
    <definedName name="F17_Alloc_OthBn_180D_Am_RUR" localSheetId="5">#REF!</definedName>
    <definedName name="F17_Alloc_OthBn_180D_Am_RUR">#REF!</definedName>
    <definedName name="F17_Alloc_OthBn_180D_Am_USD" localSheetId="5">#REF!</definedName>
    <definedName name="F17_Alloc_OthBn_180D_Am_USD">#REF!</definedName>
    <definedName name="F17_Alloc_OthBn_180D_I_AMD" localSheetId="5">#REF!</definedName>
    <definedName name="F17_Alloc_OthBn_180D_I_AMD">#REF!</definedName>
    <definedName name="F17_Alloc_OthBn_180D_I_EUR" localSheetId="5">#REF!</definedName>
    <definedName name="F17_Alloc_OthBn_180D_I_EUR">#REF!</definedName>
    <definedName name="F17_Alloc_OthBn_180D_I_OthC" localSheetId="5">#REF!</definedName>
    <definedName name="F17_Alloc_OthBn_180D_I_OthC">#REF!</definedName>
    <definedName name="F17_Alloc_OthBn_180D_I_RUR" localSheetId="5">#REF!</definedName>
    <definedName name="F17_Alloc_OthBn_180D_I_RUR">#REF!</definedName>
    <definedName name="F17_Alloc_OthBn_180D_I_USD" localSheetId="5">#REF!</definedName>
    <definedName name="F17_Alloc_OthBn_180D_I_USD">#REF!</definedName>
    <definedName name="F17_Alloc_OthBn_30D_Am_AMD" localSheetId="5">#REF!</definedName>
    <definedName name="F17_Alloc_OthBn_30D_Am_AMD">#REF!</definedName>
    <definedName name="F17_Alloc_OthBn_30D_Am_EUR" localSheetId="5">#REF!</definedName>
    <definedName name="F17_Alloc_OthBn_30D_Am_EUR">#REF!</definedName>
    <definedName name="F17_Alloc_OthBn_30D_Am_OthC" localSheetId="5">#REF!</definedName>
    <definedName name="F17_Alloc_OthBn_30D_Am_OthC">#REF!</definedName>
    <definedName name="F17_Alloc_OthBn_30D_Am_RUR" localSheetId="5">#REF!</definedName>
    <definedName name="F17_Alloc_OthBn_30D_Am_RUR">#REF!</definedName>
    <definedName name="F17_Alloc_OthBn_30D_Am_USD" localSheetId="5">#REF!</definedName>
    <definedName name="F17_Alloc_OthBn_30D_Am_USD">#REF!</definedName>
    <definedName name="F17_Alloc_OthBn_30D_I_AMD" localSheetId="5">#REF!</definedName>
    <definedName name="F17_Alloc_OthBn_30D_I_AMD">#REF!</definedName>
    <definedName name="F17_Alloc_OthBn_30D_I_EUR" localSheetId="5">#REF!</definedName>
    <definedName name="F17_Alloc_OthBn_30D_I_EUR">#REF!</definedName>
    <definedName name="F17_Alloc_OthBn_30D_I_OthC" localSheetId="5">#REF!</definedName>
    <definedName name="F17_Alloc_OthBn_30D_I_OthC">#REF!</definedName>
    <definedName name="F17_Alloc_OthBn_30D_I_RUR" localSheetId="5">#REF!</definedName>
    <definedName name="F17_Alloc_OthBn_30D_I_RUR">#REF!</definedName>
    <definedName name="F17_Alloc_OthBn_30D_I_USD" localSheetId="5">#REF!</definedName>
    <definedName name="F17_Alloc_OthBn_30D_I_USD">#REF!</definedName>
    <definedName name="F17_Alloc_OthBn_360D_Am_AMD" localSheetId="5">#REF!</definedName>
    <definedName name="F17_Alloc_OthBn_360D_Am_AMD">#REF!</definedName>
    <definedName name="F17_Alloc_OthBn_360D_Am_EUR" localSheetId="5">#REF!</definedName>
    <definedName name="F17_Alloc_OthBn_360D_Am_EUR">#REF!</definedName>
    <definedName name="F17_Alloc_OthBn_360D_Am_OthC" localSheetId="5">#REF!</definedName>
    <definedName name="F17_Alloc_OthBn_360D_Am_OthC">#REF!</definedName>
    <definedName name="F17_Alloc_OthBn_360D_Am_RUR" localSheetId="5">#REF!</definedName>
    <definedName name="F17_Alloc_OthBn_360D_Am_RUR">#REF!</definedName>
    <definedName name="F17_Alloc_OthBn_360D_Am_USD" localSheetId="5">#REF!</definedName>
    <definedName name="F17_Alloc_OthBn_360D_Am_USD">#REF!</definedName>
    <definedName name="F17_Alloc_OthBn_360D_I_AMD" localSheetId="5">#REF!</definedName>
    <definedName name="F17_Alloc_OthBn_360D_I_AMD">#REF!</definedName>
    <definedName name="F17_Alloc_OthBn_360D_I_EUR" localSheetId="5">#REF!</definedName>
    <definedName name="F17_Alloc_OthBn_360D_I_EUR">#REF!</definedName>
    <definedName name="F17_Alloc_OthBn_360D_I_OthC" localSheetId="5">#REF!</definedName>
    <definedName name="F17_Alloc_OthBn_360D_I_OthC">#REF!</definedName>
    <definedName name="F17_Alloc_OthBn_360D_I_RUR" localSheetId="5">#REF!</definedName>
    <definedName name="F17_Alloc_OthBn_360D_I_RUR">#REF!</definedName>
    <definedName name="F17_Alloc_OthBn_360D_I_USD" localSheetId="5">#REF!</definedName>
    <definedName name="F17_Alloc_OthBn_360D_I_USD">#REF!</definedName>
    <definedName name="F17_Alloc_OthBn_60D_Am_AMD" localSheetId="5">#REF!</definedName>
    <definedName name="F17_Alloc_OthBn_60D_Am_AMD">#REF!</definedName>
    <definedName name="F17_Alloc_OthBn_60D_Am_EUR" localSheetId="5">#REF!</definedName>
    <definedName name="F17_Alloc_OthBn_60D_Am_EUR">#REF!</definedName>
    <definedName name="F17_Alloc_OthBn_60D_Am_OthC" localSheetId="5">#REF!</definedName>
    <definedName name="F17_Alloc_OthBn_60D_Am_OthC">#REF!</definedName>
    <definedName name="F17_Alloc_OthBn_60D_Am_RUR" localSheetId="5">#REF!</definedName>
    <definedName name="F17_Alloc_OthBn_60D_Am_RUR">#REF!</definedName>
    <definedName name="F17_Alloc_OthBn_60D_Am_USD" localSheetId="5">#REF!</definedName>
    <definedName name="F17_Alloc_OthBn_60D_Am_USD">#REF!</definedName>
    <definedName name="F17_Alloc_OthBn_60D_I_AMD" localSheetId="5">#REF!</definedName>
    <definedName name="F17_Alloc_OthBn_60D_I_AMD">#REF!</definedName>
    <definedName name="F17_Alloc_OthBn_60D_I_EUR" localSheetId="5">#REF!</definedName>
    <definedName name="F17_Alloc_OthBn_60D_I_EUR">#REF!</definedName>
    <definedName name="F17_Alloc_OthBn_60D_I_OthC" localSheetId="5">#REF!</definedName>
    <definedName name="F17_Alloc_OthBn_60D_I_OthC">#REF!</definedName>
    <definedName name="F17_Alloc_OthBn_60D_I_RUR" localSheetId="5">#REF!</definedName>
    <definedName name="F17_Alloc_OthBn_60D_I_RUR">#REF!</definedName>
    <definedName name="F17_Alloc_OthBn_60D_I_USD" localSheetId="5">#REF!</definedName>
    <definedName name="F17_Alloc_OthBn_60D_I_USD">#REF!</definedName>
    <definedName name="F17_Alloc_OthBn_90D_Am_AMD" localSheetId="5">#REF!</definedName>
    <definedName name="F17_Alloc_OthBn_90D_Am_AMD">#REF!</definedName>
    <definedName name="F17_Alloc_OthBn_90D_Am_EUR" localSheetId="5">#REF!</definedName>
    <definedName name="F17_Alloc_OthBn_90D_Am_EUR">#REF!</definedName>
    <definedName name="F17_Alloc_OthBn_90D_Am_OthC" localSheetId="5">#REF!</definedName>
    <definedName name="F17_Alloc_OthBn_90D_Am_OthC">#REF!</definedName>
    <definedName name="F17_Alloc_OthBn_90D_Am_RUR" localSheetId="5">#REF!</definedName>
    <definedName name="F17_Alloc_OthBn_90D_Am_RUR">#REF!</definedName>
    <definedName name="F17_Alloc_OthBn_90D_Am_USD" localSheetId="5">#REF!</definedName>
    <definedName name="F17_Alloc_OthBn_90D_Am_USD">#REF!</definedName>
    <definedName name="F17_Alloc_OthBn_90D_I_AMD" localSheetId="5">#REF!</definedName>
    <definedName name="F17_Alloc_OthBn_90D_I_AMD">#REF!</definedName>
    <definedName name="F17_Alloc_OthBn_90D_I_EUR" localSheetId="5">#REF!</definedName>
    <definedName name="F17_Alloc_OthBn_90D_I_EUR">#REF!</definedName>
    <definedName name="F17_Alloc_OthBn_90D_I_OthC" localSheetId="5">#REF!</definedName>
    <definedName name="F17_Alloc_OthBn_90D_I_OthC">#REF!</definedName>
    <definedName name="F17_Alloc_OthBn_90D_I_RUR" localSheetId="5">#REF!</definedName>
    <definedName name="F17_Alloc_OthBn_90D_I_RUR">#REF!</definedName>
    <definedName name="F17_Alloc_OthBn_90D_I_USD" localSheetId="5">#REF!</definedName>
    <definedName name="F17_Alloc_OthBn_90D_I_USD">#REF!</definedName>
    <definedName name="F17_Alloc_OthBn_Dem_Am_AMD" localSheetId="5">#REF!</definedName>
    <definedName name="F17_Alloc_OthBn_Dem_Am_AMD">#REF!</definedName>
    <definedName name="F17_Alloc_OthBn_Dem_Am_EUR" localSheetId="5">#REF!</definedName>
    <definedName name="F17_Alloc_OthBn_Dem_Am_EUR">#REF!</definedName>
    <definedName name="F17_Alloc_OthBn_Dem_Am_OthC" localSheetId="5">#REF!</definedName>
    <definedName name="F17_Alloc_OthBn_Dem_Am_OthC">#REF!</definedName>
    <definedName name="F17_Alloc_OthBn_Dem_Am_RUR" localSheetId="5">#REF!</definedName>
    <definedName name="F17_Alloc_OthBn_Dem_Am_RUR">#REF!</definedName>
    <definedName name="F17_Alloc_OthBn_Dem_Am_USD" localSheetId="5">#REF!</definedName>
    <definedName name="F17_Alloc_OthBn_Dem_Am_USD">#REF!</definedName>
    <definedName name="F17_Alloc_OthBn_Dem_I_AMD" localSheetId="5">#REF!</definedName>
    <definedName name="F17_Alloc_OthBn_Dem_I_AMD">#REF!</definedName>
    <definedName name="F17_Alloc_OthBn_Dem_I_EUR" localSheetId="5">#REF!</definedName>
    <definedName name="F17_Alloc_OthBn_Dem_I_EUR">#REF!</definedName>
    <definedName name="F17_Alloc_OthBn_Dem_I_OthC" localSheetId="5">#REF!</definedName>
    <definedName name="F17_Alloc_OthBn_Dem_I_OthC">#REF!</definedName>
    <definedName name="F17_Alloc_OthBn_Dem_I_RUR" localSheetId="5">#REF!</definedName>
    <definedName name="F17_Alloc_OthBn_Dem_I_RUR">#REF!</definedName>
    <definedName name="F17_Alloc_OthBn_Dem_I_USD" localSheetId="5">#REF!</definedName>
    <definedName name="F17_Alloc_OthBn_Dem_I_USD">#REF!</definedName>
    <definedName name="F17_Alloc_OthBn_Mr360D_Am_AMD" localSheetId="5">#REF!</definedName>
    <definedName name="F17_Alloc_OthBn_Mr360D_Am_AMD">#REF!</definedName>
    <definedName name="F17_Alloc_OthBn_Mr360D_Am_EUR" localSheetId="5">#REF!</definedName>
    <definedName name="F17_Alloc_OthBn_Mr360D_Am_EUR">#REF!</definedName>
    <definedName name="F17_Alloc_OthBn_Mr360D_Am_OthC" localSheetId="5">#REF!</definedName>
    <definedName name="F17_Alloc_OthBn_Mr360D_Am_OthC">#REF!</definedName>
    <definedName name="F17_Alloc_OthBn_Mr360D_Am_RUR" localSheetId="5">#REF!</definedName>
    <definedName name="F17_Alloc_OthBn_Mr360D_Am_RUR">#REF!</definedName>
    <definedName name="F17_Alloc_OthBn_Mr360D_Am_USD" localSheetId="5">#REF!</definedName>
    <definedName name="F17_Alloc_OthBn_Mr360D_Am_USD">#REF!</definedName>
    <definedName name="F17_Alloc_OthBn_Mr360D_I_AMD" localSheetId="5">#REF!</definedName>
    <definedName name="F17_Alloc_OthBn_Mr360D_I_AMD">#REF!</definedName>
    <definedName name="F17_Alloc_OthBn_Mr360D_I_EUR" localSheetId="5">#REF!</definedName>
    <definedName name="F17_Alloc_OthBn_Mr360D_I_EUR">#REF!</definedName>
    <definedName name="F17_Alloc_OthBn_Mr360D_I_OthC" localSheetId="5">#REF!</definedName>
    <definedName name="F17_Alloc_OthBn_Mr360D_I_OthC">#REF!</definedName>
    <definedName name="F17_Alloc_OthBn_Mr360D_I_RUR" localSheetId="5">#REF!</definedName>
    <definedName name="F17_Alloc_OthBn_Mr360D_I_RUR">#REF!</definedName>
    <definedName name="F17_Alloc_OthBn_Mr360D_I_USD" localSheetId="5">#REF!</definedName>
    <definedName name="F17_Alloc_OthBn_Mr360D_I_USD">#REF!</definedName>
    <definedName name="F17_Alloc_OthBn_Tot_Am_AMD1" localSheetId="5">#REF!</definedName>
    <definedName name="F17_Alloc_OthBn_Tot_Am_AMD1">#REF!</definedName>
    <definedName name="F17_Alloc_OthBn_Tot_Am_EUR1" localSheetId="5">#REF!</definedName>
    <definedName name="F17_Alloc_OthBn_Tot_Am_EUR1">#REF!</definedName>
    <definedName name="F17_Alloc_OthBn_Tot_Am_OthC1" localSheetId="5">#REF!</definedName>
    <definedName name="F17_Alloc_OthBn_Tot_Am_OthC1">#REF!</definedName>
    <definedName name="F17_Alloc_OthBn_Tot_Am_RUR1" localSheetId="5">#REF!</definedName>
    <definedName name="F17_Alloc_OthBn_Tot_Am_RUR1">#REF!</definedName>
    <definedName name="F17_Alloc_OthBn_Tot_Am_USD1" localSheetId="5">#REF!</definedName>
    <definedName name="F17_Alloc_OthBn_Tot_Am_USD1">#REF!</definedName>
    <definedName name="F17_Alloc_OthBn_Tot_I_AMD11" localSheetId="5">#REF!</definedName>
    <definedName name="F17_Alloc_OthBn_Tot_I_AMD11">#REF!</definedName>
    <definedName name="F17_Alloc_OthBn_Tot_I_AMD12" localSheetId="5">#REF!</definedName>
    <definedName name="F17_Alloc_OthBn_Tot_I_AMD12">#REF!</definedName>
    <definedName name="F17_Alloc_OthBn_Tot_I_EUR11" localSheetId="5">#REF!</definedName>
    <definedName name="F17_Alloc_OthBn_Tot_I_EUR11">#REF!</definedName>
    <definedName name="F17_Alloc_OthBn_Tot_I_EUR12" localSheetId="5">#REF!</definedName>
    <definedName name="F17_Alloc_OthBn_Tot_I_EUR12">#REF!</definedName>
    <definedName name="F17_Alloc_OthBn_Tot_I_OthC11" localSheetId="5">#REF!</definedName>
    <definedName name="F17_Alloc_OthBn_Tot_I_OthC11">#REF!</definedName>
    <definedName name="F17_Alloc_OthBn_Tot_I_OthC12" localSheetId="5">#REF!</definedName>
    <definedName name="F17_Alloc_OthBn_Tot_I_OthC12">#REF!</definedName>
    <definedName name="F17_Alloc_OthBn_Tot_I_RUR11" localSheetId="5">#REF!</definedName>
    <definedName name="F17_Alloc_OthBn_Tot_I_RUR11">#REF!</definedName>
    <definedName name="F17_Alloc_OthBn_Tot_I_RUR12" localSheetId="5">#REF!</definedName>
    <definedName name="F17_Alloc_OthBn_Tot_I_RUR12">#REF!</definedName>
    <definedName name="F17_Alloc_OthBn_Tot_I_USD11" localSheetId="5">#REF!</definedName>
    <definedName name="F17_Alloc_OthBn_Tot_I_USD11">#REF!</definedName>
    <definedName name="F17_Alloc_OthBn_Tot_I_USD12" localSheetId="5">#REF!</definedName>
    <definedName name="F17_Alloc_OthBn_Tot_I_USD12">#REF!</definedName>
    <definedName name="F17_Alloc_Repo_15D_Am_ABnk" localSheetId="5">#REF!</definedName>
    <definedName name="F17_Alloc_Repo_15D_Am_ABnk">#REF!</definedName>
    <definedName name="F17_Alloc_Repo_15D_Am_Bus" localSheetId="5">#REF!</definedName>
    <definedName name="F17_Alloc_Repo_15D_Am_Bus">#REF!</definedName>
    <definedName name="F17_Alloc_Repo_15D_Am_Ind" localSheetId="5">#REF!</definedName>
    <definedName name="F17_Alloc_Repo_15D_Am_Ind">#REF!</definedName>
    <definedName name="F17_Alloc_Repo_15D_Am_OthBn" localSheetId="5">#REF!</definedName>
    <definedName name="F17_Alloc_Repo_15D_Am_OthBn">#REF!</definedName>
    <definedName name="F17_Alloc_Repo_15D_I_ABnk" localSheetId="5">#REF!</definedName>
    <definedName name="F17_Alloc_Repo_15D_I_ABnk">#REF!</definedName>
    <definedName name="F17_Alloc_Repo_15D_I_Bus" localSheetId="5">#REF!</definedName>
    <definedName name="F17_Alloc_Repo_15D_I_Bus">#REF!</definedName>
    <definedName name="F17_Alloc_Repo_15D_I_Ind" localSheetId="5">#REF!</definedName>
    <definedName name="F17_Alloc_Repo_15D_I_Ind">#REF!</definedName>
    <definedName name="F17_Alloc_Repo_15D_I_OthBn" localSheetId="5">#REF!</definedName>
    <definedName name="F17_Alloc_Repo_15D_I_OthBn">#REF!</definedName>
    <definedName name="F17_Alloc_Repo_180D_Am_ABnk" localSheetId="5">#REF!</definedName>
    <definedName name="F17_Alloc_Repo_180D_Am_ABnk">#REF!</definedName>
    <definedName name="F17_Alloc_Repo_180D_Am_Bus" localSheetId="5">#REF!</definedName>
    <definedName name="F17_Alloc_Repo_180D_Am_Bus">#REF!</definedName>
    <definedName name="F17_Alloc_Repo_180D_Am_Ind" localSheetId="5">#REF!</definedName>
    <definedName name="F17_Alloc_Repo_180D_Am_Ind">#REF!</definedName>
    <definedName name="F17_Alloc_Repo_180D_Am_OthBn" localSheetId="5">#REF!</definedName>
    <definedName name="F17_Alloc_Repo_180D_Am_OthBn">#REF!</definedName>
    <definedName name="F17_Alloc_Repo_180D_I_ABnk" localSheetId="5">#REF!</definedName>
    <definedName name="F17_Alloc_Repo_180D_I_ABnk">#REF!</definedName>
    <definedName name="F17_Alloc_Repo_180D_I_Bus" localSheetId="5">#REF!</definedName>
    <definedName name="F17_Alloc_Repo_180D_I_Bus">#REF!</definedName>
    <definedName name="F17_Alloc_Repo_180D_I_Ind" localSheetId="5">#REF!</definedName>
    <definedName name="F17_Alloc_Repo_180D_I_Ind">#REF!</definedName>
    <definedName name="F17_Alloc_Repo_180D_I_OthBn" localSheetId="5">#REF!</definedName>
    <definedName name="F17_Alloc_Repo_180D_I_OthBn">#REF!</definedName>
    <definedName name="F17_Alloc_Repo_30D_Am_ABnk" localSheetId="5">#REF!</definedName>
    <definedName name="F17_Alloc_Repo_30D_Am_ABnk">#REF!</definedName>
    <definedName name="F17_Alloc_Repo_30D_Am_Bus" localSheetId="5">#REF!</definedName>
    <definedName name="F17_Alloc_Repo_30D_Am_Bus">#REF!</definedName>
    <definedName name="F17_Alloc_Repo_30D_Am_Ind" localSheetId="5">#REF!</definedName>
    <definedName name="F17_Alloc_Repo_30D_Am_Ind">#REF!</definedName>
    <definedName name="F17_Alloc_Repo_30D_Am_OthBn" localSheetId="5">#REF!</definedName>
    <definedName name="F17_Alloc_Repo_30D_Am_OthBn">#REF!</definedName>
    <definedName name="F17_Alloc_Repo_30D_I_ABnk" localSheetId="5">#REF!</definedName>
    <definedName name="F17_Alloc_Repo_30D_I_ABnk">#REF!</definedName>
    <definedName name="F17_Alloc_Repo_30D_I_Bus" localSheetId="5">#REF!</definedName>
    <definedName name="F17_Alloc_Repo_30D_I_Bus">#REF!</definedName>
    <definedName name="F17_Alloc_Repo_30D_I_Ind" localSheetId="5">#REF!</definedName>
    <definedName name="F17_Alloc_Repo_30D_I_Ind">#REF!</definedName>
    <definedName name="F17_Alloc_Repo_30D_I_OthBn" localSheetId="5">#REF!</definedName>
    <definedName name="F17_Alloc_Repo_30D_I_OthBn">#REF!</definedName>
    <definedName name="F17_Alloc_Repo_360D_Am_ABnk" localSheetId="5">#REF!</definedName>
    <definedName name="F17_Alloc_Repo_360D_Am_ABnk">#REF!</definedName>
    <definedName name="F17_Alloc_Repo_360D_Am_Bus" localSheetId="5">#REF!</definedName>
    <definedName name="F17_Alloc_Repo_360D_Am_Bus">#REF!</definedName>
    <definedName name="F17_Alloc_Repo_360D_Am_Ind" localSheetId="5">#REF!</definedName>
    <definedName name="F17_Alloc_Repo_360D_Am_Ind">#REF!</definedName>
    <definedName name="F17_Alloc_Repo_360D_Am_OthBn" localSheetId="5">#REF!</definedName>
    <definedName name="F17_Alloc_Repo_360D_Am_OthBn">#REF!</definedName>
    <definedName name="F17_Alloc_Repo_360D_I_ABnk" localSheetId="5">#REF!</definedName>
    <definedName name="F17_Alloc_Repo_360D_I_ABnk">#REF!</definedName>
    <definedName name="F17_Alloc_Repo_360D_I_Bus" localSheetId="5">#REF!</definedName>
    <definedName name="F17_Alloc_Repo_360D_I_Bus">#REF!</definedName>
    <definedName name="F17_Alloc_Repo_360D_I_Ind" localSheetId="5">#REF!</definedName>
    <definedName name="F17_Alloc_Repo_360D_I_Ind">#REF!</definedName>
    <definedName name="F17_Alloc_Repo_360D_I_OthBn" localSheetId="5">#REF!</definedName>
    <definedName name="F17_Alloc_Repo_360D_I_OthBn">#REF!</definedName>
    <definedName name="F17_Alloc_Repo_60D_Am_ABnk" localSheetId="5">#REF!</definedName>
    <definedName name="F17_Alloc_Repo_60D_Am_ABnk">#REF!</definedName>
    <definedName name="F17_Alloc_Repo_60D_Am_Bus" localSheetId="5">#REF!</definedName>
    <definedName name="F17_Alloc_Repo_60D_Am_Bus">#REF!</definedName>
    <definedName name="F17_Alloc_Repo_60D_Am_Ind" localSheetId="5">#REF!</definedName>
    <definedName name="F17_Alloc_Repo_60D_Am_Ind">#REF!</definedName>
    <definedName name="F17_Alloc_Repo_60D_Am_OthBn" localSheetId="5">#REF!</definedName>
    <definedName name="F17_Alloc_Repo_60D_Am_OthBn">#REF!</definedName>
    <definedName name="F17_Alloc_Repo_60D_I_ABnk" localSheetId="5">#REF!</definedName>
    <definedName name="F17_Alloc_Repo_60D_I_ABnk">#REF!</definedName>
    <definedName name="F17_Alloc_Repo_60D_I_Bus" localSheetId="5">#REF!</definedName>
    <definedName name="F17_Alloc_Repo_60D_I_Bus">#REF!</definedName>
    <definedName name="F17_Alloc_Repo_60D_I_Ind" localSheetId="5">#REF!</definedName>
    <definedName name="F17_Alloc_Repo_60D_I_Ind">#REF!</definedName>
    <definedName name="F17_Alloc_Repo_60D_I_OthBn" localSheetId="5">#REF!</definedName>
    <definedName name="F17_Alloc_Repo_60D_I_OthBn">#REF!</definedName>
    <definedName name="F17_Alloc_Repo_90D_Am_ABnk" localSheetId="5">#REF!</definedName>
    <definedName name="F17_Alloc_Repo_90D_Am_ABnk">#REF!</definedName>
    <definedName name="F17_Alloc_Repo_90D_Am_Bus" localSheetId="5">#REF!</definedName>
    <definedName name="F17_Alloc_Repo_90D_Am_Bus">#REF!</definedName>
    <definedName name="F17_Alloc_Repo_90D_Am_Ind" localSheetId="5">#REF!</definedName>
    <definedName name="F17_Alloc_Repo_90D_Am_Ind">#REF!</definedName>
    <definedName name="F17_Alloc_Repo_90D_Am_OthBn" localSheetId="5">#REF!</definedName>
    <definedName name="F17_Alloc_Repo_90D_Am_OthBn">#REF!</definedName>
    <definedName name="F17_Alloc_Repo_90D_I_ABnk" localSheetId="5">#REF!</definedName>
    <definedName name="F17_Alloc_Repo_90D_I_ABnk">#REF!</definedName>
    <definedName name="F17_Alloc_Repo_90D_I_Bus" localSheetId="5">#REF!</definedName>
    <definedName name="F17_Alloc_Repo_90D_I_Bus">#REF!</definedName>
    <definedName name="F17_Alloc_Repo_90D_I_Ind" localSheetId="5">#REF!</definedName>
    <definedName name="F17_Alloc_Repo_90D_I_Ind">#REF!</definedName>
    <definedName name="F17_Alloc_Repo_90D_I_OthBn" localSheetId="5">#REF!</definedName>
    <definedName name="F17_Alloc_Repo_90D_I_OthBn">#REF!</definedName>
    <definedName name="F17_Alloc_Repo_Dem_Am_ABnk" localSheetId="5">#REF!</definedName>
    <definedName name="F17_Alloc_Repo_Dem_Am_ABnk">#REF!</definedName>
    <definedName name="F17_Alloc_Repo_Dem_Am_Bus" localSheetId="5">#REF!</definedName>
    <definedName name="F17_Alloc_Repo_Dem_Am_Bus">#REF!</definedName>
    <definedName name="F17_Alloc_Repo_Dem_Am_Ind" localSheetId="5">#REF!</definedName>
    <definedName name="F17_Alloc_Repo_Dem_Am_Ind">#REF!</definedName>
    <definedName name="F17_Alloc_Repo_Dem_Am_OthBn" localSheetId="5">#REF!</definedName>
    <definedName name="F17_Alloc_Repo_Dem_Am_OthBn">#REF!</definedName>
    <definedName name="F17_Alloc_Repo_Dem_I_ABnk" localSheetId="5">#REF!</definedName>
    <definedName name="F17_Alloc_Repo_Dem_I_ABnk">#REF!</definedName>
    <definedName name="F17_Alloc_Repo_Dem_I_Bus" localSheetId="5">#REF!</definedName>
    <definedName name="F17_Alloc_Repo_Dem_I_Bus">#REF!</definedName>
    <definedName name="F17_Alloc_Repo_Dem_I_Ind" localSheetId="5">#REF!</definedName>
    <definedName name="F17_Alloc_Repo_Dem_I_Ind">#REF!</definedName>
    <definedName name="F17_Alloc_Repo_Dem_I_OthBn" localSheetId="5">#REF!</definedName>
    <definedName name="F17_Alloc_Repo_Dem_I_OthBn">#REF!</definedName>
    <definedName name="F17_Alloc_Repo_Mr360D_Am_ABnk" localSheetId="5">#REF!</definedName>
    <definedName name="F17_Alloc_Repo_Mr360D_Am_ABnk">#REF!</definedName>
    <definedName name="F17_Alloc_Repo_Mr360D_Am_Bus" localSheetId="5">#REF!</definedName>
    <definedName name="F17_Alloc_Repo_Mr360D_Am_Bus">#REF!</definedName>
    <definedName name="F17_Alloc_Repo_Mr360D_Am_Ind" localSheetId="5">#REF!</definedName>
    <definedName name="F17_Alloc_Repo_Mr360D_Am_Ind">#REF!</definedName>
    <definedName name="F17_Alloc_Repo_Mr360D_Am_OthBn" localSheetId="5">#REF!</definedName>
    <definedName name="F17_Alloc_Repo_Mr360D_Am_OthBn">#REF!</definedName>
    <definedName name="F17_Alloc_Repo_Mr360D_I_ABnk" localSheetId="5">#REF!</definedName>
    <definedName name="F17_Alloc_Repo_Mr360D_I_ABnk">#REF!</definedName>
    <definedName name="F17_Alloc_Repo_Mr360D_I_Bus" localSheetId="5">#REF!</definedName>
    <definedName name="F17_Alloc_Repo_Mr360D_I_Bus">#REF!</definedName>
    <definedName name="F17_Alloc_Repo_Mr360D_I_Ind" localSheetId="5">#REF!</definedName>
    <definedName name="F17_Alloc_Repo_Mr360D_I_Ind">#REF!</definedName>
    <definedName name="F17_Alloc_Repo_Mr360D_I_OthBn" localSheetId="5">#REF!</definedName>
    <definedName name="F17_Alloc_Repo_Mr360D_I_OthBn">#REF!</definedName>
    <definedName name="F17_Alloc_Repo_Tot_Am_ABnk1" localSheetId="5">#REF!</definedName>
    <definedName name="F17_Alloc_Repo_Tot_Am_ABnk1">#REF!</definedName>
    <definedName name="F17_Alloc_Repo_Tot_Am_Bus1" localSheetId="5">#REF!</definedName>
    <definedName name="F17_Alloc_Repo_Tot_Am_Bus1">#REF!</definedName>
    <definedName name="F17_Alloc_Repo_Tot_Am_Ind1" localSheetId="5">#REF!</definedName>
    <definedName name="F17_Alloc_Repo_Tot_Am_Ind1">#REF!</definedName>
    <definedName name="F17_Alloc_Repo_Tot_Am_OthBn1" localSheetId="5">#REF!</definedName>
    <definedName name="F17_Alloc_Repo_Tot_Am_OthBn1">#REF!</definedName>
    <definedName name="F17_Alloc_Repo_Tot_I_ABnk11" localSheetId="5">#REF!</definedName>
    <definedName name="F17_Alloc_Repo_Tot_I_ABnk11">#REF!</definedName>
    <definedName name="F17_Alloc_Repo_Tot_I_ABnk12" localSheetId="5">#REF!</definedName>
    <definedName name="F17_Alloc_Repo_Tot_I_ABnk12">#REF!</definedName>
    <definedName name="F17_Alloc_Repo_Tot_I_Bus11" localSheetId="5">#REF!</definedName>
    <definedName name="F17_Alloc_Repo_Tot_I_Bus11">#REF!</definedName>
    <definedName name="F17_Alloc_Repo_Tot_I_Bus12" localSheetId="5">#REF!</definedName>
    <definedName name="F17_Alloc_Repo_Tot_I_Bus12">#REF!</definedName>
    <definedName name="F17_Alloc_Repo_Tot_I_Ind11" localSheetId="5">#REF!</definedName>
    <definedName name="F17_Alloc_Repo_Tot_I_Ind11">#REF!</definedName>
    <definedName name="F17_Alloc_Repo_Tot_I_Ind12" localSheetId="5">#REF!</definedName>
    <definedName name="F17_Alloc_Repo_Tot_I_Ind12">#REF!</definedName>
    <definedName name="F17_Alloc_Repo_Tot_I_OthBn11" localSheetId="5">#REF!</definedName>
    <definedName name="F17_Alloc_Repo_Tot_I_OthBn11">#REF!</definedName>
    <definedName name="F17_Alloc_Repo_Tot_I_OthBn12" localSheetId="5">#REF!</definedName>
    <definedName name="F17_Alloc_Repo_Tot_I_OthBn12">#REF!</definedName>
    <definedName name="F17_Alloc_RepoF_Mr360D_Am" localSheetId="5">#REF!</definedName>
    <definedName name="F17_Alloc_RepoF_Mr360D_Am">#REF!</definedName>
    <definedName name="F17_Alloc_RepoFX_15D_Am" localSheetId="5">#REF!</definedName>
    <definedName name="F17_Alloc_RepoFX_15D_Am">#REF!</definedName>
    <definedName name="F17_Alloc_RepoFX_15D_I" localSheetId="5">#REF!</definedName>
    <definedName name="F17_Alloc_RepoFX_15D_I">#REF!</definedName>
    <definedName name="F17_Alloc_RepoFX_180D_Am" localSheetId="5">#REF!</definedName>
    <definedName name="F17_Alloc_RepoFX_180D_Am">#REF!</definedName>
    <definedName name="F17_Alloc_RepoFX_180D_I" localSheetId="5">#REF!</definedName>
    <definedName name="F17_Alloc_RepoFX_180D_I">#REF!</definedName>
    <definedName name="F17_Alloc_RepoFX_30D_Am" localSheetId="5">#REF!</definedName>
    <definedName name="F17_Alloc_RepoFX_30D_Am">#REF!</definedName>
    <definedName name="F17_Alloc_RepoFX_30D_I" localSheetId="5">#REF!</definedName>
    <definedName name="F17_Alloc_RepoFX_30D_I">#REF!</definedName>
    <definedName name="F17_Alloc_RepoFX_360D_Am" localSheetId="5">#REF!</definedName>
    <definedName name="F17_Alloc_RepoFX_360D_Am">#REF!</definedName>
    <definedName name="F17_Alloc_RepoFX_360D_I" localSheetId="5">#REF!</definedName>
    <definedName name="F17_Alloc_RepoFX_360D_I">#REF!</definedName>
    <definedName name="F17_Alloc_RepoFX_60D_Am" localSheetId="5">#REF!</definedName>
    <definedName name="F17_Alloc_RepoFX_60D_Am">#REF!</definedName>
    <definedName name="F17_Alloc_RepoFX_60D_I" localSheetId="5">#REF!</definedName>
    <definedName name="F17_Alloc_RepoFX_60D_I">#REF!</definedName>
    <definedName name="F17_Alloc_RepoFX_90D_Am" localSheetId="5">#REF!</definedName>
    <definedName name="F17_Alloc_RepoFX_90D_Am">#REF!</definedName>
    <definedName name="F17_Alloc_RepoFX_90D_I" localSheetId="5">#REF!</definedName>
    <definedName name="F17_Alloc_RepoFX_90D_I">#REF!</definedName>
    <definedName name="F17_Alloc_RepoFX_Dem_Am" localSheetId="5">#REF!</definedName>
    <definedName name="F17_Alloc_RepoFX_Dem_Am">#REF!</definedName>
    <definedName name="F17_Alloc_RepoFX_Dem_I" localSheetId="5">#REF!</definedName>
    <definedName name="F17_Alloc_RepoFX_Dem_I">#REF!</definedName>
    <definedName name="F17_Alloc_RepoFX_Mr360D_I" localSheetId="5">#REF!</definedName>
    <definedName name="F17_Alloc_RepoFX_Mr360D_I">#REF!</definedName>
    <definedName name="F17_Alloc_RRepoFX_Tot_Am1" localSheetId="5">#REF!</definedName>
    <definedName name="F17_Alloc_RRepoFX_Tot_Am1">#REF!</definedName>
    <definedName name="F17_Alloc_RRepoFX_Tot_I11" localSheetId="5">#REF!</definedName>
    <definedName name="F17_Alloc_RRepoFX_Tot_I11">#REF!</definedName>
    <definedName name="F17_Alloc_RRepoFX_Tot_I12" localSheetId="5">#REF!</definedName>
    <definedName name="F17_Alloc_RRepoFX_Tot_I12">#REF!</definedName>
    <definedName name="F17_Attr_ABnk_15D_Am_AMD" localSheetId="5">#REF!</definedName>
    <definedName name="F17_Attr_ABnk_15D_Am_AMD">#REF!</definedName>
    <definedName name="F17_Attr_ABnk_15D_Am_EUR" localSheetId="5">#REF!</definedName>
    <definedName name="F17_Attr_ABnk_15D_Am_EUR">#REF!</definedName>
    <definedName name="F17_Attr_ABnk_15D_Am_OthC" localSheetId="5">#REF!</definedName>
    <definedName name="F17_Attr_ABnk_15D_Am_OthC">#REF!</definedName>
    <definedName name="F17_Attr_ABnk_15D_Am_RUR" localSheetId="5">#REF!</definedName>
    <definedName name="F17_Attr_ABnk_15D_Am_RUR">#REF!</definedName>
    <definedName name="F17_Attr_ABnk_15D_Am_USD" localSheetId="5">#REF!</definedName>
    <definedName name="F17_Attr_ABnk_15D_Am_USD">#REF!</definedName>
    <definedName name="F17_Attr_ABnk_15D_I_AMD" localSheetId="5">#REF!</definedName>
    <definedName name="F17_Attr_ABnk_15D_I_AMD">#REF!</definedName>
    <definedName name="F17_Attr_ABnk_15D_I_EUR" localSheetId="5">#REF!</definedName>
    <definedName name="F17_Attr_ABnk_15D_I_EUR">#REF!</definedName>
    <definedName name="F17_Attr_ABnk_15D_I_OthC" localSheetId="5">#REF!</definedName>
    <definedName name="F17_Attr_ABnk_15D_I_OthC">#REF!</definedName>
    <definedName name="F17_Attr_ABnk_15D_I_RUR" localSheetId="5">#REF!</definedName>
    <definedName name="F17_Attr_ABnk_15D_I_RUR">#REF!</definedName>
    <definedName name="F17_Attr_ABnk_15D_I_USD" localSheetId="5">#REF!</definedName>
    <definedName name="F17_Attr_ABnk_15D_I_USD">#REF!</definedName>
    <definedName name="F17_Attr_ABnk_180D_Am_AMD" localSheetId="5">#REF!</definedName>
    <definedName name="F17_Attr_ABnk_180D_Am_AMD">#REF!</definedName>
    <definedName name="F17_Attr_ABnk_180D_Am_EUR" localSheetId="5">#REF!</definedName>
    <definedName name="F17_Attr_ABnk_180D_Am_EUR">#REF!</definedName>
    <definedName name="F17_Attr_ABnk_180D_Am_OthC" localSheetId="5">#REF!</definedName>
    <definedName name="F17_Attr_ABnk_180D_Am_OthC">#REF!</definedName>
    <definedName name="F17_Attr_ABnk_180D_Am_RUR" localSheetId="5">#REF!</definedName>
    <definedName name="F17_Attr_ABnk_180D_Am_RUR">#REF!</definedName>
    <definedName name="F17_Attr_ABnk_180D_Am_USD" localSheetId="5">#REF!</definedName>
    <definedName name="F17_Attr_ABnk_180D_Am_USD">#REF!</definedName>
    <definedName name="F17_Attr_ABnk_180D_I_AMD" localSheetId="5">#REF!</definedName>
    <definedName name="F17_Attr_ABnk_180D_I_AMD">#REF!</definedName>
    <definedName name="F17_Attr_ABnk_180D_I_EUR" localSheetId="5">#REF!</definedName>
    <definedName name="F17_Attr_ABnk_180D_I_EUR">#REF!</definedName>
    <definedName name="F17_Attr_ABnk_180D_I_OthC" localSheetId="5">#REF!</definedName>
    <definedName name="F17_Attr_ABnk_180D_I_OthC">#REF!</definedName>
    <definedName name="F17_Attr_ABnk_180D_I_RUR" localSheetId="5">#REF!</definedName>
    <definedName name="F17_Attr_ABnk_180D_I_RUR">#REF!</definedName>
    <definedName name="F17_Attr_ABnk_180D_I_USD" localSheetId="5">#REF!</definedName>
    <definedName name="F17_Attr_ABnk_180D_I_USD">#REF!</definedName>
    <definedName name="F17_Attr_ABnk_30D_Am_AMD" localSheetId="5">#REF!</definedName>
    <definedName name="F17_Attr_ABnk_30D_Am_AMD">#REF!</definedName>
    <definedName name="F17_Attr_ABnk_30D_Am_EUR" localSheetId="5">#REF!</definedName>
    <definedName name="F17_Attr_ABnk_30D_Am_EUR">#REF!</definedName>
    <definedName name="F17_Attr_ABnk_30D_Am_OthC" localSheetId="5">#REF!</definedName>
    <definedName name="F17_Attr_ABnk_30D_Am_OthC">#REF!</definedName>
    <definedName name="F17_Attr_ABnk_30D_Am_RUR" localSheetId="5">#REF!</definedName>
    <definedName name="F17_Attr_ABnk_30D_Am_RUR">#REF!</definedName>
    <definedName name="F17_Attr_ABnk_30D_Am_USD" localSheetId="5">#REF!</definedName>
    <definedName name="F17_Attr_ABnk_30D_Am_USD">#REF!</definedName>
    <definedName name="F17_Attr_ABnk_30D_I_AMD" localSheetId="5">#REF!</definedName>
    <definedName name="F17_Attr_ABnk_30D_I_AMD">#REF!</definedName>
    <definedName name="F17_Attr_ABnk_30D_I_EUR" localSheetId="5">#REF!</definedName>
    <definedName name="F17_Attr_ABnk_30D_I_EUR">#REF!</definedName>
    <definedName name="F17_Attr_ABnk_30D_I_OthC" localSheetId="5">#REF!</definedName>
    <definedName name="F17_Attr_ABnk_30D_I_OthC">#REF!</definedName>
    <definedName name="F17_Attr_ABnk_30D_I_RUR" localSheetId="5">#REF!</definedName>
    <definedName name="F17_Attr_ABnk_30D_I_RUR">#REF!</definedName>
    <definedName name="F17_Attr_ABnk_30D_I_USD" localSheetId="5">#REF!</definedName>
    <definedName name="F17_Attr_ABnk_30D_I_USD">#REF!</definedName>
    <definedName name="F17_Attr_ABnk_360D_Am_AMD" localSheetId="5">#REF!</definedName>
    <definedName name="F17_Attr_ABnk_360D_Am_AMD">#REF!</definedName>
    <definedName name="F17_Attr_ABnk_360D_Am_EUR" localSheetId="5">#REF!</definedName>
    <definedName name="F17_Attr_ABnk_360D_Am_EUR">#REF!</definedName>
    <definedName name="F17_Attr_ABnk_360D_Am_OthC" localSheetId="5">#REF!</definedName>
    <definedName name="F17_Attr_ABnk_360D_Am_OthC">#REF!</definedName>
    <definedName name="F17_Attr_ABnk_360D_Am_RUR" localSheetId="5">#REF!</definedName>
    <definedName name="F17_Attr_ABnk_360D_Am_RUR">#REF!</definedName>
    <definedName name="F17_Attr_ABnk_360D_Am_USD" localSheetId="5">#REF!</definedName>
    <definedName name="F17_Attr_ABnk_360D_Am_USD">#REF!</definedName>
    <definedName name="F17_Attr_ABnk_360D_I_AMD" localSheetId="5">#REF!</definedName>
    <definedName name="F17_Attr_ABnk_360D_I_AMD">#REF!</definedName>
    <definedName name="F17_Attr_ABnk_360D_I_EUR" localSheetId="5">#REF!</definedName>
    <definedName name="F17_Attr_ABnk_360D_I_EUR">#REF!</definedName>
    <definedName name="F17_Attr_ABnk_360D_I_OthC" localSheetId="5">#REF!</definedName>
    <definedName name="F17_Attr_ABnk_360D_I_OthC">#REF!</definedName>
    <definedName name="F17_Attr_ABnk_360D_I_RUR" localSheetId="5">#REF!</definedName>
    <definedName name="F17_Attr_ABnk_360D_I_RUR">#REF!</definedName>
    <definedName name="F17_Attr_ABnk_360D_I_USD" localSheetId="5">#REF!</definedName>
    <definedName name="F17_Attr_ABnk_360D_I_USD">#REF!</definedName>
    <definedName name="F17_Attr_ABnk_60D_Am_AMD" localSheetId="5">#REF!</definedName>
    <definedName name="F17_Attr_ABnk_60D_Am_AMD">#REF!</definedName>
    <definedName name="F17_Attr_ABnk_60D_Am_EUR" localSheetId="5">#REF!</definedName>
    <definedName name="F17_Attr_ABnk_60D_Am_EUR">#REF!</definedName>
    <definedName name="F17_Attr_ABnk_60D_Am_OthC" localSheetId="5">#REF!</definedName>
    <definedName name="F17_Attr_ABnk_60D_Am_OthC">#REF!</definedName>
    <definedName name="F17_Attr_ABnk_60D_Am_RUR" localSheetId="5">#REF!</definedName>
    <definedName name="F17_Attr_ABnk_60D_Am_RUR">#REF!</definedName>
    <definedName name="F17_Attr_ABnk_60D_Am_USD" localSheetId="5">#REF!</definedName>
    <definedName name="F17_Attr_ABnk_60D_Am_USD">#REF!</definedName>
    <definedName name="F17_Attr_ABnk_60D_I_AMD" localSheetId="5">#REF!</definedName>
    <definedName name="F17_Attr_ABnk_60D_I_AMD">#REF!</definedName>
    <definedName name="F17_Attr_ABnk_60D_I_EUR" localSheetId="5">#REF!</definedName>
    <definedName name="F17_Attr_ABnk_60D_I_EUR">#REF!</definedName>
    <definedName name="F17_Attr_ABnk_60D_I_OthC" localSheetId="5">#REF!</definedName>
    <definedName name="F17_Attr_ABnk_60D_I_OthC">#REF!</definedName>
    <definedName name="F17_Attr_ABnk_60D_I_RUR" localSheetId="5">#REF!</definedName>
    <definedName name="F17_Attr_ABnk_60D_I_RUR">#REF!</definedName>
    <definedName name="F17_Attr_ABnk_60D_I_USD" localSheetId="5">#REF!</definedName>
    <definedName name="F17_Attr_ABnk_60D_I_USD">#REF!</definedName>
    <definedName name="F17_Attr_ABnk_90D_Am_AMD" localSheetId="5">#REF!</definedName>
    <definedName name="F17_Attr_ABnk_90D_Am_AMD">#REF!</definedName>
    <definedName name="F17_Attr_ABnk_90D_Am_EUR" localSheetId="5">#REF!</definedName>
    <definedName name="F17_Attr_ABnk_90D_Am_EUR">#REF!</definedName>
    <definedName name="F17_Attr_ABnk_90D_Am_OthC" localSheetId="5">#REF!</definedName>
    <definedName name="F17_Attr_ABnk_90D_Am_OthC">#REF!</definedName>
    <definedName name="F17_Attr_ABnk_90D_Am_RUR" localSheetId="5">#REF!</definedName>
    <definedName name="F17_Attr_ABnk_90D_Am_RUR">#REF!</definedName>
    <definedName name="F17_Attr_ABnk_90D_Am_USD" localSheetId="5">#REF!</definedName>
    <definedName name="F17_Attr_ABnk_90D_Am_USD">#REF!</definedName>
    <definedName name="F17_Attr_ABnk_90D_I_AMD" localSheetId="5">#REF!</definedName>
    <definedName name="F17_Attr_ABnk_90D_I_AMD">#REF!</definedName>
    <definedName name="F17_Attr_ABnk_90D_I_EUR" localSheetId="5">#REF!</definedName>
    <definedName name="F17_Attr_ABnk_90D_I_EUR">#REF!</definedName>
    <definedName name="F17_Attr_ABnk_90D_I_OthC" localSheetId="5">#REF!</definedName>
    <definedName name="F17_Attr_ABnk_90D_I_OthC">#REF!</definedName>
    <definedName name="F17_Attr_ABnk_90D_I_RUR" localSheetId="5">#REF!</definedName>
    <definedName name="F17_Attr_ABnk_90D_I_RUR">#REF!</definedName>
    <definedName name="F17_Attr_ABnk_90D_I_USD" localSheetId="5">#REF!</definedName>
    <definedName name="F17_Attr_ABnk_90D_I_USD">#REF!</definedName>
    <definedName name="F17_Attr_ABnk_Dem_Am_AMD" localSheetId="5">#REF!</definedName>
    <definedName name="F17_Attr_ABnk_Dem_Am_AMD">#REF!</definedName>
    <definedName name="F17_Attr_ABnk_Dem_Am_EUR" localSheetId="5">#REF!</definedName>
    <definedName name="F17_Attr_ABnk_Dem_Am_EUR">#REF!</definedName>
    <definedName name="F17_Attr_ABnk_Dem_Am_OthC" localSheetId="5">#REF!</definedName>
    <definedName name="F17_Attr_ABnk_Dem_Am_OthC">#REF!</definedName>
    <definedName name="F17_Attr_ABnk_Dem_Am_RUR" localSheetId="5">#REF!</definedName>
    <definedName name="F17_Attr_ABnk_Dem_Am_RUR">#REF!</definedName>
    <definedName name="F17_Attr_ABnk_Dem_Am_USD" localSheetId="5">#REF!</definedName>
    <definedName name="F17_Attr_ABnk_Dem_Am_USD">#REF!</definedName>
    <definedName name="F17_Attr_ABnk_Dem_I_AMD" localSheetId="5">#REF!</definedName>
    <definedName name="F17_Attr_ABnk_Dem_I_AMD">#REF!</definedName>
    <definedName name="F17_Attr_ABnk_Dem_I_EUR" localSheetId="5">#REF!</definedName>
    <definedName name="F17_Attr_ABnk_Dem_I_EUR">#REF!</definedName>
    <definedName name="F17_Attr_ABnk_Dem_I_OthC" localSheetId="5">#REF!</definedName>
    <definedName name="F17_Attr_ABnk_Dem_I_OthC">#REF!</definedName>
    <definedName name="F17_Attr_ABnk_Dem_I_RUR" localSheetId="5">#REF!</definedName>
    <definedName name="F17_Attr_ABnk_Dem_I_RUR">#REF!</definedName>
    <definedName name="F17_Attr_ABnk_Dem_I_USD" localSheetId="5">#REF!</definedName>
    <definedName name="F17_Attr_ABnk_Dem_I_USD">#REF!</definedName>
    <definedName name="F17_Attr_ABnk_Mr360D_Am_AMD" localSheetId="5">#REF!</definedName>
    <definedName name="F17_Attr_ABnk_Mr360D_Am_AMD">#REF!</definedName>
    <definedName name="F17_Attr_ABnk_Mr360D_Am_EUR" localSheetId="5">#REF!</definedName>
    <definedName name="F17_Attr_ABnk_Mr360D_Am_EUR">#REF!</definedName>
    <definedName name="F17_Attr_ABnk_Mr360D_Am_OthC" localSheetId="5">#REF!</definedName>
    <definedName name="F17_Attr_ABnk_Mr360D_Am_OthC">#REF!</definedName>
    <definedName name="F17_Attr_ABnk_Mr360D_Am_RUR" localSheetId="5">#REF!</definedName>
    <definedName name="F17_Attr_ABnk_Mr360D_Am_RUR">#REF!</definedName>
    <definedName name="F17_Attr_ABnk_Mr360D_Am_USD" localSheetId="5">#REF!</definedName>
    <definedName name="F17_Attr_ABnk_Mr360D_Am_USD">#REF!</definedName>
    <definedName name="F17_Attr_ABnk_Mr360D_I_AMD" localSheetId="5">#REF!</definedName>
    <definedName name="F17_Attr_ABnk_Mr360D_I_AMD">#REF!</definedName>
    <definedName name="F17_Attr_ABnk_Mr360D_I_EUR" localSheetId="5">#REF!</definedName>
    <definedName name="F17_Attr_ABnk_Mr360D_I_EUR">#REF!</definedName>
    <definedName name="F17_Attr_ABnk_Mr360D_I_OthC" localSheetId="5">#REF!</definedName>
    <definedName name="F17_Attr_ABnk_Mr360D_I_OthC">#REF!</definedName>
    <definedName name="F17_Attr_ABnk_Mr360D_I_RUR" localSheetId="5">#REF!</definedName>
    <definedName name="F17_Attr_ABnk_Mr360D_I_RUR">#REF!</definedName>
    <definedName name="F17_Attr_ABnk_Mr360D_I_USD" localSheetId="5">#REF!</definedName>
    <definedName name="F17_Attr_ABnk_Mr360D_I_USD">#REF!</definedName>
    <definedName name="F17_Attr_ABnk_Tot_Am_AMD1" localSheetId="5">#REF!</definedName>
    <definedName name="F17_Attr_ABnk_Tot_Am_AMD1">#REF!</definedName>
    <definedName name="F17_Attr_ABnk_Tot_Am_EUR1" localSheetId="5">#REF!</definedName>
    <definedName name="F17_Attr_ABnk_Tot_Am_EUR1">#REF!</definedName>
    <definedName name="F17_Attr_ABnk_Tot_Am_OthC1" localSheetId="5">#REF!</definedName>
    <definedName name="F17_Attr_ABnk_Tot_Am_OthC1">#REF!</definedName>
    <definedName name="F17_Attr_ABnk_Tot_Am_RUR1" localSheetId="5">#REF!</definedName>
    <definedName name="F17_Attr_ABnk_Tot_Am_RUR1">#REF!</definedName>
    <definedName name="F17_Attr_ABnk_Tot_Am_USD1" localSheetId="5">#REF!</definedName>
    <definedName name="F17_Attr_ABnk_Tot_Am_USD1">#REF!</definedName>
    <definedName name="F17_Attr_ABnk_Tot_I_AMD11" localSheetId="5">#REF!</definedName>
    <definedName name="F17_Attr_ABnk_Tot_I_AMD11">#REF!</definedName>
    <definedName name="F17_Attr_ABnk_Tot_I_AMD12" localSheetId="5">#REF!</definedName>
    <definedName name="F17_Attr_ABnk_Tot_I_AMD12">#REF!</definedName>
    <definedName name="F17_Attr_ABnk_Tot_I_EUR11" localSheetId="5">#REF!</definedName>
    <definedName name="F17_Attr_ABnk_Tot_I_EUR11">#REF!</definedName>
    <definedName name="F17_Attr_ABnk_Tot_I_EUR12" localSheetId="5">#REF!</definedName>
    <definedName name="F17_Attr_ABnk_Tot_I_EUR12">#REF!</definedName>
    <definedName name="F17_Attr_ABnk_Tot_I_OthC11" localSheetId="5">#REF!</definedName>
    <definedName name="F17_Attr_ABnk_Tot_I_OthC11">#REF!</definedName>
    <definedName name="F17_Attr_ABnk_Tot_I_OthC12" localSheetId="5">#REF!</definedName>
    <definedName name="F17_Attr_ABnk_Tot_I_OthC12">#REF!</definedName>
    <definedName name="F17_Attr_ABnk_Tot_I_RUR11" localSheetId="5">#REF!</definedName>
    <definedName name="F17_Attr_ABnk_Tot_I_RUR11">#REF!</definedName>
    <definedName name="F17_Attr_ABnk_Tot_I_RUR12" localSheetId="5">#REF!</definedName>
    <definedName name="F17_Attr_ABnk_Tot_I_RUR12">#REF!</definedName>
    <definedName name="F17_Attr_ABnk_Tot_I_USD11" localSheetId="5">#REF!</definedName>
    <definedName name="F17_Attr_ABnk_Tot_I_USD11">#REF!</definedName>
    <definedName name="F17_Attr_ABnk_Tot_I_USD12" localSheetId="5">#REF!</definedName>
    <definedName name="F17_Attr_ABnk_Tot_I_USD12">#REF!</definedName>
    <definedName name="F17_Attr_Bus_15D_Am_AMD" localSheetId="5">#REF!</definedName>
    <definedName name="F17_Attr_Bus_15D_Am_AMD">#REF!</definedName>
    <definedName name="F17_Attr_Bus_15D_Am_EUR" localSheetId="5">#REF!</definedName>
    <definedName name="F17_Attr_Bus_15D_Am_EUR">#REF!</definedName>
    <definedName name="F17_Attr_Bus_15D_Am_OthC" localSheetId="5">#REF!</definedName>
    <definedName name="F17_Attr_Bus_15D_Am_OthC">#REF!</definedName>
    <definedName name="F17_Attr_Bus_15D_Am_RUR" localSheetId="5">#REF!</definedName>
    <definedName name="F17_Attr_Bus_15D_Am_RUR">#REF!</definedName>
    <definedName name="F17_Attr_Bus_15D_Am_USD" localSheetId="5">#REF!</definedName>
    <definedName name="F17_Attr_Bus_15D_Am_USD">#REF!</definedName>
    <definedName name="F17_Attr_Bus_15D_I_AMD" localSheetId="5">#REF!</definedName>
    <definedName name="F17_Attr_Bus_15D_I_AMD">#REF!</definedName>
    <definedName name="F17_Attr_Bus_15D_I_EUR" localSheetId="5">#REF!</definedName>
    <definedName name="F17_Attr_Bus_15D_I_EUR">#REF!</definedName>
    <definedName name="F17_Attr_Bus_15D_I_OthC" localSheetId="5">#REF!</definedName>
    <definedName name="F17_Attr_Bus_15D_I_OthC">#REF!</definedName>
    <definedName name="F17_Attr_Bus_15D_I_RUR" localSheetId="5">#REF!</definedName>
    <definedName name="F17_Attr_Bus_15D_I_RUR">#REF!</definedName>
    <definedName name="F17_Attr_Bus_15D_I_USD" localSheetId="5">#REF!</definedName>
    <definedName name="F17_Attr_Bus_15D_I_USD">#REF!</definedName>
    <definedName name="F17_Attr_Bus_180D_Am_AMD" localSheetId="5">#REF!</definedName>
    <definedName name="F17_Attr_Bus_180D_Am_AMD">#REF!</definedName>
    <definedName name="F17_Attr_Bus_180D_Am_EUR" localSheetId="5">#REF!</definedName>
    <definedName name="F17_Attr_Bus_180D_Am_EUR">#REF!</definedName>
    <definedName name="F17_Attr_Bus_180D_Am_OthC" localSheetId="5">#REF!</definedName>
    <definedName name="F17_Attr_Bus_180D_Am_OthC">#REF!</definedName>
    <definedName name="F17_Attr_Bus_180D_Am_RUR" localSheetId="5">#REF!</definedName>
    <definedName name="F17_Attr_Bus_180D_Am_RUR">#REF!</definedName>
    <definedName name="F17_Attr_Bus_180D_Am_USD" localSheetId="5">#REF!</definedName>
    <definedName name="F17_Attr_Bus_180D_Am_USD">#REF!</definedName>
    <definedName name="F17_Attr_Bus_180D_I_AMD" localSheetId="5">#REF!</definedName>
    <definedName name="F17_Attr_Bus_180D_I_AMD">#REF!</definedName>
    <definedName name="F17_Attr_Bus_180D_I_EUR" localSheetId="5">#REF!</definedName>
    <definedName name="F17_Attr_Bus_180D_I_EUR">#REF!</definedName>
    <definedName name="F17_Attr_Bus_180D_I_OthC" localSheetId="5">#REF!</definedName>
    <definedName name="F17_Attr_Bus_180D_I_OthC">#REF!</definedName>
    <definedName name="F17_Attr_Bus_180D_I_RUR" localSheetId="5">#REF!</definedName>
    <definedName name="F17_Attr_Bus_180D_I_RUR">#REF!</definedName>
    <definedName name="F17_Attr_Bus_180D_I_USD" localSheetId="5">#REF!</definedName>
    <definedName name="F17_Attr_Bus_180D_I_USD">#REF!</definedName>
    <definedName name="F17_Attr_Bus_30D_Am_AMD" localSheetId="5">#REF!</definedName>
    <definedName name="F17_Attr_Bus_30D_Am_AMD">#REF!</definedName>
    <definedName name="F17_Attr_Bus_30D_Am_EUR" localSheetId="5">#REF!</definedName>
    <definedName name="F17_Attr_Bus_30D_Am_EUR">#REF!</definedName>
    <definedName name="F17_Attr_Bus_30D_Am_OthC" localSheetId="5">#REF!</definedName>
    <definedName name="F17_Attr_Bus_30D_Am_OthC">#REF!</definedName>
    <definedName name="F17_Attr_Bus_30D_Am_RUR" localSheetId="5">#REF!</definedName>
    <definedName name="F17_Attr_Bus_30D_Am_RUR">#REF!</definedName>
    <definedName name="F17_Attr_Bus_30D_Am_USD" localSheetId="5">#REF!</definedName>
    <definedName name="F17_Attr_Bus_30D_Am_USD">#REF!</definedName>
    <definedName name="F17_Attr_Bus_30D_I_AMD" localSheetId="5">#REF!</definedName>
    <definedName name="F17_Attr_Bus_30D_I_AMD">#REF!</definedName>
    <definedName name="F17_Attr_Bus_30D_I_EUR" localSheetId="5">#REF!</definedName>
    <definedName name="F17_Attr_Bus_30D_I_EUR">#REF!</definedName>
    <definedName name="F17_Attr_Bus_30D_I_OthC" localSheetId="5">#REF!</definedName>
    <definedName name="F17_Attr_Bus_30D_I_OthC">#REF!</definedName>
    <definedName name="F17_Attr_Bus_30D_I_RUR" localSheetId="5">#REF!</definedName>
    <definedName name="F17_Attr_Bus_30D_I_RUR">#REF!</definedName>
    <definedName name="F17_Attr_Bus_30D_I_USD" localSheetId="5">#REF!</definedName>
    <definedName name="F17_Attr_Bus_30D_I_USD">#REF!</definedName>
    <definedName name="F17_Attr_Bus_360D_Am_AMD" localSheetId="5">#REF!</definedName>
    <definedName name="F17_Attr_Bus_360D_Am_AMD">#REF!</definedName>
    <definedName name="F17_Attr_Bus_360D_Am_EUR" localSheetId="5">#REF!</definedName>
    <definedName name="F17_Attr_Bus_360D_Am_EUR">#REF!</definedName>
    <definedName name="F17_Attr_Bus_360D_Am_OthC" localSheetId="5">#REF!</definedName>
    <definedName name="F17_Attr_Bus_360D_Am_OthC">#REF!</definedName>
    <definedName name="F17_Attr_Bus_360D_Am_RUR" localSheetId="5">#REF!</definedName>
    <definedName name="F17_Attr_Bus_360D_Am_RUR">#REF!</definedName>
    <definedName name="F17_Attr_Bus_360D_Am_USD" localSheetId="5">#REF!</definedName>
    <definedName name="F17_Attr_Bus_360D_Am_USD">#REF!</definedName>
    <definedName name="F17_Attr_Bus_360D_I_AMD" localSheetId="5">#REF!</definedName>
    <definedName name="F17_Attr_Bus_360D_I_AMD">#REF!</definedName>
    <definedName name="F17_Attr_Bus_360D_I_EUR" localSheetId="5">#REF!</definedName>
    <definedName name="F17_Attr_Bus_360D_I_EUR">#REF!</definedName>
    <definedName name="F17_Attr_Bus_360D_I_OthC" localSheetId="5">#REF!</definedName>
    <definedName name="F17_Attr_Bus_360D_I_OthC">#REF!</definedName>
    <definedName name="F17_Attr_Bus_360D_I_RUR" localSheetId="5">#REF!</definedName>
    <definedName name="F17_Attr_Bus_360D_I_RUR">#REF!</definedName>
    <definedName name="F17_Attr_Bus_360D_I_USD" localSheetId="5">#REF!</definedName>
    <definedName name="F17_Attr_Bus_360D_I_USD">#REF!</definedName>
    <definedName name="F17_Attr_Bus_60D_Am_AMD" localSheetId="5">#REF!</definedName>
    <definedName name="F17_Attr_Bus_60D_Am_AMD">#REF!</definedName>
    <definedName name="F17_Attr_Bus_60D_Am_EUR" localSheetId="5">#REF!</definedName>
    <definedName name="F17_Attr_Bus_60D_Am_EUR">#REF!</definedName>
    <definedName name="F17_Attr_Bus_60D_Am_OthC" localSheetId="5">#REF!</definedName>
    <definedName name="F17_Attr_Bus_60D_Am_OthC">#REF!</definedName>
    <definedName name="F17_Attr_Bus_60D_Am_RUR" localSheetId="5">#REF!</definedName>
    <definedName name="F17_Attr_Bus_60D_Am_RUR">#REF!</definedName>
    <definedName name="F17_Attr_Bus_60D_Am_USD" localSheetId="5">#REF!</definedName>
    <definedName name="F17_Attr_Bus_60D_Am_USD">#REF!</definedName>
    <definedName name="F17_Attr_Bus_60D_I_AMD" localSheetId="5">#REF!</definedName>
    <definedName name="F17_Attr_Bus_60D_I_AMD">#REF!</definedName>
    <definedName name="F17_Attr_Bus_60D_I_EUR" localSheetId="5">#REF!</definedName>
    <definedName name="F17_Attr_Bus_60D_I_EUR">#REF!</definedName>
    <definedName name="F17_Attr_Bus_60D_I_OthC" localSheetId="5">#REF!</definedName>
    <definedName name="F17_Attr_Bus_60D_I_OthC">#REF!</definedName>
    <definedName name="F17_Attr_Bus_60D_I_RUR" localSheetId="5">#REF!</definedName>
    <definedName name="F17_Attr_Bus_60D_I_RUR">#REF!</definedName>
    <definedName name="F17_Attr_Bus_60D_I_USD" localSheetId="5">#REF!</definedName>
    <definedName name="F17_Attr_Bus_60D_I_USD">#REF!</definedName>
    <definedName name="F17_Attr_Bus_90D_Am_AMD" localSheetId="5">#REF!</definedName>
    <definedName name="F17_Attr_Bus_90D_Am_AMD">#REF!</definedName>
    <definedName name="F17_Attr_Bus_90D_Am_EUR" localSheetId="5">#REF!</definedName>
    <definedName name="F17_Attr_Bus_90D_Am_EUR">#REF!</definedName>
    <definedName name="F17_Attr_Bus_90D_Am_OthC" localSheetId="5">#REF!</definedName>
    <definedName name="F17_Attr_Bus_90D_Am_OthC">#REF!</definedName>
    <definedName name="F17_Attr_Bus_90D_Am_RUR" localSheetId="5">#REF!</definedName>
    <definedName name="F17_Attr_Bus_90D_Am_RUR">#REF!</definedName>
    <definedName name="F17_Attr_Bus_90D_Am_USD" localSheetId="5">#REF!</definedName>
    <definedName name="F17_Attr_Bus_90D_Am_USD">#REF!</definedName>
    <definedName name="F17_Attr_Bus_90D_I_AMD" localSheetId="5">#REF!</definedName>
    <definedName name="F17_Attr_Bus_90D_I_AMD">#REF!</definedName>
    <definedName name="F17_Attr_Bus_90D_I_EUR" localSheetId="5">#REF!</definedName>
    <definedName name="F17_Attr_Bus_90D_I_EUR">#REF!</definedName>
    <definedName name="F17_Attr_Bus_90D_I_OthC" localSheetId="5">#REF!</definedName>
    <definedName name="F17_Attr_Bus_90D_I_OthC">#REF!</definedName>
    <definedName name="F17_Attr_Bus_90D_I_RUR" localSheetId="5">#REF!</definedName>
    <definedName name="F17_Attr_Bus_90D_I_RUR">#REF!</definedName>
    <definedName name="F17_Attr_Bus_90D_I_USD" localSheetId="5">#REF!</definedName>
    <definedName name="F17_Attr_Bus_90D_I_USD">#REF!</definedName>
    <definedName name="F17_Attr_Bus_Dem_Am_AMD" localSheetId="5">#REF!</definedName>
    <definedName name="F17_Attr_Bus_Dem_Am_AMD">#REF!</definedName>
    <definedName name="F17_Attr_Bus_Dem_Am_EUR" localSheetId="5">#REF!</definedName>
    <definedName name="F17_Attr_Bus_Dem_Am_EUR">#REF!</definedName>
    <definedName name="F17_Attr_Bus_Dem_Am_OthC" localSheetId="5">#REF!</definedName>
    <definedName name="F17_Attr_Bus_Dem_Am_OthC">#REF!</definedName>
    <definedName name="F17_Attr_Bus_Dem_Am_RUR" localSheetId="5">#REF!</definedName>
    <definedName name="F17_Attr_Bus_Dem_Am_RUR">#REF!</definedName>
    <definedName name="F17_Attr_Bus_Dem_Am_USD" localSheetId="5">#REF!</definedName>
    <definedName name="F17_Attr_Bus_Dem_Am_USD">#REF!</definedName>
    <definedName name="F17_Attr_Bus_Dem_I_AMD" localSheetId="5">#REF!</definedName>
    <definedName name="F17_Attr_Bus_Dem_I_AMD">#REF!</definedName>
    <definedName name="F17_Attr_Bus_Dem_I_EUR" localSheetId="5">#REF!</definedName>
    <definedName name="F17_Attr_Bus_Dem_I_EUR">#REF!</definedName>
    <definedName name="F17_Attr_Bus_Dem_I_OthC" localSheetId="5">#REF!</definedName>
    <definedName name="F17_Attr_Bus_Dem_I_OthC">#REF!</definedName>
    <definedName name="F17_Attr_Bus_Dem_I_RUR" localSheetId="5">#REF!</definedName>
    <definedName name="F17_Attr_Bus_Dem_I_RUR">#REF!</definedName>
    <definedName name="F17_Attr_Bus_Dem_I_USD" localSheetId="5">#REF!</definedName>
    <definedName name="F17_Attr_Bus_Dem_I_USD">#REF!</definedName>
    <definedName name="F17_Attr_Bus_Mr360D_Am_AMD" localSheetId="5">#REF!</definedName>
    <definedName name="F17_Attr_Bus_Mr360D_Am_AMD">#REF!</definedName>
    <definedName name="F17_Attr_Bus_Mr360D_Am_EUR" localSheetId="5">#REF!</definedName>
    <definedName name="F17_Attr_Bus_Mr360D_Am_EUR">#REF!</definedName>
    <definedName name="F17_Attr_Bus_Mr360D_Am_OthC" localSheetId="5">#REF!</definedName>
    <definedName name="F17_Attr_Bus_Mr360D_Am_OthC">#REF!</definedName>
    <definedName name="F17_Attr_Bus_Mr360D_Am_RUR" localSheetId="5">#REF!</definedName>
    <definedName name="F17_Attr_Bus_Mr360D_Am_RUR">#REF!</definedName>
    <definedName name="F17_Attr_Bus_Mr360D_Am_USD" localSheetId="5">#REF!</definedName>
    <definedName name="F17_Attr_Bus_Mr360D_Am_USD">#REF!</definedName>
    <definedName name="F17_Attr_Bus_Mr360D_I_AMD" localSheetId="5">#REF!</definedName>
    <definedName name="F17_Attr_Bus_Mr360D_I_AMD">#REF!</definedName>
    <definedName name="F17_Attr_Bus_Mr360D_I_EUR" localSheetId="5">#REF!</definedName>
    <definedName name="F17_Attr_Bus_Mr360D_I_EUR">#REF!</definedName>
    <definedName name="F17_Attr_Bus_Mr360D_I_OthC" localSheetId="5">#REF!</definedName>
    <definedName name="F17_Attr_Bus_Mr360D_I_OthC">#REF!</definedName>
    <definedName name="F17_Attr_Bus_Mr360D_I_RUR" localSheetId="5">#REF!</definedName>
    <definedName name="F17_Attr_Bus_Mr360D_I_RUR">#REF!</definedName>
    <definedName name="F17_Attr_Bus_Mr360D_I_USD" localSheetId="5">#REF!</definedName>
    <definedName name="F17_Attr_Bus_Mr360D_I_USD">#REF!</definedName>
    <definedName name="F17_Attr_Bus_Tot_Am_AMD1" localSheetId="5">#REF!</definedName>
    <definedName name="F17_Attr_Bus_Tot_Am_AMD1">#REF!</definedName>
    <definedName name="F17_Attr_Bus_Tot_Am_EUR1" localSheetId="5">#REF!</definedName>
    <definedName name="F17_Attr_Bus_Tot_Am_EUR1">#REF!</definedName>
    <definedName name="F17_Attr_Bus_Tot_Am_OthC1" localSheetId="5">#REF!</definedName>
    <definedName name="F17_Attr_Bus_Tot_Am_OthC1">#REF!</definedName>
    <definedName name="F17_Attr_Bus_Tot_Am_RUR1" localSheetId="5">#REF!</definedName>
    <definedName name="F17_Attr_Bus_Tot_Am_RUR1">#REF!</definedName>
    <definedName name="F17_Attr_Bus_Tot_Am_USD1" localSheetId="5">#REF!</definedName>
    <definedName name="F17_Attr_Bus_Tot_Am_USD1">#REF!</definedName>
    <definedName name="F17_Attr_Bus_Tot_I_AMD11" localSheetId="5">#REF!</definedName>
    <definedName name="F17_Attr_Bus_Tot_I_AMD11">#REF!</definedName>
    <definedName name="F17_Attr_Bus_Tot_I_AMD12" localSheetId="5">#REF!</definedName>
    <definedName name="F17_Attr_Bus_Tot_I_AMD12">#REF!</definedName>
    <definedName name="F17_Attr_Bus_Tot_I_EUR11" localSheetId="5">#REF!</definedName>
    <definedName name="F17_Attr_Bus_Tot_I_EUR11">#REF!</definedName>
    <definedName name="F17_Attr_Bus_Tot_I_EUR12" localSheetId="5">#REF!</definedName>
    <definedName name="F17_Attr_Bus_Tot_I_EUR12">#REF!</definedName>
    <definedName name="F17_Attr_Bus_Tot_I_OthC11" localSheetId="5">#REF!</definedName>
    <definedName name="F17_Attr_Bus_Tot_I_OthC11">#REF!</definedName>
    <definedName name="F17_Attr_Bus_Tot_I_OthC12" localSheetId="5">#REF!</definedName>
    <definedName name="F17_Attr_Bus_Tot_I_OthC12">#REF!</definedName>
    <definedName name="F17_Attr_Bus_Tot_I_RUR11" localSheetId="5">#REF!</definedName>
    <definedName name="F17_Attr_Bus_Tot_I_RUR11">#REF!</definedName>
    <definedName name="F17_Attr_Bus_Tot_I_RUR12" localSheetId="5">#REF!</definedName>
    <definedName name="F17_Attr_Bus_Tot_I_RUR12">#REF!</definedName>
    <definedName name="F17_Attr_Bus_Tot_I_USD11" localSheetId="5">#REF!</definedName>
    <definedName name="F17_Attr_Bus_Tot_I_USD11">#REF!</definedName>
    <definedName name="F17_Attr_Bus_Tot_I_USD12" localSheetId="5">#REF!</definedName>
    <definedName name="F17_Attr_Bus_Tot_I_USD12">#REF!</definedName>
    <definedName name="F17_Attr_Ind_15D_Am_AMD" localSheetId="5">#REF!</definedName>
    <definedName name="F17_Attr_Ind_15D_Am_AMD">#REF!</definedName>
    <definedName name="F17_Attr_Ind_15D_Am_EUR" localSheetId="5">#REF!</definedName>
    <definedName name="F17_Attr_Ind_15D_Am_EUR">#REF!</definedName>
    <definedName name="F17_Attr_Ind_15D_Am_OthC" localSheetId="5">#REF!</definedName>
    <definedName name="F17_Attr_Ind_15D_Am_OthC">#REF!</definedName>
    <definedName name="F17_Attr_Ind_15D_Am_RUR" localSheetId="5">#REF!</definedName>
    <definedName name="F17_Attr_Ind_15D_Am_RUR">#REF!</definedName>
    <definedName name="F17_Attr_Ind_15D_Am_USD" localSheetId="5">#REF!</definedName>
    <definedName name="F17_Attr_Ind_15D_Am_USD">#REF!</definedName>
    <definedName name="F17_Attr_Ind_15D_I_AMD" localSheetId="5">#REF!</definedName>
    <definedName name="F17_Attr_Ind_15D_I_AMD">#REF!</definedName>
    <definedName name="F17_Attr_Ind_15D_I_EUR" localSheetId="5">#REF!</definedName>
    <definedName name="F17_Attr_Ind_15D_I_EUR">#REF!</definedName>
    <definedName name="F17_Attr_Ind_15D_I_OthC" localSheetId="5">#REF!</definedName>
    <definedName name="F17_Attr_Ind_15D_I_OthC">#REF!</definedName>
    <definedName name="F17_Attr_Ind_15D_I_RUR" localSheetId="5">#REF!</definedName>
    <definedName name="F17_Attr_Ind_15D_I_RUR">#REF!</definedName>
    <definedName name="F17_Attr_Ind_15D_I_USD" localSheetId="5">#REF!</definedName>
    <definedName name="F17_Attr_Ind_15D_I_USD">#REF!</definedName>
    <definedName name="F17_Attr_Ind_180D_Am_AMD" localSheetId="5">#REF!</definedName>
    <definedName name="F17_Attr_Ind_180D_Am_AMD">#REF!</definedName>
    <definedName name="F17_Attr_Ind_180D_Am_EUR" localSheetId="5">#REF!</definedName>
    <definedName name="F17_Attr_Ind_180D_Am_EUR">#REF!</definedName>
    <definedName name="F17_Attr_Ind_180D_Am_OthC" localSheetId="5">#REF!</definedName>
    <definedName name="F17_Attr_Ind_180D_Am_OthC">#REF!</definedName>
    <definedName name="F17_Attr_Ind_180D_Am_RUR" localSheetId="5">#REF!</definedName>
    <definedName name="F17_Attr_Ind_180D_Am_RUR">#REF!</definedName>
    <definedName name="F17_Attr_Ind_180D_Am_USD" localSheetId="5">#REF!</definedName>
    <definedName name="F17_Attr_Ind_180D_Am_USD">#REF!</definedName>
    <definedName name="F17_Attr_Ind_180D_I_AMD" localSheetId="5">#REF!</definedName>
    <definedName name="F17_Attr_Ind_180D_I_AMD">#REF!</definedName>
    <definedName name="F17_Attr_Ind_180D_I_EUR" localSheetId="5">#REF!</definedName>
    <definedName name="F17_Attr_Ind_180D_I_EUR">#REF!</definedName>
    <definedName name="F17_Attr_Ind_180D_I_OthC" localSheetId="5">#REF!</definedName>
    <definedName name="F17_Attr_Ind_180D_I_OthC">#REF!</definedName>
    <definedName name="F17_Attr_Ind_180D_I_RUR" localSheetId="5">#REF!</definedName>
    <definedName name="F17_Attr_Ind_180D_I_RUR">#REF!</definedName>
    <definedName name="F17_Attr_Ind_180D_I_USD" localSheetId="5">#REF!</definedName>
    <definedName name="F17_Attr_Ind_180D_I_USD">#REF!</definedName>
    <definedName name="F17_Attr_Ind_30D_Am_AMD" localSheetId="5">#REF!</definedName>
    <definedName name="F17_Attr_Ind_30D_Am_AMD">#REF!</definedName>
    <definedName name="F17_Attr_Ind_30D_Am_EUR" localSheetId="5">#REF!</definedName>
    <definedName name="F17_Attr_Ind_30D_Am_EUR">#REF!</definedName>
    <definedName name="F17_Attr_Ind_30D_Am_OthC" localSheetId="5">#REF!</definedName>
    <definedName name="F17_Attr_Ind_30D_Am_OthC">#REF!</definedName>
    <definedName name="F17_Attr_Ind_30D_Am_RUR" localSheetId="5">#REF!</definedName>
    <definedName name="F17_Attr_Ind_30D_Am_RUR">#REF!</definedName>
    <definedName name="F17_Attr_Ind_30D_Am_USD" localSheetId="5">#REF!</definedName>
    <definedName name="F17_Attr_Ind_30D_Am_USD">#REF!</definedName>
    <definedName name="F17_Attr_Ind_30D_I_AMD" localSheetId="5">#REF!</definedName>
    <definedName name="F17_Attr_Ind_30D_I_AMD">#REF!</definedName>
    <definedName name="F17_Attr_Ind_30D_I_EUR" localSheetId="5">#REF!</definedName>
    <definedName name="F17_Attr_Ind_30D_I_EUR">#REF!</definedName>
    <definedName name="F17_Attr_Ind_30D_I_OthC" localSheetId="5">#REF!</definedName>
    <definedName name="F17_Attr_Ind_30D_I_OthC">#REF!</definedName>
    <definedName name="F17_Attr_Ind_30D_I_RUR" localSheetId="5">#REF!</definedName>
    <definedName name="F17_Attr_Ind_30D_I_RUR">#REF!</definedName>
    <definedName name="F17_Attr_Ind_30D_I_USD" localSheetId="5">#REF!</definedName>
    <definedName name="F17_Attr_Ind_30D_I_USD">#REF!</definedName>
    <definedName name="F17_Attr_Ind_360D_Am_AMD" localSheetId="5">#REF!</definedName>
    <definedName name="F17_Attr_Ind_360D_Am_AMD">#REF!</definedName>
    <definedName name="F17_Attr_Ind_360D_Am_EUR" localSheetId="5">#REF!</definedName>
    <definedName name="F17_Attr_Ind_360D_Am_EUR">#REF!</definedName>
    <definedName name="F17_Attr_Ind_360D_Am_OthC" localSheetId="5">#REF!</definedName>
    <definedName name="F17_Attr_Ind_360D_Am_OthC">#REF!</definedName>
    <definedName name="F17_Attr_Ind_360D_Am_RUR" localSheetId="5">#REF!</definedName>
    <definedName name="F17_Attr_Ind_360D_Am_RUR">#REF!</definedName>
    <definedName name="F17_Attr_Ind_360D_Am_USD" localSheetId="5">#REF!</definedName>
    <definedName name="F17_Attr_Ind_360D_Am_USD">#REF!</definedName>
    <definedName name="F17_Attr_Ind_360D_I_AMD" localSheetId="5">#REF!</definedName>
    <definedName name="F17_Attr_Ind_360D_I_AMD">#REF!</definedName>
    <definedName name="F17_Attr_Ind_360D_I_EUR" localSheetId="5">#REF!</definedName>
    <definedName name="F17_Attr_Ind_360D_I_EUR">#REF!</definedName>
    <definedName name="F17_Attr_Ind_360D_I_OthC" localSheetId="5">#REF!</definedName>
    <definedName name="F17_Attr_Ind_360D_I_OthC">#REF!</definedName>
    <definedName name="F17_Attr_Ind_360D_I_RUR" localSheetId="5">#REF!</definedName>
    <definedName name="F17_Attr_Ind_360D_I_RUR">#REF!</definedName>
    <definedName name="F17_Attr_Ind_360D_I_USD" localSheetId="5">#REF!</definedName>
    <definedName name="F17_Attr_Ind_360D_I_USD">#REF!</definedName>
    <definedName name="F17_Attr_Ind_60D_Am_AMD" localSheetId="5">#REF!</definedName>
    <definedName name="F17_Attr_Ind_60D_Am_AMD">#REF!</definedName>
    <definedName name="F17_Attr_Ind_60D_Am_EUR" localSheetId="5">#REF!</definedName>
    <definedName name="F17_Attr_Ind_60D_Am_EUR">#REF!</definedName>
    <definedName name="F17_Attr_Ind_60D_Am_OthC" localSheetId="5">#REF!</definedName>
    <definedName name="F17_Attr_Ind_60D_Am_OthC">#REF!</definedName>
    <definedName name="F17_Attr_Ind_60D_Am_RUR" localSheetId="5">#REF!</definedName>
    <definedName name="F17_Attr_Ind_60D_Am_RUR">#REF!</definedName>
    <definedName name="F17_Attr_Ind_60D_Am_USD" localSheetId="5">#REF!</definedName>
    <definedName name="F17_Attr_Ind_60D_Am_USD">#REF!</definedName>
    <definedName name="F17_Attr_Ind_60D_I_AMD" localSheetId="5">#REF!</definedName>
    <definedName name="F17_Attr_Ind_60D_I_AMD">#REF!</definedName>
    <definedName name="F17_Attr_Ind_60D_I_EUR" localSheetId="5">#REF!</definedName>
    <definedName name="F17_Attr_Ind_60D_I_EUR">#REF!</definedName>
    <definedName name="F17_Attr_Ind_60D_I_OthC" localSheetId="5">#REF!</definedName>
    <definedName name="F17_Attr_Ind_60D_I_OthC">#REF!</definedName>
    <definedName name="F17_Attr_Ind_60D_I_RUR" localSheetId="5">#REF!</definedName>
    <definedName name="F17_Attr_Ind_60D_I_RUR">#REF!</definedName>
    <definedName name="F17_Attr_Ind_60D_I_USD" localSheetId="5">#REF!</definedName>
    <definedName name="F17_Attr_Ind_60D_I_USD">#REF!</definedName>
    <definedName name="F17_Attr_Ind_90D_Am_AMD" localSheetId="5">#REF!</definedName>
    <definedName name="F17_Attr_Ind_90D_Am_AMD">#REF!</definedName>
    <definedName name="F17_Attr_Ind_90D_Am_EUR" localSheetId="5">#REF!</definedName>
    <definedName name="F17_Attr_Ind_90D_Am_EUR">#REF!</definedName>
    <definedName name="F17_Attr_Ind_90D_Am_OthC" localSheetId="5">#REF!</definedName>
    <definedName name="F17_Attr_Ind_90D_Am_OthC">#REF!</definedName>
    <definedName name="F17_Attr_Ind_90D_Am_RUR" localSheetId="5">#REF!</definedName>
    <definedName name="F17_Attr_Ind_90D_Am_RUR">#REF!</definedName>
    <definedName name="F17_Attr_Ind_90D_Am_USD" localSheetId="5">#REF!</definedName>
    <definedName name="F17_Attr_Ind_90D_Am_USD">#REF!</definedName>
    <definedName name="F17_Attr_Ind_90D_I_AMD" localSheetId="5">#REF!</definedName>
    <definedName name="F17_Attr_Ind_90D_I_AMD">#REF!</definedName>
    <definedName name="F17_Attr_Ind_90D_I_EUR" localSheetId="5">#REF!</definedName>
    <definedName name="F17_Attr_Ind_90D_I_EUR">#REF!</definedName>
    <definedName name="F17_Attr_Ind_90D_I_OthC" localSheetId="5">#REF!</definedName>
    <definedName name="F17_Attr_Ind_90D_I_OthC">#REF!</definedName>
    <definedName name="F17_Attr_Ind_90D_I_RUR" localSheetId="5">#REF!</definedName>
    <definedName name="F17_Attr_Ind_90D_I_RUR">#REF!</definedName>
    <definedName name="F17_Attr_Ind_90D_I_USD" localSheetId="5">#REF!</definedName>
    <definedName name="F17_Attr_Ind_90D_I_USD">#REF!</definedName>
    <definedName name="F17_Attr_Ind_Dem_Am_AMD" localSheetId="5">#REF!</definedName>
    <definedName name="F17_Attr_Ind_Dem_Am_AMD">#REF!</definedName>
    <definedName name="F17_Attr_Ind_Dem_Am_EUR" localSheetId="5">#REF!</definedName>
    <definedName name="F17_Attr_Ind_Dem_Am_EUR">#REF!</definedName>
    <definedName name="F17_Attr_Ind_Dem_Am_OthC" localSheetId="5">#REF!</definedName>
    <definedName name="F17_Attr_Ind_Dem_Am_OthC">#REF!</definedName>
    <definedName name="F17_Attr_Ind_Dem_Am_RUR" localSheetId="5">#REF!</definedName>
    <definedName name="F17_Attr_Ind_Dem_Am_RUR">#REF!</definedName>
    <definedName name="F17_Attr_Ind_Dem_Am_USD" localSheetId="5">#REF!</definedName>
    <definedName name="F17_Attr_Ind_Dem_Am_USD">#REF!</definedName>
    <definedName name="F17_Attr_Ind_Dem_I_AMD" localSheetId="5">#REF!</definedName>
    <definedName name="F17_Attr_Ind_Dem_I_AMD">#REF!</definedName>
    <definedName name="F17_Attr_Ind_Dem_I_EUR" localSheetId="5">#REF!</definedName>
    <definedName name="F17_Attr_Ind_Dem_I_EUR">#REF!</definedName>
    <definedName name="F17_Attr_Ind_Dem_I_OthC" localSheetId="5">#REF!</definedName>
    <definedName name="F17_Attr_Ind_Dem_I_OthC">#REF!</definedName>
    <definedName name="F17_Attr_Ind_Dem_I_RUR" localSheetId="5">#REF!</definedName>
    <definedName name="F17_Attr_Ind_Dem_I_RUR">#REF!</definedName>
    <definedName name="F17_Attr_Ind_Dem_I_USD" localSheetId="5">#REF!</definedName>
    <definedName name="F17_Attr_Ind_Dem_I_USD">#REF!</definedName>
    <definedName name="F17_Attr_Ind_Mr360D_Am_AMD" localSheetId="5">#REF!</definedName>
    <definedName name="F17_Attr_Ind_Mr360D_Am_AMD">#REF!</definedName>
    <definedName name="F17_Attr_Ind_Mr360D_Am_EUR" localSheetId="5">#REF!</definedName>
    <definedName name="F17_Attr_Ind_Mr360D_Am_EUR">#REF!</definedName>
    <definedName name="F17_Attr_Ind_Mr360D_Am_OthC" localSheetId="5">#REF!</definedName>
    <definedName name="F17_Attr_Ind_Mr360D_Am_OthC">#REF!</definedName>
    <definedName name="F17_Attr_Ind_Mr360D_Am_RUR" localSheetId="5">#REF!</definedName>
    <definedName name="F17_Attr_Ind_Mr360D_Am_RUR">#REF!</definedName>
    <definedName name="F17_Attr_Ind_Mr360D_Am_USD" localSheetId="5">#REF!</definedName>
    <definedName name="F17_Attr_Ind_Mr360D_Am_USD">#REF!</definedName>
    <definedName name="F17_Attr_Ind_Mr360D_I_AMD" localSheetId="5">#REF!</definedName>
    <definedName name="F17_Attr_Ind_Mr360D_I_AMD">#REF!</definedName>
    <definedName name="F17_Attr_Ind_Mr360D_I_EUR" localSheetId="5">#REF!</definedName>
    <definedName name="F17_Attr_Ind_Mr360D_I_EUR">#REF!</definedName>
    <definedName name="F17_Attr_Ind_Mr360D_I_OthC" localSheetId="5">#REF!</definedName>
    <definedName name="F17_Attr_Ind_Mr360D_I_OthC">#REF!</definedName>
    <definedName name="F17_Attr_Ind_Mr360D_I_RUR" localSheetId="5">#REF!</definedName>
    <definedName name="F17_Attr_Ind_Mr360D_I_RUR">#REF!</definedName>
    <definedName name="F17_Attr_Ind_Mr360D_I_USD" localSheetId="5">#REF!</definedName>
    <definedName name="F17_Attr_Ind_Mr360D_I_USD">#REF!</definedName>
    <definedName name="F17_Attr_Ind_Tot_Am_AMD1" localSheetId="5">#REF!</definedName>
    <definedName name="F17_Attr_Ind_Tot_Am_AMD1">#REF!</definedName>
    <definedName name="F17_Attr_Ind_Tot_Am_EUR1" localSheetId="5">#REF!</definedName>
    <definedName name="F17_Attr_Ind_Tot_Am_EUR1">#REF!</definedName>
    <definedName name="F17_Attr_Ind_Tot_Am_OthC1" localSheetId="5">#REF!</definedName>
    <definedName name="F17_Attr_Ind_Tot_Am_OthC1">#REF!</definedName>
    <definedName name="F17_Attr_Ind_Tot_Am_RUR1" localSheetId="5">#REF!</definedName>
    <definedName name="F17_Attr_Ind_Tot_Am_RUR1">#REF!</definedName>
    <definedName name="F17_Attr_Ind_Tot_Am_USD1" localSheetId="5">#REF!</definedName>
    <definedName name="F17_Attr_Ind_Tot_Am_USD1">#REF!</definedName>
    <definedName name="F17_Attr_Ind_Tot_I_AMD11" localSheetId="5">#REF!</definedName>
    <definedName name="F17_Attr_Ind_Tot_I_AMD11">#REF!</definedName>
    <definedName name="F17_Attr_Ind_Tot_I_AMD12" localSheetId="5">#REF!</definedName>
    <definedName name="F17_Attr_Ind_Tot_I_AMD12">#REF!</definedName>
    <definedName name="F17_Attr_Ind_Tot_I_EUR11" localSheetId="5">#REF!</definedName>
    <definedName name="F17_Attr_Ind_Tot_I_EUR11">#REF!</definedName>
    <definedName name="F17_Attr_Ind_Tot_I_EUR12" localSheetId="5">#REF!</definedName>
    <definedName name="F17_Attr_Ind_Tot_I_EUR12">#REF!</definedName>
    <definedName name="F17_Attr_Ind_Tot_I_OthC11" localSheetId="5">#REF!</definedName>
    <definedName name="F17_Attr_Ind_Tot_I_OthC11">#REF!</definedName>
    <definedName name="F17_Attr_Ind_Tot_I_OthC12" localSheetId="5">#REF!</definedName>
    <definedName name="F17_Attr_Ind_Tot_I_OthC12">#REF!</definedName>
    <definedName name="F17_Attr_Ind_Tot_I_RUR11" localSheetId="5">#REF!</definedName>
    <definedName name="F17_Attr_Ind_Tot_I_RUR11">#REF!</definedName>
    <definedName name="F17_Attr_Ind_Tot_I_RUR12" localSheetId="5">#REF!</definedName>
    <definedName name="F17_Attr_Ind_Tot_I_RUR12">#REF!</definedName>
    <definedName name="F17_Attr_Ind_Tot_I_USD11" localSheetId="5">#REF!</definedName>
    <definedName name="F17_Attr_Ind_Tot_I_USD11">#REF!</definedName>
    <definedName name="F17_Attr_Ind_Tot_I_USD12" localSheetId="5">#REF!</definedName>
    <definedName name="F17_Attr_Ind_Tot_I_USD12">#REF!</definedName>
    <definedName name="F17_Attr_IndCo_Mr360D_Am_OthC" localSheetId="5">#REF!</definedName>
    <definedName name="F17_Attr_IndCo_Mr360D_Am_OthC">#REF!</definedName>
    <definedName name="F17_Attr_IndCor_15D_Am_AMD" localSheetId="5">#REF!</definedName>
    <definedName name="F17_Attr_IndCor_15D_Am_AMD">#REF!</definedName>
    <definedName name="F17_Attr_IndCor_15D_Am_EUR" localSheetId="5">#REF!</definedName>
    <definedName name="F17_Attr_IndCor_15D_Am_EUR">#REF!</definedName>
    <definedName name="F17_Attr_IndCor_15D_Am_OthC" localSheetId="5">#REF!</definedName>
    <definedName name="F17_Attr_IndCor_15D_Am_OthC">#REF!</definedName>
    <definedName name="F17_Attr_IndCor_15D_Am_RUR" localSheetId="5">#REF!</definedName>
    <definedName name="F17_Attr_IndCor_15D_Am_RUR">#REF!</definedName>
    <definedName name="F17_Attr_IndCor_15D_Am_USD" localSheetId="5">#REF!</definedName>
    <definedName name="F17_Attr_IndCor_15D_Am_USD">#REF!</definedName>
    <definedName name="F17_Attr_IndCor_15D_I_AMD" localSheetId="5">#REF!</definedName>
    <definedName name="F17_Attr_IndCor_15D_I_AMD">#REF!</definedName>
    <definedName name="F17_Attr_IndCor_15D_I_EUR" localSheetId="5">#REF!</definedName>
    <definedName name="F17_Attr_IndCor_15D_I_EUR">#REF!</definedName>
    <definedName name="F17_Attr_IndCor_15D_I_OthC" localSheetId="5">#REF!</definedName>
    <definedName name="F17_Attr_IndCor_15D_I_OthC">#REF!</definedName>
    <definedName name="F17_Attr_IndCor_15D_I_RUR" localSheetId="5">#REF!</definedName>
    <definedName name="F17_Attr_IndCor_15D_I_RUR">#REF!</definedName>
    <definedName name="F17_Attr_IndCor_15D_I_USD" localSheetId="5">#REF!</definedName>
    <definedName name="F17_Attr_IndCor_15D_I_USD">#REF!</definedName>
    <definedName name="F17_Attr_IndCor_180D_Am_AMD" localSheetId="5">#REF!</definedName>
    <definedName name="F17_Attr_IndCor_180D_Am_AMD">#REF!</definedName>
    <definedName name="F17_Attr_IndCor_180D_Am_EUR" localSheetId="5">#REF!</definedName>
    <definedName name="F17_Attr_IndCor_180D_Am_EUR">#REF!</definedName>
    <definedName name="F17_Attr_IndCor_180D_Am_OthC" localSheetId="5">#REF!</definedName>
    <definedName name="F17_Attr_IndCor_180D_Am_OthC">#REF!</definedName>
    <definedName name="F17_Attr_IndCor_180D_Am_RUR" localSheetId="5">#REF!</definedName>
    <definedName name="F17_Attr_IndCor_180D_Am_RUR">#REF!</definedName>
    <definedName name="F17_Attr_IndCor_180D_Am_USD" localSheetId="5">#REF!</definedName>
    <definedName name="F17_Attr_IndCor_180D_Am_USD">#REF!</definedName>
    <definedName name="F17_Attr_IndCor_180D_I_AMD" localSheetId="5">#REF!</definedName>
    <definedName name="F17_Attr_IndCor_180D_I_AMD">#REF!</definedName>
    <definedName name="F17_Attr_IndCor_180D_I_EUR" localSheetId="5">#REF!</definedName>
    <definedName name="F17_Attr_IndCor_180D_I_EUR">#REF!</definedName>
    <definedName name="F17_Attr_IndCor_180D_I_OthC" localSheetId="5">#REF!</definedName>
    <definedName name="F17_Attr_IndCor_180D_I_OthC">#REF!</definedName>
    <definedName name="F17_Attr_IndCor_180D_I_RUR" localSheetId="5">#REF!</definedName>
    <definedName name="F17_Attr_IndCor_180D_I_RUR">#REF!</definedName>
    <definedName name="F17_Attr_IndCor_180D_I_USD" localSheetId="5">#REF!</definedName>
    <definedName name="F17_Attr_IndCor_180D_I_USD">#REF!</definedName>
    <definedName name="F17_Attr_IndCor_30D_Am_AMD" localSheetId="5">#REF!</definedName>
    <definedName name="F17_Attr_IndCor_30D_Am_AMD">#REF!</definedName>
    <definedName name="F17_Attr_IndCor_30D_Am_EUR" localSheetId="5">#REF!</definedName>
    <definedName name="F17_Attr_IndCor_30D_Am_EUR">#REF!</definedName>
    <definedName name="F17_Attr_IndCor_30D_Am_OthC" localSheetId="5">#REF!</definedName>
    <definedName name="F17_Attr_IndCor_30D_Am_OthC">#REF!</definedName>
    <definedName name="F17_Attr_IndCor_30D_Am_RUR" localSheetId="5">#REF!</definedName>
    <definedName name="F17_Attr_IndCor_30D_Am_RUR">#REF!</definedName>
    <definedName name="F17_Attr_IndCor_30D_Am_USD" localSheetId="5">#REF!</definedName>
    <definedName name="F17_Attr_IndCor_30D_Am_USD">#REF!</definedName>
    <definedName name="F17_Attr_IndCor_30D_I_AMD" localSheetId="5">#REF!</definedName>
    <definedName name="F17_Attr_IndCor_30D_I_AMD">#REF!</definedName>
    <definedName name="F17_Attr_IndCor_30D_I_EUR" localSheetId="5">#REF!</definedName>
    <definedName name="F17_Attr_IndCor_30D_I_EUR">#REF!</definedName>
    <definedName name="F17_Attr_IndCor_30D_I_OthC" localSheetId="5">#REF!</definedName>
    <definedName name="F17_Attr_IndCor_30D_I_OthC">#REF!</definedName>
    <definedName name="F17_Attr_IndCor_30D_I_RUR" localSheetId="5">#REF!</definedName>
    <definedName name="F17_Attr_IndCor_30D_I_RUR">#REF!</definedName>
    <definedName name="F17_Attr_IndCor_30D_I_USD" localSheetId="5">#REF!</definedName>
    <definedName name="F17_Attr_IndCor_30D_I_USD">#REF!</definedName>
    <definedName name="F17_Attr_IndCor_360D_Am_AMD" localSheetId="5">#REF!</definedName>
    <definedName name="F17_Attr_IndCor_360D_Am_AMD">#REF!</definedName>
    <definedName name="F17_Attr_IndCor_360D_Am_EUR" localSheetId="5">#REF!</definedName>
    <definedName name="F17_Attr_IndCor_360D_Am_EUR">#REF!</definedName>
    <definedName name="F17_Attr_IndCor_360D_Am_OthC" localSheetId="5">#REF!</definedName>
    <definedName name="F17_Attr_IndCor_360D_Am_OthC">#REF!</definedName>
    <definedName name="F17_Attr_IndCor_360D_Am_RUR" localSheetId="5">#REF!</definedName>
    <definedName name="F17_Attr_IndCor_360D_Am_RUR">#REF!</definedName>
    <definedName name="F17_Attr_IndCor_360D_Am_USD" localSheetId="5">#REF!</definedName>
    <definedName name="F17_Attr_IndCor_360D_Am_USD">#REF!</definedName>
    <definedName name="F17_Attr_IndCor_360D_I_AMD" localSheetId="5">#REF!</definedName>
    <definedName name="F17_Attr_IndCor_360D_I_AMD">#REF!</definedName>
    <definedName name="F17_Attr_IndCor_360D_I_EUR" localSheetId="5">#REF!</definedName>
    <definedName name="F17_Attr_IndCor_360D_I_EUR">#REF!</definedName>
    <definedName name="F17_Attr_IndCor_360D_I_OthC" localSheetId="5">#REF!</definedName>
    <definedName name="F17_Attr_IndCor_360D_I_OthC">#REF!</definedName>
    <definedName name="F17_Attr_IndCor_360D_I_RUR" localSheetId="5">#REF!</definedName>
    <definedName name="F17_Attr_IndCor_360D_I_RUR">#REF!</definedName>
    <definedName name="F17_Attr_IndCor_360D_I_USD" localSheetId="5">#REF!</definedName>
    <definedName name="F17_Attr_IndCor_360D_I_USD">#REF!</definedName>
    <definedName name="F17_Attr_IndCor_60D_Am_AMD" localSheetId="5">#REF!</definedName>
    <definedName name="F17_Attr_IndCor_60D_Am_AMD">#REF!</definedName>
    <definedName name="F17_Attr_IndCor_60D_Am_EUR" localSheetId="5">#REF!</definedName>
    <definedName name="F17_Attr_IndCor_60D_Am_EUR">#REF!</definedName>
    <definedName name="F17_Attr_IndCor_60D_Am_OthC" localSheetId="5">#REF!</definedName>
    <definedName name="F17_Attr_IndCor_60D_Am_OthC">#REF!</definedName>
    <definedName name="F17_Attr_IndCor_60D_Am_RUR" localSheetId="5">#REF!</definedName>
    <definedName name="F17_Attr_IndCor_60D_Am_RUR">#REF!</definedName>
    <definedName name="F17_Attr_IndCor_60D_Am_USD" localSheetId="5">#REF!</definedName>
    <definedName name="F17_Attr_IndCor_60D_Am_USD">#REF!</definedName>
    <definedName name="F17_Attr_IndCor_60D_I_AMD" localSheetId="5">#REF!</definedName>
    <definedName name="F17_Attr_IndCor_60D_I_AMD">#REF!</definedName>
    <definedName name="F17_Attr_IndCor_60D_I_EUR" localSheetId="5">#REF!</definedName>
    <definedName name="F17_Attr_IndCor_60D_I_EUR">#REF!</definedName>
    <definedName name="F17_Attr_IndCor_60D_I_OthC" localSheetId="5">#REF!</definedName>
    <definedName name="F17_Attr_IndCor_60D_I_OthC">#REF!</definedName>
    <definedName name="F17_Attr_IndCor_60D_I_RUR" localSheetId="5">#REF!</definedName>
    <definedName name="F17_Attr_IndCor_60D_I_RUR">#REF!</definedName>
    <definedName name="F17_Attr_IndCor_60D_I_USD" localSheetId="5">#REF!</definedName>
    <definedName name="F17_Attr_IndCor_60D_I_USD">#REF!</definedName>
    <definedName name="F17_Attr_IndCor_90D_Am_AMD" localSheetId="5">#REF!</definedName>
    <definedName name="F17_Attr_IndCor_90D_Am_AMD">#REF!</definedName>
    <definedName name="F17_Attr_IndCor_90D_Am_EUR" localSheetId="5">#REF!</definedName>
    <definedName name="F17_Attr_IndCor_90D_Am_EUR">#REF!</definedName>
    <definedName name="F17_Attr_IndCor_90D_Am_OthC" localSheetId="5">#REF!</definedName>
    <definedName name="F17_Attr_IndCor_90D_Am_OthC">#REF!</definedName>
    <definedName name="F17_Attr_IndCor_90D_Am_RUR" localSheetId="5">#REF!</definedName>
    <definedName name="F17_Attr_IndCor_90D_Am_RUR">#REF!</definedName>
    <definedName name="F17_Attr_IndCor_90D_Am_USD" localSheetId="5">#REF!</definedName>
    <definedName name="F17_Attr_IndCor_90D_Am_USD">#REF!</definedName>
    <definedName name="F17_Attr_IndCor_90D_I_AMD" localSheetId="5">#REF!</definedName>
    <definedName name="F17_Attr_IndCor_90D_I_AMD">#REF!</definedName>
    <definedName name="F17_Attr_IndCor_90D_I_EUR" localSheetId="5">#REF!</definedName>
    <definedName name="F17_Attr_IndCor_90D_I_EUR">#REF!</definedName>
    <definedName name="F17_Attr_IndCor_90D_I_OthC" localSheetId="5">#REF!</definedName>
    <definedName name="F17_Attr_IndCor_90D_I_OthC">#REF!</definedName>
    <definedName name="F17_Attr_IndCor_90D_I_RUR" localSheetId="5">#REF!</definedName>
    <definedName name="F17_Attr_IndCor_90D_I_RUR">#REF!</definedName>
    <definedName name="F17_Attr_IndCor_90D_I_USD" localSheetId="5">#REF!</definedName>
    <definedName name="F17_Attr_IndCor_90D_I_USD">#REF!</definedName>
    <definedName name="F17_Attr_IndCor_Dem_Am_AMD" localSheetId="5">#REF!</definedName>
    <definedName name="F17_Attr_IndCor_Dem_Am_AMD">#REF!</definedName>
    <definedName name="F17_Attr_IndCor_Dem_Am_EUR" localSheetId="5">#REF!</definedName>
    <definedName name="F17_Attr_IndCor_Dem_Am_EUR">#REF!</definedName>
    <definedName name="F17_Attr_IndCor_Dem_Am_OthC" localSheetId="5">#REF!</definedName>
    <definedName name="F17_Attr_IndCor_Dem_Am_OthC">#REF!</definedName>
    <definedName name="F17_Attr_IndCor_Dem_Am_RUR" localSheetId="5">#REF!</definedName>
    <definedName name="F17_Attr_IndCor_Dem_Am_RUR">#REF!</definedName>
    <definedName name="F17_Attr_IndCor_Dem_Am_USD" localSheetId="5">#REF!</definedName>
    <definedName name="F17_Attr_IndCor_Dem_Am_USD">#REF!</definedName>
    <definedName name="F17_Attr_IndCor_Dem_I_AMD" localSheetId="5">#REF!</definedName>
    <definedName name="F17_Attr_IndCor_Dem_I_AMD">#REF!</definedName>
    <definedName name="F17_Attr_IndCor_Dem_I_EUR" localSheetId="5">#REF!</definedName>
    <definedName name="F17_Attr_IndCor_Dem_I_EUR">#REF!</definedName>
    <definedName name="F17_Attr_IndCor_Dem_I_OthC" localSheetId="5">#REF!</definedName>
    <definedName name="F17_Attr_IndCor_Dem_I_OthC">#REF!</definedName>
    <definedName name="F17_Attr_IndCor_Dem_I_RUR" localSheetId="5">#REF!</definedName>
    <definedName name="F17_Attr_IndCor_Dem_I_RUR">#REF!</definedName>
    <definedName name="F17_Attr_IndCor_Dem_I_USD" localSheetId="5">#REF!</definedName>
    <definedName name="F17_Attr_IndCor_Dem_I_USD">#REF!</definedName>
    <definedName name="F17_Attr_IndCor_Mr360D_Am_AMD" localSheetId="5">#REF!</definedName>
    <definedName name="F17_Attr_IndCor_Mr360D_Am_AMD">#REF!</definedName>
    <definedName name="F17_Attr_IndCor_Mr360D_Am_EUR" localSheetId="5">#REF!</definedName>
    <definedName name="F17_Attr_IndCor_Mr360D_Am_EUR">#REF!</definedName>
    <definedName name="F17_Attr_IndCor_Mr360D_Am_RUR" localSheetId="5">#REF!</definedName>
    <definedName name="F17_Attr_IndCor_Mr360D_Am_RUR">#REF!</definedName>
    <definedName name="F17_Attr_IndCor_Mr360D_Am_USD" localSheetId="5">#REF!</definedName>
    <definedName name="F17_Attr_IndCor_Mr360D_Am_USD">#REF!</definedName>
    <definedName name="F17_Attr_IndCor_Mr360D_I_AMD" localSheetId="5">#REF!</definedName>
    <definedName name="F17_Attr_IndCor_Mr360D_I_AMD">#REF!</definedName>
    <definedName name="F17_Attr_IndCor_Mr360D_I_EUR" localSheetId="5">#REF!</definedName>
    <definedName name="F17_Attr_IndCor_Mr360D_I_EUR">#REF!</definedName>
    <definedName name="F17_Attr_IndCor_Mr360D_I_OthC" localSheetId="5">#REF!</definedName>
    <definedName name="F17_Attr_IndCor_Mr360D_I_OthC">#REF!</definedName>
    <definedName name="F17_Attr_IndCor_Mr360D_I_RUR" localSheetId="5">#REF!</definedName>
    <definedName name="F17_Attr_IndCor_Mr360D_I_RUR">#REF!</definedName>
    <definedName name="F17_Attr_IndCor_Mr360D_I_USD" localSheetId="5">#REF!</definedName>
    <definedName name="F17_Attr_IndCor_Mr360D_I_USD">#REF!</definedName>
    <definedName name="F17_Attr_IndCor_Tot_Am_AMD1" localSheetId="5">#REF!</definedName>
    <definedName name="F17_Attr_IndCor_Tot_Am_AMD1">#REF!</definedName>
    <definedName name="F17_Attr_IndCor_Tot_Am_EUR1" localSheetId="5">#REF!</definedName>
    <definedName name="F17_Attr_IndCor_Tot_Am_EUR1">#REF!</definedName>
    <definedName name="F17_Attr_IndCor_Tot_Am_OthC1" localSheetId="5">#REF!</definedName>
    <definedName name="F17_Attr_IndCor_Tot_Am_OthC1">#REF!</definedName>
    <definedName name="F17_Attr_IndCor_Tot_Am_RUR1" localSheetId="5">#REF!</definedName>
    <definedName name="F17_Attr_IndCor_Tot_Am_RUR1">#REF!</definedName>
    <definedName name="F17_Attr_IndCor_Tot_Am_USD1" localSheetId="5">#REF!</definedName>
    <definedName name="F17_Attr_IndCor_Tot_Am_USD1">#REF!</definedName>
    <definedName name="F17_Attr_IndCor_Tot_I_AMD11" localSheetId="5">#REF!</definedName>
    <definedName name="F17_Attr_IndCor_Tot_I_AMD11">#REF!</definedName>
    <definedName name="F17_Attr_IndCor_Tot_I_AMD12" localSheetId="5">#REF!</definedName>
    <definedName name="F17_Attr_IndCor_Tot_I_AMD12">#REF!</definedName>
    <definedName name="F17_Attr_IndCor_Tot_I_EUR11" localSheetId="5">#REF!</definedName>
    <definedName name="F17_Attr_IndCor_Tot_I_EUR11">#REF!</definedName>
    <definedName name="F17_Attr_IndCor_Tot_I_EUR12" localSheetId="5">#REF!</definedName>
    <definedName name="F17_Attr_IndCor_Tot_I_EUR12">#REF!</definedName>
    <definedName name="F17_Attr_IndCor_Tot_I_OthC11" localSheetId="5">#REF!</definedName>
    <definedName name="F17_Attr_IndCor_Tot_I_OthC11">#REF!</definedName>
    <definedName name="F17_Attr_IndCor_Tot_I_OthC12" localSheetId="5">#REF!</definedName>
    <definedName name="F17_Attr_IndCor_Tot_I_OthC12">#REF!</definedName>
    <definedName name="F17_Attr_IndCor_Tot_I_RUR11" localSheetId="5">#REF!</definedName>
    <definedName name="F17_Attr_IndCor_Tot_I_RUR11">#REF!</definedName>
    <definedName name="F17_Attr_IndCor_Tot_I_RUR12" localSheetId="5">#REF!</definedName>
    <definedName name="F17_Attr_IndCor_Tot_I_RUR12">#REF!</definedName>
    <definedName name="F17_Attr_IndCor_Tot_I_USD11" localSheetId="5">#REF!</definedName>
    <definedName name="F17_Attr_IndCor_Tot_I_USD11">#REF!</definedName>
    <definedName name="F17_Attr_IndCor_Tot_I_USD12" localSheetId="5">#REF!</definedName>
    <definedName name="F17_Attr_IndCor_Tot_I_USD12">#REF!</definedName>
    <definedName name="F17_Attr_InterPo_Mr360D_Am_AMD" localSheetId="5">#REF!</definedName>
    <definedName name="F17_Attr_InterPo_Mr360D_Am_AMD">#REF!</definedName>
    <definedName name="F17_Attr_InterPo_Mr360D_Am_EUR" localSheetId="5">#REF!</definedName>
    <definedName name="F17_Attr_InterPo_Mr360D_Am_EUR">#REF!</definedName>
    <definedName name="F17_Attr_InterPo_Mr360D_Am_Oth" localSheetId="5">#REF!</definedName>
    <definedName name="F17_Attr_InterPo_Mr360D_Am_Oth">#REF!</definedName>
    <definedName name="F17_Attr_InterPo_Mr360D_Am_RUR" localSheetId="5">#REF!</definedName>
    <definedName name="F17_Attr_InterPo_Mr360D_Am_RUR">#REF!</definedName>
    <definedName name="F17_Attr_InterPo_Mr360D_Am_USD" localSheetId="5">#REF!</definedName>
    <definedName name="F17_Attr_InterPo_Mr360D_Am_USD">#REF!</definedName>
    <definedName name="F17_Attr_InterPo_Mr360D_I_EUR" localSheetId="5">#REF!</definedName>
    <definedName name="F17_Attr_InterPo_Mr360D_I_EUR">#REF!</definedName>
    <definedName name="F17_Attr_InterPo_Mr360D_I_Oth" localSheetId="5">#REF!</definedName>
    <definedName name="F17_Attr_InterPo_Mr360D_I_Oth">#REF!</definedName>
    <definedName name="F17_Attr_InterPo_Mr360D_I_RUR" localSheetId="5">#REF!</definedName>
    <definedName name="F17_Attr_InterPo_Mr360D_I_RUR">#REF!</definedName>
    <definedName name="F17_Attr_InterPo_Mr360D_I_USD" localSheetId="5">#REF!</definedName>
    <definedName name="F17_Attr_InterPo_Mr360D_I_USD">#REF!</definedName>
    <definedName name="F17_Attr_InterPog_15D_Am_AMD" localSheetId="5">#REF!</definedName>
    <definedName name="F17_Attr_InterPog_15D_Am_AMD">#REF!</definedName>
    <definedName name="F17_Attr_InterPog_15D_Am_EUR" localSheetId="5">#REF!</definedName>
    <definedName name="F17_Attr_InterPog_15D_Am_EUR">#REF!</definedName>
    <definedName name="F17_Attr_InterPog_15D_Am_OthC" localSheetId="5">#REF!</definedName>
    <definedName name="F17_Attr_InterPog_15D_Am_OthC">#REF!</definedName>
    <definedName name="F17_Attr_InterPog_15D_Am_RUR" localSheetId="5">#REF!</definedName>
    <definedName name="F17_Attr_InterPog_15D_Am_RUR">#REF!</definedName>
    <definedName name="F17_Attr_InterPog_15D_Am_USD" localSheetId="5">#REF!</definedName>
    <definedName name="F17_Attr_InterPog_15D_Am_USD">#REF!</definedName>
    <definedName name="F17_Attr_InterPog_15D_I_AMD" localSheetId="5">#REF!</definedName>
    <definedName name="F17_Attr_InterPog_15D_I_AMD">#REF!</definedName>
    <definedName name="F17_Attr_InterPog_15D_I_EUR" localSheetId="5">#REF!</definedName>
    <definedName name="F17_Attr_InterPog_15D_I_EUR">#REF!</definedName>
    <definedName name="F17_Attr_InterPog_15D_I_OthC" localSheetId="5">#REF!</definedName>
    <definedName name="F17_Attr_InterPog_15D_I_OthC">#REF!</definedName>
    <definedName name="F17_Attr_InterPog_15D_I_RUR" localSheetId="5">#REF!</definedName>
    <definedName name="F17_Attr_InterPog_15D_I_RUR">#REF!</definedName>
    <definedName name="F17_Attr_InterPog_15D_I_USD" localSheetId="5">#REF!</definedName>
    <definedName name="F17_Attr_InterPog_15D_I_USD">#REF!</definedName>
    <definedName name="F17_Attr_InterPog_180D_Am_AMD" localSheetId="5">#REF!</definedName>
    <definedName name="F17_Attr_InterPog_180D_Am_AMD">#REF!</definedName>
    <definedName name="F17_Attr_InterPog_180D_Am_EUR" localSheetId="5">#REF!</definedName>
    <definedName name="F17_Attr_InterPog_180D_Am_EUR">#REF!</definedName>
    <definedName name="F17_Attr_InterPog_180D_Am_OthC" localSheetId="5">#REF!</definedName>
    <definedName name="F17_Attr_InterPog_180D_Am_OthC">#REF!</definedName>
    <definedName name="F17_Attr_InterPog_180D_Am_RUR" localSheetId="5">#REF!</definedName>
    <definedName name="F17_Attr_InterPog_180D_Am_RUR">#REF!</definedName>
    <definedName name="F17_Attr_InterPog_180D_Am_USD" localSheetId="5">#REF!</definedName>
    <definedName name="F17_Attr_InterPog_180D_Am_USD">#REF!</definedName>
    <definedName name="F17_Attr_InterPog_180D_I_AMD" localSheetId="5">#REF!</definedName>
    <definedName name="F17_Attr_InterPog_180D_I_AMD">#REF!</definedName>
    <definedName name="F17_Attr_InterPog_180D_I_EUR" localSheetId="5">#REF!</definedName>
    <definedName name="F17_Attr_InterPog_180D_I_EUR">#REF!</definedName>
    <definedName name="F17_Attr_InterPog_180D_I_OthC" localSheetId="5">#REF!</definedName>
    <definedName name="F17_Attr_InterPog_180D_I_OthC">#REF!</definedName>
    <definedName name="F17_Attr_InterPog_180D_I_RUR" localSheetId="5">#REF!</definedName>
    <definedName name="F17_Attr_InterPog_180D_I_RUR">#REF!</definedName>
    <definedName name="F17_Attr_InterPog_180D_I_USD" localSheetId="5">#REF!</definedName>
    <definedName name="F17_Attr_InterPog_180D_I_USD">#REF!</definedName>
    <definedName name="F17_Attr_InterPog_30D_Am_AMD" localSheetId="5">#REF!</definedName>
    <definedName name="F17_Attr_InterPog_30D_Am_AMD">#REF!</definedName>
    <definedName name="F17_Attr_InterPog_30D_Am_EUR" localSheetId="5">#REF!</definedName>
    <definedName name="F17_Attr_InterPog_30D_Am_EUR">#REF!</definedName>
    <definedName name="F17_Attr_InterPog_30D_Am_OthC" localSheetId="5">#REF!</definedName>
    <definedName name="F17_Attr_InterPog_30D_Am_OthC">#REF!</definedName>
    <definedName name="F17_Attr_InterPog_30D_Am_RUR" localSheetId="5">#REF!</definedName>
    <definedName name="F17_Attr_InterPog_30D_Am_RUR">#REF!</definedName>
    <definedName name="F17_Attr_InterPog_30D_Am_USD" localSheetId="5">#REF!</definedName>
    <definedName name="F17_Attr_InterPog_30D_Am_USD">#REF!</definedName>
    <definedName name="F17_Attr_InterPog_30D_I_AMD" localSheetId="5">#REF!</definedName>
    <definedName name="F17_Attr_InterPog_30D_I_AMD">#REF!</definedName>
    <definedName name="F17_Attr_InterPog_30D_I_EUR" localSheetId="5">#REF!</definedName>
    <definedName name="F17_Attr_InterPog_30D_I_EUR">#REF!</definedName>
    <definedName name="F17_Attr_InterPog_30D_I_OthC" localSheetId="5">#REF!</definedName>
    <definedName name="F17_Attr_InterPog_30D_I_OthC">#REF!</definedName>
    <definedName name="F17_Attr_InterPog_30D_I_RUR" localSheetId="5">#REF!</definedName>
    <definedName name="F17_Attr_InterPog_30D_I_RUR">#REF!</definedName>
    <definedName name="F17_Attr_InterPog_30D_I_USD" localSheetId="5">#REF!</definedName>
    <definedName name="F17_Attr_InterPog_30D_I_USD">#REF!</definedName>
    <definedName name="F17_Attr_InterPog_360D_Am_AMD" localSheetId="5">#REF!</definedName>
    <definedName name="F17_Attr_InterPog_360D_Am_AMD">#REF!</definedName>
    <definedName name="F17_Attr_InterPog_360D_Am_EUR" localSheetId="5">#REF!</definedName>
    <definedName name="F17_Attr_InterPog_360D_Am_EUR">#REF!</definedName>
    <definedName name="F17_Attr_InterPog_360D_Am_OthC" localSheetId="5">#REF!</definedName>
    <definedName name="F17_Attr_InterPog_360D_Am_OthC">#REF!</definedName>
    <definedName name="F17_Attr_InterPog_360D_Am_RUR" localSheetId="5">#REF!</definedName>
    <definedName name="F17_Attr_InterPog_360D_Am_RUR">#REF!</definedName>
    <definedName name="F17_Attr_InterPog_360D_Am_USD" localSheetId="5">#REF!</definedName>
    <definedName name="F17_Attr_InterPog_360D_Am_USD">#REF!</definedName>
    <definedName name="F17_Attr_InterPog_360D_I_AMD" localSheetId="5">#REF!</definedName>
    <definedName name="F17_Attr_InterPog_360D_I_AMD">#REF!</definedName>
    <definedName name="F17_Attr_InterPog_360D_I_EUR" localSheetId="5">#REF!</definedName>
    <definedName name="F17_Attr_InterPog_360D_I_EUR">#REF!</definedName>
    <definedName name="F17_Attr_InterPog_360D_I_OthC" localSheetId="5">#REF!</definedName>
    <definedName name="F17_Attr_InterPog_360D_I_OthC">#REF!</definedName>
    <definedName name="F17_Attr_InterPog_360D_I_RUR" localSheetId="5">#REF!</definedName>
    <definedName name="F17_Attr_InterPog_360D_I_RUR">#REF!</definedName>
    <definedName name="F17_Attr_InterPog_360D_I_USD" localSheetId="5">#REF!</definedName>
    <definedName name="F17_Attr_InterPog_360D_I_USD">#REF!</definedName>
    <definedName name="F17_Attr_InterPog_60D_Am_AMD" localSheetId="5">#REF!</definedName>
    <definedName name="F17_Attr_InterPog_60D_Am_AMD">#REF!</definedName>
    <definedName name="F17_Attr_InterPog_60D_Am_EUR" localSheetId="5">#REF!</definedName>
    <definedName name="F17_Attr_InterPog_60D_Am_EUR">#REF!</definedName>
    <definedName name="F17_Attr_InterPog_60D_Am_OthC" localSheetId="5">#REF!</definedName>
    <definedName name="F17_Attr_InterPog_60D_Am_OthC">#REF!</definedName>
    <definedName name="F17_Attr_InterPog_60D_Am_RUR" localSheetId="5">#REF!</definedName>
    <definedName name="F17_Attr_InterPog_60D_Am_RUR">#REF!</definedName>
    <definedName name="F17_Attr_InterPog_60D_Am_USD" localSheetId="5">#REF!</definedName>
    <definedName name="F17_Attr_InterPog_60D_Am_USD">#REF!</definedName>
    <definedName name="F17_Attr_InterPog_60D_I_AMD" localSheetId="5">#REF!</definedName>
    <definedName name="F17_Attr_InterPog_60D_I_AMD">#REF!</definedName>
    <definedName name="F17_Attr_InterPog_60D_I_EUR" localSheetId="5">#REF!</definedName>
    <definedName name="F17_Attr_InterPog_60D_I_EUR">#REF!</definedName>
    <definedName name="F17_Attr_InterPog_60D_I_OthC" localSheetId="5">#REF!</definedName>
    <definedName name="F17_Attr_InterPog_60D_I_OthC">#REF!</definedName>
    <definedName name="F17_Attr_InterPog_60D_I_RUR" localSheetId="5">#REF!</definedName>
    <definedName name="F17_Attr_InterPog_60D_I_RUR">#REF!</definedName>
    <definedName name="F17_Attr_InterPog_60D_I_USD" localSheetId="5">#REF!</definedName>
    <definedName name="F17_Attr_InterPog_60D_I_USD">#REF!</definedName>
    <definedName name="F17_Attr_InterPog_90D_Am_AMD" localSheetId="5">#REF!</definedName>
    <definedName name="F17_Attr_InterPog_90D_Am_AMD">#REF!</definedName>
    <definedName name="F17_Attr_InterPog_90D_Am_EUR" localSheetId="5">#REF!</definedName>
    <definedName name="F17_Attr_InterPog_90D_Am_EUR">#REF!</definedName>
    <definedName name="F17_Attr_InterPog_90D_Am_OthC" localSheetId="5">#REF!</definedName>
    <definedName name="F17_Attr_InterPog_90D_Am_OthC">#REF!</definedName>
    <definedName name="F17_Attr_InterPog_90D_Am_RUR" localSheetId="5">#REF!</definedName>
    <definedName name="F17_Attr_InterPog_90D_Am_RUR">#REF!</definedName>
    <definedName name="F17_Attr_InterPog_90D_Am_USD" localSheetId="5">#REF!</definedName>
    <definedName name="F17_Attr_InterPog_90D_Am_USD">#REF!</definedName>
    <definedName name="F17_Attr_InterPog_90D_I_AMD" localSheetId="5">#REF!</definedName>
    <definedName name="F17_Attr_InterPog_90D_I_AMD">#REF!</definedName>
    <definedName name="F17_Attr_InterPog_90D_I_EUR" localSheetId="5">#REF!</definedName>
    <definedName name="F17_Attr_InterPog_90D_I_EUR">#REF!</definedName>
    <definedName name="F17_Attr_InterPog_90D_I_OthC" localSheetId="5">#REF!</definedName>
    <definedName name="F17_Attr_InterPog_90D_I_OthC">#REF!</definedName>
    <definedName name="F17_Attr_InterPog_90D_I_RUR" localSheetId="5">#REF!</definedName>
    <definedName name="F17_Attr_InterPog_90D_I_RUR">#REF!</definedName>
    <definedName name="F17_Attr_InterPog_90D_I_USD" localSheetId="5">#REF!</definedName>
    <definedName name="F17_Attr_InterPog_90D_I_USD">#REF!</definedName>
    <definedName name="F17_Attr_InterPog_Dem_Am_AMD" localSheetId="5">#REF!</definedName>
    <definedName name="F17_Attr_InterPog_Dem_Am_AMD">#REF!</definedName>
    <definedName name="F17_Attr_InterPog_Dem_Am_EUR" localSheetId="5">#REF!</definedName>
    <definedName name="F17_Attr_InterPog_Dem_Am_EUR">#REF!</definedName>
    <definedName name="F17_Attr_InterPog_Dem_Am_OthC" localSheetId="5">#REF!</definedName>
    <definedName name="F17_Attr_InterPog_Dem_Am_OthC">#REF!</definedName>
    <definedName name="F17_Attr_InterPog_Dem_Am_RUR" localSheetId="5">#REF!</definedName>
    <definedName name="F17_Attr_InterPog_Dem_Am_RUR">#REF!</definedName>
    <definedName name="F17_Attr_InterPog_Dem_Am_USD" localSheetId="5">#REF!</definedName>
    <definedName name="F17_Attr_InterPog_Dem_Am_USD">#REF!</definedName>
    <definedName name="F17_Attr_InterPog_Dem_I_AMD" localSheetId="5">#REF!</definedName>
    <definedName name="F17_Attr_InterPog_Dem_I_AMD">#REF!</definedName>
    <definedName name="F17_Attr_InterPog_Dem_I_EUR" localSheetId="5">#REF!</definedName>
    <definedName name="F17_Attr_InterPog_Dem_I_EUR">#REF!</definedName>
    <definedName name="F17_Attr_InterPog_Dem_I_OthC" localSheetId="5">#REF!</definedName>
    <definedName name="F17_Attr_InterPog_Dem_I_OthC">#REF!</definedName>
    <definedName name="F17_Attr_InterPog_Dem_I_RUR" localSheetId="5">#REF!</definedName>
    <definedName name="F17_Attr_InterPog_Dem_I_RUR">#REF!</definedName>
    <definedName name="F17_Attr_InterPog_Dem_I_USD" localSheetId="5">#REF!</definedName>
    <definedName name="F17_Attr_InterPog_Dem_I_USD">#REF!</definedName>
    <definedName name="F17_Attr_InterPog_Mr360D_I_AMD" localSheetId="5">#REF!</definedName>
    <definedName name="F17_Attr_InterPog_Mr360D_I_AMD">#REF!</definedName>
    <definedName name="F17_Attr_InterPog_Tot_Am_AMD1" localSheetId="5">#REF!</definedName>
    <definedName name="F17_Attr_InterPog_Tot_Am_AMD1">#REF!</definedName>
    <definedName name="F17_Attr_InterPog_Tot_Am_EUR1" localSheetId="5">#REF!</definedName>
    <definedName name="F17_Attr_InterPog_Tot_Am_EUR1">#REF!</definedName>
    <definedName name="F17_Attr_InterPog_Tot_Am_OthC1" localSheetId="5">#REF!</definedName>
    <definedName name="F17_Attr_InterPog_Tot_Am_OthC1">#REF!</definedName>
    <definedName name="F17_Attr_InterPog_Tot_Am_RUR1" localSheetId="5">#REF!</definedName>
    <definedName name="F17_Attr_InterPog_Tot_Am_RUR1">#REF!</definedName>
    <definedName name="F17_Attr_InterPog_Tot_Am_USD1" localSheetId="5">#REF!</definedName>
    <definedName name="F17_Attr_InterPog_Tot_Am_USD1">#REF!</definedName>
    <definedName name="F17_Attr_InterPog_Tot_I_AMD11" localSheetId="5">#REF!</definedName>
    <definedName name="F17_Attr_InterPog_Tot_I_AMD11">#REF!</definedName>
    <definedName name="F17_Attr_InterPog_Tot_I_AMD12" localSheetId="5">#REF!</definedName>
    <definedName name="F17_Attr_InterPog_Tot_I_AMD12">#REF!</definedName>
    <definedName name="F17_Attr_InterPog_Tot_I_EUR11" localSheetId="5">#REF!</definedName>
    <definedName name="F17_Attr_InterPog_Tot_I_EUR11">#REF!</definedName>
    <definedName name="F17_Attr_InterPog_Tot_I_EUR12" localSheetId="5">#REF!</definedName>
    <definedName name="F17_Attr_InterPog_Tot_I_EUR12">#REF!</definedName>
    <definedName name="F17_Attr_InterPog_Tot_I_OthC11" localSheetId="5">#REF!</definedName>
    <definedName name="F17_Attr_InterPog_Tot_I_OthC11">#REF!</definedName>
    <definedName name="F17_Attr_InterPog_Tot_I_OthC12" localSheetId="5">#REF!</definedName>
    <definedName name="F17_Attr_InterPog_Tot_I_OthC12">#REF!</definedName>
    <definedName name="F17_Attr_InterPog_Tot_I_RUR11" localSheetId="5">#REF!</definedName>
    <definedName name="F17_Attr_InterPog_Tot_I_RUR11">#REF!</definedName>
    <definedName name="F17_Attr_InterPog_Tot_I_RUR12" localSheetId="5">#REF!</definedName>
    <definedName name="F17_Attr_InterPog_Tot_I_RUR12">#REF!</definedName>
    <definedName name="F17_Attr_InterPog_Tot_I_USD11" localSheetId="5">#REF!</definedName>
    <definedName name="F17_Attr_InterPog_Tot_I_USD11">#REF!</definedName>
    <definedName name="F17_Attr_InterPog_Tot_I_USD12" localSheetId="5">#REF!</definedName>
    <definedName name="F17_Attr_InterPog_Tot_I_USD12">#REF!</definedName>
    <definedName name="F17_Attr_OthBnk_15D_Am_AMD" localSheetId="5">#REF!</definedName>
    <definedName name="F17_Attr_OthBnk_15D_Am_AMD">#REF!</definedName>
    <definedName name="F17_Attr_OthBnk_15D_Am_EUR" localSheetId="5">#REF!</definedName>
    <definedName name="F17_Attr_OthBnk_15D_Am_EUR">#REF!</definedName>
    <definedName name="F17_Attr_OthBnk_15D_Am_OthC" localSheetId="5">#REF!</definedName>
    <definedName name="F17_Attr_OthBnk_15D_Am_OthC">#REF!</definedName>
    <definedName name="F17_Attr_OthBnk_15D_Am_RUR" localSheetId="5">#REF!</definedName>
    <definedName name="F17_Attr_OthBnk_15D_Am_RUR">#REF!</definedName>
    <definedName name="F17_Attr_OthBnk_15D_Am_USD" localSheetId="5">#REF!</definedName>
    <definedName name="F17_Attr_OthBnk_15D_Am_USD">#REF!</definedName>
    <definedName name="F17_Attr_OthBnk_15D_I_AMD" localSheetId="5">#REF!</definedName>
    <definedName name="F17_Attr_OthBnk_15D_I_AMD">#REF!</definedName>
    <definedName name="F17_Attr_OthBnk_15D_I_EUR" localSheetId="5">#REF!</definedName>
    <definedName name="F17_Attr_OthBnk_15D_I_EUR">#REF!</definedName>
    <definedName name="F17_Attr_OthBnk_15D_I_OthC" localSheetId="5">#REF!</definedName>
    <definedName name="F17_Attr_OthBnk_15D_I_OthC">#REF!</definedName>
    <definedName name="F17_Attr_OthBnk_15D_I_RUR" localSheetId="5">#REF!</definedName>
    <definedName name="F17_Attr_OthBnk_15D_I_RUR">#REF!</definedName>
    <definedName name="F17_Attr_OthBnk_15D_I_USD" localSheetId="5">#REF!</definedName>
    <definedName name="F17_Attr_OthBnk_15D_I_USD">#REF!</definedName>
    <definedName name="F17_Attr_OthBnk_180D_Am_AMD" localSheetId="5">#REF!</definedName>
    <definedName name="F17_Attr_OthBnk_180D_Am_AMD">#REF!</definedName>
    <definedName name="F17_Attr_OthBnk_180D_Am_EUR" localSheetId="5">#REF!</definedName>
    <definedName name="F17_Attr_OthBnk_180D_Am_EUR">#REF!</definedName>
    <definedName name="F17_Attr_OthBnk_180D_Am_OthC" localSheetId="5">#REF!</definedName>
    <definedName name="F17_Attr_OthBnk_180D_Am_OthC">#REF!</definedName>
    <definedName name="F17_Attr_OthBnk_180D_Am_RUR" localSheetId="5">#REF!</definedName>
    <definedName name="F17_Attr_OthBnk_180D_Am_RUR">#REF!</definedName>
    <definedName name="F17_Attr_OthBnk_180D_Am_USD" localSheetId="5">#REF!</definedName>
    <definedName name="F17_Attr_OthBnk_180D_Am_USD">#REF!</definedName>
    <definedName name="F17_Attr_OthBnk_180D_I_AMD" localSheetId="5">#REF!</definedName>
    <definedName name="F17_Attr_OthBnk_180D_I_AMD">#REF!</definedName>
    <definedName name="F17_Attr_OthBnk_180D_I_EUR" localSheetId="5">#REF!</definedName>
    <definedName name="F17_Attr_OthBnk_180D_I_EUR">#REF!</definedName>
    <definedName name="F17_Attr_OthBnk_180D_I_OthC" localSheetId="5">#REF!</definedName>
    <definedName name="F17_Attr_OthBnk_180D_I_OthC">#REF!</definedName>
    <definedName name="F17_Attr_OthBnk_180D_I_RUR" localSheetId="5">#REF!</definedName>
    <definedName name="F17_Attr_OthBnk_180D_I_RUR">#REF!</definedName>
    <definedName name="F17_Attr_OthBnk_180D_I_USD" localSheetId="5">#REF!</definedName>
    <definedName name="F17_Attr_OthBnk_180D_I_USD">#REF!</definedName>
    <definedName name="F17_Attr_OthBnk_30D_Am_AMD" localSheetId="5">#REF!</definedName>
    <definedName name="F17_Attr_OthBnk_30D_Am_AMD">#REF!</definedName>
    <definedName name="F17_Attr_OthBnk_30D_Am_EUR" localSheetId="5">#REF!</definedName>
    <definedName name="F17_Attr_OthBnk_30D_Am_EUR">#REF!</definedName>
    <definedName name="F17_Attr_OthBnk_30D_Am_OthC" localSheetId="5">#REF!</definedName>
    <definedName name="F17_Attr_OthBnk_30D_Am_OthC">#REF!</definedName>
    <definedName name="F17_Attr_OthBnk_30D_Am_RUR" localSheetId="5">#REF!</definedName>
    <definedName name="F17_Attr_OthBnk_30D_Am_RUR">#REF!</definedName>
    <definedName name="F17_Attr_OthBnk_30D_Am_USD" localSheetId="5">#REF!</definedName>
    <definedName name="F17_Attr_OthBnk_30D_Am_USD">#REF!</definedName>
    <definedName name="F17_Attr_OthBnk_30D_I_AMD" localSheetId="5">#REF!</definedName>
    <definedName name="F17_Attr_OthBnk_30D_I_AMD">#REF!</definedName>
    <definedName name="F17_Attr_OthBnk_30D_I_EUR" localSheetId="5">#REF!</definedName>
    <definedName name="F17_Attr_OthBnk_30D_I_EUR">#REF!</definedName>
    <definedName name="F17_Attr_OthBnk_30D_I_OthC" localSheetId="5">#REF!</definedName>
    <definedName name="F17_Attr_OthBnk_30D_I_OthC">#REF!</definedName>
    <definedName name="F17_Attr_OthBnk_30D_I_RUR" localSheetId="5">#REF!</definedName>
    <definedName name="F17_Attr_OthBnk_30D_I_RUR">#REF!</definedName>
    <definedName name="F17_Attr_OthBnk_30D_I_USD" localSheetId="5">#REF!</definedName>
    <definedName name="F17_Attr_OthBnk_30D_I_USD">#REF!</definedName>
    <definedName name="F17_Attr_OthBnk_360D_Am_AMD" localSheetId="5">#REF!</definedName>
    <definedName name="F17_Attr_OthBnk_360D_Am_AMD">#REF!</definedName>
    <definedName name="F17_Attr_OthBnk_360D_Am_EUR" localSheetId="5">#REF!</definedName>
    <definedName name="F17_Attr_OthBnk_360D_Am_EUR">#REF!</definedName>
    <definedName name="F17_Attr_OthBnk_360D_Am_OthC" localSheetId="5">#REF!</definedName>
    <definedName name="F17_Attr_OthBnk_360D_Am_OthC">#REF!</definedName>
    <definedName name="F17_Attr_OthBnk_360D_Am_RUR" localSheetId="5">#REF!</definedName>
    <definedName name="F17_Attr_OthBnk_360D_Am_RUR">#REF!</definedName>
    <definedName name="F17_Attr_OthBnk_360D_Am_USD" localSheetId="5">#REF!</definedName>
    <definedName name="F17_Attr_OthBnk_360D_Am_USD">#REF!</definedName>
    <definedName name="F17_Attr_OthBnk_360D_I_AMD" localSheetId="5">#REF!</definedName>
    <definedName name="F17_Attr_OthBnk_360D_I_AMD">#REF!</definedName>
    <definedName name="F17_Attr_OthBnk_360D_I_EUR" localSheetId="5">#REF!</definedName>
    <definedName name="F17_Attr_OthBnk_360D_I_EUR">#REF!</definedName>
    <definedName name="F17_Attr_OthBnk_360D_I_OthC" localSheetId="5">#REF!</definedName>
    <definedName name="F17_Attr_OthBnk_360D_I_OthC">#REF!</definedName>
    <definedName name="F17_Attr_OthBnk_360D_I_RUR" localSheetId="5">#REF!</definedName>
    <definedName name="F17_Attr_OthBnk_360D_I_RUR">#REF!</definedName>
    <definedName name="F17_Attr_OthBnk_360D_I_USD" localSheetId="5">#REF!</definedName>
    <definedName name="F17_Attr_OthBnk_360D_I_USD">#REF!</definedName>
    <definedName name="F17_Attr_OthBnk_60D_Am_AMD" localSheetId="5">#REF!</definedName>
    <definedName name="F17_Attr_OthBnk_60D_Am_AMD">#REF!</definedName>
    <definedName name="F17_Attr_OthBnk_60D_Am_EUR" localSheetId="5">#REF!</definedName>
    <definedName name="F17_Attr_OthBnk_60D_Am_EUR">#REF!</definedName>
    <definedName name="F17_Attr_OthBnk_60D_Am_OthC" localSheetId="5">#REF!</definedName>
    <definedName name="F17_Attr_OthBnk_60D_Am_OthC">#REF!</definedName>
    <definedName name="F17_Attr_OthBnk_60D_Am_RUR" localSheetId="5">#REF!</definedName>
    <definedName name="F17_Attr_OthBnk_60D_Am_RUR">#REF!</definedName>
    <definedName name="F17_Attr_OthBnk_60D_Am_USD" localSheetId="5">#REF!</definedName>
    <definedName name="F17_Attr_OthBnk_60D_Am_USD">#REF!</definedName>
    <definedName name="F17_Attr_OthBnk_60D_I_AMD" localSheetId="5">#REF!</definedName>
    <definedName name="F17_Attr_OthBnk_60D_I_AMD">#REF!</definedName>
    <definedName name="F17_Attr_OthBnk_60D_I_EUR" localSheetId="5">#REF!</definedName>
    <definedName name="F17_Attr_OthBnk_60D_I_EUR">#REF!</definedName>
    <definedName name="F17_Attr_OthBnk_60D_I_OthC" localSheetId="5">#REF!</definedName>
    <definedName name="F17_Attr_OthBnk_60D_I_OthC">#REF!</definedName>
    <definedName name="F17_Attr_OthBnk_60D_I_RUR" localSheetId="5">#REF!</definedName>
    <definedName name="F17_Attr_OthBnk_60D_I_RUR">#REF!</definedName>
    <definedName name="F17_Attr_OthBnk_60D_I_USD" localSheetId="5">#REF!</definedName>
    <definedName name="F17_Attr_OthBnk_60D_I_USD">#REF!</definedName>
    <definedName name="F17_Attr_OthBnk_90D_Am_AMD" localSheetId="5">#REF!</definedName>
    <definedName name="F17_Attr_OthBnk_90D_Am_AMD">#REF!</definedName>
    <definedName name="F17_Attr_OthBnk_90D_Am_EUR" localSheetId="5">#REF!</definedName>
    <definedName name="F17_Attr_OthBnk_90D_Am_EUR">#REF!</definedName>
    <definedName name="F17_Attr_OthBnk_90D_Am_OthC" localSheetId="5">#REF!</definedName>
    <definedName name="F17_Attr_OthBnk_90D_Am_OthC">#REF!</definedName>
    <definedName name="F17_Attr_OthBnk_90D_Am_RUR" localSheetId="5">#REF!</definedName>
    <definedName name="F17_Attr_OthBnk_90D_Am_RUR">#REF!</definedName>
    <definedName name="F17_Attr_OthBnk_90D_Am_USD" localSheetId="5">#REF!</definedName>
    <definedName name="F17_Attr_OthBnk_90D_Am_USD">#REF!</definedName>
    <definedName name="F17_Attr_OthBnk_90D_I_AMD" localSheetId="5">#REF!</definedName>
    <definedName name="F17_Attr_OthBnk_90D_I_AMD">#REF!</definedName>
    <definedName name="F17_Attr_OthBnk_90D_I_EUR" localSheetId="5">#REF!</definedName>
    <definedName name="F17_Attr_OthBnk_90D_I_EUR">#REF!</definedName>
    <definedName name="F17_Attr_OthBnk_90D_I_OthC" localSheetId="5">#REF!</definedName>
    <definedName name="F17_Attr_OthBnk_90D_I_OthC">#REF!</definedName>
    <definedName name="F17_Attr_OthBnk_90D_I_RUR" localSheetId="5">#REF!</definedName>
    <definedName name="F17_Attr_OthBnk_90D_I_RUR">#REF!</definedName>
    <definedName name="F17_Attr_OthBnk_90D_I_USD" localSheetId="5">#REF!</definedName>
    <definedName name="F17_Attr_OthBnk_90D_I_USD">#REF!</definedName>
    <definedName name="F17_Attr_OthBnk_Dem_Am_AMD" localSheetId="5">#REF!</definedName>
    <definedName name="F17_Attr_OthBnk_Dem_Am_AMD">#REF!</definedName>
    <definedName name="F17_Attr_OthBnk_Dem_Am_EUR" localSheetId="5">#REF!</definedName>
    <definedName name="F17_Attr_OthBnk_Dem_Am_EUR">#REF!</definedName>
    <definedName name="F17_Attr_OthBnk_Dem_Am_OthC" localSheetId="5">#REF!</definedName>
    <definedName name="F17_Attr_OthBnk_Dem_Am_OthC">#REF!</definedName>
    <definedName name="F17_Attr_OthBnk_Dem_Am_RUR" localSheetId="5">#REF!</definedName>
    <definedName name="F17_Attr_OthBnk_Dem_Am_RUR">#REF!</definedName>
    <definedName name="F17_Attr_OthBnk_Dem_Am_USD" localSheetId="5">#REF!</definedName>
    <definedName name="F17_Attr_OthBnk_Dem_Am_USD">#REF!</definedName>
    <definedName name="F17_Attr_OthBnk_Dem_I_AMD" localSheetId="5">#REF!</definedName>
    <definedName name="F17_Attr_OthBnk_Dem_I_AMD">#REF!</definedName>
    <definedName name="F17_Attr_OthBnk_Dem_I_EUR" localSheetId="5">#REF!</definedName>
    <definedName name="F17_Attr_OthBnk_Dem_I_EUR">#REF!</definedName>
    <definedName name="F17_Attr_OthBnk_Dem_I_OthC" localSheetId="5">#REF!</definedName>
    <definedName name="F17_Attr_OthBnk_Dem_I_OthC">#REF!</definedName>
    <definedName name="F17_Attr_OthBnk_Dem_I_RUR" localSheetId="5">#REF!</definedName>
    <definedName name="F17_Attr_OthBnk_Dem_I_RUR">#REF!</definedName>
    <definedName name="F17_Attr_OthBnk_Dem_I_USD" localSheetId="5">#REF!</definedName>
    <definedName name="F17_Attr_OthBnk_Dem_I_USD">#REF!</definedName>
    <definedName name="F17_Attr_OthBnk_Mr360D_Am_AMD" localSheetId="5">#REF!</definedName>
    <definedName name="F17_Attr_OthBnk_Mr360D_Am_AMD">#REF!</definedName>
    <definedName name="F17_Attr_OthBnk_Mr360D_Am_EUR" localSheetId="5">#REF!</definedName>
    <definedName name="F17_Attr_OthBnk_Mr360D_Am_EUR">#REF!</definedName>
    <definedName name="F17_Attr_OthBnk_Mr360D_Am_OthC" localSheetId="5">#REF!</definedName>
    <definedName name="F17_Attr_OthBnk_Mr360D_Am_OthC">#REF!</definedName>
    <definedName name="F17_Attr_OthBnk_Mr360D_Am_RUR" localSheetId="5">#REF!</definedName>
    <definedName name="F17_Attr_OthBnk_Mr360D_Am_RUR">#REF!</definedName>
    <definedName name="F17_Attr_OthBnk_Mr360D_Am_USD" localSheetId="5">#REF!</definedName>
    <definedName name="F17_Attr_OthBnk_Mr360D_Am_USD">#REF!</definedName>
    <definedName name="F17_Attr_OthBnk_Mr360D_I_AMD" localSheetId="5">#REF!</definedName>
    <definedName name="F17_Attr_OthBnk_Mr360D_I_AMD">#REF!</definedName>
    <definedName name="F17_Attr_OthBnk_Mr360D_I_EUR" localSheetId="5">#REF!</definedName>
    <definedName name="F17_Attr_OthBnk_Mr360D_I_EUR">#REF!</definedName>
    <definedName name="F17_Attr_OthBnk_Mr360D_I_OthC" localSheetId="5">#REF!</definedName>
    <definedName name="F17_Attr_OthBnk_Mr360D_I_OthC">#REF!</definedName>
    <definedName name="F17_Attr_OthBnk_Mr360D_I_RUR" localSheetId="5">#REF!</definedName>
    <definedName name="F17_Attr_OthBnk_Mr360D_I_RUR">#REF!</definedName>
    <definedName name="F17_Attr_OthBnk_Mr360D_I_USD" localSheetId="5">#REF!</definedName>
    <definedName name="F17_Attr_OthBnk_Mr360D_I_USD">#REF!</definedName>
    <definedName name="F17_Attr_OthBnk_Tot_Am_AMD1" localSheetId="5">#REF!</definedName>
    <definedName name="F17_Attr_OthBnk_Tot_Am_AMD1">#REF!</definedName>
    <definedName name="F17_Attr_OthBnk_Tot_Am_EUR1" localSheetId="5">#REF!</definedName>
    <definedName name="F17_Attr_OthBnk_Tot_Am_EUR1">#REF!</definedName>
    <definedName name="F17_Attr_OthBnk_Tot_Am_OthC1" localSheetId="5">#REF!</definedName>
    <definedName name="F17_Attr_OthBnk_Tot_Am_OthC1">#REF!</definedName>
    <definedName name="F17_Attr_OthBnk_Tot_Am_RUR1" localSheetId="5">#REF!</definedName>
    <definedName name="F17_Attr_OthBnk_Tot_Am_RUR1">#REF!</definedName>
    <definedName name="F17_Attr_OthBnk_Tot_Am_USD1" localSheetId="5">#REF!</definedName>
    <definedName name="F17_Attr_OthBnk_Tot_Am_USD1">#REF!</definedName>
    <definedName name="F17_Attr_OthBnk_Tot_I_AMD11" localSheetId="5">#REF!</definedName>
    <definedName name="F17_Attr_OthBnk_Tot_I_AMD11">#REF!</definedName>
    <definedName name="F17_Attr_OthBnk_Tot_I_AMD12" localSheetId="5">#REF!</definedName>
    <definedName name="F17_Attr_OthBnk_Tot_I_AMD12">#REF!</definedName>
    <definedName name="F17_Attr_OthBnk_Tot_I_EUR11" localSheetId="5">#REF!</definedName>
    <definedName name="F17_Attr_OthBnk_Tot_I_EUR11">#REF!</definedName>
    <definedName name="F17_Attr_OthBnk_Tot_I_EUR12" localSheetId="5">#REF!</definedName>
    <definedName name="F17_Attr_OthBnk_Tot_I_EUR12">#REF!</definedName>
    <definedName name="F17_Attr_OthBnk_Tot_I_OthC11" localSheetId="5">#REF!</definedName>
    <definedName name="F17_Attr_OthBnk_Tot_I_OthC11">#REF!</definedName>
    <definedName name="F17_Attr_OthBnk_Tot_I_OthC12" localSheetId="5">#REF!</definedName>
    <definedName name="F17_Attr_OthBnk_Tot_I_OthC12">#REF!</definedName>
    <definedName name="F17_Attr_OthBnk_Tot_I_RUR11" localSheetId="5">#REF!</definedName>
    <definedName name="F17_Attr_OthBnk_Tot_I_RUR11">#REF!</definedName>
    <definedName name="F17_Attr_OthBnk_Tot_I_RUR12" localSheetId="5">#REF!</definedName>
    <definedName name="F17_Attr_OthBnk_Tot_I_RUR12">#REF!</definedName>
    <definedName name="F17_Attr_OthBnk_Tot_I_USD11" localSheetId="5">#REF!</definedName>
    <definedName name="F17_Attr_OthBnk_Tot_I_USD11">#REF!</definedName>
    <definedName name="F17_Attr_OthBnk_Tot_I_USD12" localSheetId="5">#REF!</definedName>
    <definedName name="F17_Attr_OthBnk_Tot_I_USD12">#REF!</definedName>
    <definedName name="F17_Attr_RRepo_15D_Am_ABnk" localSheetId="5">#REF!</definedName>
    <definedName name="F17_Attr_RRepo_15D_Am_ABnk">#REF!</definedName>
    <definedName name="F17_Attr_RRepo_15D_Am_Bus" localSheetId="5">#REF!</definedName>
    <definedName name="F17_Attr_RRepo_15D_Am_Bus">#REF!</definedName>
    <definedName name="F17_Attr_RRepo_15D_Am_Ind" localSheetId="5">#REF!</definedName>
    <definedName name="F17_Attr_RRepo_15D_Am_Ind">#REF!</definedName>
    <definedName name="F17_Attr_RRepo_15D_Am_OthBn" localSheetId="5">#REF!</definedName>
    <definedName name="F17_Attr_RRepo_15D_Am_OthBn">#REF!</definedName>
    <definedName name="F17_Attr_RRepo_15D_I_ABnk" localSheetId="5">#REF!</definedName>
    <definedName name="F17_Attr_RRepo_15D_I_ABnk">#REF!</definedName>
    <definedName name="F17_Attr_RRepo_15D_I_Bus" localSheetId="5">#REF!</definedName>
    <definedName name="F17_Attr_RRepo_15D_I_Bus">#REF!</definedName>
    <definedName name="F17_Attr_RRepo_15D_I_Ind" localSheetId="5">#REF!</definedName>
    <definedName name="F17_Attr_RRepo_15D_I_Ind">#REF!</definedName>
    <definedName name="F17_Attr_RRepo_15D_I_OthBn" localSheetId="5">#REF!</definedName>
    <definedName name="F17_Attr_RRepo_15D_I_OthBn">#REF!</definedName>
    <definedName name="F17_Attr_RRepo_180D_Am_ABnk" localSheetId="5">#REF!</definedName>
    <definedName name="F17_Attr_RRepo_180D_Am_ABnk">#REF!</definedName>
    <definedName name="F17_Attr_RRepo_180D_Am_Bus" localSheetId="5">#REF!</definedName>
    <definedName name="F17_Attr_RRepo_180D_Am_Bus">#REF!</definedName>
    <definedName name="F17_Attr_RRepo_180D_Am_Ind" localSheetId="5">#REF!</definedName>
    <definedName name="F17_Attr_RRepo_180D_Am_Ind">#REF!</definedName>
    <definedName name="F17_Attr_RRepo_180D_Am_OthBn" localSheetId="5">#REF!</definedName>
    <definedName name="F17_Attr_RRepo_180D_Am_OthBn">#REF!</definedName>
    <definedName name="F17_Attr_RRepo_180D_I_ABnk" localSheetId="5">#REF!</definedName>
    <definedName name="F17_Attr_RRepo_180D_I_ABnk">#REF!</definedName>
    <definedName name="F17_Attr_RRepo_180D_I_Bus" localSheetId="5">#REF!</definedName>
    <definedName name="F17_Attr_RRepo_180D_I_Bus">#REF!</definedName>
    <definedName name="F17_Attr_RRepo_180D_I_Ind" localSheetId="5">#REF!</definedName>
    <definedName name="F17_Attr_RRepo_180D_I_Ind">#REF!</definedName>
    <definedName name="F17_Attr_RRepo_180D_I_OthBn" localSheetId="5">#REF!</definedName>
    <definedName name="F17_Attr_RRepo_180D_I_OthBn">#REF!</definedName>
    <definedName name="F17_Attr_RRepo_30D_Am_ABnk" localSheetId="5">#REF!</definedName>
    <definedName name="F17_Attr_RRepo_30D_Am_ABnk">#REF!</definedName>
    <definedName name="F17_Attr_RRepo_30D_Am_Bus" localSheetId="5">#REF!</definedName>
    <definedName name="F17_Attr_RRepo_30D_Am_Bus">#REF!</definedName>
    <definedName name="F17_Attr_RRepo_30D_Am_Ind" localSheetId="5">#REF!</definedName>
    <definedName name="F17_Attr_RRepo_30D_Am_Ind">#REF!</definedName>
    <definedName name="F17_Attr_RRepo_30D_Am_OthBn" localSheetId="5">#REF!</definedName>
    <definedName name="F17_Attr_RRepo_30D_Am_OthBn">#REF!</definedName>
    <definedName name="F17_Attr_RRepo_30D_I_ABnk" localSheetId="5">#REF!</definedName>
    <definedName name="F17_Attr_RRepo_30D_I_ABnk">#REF!</definedName>
    <definedName name="F17_Attr_RRepo_30D_I_Bus" localSheetId="5">#REF!</definedName>
    <definedName name="F17_Attr_RRepo_30D_I_Bus">#REF!</definedName>
    <definedName name="F17_Attr_RRepo_30D_I_Ind" localSheetId="5">#REF!</definedName>
    <definedName name="F17_Attr_RRepo_30D_I_Ind">#REF!</definedName>
    <definedName name="F17_Attr_RRepo_30D_I_OthBn" localSheetId="5">#REF!</definedName>
    <definedName name="F17_Attr_RRepo_30D_I_OthBn">#REF!</definedName>
    <definedName name="F17_Attr_RRepo_360D_Am_ABnk" localSheetId="5">#REF!</definedName>
    <definedName name="F17_Attr_RRepo_360D_Am_ABnk">#REF!</definedName>
    <definedName name="F17_Attr_RRepo_360D_Am_Bus" localSheetId="5">#REF!</definedName>
    <definedName name="F17_Attr_RRepo_360D_Am_Bus">#REF!</definedName>
    <definedName name="F17_Attr_RRepo_360D_Am_Ind" localSheetId="5">#REF!</definedName>
    <definedName name="F17_Attr_RRepo_360D_Am_Ind">#REF!</definedName>
    <definedName name="F17_Attr_RRepo_360D_Am_OthBn" localSheetId="5">#REF!</definedName>
    <definedName name="F17_Attr_RRepo_360D_Am_OthBn">#REF!</definedName>
    <definedName name="F17_Attr_RRepo_360D_I_ABnk" localSheetId="5">#REF!</definedName>
    <definedName name="F17_Attr_RRepo_360D_I_ABnk">#REF!</definedName>
    <definedName name="F17_Attr_RRepo_360D_I_Bus" localSheetId="5">#REF!</definedName>
    <definedName name="F17_Attr_RRepo_360D_I_Bus">#REF!</definedName>
    <definedName name="F17_Attr_RRepo_360D_I_Ind" localSheetId="5">#REF!</definedName>
    <definedName name="F17_Attr_RRepo_360D_I_Ind">#REF!</definedName>
    <definedName name="F17_Attr_RRepo_360D_I_OthBn" localSheetId="5">#REF!</definedName>
    <definedName name="F17_Attr_RRepo_360D_I_OthBn">#REF!</definedName>
    <definedName name="F17_Attr_RRepo_60D_Am_ABnk" localSheetId="5">#REF!</definedName>
    <definedName name="F17_Attr_RRepo_60D_Am_ABnk">#REF!</definedName>
    <definedName name="F17_Attr_RRepo_60D_Am_Bus" localSheetId="5">#REF!</definedName>
    <definedName name="F17_Attr_RRepo_60D_Am_Bus">#REF!</definedName>
    <definedName name="F17_Attr_RRepo_60D_Am_Ind" localSheetId="5">#REF!</definedName>
    <definedName name="F17_Attr_RRepo_60D_Am_Ind">#REF!</definedName>
    <definedName name="F17_Attr_RRepo_60D_Am_OthBn" localSheetId="5">#REF!</definedName>
    <definedName name="F17_Attr_RRepo_60D_Am_OthBn">#REF!</definedName>
    <definedName name="F17_Attr_RRepo_60D_I_ABnk" localSheetId="5">#REF!</definedName>
    <definedName name="F17_Attr_RRepo_60D_I_ABnk">#REF!</definedName>
    <definedName name="F17_Attr_RRepo_60D_I_Bus" localSheetId="5">#REF!</definedName>
    <definedName name="F17_Attr_RRepo_60D_I_Bus">#REF!</definedName>
    <definedName name="F17_Attr_RRepo_60D_I_Ind" localSheetId="5">#REF!</definedName>
    <definedName name="F17_Attr_RRepo_60D_I_Ind">#REF!</definedName>
    <definedName name="F17_Attr_RRepo_60D_I_OthBn" localSheetId="5">#REF!</definedName>
    <definedName name="F17_Attr_RRepo_60D_I_OthBn">#REF!</definedName>
    <definedName name="F17_Attr_RRepo_90D_Am_ABnk" localSheetId="5">#REF!</definedName>
    <definedName name="F17_Attr_RRepo_90D_Am_ABnk">#REF!</definedName>
    <definedName name="F17_Attr_RRepo_90D_Am_Bus" localSheetId="5">#REF!</definedName>
    <definedName name="F17_Attr_RRepo_90D_Am_Bus">#REF!</definedName>
    <definedName name="F17_Attr_RRepo_90D_Am_Ind" localSheetId="5">#REF!</definedName>
    <definedName name="F17_Attr_RRepo_90D_Am_Ind">#REF!</definedName>
    <definedName name="F17_Attr_RRepo_90D_Am_OthBn" localSheetId="5">#REF!</definedName>
    <definedName name="F17_Attr_RRepo_90D_Am_OthBn">#REF!</definedName>
    <definedName name="F17_Attr_RRepo_90D_I_ABnk" localSheetId="5">#REF!</definedName>
    <definedName name="F17_Attr_RRepo_90D_I_ABnk">#REF!</definedName>
    <definedName name="F17_Attr_RRepo_90D_I_Bus" localSheetId="5">#REF!</definedName>
    <definedName name="F17_Attr_RRepo_90D_I_Bus">#REF!</definedName>
    <definedName name="F17_Attr_RRepo_90D_I_Ind" localSheetId="5">#REF!</definedName>
    <definedName name="F17_Attr_RRepo_90D_I_Ind">#REF!</definedName>
    <definedName name="F17_Attr_RRepo_90D_I_OthBn" localSheetId="5">#REF!</definedName>
    <definedName name="F17_Attr_RRepo_90D_I_OthBn">#REF!</definedName>
    <definedName name="F17_Attr_RRepo_Dem_Am_ABnk" localSheetId="5">#REF!</definedName>
    <definedName name="F17_Attr_RRepo_Dem_Am_ABnk">#REF!</definedName>
    <definedName name="F17_Attr_RRepo_Dem_Am_Bus" localSheetId="5">#REF!</definedName>
    <definedName name="F17_Attr_RRepo_Dem_Am_Bus">#REF!</definedName>
    <definedName name="F17_Attr_RRepo_Dem_Am_Ind" localSheetId="5">#REF!</definedName>
    <definedName name="F17_Attr_RRepo_Dem_Am_Ind">#REF!</definedName>
    <definedName name="F17_Attr_RRepo_Dem_Am_OthBn" localSheetId="5">#REF!</definedName>
    <definedName name="F17_Attr_RRepo_Dem_Am_OthBn">#REF!</definedName>
    <definedName name="F17_Attr_RRepo_Dem_I_ABnk" localSheetId="5">#REF!</definedName>
    <definedName name="F17_Attr_RRepo_Dem_I_ABnk">#REF!</definedName>
    <definedName name="F17_Attr_RRepo_Dem_I_Bus" localSheetId="5">#REF!</definedName>
    <definedName name="F17_Attr_RRepo_Dem_I_Bus">#REF!</definedName>
    <definedName name="F17_Attr_RRepo_Dem_I_Ind" localSheetId="5">#REF!</definedName>
    <definedName name="F17_Attr_RRepo_Dem_I_Ind">#REF!</definedName>
    <definedName name="F17_Attr_RRepo_Dem_I_OthBn" localSheetId="5">#REF!</definedName>
    <definedName name="F17_Attr_RRepo_Dem_I_OthBn">#REF!</definedName>
    <definedName name="F17_Attr_RRepo_Mr360D_Am_ABnk" localSheetId="5">#REF!</definedName>
    <definedName name="F17_Attr_RRepo_Mr360D_Am_ABnk">#REF!</definedName>
    <definedName name="F17_Attr_RRepo_Mr360D_Am_Bus" localSheetId="5">#REF!</definedName>
    <definedName name="F17_Attr_RRepo_Mr360D_Am_Bus">#REF!</definedName>
    <definedName name="F17_Attr_RRepo_Mr360D_Am_Ind" localSheetId="5">#REF!</definedName>
    <definedName name="F17_Attr_RRepo_Mr360D_Am_Ind">#REF!</definedName>
    <definedName name="F17_Attr_RRepo_Mr360D_Am_OthBn" localSheetId="5">#REF!</definedName>
    <definedName name="F17_Attr_RRepo_Mr360D_Am_OthBn">#REF!</definedName>
    <definedName name="F17_Attr_RRepo_Mr360D_I_ABnk" localSheetId="5">#REF!</definedName>
    <definedName name="F17_Attr_RRepo_Mr360D_I_ABnk">#REF!</definedName>
    <definedName name="F17_Attr_RRepo_Mr360D_I_Bus" localSheetId="5">#REF!</definedName>
    <definedName name="F17_Attr_RRepo_Mr360D_I_Bus">#REF!</definedName>
    <definedName name="F17_Attr_RRepo_Mr360D_I_Ind" localSheetId="5">#REF!</definedName>
    <definedName name="F17_Attr_RRepo_Mr360D_I_Ind">#REF!</definedName>
    <definedName name="F17_Attr_RRepo_Mr360D_I_OthBn" localSheetId="5">#REF!</definedName>
    <definedName name="F17_Attr_RRepo_Mr360D_I_OthBn">#REF!</definedName>
    <definedName name="F17_Attr_RRepo_Tot_Am_ABnk1" localSheetId="5">#REF!</definedName>
    <definedName name="F17_Attr_RRepo_Tot_Am_ABnk1">#REF!</definedName>
    <definedName name="F17_Attr_RRepo_Tot_Am_Bus1" localSheetId="5">#REF!</definedName>
    <definedName name="F17_Attr_RRepo_Tot_Am_Bus1">#REF!</definedName>
    <definedName name="F17_Attr_RRepo_Tot_Am_Ind1" localSheetId="5">#REF!</definedName>
    <definedName name="F17_Attr_RRepo_Tot_Am_Ind1">#REF!</definedName>
    <definedName name="F17_Attr_RRepo_Tot_Am_OthBn1" localSheetId="5">#REF!</definedName>
    <definedName name="F17_Attr_RRepo_Tot_Am_OthBn1">#REF!</definedName>
    <definedName name="F17_Attr_RRepo_Tot_I_Bnk11" localSheetId="5">#REF!</definedName>
    <definedName name="F17_Attr_RRepo_Tot_I_Bnk11">#REF!</definedName>
    <definedName name="F17_Attr_RRepo_Tot_I_Bnk12" localSheetId="5">#REF!</definedName>
    <definedName name="F17_Attr_RRepo_Tot_I_Bnk12">#REF!</definedName>
    <definedName name="F17_Attr_RRepo_Tot_I_Bus11" localSheetId="5">#REF!</definedName>
    <definedName name="F17_Attr_RRepo_Tot_I_Bus11">#REF!</definedName>
    <definedName name="F17_Attr_RRepo_Tot_I_Bus12" localSheetId="5">#REF!</definedName>
    <definedName name="F17_Attr_RRepo_Tot_I_Bus12">#REF!</definedName>
    <definedName name="F17_Attr_RRepo_Tot_I_Ind11" localSheetId="5">#REF!</definedName>
    <definedName name="F17_Attr_RRepo_Tot_I_Ind11">#REF!</definedName>
    <definedName name="F17_Attr_RRepo_Tot_I_Ind12" localSheetId="5">#REF!</definedName>
    <definedName name="F17_Attr_RRepo_Tot_I_Ind12">#REF!</definedName>
    <definedName name="F17_Attr_RRepo_Tot_I_OthBn11" localSheetId="5">#REF!</definedName>
    <definedName name="F17_Attr_RRepo_Tot_I_OthBn11">#REF!</definedName>
    <definedName name="F17_Attr_RRepo_Tot_I_OthBn12" localSheetId="5">#REF!</definedName>
    <definedName name="F17_Attr_RRepo_Tot_I_OthBn12">#REF!</definedName>
    <definedName name="F17_Attr_RRepoF_Mr360D_Am" localSheetId="5">#REF!</definedName>
    <definedName name="F17_Attr_RRepoF_Mr360D_Am">#REF!</definedName>
    <definedName name="F17_Attr_RRepoFX_15D_Am" localSheetId="5">#REF!</definedName>
    <definedName name="F17_Attr_RRepoFX_15D_Am">#REF!</definedName>
    <definedName name="F17_Attr_RRepoFX_15D_I" localSheetId="5">#REF!</definedName>
    <definedName name="F17_Attr_RRepoFX_15D_I">#REF!</definedName>
    <definedName name="F17_Attr_RRepoFX_180D_Am" localSheetId="5">#REF!</definedName>
    <definedName name="F17_Attr_RRepoFX_180D_Am">#REF!</definedName>
    <definedName name="F17_Attr_RRepoFX_180D_I" localSheetId="5">#REF!</definedName>
    <definedName name="F17_Attr_RRepoFX_180D_I">#REF!</definedName>
    <definedName name="F17_Attr_RRepoFX_30D_Am" localSheetId="5">#REF!</definedName>
    <definedName name="F17_Attr_RRepoFX_30D_Am">#REF!</definedName>
    <definedName name="F17_Attr_RRepoFX_30D_I" localSheetId="5">#REF!</definedName>
    <definedName name="F17_Attr_RRepoFX_30D_I">#REF!</definedName>
    <definedName name="F17_Attr_RRepoFX_360D_Am" localSheetId="5">#REF!</definedName>
    <definedName name="F17_Attr_RRepoFX_360D_Am">#REF!</definedName>
    <definedName name="F17_Attr_RRepoFX_360D_I" localSheetId="5">#REF!</definedName>
    <definedName name="F17_Attr_RRepoFX_360D_I">#REF!</definedName>
    <definedName name="F17_Attr_RRepoFX_60D_Am" localSheetId="5">#REF!</definedName>
    <definedName name="F17_Attr_RRepoFX_60D_Am">#REF!</definedName>
    <definedName name="F17_Attr_RRepoFX_60D_I" localSheetId="5">#REF!</definedName>
    <definedName name="F17_Attr_RRepoFX_60D_I">#REF!</definedName>
    <definedName name="F17_Attr_RRepoFX_90D_Am" localSheetId="5">#REF!</definedName>
    <definedName name="F17_Attr_RRepoFX_90D_Am">#REF!</definedName>
    <definedName name="F17_Attr_RRepoFX_90D_I" localSheetId="5">#REF!</definedName>
    <definedName name="F17_Attr_RRepoFX_90D_I">#REF!</definedName>
    <definedName name="F17_Attr_RRepoFX_Dem_Am" localSheetId="5">#REF!</definedName>
    <definedName name="F17_Attr_RRepoFX_Dem_Am">#REF!</definedName>
    <definedName name="F17_Attr_RRepoFX_Dem_I" localSheetId="5">#REF!</definedName>
    <definedName name="F17_Attr_RRepoFX_Dem_I">#REF!</definedName>
    <definedName name="F17_Attr_RRepoFX_Mr360D_I" localSheetId="5">#REF!</definedName>
    <definedName name="F17_Attr_RRepoFX_Mr360D_I">#REF!</definedName>
    <definedName name="F17_Attr_RRepoFX_Tot_Am1" localSheetId="5">#REF!</definedName>
    <definedName name="F17_Attr_RRepoFX_Tot_Am1">#REF!</definedName>
    <definedName name="F17_Attr_RRepoFX_Tot_I11" localSheetId="5">#REF!</definedName>
    <definedName name="F17_Attr_RRepoFX_Tot_I11">#REF!</definedName>
    <definedName name="F17_Attr_RRepoFX_Tot_I12" localSheetId="5">#REF!</definedName>
    <definedName name="F17_Attr_RRepoFX_Tot_I12">#REF!</definedName>
    <definedName name="F17_Tot_Am_AMD" localSheetId="5">#REF!</definedName>
    <definedName name="F17_Tot_Am_AMD">#REF!</definedName>
    <definedName name="F17_Tot_Am_AMD1" localSheetId="5">#REF!</definedName>
    <definedName name="F17_Tot_Am_AMD1">#REF!</definedName>
    <definedName name="F17_Tot_Am_EUR" localSheetId="5">#REF!</definedName>
    <definedName name="F17_Tot_Am_EUR">#REF!</definedName>
    <definedName name="F17_Tot_Am_EUR1" localSheetId="5">#REF!</definedName>
    <definedName name="F17_Tot_Am_EUR1">#REF!</definedName>
    <definedName name="F17_Tot_Am_OthC" localSheetId="5">#REF!</definedName>
    <definedName name="F17_Tot_Am_OthC">#REF!</definedName>
    <definedName name="F17_Tot_Am_OthC1" localSheetId="5">#REF!</definedName>
    <definedName name="F17_Tot_Am_OthC1">#REF!</definedName>
    <definedName name="F17_Tot_Am_RUR" localSheetId="5">#REF!</definedName>
    <definedName name="F17_Tot_Am_RUR">#REF!</definedName>
    <definedName name="F17_Tot_Am_RUR1" localSheetId="5">#REF!</definedName>
    <definedName name="F17_Tot_Am_RUR1">#REF!</definedName>
    <definedName name="F17_Tot_Am_USD" localSheetId="5">#REF!</definedName>
    <definedName name="F17_Tot_Am_USD">#REF!</definedName>
    <definedName name="F17_Tot_Am_USD1" localSheetId="5">#REF!</definedName>
    <definedName name="F17_Tot_Am_USD1">#REF!</definedName>
    <definedName name="F17_Tot_AMD" localSheetId="5">#REF!</definedName>
    <definedName name="F17_Tot_AMD">#REF!</definedName>
    <definedName name="F17_Tot_AMD1" localSheetId="5">#REF!</definedName>
    <definedName name="F17_Tot_AMD1">#REF!</definedName>
    <definedName name="F17_Tot_EUR" localSheetId="5">#REF!</definedName>
    <definedName name="F17_Tot_EUR">#REF!</definedName>
    <definedName name="F17_Tot_EUR1" localSheetId="5">#REF!</definedName>
    <definedName name="F17_Tot_EUR1">#REF!</definedName>
    <definedName name="F17_Tot_I_AMD" localSheetId="5">#REF!</definedName>
    <definedName name="F17_Tot_I_AMD">#REF!</definedName>
    <definedName name="F17_Tot_I_AMD1" localSheetId="5">#REF!</definedName>
    <definedName name="F17_Tot_I_AMD1">#REF!</definedName>
    <definedName name="F17_Tot_I_EUR" localSheetId="5">#REF!</definedName>
    <definedName name="F17_Tot_I_EUR">#REF!</definedName>
    <definedName name="F17_Tot_I_EUR1" localSheetId="5">#REF!</definedName>
    <definedName name="F17_Tot_I_EUR1">#REF!</definedName>
    <definedName name="F17_Tot_I_OthC" localSheetId="5">#REF!</definedName>
    <definedName name="F17_Tot_I_OthC">#REF!</definedName>
    <definedName name="F17_Tot_I_OthC1" localSheetId="5">#REF!</definedName>
    <definedName name="F17_Tot_I_OthC1">#REF!</definedName>
    <definedName name="F17_Tot_I_RUR" localSheetId="5">#REF!</definedName>
    <definedName name="F17_Tot_I_RUR">#REF!</definedName>
    <definedName name="F17_Tot_I_RUR1" localSheetId="5">#REF!</definedName>
    <definedName name="F17_Tot_I_RUR1">#REF!</definedName>
    <definedName name="F17_Tot_I_USD" localSheetId="5">#REF!</definedName>
    <definedName name="F17_Tot_I_USD">#REF!</definedName>
    <definedName name="F17_Tot_I_USD1" localSheetId="5">#REF!</definedName>
    <definedName name="F17_Tot_I_USD1">#REF!</definedName>
    <definedName name="F17_Tot_OthC" localSheetId="5">#REF!</definedName>
    <definedName name="F17_Tot_OthC">#REF!</definedName>
    <definedName name="F17_Tot_OthC1" localSheetId="5">#REF!</definedName>
    <definedName name="F17_Tot_OthC1">#REF!</definedName>
    <definedName name="F17_Tot_RUR" localSheetId="5">#REF!</definedName>
    <definedName name="F17_Tot_RUR">#REF!</definedName>
    <definedName name="F17_Tot_RUR1" localSheetId="5">#REF!</definedName>
    <definedName name="F17_Tot_RUR1">#REF!</definedName>
    <definedName name="F17_Tot_USD" localSheetId="5">#REF!</definedName>
    <definedName name="F17_Tot_USD">#REF!</definedName>
    <definedName name="F17_Tot_USD1" localSheetId="5">#REF!</definedName>
    <definedName name="F17_Tot_USD1">#REF!</definedName>
    <definedName name="g" localSheetId="5">#REF!</definedName>
    <definedName name="g">#REF!</definedName>
    <definedName name="i" localSheetId="5">#REF!</definedName>
    <definedName name="i">#REF!</definedName>
    <definedName name="ii">'[3]Ü»ñ·ñ³íí³Í'!$E$5</definedName>
    <definedName name="j" localSheetId="5">#REF!</definedName>
    <definedName name="j">#REF!</definedName>
    <definedName name="k" localSheetId="5">#REF!</definedName>
    <definedName name="k">#REF!</definedName>
    <definedName name="l" localSheetId="5">#REF!</definedName>
    <definedName name="l">#REF!</definedName>
    <definedName name="ll" localSheetId="5">#REF!</definedName>
    <definedName name="ll">#REF!</definedName>
    <definedName name="lll" localSheetId="5">#REF!</definedName>
    <definedName name="lll">#REF!</definedName>
    <definedName name="m" localSheetId="5">#REF!</definedName>
    <definedName name="m">#REF!</definedName>
    <definedName name="mm" localSheetId="5">#REF!</definedName>
    <definedName name="mm">#REF!</definedName>
    <definedName name="mmmm" localSheetId="5">#REF!</definedName>
    <definedName name="mmmm">#REF!</definedName>
    <definedName name="mmmmmm" localSheetId="5">#REF!</definedName>
    <definedName name="mmmmmm">#REF!</definedName>
    <definedName name="Name" localSheetId="5">#REF!</definedName>
    <definedName name="Name">#REF!</definedName>
    <definedName name="ppp" localSheetId="5">#REF!</definedName>
    <definedName name="ppp">#REF!</definedName>
    <definedName name="ppppp" localSheetId="5">#REF!</definedName>
    <definedName name="ppppp">#REF!</definedName>
    <definedName name="RetName" localSheetId="5">#REF!</definedName>
    <definedName name="RetName">#REF!</definedName>
    <definedName name="rrr" localSheetId="5">#REF!</definedName>
    <definedName name="rrr">#REF!</definedName>
    <definedName name="s" localSheetId="5">#REF!</definedName>
    <definedName name="s">#REF!</definedName>
    <definedName name="ttt" localSheetId="5">#REF!</definedName>
    <definedName name="ttt">#REF!</definedName>
    <definedName name="ttttt" localSheetId="5">#REF!</definedName>
    <definedName name="ttttt">#REF!</definedName>
    <definedName name="ttttttt" localSheetId="5">#REF!</definedName>
    <definedName name="ttttttt">#REF!</definedName>
    <definedName name="uuu" localSheetId="5">#REF!</definedName>
    <definedName name="uuu">#REF!</definedName>
    <definedName name="yy" localSheetId="5">#REF!</definedName>
    <definedName name="yy">#REF!</definedName>
    <definedName name="yyy" localSheetId="5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2" i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5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26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2" i="1"/>
  <c r="C16300" i="8"/>
  <c r="C16299" i="8"/>
  <c r="C16298" i="8"/>
  <c r="C16297" i="8"/>
  <c r="C16296" i="8"/>
  <c r="C16295" i="8"/>
  <c r="C16294" i="8"/>
  <c r="C16293" i="8"/>
  <c r="C16292" i="8"/>
  <c r="C16291" i="8"/>
  <c r="C16290" i="8"/>
  <c r="C16289" i="8"/>
  <c r="C16288" i="8"/>
  <c r="C16287" i="8"/>
  <c r="C16286" i="8"/>
  <c r="C16285" i="8"/>
  <c r="C16284" i="8"/>
  <c r="C16283" i="8"/>
  <c r="C16282" i="8"/>
  <c r="C16281" i="8"/>
  <c r="C16280" i="8"/>
  <c r="C16279" i="8"/>
  <c r="C16278" i="8"/>
  <c r="C16277" i="8"/>
  <c r="C16276" i="8"/>
  <c r="C16275" i="8"/>
  <c r="C16274" i="8"/>
  <c r="C16273" i="8"/>
  <c r="C16272" i="8"/>
  <c r="C16271" i="8"/>
  <c r="C16270" i="8"/>
  <c r="C16269" i="8"/>
  <c r="C16268" i="8"/>
  <c r="C16267" i="8"/>
  <c r="C16266" i="8"/>
  <c r="C16265" i="8"/>
  <c r="C16264" i="8"/>
  <c r="C16263" i="8"/>
  <c r="C16262" i="8"/>
  <c r="C16261" i="8"/>
  <c r="C16260" i="8"/>
  <c r="C16259" i="8"/>
  <c r="C16258" i="8"/>
  <c r="C16257" i="8"/>
  <c r="C16256" i="8"/>
  <c r="C16255" i="8"/>
  <c r="C16254" i="8"/>
  <c r="C16253" i="8"/>
  <c r="C16252" i="8"/>
  <c r="C16251" i="8"/>
  <c r="C16250" i="8"/>
  <c r="C16249" i="8"/>
  <c r="C16248" i="8"/>
  <c r="C16247" i="8"/>
  <c r="C16246" i="8"/>
  <c r="C16245" i="8"/>
  <c r="C16244" i="8"/>
  <c r="C16243" i="8"/>
  <c r="C16242" i="8"/>
  <c r="C16241" i="8"/>
  <c r="C16240" i="8"/>
  <c r="C16239" i="8"/>
  <c r="C16238" i="8"/>
  <c r="C16237" i="8"/>
  <c r="C16236" i="8"/>
  <c r="C16235" i="8"/>
  <c r="C16234" i="8"/>
  <c r="C16233" i="8"/>
  <c r="C16232" i="8"/>
  <c r="C16231" i="8"/>
  <c r="C16230" i="8"/>
  <c r="C16229" i="8"/>
  <c r="C16228" i="8"/>
  <c r="C16227" i="8"/>
  <c r="C16226" i="8"/>
  <c r="C16225" i="8"/>
  <c r="C16224" i="8"/>
  <c r="C16223" i="8"/>
  <c r="C16222" i="8"/>
  <c r="C16221" i="8"/>
  <c r="C16220" i="8"/>
  <c r="C16219" i="8"/>
  <c r="C16218" i="8"/>
  <c r="C16217" i="8"/>
  <c r="C16216" i="8"/>
  <c r="C16215" i="8"/>
  <c r="C16214" i="8"/>
  <c r="C16213" i="8"/>
  <c r="C16212" i="8"/>
  <c r="C16211" i="8"/>
  <c r="C16210" i="8"/>
  <c r="C16209" i="8"/>
  <c r="C16208" i="8"/>
  <c r="C16207" i="8"/>
  <c r="C16206" i="8"/>
  <c r="C16205" i="8"/>
  <c r="C16204" i="8"/>
  <c r="C16203" i="8"/>
  <c r="C16202" i="8"/>
  <c r="C16201" i="8"/>
  <c r="C16200" i="8"/>
  <c r="C16199" i="8"/>
  <c r="C16198" i="8"/>
  <c r="C16197" i="8"/>
  <c r="C16196" i="8"/>
  <c r="C16195" i="8"/>
  <c r="C16194" i="8"/>
  <c r="C16193" i="8"/>
  <c r="C16192" i="8"/>
  <c r="C16191" i="8"/>
  <c r="C16190" i="8"/>
  <c r="C16189" i="8"/>
  <c r="C16188" i="8"/>
  <c r="C16187" i="8"/>
  <c r="C16186" i="8"/>
  <c r="C16185" i="8"/>
  <c r="C16184" i="8"/>
  <c r="C16183" i="8"/>
  <c r="C16182" i="8"/>
  <c r="C16181" i="8"/>
  <c r="C16180" i="8"/>
  <c r="C16179" i="8"/>
  <c r="C16178" i="8"/>
  <c r="C16177" i="8"/>
  <c r="C16176" i="8"/>
  <c r="C16175" i="8"/>
  <c r="C16174" i="8"/>
  <c r="C16173" i="8"/>
  <c r="C16172" i="8"/>
  <c r="C16171" i="8"/>
  <c r="C16170" i="8"/>
  <c r="C16169" i="8"/>
  <c r="C16168" i="8"/>
  <c r="C16167" i="8"/>
  <c r="C16166" i="8"/>
  <c r="C16165" i="8"/>
  <c r="C16164" i="8"/>
  <c r="C16163" i="8"/>
  <c r="C16162" i="8"/>
  <c r="C16161" i="8"/>
  <c r="C16160" i="8"/>
  <c r="C16159" i="8"/>
  <c r="C16158" i="8"/>
  <c r="C16157" i="8"/>
  <c r="C16156" i="8"/>
  <c r="C16155" i="8"/>
  <c r="C16154" i="8"/>
  <c r="C16153" i="8"/>
  <c r="C16152" i="8"/>
  <c r="C16151" i="8"/>
  <c r="C16150" i="8"/>
  <c r="C16149" i="8"/>
  <c r="C16148" i="8"/>
  <c r="C16147" i="8"/>
  <c r="C16146" i="8"/>
  <c r="C16145" i="8"/>
  <c r="C16144" i="8"/>
  <c r="C16143" i="8"/>
  <c r="C16142" i="8"/>
  <c r="C16141" i="8"/>
  <c r="C16140" i="8"/>
  <c r="C16139" i="8"/>
  <c r="C16138" i="8"/>
  <c r="C16137" i="8"/>
  <c r="C16136" i="8"/>
  <c r="C16135" i="8"/>
  <c r="C16134" i="8"/>
  <c r="C16133" i="8"/>
  <c r="C16132" i="8"/>
  <c r="C16131" i="8"/>
  <c r="C16130" i="8"/>
  <c r="C16129" i="8"/>
  <c r="C16128" i="8"/>
  <c r="C16127" i="8"/>
  <c r="C16126" i="8"/>
  <c r="C16125" i="8"/>
  <c r="C16124" i="8"/>
  <c r="C16123" i="8"/>
  <c r="C16122" i="8"/>
  <c r="C16121" i="8"/>
  <c r="C16120" i="8"/>
  <c r="C16119" i="8"/>
  <c r="C16118" i="8"/>
  <c r="C16117" i="8"/>
  <c r="C16116" i="8"/>
  <c r="C16115" i="8"/>
  <c r="C16114" i="8"/>
  <c r="C16113" i="8"/>
  <c r="C16112" i="8"/>
  <c r="C16111" i="8"/>
  <c r="C16110" i="8"/>
  <c r="C16109" i="8"/>
  <c r="C16108" i="8"/>
  <c r="C16107" i="8"/>
  <c r="C16106" i="8"/>
  <c r="C16105" i="8"/>
  <c r="C16104" i="8"/>
  <c r="C16103" i="8"/>
  <c r="C16102" i="8"/>
  <c r="C16101" i="8"/>
  <c r="C16100" i="8"/>
  <c r="C16099" i="8"/>
  <c r="C16098" i="8"/>
  <c r="C16097" i="8"/>
  <c r="C16096" i="8"/>
  <c r="C16095" i="8"/>
  <c r="C16094" i="8"/>
  <c r="C16093" i="8"/>
  <c r="C16092" i="8"/>
  <c r="C16091" i="8"/>
  <c r="C16090" i="8"/>
  <c r="C16089" i="8"/>
  <c r="C16088" i="8"/>
  <c r="C16087" i="8"/>
  <c r="C16086" i="8"/>
  <c r="C16085" i="8"/>
  <c r="C16084" i="8"/>
  <c r="C16083" i="8"/>
  <c r="C16082" i="8"/>
  <c r="C16081" i="8"/>
  <c r="C16080" i="8"/>
  <c r="C16079" i="8"/>
  <c r="C16078" i="8"/>
  <c r="C16077" i="8"/>
  <c r="C16076" i="8"/>
  <c r="C16075" i="8"/>
  <c r="C16074" i="8"/>
  <c r="C16073" i="8"/>
  <c r="C16072" i="8"/>
  <c r="C16071" i="8"/>
  <c r="C16070" i="8"/>
  <c r="C16069" i="8"/>
  <c r="C16068" i="8"/>
  <c r="C16067" i="8"/>
  <c r="C16066" i="8"/>
  <c r="C16065" i="8"/>
  <c r="C16064" i="8"/>
  <c r="C16063" i="8"/>
  <c r="C16062" i="8"/>
  <c r="C16061" i="8"/>
  <c r="C16060" i="8"/>
  <c r="C16059" i="8"/>
  <c r="C16058" i="8"/>
  <c r="C16057" i="8"/>
  <c r="C16056" i="8"/>
  <c r="C16055" i="8"/>
  <c r="C16054" i="8"/>
  <c r="C16053" i="8"/>
  <c r="C16052" i="8"/>
  <c r="C16051" i="8"/>
  <c r="C16050" i="8"/>
  <c r="C16049" i="8"/>
  <c r="C16048" i="8"/>
  <c r="C16047" i="8"/>
  <c r="C16046" i="8"/>
  <c r="C16045" i="8"/>
  <c r="C16044" i="8"/>
  <c r="C16043" i="8"/>
  <c r="C16042" i="8"/>
  <c r="C16041" i="8"/>
  <c r="C16040" i="8"/>
  <c r="C16039" i="8"/>
  <c r="C16038" i="8"/>
  <c r="C16037" i="8"/>
  <c r="C16036" i="8"/>
  <c r="C16035" i="8"/>
  <c r="C16034" i="8"/>
  <c r="C16033" i="8"/>
  <c r="C16032" i="8"/>
  <c r="C16031" i="8"/>
  <c r="C16030" i="8"/>
  <c r="C16029" i="8"/>
  <c r="C16028" i="8"/>
  <c r="C16027" i="8"/>
  <c r="C16026" i="8"/>
  <c r="C16025" i="8"/>
  <c r="C16024" i="8"/>
  <c r="C16023" i="8"/>
  <c r="C16022" i="8"/>
  <c r="C16021" i="8"/>
  <c r="C16020" i="8"/>
  <c r="C16019" i="8"/>
  <c r="C16018" i="8"/>
  <c r="C16017" i="8"/>
  <c r="C16016" i="8"/>
  <c r="C16015" i="8"/>
  <c r="C16014" i="8"/>
  <c r="C16013" i="8"/>
  <c r="C16012" i="8"/>
  <c r="C16011" i="8"/>
  <c r="C16010" i="8"/>
  <c r="C16009" i="8"/>
  <c r="C16008" i="8"/>
  <c r="C16007" i="8"/>
  <c r="C16006" i="8"/>
  <c r="C16005" i="8"/>
  <c r="C16004" i="8"/>
  <c r="C16003" i="8"/>
  <c r="C16002" i="8"/>
  <c r="C16001" i="8"/>
  <c r="C16000" i="8"/>
  <c r="C15999" i="8"/>
  <c r="C15998" i="8"/>
  <c r="C15997" i="8"/>
  <c r="C15996" i="8"/>
  <c r="C15995" i="8"/>
  <c r="C15994" i="8"/>
  <c r="C15993" i="8"/>
  <c r="C15992" i="8"/>
  <c r="C15991" i="8"/>
  <c r="C15990" i="8"/>
  <c r="C15989" i="8"/>
  <c r="C15988" i="8"/>
  <c r="C15987" i="8"/>
  <c r="C15986" i="8"/>
  <c r="C15985" i="8"/>
  <c r="C15984" i="8"/>
  <c r="C15983" i="8"/>
  <c r="C15982" i="8"/>
  <c r="C15981" i="8"/>
  <c r="C15980" i="8"/>
  <c r="C15979" i="8"/>
  <c r="C15978" i="8"/>
  <c r="C15977" i="8"/>
  <c r="C15976" i="8"/>
  <c r="C15975" i="8"/>
  <c r="C15974" i="8"/>
  <c r="C15973" i="8"/>
  <c r="C15972" i="8"/>
  <c r="C15971" i="8"/>
  <c r="C15970" i="8"/>
  <c r="C15969" i="8"/>
  <c r="C15968" i="8"/>
  <c r="C15967" i="8"/>
  <c r="C15966" i="8"/>
  <c r="C15965" i="8"/>
  <c r="C15964" i="8"/>
  <c r="C15963" i="8"/>
  <c r="C15962" i="8"/>
  <c r="C15961" i="8"/>
  <c r="C15960" i="8"/>
  <c r="C15959" i="8"/>
  <c r="C15958" i="8"/>
  <c r="C15957" i="8"/>
  <c r="C15956" i="8"/>
  <c r="C15955" i="8"/>
  <c r="C15954" i="8"/>
  <c r="C15953" i="8"/>
  <c r="C15952" i="8"/>
  <c r="C15951" i="8"/>
  <c r="C15950" i="8"/>
  <c r="C15949" i="8"/>
  <c r="C15948" i="8"/>
  <c r="C15947" i="8"/>
  <c r="C15946" i="8"/>
  <c r="C15945" i="8"/>
  <c r="C15944" i="8"/>
  <c r="C15943" i="8"/>
  <c r="C15942" i="8"/>
  <c r="C15941" i="8"/>
  <c r="C15940" i="8"/>
  <c r="C15939" i="8"/>
  <c r="C15938" i="8"/>
  <c r="C15937" i="8"/>
  <c r="C15936" i="8"/>
  <c r="C15935" i="8"/>
  <c r="C15934" i="8"/>
  <c r="C15933" i="8"/>
  <c r="C15932" i="8"/>
  <c r="C15931" i="8"/>
  <c r="C15930" i="8"/>
  <c r="C15929" i="8"/>
  <c r="C15928" i="8"/>
  <c r="C15927" i="8"/>
  <c r="C15926" i="8"/>
  <c r="C15925" i="8"/>
  <c r="C15924" i="8"/>
  <c r="C15923" i="8"/>
  <c r="C15922" i="8"/>
  <c r="C15921" i="8"/>
  <c r="C15920" i="8"/>
  <c r="C15919" i="8"/>
  <c r="C15918" i="8"/>
  <c r="C15917" i="8"/>
  <c r="C15916" i="8"/>
  <c r="C15915" i="8"/>
  <c r="C15914" i="8"/>
  <c r="C15913" i="8"/>
  <c r="C15912" i="8"/>
  <c r="C15911" i="8"/>
  <c r="C15910" i="8"/>
  <c r="C15909" i="8"/>
  <c r="C15908" i="8"/>
  <c r="C15907" i="8"/>
  <c r="C15906" i="8"/>
  <c r="C15905" i="8"/>
  <c r="C15904" i="8"/>
  <c r="C15903" i="8"/>
  <c r="C15902" i="8"/>
  <c r="C15901" i="8"/>
  <c r="C15900" i="8"/>
  <c r="C15899" i="8"/>
  <c r="C15898" i="8"/>
  <c r="C15897" i="8"/>
  <c r="C15896" i="8"/>
  <c r="C15895" i="8"/>
  <c r="C15894" i="8"/>
  <c r="C15893" i="8"/>
  <c r="C15892" i="8"/>
  <c r="C15891" i="8"/>
  <c r="C15890" i="8"/>
  <c r="C15889" i="8"/>
  <c r="C15888" i="8"/>
  <c r="C15887" i="8"/>
  <c r="C15886" i="8"/>
  <c r="C15885" i="8"/>
  <c r="C15884" i="8"/>
  <c r="C15883" i="8"/>
  <c r="C15882" i="8"/>
  <c r="C15881" i="8"/>
  <c r="C15880" i="8"/>
  <c r="C15879" i="8"/>
  <c r="C15878" i="8"/>
  <c r="C15877" i="8"/>
  <c r="C15876" i="8"/>
  <c r="C15875" i="8"/>
  <c r="C15874" i="8"/>
  <c r="C15873" i="8"/>
  <c r="C15872" i="8"/>
  <c r="C15871" i="8"/>
  <c r="C15870" i="8"/>
  <c r="C15869" i="8"/>
  <c r="C15868" i="8"/>
  <c r="C15867" i="8"/>
  <c r="C15866" i="8"/>
  <c r="C15865" i="8"/>
  <c r="C15864" i="8"/>
  <c r="C15863" i="8"/>
  <c r="C15862" i="8"/>
  <c r="C15861" i="8"/>
  <c r="C15860" i="8"/>
  <c r="C15859" i="8"/>
  <c r="C15858" i="8"/>
  <c r="C15857" i="8"/>
  <c r="C15856" i="8"/>
  <c r="C15855" i="8"/>
  <c r="C15854" i="8"/>
  <c r="C15853" i="8"/>
  <c r="C15852" i="8"/>
  <c r="C15851" i="8"/>
  <c r="C15850" i="8"/>
  <c r="C15849" i="8"/>
  <c r="C15848" i="8"/>
  <c r="C15847" i="8"/>
  <c r="C15846" i="8"/>
  <c r="C15845" i="8"/>
  <c r="C15844" i="8"/>
  <c r="C15843" i="8"/>
  <c r="C15842" i="8"/>
  <c r="C15841" i="8"/>
  <c r="C15840" i="8"/>
  <c r="C15839" i="8"/>
  <c r="C15838" i="8"/>
  <c r="C15837" i="8"/>
  <c r="C15836" i="8"/>
  <c r="C15835" i="8"/>
  <c r="C15834" i="8"/>
  <c r="C15833" i="8"/>
  <c r="C15832" i="8"/>
  <c r="C15831" i="8"/>
  <c r="C15830" i="8"/>
  <c r="C15829" i="8"/>
  <c r="C15828" i="8"/>
  <c r="C15827" i="8"/>
  <c r="C15826" i="8"/>
  <c r="C15825" i="8"/>
  <c r="C15824" i="8"/>
  <c r="C15823" i="8"/>
  <c r="C15822" i="8"/>
  <c r="C15821" i="8"/>
  <c r="C15820" i="8"/>
  <c r="C15819" i="8"/>
  <c r="C15818" i="8"/>
  <c r="C15817" i="8"/>
  <c r="C15816" i="8"/>
  <c r="C15815" i="8"/>
  <c r="C15814" i="8"/>
  <c r="C15813" i="8"/>
  <c r="C15812" i="8"/>
  <c r="C15811" i="8"/>
  <c r="C15810" i="8"/>
  <c r="C15809" i="8"/>
  <c r="C15808" i="8"/>
  <c r="C15807" i="8"/>
  <c r="C15806" i="8"/>
  <c r="C15805" i="8"/>
  <c r="C15804" i="8"/>
  <c r="C15803" i="8"/>
  <c r="C15802" i="8"/>
  <c r="C15801" i="8"/>
  <c r="C15800" i="8"/>
  <c r="C15799" i="8"/>
  <c r="C15798" i="8"/>
  <c r="C15797" i="8"/>
  <c r="C15796" i="8"/>
  <c r="C15795" i="8"/>
  <c r="C15794" i="8"/>
  <c r="C15793" i="8"/>
  <c r="C15792" i="8"/>
  <c r="C15791" i="8"/>
  <c r="C15790" i="8"/>
  <c r="C15789" i="8"/>
  <c r="C15788" i="8"/>
  <c r="C15787" i="8"/>
  <c r="C15786" i="8"/>
  <c r="C15785" i="8"/>
  <c r="C15784" i="8"/>
  <c r="C15783" i="8"/>
  <c r="C15782" i="8"/>
  <c r="C15781" i="8"/>
  <c r="C15780" i="8"/>
  <c r="C15779" i="8"/>
  <c r="C15778" i="8"/>
  <c r="C15777" i="8"/>
  <c r="C15776" i="8"/>
  <c r="C15775" i="8"/>
  <c r="C15774" i="8"/>
  <c r="C15773" i="8"/>
  <c r="C15772" i="8"/>
  <c r="C15771" i="8"/>
  <c r="C15770" i="8"/>
  <c r="C15769" i="8"/>
  <c r="C15768" i="8"/>
  <c r="C15767" i="8"/>
  <c r="C15766" i="8"/>
  <c r="C15765" i="8"/>
  <c r="C15764" i="8"/>
  <c r="C15763" i="8"/>
  <c r="C15762" i="8"/>
  <c r="C15761" i="8"/>
  <c r="C15760" i="8"/>
  <c r="C15759" i="8"/>
  <c r="C15758" i="8"/>
  <c r="C15757" i="8"/>
  <c r="C15756" i="8"/>
  <c r="C15755" i="8"/>
  <c r="C15754" i="8"/>
  <c r="C15753" i="8"/>
  <c r="C15752" i="8"/>
  <c r="C15751" i="8"/>
  <c r="C15750" i="8"/>
  <c r="C15749" i="8"/>
  <c r="C15748" i="8"/>
  <c r="C15747" i="8"/>
  <c r="C15746" i="8"/>
  <c r="C15745" i="8"/>
  <c r="C15744" i="8"/>
  <c r="C15743" i="8"/>
  <c r="C15742" i="8"/>
  <c r="C15741" i="8"/>
  <c r="C15740" i="8"/>
  <c r="C15739" i="8"/>
  <c r="C15738" i="8"/>
  <c r="C15737" i="8"/>
  <c r="C15736" i="8"/>
  <c r="C15735" i="8"/>
  <c r="C15734" i="8"/>
  <c r="C15733" i="8"/>
  <c r="C15732" i="8"/>
  <c r="C15731" i="8"/>
  <c r="C15730" i="8"/>
  <c r="C15729" i="8"/>
  <c r="C15728" i="8"/>
  <c r="C15727" i="8"/>
  <c r="C15726" i="8"/>
  <c r="C15725" i="8"/>
  <c r="C15724" i="8"/>
  <c r="C15723" i="8"/>
  <c r="C15722" i="8"/>
  <c r="C15721" i="8"/>
  <c r="C15720" i="8"/>
  <c r="C15719" i="8"/>
  <c r="C15718" i="8"/>
  <c r="C15717" i="8"/>
  <c r="C15716" i="8"/>
  <c r="C15715" i="8"/>
  <c r="C15714" i="8"/>
  <c r="C15713" i="8"/>
  <c r="C15712" i="8"/>
  <c r="C15711" i="8"/>
  <c r="C15710" i="8"/>
  <c r="C15709" i="8"/>
  <c r="C15708" i="8"/>
  <c r="C15707" i="8"/>
  <c r="C15706" i="8"/>
  <c r="C15705" i="8"/>
  <c r="C15704" i="8"/>
  <c r="C15703" i="8"/>
  <c r="C15702" i="8"/>
  <c r="C15701" i="8"/>
  <c r="C15700" i="8"/>
  <c r="C15699" i="8"/>
  <c r="C15698" i="8"/>
  <c r="C15697" i="8"/>
  <c r="C15696" i="8"/>
  <c r="C15695" i="8"/>
  <c r="C15694" i="8"/>
  <c r="C15693" i="8"/>
  <c r="C15692" i="8"/>
  <c r="C15691" i="8"/>
  <c r="C15690" i="8"/>
  <c r="C15689" i="8"/>
  <c r="C15688" i="8"/>
  <c r="C15687" i="8"/>
  <c r="C15686" i="8"/>
  <c r="C15685" i="8"/>
  <c r="C15684" i="8"/>
  <c r="C15683" i="8"/>
  <c r="C15682" i="8"/>
  <c r="C15681" i="8"/>
  <c r="C15680" i="8"/>
  <c r="C15679" i="8"/>
  <c r="C15678" i="8"/>
  <c r="C15677" i="8"/>
  <c r="C15676" i="8"/>
  <c r="C15675" i="8"/>
  <c r="C15674" i="8"/>
  <c r="C15673" i="8"/>
  <c r="C15672" i="8"/>
  <c r="C15671" i="8"/>
  <c r="C15670" i="8"/>
  <c r="C15669" i="8"/>
  <c r="C15668" i="8"/>
  <c r="C15667" i="8"/>
  <c r="C15666" i="8"/>
  <c r="C15665" i="8"/>
  <c r="C15664" i="8"/>
  <c r="C15663" i="8"/>
  <c r="C15662" i="8"/>
  <c r="C15661" i="8"/>
  <c r="C15660" i="8"/>
  <c r="C15659" i="8"/>
  <c r="C15658" i="8"/>
  <c r="C15657" i="8"/>
  <c r="C15656" i="8"/>
  <c r="C15655" i="8"/>
  <c r="C15654" i="8"/>
  <c r="C15653" i="8"/>
  <c r="C15652" i="8"/>
  <c r="C15651" i="8"/>
  <c r="C15650" i="8"/>
  <c r="C15649" i="8"/>
  <c r="C15648" i="8"/>
  <c r="C15647" i="8"/>
  <c r="C15646" i="8"/>
  <c r="C15645" i="8"/>
  <c r="C15644" i="8"/>
  <c r="C15643" i="8"/>
  <c r="C15642" i="8"/>
  <c r="C15641" i="8"/>
  <c r="C15640" i="8"/>
  <c r="C15639" i="8"/>
  <c r="C15638" i="8"/>
  <c r="C15637" i="8"/>
  <c r="C15636" i="8"/>
  <c r="C15635" i="8"/>
  <c r="C15634" i="8"/>
  <c r="C15633" i="8"/>
  <c r="C15632" i="8"/>
  <c r="C15631" i="8"/>
  <c r="C15630" i="8"/>
  <c r="C15629" i="8"/>
  <c r="C15628" i="8"/>
  <c r="C15627" i="8"/>
  <c r="C15626" i="8"/>
  <c r="C15625" i="8"/>
  <c r="C15624" i="8"/>
  <c r="C15623" i="8"/>
  <c r="C15622" i="8"/>
  <c r="C15621" i="8"/>
  <c r="C15620" i="8"/>
  <c r="C15619" i="8"/>
  <c r="C15618" i="8"/>
  <c r="C15617" i="8"/>
  <c r="C15616" i="8"/>
  <c r="C15615" i="8"/>
  <c r="C15614" i="8"/>
  <c r="C15613" i="8"/>
  <c r="C15612" i="8"/>
  <c r="C15611" i="8"/>
  <c r="C15610" i="8"/>
  <c r="C15609" i="8"/>
  <c r="C15608" i="8"/>
  <c r="C15607" i="8"/>
  <c r="C15606" i="8"/>
  <c r="C15605" i="8"/>
  <c r="C15604" i="8"/>
  <c r="C15603" i="8"/>
  <c r="C15602" i="8"/>
  <c r="C15601" i="8"/>
  <c r="C15600" i="8"/>
  <c r="C15599" i="8"/>
  <c r="C15598" i="8"/>
  <c r="C15597" i="8"/>
  <c r="C15596" i="8"/>
  <c r="C15595" i="8"/>
  <c r="C15594" i="8"/>
  <c r="C15593" i="8"/>
  <c r="C15592" i="8"/>
  <c r="C15591" i="8"/>
  <c r="C15590" i="8"/>
  <c r="C15589" i="8"/>
  <c r="C15588" i="8"/>
  <c r="C15587" i="8"/>
  <c r="C15586" i="8"/>
  <c r="C15585" i="8"/>
  <c r="C15584" i="8"/>
  <c r="C15583" i="8"/>
  <c r="C15582" i="8"/>
  <c r="C15581" i="8"/>
  <c r="C15580" i="8"/>
  <c r="C15579" i="8"/>
  <c r="C15578" i="8"/>
  <c r="C15577" i="8"/>
  <c r="C15576" i="8"/>
  <c r="C15575" i="8"/>
  <c r="C15574" i="8"/>
  <c r="C15573" i="8"/>
  <c r="C15572" i="8"/>
  <c r="C15571" i="8"/>
  <c r="C15570" i="8"/>
  <c r="C15569" i="8"/>
  <c r="C15568" i="8"/>
  <c r="C15567" i="8"/>
  <c r="C15566" i="8"/>
  <c r="C15565" i="8"/>
  <c r="C15564" i="8"/>
  <c r="C15563" i="8"/>
  <c r="C15562" i="8"/>
  <c r="C15561" i="8"/>
  <c r="C15560" i="8"/>
  <c r="C15559" i="8"/>
  <c r="C15558" i="8"/>
  <c r="C15557" i="8"/>
  <c r="C15556" i="8"/>
  <c r="C15555" i="8"/>
  <c r="C15554" i="8"/>
  <c r="C15553" i="8"/>
  <c r="C15552" i="8"/>
  <c r="C15551" i="8"/>
  <c r="C15550" i="8"/>
  <c r="C15549" i="8"/>
  <c r="C15548" i="8"/>
  <c r="C15547" i="8"/>
  <c r="C15546" i="8"/>
  <c r="C15545" i="8"/>
  <c r="C15544" i="8"/>
  <c r="C15543" i="8"/>
  <c r="C15542" i="8"/>
  <c r="C15541" i="8"/>
  <c r="C15540" i="8"/>
  <c r="C15539" i="8"/>
  <c r="C15538" i="8"/>
  <c r="C15537" i="8"/>
  <c r="C15536" i="8"/>
  <c r="C15535" i="8"/>
  <c r="C15534" i="8"/>
  <c r="C15533" i="8"/>
  <c r="C15532" i="8"/>
  <c r="C15531" i="8"/>
  <c r="C15530" i="8"/>
  <c r="C15529" i="8"/>
  <c r="C15528" i="8"/>
  <c r="C15527" i="8"/>
  <c r="C15526" i="8"/>
  <c r="C15525" i="8"/>
  <c r="C15524" i="8"/>
  <c r="C15523" i="8"/>
  <c r="C15522" i="8"/>
  <c r="C15521" i="8"/>
  <c r="C15520" i="8"/>
  <c r="C15519" i="8"/>
  <c r="C15518" i="8"/>
  <c r="C15517" i="8"/>
  <c r="C15516" i="8"/>
  <c r="C15515" i="8"/>
  <c r="C15514" i="8"/>
  <c r="C15513" i="8"/>
  <c r="C15512" i="8"/>
  <c r="C15511" i="8"/>
  <c r="C15510" i="8"/>
  <c r="C15509" i="8"/>
  <c r="C15508" i="8"/>
  <c r="C15507" i="8"/>
  <c r="C15506" i="8"/>
  <c r="C15505" i="8"/>
  <c r="C15504" i="8"/>
  <c r="C15503" i="8"/>
  <c r="C15502" i="8"/>
  <c r="C15501" i="8"/>
  <c r="C15500" i="8"/>
  <c r="C15499" i="8"/>
  <c r="C15498" i="8"/>
  <c r="C15497" i="8"/>
  <c r="C15496" i="8"/>
  <c r="C15495" i="8"/>
  <c r="C15494" i="8"/>
  <c r="C15493" i="8"/>
  <c r="C15492" i="8"/>
  <c r="C15491" i="8"/>
  <c r="C15490" i="8"/>
  <c r="C15489" i="8"/>
  <c r="C15488" i="8"/>
  <c r="C15487" i="8"/>
  <c r="C15486" i="8"/>
  <c r="C15485" i="8"/>
  <c r="C15484" i="8"/>
  <c r="C15483" i="8"/>
  <c r="C15482" i="8"/>
  <c r="C15481" i="8"/>
  <c r="C15480" i="8"/>
  <c r="C15479" i="8"/>
  <c r="C15478" i="8"/>
  <c r="C15477" i="8"/>
  <c r="C15476" i="8"/>
  <c r="C15475" i="8"/>
  <c r="C15474" i="8"/>
  <c r="C15473" i="8"/>
  <c r="C15472" i="8"/>
  <c r="C15471" i="8"/>
  <c r="C15470" i="8"/>
  <c r="C15469" i="8"/>
  <c r="C15468" i="8"/>
  <c r="C15467" i="8"/>
  <c r="C15466" i="8"/>
  <c r="C15465" i="8"/>
  <c r="C15464" i="8"/>
  <c r="C15463" i="8"/>
  <c r="C15462" i="8"/>
  <c r="C15461" i="8"/>
  <c r="C15460" i="8"/>
  <c r="C15459" i="8"/>
  <c r="C15458" i="8"/>
  <c r="C15457" i="8"/>
  <c r="C15456" i="8"/>
  <c r="C15455" i="8"/>
  <c r="C15454" i="8"/>
  <c r="C15453" i="8"/>
  <c r="C15452" i="8"/>
  <c r="C15451" i="8"/>
  <c r="C15450" i="8"/>
  <c r="C15449" i="8"/>
  <c r="C15448" i="8"/>
  <c r="C15447" i="8"/>
  <c r="C15446" i="8"/>
  <c r="C15445" i="8"/>
  <c r="C15444" i="8"/>
  <c r="C15443" i="8"/>
  <c r="C15442" i="8"/>
  <c r="C15441" i="8"/>
  <c r="C15440" i="8"/>
  <c r="C15439" i="8"/>
  <c r="C15438" i="8"/>
  <c r="C15437" i="8"/>
  <c r="C15436" i="8"/>
  <c r="C15435" i="8"/>
  <c r="C15434" i="8"/>
  <c r="C15433" i="8"/>
  <c r="C15432" i="8"/>
  <c r="C15431" i="8"/>
  <c r="C15430" i="8"/>
  <c r="C15429" i="8"/>
  <c r="C15428" i="8"/>
  <c r="C15427" i="8"/>
  <c r="C15426" i="8"/>
  <c r="C15425" i="8"/>
  <c r="C15424" i="8"/>
  <c r="C15423" i="8"/>
  <c r="C15422" i="8"/>
  <c r="C15421" i="8"/>
  <c r="C15420" i="8"/>
  <c r="C15419" i="8"/>
  <c r="C15418" i="8"/>
  <c r="C15417" i="8"/>
  <c r="C15416" i="8"/>
  <c r="C15415" i="8"/>
  <c r="C15414" i="8"/>
  <c r="C15413" i="8"/>
  <c r="C15412" i="8"/>
  <c r="C15411" i="8"/>
  <c r="C15410" i="8"/>
  <c r="C15409" i="8"/>
  <c r="C15408" i="8"/>
  <c r="C15407" i="8"/>
  <c r="C15406" i="8"/>
  <c r="C15405" i="8"/>
  <c r="C15404" i="8"/>
  <c r="C15403" i="8"/>
  <c r="C15402" i="8"/>
  <c r="C15401" i="8"/>
  <c r="C15400" i="8"/>
  <c r="C15399" i="8"/>
  <c r="C15398" i="8"/>
  <c r="C15397" i="8"/>
  <c r="C15396" i="8"/>
  <c r="C15395" i="8"/>
  <c r="C15394" i="8"/>
  <c r="C15393" i="8"/>
  <c r="C15392" i="8"/>
  <c r="C15391" i="8"/>
  <c r="C15390" i="8"/>
  <c r="C15389" i="8"/>
  <c r="C15388" i="8"/>
  <c r="C15387" i="8"/>
  <c r="C15386" i="8"/>
  <c r="C15385" i="8"/>
  <c r="C15384" i="8"/>
  <c r="C15383" i="8"/>
  <c r="C15382" i="8"/>
  <c r="C15381" i="8"/>
  <c r="C15380" i="8"/>
  <c r="C15379" i="8"/>
  <c r="C15378" i="8"/>
  <c r="C15377" i="8"/>
  <c r="C15376" i="8"/>
  <c r="C15375" i="8"/>
  <c r="C15374" i="8"/>
  <c r="C15373" i="8"/>
  <c r="C15372" i="8"/>
  <c r="C15371" i="8"/>
  <c r="C15370" i="8"/>
  <c r="C15369" i="8"/>
  <c r="C15368" i="8"/>
  <c r="C15367" i="8"/>
  <c r="C15366" i="8"/>
  <c r="C15365" i="8"/>
  <c r="C15364" i="8"/>
  <c r="C15363" i="8"/>
  <c r="C15362" i="8"/>
  <c r="C15361" i="8"/>
  <c r="C15360" i="8"/>
  <c r="C15359" i="8"/>
  <c r="C15358" i="8"/>
  <c r="C15357" i="8"/>
  <c r="C15356" i="8"/>
  <c r="C15355" i="8"/>
  <c r="C15354" i="8"/>
  <c r="C15353" i="8"/>
  <c r="C15352" i="8"/>
  <c r="C15351" i="8"/>
  <c r="C15350" i="8"/>
  <c r="C15349" i="8"/>
  <c r="C15348" i="8"/>
  <c r="C15347" i="8"/>
  <c r="C15346" i="8"/>
  <c r="C15345" i="8"/>
  <c r="C15344" i="8"/>
  <c r="C15343" i="8"/>
  <c r="C15342" i="8"/>
  <c r="C15341" i="8"/>
  <c r="C15340" i="8"/>
  <c r="C15339" i="8"/>
  <c r="C15338" i="8"/>
  <c r="C15337" i="8"/>
  <c r="C15336" i="8"/>
  <c r="C15335" i="8"/>
  <c r="C15334" i="8"/>
  <c r="C15333" i="8"/>
  <c r="C15332" i="8"/>
  <c r="C15331" i="8"/>
  <c r="C15330" i="8"/>
  <c r="C15329" i="8"/>
  <c r="C15328" i="8"/>
  <c r="C15327" i="8"/>
  <c r="C15326" i="8"/>
  <c r="C15325" i="8"/>
  <c r="C15324" i="8"/>
  <c r="C15323" i="8"/>
  <c r="C15322" i="8"/>
  <c r="C15321" i="8"/>
  <c r="C15320" i="8"/>
  <c r="C15319" i="8"/>
  <c r="C15318" i="8"/>
  <c r="C15317" i="8"/>
  <c r="C15316" i="8"/>
  <c r="C15315" i="8"/>
  <c r="C15314" i="8"/>
  <c r="C15313" i="8"/>
  <c r="C15312" i="8"/>
  <c r="C15311" i="8"/>
  <c r="C15310" i="8"/>
  <c r="C15309" i="8"/>
  <c r="C15308" i="8"/>
  <c r="C15307" i="8"/>
  <c r="C15306" i="8"/>
  <c r="C15305" i="8"/>
  <c r="C15304" i="8"/>
  <c r="C15303" i="8"/>
  <c r="C15302" i="8"/>
  <c r="C15301" i="8"/>
  <c r="C15300" i="8"/>
  <c r="C15299" i="8"/>
  <c r="C15298" i="8"/>
  <c r="C15297" i="8"/>
  <c r="C15296" i="8"/>
  <c r="C15295" i="8"/>
  <c r="C15294" i="8"/>
  <c r="C15293" i="8"/>
  <c r="C15292" i="8"/>
  <c r="C15291" i="8"/>
  <c r="C15290" i="8"/>
  <c r="C15289" i="8"/>
  <c r="C15288" i="8"/>
  <c r="C15287" i="8"/>
  <c r="C15286" i="8"/>
  <c r="C15285" i="8"/>
  <c r="C15284" i="8"/>
  <c r="C15283" i="8"/>
  <c r="C15282" i="8"/>
  <c r="C15281" i="8"/>
  <c r="C15280" i="8"/>
  <c r="C15279" i="8"/>
  <c r="C15278" i="8"/>
  <c r="C15277" i="8"/>
  <c r="C15276" i="8"/>
  <c r="C15275" i="8"/>
  <c r="C15274" i="8"/>
  <c r="C15273" i="8"/>
  <c r="C15272" i="8"/>
  <c r="C15271" i="8"/>
  <c r="C15270" i="8"/>
  <c r="C15269" i="8"/>
  <c r="C15268" i="8"/>
  <c r="C15267" i="8"/>
  <c r="C15266" i="8"/>
  <c r="C15265" i="8"/>
  <c r="C15264" i="8"/>
  <c r="C15263" i="8"/>
  <c r="C15262" i="8"/>
  <c r="C15261" i="8"/>
  <c r="C15260" i="8"/>
  <c r="C15259" i="8"/>
  <c r="C15258" i="8"/>
  <c r="C15257" i="8"/>
  <c r="C15256" i="8"/>
  <c r="C15255" i="8"/>
  <c r="C15254" i="8"/>
  <c r="C15253" i="8"/>
  <c r="C15252" i="8"/>
  <c r="C15251" i="8"/>
  <c r="C15250" i="8"/>
  <c r="C15249" i="8"/>
  <c r="C15248" i="8"/>
  <c r="C15247" i="8"/>
  <c r="C15246" i="8"/>
  <c r="C15245" i="8"/>
  <c r="C15244" i="8"/>
  <c r="C15243" i="8"/>
  <c r="C15242" i="8"/>
  <c r="C15241" i="8"/>
  <c r="C15240" i="8"/>
  <c r="C15239" i="8"/>
  <c r="C15238" i="8"/>
  <c r="C15237" i="8"/>
  <c r="C15236" i="8"/>
  <c r="C15235" i="8"/>
  <c r="C15234" i="8"/>
  <c r="C15233" i="8"/>
  <c r="C15232" i="8"/>
  <c r="C15231" i="8"/>
  <c r="C15230" i="8"/>
  <c r="C15229" i="8"/>
  <c r="C15228" i="8"/>
  <c r="C15227" i="8"/>
  <c r="C15226" i="8"/>
  <c r="C15225" i="8"/>
  <c r="C15224" i="8"/>
  <c r="C15223" i="8"/>
  <c r="C15222" i="8"/>
  <c r="C15221" i="8"/>
  <c r="C15220" i="8"/>
  <c r="C15219" i="8"/>
  <c r="C15218" i="8"/>
  <c r="C15217" i="8"/>
  <c r="C15216" i="8"/>
  <c r="C15215" i="8"/>
  <c r="C15214" i="8"/>
  <c r="C15213" i="8"/>
  <c r="C15212" i="8"/>
  <c r="C15211" i="8"/>
  <c r="C15210" i="8"/>
  <c r="C15209" i="8"/>
  <c r="C15208" i="8"/>
  <c r="C15207" i="8"/>
  <c r="C15206" i="8"/>
  <c r="C15205" i="8"/>
  <c r="C15204" i="8"/>
  <c r="C15203" i="8"/>
  <c r="C15202" i="8"/>
  <c r="C15201" i="8"/>
  <c r="C15200" i="8"/>
  <c r="C15199" i="8"/>
  <c r="C15198" i="8"/>
  <c r="C15197" i="8"/>
  <c r="C15196" i="8"/>
  <c r="C15195" i="8"/>
  <c r="C15194" i="8"/>
  <c r="C15193" i="8"/>
  <c r="C15192" i="8"/>
  <c r="C15191" i="8"/>
  <c r="C15190" i="8"/>
  <c r="C15189" i="8"/>
  <c r="C15188" i="8"/>
  <c r="C15187" i="8"/>
  <c r="C15186" i="8"/>
  <c r="C15185" i="8"/>
  <c r="C15184" i="8"/>
  <c r="C15183" i="8"/>
  <c r="C15182" i="8"/>
  <c r="C15181" i="8"/>
  <c r="C15180" i="8"/>
  <c r="C15179" i="8"/>
  <c r="C15178" i="8"/>
  <c r="C15177" i="8"/>
  <c r="C15176" i="8"/>
  <c r="C15175" i="8"/>
  <c r="C15174" i="8"/>
  <c r="C15173" i="8"/>
  <c r="C15172" i="8"/>
  <c r="C15171" i="8"/>
  <c r="C15170" i="8"/>
  <c r="C15169" i="8"/>
  <c r="C15168" i="8"/>
  <c r="C15167" i="8"/>
  <c r="C15166" i="8"/>
  <c r="C15165" i="8"/>
  <c r="C15164" i="8"/>
  <c r="C15163" i="8"/>
  <c r="C15162" i="8"/>
  <c r="C15161" i="8"/>
  <c r="C15160" i="8"/>
  <c r="C15159" i="8"/>
  <c r="C15158" i="8"/>
  <c r="C15157" i="8"/>
  <c r="C15156" i="8"/>
  <c r="C15155" i="8"/>
  <c r="C15154" i="8"/>
  <c r="C15153" i="8"/>
  <c r="C15152" i="8"/>
  <c r="C15151" i="8"/>
  <c r="C15150" i="8"/>
  <c r="C15149" i="8"/>
  <c r="C15148" i="8"/>
  <c r="C15147" i="8"/>
  <c r="C15146" i="8"/>
  <c r="C15145" i="8"/>
  <c r="C15144" i="8"/>
  <c r="C15143" i="8"/>
  <c r="C15142" i="8"/>
  <c r="C15141" i="8"/>
  <c r="C15140" i="8"/>
  <c r="C15139" i="8"/>
  <c r="C15138" i="8"/>
  <c r="C15137" i="8"/>
  <c r="C15136" i="8"/>
  <c r="C15135" i="8"/>
  <c r="C15134" i="8"/>
  <c r="C15133" i="8"/>
  <c r="C15132" i="8"/>
  <c r="C15131" i="8"/>
  <c r="C15130" i="8"/>
  <c r="C15129" i="8"/>
  <c r="C15128" i="8"/>
  <c r="C15127" i="8"/>
  <c r="C15126" i="8"/>
  <c r="C15125" i="8"/>
  <c r="C15124" i="8"/>
  <c r="C15123" i="8"/>
  <c r="C15122" i="8"/>
  <c r="C15121" i="8"/>
  <c r="C15120" i="8"/>
  <c r="C15119" i="8"/>
  <c r="C15118" i="8"/>
  <c r="C15117" i="8"/>
  <c r="C15116" i="8"/>
  <c r="C15115" i="8"/>
  <c r="C15114" i="8"/>
  <c r="C15113" i="8"/>
  <c r="C15112" i="8"/>
  <c r="C15111" i="8"/>
  <c r="C15110" i="8"/>
  <c r="C15109" i="8"/>
  <c r="C15108" i="8"/>
  <c r="C15107" i="8"/>
  <c r="C15106" i="8"/>
  <c r="C15105" i="8"/>
  <c r="C15104" i="8"/>
  <c r="C15103" i="8"/>
  <c r="C15102" i="8"/>
  <c r="C15101" i="8"/>
  <c r="C15100" i="8"/>
  <c r="C15099" i="8"/>
  <c r="C15098" i="8"/>
  <c r="C15097" i="8"/>
  <c r="C15096" i="8"/>
  <c r="C15095" i="8"/>
  <c r="C15094" i="8"/>
  <c r="C15093" i="8"/>
  <c r="C15092" i="8"/>
  <c r="C15091" i="8"/>
  <c r="C15090" i="8"/>
  <c r="C15089" i="8"/>
  <c r="C15088" i="8"/>
  <c r="C15087" i="8"/>
  <c r="C15086" i="8"/>
  <c r="C15085" i="8"/>
  <c r="C15084" i="8"/>
  <c r="C15083" i="8"/>
  <c r="C15082" i="8"/>
  <c r="C15081" i="8"/>
  <c r="C15080" i="8"/>
  <c r="C15079" i="8"/>
  <c r="C15078" i="8"/>
  <c r="C15077" i="8"/>
  <c r="C15076" i="8"/>
  <c r="C15075" i="8"/>
  <c r="C15074" i="8"/>
  <c r="C15073" i="8"/>
  <c r="C15072" i="8"/>
  <c r="C15071" i="8"/>
  <c r="C15070" i="8"/>
  <c r="C15069" i="8"/>
  <c r="C15068" i="8"/>
  <c r="C15067" i="8"/>
  <c r="C15066" i="8"/>
  <c r="C15065" i="8"/>
  <c r="C15064" i="8"/>
  <c r="C15063" i="8"/>
  <c r="C15062" i="8"/>
  <c r="C15061" i="8"/>
  <c r="C15060" i="8"/>
  <c r="C15059" i="8"/>
  <c r="C15058" i="8"/>
  <c r="C15057" i="8"/>
  <c r="C15056" i="8"/>
  <c r="C15055" i="8"/>
  <c r="C15054" i="8"/>
  <c r="C15053" i="8"/>
  <c r="C15052" i="8"/>
  <c r="C15051" i="8"/>
  <c r="C15050" i="8"/>
  <c r="C15049" i="8"/>
  <c r="C15048" i="8"/>
  <c r="C15047" i="8"/>
  <c r="C15046" i="8"/>
  <c r="C15045" i="8"/>
  <c r="C15044" i="8"/>
  <c r="C15043" i="8"/>
  <c r="C15042" i="8"/>
  <c r="C15041" i="8"/>
  <c r="C15040" i="8"/>
  <c r="C15039" i="8"/>
  <c r="C15038" i="8"/>
  <c r="C15037" i="8"/>
  <c r="C15036" i="8"/>
  <c r="C15035" i="8"/>
  <c r="C15034" i="8"/>
  <c r="C15033" i="8"/>
  <c r="C15032" i="8"/>
  <c r="C15031" i="8"/>
  <c r="C15030" i="8"/>
  <c r="C15029" i="8"/>
  <c r="C15028" i="8"/>
  <c r="C15027" i="8"/>
  <c r="C15026" i="8"/>
  <c r="C15025" i="8"/>
  <c r="C15024" i="8"/>
  <c r="C15023" i="8"/>
  <c r="C15022" i="8"/>
  <c r="C15021" i="8"/>
  <c r="C15020" i="8"/>
  <c r="C15019" i="8"/>
  <c r="C15018" i="8"/>
  <c r="C15017" i="8"/>
  <c r="C15016" i="8"/>
  <c r="C15015" i="8"/>
  <c r="C15014" i="8"/>
  <c r="C15013" i="8"/>
  <c r="C15012" i="8"/>
  <c r="C15011" i="8"/>
  <c r="C15010" i="8"/>
  <c r="C15009" i="8"/>
  <c r="C15008" i="8"/>
  <c r="C15007" i="8"/>
  <c r="C15006" i="8"/>
  <c r="C15005" i="8"/>
  <c r="C15004" i="8"/>
  <c r="C15003" i="8"/>
  <c r="C15002" i="8"/>
  <c r="C15001" i="8"/>
  <c r="C15000" i="8"/>
  <c r="C14999" i="8"/>
  <c r="C14998" i="8"/>
  <c r="C14997" i="8"/>
  <c r="C14996" i="8"/>
  <c r="C14995" i="8"/>
  <c r="C14994" i="8"/>
  <c r="C14993" i="8"/>
  <c r="C14992" i="8"/>
  <c r="C14991" i="8"/>
  <c r="C14990" i="8"/>
  <c r="C14989" i="8"/>
  <c r="C14988" i="8"/>
  <c r="C14987" i="8"/>
  <c r="C14986" i="8"/>
  <c r="C14985" i="8"/>
  <c r="C14984" i="8"/>
  <c r="C14983" i="8"/>
  <c r="C14982" i="8"/>
  <c r="C14981" i="8"/>
  <c r="C14980" i="8"/>
  <c r="C14979" i="8"/>
  <c r="C14978" i="8"/>
  <c r="C14977" i="8"/>
  <c r="C14976" i="8"/>
  <c r="C14975" i="8"/>
  <c r="C14974" i="8"/>
  <c r="C14973" i="8"/>
  <c r="C14972" i="8"/>
  <c r="C14971" i="8"/>
  <c r="C14970" i="8"/>
  <c r="C14969" i="8"/>
  <c r="C14968" i="8"/>
  <c r="C14967" i="8"/>
  <c r="C14966" i="8"/>
  <c r="C14965" i="8"/>
  <c r="C14964" i="8"/>
  <c r="C14963" i="8"/>
  <c r="C14962" i="8"/>
  <c r="C14961" i="8"/>
  <c r="C14960" i="8"/>
  <c r="C14959" i="8"/>
  <c r="C14958" i="8"/>
  <c r="C14957" i="8"/>
  <c r="C14956" i="8"/>
  <c r="C14955" i="8"/>
  <c r="C14954" i="8"/>
  <c r="C14953" i="8"/>
  <c r="C14952" i="8"/>
  <c r="C14951" i="8"/>
  <c r="C14950" i="8"/>
  <c r="C14949" i="8"/>
  <c r="C14948" i="8"/>
  <c r="C14947" i="8"/>
  <c r="C14946" i="8"/>
  <c r="C14945" i="8"/>
  <c r="C14944" i="8"/>
  <c r="C14943" i="8"/>
  <c r="C14942" i="8"/>
  <c r="C14941" i="8"/>
  <c r="C14940" i="8"/>
  <c r="C14939" i="8"/>
  <c r="C14938" i="8"/>
  <c r="C14937" i="8"/>
  <c r="C14936" i="8"/>
  <c r="C14935" i="8"/>
  <c r="C14934" i="8"/>
  <c r="C14933" i="8"/>
  <c r="C14932" i="8"/>
  <c r="C14931" i="8"/>
  <c r="C14930" i="8"/>
  <c r="C14929" i="8"/>
  <c r="C14928" i="8"/>
  <c r="C14927" i="8"/>
  <c r="C14926" i="8"/>
  <c r="C14925" i="8"/>
  <c r="C14924" i="8"/>
  <c r="C14923" i="8"/>
  <c r="C14922" i="8"/>
  <c r="C14921" i="8"/>
  <c r="C14920" i="8"/>
  <c r="C14919" i="8"/>
  <c r="C14918" i="8"/>
  <c r="C14917" i="8"/>
  <c r="C14916" i="8"/>
  <c r="C14915" i="8"/>
  <c r="C14914" i="8"/>
  <c r="C14913" i="8"/>
  <c r="C14912" i="8"/>
  <c r="C14911" i="8"/>
  <c r="C14910" i="8"/>
  <c r="C14909" i="8"/>
  <c r="C14908" i="8"/>
  <c r="C14907" i="8"/>
  <c r="C14906" i="8"/>
  <c r="C14905" i="8"/>
  <c r="C14904" i="8"/>
  <c r="C14903" i="8"/>
  <c r="C14902" i="8"/>
  <c r="C14901" i="8"/>
  <c r="C14900" i="8"/>
  <c r="C14899" i="8"/>
  <c r="C14898" i="8"/>
  <c r="C14897" i="8"/>
  <c r="C14896" i="8"/>
  <c r="C14895" i="8"/>
  <c r="C14894" i="8"/>
  <c r="C14893" i="8"/>
  <c r="C14892" i="8"/>
  <c r="C14891" i="8"/>
  <c r="C14890" i="8"/>
  <c r="C14889" i="8"/>
  <c r="C14888" i="8"/>
  <c r="C14887" i="8"/>
  <c r="C14886" i="8"/>
  <c r="C14885" i="8"/>
  <c r="C14884" i="8"/>
  <c r="C14883" i="8"/>
  <c r="C14882" i="8"/>
  <c r="C14881" i="8"/>
  <c r="C14880" i="8"/>
  <c r="C14879" i="8"/>
  <c r="C14878" i="8"/>
  <c r="C14877" i="8"/>
  <c r="C14876" i="8"/>
  <c r="C14875" i="8"/>
  <c r="C14874" i="8"/>
  <c r="C14873" i="8"/>
  <c r="C14872" i="8"/>
  <c r="C14871" i="8"/>
  <c r="C14870" i="8"/>
  <c r="C14869" i="8"/>
  <c r="C14868" i="8"/>
  <c r="C14867" i="8"/>
  <c r="C14866" i="8"/>
  <c r="C14865" i="8"/>
  <c r="C14864" i="8"/>
  <c r="C14863" i="8"/>
  <c r="C14862" i="8"/>
  <c r="C14861" i="8"/>
  <c r="C14860" i="8"/>
  <c r="C14859" i="8"/>
  <c r="C14858" i="8"/>
  <c r="C14857" i="8"/>
  <c r="C14856" i="8"/>
  <c r="C14855" i="8"/>
  <c r="C14854" i="8"/>
  <c r="C14853" i="8"/>
  <c r="C14852" i="8"/>
  <c r="C14851" i="8"/>
  <c r="C14850" i="8"/>
  <c r="C14849" i="8"/>
  <c r="C14848" i="8"/>
  <c r="C14847" i="8"/>
  <c r="C14846" i="8"/>
  <c r="C14845" i="8"/>
  <c r="C14844" i="8"/>
  <c r="C14843" i="8"/>
  <c r="C14842" i="8"/>
  <c r="C14841" i="8"/>
  <c r="C14840" i="8"/>
  <c r="C14839" i="8"/>
  <c r="C14838" i="8"/>
  <c r="C14837" i="8"/>
  <c r="C14836" i="8"/>
  <c r="C14835" i="8"/>
  <c r="C14834" i="8"/>
  <c r="C14833" i="8"/>
  <c r="C14832" i="8"/>
  <c r="C14831" i="8"/>
  <c r="C14830" i="8"/>
  <c r="C14829" i="8"/>
  <c r="C14828" i="8"/>
  <c r="C14827" i="8"/>
  <c r="C14826" i="8"/>
  <c r="C14825" i="8"/>
  <c r="C14824" i="8"/>
  <c r="C14823" i="8"/>
  <c r="C14822" i="8"/>
  <c r="C14821" i="8"/>
  <c r="C14820" i="8"/>
  <c r="C14819" i="8"/>
  <c r="C14818" i="8"/>
  <c r="C14817" i="8"/>
  <c r="C14816" i="8"/>
  <c r="C14815" i="8"/>
  <c r="C14814" i="8"/>
  <c r="C14813" i="8"/>
  <c r="C14812" i="8"/>
  <c r="C14811" i="8"/>
  <c r="C14810" i="8"/>
  <c r="C14809" i="8"/>
  <c r="C14808" i="8"/>
  <c r="C14807" i="8"/>
  <c r="C14806" i="8"/>
  <c r="C14805" i="8"/>
  <c r="C14804" i="8"/>
  <c r="C14803" i="8"/>
  <c r="C14802" i="8"/>
  <c r="C14801" i="8"/>
  <c r="C14800" i="8"/>
  <c r="C14799" i="8"/>
  <c r="C14798" i="8"/>
  <c r="C14797" i="8"/>
  <c r="C14796" i="8"/>
  <c r="C14795" i="8"/>
  <c r="C14794" i="8"/>
  <c r="C14793" i="8"/>
  <c r="C14792" i="8"/>
  <c r="C14791" i="8"/>
  <c r="C14790" i="8"/>
  <c r="C14789" i="8"/>
  <c r="C14788" i="8"/>
  <c r="C14787" i="8"/>
  <c r="C14786" i="8"/>
  <c r="C14785" i="8"/>
  <c r="C14784" i="8"/>
  <c r="C14783" i="8"/>
  <c r="C14782" i="8"/>
  <c r="C14781" i="8"/>
  <c r="C14780" i="8"/>
  <c r="C14779" i="8"/>
  <c r="C14778" i="8"/>
  <c r="C14777" i="8"/>
  <c r="C14776" i="8"/>
  <c r="C14775" i="8"/>
  <c r="C14774" i="8"/>
  <c r="C14773" i="8"/>
  <c r="C14772" i="8"/>
  <c r="C14771" i="8"/>
  <c r="C14770" i="8"/>
  <c r="C14769" i="8"/>
  <c r="C14768" i="8"/>
  <c r="C14767" i="8"/>
  <c r="C14766" i="8"/>
  <c r="C14765" i="8"/>
  <c r="C14764" i="8"/>
  <c r="C14763" i="8"/>
  <c r="C14762" i="8"/>
  <c r="C14761" i="8"/>
  <c r="C14760" i="8"/>
  <c r="C14759" i="8"/>
  <c r="C14758" i="8"/>
  <c r="C14757" i="8"/>
  <c r="C14756" i="8"/>
  <c r="C14755" i="8"/>
  <c r="C14754" i="8"/>
  <c r="C14753" i="8"/>
  <c r="C14752" i="8"/>
  <c r="C14751" i="8"/>
  <c r="C14750" i="8"/>
  <c r="C14749" i="8"/>
  <c r="C14748" i="8"/>
  <c r="C14747" i="8"/>
  <c r="C14746" i="8"/>
  <c r="C14745" i="8"/>
  <c r="C14744" i="8"/>
  <c r="C14743" i="8"/>
  <c r="C14742" i="8"/>
  <c r="C14741" i="8"/>
  <c r="C14740" i="8"/>
  <c r="C14739" i="8"/>
  <c r="C14738" i="8"/>
  <c r="C14737" i="8"/>
  <c r="C14736" i="8"/>
  <c r="C14735" i="8"/>
  <c r="C14734" i="8"/>
  <c r="C14733" i="8"/>
  <c r="C14732" i="8"/>
  <c r="C14731" i="8"/>
  <c r="C14730" i="8"/>
  <c r="C14729" i="8"/>
  <c r="C14728" i="8"/>
  <c r="C14727" i="8"/>
  <c r="C14726" i="8"/>
  <c r="C14725" i="8"/>
  <c r="C14724" i="8"/>
  <c r="C14723" i="8"/>
  <c r="C14722" i="8"/>
  <c r="C14721" i="8"/>
  <c r="C14720" i="8"/>
  <c r="C14719" i="8"/>
  <c r="C14718" i="8"/>
  <c r="C14717" i="8"/>
  <c r="C14716" i="8"/>
  <c r="C14715" i="8"/>
  <c r="C14714" i="8"/>
  <c r="C14713" i="8"/>
  <c r="C14712" i="8"/>
  <c r="C14711" i="8"/>
  <c r="C14710" i="8"/>
  <c r="C14709" i="8"/>
  <c r="C14708" i="8"/>
  <c r="C14707" i="8"/>
  <c r="C14706" i="8"/>
  <c r="C14705" i="8"/>
  <c r="C14704" i="8"/>
  <c r="C14703" i="8"/>
  <c r="C14702" i="8"/>
  <c r="C14701" i="8"/>
  <c r="C14700" i="8"/>
  <c r="C14699" i="8"/>
  <c r="C14698" i="8"/>
  <c r="C14697" i="8"/>
  <c r="C14696" i="8"/>
  <c r="C14695" i="8"/>
  <c r="C14694" i="8"/>
  <c r="C14693" i="8"/>
  <c r="C14692" i="8"/>
  <c r="C14691" i="8"/>
  <c r="C14690" i="8"/>
  <c r="C14689" i="8"/>
  <c r="C14688" i="8"/>
  <c r="C14687" i="8"/>
  <c r="C14686" i="8"/>
  <c r="C14685" i="8"/>
  <c r="C14684" i="8"/>
  <c r="C14683" i="8"/>
  <c r="C14682" i="8"/>
  <c r="C14681" i="8"/>
  <c r="C14680" i="8"/>
  <c r="C14679" i="8"/>
  <c r="C14678" i="8"/>
  <c r="C14677" i="8"/>
  <c r="C14676" i="8"/>
  <c r="C14675" i="8"/>
  <c r="C14674" i="8"/>
  <c r="C14673" i="8"/>
  <c r="C14672" i="8"/>
  <c r="C14671" i="8"/>
  <c r="C14670" i="8"/>
  <c r="C14669" i="8"/>
  <c r="C14668" i="8"/>
  <c r="C14667" i="8"/>
  <c r="C14666" i="8"/>
  <c r="C14665" i="8"/>
  <c r="C14664" i="8"/>
  <c r="C14663" i="8"/>
  <c r="C14662" i="8"/>
  <c r="C14661" i="8"/>
  <c r="C14660" i="8"/>
  <c r="C14659" i="8"/>
  <c r="C14658" i="8"/>
  <c r="C14657" i="8"/>
  <c r="C14656" i="8"/>
  <c r="C14655" i="8"/>
  <c r="C14654" i="8"/>
  <c r="C14653" i="8"/>
  <c r="C14652" i="8"/>
  <c r="C14651" i="8"/>
  <c r="C14650" i="8"/>
  <c r="C14649" i="8"/>
  <c r="C14648" i="8"/>
  <c r="C14647" i="8"/>
  <c r="C14646" i="8"/>
  <c r="C14645" i="8"/>
  <c r="C14644" i="8"/>
  <c r="C14643" i="8"/>
  <c r="C14642" i="8"/>
  <c r="C14641" i="8"/>
  <c r="C14640" i="8"/>
  <c r="C14639" i="8"/>
  <c r="C14638" i="8"/>
  <c r="C14637" i="8"/>
  <c r="C14636" i="8"/>
  <c r="C14635" i="8"/>
  <c r="C14634" i="8"/>
  <c r="C14633" i="8"/>
  <c r="C14632" i="8"/>
  <c r="C14631" i="8"/>
  <c r="C14630" i="8"/>
  <c r="C14629" i="8"/>
  <c r="C14628" i="8"/>
  <c r="C14627" i="8"/>
  <c r="C14626" i="8"/>
  <c r="C14625" i="8"/>
  <c r="C14624" i="8"/>
  <c r="C14623" i="8"/>
  <c r="C14622" i="8"/>
  <c r="C14621" i="8"/>
  <c r="C14620" i="8"/>
  <c r="C14619" i="8"/>
  <c r="C14618" i="8"/>
  <c r="C14617" i="8"/>
  <c r="C14616" i="8"/>
  <c r="C14615" i="8"/>
  <c r="C14614" i="8"/>
  <c r="C14613" i="8"/>
  <c r="C14612" i="8"/>
  <c r="C14611" i="8"/>
  <c r="C14610" i="8"/>
  <c r="C14609" i="8"/>
  <c r="C14608" i="8"/>
  <c r="C14607" i="8"/>
  <c r="C14606" i="8"/>
  <c r="C14605" i="8"/>
  <c r="C14604" i="8"/>
  <c r="C14603" i="8"/>
  <c r="C14602" i="8"/>
  <c r="C14601" i="8"/>
  <c r="C14600" i="8"/>
  <c r="C14599" i="8"/>
  <c r="C14598" i="8"/>
  <c r="C14597" i="8"/>
  <c r="C14596" i="8"/>
  <c r="C14595" i="8"/>
  <c r="C14594" i="8"/>
  <c r="C14593" i="8"/>
  <c r="C14592" i="8"/>
  <c r="C14591" i="8"/>
  <c r="C14590" i="8"/>
  <c r="C14589" i="8"/>
  <c r="C14588" i="8"/>
  <c r="C14587" i="8"/>
  <c r="C14586" i="8"/>
  <c r="C14585" i="8"/>
  <c r="C14584" i="8"/>
  <c r="C14583" i="8"/>
  <c r="C14582" i="8"/>
  <c r="C14581" i="8"/>
  <c r="C14580" i="8"/>
  <c r="C14579" i="8"/>
  <c r="C14578" i="8"/>
  <c r="C14577" i="8"/>
  <c r="C14576" i="8"/>
  <c r="C14575" i="8"/>
  <c r="C14574" i="8"/>
  <c r="C14573" i="8"/>
  <c r="C14572" i="8"/>
  <c r="C14571" i="8"/>
  <c r="C14570" i="8"/>
  <c r="C14569" i="8"/>
  <c r="C14568" i="8"/>
  <c r="C14567" i="8"/>
  <c r="C14566" i="8"/>
  <c r="C14565" i="8"/>
  <c r="C14564" i="8"/>
  <c r="C14563" i="8"/>
  <c r="C14562" i="8"/>
  <c r="C14561" i="8"/>
  <c r="C14560" i="8"/>
  <c r="C14559" i="8"/>
  <c r="C14558" i="8"/>
  <c r="C14557" i="8"/>
  <c r="C14556" i="8"/>
  <c r="C14555" i="8"/>
  <c r="C14554" i="8"/>
  <c r="C14553" i="8"/>
  <c r="C14552" i="8"/>
  <c r="C14551" i="8"/>
  <c r="C14550" i="8"/>
  <c r="C14549" i="8"/>
  <c r="C14548" i="8"/>
  <c r="C14547" i="8"/>
  <c r="C14546" i="8"/>
  <c r="C14545" i="8"/>
  <c r="C14544" i="8"/>
  <c r="C14543" i="8"/>
  <c r="C14542" i="8"/>
  <c r="C14541" i="8"/>
  <c r="C14540" i="8"/>
  <c r="C14539" i="8"/>
  <c r="C14538" i="8"/>
  <c r="C14537" i="8"/>
  <c r="C14536" i="8"/>
  <c r="C14535" i="8"/>
  <c r="C14534" i="8"/>
  <c r="C14533" i="8"/>
  <c r="C14532" i="8"/>
  <c r="C14531" i="8"/>
  <c r="C14530" i="8"/>
  <c r="C14529" i="8"/>
  <c r="C14528" i="8"/>
  <c r="C14527" i="8"/>
  <c r="C14526" i="8"/>
  <c r="C14525" i="8"/>
  <c r="C14524" i="8"/>
  <c r="C14523" i="8"/>
  <c r="C14522" i="8"/>
  <c r="C14521" i="8"/>
  <c r="C14520" i="8"/>
  <c r="C14519" i="8"/>
  <c r="C14518" i="8"/>
  <c r="C14517" i="8"/>
  <c r="C14516" i="8"/>
  <c r="C14515" i="8"/>
  <c r="C14514" i="8"/>
  <c r="C14513" i="8"/>
  <c r="C14512" i="8"/>
  <c r="C14511" i="8"/>
  <c r="C14510" i="8"/>
  <c r="C14509" i="8"/>
  <c r="C14508" i="8"/>
  <c r="C14507" i="8"/>
  <c r="C14506" i="8"/>
  <c r="C14505" i="8"/>
  <c r="C14504" i="8"/>
  <c r="C14503" i="8"/>
  <c r="C14502" i="8"/>
  <c r="C14501" i="8"/>
  <c r="C14500" i="8"/>
  <c r="C14499" i="8"/>
  <c r="C14498" i="8"/>
  <c r="C14497" i="8"/>
  <c r="C14496" i="8"/>
  <c r="C14495" i="8"/>
  <c r="C14494" i="8"/>
  <c r="C14493" i="8"/>
  <c r="C14492" i="8"/>
  <c r="C14491" i="8"/>
  <c r="C14490" i="8"/>
  <c r="C14489" i="8"/>
  <c r="C14488" i="8"/>
  <c r="C14487" i="8"/>
  <c r="C14486" i="8"/>
  <c r="C14485" i="8"/>
  <c r="C14484" i="8"/>
  <c r="C14483" i="8"/>
  <c r="C14482" i="8"/>
  <c r="C14481" i="8"/>
  <c r="C14480" i="8"/>
  <c r="C14479" i="8"/>
  <c r="C14478" i="8"/>
  <c r="C14477" i="8"/>
  <c r="C14476" i="8"/>
  <c r="C14475" i="8"/>
  <c r="C14474" i="8"/>
  <c r="C14473" i="8"/>
  <c r="C14472" i="8"/>
  <c r="C14471" i="8"/>
  <c r="C14470" i="8"/>
  <c r="C14469" i="8"/>
  <c r="C14468" i="8"/>
  <c r="C14467" i="8"/>
  <c r="C14466" i="8"/>
  <c r="C14465" i="8"/>
  <c r="C14464" i="8"/>
  <c r="C14463" i="8"/>
  <c r="C14462" i="8"/>
  <c r="C14461" i="8"/>
  <c r="C14460" i="8"/>
  <c r="C14459" i="8"/>
  <c r="C14458" i="8"/>
  <c r="C14457" i="8"/>
  <c r="C14456" i="8"/>
  <c r="C14455" i="8"/>
  <c r="C14454" i="8"/>
  <c r="C14453" i="8"/>
  <c r="C14452" i="8"/>
  <c r="C14451" i="8"/>
  <c r="C14450" i="8"/>
  <c r="C14449" i="8"/>
  <c r="C14448" i="8"/>
  <c r="C14447" i="8"/>
  <c r="C14446" i="8"/>
  <c r="C14445" i="8"/>
  <c r="C14444" i="8"/>
  <c r="C14443" i="8"/>
  <c r="C14442" i="8"/>
  <c r="C14441" i="8"/>
  <c r="C14440" i="8"/>
  <c r="C14439" i="8"/>
  <c r="C14438" i="8"/>
  <c r="C14437" i="8"/>
  <c r="C14436" i="8"/>
  <c r="C14435" i="8"/>
  <c r="C14434" i="8"/>
  <c r="C14433" i="8"/>
  <c r="C14432" i="8"/>
  <c r="C14431" i="8"/>
  <c r="C14430" i="8"/>
  <c r="C14429" i="8"/>
  <c r="C14428" i="8"/>
  <c r="C14427" i="8"/>
  <c r="C14426" i="8"/>
  <c r="C14425" i="8"/>
  <c r="C14424" i="8"/>
  <c r="C14423" i="8"/>
  <c r="C14422" i="8"/>
  <c r="C14421" i="8"/>
  <c r="C14420" i="8"/>
  <c r="C14419" i="8"/>
  <c r="C14418" i="8"/>
  <c r="C14417" i="8"/>
  <c r="C14416" i="8"/>
  <c r="C14415" i="8"/>
  <c r="C14414" i="8"/>
  <c r="C14413" i="8"/>
  <c r="C14412" i="8"/>
  <c r="C14411" i="8"/>
  <c r="C14410" i="8"/>
  <c r="C14409" i="8"/>
  <c r="C14408" i="8"/>
  <c r="C14407" i="8"/>
  <c r="C14406" i="8"/>
  <c r="C14405" i="8"/>
  <c r="C14404" i="8"/>
  <c r="C14403" i="8"/>
  <c r="C14402" i="8"/>
  <c r="C14401" i="8"/>
  <c r="C14400" i="8"/>
  <c r="C14399" i="8"/>
  <c r="C14398" i="8"/>
  <c r="C14397" i="8"/>
  <c r="C14396" i="8"/>
  <c r="C14395" i="8"/>
  <c r="C14394" i="8"/>
  <c r="C14393" i="8"/>
  <c r="C14392" i="8"/>
  <c r="C14391" i="8"/>
  <c r="C14390" i="8"/>
  <c r="C14389" i="8"/>
  <c r="C14388" i="8"/>
  <c r="C14387" i="8"/>
  <c r="C14386" i="8"/>
  <c r="C14385" i="8"/>
  <c r="C14384" i="8"/>
  <c r="C14383" i="8"/>
  <c r="C14382" i="8"/>
  <c r="C14381" i="8"/>
  <c r="C14380" i="8"/>
  <c r="C14379" i="8"/>
  <c r="C14378" i="8"/>
  <c r="C14377" i="8"/>
  <c r="C14376" i="8"/>
  <c r="C14375" i="8"/>
  <c r="C14374" i="8"/>
  <c r="C14373" i="8"/>
  <c r="C14372" i="8"/>
  <c r="C14371" i="8"/>
  <c r="C14370" i="8"/>
  <c r="C14369" i="8"/>
  <c r="C14368" i="8"/>
  <c r="C14367" i="8"/>
  <c r="C14366" i="8"/>
  <c r="C14365" i="8"/>
  <c r="C14364" i="8"/>
  <c r="C14363" i="8"/>
  <c r="C14362" i="8"/>
  <c r="C14361" i="8"/>
  <c r="C14360" i="8"/>
  <c r="C14359" i="8"/>
  <c r="C14358" i="8"/>
  <c r="C14357" i="8"/>
  <c r="C14356" i="8"/>
  <c r="C14355" i="8"/>
  <c r="C14354" i="8"/>
  <c r="C14353" i="8"/>
  <c r="C14352" i="8"/>
  <c r="C14351" i="8"/>
  <c r="C14350" i="8"/>
  <c r="C14349" i="8"/>
  <c r="C14348" i="8"/>
  <c r="C14347" i="8"/>
  <c r="C14346" i="8"/>
  <c r="C14345" i="8"/>
  <c r="C14344" i="8"/>
  <c r="C14343" i="8"/>
  <c r="C14342" i="8"/>
  <c r="C14341" i="8"/>
  <c r="C14340" i="8"/>
  <c r="C14339" i="8"/>
  <c r="C14338" i="8"/>
  <c r="C14337" i="8"/>
  <c r="C14336" i="8"/>
  <c r="C14335" i="8"/>
  <c r="C14334" i="8"/>
  <c r="C14333" i="8"/>
  <c r="C14332" i="8"/>
  <c r="C14331" i="8"/>
  <c r="C14330" i="8"/>
  <c r="C14329" i="8"/>
  <c r="C14328" i="8"/>
  <c r="C14327" i="8"/>
  <c r="C14326" i="8"/>
  <c r="C14325" i="8"/>
  <c r="C14324" i="8"/>
  <c r="C14323" i="8"/>
  <c r="C14322" i="8"/>
  <c r="C14321" i="8"/>
  <c r="C14320" i="8"/>
  <c r="C14319" i="8"/>
  <c r="C14318" i="8"/>
  <c r="C14317" i="8"/>
  <c r="C14316" i="8"/>
  <c r="C14315" i="8"/>
  <c r="C14314" i="8"/>
  <c r="C14313" i="8"/>
  <c r="C14312" i="8"/>
  <c r="C14311" i="8"/>
  <c r="C14310" i="8"/>
  <c r="C14309" i="8"/>
  <c r="C14308" i="8"/>
  <c r="C14307" i="8"/>
  <c r="C14306" i="8"/>
  <c r="C14305" i="8"/>
  <c r="C14304" i="8"/>
  <c r="C14303" i="8"/>
  <c r="C14302" i="8"/>
  <c r="C14301" i="8"/>
  <c r="C14300" i="8"/>
  <c r="C14299" i="8"/>
  <c r="C14298" i="8"/>
  <c r="C14297" i="8"/>
  <c r="C14296" i="8"/>
  <c r="C14295" i="8"/>
  <c r="C14294" i="8"/>
  <c r="C14293" i="8"/>
  <c r="C14292" i="8"/>
  <c r="C14291" i="8"/>
  <c r="C14290" i="8"/>
  <c r="C14289" i="8"/>
  <c r="C14288" i="8"/>
  <c r="C14287" i="8"/>
  <c r="C14286" i="8"/>
  <c r="C14285" i="8"/>
  <c r="C14284" i="8"/>
  <c r="C14283" i="8"/>
  <c r="C14282" i="8"/>
  <c r="C14281" i="8"/>
  <c r="C14280" i="8"/>
  <c r="C14279" i="8"/>
  <c r="C14278" i="8"/>
  <c r="C14277" i="8"/>
  <c r="C14276" i="8"/>
  <c r="C14275" i="8"/>
  <c r="C14274" i="8"/>
  <c r="C14273" i="8"/>
  <c r="C14272" i="8"/>
  <c r="C14271" i="8"/>
  <c r="C14270" i="8"/>
  <c r="C14269" i="8"/>
  <c r="C14268" i="8"/>
  <c r="C14267" i="8"/>
  <c r="C14266" i="8"/>
  <c r="C14265" i="8"/>
  <c r="C14264" i="8"/>
  <c r="C14263" i="8"/>
  <c r="C14262" i="8"/>
  <c r="C14261" i="8"/>
  <c r="C14260" i="8"/>
  <c r="C14259" i="8"/>
  <c r="C14258" i="8"/>
  <c r="C14257" i="8"/>
  <c r="C14256" i="8"/>
  <c r="C14255" i="8"/>
  <c r="C14254" i="8"/>
  <c r="C14253" i="8"/>
  <c r="C14252" i="8"/>
  <c r="C14251" i="8"/>
  <c r="C14250" i="8"/>
  <c r="C14249" i="8"/>
  <c r="C14248" i="8"/>
  <c r="C14247" i="8"/>
  <c r="C14246" i="8"/>
  <c r="C14245" i="8"/>
  <c r="C14244" i="8"/>
  <c r="C14243" i="8"/>
  <c r="C14242" i="8"/>
  <c r="C14241" i="8"/>
  <c r="C14240" i="8"/>
  <c r="C14239" i="8"/>
  <c r="C14238" i="8"/>
  <c r="C14237" i="8"/>
  <c r="C14236" i="8"/>
  <c r="C14235" i="8"/>
  <c r="C14234" i="8"/>
  <c r="C14233" i="8"/>
  <c r="C14232" i="8"/>
  <c r="C14231" i="8"/>
  <c r="C14230" i="8"/>
  <c r="C14229" i="8"/>
  <c r="C14228" i="8"/>
  <c r="C14227" i="8"/>
  <c r="C14226" i="8"/>
  <c r="C14225" i="8"/>
  <c r="C14224" i="8"/>
  <c r="C14223" i="8"/>
  <c r="C14222" i="8"/>
  <c r="C14221" i="8"/>
  <c r="C14220" i="8"/>
  <c r="C14219" i="8"/>
  <c r="C14218" i="8"/>
  <c r="C14217" i="8"/>
  <c r="C14216" i="8"/>
  <c r="C14215" i="8"/>
  <c r="C14214" i="8"/>
  <c r="C14213" i="8"/>
  <c r="C14212" i="8"/>
  <c r="C14211" i="8"/>
  <c r="C14210" i="8"/>
  <c r="C14209" i="8"/>
  <c r="C14208" i="8"/>
  <c r="C14207" i="8"/>
  <c r="C14206" i="8"/>
  <c r="C14205" i="8"/>
  <c r="C14204" i="8"/>
  <c r="C14203" i="8"/>
  <c r="C14202" i="8"/>
  <c r="C14201" i="8"/>
  <c r="C14200" i="8"/>
  <c r="C14199" i="8"/>
  <c r="C14198" i="8"/>
  <c r="C14197" i="8"/>
  <c r="C14196" i="8"/>
  <c r="C14195" i="8"/>
  <c r="C14194" i="8"/>
  <c r="C14193" i="8"/>
  <c r="C14192" i="8"/>
  <c r="C14191" i="8"/>
  <c r="C14190" i="8"/>
  <c r="C14189" i="8"/>
  <c r="C14188" i="8"/>
  <c r="C14187" i="8"/>
  <c r="C14186" i="8"/>
  <c r="C14185" i="8"/>
  <c r="C14184" i="8"/>
  <c r="C14183" i="8"/>
  <c r="C14182" i="8"/>
  <c r="C14181" i="8"/>
  <c r="C14180" i="8"/>
  <c r="C14179" i="8"/>
  <c r="C14178" i="8"/>
  <c r="C14177" i="8"/>
  <c r="C14176" i="8"/>
  <c r="C14175" i="8"/>
  <c r="C14174" i="8"/>
  <c r="C14173" i="8"/>
  <c r="C14172" i="8"/>
  <c r="C14171" i="8"/>
  <c r="C14170" i="8"/>
  <c r="C14169" i="8"/>
  <c r="C14168" i="8"/>
  <c r="C14167" i="8"/>
  <c r="C14166" i="8"/>
  <c r="C14165" i="8"/>
  <c r="C14164" i="8"/>
  <c r="C14163" i="8"/>
  <c r="C14162" i="8"/>
  <c r="C14161" i="8"/>
  <c r="C14160" i="8"/>
  <c r="C14159" i="8"/>
  <c r="C14158" i="8"/>
  <c r="C14157" i="8"/>
  <c r="C14156" i="8"/>
  <c r="C14155" i="8"/>
  <c r="C14154" i="8"/>
  <c r="C14153" i="8"/>
  <c r="C14152" i="8"/>
  <c r="C14151" i="8"/>
  <c r="C14150" i="8"/>
  <c r="C14149" i="8"/>
  <c r="C14148" i="8"/>
  <c r="C14147" i="8"/>
  <c r="C14146" i="8"/>
  <c r="C14145" i="8"/>
  <c r="C14144" i="8"/>
  <c r="C14143" i="8"/>
  <c r="C14142" i="8"/>
  <c r="C14141" i="8"/>
  <c r="C14140" i="8"/>
  <c r="C14139" i="8"/>
  <c r="C14138" i="8"/>
  <c r="C14137" i="8"/>
  <c r="C14136" i="8"/>
  <c r="C14135" i="8"/>
  <c r="C14134" i="8"/>
  <c r="C14133" i="8"/>
  <c r="C14132" i="8"/>
  <c r="C14131" i="8"/>
  <c r="C14130" i="8"/>
  <c r="C14129" i="8"/>
  <c r="C14128" i="8"/>
  <c r="C14127" i="8"/>
  <c r="C14126" i="8"/>
  <c r="C14125" i="8"/>
  <c r="C14124" i="8"/>
  <c r="C14123" i="8"/>
  <c r="C14122" i="8"/>
  <c r="C14121" i="8"/>
  <c r="C14120" i="8"/>
  <c r="C14119" i="8"/>
  <c r="C14118" i="8"/>
  <c r="C14117" i="8"/>
  <c r="C14116" i="8"/>
  <c r="C14115" i="8"/>
  <c r="C14114" i="8"/>
  <c r="C14113" i="8"/>
  <c r="C14112" i="8"/>
  <c r="C14111" i="8"/>
  <c r="C14110" i="8"/>
  <c r="C14109" i="8"/>
  <c r="C14108" i="8"/>
  <c r="C14107" i="8"/>
  <c r="C14106" i="8"/>
  <c r="C14105" i="8"/>
  <c r="C14104" i="8"/>
  <c r="C14103" i="8"/>
  <c r="C14102" i="8"/>
  <c r="C14101" i="8"/>
  <c r="C14100" i="8"/>
  <c r="C14099" i="8"/>
  <c r="C14098" i="8"/>
  <c r="C14097" i="8"/>
  <c r="C14096" i="8"/>
  <c r="C14095" i="8"/>
  <c r="C14094" i="8"/>
  <c r="C14093" i="8"/>
  <c r="C14092" i="8"/>
  <c r="C14091" i="8"/>
  <c r="C14090" i="8"/>
  <c r="C14089" i="8"/>
  <c r="C14088" i="8"/>
  <c r="C14087" i="8"/>
  <c r="C14086" i="8"/>
  <c r="C14085" i="8"/>
  <c r="C14084" i="8"/>
  <c r="C14083" i="8"/>
  <c r="C14082" i="8"/>
  <c r="C14081" i="8"/>
  <c r="C14080" i="8"/>
  <c r="C14079" i="8"/>
  <c r="C14078" i="8"/>
  <c r="C14077" i="8"/>
  <c r="C14076" i="8"/>
  <c r="C14075" i="8"/>
  <c r="C14074" i="8"/>
  <c r="C14073" i="8"/>
  <c r="C14072" i="8"/>
  <c r="C14071" i="8"/>
  <c r="C14070" i="8"/>
  <c r="C14069" i="8"/>
  <c r="C14068" i="8"/>
  <c r="C14067" i="8"/>
  <c r="C14066" i="8"/>
  <c r="C14065" i="8"/>
  <c r="C14064" i="8"/>
  <c r="C14063" i="8"/>
  <c r="C14062" i="8"/>
  <c r="C14061" i="8"/>
  <c r="C14060" i="8"/>
  <c r="C14059" i="8"/>
  <c r="C14058" i="8"/>
  <c r="C14057" i="8"/>
  <c r="C14056" i="8"/>
  <c r="C14055" i="8"/>
  <c r="C14054" i="8"/>
  <c r="C14053" i="8"/>
  <c r="C14052" i="8"/>
  <c r="C14051" i="8"/>
  <c r="C14050" i="8"/>
  <c r="C14049" i="8"/>
  <c r="C14048" i="8"/>
  <c r="C14047" i="8"/>
  <c r="C14046" i="8"/>
  <c r="C14045" i="8"/>
  <c r="C14044" i="8"/>
  <c r="C14043" i="8"/>
  <c r="C14042" i="8"/>
  <c r="C14041" i="8"/>
  <c r="C14040" i="8"/>
  <c r="C14039" i="8"/>
  <c r="C14038" i="8"/>
  <c r="C14037" i="8"/>
  <c r="C14036" i="8"/>
  <c r="C14035" i="8"/>
  <c r="C14034" i="8"/>
  <c r="C14033" i="8"/>
  <c r="C14032" i="8"/>
  <c r="C14031" i="8"/>
  <c r="C14030" i="8"/>
  <c r="C14029" i="8"/>
  <c r="C14028" i="8"/>
  <c r="C14027" i="8"/>
  <c r="C14026" i="8"/>
  <c r="C14025" i="8"/>
  <c r="C14024" i="8"/>
  <c r="C14023" i="8"/>
  <c r="C14022" i="8"/>
  <c r="C14021" i="8"/>
  <c r="C14020" i="8"/>
  <c r="C14019" i="8"/>
  <c r="C14018" i="8"/>
  <c r="C14017" i="8"/>
  <c r="C14016" i="8"/>
  <c r="C14015" i="8"/>
  <c r="C14014" i="8"/>
  <c r="C14013" i="8"/>
  <c r="C14012" i="8"/>
  <c r="C14011" i="8"/>
  <c r="C14010" i="8"/>
  <c r="C14009" i="8"/>
  <c r="C14008" i="8"/>
  <c r="C14007" i="8"/>
  <c r="C14006" i="8"/>
  <c r="C14005" i="8"/>
  <c r="C14004" i="8"/>
  <c r="C14003" i="8"/>
  <c r="C14002" i="8"/>
  <c r="C14001" i="8"/>
  <c r="C14000" i="8"/>
  <c r="C13999" i="8"/>
  <c r="C13998" i="8"/>
  <c r="C13997" i="8"/>
  <c r="C13996" i="8"/>
  <c r="C13995" i="8"/>
  <c r="C13994" i="8"/>
  <c r="C13993" i="8"/>
  <c r="C13992" i="8"/>
  <c r="C13991" i="8"/>
  <c r="C13990" i="8"/>
  <c r="C13989" i="8"/>
  <c r="C13988" i="8"/>
  <c r="C13987" i="8"/>
  <c r="C13986" i="8"/>
  <c r="C13985" i="8"/>
  <c r="C13984" i="8"/>
  <c r="C13983" i="8"/>
  <c r="C13982" i="8"/>
  <c r="C13981" i="8"/>
  <c r="C13980" i="8"/>
  <c r="C13979" i="8"/>
  <c r="C13978" i="8"/>
  <c r="C13977" i="8"/>
  <c r="C13976" i="8"/>
  <c r="C13975" i="8"/>
  <c r="C13974" i="8"/>
  <c r="C13973" i="8"/>
  <c r="C13972" i="8"/>
  <c r="C13971" i="8"/>
  <c r="C13970" i="8"/>
  <c r="C13969" i="8"/>
  <c r="C13968" i="8"/>
  <c r="C13967" i="8"/>
  <c r="C13966" i="8"/>
  <c r="C13965" i="8"/>
  <c r="C13964" i="8"/>
  <c r="C13963" i="8"/>
  <c r="C13962" i="8"/>
  <c r="C13961" i="8"/>
  <c r="C13960" i="8"/>
  <c r="C13959" i="8"/>
  <c r="C13958" i="8"/>
  <c r="C13957" i="8"/>
  <c r="C13956" i="8"/>
  <c r="C13955" i="8"/>
  <c r="C13954" i="8"/>
  <c r="C13953" i="8"/>
  <c r="C13952" i="8"/>
  <c r="C13951" i="8"/>
  <c r="C13950" i="8"/>
  <c r="C13949" i="8"/>
  <c r="C13948" i="8"/>
  <c r="C13947" i="8"/>
  <c r="C13946" i="8"/>
  <c r="C13945" i="8"/>
  <c r="C13944" i="8"/>
  <c r="C13943" i="8"/>
  <c r="C13942" i="8"/>
  <c r="C13941" i="8"/>
  <c r="C13940" i="8"/>
  <c r="C13939" i="8"/>
  <c r="C13938" i="8"/>
  <c r="C13937" i="8"/>
  <c r="C13936" i="8"/>
  <c r="C13935" i="8"/>
  <c r="C13934" i="8"/>
  <c r="C13933" i="8"/>
  <c r="C13932" i="8"/>
  <c r="C13931" i="8"/>
  <c r="C13930" i="8"/>
  <c r="C13929" i="8"/>
  <c r="C13928" i="8"/>
  <c r="C13927" i="8"/>
  <c r="C13926" i="8"/>
  <c r="C13925" i="8"/>
  <c r="C13924" i="8"/>
  <c r="C13923" i="8"/>
  <c r="C13922" i="8"/>
  <c r="C13921" i="8"/>
  <c r="C13920" i="8"/>
  <c r="C13919" i="8"/>
  <c r="C13918" i="8"/>
  <c r="C13917" i="8"/>
  <c r="C13916" i="8"/>
  <c r="C13915" i="8"/>
  <c r="C13914" i="8"/>
  <c r="C13913" i="8"/>
  <c r="C13912" i="8"/>
  <c r="C13911" i="8"/>
  <c r="C13910" i="8"/>
  <c r="C13909" i="8"/>
  <c r="C13908" i="8"/>
  <c r="C13907" i="8"/>
  <c r="C13906" i="8"/>
  <c r="C13905" i="8"/>
  <c r="C13904" i="8"/>
  <c r="C13903" i="8"/>
  <c r="C13902" i="8"/>
  <c r="C13901" i="8"/>
  <c r="C13900" i="8"/>
  <c r="C13899" i="8"/>
  <c r="C13898" i="8"/>
  <c r="C13897" i="8"/>
  <c r="C13896" i="8"/>
  <c r="C13895" i="8"/>
  <c r="C13894" i="8"/>
  <c r="C13893" i="8"/>
  <c r="C13892" i="8"/>
  <c r="C13891" i="8"/>
  <c r="C13890" i="8"/>
  <c r="C13889" i="8"/>
  <c r="C13888" i="8"/>
  <c r="C13887" i="8"/>
  <c r="C13886" i="8"/>
  <c r="C13885" i="8"/>
  <c r="C13884" i="8"/>
  <c r="C13883" i="8"/>
  <c r="C13882" i="8"/>
  <c r="C13881" i="8"/>
  <c r="C13880" i="8"/>
  <c r="C13879" i="8"/>
  <c r="C13878" i="8"/>
  <c r="C13877" i="8"/>
  <c r="C13876" i="8"/>
  <c r="C13875" i="8"/>
  <c r="C13874" i="8"/>
  <c r="C13873" i="8"/>
  <c r="C13872" i="8"/>
  <c r="C13871" i="8"/>
  <c r="C13870" i="8"/>
  <c r="C13869" i="8"/>
  <c r="C13868" i="8"/>
  <c r="C13867" i="8"/>
  <c r="C13866" i="8"/>
  <c r="C13865" i="8"/>
  <c r="C13864" i="8"/>
  <c r="C13863" i="8"/>
  <c r="C13862" i="8"/>
  <c r="C13861" i="8"/>
  <c r="C13860" i="8"/>
  <c r="C13859" i="8"/>
  <c r="C13858" i="8"/>
  <c r="C13857" i="8"/>
  <c r="C13856" i="8"/>
  <c r="C13855" i="8"/>
  <c r="C13854" i="8"/>
  <c r="C13853" i="8"/>
  <c r="C13852" i="8"/>
  <c r="C13851" i="8"/>
  <c r="C13850" i="8"/>
  <c r="C13849" i="8"/>
  <c r="C13848" i="8"/>
  <c r="C13847" i="8"/>
  <c r="C13846" i="8"/>
  <c r="C13845" i="8"/>
  <c r="C13844" i="8"/>
  <c r="C13843" i="8"/>
  <c r="C13842" i="8"/>
  <c r="C13841" i="8"/>
  <c r="C13840" i="8"/>
  <c r="C13839" i="8"/>
  <c r="C13838" i="8"/>
  <c r="C13837" i="8"/>
  <c r="C13836" i="8"/>
  <c r="C13835" i="8"/>
  <c r="C13834" i="8"/>
  <c r="C13833" i="8"/>
  <c r="C13832" i="8"/>
  <c r="C13831" i="8"/>
  <c r="C13830" i="8"/>
  <c r="C13829" i="8"/>
  <c r="C13828" i="8"/>
  <c r="C13827" i="8"/>
  <c r="C13826" i="8"/>
  <c r="C13825" i="8"/>
  <c r="C13824" i="8"/>
  <c r="C13823" i="8"/>
  <c r="C13822" i="8"/>
  <c r="C13821" i="8"/>
  <c r="C13820" i="8"/>
  <c r="C13819" i="8"/>
  <c r="C13818" i="8"/>
  <c r="C13817" i="8"/>
  <c r="C13816" i="8"/>
  <c r="C13815" i="8"/>
  <c r="C13814" i="8"/>
  <c r="C13813" i="8"/>
  <c r="C13812" i="8"/>
  <c r="C13811" i="8"/>
  <c r="C13810" i="8"/>
  <c r="C13809" i="8"/>
  <c r="C13808" i="8"/>
  <c r="C13807" i="8"/>
  <c r="C13806" i="8"/>
  <c r="C13805" i="8"/>
  <c r="C13804" i="8"/>
  <c r="C13803" i="8"/>
  <c r="C13802" i="8"/>
  <c r="C13801" i="8"/>
  <c r="C13800" i="8"/>
  <c r="C13799" i="8"/>
  <c r="C13798" i="8"/>
  <c r="C13797" i="8"/>
  <c r="C13796" i="8"/>
  <c r="C13795" i="8"/>
  <c r="C13794" i="8"/>
  <c r="C13793" i="8"/>
  <c r="C13792" i="8"/>
  <c r="C13791" i="8"/>
  <c r="C13790" i="8"/>
  <c r="C13789" i="8"/>
  <c r="C13788" i="8"/>
  <c r="C13787" i="8"/>
  <c r="C13786" i="8"/>
  <c r="C13785" i="8"/>
  <c r="C13784" i="8"/>
  <c r="C13783" i="8"/>
  <c r="C13782" i="8"/>
  <c r="C13781" i="8"/>
  <c r="C13780" i="8"/>
  <c r="C13779" i="8"/>
  <c r="C13778" i="8"/>
  <c r="C13777" i="8"/>
  <c r="C13776" i="8"/>
  <c r="C13775" i="8"/>
  <c r="C13774" i="8"/>
  <c r="C13773" i="8"/>
  <c r="C13772" i="8"/>
  <c r="C13771" i="8"/>
  <c r="C13770" i="8"/>
  <c r="C13769" i="8"/>
  <c r="C13768" i="8"/>
  <c r="C13767" i="8"/>
  <c r="C13766" i="8"/>
  <c r="C13765" i="8"/>
  <c r="C13764" i="8"/>
  <c r="C13763" i="8"/>
  <c r="C13762" i="8"/>
  <c r="C13761" i="8"/>
  <c r="C13760" i="8"/>
  <c r="C13759" i="8"/>
  <c r="C13758" i="8"/>
  <c r="C13757" i="8"/>
  <c r="C13756" i="8"/>
  <c r="C13755" i="8"/>
  <c r="C13754" i="8"/>
  <c r="C13753" i="8"/>
  <c r="C13752" i="8"/>
  <c r="C13751" i="8"/>
  <c r="C13750" i="8"/>
  <c r="C13749" i="8"/>
  <c r="C13748" i="8"/>
  <c r="C13747" i="8"/>
  <c r="C13746" i="8"/>
  <c r="C13745" i="8"/>
  <c r="C13744" i="8"/>
  <c r="C13743" i="8"/>
  <c r="C13742" i="8"/>
  <c r="C13741" i="8"/>
  <c r="C13740" i="8"/>
  <c r="C13739" i="8"/>
  <c r="C13738" i="8"/>
  <c r="C13737" i="8"/>
  <c r="C13736" i="8"/>
  <c r="C13735" i="8"/>
  <c r="C13734" i="8"/>
  <c r="C13733" i="8"/>
  <c r="C13732" i="8"/>
  <c r="C13731" i="8"/>
  <c r="C13730" i="8"/>
  <c r="C13729" i="8"/>
  <c r="C13728" i="8"/>
  <c r="C13727" i="8"/>
  <c r="C13726" i="8"/>
  <c r="C13725" i="8"/>
  <c r="C13724" i="8"/>
  <c r="C13723" i="8"/>
  <c r="C13722" i="8"/>
  <c r="C13721" i="8"/>
  <c r="C13720" i="8"/>
  <c r="C13719" i="8"/>
  <c r="C13718" i="8"/>
  <c r="C13717" i="8"/>
  <c r="C13716" i="8"/>
  <c r="C13715" i="8"/>
  <c r="C13714" i="8"/>
  <c r="C13713" i="8"/>
  <c r="C13712" i="8"/>
  <c r="C13711" i="8"/>
  <c r="C13710" i="8"/>
  <c r="C13709" i="8"/>
  <c r="C13708" i="8"/>
  <c r="C13707" i="8"/>
  <c r="C13706" i="8"/>
  <c r="C13705" i="8"/>
  <c r="C13704" i="8"/>
  <c r="C13703" i="8"/>
  <c r="C13702" i="8"/>
  <c r="C13701" i="8"/>
  <c r="C13700" i="8"/>
  <c r="C13699" i="8"/>
  <c r="C13698" i="8"/>
  <c r="C13697" i="8"/>
  <c r="C13696" i="8"/>
  <c r="C13695" i="8"/>
  <c r="C13694" i="8"/>
  <c r="C13693" i="8"/>
  <c r="C13692" i="8"/>
  <c r="C13691" i="8"/>
  <c r="C13690" i="8"/>
  <c r="C13689" i="8"/>
  <c r="C13688" i="8"/>
  <c r="C13687" i="8"/>
  <c r="C13686" i="8"/>
  <c r="C13685" i="8"/>
  <c r="C13684" i="8"/>
  <c r="C13683" i="8"/>
  <c r="C13682" i="8"/>
  <c r="C13681" i="8"/>
  <c r="C13680" i="8"/>
  <c r="C13679" i="8"/>
  <c r="C13678" i="8"/>
  <c r="C13677" i="8"/>
  <c r="C13676" i="8"/>
  <c r="C13675" i="8"/>
  <c r="C13674" i="8"/>
  <c r="C13673" i="8"/>
  <c r="C13672" i="8"/>
  <c r="C13671" i="8"/>
  <c r="C13670" i="8"/>
  <c r="C13669" i="8"/>
  <c r="C13668" i="8"/>
  <c r="C13667" i="8"/>
  <c r="C13666" i="8"/>
  <c r="C13665" i="8"/>
  <c r="C13664" i="8"/>
  <c r="C13663" i="8"/>
  <c r="C13662" i="8"/>
  <c r="C13661" i="8"/>
  <c r="C13660" i="8"/>
  <c r="C13659" i="8"/>
  <c r="C13658" i="8"/>
  <c r="C13657" i="8"/>
  <c r="C13656" i="8"/>
  <c r="C13655" i="8"/>
  <c r="C13654" i="8"/>
  <c r="C13653" i="8"/>
  <c r="C13652" i="8"/>
  <c r="C13651" i="8"/>
  <c r="C13650" i="8"/>
  <c r="C13649" i="8"/>
  <c r="C13648" i="8"/>
  <c r="C13647" i="8"/>
  <c r="C13646" i="8"/>
  <c r="C13645" i="8"/>
  <c r="C13644" i="8"/>
  <c r="C13643" i="8"/>
  <c r="C13642" i="8"/>
  <c r="C13641" i="8"/>
  <c r="C13640" i="8"/>
  <c r="C13639" i="8"/>
  <c r="C13638" i="8"/>
  <c r="C13637" i="8"/>
  <c r="C13636" i="8"/>
  <c r="C13635" i="8"/>
  <c r="C13634" i="8"/>
  <c r="C13633" i="8"/>
  <c r="C13632" i="8"/>
  <c r="C13631" i="8"/>
  <c r="C13630" i="8"/>
  <c r="C13629" i="8"/>
  <c r="C13628" i="8"/>
  <c r="C13627" i="8"/>
  <c r="C13626" i="8"/>
  <c r="C13625" i="8"/>
  <c r="C13624" i="8"/>
  <c r="C13623" i="8"/>
  <c r="C13622" i="8"/>
  <c r="C13621" i="8"/>
  <c r="C13620" i="8"/>
  <c r="C13619" i="8"/>
  <c r="C13618" i="8"/>
  <c r="C13617" i="8"/>
  <c r="C13616" i="8"/>
  <c r="C13615" i="8"/>
  <c r="C13614" i="8"/>
  <c r="C13613" i="8"/>
  <c r="C13612" i="8"/>
  <c r="C13611" i="8"/>
  <c r="C13610" i="8"/>
  <c r="C13609" i="8"/>
  <c r="C13608" i="8"/>
  <c r="C13607" i="8"/>
  <c r="C13606" i="8"/>
  <c r="C13605" i="8"/>
  <c r="C13604" i="8"/>
  <c r="C13603" i="8"/>
  <c r="C13602" i="8"/>
  <c r="C13601" i="8"/>
  <c r="C13600" i="8"/>
  <c r="C13599" i="8"/>
  <c r="C13598" i="8"/>
  <c r="C13597" i="8"/>
  <c r="C13596" i="8"/>
  <c r="C13595" i="8"/>
  <c r="C13594" i="8"/>
  <c r="C13593" i="8"/>
  <c r="C13592" i="8"/>
  <c r="C13591" i="8"/>
  <c r="C13590" i="8"/>
  <c r="C13589" i="8"/>
  <c r="C13588" i="8"/>
  <c r="C13587" i="8"/>
  <c r="C13586" i="8"/>
  <c r="C13585" i="8"/>
  <c r="C13584" i="8"/>
  <c r="C13583" i="8"/>
  <c r="C13582" i="8"/>
  <c r="C13581" i="8"/>
  <c r="C13580" i="8"/>
  <c r="C13579" i="8"/>
  <c r="C13578" i="8"/>
  <c r="C13577" i="8"/>
  <c r="C13576" i="8"/>
  <c r="C13575" i="8"/>
  <c r="C13574" i="8"/>
  <c r="C13573" i="8"/>
  <c r="C13572" i="8"/>
  <c r="C13571" i="8"/>
  <c r="C13570" i="8"/>
  <c r="C13569" i="8"/>
  <c r="C13568" i="8"/>
  <c r="C13567" i="8"/>
  <c r="C13566" i="8"/>
  <c r="C13565" i="8"/>
  <c r="C13564" i="8"/>
  <c r="C13563" i="8"/>
  <c r="C13562" i="8"/>
  <c r="C13561" i="8"/>
  <c r="C13560" i="8"/>
  <c r="C13559" i="8"/>
  <c r="C13558" i="8"/>
  <c r="C13557" i="8"/>
  <c r="C13556" i="8"/>
  <c r="C13555" i="8"/>
  <c r="C13554" i="8"/>
  <c r="C13553" i="8"/>
  <c r="C13552" i="8"/>
  <c r="C13551" i="8"/>
  <c r="C13550" i="8"/>
  <c r="C13549" i="8"/>
  <c r="C13548" i="8"/>
  <c r="C13547" i="8"/>
  <c r="C13546" i="8"/>
  <c r="C13545" i="8"/>
  <c r="C13544" i="8"/>
  <c r="C13543" i="8"/>
  <c r="C13542" i="8"/>
  <c r="C13541" i="8"/>
  <c r="C13540" i="8"/>
  <c r="C13539" i="8"/>
  <c r="C13538" i="8"/>
  <c r="C13537" i="8"/>
  <c r="C13536" i="8"/>
  <c r="C13535" i="8"/>
  <c r="C13534" i="8"/>
  <c r="C13533" i="8"/>
  <c r="C13532" i="8"/>
  <c r="C13531" i="8"/>
  <c r="C13530" i="8"/>
  <c r="C13529" i="8"/>
  <c r="C13528" i="8"/>
  <c r="C13527" i="8"/>
  <c r="C13526" i="8"/>
  <c r="C13525" i="8"/>
  <c r="C13524" i="8"/>
  <c r="C13523" i="8"/>
  <c r="C13522" i="8"/>
  <c r="C13521" i="8"/>
  <c r="C13520" i="8"/>
  <c r="C13519" i="8"/>
  <c r="C13518" i="8"/>
  <c r="C13517" i="8"/>
  <c r="C13516" i="8"/>
  <c r="C13515" i="8"/>
  <c r="C13514" i="8"/>
  <c r="C13513" i="8"/>
  <c r="C13512" i="8"/>
  <c r="C13511" i="8"/>
  <c r="C13510" i="8"/>
  <c r="C13509" i="8"/>
  <c r="C13508" i="8"/>
  <c r="C13507" i="8"/>
  <c r="C13506" i="8"/>
  <c r="C13505" i="8"/>
  <c r="C13504" i="8"/>
  <c r="C13503" i="8"/>
  <c r="C13502" i="8"/>
  <c r="C13501" i="8"/>
  <c r="C13500" i="8"/>
  <c r="C13499" i="8"/>
  <c r="C13498" i="8"/>
  <c r="C13497" i="8"/>
  <c r="C13496" i="8"/>
  <c r="C13495" i="8"/>
  <c r="C13494" i="8"/>
  <c r="C13493" i="8"/>
  <c r="C13492" i="8"/>
  <c r="C13491" i="8"/>
  <c r="C13490" i="8"/>
  <c r="C13489" i="8"/>
  <c r="C13488" i="8"/>
  <c r="C13487" i="8"/>
  <c r="C13486" i="8"/>
  <c r="C13485" i="8"/>
  <c r="C13484" i="8"/>
  <c r="C13483" i="8"/>
  <c r="C13482" i="8"/>
  <c r="C13481" i="8"/>
  <c r="C13480" i="8"/>
  <c r="C13479" i="8"/>
  <c r="C13478" i="8"/>
  <c r="C13477" i="8"/>
  <c r="C13476" i="8"/>
  <c r="C13475" i="8"/>
  <c r="C13474" i="8"/>
  <c r="C13473" i="8"/>
  <c r="C13472" i="8"/>
  <c r="C13471" i="8"/>
  <c r="C13470" i="8"/>
  <c r="C13469" i="8"/>
  <c r="C13468" i="8"/>
  <c r="C13467" i="8"/>
  <c r="C13466" i="8"/>
  <c r="C13465" i="8"/>
  <c r="C13464" i="8"/>
  <c r="C13463" i="8"/>
  <c r="C13462" i="8"/>
  <c r="C13461" i="8"/>
  <c r="C13460" i="8"/>
  <c r="C13459" i="8"/>
  <c r="C13458" i="8"/>
  <c r="C13457" i="8"/>
  <c r="C13456" i="8"/>
  <c r="C13455" i="8"/>
  <c r="C13454" i="8"/>
  <c r="C13453" i="8"/>
  <c r="C13452" i="8"/>
  <c r="C13451" i="8"/>
  <c r="C13450" i="8"/>
  <c r="C13449" i="8"/>
  <c r="C13448" i="8"/>
  <c r="C13447" i="8"/>
  <c r="C13446" i="8"/>
  <c r="C13445" i="8"/>
  <c r="C13444" i="8"/>
  <c r="C13443" i="8"/>
  <c r="C13442" i="8"/>
  <c r="C13441" i="8"/>
  <c r="C13440" i="8"/>
  <c r="C13439" i="8"/>
  <c r="C13438" i="8"/>
  <c r="C13437" i="8"/>
  <c r="C13436" i="8"/>
  <c r="C13435" i="8"/>
  <c r="C13434" i="8"/>
  <c r="C13433" i="8"/>
  <c r="C13432" i="8"/>
  <c r="C13431" i="8"/>
  <c r="C13430" i="8"/>
  <c r="C13429" i="8"/>
  <c r="C13428" i="8"/>
  <c r="C13427" i="8"/>
  <c r="C13426" i="8"/>
  <c r="C13425" i="8"/>
  <c r="C13424" i="8"/>
  <c r="C13423" i="8"/>
  <c r="C13422" i="8"/>
  <c r="C13421" i="8"/>
  <c r="C13420" i="8"/>
  <c r="C13419" i="8"/>
  <c r="C13418" i="8"/>
  <c r="C13417" i="8"/>
  <c r="C13416" i="8"/>
  <c r="C13415" i="8"/>
  <c r="C13414" i="8"/>
  <c r="C13413" i="8"/>
  <c r="C13412" i="8"/>
  <c r="C13411" i="8"/>
  <c r="C13410" i="8"/>
  <c r="C13409" i="8"/>
  <c r="C13408" i="8"/>
  <c r="C13407" i="8"/>
  <c r="C13406" i="8"/>
  <c r="C13405" i="8"/>
  <c r="C13404" i="8"/>
  <c r="C13403" i="8"/>
  <c r="C13402" i="8"/>
  <c r="C13401" i="8"/>
  <c r="C13400" i="8"/>
  <c r="C13399" i="8"/>
  <c r="C13398" i="8"/>
  <c r="C13397" i="8"/>
  <c r="C13396" i="8"/>
  <c r="C13395" i="8"/>
  <c r="C13394" i="8"/>
  <c r="C13393" i="8"/>
  <c r="C13392" i="8"/>
  <c r="C13391" i="8"/>
  <c r="C13390" i="8"/>
  <c r="C13389" i="8"/>
  <c r="C13388" i="8"/>
  <c r="C13387" i="8"/>
  <c r="C13386" i="8"/>
  <c r="C13385" i="8"/>
  <c r="C13384" i="8"/>
  <c r="C13383" i="8"/>
  <c r="C13382" i="8"/>
  <c r="C13381" i="8"/>
  <c r="C13380" i="8"/>
  <c r="C13379" i="8"/>
  <c r="C13378" i="8"/>
  <c r="C13377" i="8"/>
  <c r="C13376" i="8"/>
  <c r="C13375" i="8"/>
  <c r="C13374" i="8"/>
  <c r="C13373" i="8"/>
  <c r="C13372" i="8"/>
  <c r="C13371" i="8"/>
  <c r="C13370" i="8"/>
  <c r="C13369" i="8"/>
  <c r="C13368" i="8"/>
  <c r="C13367" i="8"/>
  <c r="C13366" i="8"/>
  <c r="C13365" i="8"/>
  <c r="C13364" i="8"/>
  <c r="C13363" i="8"/>
  <c r="C13362" i="8"/>
  <c r="C13361" i="8"/>
  <c r="C13360" i="8"/>
  <c r="C13359" i="8"/>
  <c r="C13358" i="8"/>
  <c r="C13357" i="8"/>
  <c r="C13356" i="8"/>
  <c r="C13355" i="8"/>
  <c r="C13354" i="8"/>
  <c r="C13353" i="8"/>
  <c r="C13352" i="8"/>
  <c r="C13351" i="8"/>
  <c r="C13350" i="8"/>
  <c r="C13349" i="8"/>
  <c r="C13348" i="8"/>
  <c r="C13347" i="8"/>
  <c r="C13346" i="8"/>
  <c r="C13345" i="8"/>
  <c r="C13344" i="8"/>
  <c r="C13343" i="8"/>
  <c r="C13342" i="8"/>
  <c r="C13341" i="8"/>
  <c r="C13340" i="8"/>
  <c r="C13339" i="8"/>
  <c r="C13338" i="8"/>
  <c r="C13337" i="8"/>
  <c r="C13336" i="8"/>
  <c r="C13335" i="8"/>
  <c r="C13334" i="8"/>
  <c r="C13333" i="8"/>
  <c r="C13332" i="8"/>
  <c r="C13331" i="8"/>
  <c r="C13330" i="8"/>
  <c r="C13329" i="8"/>
  <c r="C13328" i="8"/>
  <c r="C13327" i="8"/>
  <c r="C13326" i="8"/>
  <c r="C13325" i="8"/>
  <c r="C13324" i="8"/>
  <c r="C13323" i="8"/>
  <c r="C13322" i="8"/>
  <c r="C13321" i="8"/>
  <c r="C13320" i="8"/>
  <c r="C13319" i="8"/>
  <c r="C13318" i="8"/>
  <c r="C13317" i="8"/>
  <c r="C13316" i="8"/>
  <c r="C13315" i="8"/>
  <c r="C13314" i="8"/>
  <c r="C13313" i="8"/>
  <c r="C13312" i="8"/>
  <c r="C13311" i="8"/>
  <c r="C13310" i="8"/>
  <c r="C13309" i="8"/>
  <c r="C13308" i="8"/>
  <c r="C13307" i="8"/>
  <c r="C13306" i="8"/>
  <c r="C13305" i="8"/>
  <c r="C13304" i="8"/>
  <c r="C13303" i="8"/>
  <c r="C13302" i="8"/>
  <c r="C13301" i="8"/>
  <c r="C13300" i="8"/>
  <c r="C13299" i="8"/>
  <c r="C13298" i="8"/>
  <c r="C13297" i="8"/>
  <c r="C13296" i="8"/>
  <c r="C13295" i="8"/>
  <c r="C13294" i="8"/>
  <c r="C13293" i="8"/>
  <c r="C13292" i="8"/>
  <c r="C13291" i="8"/>
  <c r="C13290" i="8"/>
  <c r="C13289" i="8"/>
  <c r="C13288" i="8"/>
  <c r="C13287" i="8"/>
  <c r="C13286" i="8"/>
  <c r="C13285" i="8"/>
  <c r="C13284" i="8"/>
  <c r="C13283" i="8"/>
  <c r="C13282" i="8"/>
  <c r="C13281" i="8"/>
  <c r="C13280" i="8"/>
  <c r="C13279" i="8"/>
  <c r="C13278" i="8"/>
  <c r="C13277" i="8"/>
  <c r="C13276" i="8"/>
  <c r="C13275" i="8"/>
  <c r="C13274" i="8"/>
  <c r="C13273" i="8"/>
  <c r="C13272" i="8"/>
  <c r="C13271" i="8"/>
  <c r="C13270" i="8"/>
  <c r="C13269" i="8"/>
  <c r="C13268" i="8"/>
  <c r="C13267" i="8"/>
  <c r="C13266" i="8"/>
  <c r="C13265" i="8"/>
  <c r="C13264" i="8"/>
  <c r="C13263" i="8"/>
  <c r="C13262" i="8"/>
  <c r="C13261" i="8"/>
  <c r="C13260" i="8"/>
  <c r="C13259" i="8"/>
  <c r="C13258" i="8"/>
  <c r="C13257" i="8"/>
  <c r="C13256" i="8"/>
  <c r="C13255" i="8"/>
  <c r="C13254" i="8"/>
  <c r="C13253" i="8"/>
  <c r="C13252" i="8"/>
  <c r="C13251" i="8"/>
  <c r="C13250" i="8"/>
  <c r="C13249" i="8"/>
  <c r="C13248" i="8"/>
  <c r="C13247" i="8"/>
  <c r="C13246" i="8"/>
  <c r="C13245" i="8"/>
  <c r="C13244" i="8"/>
  <c r="C13243" i="8"/>
  <c r="C13242" i="8"/>
  <c r="C13241" i="8"/>
  <c r="C13240" i="8"/>
  <c r="C13239" i="8"/>
  <c r="C13238" i="8"/>
  <c r="C13237" i="8"/>
  <c r="C13236" i="8"/>
  <c r="C13235" i="8"/>
  <c r="C13234" i="8"/>
  <c r="C13233" i="8"/>
  <c r="C13232" i="8"/>
  <c r="C13231" i="8"/>
  <c r="C13230" i="8"/>
  <c r="C13229" i="8"/>
  <c r="C13228" i="8"/>
  <c r="C13227" i="8"/>
  <c r="C13226" i="8"/>
  <c r="C13225" i="8"/>
  <c r="C13224" i="8"/>
  <c r="C13223" i="8"/>
  <c r="C13222" i="8"/>
  <c r="C13221" i="8"/>
  <c r="C13220" i="8"/>
  <c r="C13219" i="8"/>
  <c r="C13218" i="8"/>
  <c r="C13217" i="8"/>
  <c r="C13216" i="8"/>
  <c r="C13215" i="8"/>
  <c r="C13214" i="8"/>
  <c r="C13213" i="8"/>
  <c r="C13212" i="8"/>
  <c r="C13211" i="8"/>
  <c r="C13210" i="8"/>
  <c r="C13209" i="8"/>
  <c r="C13208" i="8"/>
  <c r="C13207" i="8"/>
  <c r="C13206" i="8"/>
  <c r="C13205" i="8"/>
  <c r="C13204" i="8"/>
  <c r="C13203" i="8"/>
  <c r="C13202" i="8"/>
  <c r="C13201" i="8"/>
  <c r="C13200" i="8"/>
  <c r="C13199" i="8"/>
  <c r="C13198" i="8"/>
  <c r="C13197" i="8"/>
  <c r="C13196" i="8"/>
  <c r="C13195" i="8"/>
  <c r="C13194" i="8"/>
  <c r="C13193" i="8"/>
  <c r="C13192" i="8"/>
  <c r="C13191" i="8"/>
  <c r="C13190" i="8"/>
  <c r="C13189" i="8"/>
  <c r="C13188" i="8"/>
  <c r="C13187" i="8"/>
  <c r="C13186" i="8"/>
  <c r="C13185" i="8"/>
  <c r="C13184" i="8"/>
  <c r="C13183" i="8"/>
  <c r="C13182" i="8"/>
  <c r="C13181" i="8"/>
  <c r="C13180" i="8"/>
  <c r="C13179" i="8"/>
  <c r="C13178" i="8"/>
  <c r="C13177" i="8"/>
  <c r="C13176" i="8"/>
  <c r="C13175" i="8"/>
  <c r="C13174" i="8"/>
  <c r="C13173" i="8"/>
  <c r="C13172" i="8"/>
  <c r="C13171" i="8"/>
  <c r="C13170" i="8"/>
  <c r="C13169" i="8"/>
  <c r="C13168" i="8"/>
  <c r="C13167" i="8"/>
  <c r="C13166" i="8"/>
  <c r="C13165" i="8"/>
  <c r="C13164" i="8"/>
  <c r="C13163" i="8"/>
  <c r="C13162" i="8"/>
  <c r="C13161" i="8"/>
  <c r="C13160" i="8"/>
  <c r="C13159" i="8"/>
  <c r="C13158" i="8"/>
  <c r="C13157" i="8"/>
  <c r="C13156" i="8"/>
  <c r="C13155" i="8"/>
  <c r="C13154" i="8"/>
  <c r="C13153" i="8"/>
  <c r="C13152" i="8"/>
  <c r="C13151" i="8"/>
  <c r="C13150" i="8"/>
  <c r="C13149" i="8"/>
  <c r="C13148" i="8"/>
  <c r="C13147" i="8"/>
  <c r="C13146" i="8"/>
  <c r="C13145" i="8"/>
  <c r="C13144" i="8"/>
  <c r="C13143" i="8"/>
  <c r="C13142" i="8"/>
  <c r="C13141" i="8"/>
  <c r="C13140" i="8"/>
  <c r="C13139" i="8"/>
  <c r="C13138" i="8"/>
  <c r="C13137" i="8"/>
  <c r="C13136" i="8"/>
  <c r="C13135" i="8"/>
  <c r="C13134" i="8"/>
  <c r="C13133" i="8"/>
  <c r="C13132" i="8"/>
  <c r="C13131" i="8"/>
  <c r="C13130" i="8"/>
  <c r="C13129" i="8"/>
  <c r="C13128" i="8"/>
  <c r="C13127" i="8"/>
  <c r="C13126" i="8"/>
  <c r="C13125" i="8"/>
  <c r="C13124" i="8"/>
  <c r="C13123" i="8"/>
  <c r="C13122" i="8"/>
  <c r="C13121" i="8"/>
  <c r="C13120" i="8"/>
  <c r="C13119" i="8"/>
  <c r="C13118" i="8"/>
  <c r="C13117" i="8"/>
  <c r="C13116" i="8"/>
  <c r="C13115" i="8"/>
  <c r="C13114" i="8"/>
  <c r="C13113" i="8"/>
  <c r="C13112" i="8"/>
  <c r="C13111" i="8"/>
  <c r="C13110" i="8"/>
  <c r="C13109" i="8"/>
  <c r="C13108" i="8"/>
  <c r="C13107" i="8"/>
  <c r="C13106" i="8"/>
  <c r="C13105" i="8"/>
  <c r="C13104" i="8"/>
  <c r="C13103" i="8"/>
  <c r="C13102" i="8"/>
  <c r="C13101" i="8"/>
  <c r="C13100" i="8"/>
  <c r="C13099" i="8"/>
  <c r="C13098" i="8"/>
  <c r="C13097" i="8"/>
  <c r="C13096" i="8"/>
  <c r="C13095" i="8"/>
  <c r="C13094" i="8"/>
  <c r="C13093" i="8"/>
  <c r="C13092" i="8"/>
  <c r="C13091" i="8"/>
  <c r="C13090" i="8"/>
  <c r="C13089" i="8"/>
  <c r="C13088" i="8"/>
  <c r="C13087" i="8"/>
  <c r="C13086" i="8"/>
  <c r="C13085" i="8"/>
  <c r="C13084" i="8"/>
  <c r="C13083" i="8"/>
  <c r="C13082" i="8"/>
  <c r="C13081" i="8"/>
  <c r="C13080" i="8"/>
  <c r="C13079" i="8"/>
  <c r="C13078" i="8"/>
  <c r="C13077" i="8"/>
  <c r="C13076" i="8"/>
  <c r="C13075" i="8"/>
  <c r="C13074" i="8"/>
  <c r="C13073" i="8"/>
  <c r="C13072" i="8"/>
  <c r="C13071" i="8"/>
  <c r="C13070" i="8"/>
  <c r="C13069" i="8"/>
  <c r="C13068" i="8"/>
  <c r="C13067" i="8"/>
  <c r="C13066" i="8"/>
  <c r="C13065" i="8"/>
  <c r="C13064" i="8"/>
  <c r="C13063" i="8"/>
  <c r="C13062" i="8"/>
  <c r="C13061" i="8"/>
  <c r="C13060" i="8"/>
  <c r="C13059" i="8"/>
  <c r="C13058" i="8"/>
  <c r="C13057" i="8"/>
  <c r="C13056" i="8"/>
  <c r="C13055" i="8"/>
  <c r="C13054" i="8"/>
  <c r="C13053" i="8"/>
  <c r="C13052" i="8"/>
  <c r="C13051" i="8"/>
  <c r="C13050" i="8"/>
  <c r="C13049" i="8"/>
  <c r="C13048" i="8"/>
  <c r="C13047" i="8"/>
  <c r="C13046" i="8"/>
  <c r="C13045" i="8"/>
  <c r="C13044" i="8"/>
  <c r="C13043" i="8"/>
  <c r="C13042" i="8"/>
  <c r="C13041" i="8"/>
  <c r="C13040" i="8"/>
  <c r="C13039" i="8"/>
  <c r="C13038" i="8"/>
  <c r="C13037" i="8"/>
  <c r="C13036" i="8"/>
  <c r="C13035" i="8"/>
  <c r="C13034" i="8"/>
  <c r="C13033" i="8"/>
  <c r="C13032" i="8"/>
  <c r="C13031" i="8"/>
  <c r="C13030" i="8"/>
  <c r="C13029" i="8"/>
  <c r="C13028" i="8"/>
  <c r="C13027" i="8"/>
  <c r="C13026" i="8"/>
  <c r="C13025" i="8"/>
  <c r="C13024" i="8"/>
  <c r="C13023" i="8"/>
  <c r="C13022" i="8"/>
  <c r="C13021" i="8"/>
  <c r="C13020" i="8"/>
  <c r="C13019" i="8"/>
  <c r="C13018" i="8"/>
  <c r="C13017" i="8"/>
  <c r="C13016" i="8"/>
  <c r="C13015" i="8"/>
  <c r="C13014" i="8"/>
  <c r="C13013" i="8"/>
  <c r="C13012" i="8"/>
  <c r="C13011" i="8"/>
  <c r="C13010" i="8"/>
  <c r="C13009" i="8"/>
  <c r="C13008" i="8"/>
  <c r="C13007" i="8"/>
  <c r="C13006" i="8"/>
  <c r="C13005" i="8"/>
  <c r="C13004" i="8"/>
  <c r="C13003" i="8"/>
  <c r="C13002" i="8"/>
  <c r="C13001" i="8"/>
  <c r="C13000" i="8"/>
  <c r="C12999" i="8"/>
  <c r="C12998" i="8"/>
  <c r="C12997" i="8"/>
  <c r="C12996" i="8"/>
  <c r="C12995" i="8"/>
  <c r="C12994" i="8"/>
  <c r="C12993" i="8"/>
  <c r="C12992" i="8"/>
  <c r="C12991" i="8"/>
  <c r="C12990" i="8"/>
  <c r="C12989" i="8"/>
  <c r="C12988" i="8"/>
  <c r="C12987" i="8"/>
  <c r="C12986" i="8"/>
  <c r="C12985" i="8"/>
  <c r="C12984" i="8"/>
  <c r="C12983" i="8"/>
  <c r="C12982" i="8"/>
  <c r="C12981" i="8"/>
  <c r="C12980" i="8"/>
  <c r="C12979" i="8"/>
  <c r="C12978" i="8"/>
  <c r="C12977" i="8"/>
  <c r="C12976" i="8"/>
  <c r="C12975" i="8"/>
  <c r="C12974" i="8"/>
  <c r="C12973" i="8"/>
  <c r="C12972" i="8"/>
  <c r="C12971" i="8"/>
  <c r="C12970" i="8"/>
  <c r="C12969" i="8"/>
  <c r="C12968" i="8"/>
  <c r="C12967" i="8"/>
  <c r="C12966" i="8"/>
  <c r="C12965" i="8"/>
  <c r="C12964" i="8"/>
  <c r="C12963" i="8"/>
  <c r="C12962" i="8"/>
  <c r="C12961" i="8"/>
  <c r="C12960" i="8"/>
  <c r="C12959" i="8"/>
  <c r="C12958" i="8"/>
  <c r="C12957" i="8"/>
  <c r="C12956" i="8"/>
  <c r="C12955" i="8"/>
  <c r="C12954" i="8"/>
  <c r="C12953" i="8"/>
  <c r="C12952" i="8"/>
  <c r="C12951" i="8"/>
  <c r="C12950" i="8"/>
  <c r="C12949" i="8"/>
  <c r="C12948" i="8"/>
  <c r="C12947" i="8"/>
  <c r="C12946" i="8"/>
  <c r="C12945" i="8"/>
  <c r="C12944" i="8"/>
  <c r="C12943" i="8"/>
  <c r="C12942" i="8"/>
  <c r="C12941" i="8"/>
  <c r="C12940" i="8"/>
  <c r="C12939" i="8"/>
  <c r="C12938" i="8"/>
  <c r="C12937" i="8"/>
  <c r="C12936" i="8"/>
  <c r="C12935" i="8"/>
  <c r="C12934" i="8"/>
  <c r="C12933" i="8"/>
  <c r="C12932" i="8"/>
  <c r="C12931" i="8"/>
  <c r="C12930" i="8"/>
  <c r="C12929" i="8"/>
  <c r="C12928" i="8"/>
  <c r="C12927" i="8"/>
  <c r="C12926" i="8"/>
  <c r="C12925" i="8"/>
  <c r="C12924" i="8"/>
  <c r="C12923" i="8"/>
  <c r="C12922" i="8"/>
  <c r="C12921" i="8"/>
  <c r="C12920" i="8"/>
  <c r="C12919" i="8"/>
  <c r="C12918" i="8"/>
  <c r="C12917" i="8"/>
  <c r="C12916" i="8"/>
  <c r="C12915" i="8"/>
  <c r="C12914" i="8"/>
  <c r="C12913" i="8"/>
  <c r="C12912" i="8"/>
  <c r="C12911" i="8"/>
  <c r="C12910" i="8"/>
  <c r="C12909" i="8"/>
  <c r="C12908" i="8"/>
  <c r="C12907" i="8"/>
  <c r="C12906" i="8"/>
  <c r="C12905" i="8"/>
  <c r="C12904" i="8"/>
  <c r="C12903" i="8"/>
  <c r="C12902" i="8"/>
  <c r="C12901" i="8"/>
  <c r="C12900" i="8"/>
  <c r="C12899" i="8"/>
  <c r="C12898" i="8"/>
  <c r="C12897" i="8"/>
  <c r="C12896" i="8"/>
  <c r="C12895" i="8"/>
  <c r="C12894" i="8"/>
  <c r="C12893" i="8"/>
  <c r="C12892" i="8"/>
  <c r="C12891" i="8"/>
  <c r="C12890" i="8"/>
  <c r="C12889" i="8"/>
  <c r="C12888" i="8"/>
  <c r="C12887" i="8"/>
  <c r="C12886" i="8"/>
  <c r="C12885" i="8"/>
  <c r="C12884" i="8"/>
  <c r="C12883" i="8"/>
  <c r="C12882" i="8"/>
  <c r="C12881" i="8"/>
  <c r="C12880" i="8"/>
  <c r="C12879" i="8"/>
  <c r="C12878" i="8"/>
  <c r="C12877" i="8"/>
  <c r="C12876" i="8"/>
  <c r="C12875" i="8"/>
  <c r="C12874" i="8"/>
  <c r="C12873" i="8"/>
  <c r="C12872" i="8"/>
  <c r="C12871" i="8"/>
  <c r="C12870" i="8"/>
  <c r="C12869" i="8"/>
  <c r="C12868" i="8"/>
  <c r="C12867" i="8"/>
  <c r="C12866" i="8"/>
  <c r="C12865" i="8"/>
  <c r="C12864" i="8"/>
  <c r="C12863" i="8"/>
  <c r="C12862" i="8"/>
  <c r="C12861" i="8"/>
  <c r="C12860" i="8"/>
  <c r="C12859" i="8"/>
  <c r="C12858" i="8"/>
  <c r="C12857" i="8"/>
  <c r="C12856" i="8"/>
  <c r="C12855" i="8"/>
  <c r="C12854" i="8"/>
  <c r="C12853" i="8"/>
  <c r="C12852" i="8"/>
  <c r="C12851" i="8"/>
  <c r="C12850" i="8"/>
  <c r="C12849" i="8"/>
  <c r="C12848" i="8"/>
  <c r="C12847" i="8"/>
  <c r="C12846" i="8"/>
  <c r="C12845" i="8"/>
  <c r="C12844" i="8"/>
  <c r="C12843" i="8"/>
  <c r="C12842" i="8"/>
  <c r="C12841" i="8"/>
  <c r="C12840" i="8"/>
  <c r="C12839" i="8"/>
  <c r="C12838" i="8"/>
  <c r="C12837" i="8"/>
  <c r="C12836" i="8"/>
  <c r="C12835" i="8"/>
  <c r="C12834" i="8"/>
  <c r="C12833" i="8"/>
  <c r="C12832" i="8"/>
  <c r="C12831" i="8"/>
  <c r="C12830" i="8"/>
  <c r="C12829" i="8"/>
  <c r="C12828" i="8"/>
  <c r="C12827" i="8"/>
  <c r="C12826" i="8"/>
  <c r="C12825" i="8"/>
  <c r="C12824" i="8"/>
  <c r="C12823" i="8"/>
  <c r="C12822" i="8"/>
  <c r="C12821" i="8"/>
  <c r="C12820" i="8"/>
  <c r="C12819" i="8"/>
  <c r="C12818" i="8"/>
  <c r="C12817" i="8"/>
  <c r="C12816" i="8"/>
  <c r="C12815" i="8"/>
  <c r="C12814" i="8"/>
  <c r="C12813" i="8"/>
  <c r="C12812" i="8"/>
  <c r="C12811" i="8"/>
  <c r="C12810" i="8"/>
  <c r="C12809" i="8"/>
  <c r="C12808" i="8"/>
  <c r="C12807" i="8"/>
  <c r="C12806" i="8"/>
  <c r="C12805" i="8"/>
  <c r="C12804" i="8"/>
  <c r="C12803" i="8"/>
  <c r="C12802" i="8"/>
  <c r="C12801" i="8"/>
  <c r="C12800" i="8"/>
  <c r="C12799" i="8"/>
  <c r="C12798" i="8"/>
  <c r="C12797" i="8"/>
  <c r="C12796" i="8"/>
  <c r="C12795" i="8"/>
  <c r="C12794" i="8"/>
  <c r="C12793" i="8"/>
  <c r="C12792" i="8"/>
  <c r="C12791" i="8"/>
  <c r="C12790" i="8"/>
  <c r="C12789" i="8"/>
  <c r="C12788" i="8"/>
  <c r="C12787" i="8"/>
  <c r="C12786" i="8"/>
  <c r="C12785" i="8"/>
  <c r="C12784" i="8"/>
  <c r="C12783" i="8"/>
  <c r="C12782" i="8"/>
  <c r="C12781" i="8"/>
  <c r="C12780" i="8"/>
  <c r="C12779" i="8"/>
  <c r="C12778" i="8"/>
  <c r="C12777" i="8"/>
  <c r="C12776" i="8"/>
  <c r="C12775" i="8"/>
  <c r="C12774" i="8"/>
  <c r="C12773" i="8"/>
  <c r="C12772" i="8"/>
  <c r="C12771" i="8"/>
  <c r="C12770" i="8"/>
  <c r="C12769" i="8"/>
  <c r="C12768" i="8"/>
  <c r="C12767" i="8"/>
  <c r="C12766" i="8"/>
  <c r="C12765" i="8"/>
  <c r="C12764" i="8"/>
  <c r="C12763" i="8"/>
  <c r="C12762" i="8"/>
  <c r="C12761" i="8"/>
  <c r="C12760" i="8"/>
  <c r="C12759" i="8"/>
  <c r="C12758" i="8"/>
  <c r="C12757" i="8"/>
  <c r="C12756" i="8"/>
  <c r="C12755" i="8"/>
  <c r="C12754" i="8"/>
  <c r="C12753" i="8"/>
  <c r="C12752" i="8"/>
  <c r="C12751" i="8"/>
  <c r="C12750" i="8"/>
  <c r="C12749" i="8"/>
  <c r="C12748" i="8"/>
  <c r="C12747" i="8"/>
  <c r="C12746" i="8"/>
  <c r="C12745" i="8"/>
  <c r="C12744" i="8"/>
  <c r="C12743" i="8"/>
  <c r="C12742" i="8"/>
  <c r="C12741" i="8"/>
  <c r="C12740" i="8"/>
  <c r="C12739" i="8"/>
  <c r="C12738" i="8"/>
  <c r="C12737" i="8"/>
  <c r="C12736" i="8"/>
  <c r="C12735" i="8"/>
  <c r="C12734" i="8"/>
  <c r="C12733" i="8"/>
  <c r="C12732" i="8"/>
  <c r="C12731" i="8"/>
  <c r="C12730" i="8"/>
  <c r="C12729" i="8"/>
  <c r="C12728" i="8"/>
  <c r="C12727" i="8"/>
  <c r="C12726" i="8"/>
  <c r="C12725" i="8"/>
  <c r="C12724" i="8"/>
  <c r="C12723" i="8"/>
  <c r="C12722" i="8"/>
  <c r="C12721" i="8"/>
  <c r="C12720" i="8"/>
  <c r="C12719" i="8"/>
  <c r="C12718" i="8"/>
  <c r="C12717" i="8"/>
  <c r="C12716" i="8"/>
  <c r="C12715" i="8"/>
  <c r="C12714" i="8"/>
  <c r="C12713" i="8"/>
  <c r="C12712" i="8"/>
  <c r="C12711" i="8"/>
  <c r="C12710" i="8"/>
  <c r="C12709" i="8"/>
  <c r="C12708" i="8"/>
  <c r="C12707" i="8"/>
  <c r="C12706" i="8"/>
  <c r="C12705" i="8"/>
  <c r="C12704" i="8"/>
  <c r="C12703" i="8"/>
  <c r="C12702" i="8"/>
  <c r="C12701" i="8"/>
  <c r="C12700" i="8"/>
  <c r="C12699" i="8"/>
  <c r="C12698" i="8"/>
  <c r="C12697" i="8"/>
  <c r="C12696" i="8"/>
  <c r="C12695" i="8"/>
  <c r="C12694" i="8"/>
  <c r="C12693" i="8"/>
  <c r="C12692" i="8"/>
  <c r="C12691" i="8"/>
  <c r="C12690" i="8"/>
  <c r="C12689" i="8"/>
  <c r="C12688" i="8"/>
  <c r="C12687" i="8"/>
  <c r="C12686" i="8"/>
  <c r="C12685" i="8"/>
  <c r="C12684" i="8"/>
  <c r="C12683" i="8"/>
  <c r="C12682" i="8"/>
  <c r="C12681" i="8"/>
  <c r="C12680" i="8"/>
  <c r="C12679" i="8"/>
  <c r="C12678" i="8"/>
  <c r="C12677" i="8"/>
  <c r="C12676" i="8"/>
  <c r="C12675" i="8"/>
  <c r="C12674" i="8"/>
  <c r="C12673" i="8"/>
  <c r="C12672" i="8"/>
  <c r="C12671" i="8"/>
  <c r="C12670" i="8"/>
  <c r="C12669" i="8"/>
  <c r="C12668" i="8"/>
  <c r="C12667" i="8"/>
  <c r="C12666" i="8"/>
  <c r="C12665" i="8"/>
  <c r="C12664" i="8"/>
  <c r="C12663" i="8"/>
  <c r="C12662" i="8"/>
  <c r="C12661" i="8"/>
  <c r="C12660" i="8"/>
  <c r="C12659" i="8"/>
  <c r="C12658" i="8"/>
  <c r="C12657" i="8"/>
  <c r="C12656" i="8"/>
  <c r="C12655" i="8"/>
  <c r="C12654" i="8"/>
  <c r="C12653" i="8"/>
  <c r="C12652" i="8"/>
  <c r="C12651" i="8"/>
  <c r="C12650" i="8"/>
  <c r="C12649" i="8"/>
  <c r="C12648" i="8"/>
  <c r="C12647" i="8"/>
  <c r="C12646" i="8"/>
  <c r="C12645" i="8"/>
  <c r="C12644" i="8"/>
  <c r="C12643" i="8"/>
  <c r="C12642" i="8"/>
  <c r="C12641" i="8"/>
  <c r="C12640" i="8"/>
  <c r="C12639" i="8"/>
  <c r="C12638" i="8"/>
  <c r="C12637" i="8"/>
  <c r="C12636" i="8"/>
  <c r="C12635" i="8"/>
  <c r="C12634" i="8"/>
  <c r="C12633" i="8"/>
  <c r="C12632" i="8"/>
  <c r="C12631" i="8"/>
  <c r="C12630" i="8"/>
  <c r="C12629" i="8"/>
  <c r="C12628" i="8"/>
  <c r="C12627" i="8"/>
  <c r="C12626" i="8"/>
  <c r="C12625" i="8"/>
  <c r="C12624" i="8"/>
  <c r="C12623" i="8"/>
  <c r="C12622" i="8"/>
  <c r="C12621" i="8"/>
  <c r="C12620" i="8"/>
  <c r="C12619" i="8"/>
  <c r="C12618" i="8"/>
  <c r="C12617" i="8"/>
  <c r="C12616" i="8"/>
  <c r="C12615" i="8"/>
  <c r="C12614" i="8"/>
  <c r="C12613" i="8"/>
  <c r="C12612" i="8"/>
  <c r="C12611" i="8"/>
  <c r="C12610" i="8"/>
  <c r="C12609" i="8"/>
  <c r="C12608" i="8"/>
  <c r="C12607" i="8"/>
  <c r="C12606" i="8"/>
  <c r="C12605" i="8"/>
  <c r="C12604" i="8"/>
  <c r="C12603" i="8"/>
  <c r="C12602" i="8"/>
  <c r="C12601" i="8"/>
  <c r="C12600" i="8"/>
  <c r="C12599" i="8"/>
  <c r="C12598" i="8"/>
  <c r="C12597" i="8"/>
  <c r="C12596" i="8"/>
  <c r="C12595" i="8"/>
  <c r="C12594" i="8"/>
  <c r="C12593" i="8"/>
  <c r="C12592" i="8"/>
  <c r="C12591" i="8"/>
  <c r="C12590" i="8"/>
  <c r="C12589" i="8"/>
  <c r="C12588" i="8"/>
  <c r="C12587" i="8"/>
  <c r="C12586" i="8"/>
  <c r="C12585" i="8"/>
  <c r="C12584" i="8"/>
  <c r="C12583" i="8"/>
  <c r="C12582" i="8"/>
  <c r="C12581" i="8"/>
  <c r="C12580" i="8"/>
  <c r="C12579" i="8"/>
  <c r="C12578" i="8"/>
  <c r="C12577" i="8"/>
  <c r="C12576" i="8"/>
  <c r="C12575" i="8"/>
  <c r="C12574" i="8"/>
  <c r="C12573" i="8"/>
  <c r="C12572" i="8"/>
  <c r="C12571" i="8"/>
  <c r="C12570" i="8"/>
  <c r="C12569" i="8"/>
  <c r="C12568" i="8"/>
  <c r="C12567" i="8"/>
  <c r="C12566" i="8"/>
  <c r="C12565" i="8"/>
  <c r="C12564" i="8"/>
  <c r="C12563" i="8"/>
  <c r="C12562" i="8"/>
  <c r="C12561" i="8"/>
  <c r="C12560" i="8"/>
  <c r="C12559" i="8"/>
  <c r="C12558" i="8"/>
  <c r="C12557" i="8"/>
  <c r="C12556" i="8"/>
  <c r="C12555" i="8"/>
  <c r="C12554" i="8"/>
  <c r="C12553" i="8"/>
  <c r="C12552" i="8"/>
  <c r="C12551" i="8"/>
  <c r="C12550" i="8"/>
  <c r="C12549" i="8"/>
  <c r="C12548" i="8"/>
  <c r="C12547" i="8"/>
  <c r="C12546" i="8"/>
  <c r="C12545" i="8"/>
  <c r="C12544" i="8"/>
  <c r="C12543" i="8"/>
  <c r="C12542" i="8"/>
  <c r="C12541" i="8"/>
  <c r="C12540" i="8"/>
  <c r="C12539" i="8"/>
  <c r="C12538" i="8"/>
  <c r="C12537" i="8"/>
  <c r="C12536" i="8"/>
  <c r="C12535" i="8"/>
  <c r="C12534" i="8"/>
  <c r="C12533" i="8"/>
  <c r="C12532" i="8"/>
  <c r="C12531" i="8"/>
  <c r="C12530" i="8"/>
  <c r="C12529" i="8"/>
  <c r="C12528" i="8"/>
  <c r="C12527" i="8"/>
  <c r="C12526" i="8"/>
  <c r="C12525" i="8"/>
  <c r="C12524" i="8"/>
  <c r="C12523" i="8"/>
  <c r="C12522" i="8"/>
  <c r="C12521" i="8"/>
  <c r="C12520" i="8"/>
  <c r="C12519" i="8"/>
  <c r="C12518" i="8"/>
  <c r="C12517" i="8"/>
  <c r="C12516" i="8"/>
  <c r="C12515" i="8"/>
  <c r="C12514" i="8"/>
  <c r="C12513" i="8"/>
  <c r="C12512" i="8"/>
  <c r="C12511" i="8"/>
  <c r="C12510" i="8"/>
  <c r="C12509" i="8"/>
  <c r="C12508" i="8"/>
  <c r="C12507" i="8"/>
  <c r="C12506" i="8"/>
  <c r="C12505" i="8"/>
  <c r="C12504" i="8"/>
  <c r="C12503" i="8"/>
  <c r="C12502" i="8"/>
  <c r="C12501" i="8"/>
  <c r="C12500" i="8"/>
  <c r="C12499" i="8"/>
  <c r="C12498" i="8"/>
  <c r="C12497" i="8"/>
  <c r="C12496" i="8"/>
  <c r="C12495" i="8"/>
  <c r="C12494" i="8"/>
  <c r="C12493" i="8"/>
  <c r="C12492" i="8"/>
  <c r="C12491" i="8"/>
  <c r="C12490" i="8"/>
  <c r="C12489" i="8"/>
  <c r="C12488" i="8"/>
  <c r="C12487" i="8"/>
  <c r="C12486" i="8"/>
  <c r="C12485" i="8"/>
  <c r="C12484" i="8"/>
  <c r="C12483" i="8"/>
  <c r="C12482" i="8"/>
  <c r="C12481" i="8"/>
  <c r="C12480" i="8"/>
  <c r="C12479" i="8"/>
  <c r="C12478" i="8"/>
  <c r="C12477" i="8"/>
  <c r="C12476" i="8"/>
  <c r="C12475" i="8"/>
  <c r="C12474" i="8"/>
  <c r="C12473" i="8"/>
  <c r="C12472" i="8"/>
  <c r="C12471" i="8"/>
  <c r="C12470" i="8"/>
  <c r="C12469" i="8"/>
  <c r="C12468" i="8"/>
  <c r="C12467" i="8"/>
  <c r="C12466" i="8"/>
  <c r="C12465" i="8"/>
  <c r="C12464" i="8"/>
  <c r="C12463" i="8"/>
  <c r="C12462" i="8"/>
  <c r="C12461" i="8"/>
  <c r="C12460" i="8"/>
  <c r="C12459" i="8"/>
  <c r="C12458" i="8"/>
  <c r="C12457" i="8"/>
  <c r="C12456" i="8"/>
  <c r="C12455" i="8"/>
  <c r="C12454" i="8"/>
  <c r="C12453" i="8"/>
  <c r="C12452" i="8"/>
  <c r="C12451" i="8"/>
  <c r="C12450" i="8"/>
  <c r="C12449" i="8"/>
  <c r="C12448" i="8"/>
  <c r="C12447" i="8"/>
  <c r="C12446" i="8"/>
  <c r="C12445" i="8"/>
  <c r="C12444" i="8"/>
  <c r="C12443" i="8"/>
  <c r="C12442" i="8"/>
  <c r="C12441" i="8"/>
  <c r="C12440" i="8"/>
  <c r="C12439" i="8"/>
  <c r="C12438" i="8"/>
  <c r="C12437" i="8"/>
  <c r="C12436" i="8"/>
  <c r="C12435" i="8"/>
  <c r="C12434" i="8"/>
  <c r="C12433" i="8"/>
  <c r="C12432" i="8"/>
  <c r="C12431" i="8"/>
  <c r="C12430" i="8"/>
  <c r="C12429" i="8"/>
  <c r="C12428" i="8"/>
  <c r="C12427" i="8"/>
  <c r="C12426" i="8"/>
  <c r="C12425" i="8"/>
  <c r="C12424" i="8"/>
  <c r="C12423" i="8"/>
  <c r="C12422" i="8"/>
  <c r="C12421" i="8"/>
  <c r="C12420" i="8"/>
  <c r="C12419" i="8"/>
  <c r="C12418" i="8"/>
  <c r="C12417" i="8"/>
  <c r="C12416" i="8"/>
  <c r="C12415" i="8"/>
  <c r="C12414" i="8"/>
  <c r="C12413" i="8"/>
  <c r="C12412" i="8"/>
  <c r="C12411" i="8"/>
  <c r="C12410" i="8"/>
  <c r="C12409" i="8"/>
  <c r="C12408" i="8"/>
  <c r="C12407" i="8"/>
  <c r="C12406" i="8"/>
  <c r="C12405" i="8"/>
  <c r="C12404" i="8"/>
  <c r="C12403" i="8"/>
  <c r="C12402" i="8"/>
  <c r="C12401" i="8"/>
  <c r="C12400" i="8"/>
  <c r="C12399" i="8"/>
  <c r="C12398" i="8"/>
  <c r="C12397" i="8"/>
  <c r="C12396" i="8"/>
  <c r="C12395" i="8"/>
  <c r="C12394" i="8"/>
  <c r="C12393" i="8"/>
  <c r="C12392" i="8"/>
  <c r="C12391" i="8"/>
  <c r="C12390" i="8"/>
  <c r="C12389" i="8"/>
  <c r="C12388" i="8"/>
  <c r="C12387" i="8"/>
  <c r="C12386" i="8"/>
  <c r="C12385" i="8"/>
  <c r="C12384" i="8"/>
  <c r="C12383" i="8"/>
  <c r="C12382" i="8"/>
  <c r="C12381" i="8"/>
  <c r="C12380" i="8"/>
  <c r="C12379" i="8"/>
  <c r="C12378" i="8"/>
  <c r="C12377" i="8"/>
  <c r="C12376" i="8"/>
  <c r="C12375" i="8"/>
  <c r="C12374" i="8"/>
  <c r="C12373" i="8"/>
  <c r="C12372" i="8"/>
  <c r="C12371" i="8"/>
  <c r="C12370" i="8"/>
  <c r="C12369" i="8"/>
  <c r="C12368" i="8"/>
  <c r="C12367" i="8"/>
  <c r="C12366" i="8"/>
  <c r="C12365" i="8"/>
  <c r="C12364" i="8"/>
  <c r="C12363" i="8"/>
  <c r="C12362" i="8"/>
  <c r="C12361" i="8"/>
  <c r="C12360" i="8"/>
  <c r="C12359" i="8"/>
  <c r="C12358" i="8"/>
  <c r="C12357" i="8"/>
  <c r="C12356" i="8"/>
  <c r="C12355" i="8"/>
  <c r="C12354" i="8"/>
  <c r="C12353" i="8"/>
  <c r="C12352" i="8"/>
  <c r="C12351" i="8"/>
  <c r="C12350" i="8"/>
  <c r="C12349" i="8"/>
  <c r="C12348" i="8"/>
  <c r="C12347" i="8"/>
  <c r="C12346" i="8"/>
  <c r="C12345" i="8"/>
  <c r="C12344" i="8"/>
  <c r="C12343" i="8"/>
  <c r="C12342" i="8"/>
  <c r="C12341" i="8"/>
  <c r="C12340" i="8"/>
  <c r="C12339" i="8"/>
  <c r="C12338" i="8"/>
  <c r="C12337" i="8"/>
  <c r="C12336" i="8"/>
  <c r="C12335" i="8"/>
  <c r="C12334" i="8"/>
  <c r="C12333" i="8"/>
  <c r="C12332" i="8"/>
  <c r="C12331" i="8"/>
  <c r="C12330" i="8"/>
  <c r="C12329" i="8"/>
  <c r="C12328" i="8"/>
  <c r="C12327" i="8"/>
  <c r="C12326" i="8"/>
  <c r="C12325" i="8"/>
  <c r="C12324" i="8"/>
  <c r="C12323" i="8"/>
  <c r="C12322" i="8"/>
  <c r="C12321" i="8"/>
  <c r="C12320" i="8"/>
  <c r="C12319" i="8"/>
  <c r="C12318" i="8"/>
  <c r="C12317" i="8"/>
  <c r="C12316" i="8"/>
  <c r="C12315" i="8"/>
  <c r="C12314" i="8"/>
  <c r="C12313" i="8"/>
  <c r="C12312" i="8"/>
  <c r="C12311" i="8"/>
  <c r="C12310" i="8"/>
  <c r="C12309" i="8"/>
  <c r="C12308" i="8"/>
  <c r="C12307" i="8"/>
  <c r="C12306" i="8"/>
  <c r="C12305" i="8"/>
  <c r="C12304" i="8"/>
  <c r="C12303" i="8"/>
  <c r="C12302" i="8"/>
  <c r="C12301" i="8"/>
  <c r="C12300" i="8"/>
  <c r="C12299" i="8"/>
  <c r="C12298" i="8"/>
  <c r="C12297" i="8"/>
  <c r="C12296" i="8"/>
  <c r="C12295" i="8"/>
  <c r="C12294" i="8"/>
  <c r="C12293" i="8"/>
  <c r="C12292" i="8"/>
  <c r="C12291" i="8"/>
  <c r="C12290" i="8"/>
  <c r="C12289" i="8"/>
  <c r="C12288" i="8"/>
  <c r="C12287" i="8"/>
  <c r="C12286" i="8"/>
  <c r="C12285" i="8"/>
  <c r="C12284" i="8"/>
  <c r="C12283" i="8"/>
  <c r="C12282" i="8"/>
  <c r="C12281" i="8"/>
  <c r="C12280" i="8"/>
  <c r="C12279" i="8"/>
  <c r="C12278" i="8"/>
  <c r="C12277" i="8"/>
  <c r="C12276" i="8"/>
  <c r="C12275" i="8"/>
  <c r="C12274" i="8"/>
  <c r="C12273" i="8"/>
  <c r="C12272" i="8"/>
  <c r="C12271" i="8"/>
  <c r="C12270" i="8"/>
  <c r="C12269" i="8"/>
  <c r="C12268" i="8"/>
  <c r="C12267" i="8"/>
  <c r="C12266" i="8"/>
  <c r="C12265" i="8"/>
  <c r="C12264" i="8"/>
  <c r="C12263" i="8"/>
  <c r="C12262" i="8"/>
  <c r="C12261" i="8"/>
  <c r="C12260" i="8"/>
  <c r="C12259" i="8"/>
  <c r="C12258" i="8"/>
  <c r="C12257" i="8"/>
  <c r="C12256" i="8"/>
  <c r="C12255" i="8"/>
  <c r="C12254" i="8"/>
  <c r="C12253" i="8"/>
  <c r="C12252" i="8"/>
  <c r="C12251" i="8"/>
  <c r="C12250" i="8"/>
  <c r="C12249" i="8"/>
  <c r="C12248" i="8"/>
  <c r="C12247" i="8"/>
  <c r="C12246" i="8"/>
  <c r="C12245" i="8"/>
  <c r="C12244" i="8"/>
  <c r="C12243" i="8"/>
  <c r="C12242" i="8"/>
  <c r="C12241" i="8"/>
  <c r="C12240" i="8"/>
  <c r="C12239" i="8"/>
  <c r="C12238" i="8"/>
  <c r="C12237" i="8"/>
  <c r="C12236" i="8"/>
  <c r="C12235" i="8"/>
  <c r="C12234" i="8"/>
  <c r="C12233" i="8"/>
  <c r="C12232" i="8"/>
  <c r="C12231" i="8"/>
  <c r="C12230" i="8"/>
  <c r="C12229" i="8"/>
  <c r="C12228" i="8"/>
  <c r="C12227" i="8"/>
  <c r="C12226" i="8"/>
  <c r="C12225" i="8"/>
  <c r="C12224" i="8"/>
  <c r="C12223" i="8"/>
  <c r="C12222" i="8"/>
  <c r="C12221" i="8"/>
  <c r="C12220" i="8"/>
  <c r="C12219" i="8"/>
  <c r="C12218" i="8"/>
  <c r="C12217" i="8"/>
  <c r="C12216" i="8"/>
  <c r="C12215" i="8"/>
  <c r="C12214" i="8"/>
  <c r="C12213" i="8"/>
  <c r="C12212" i="8"/>
  <c r="C12211" i="8"/>
  <c r="C12210" i="8"/>
  <c r="C12209" i="8"/>
  <c r="C12208" i="8"/>
  <c r="C12207" i="8"/>
  <c r="C12206" i="8"/>
  <c r="C12205" i="8"/>
  <c r="C12204" i="8"/>
  <c r="C12203" i="8"/>
  <c r="C12202" i="8"/>
  <c r="C12201" i="8"/>
  <c r="C12200" i="8"/>
  <c r="C12199" i="8"/>
  <c r="C12198" i="8"/>
  <c r="C12197" i="8"/>
  <c r="C12196" i="8"/>
  <c r="C12195" i="8"/>
  <c r="C12194" i="8"/>
  <c r="C12193" i="8"/>
  <c r="C12192" i="8"/>
  <c r="C12191" i="8"/>
  <c r="C12190" i="8"/>
  <c r="C12189" i="8"/>
  <c r="C12188" i="8"/>
  <c r="C12187" i="8"/>
  <c r="C12186" i="8"/>
  <c r="C12185" i="8"/>
  <c r="C12184" i="8"/>
  <c r="C12183" i="8"/>
  <c r="C12182" i="8"/>
  <c r="C12181" i="8"/>
  <c r="C12180" i="8"/>
  <c r="C12179" i="8"/>
  <c r="C12178" i="8"/>
  <c r="C12177" i="8"/>
  <c r="C12176" i="8"/>
  <c r="C12175" i="8"/>
  <c r="C12174" i="8"/>
  <c r="C12173" i="8"/>
  <c r="C12172" i="8"/>
  <c r="C12171" i="8"/>
  <c r="C12170" i="8"/>
  <c r="C12169" i="8"/>
  <c r="C12168" i="8"/>
  <c r="C12167" i="8"/>
  <c r="C12166" i="8"/>
  <c r="C12165" i="8"/>
  <c r="C12164" i="8"/>
  <c r="C12163" i="8"/>
  <c r="C12162" i="8"/>
  <c r="C12161" i="8"/>
  <c r="C12160" i="8"/>
  <c r="C12159" i="8"/>
  <c r="C12158" i="8"/>
  <c r="C12157" i="8"/>
  <c r="C12156" i="8"/>
  <c r="C12155" i="8"/>
  <c r="C12154" i="8"/>
  <c r="C12153" i="8"/>
  <c r="C12152" i="8"/>
  <c r="C12151" i="8"/>
  <c r="C12150" i="8"/>
  <c r="C12149" i="8"/>
  <c r="C12148" i="8"/>
  <c r="C12147" i="8"/>
  <c r="C12146" i="8"/>
  <c r="C12145" i="8"/>
  <c r="C12144" i="8"/>
  <c r="C12143" i="8"/>
  <c r="C12142" i="8"/>
  <c r="C12141" i="8"/>
  <c r="C12140" i="8"/>
  <c r="C12139" i="8"/>
  <c r="C12138" i="8"/>
  <c r="C12137" i="8"/>
  <c r="C12136" i="8"/>
  <c r="C12135" i="8"/>
  <c r="C12134" i="8"/>
  <c r="C12133" i="8"/>
  <c r="C12132" i="8"/>
  <c r="C12131" i="8"/>
  <c r="C12130" i="8"/>
  <c r="C12129" i="8"/>
  <c r="C12128" i="8"/>
  <c r="C12127" i="8"/>
  <c r="C12126" i="8"/>
  <c r="C12125" i="8"/>
  <c r="C12124" i="8"/>
  <c r="C12123" i="8"/>
  <c r="C12122" i="8"/>
  <c r="C12121" i="8"/>
  <c r="C12120" i="8"/>
  <c r="C12119" i="8"/>
  <c r="C12118" i="8"/>
  <c r="C12117" i="8"/>
  <c r="C12116" i="8"/>
  <c r="C12115" i="8"/>
  <c r="C12114" i="8"/>
  <c r="C12113" i="8"/>
  <c r="C12112" i="8"/>
  <c r="C12111" i="8"/>
  <c r="C12110" i="8"/>
  <c r="C12109" i="8"/>
  <c r="C12108" i="8"/>
  <c r="C12107" i="8"/>
  <c r="C12106" i="8"/>
  <c r="C12105" i="8"/>
  <c r="C12104" i="8"/>
  <c r="C12103" i="8"/>
  <c r="C12102" i="8"/>
  <c r="C12101" i="8"/>
  <c r="C12100" i="8"/>
  <c r="C12099" i="8"/>
  <c r="C12098" i="8"/>
  <c r="C12097" i="8"/>
  <c r="C12096" i="8"/>
  <c r="C12095" i="8"/>
  <c r="C12094" i="8"/>
  <c r="C12093" i="8"/>
  <c r="C12092" i="8"/>
  <c r="C12091" i="8"/>
  <c r="C12090" i="8"/>
  <c r="C12089" i="8"/>
  <c r="C12088" i="8"/>
  <c r="C12087" i="8"/>
  <c r="C12086" i="8"/>
  <c r="C12085" i="8"/>
  <c r="C12084" i="8"/>
  <c r="C12083" i="8"/>
  <c r="C12082" i="8"/>
  <c r="C12081" i="8"/>
  <c r="C12080" i="8"/>
  <c r="C12079" i="8"/>
  <c r="C12078" i="8"/>
  <c r="C12077" i="8"/>
  <c r="C12076" i="8"/>
  <c r="C12075" i="8"/>
  <c r="C12074" i="8"/>
  <c r="C12073" i="8"/>
  <c r="C12072" i="8"/>
  <c r="C12071" i="8"/>
  <c r="C12070" i="8"/>
  <c r="C12069" i="8"/>
  <c r="C12068" i="8"/>
  <c r="C12067" i="8"/>
  <c r="C12066" i="8"/>
  <c r="C12065" i="8"/>
  <c r="C12064" i="8"/>
  <c r="C12063" i="8"/>
  <c r="C12062" i="8"/>
  <c r="C12061" i="8"/>
  <c r="C12060" i="8"/>
  <c r="C12059" i="8"/>
  <c r="C12058" i="8"/>
  <c r="C12057" i="8"/>
  <c r="C12056" i="8"/>
  <c r="C12055" i="8"/>
  <c r="C12054" i="8"/>
  <c r="C12053" i="8"/>
  <c r="C12052" i="8"/>
  <c r="C12051" i="8"/>
  <c r="C12050" i="8"/>
  <c r="C12049" i="8"/>
  <c r="C12048" i="8"/>
  <c r="C12047" i="8"/>
  <c r="C12046" i="8"/>
  <c r="C12045" i="8"/>
  <c r="C12044" i="8"/>
  <c r="C12043" i="8"/>
  <c r="C12042" i="8"/>
  <c r="C12041" i="8"/>
  <c r="C12040" i="8"/>
  <c r="C12039" i="8"/>
  <c r="C12038" i="8"/>
  <c r="C12037" i="8"/>
  <c r="C12036" i="8"/>
  <c r="C12035" i="8"/>
  <c r="C12034" i="8"/>
  <c r="C12033" i="8"/>
  <c r="C12032" i="8"/>
  <c r="C12031" i="8"/>
  <c r="C12030" i="8"/>
  <c r="C12029" i="8"/>
  <c r="C12028" i="8"/>
  <c r="C12027" i="8"/>
  <c r="C12026" i="8"/>
  <c r="C12025" i="8"/>
  <c r="C12024" i="8"/>
  <c r="C12023" i="8"/>
  <c r="C12022" i="8"/>
  <c r="C12021" i="8"/>
  <c r="C12020" i="8"/>
  <c r="C12019" i="8"/>
  <c r="C12018" i="8"/>
  <c r="C12017" i="8"/>
  <c r="C12016" i="8"/>
  <c r="C12015" i="8"/>
  <c r="C12014" i="8"/>
  <c r="C12013" i="8"/>
  <c r="C12012" i="8"/>
  <c r="C12011" i="8"/>
  <c r="C12010" i="8"/>
  <c r="C12009" i="8"/>
  <c r="C12008" i="8"/>
  <c r="C12007" i="8"/>
  <c r="C12006" i="8"/>
  <c r="C12005" i="8"/>
  <c r="C12004" i="8"/>
  <c r="C12003" i="8"/>
  <c r="C12002" i="8"/>
  <c r="C12001" i="8"/>
  <c r="C12000" i="8"/>
  <c r="C11999" i="8"/>
  <c r="C11998" i="8"/>
  <c r="C11997" i="8"/>
  <c r="C11996" i="8"/>
  <c r="C11995" i="8"/>
  <c r="C11994" i="8"/>
  <c r="C11993" i="8"/>
  <c r="C11992" i="8"/>
  <c r="C11991" i="8"/>
  <c r="C11990" i="8"/>
  <c r="C11989" i="8"/>
  <c r="C11988" i="8"/>
  <c r="C11987" i="8"/>
  <c r="C11986" i="8"/>
  <c r="C11985" i="8"/>
  <c r="C11984" i="8"/>
  <c r="C11983" i="8"/>
  <c r="C11982" i="8"/>
  <c r="C11981" i="8"/>
  <c r="C11980" i="8"/>
  <c r="C11979" i="8"/>
  <c r="C11978" i="8"/>
  <c r="C11977" i="8"/>
  <c r="C11976" i="8"/>
  <c r="C11975" i="8"/>
  <c r="C11974" i="8"/>
  <c r="C11973" i="8"/>
  <c r="C11972" i="8"/>
  <c r="C11971" i="8"/>
  <c r="C11970" i="8"/>
  <c r="C11969" i="8"/>
  <c r="C11968" i="8"/>
  <c r="C11967" i="8"/>
  <c r="C11966" i="8"/>
  <c r="C11965" i="8"/>
  <c r="C11964" i="8"/>
  <c r="C11963" i="8"/>
  <c r="C11962" i="8"/>
  <c r="C11961" i="8"/>
  <c r="C11960" i="8"/>
  <c r="C11959" i="8"/>
  <c r="C11958" i="8"/>
  <c r="C11957" i="8"/>
  <c r="C11956" i="8"/>
  <c r="C11955" i="8"/>
  <c r="C11954" i="8"/>
  <c r="C11953" i="8"/>
  <c r="C11952" i="8"/>
  <c r="C11951" i="8"/>
  <c r="C11950" i="8"/>
  <c r="C11949" i="8"/>
  <c r="C11948" i="8"/>
  <c r="C11947" i="8"/>
  <c r="C11946" i="8"/>
  <c r="C11945" i="8"/>
  <c r="C11944" i="8"/>
  <c r="C11943" i="8"/>
  <c r="C11942" i="8"/>
  <c r="C11941" i="8"/>
  <c r="C11940" i="8"/>
  <c r="C11939" i="8"/>
  <c r="C11938" i="8"/>
  <c r="C11937" i="8"/>
  <c r="C11936" i="8"/>
  <c r="C11935" i="8"/>
  <c r="C11934" i="8"/>
  <c r="C11933" i="8"/>
  <c r="C11932" i="8"/>
  <c r="C11931" i="8"/>
  <c r="C11930" i="8"/>
  <c r="C11929" i="8"/>
  <c r="C11928" i="8"/>
  <c r="C11927" i="8"/>
  <c r="C11926" i="8"/>
  <c r="C11925" i="8"/>
  <c r="C11924" i="8"/>
  <c r="C11923" i="8"/>
  <c r="C11922" i="8"/>
  <c r="C11921" i="8"/>
  <c r="C11920" i="8"/>
  <c r="C11919" i="8"/>
  <c r="C11918" i="8"/>
  <c r="C11917" i="8"/>
  <c r="C11916" i="8"/>
  <c r="C11915" i="8"/>
  <c r="C11914" i="8"/>
  <c r="C11913" i="8"/>
  <c r="C11912" i="8"/>
  <c r="C11911" i="8"/>
  <c r="C11910" i="8"/>
  <c r="C11909" i="8"/>
  <c r="C11908" i="8"/>
  <c r="C11907" i="8"/>
  <c r="C11906" i="8"/>
  <c r="C11905" i="8"/>
  <c r="C11904" i="8"/>
  <c r="C11903" i="8"/>
  <c r="C11902" i="8"/>
  <c r="C11901" i="8"/>
  <c r="C11900" i="8"/>
  <c r="C11899" i="8"/>
  <c r="C11898" i="8"/>
  <c r="C11897" i="8"/>
  <c r="C11896" i="8"/>
  <c r="C11895" i="8"/>
  <c r="C11894" i="8"/>
  <c r="C11893" i="8"/>
  <c r="C11892" i="8"/>
  <c r="C11891" i="8"/>
  <c r="C11890" i="8"/>
  <c r="C11889" i="8"/>
  <c r="C11888" i="8"/>
  <c r="C11887" i="8"/>
  <c r="C11886" i="8"/>
  <c r="C11885" i="8"/>
  <c r="C11884" i="8"/>
  <c r="C11883" i="8"/>
  <c r="C11882" i="8"/>
  <c r="C11881" i="8"/>
  <c r="C11880" i="8"/>
  <c r="C11879" i="8"/>
  <c r="C11878" i="8"/>
  <c r="C11877" i="8"/>
  <c r="C11876" i="8"/>
  <c r="C11875" i="8"/>
  <c r="C11874" i="8"/>
  <c r="C11873" i="8"/>
  <c r="C11872" i="8"/>
  <c r="C11871" i="8"/>
  <c r="C11870" i="8"/>
  <c r="C11869" i="8"/>
  <c r="C11868" i="8"/>
  <c r="C11867" i="8"/>
  <c r="C11866" i="8"/>
  <c r="C11865" i="8"/>
  <c r="C11864" i="8"/>
  <c r="C11863" i="8"/>
  <c r="C11862" i="8"/>
  <c r="C11861" i="8"/>
  <c r="C11860" i="8"/>
  <c r="C11859" i="8"/>
  <c r="C11858" i="8"/>
  <c r="C11857" i="8"/>
  <c r="C11856" i="8"/>
  <c r="C11855" i="8"/>
  <c r="C11854" i="8"/>
  <c r="C11853" i="8"/>
  <c r="C11852" i="8"/>
  <c r="C11851" i="8"/>
  <c r="C11850" i="8"/>
  <c r="C11849" i="8"/>
  <c r="C11848" i="8"/>
  <c r="C11847" i="8"/>
  <c r="C11846" i="8"/>
  <c r="C11845" i="8"/>
  <c r="C11844" i="8"/>
  <c r="C11843" i="8"/>
  <c r="C11842" i="8"/>
  <c r="C11841" i="8"/>
  <c r="C11840" i="8"/>
  <c r="C11839" i="8"/>
  <c r="C11838" i="8"/>
  <c r="C11837" i="8"/>
  <c r="C11836" i="8"/>
  <c r="C11835" i="8"/>
  <c r="C11834" i="8"/>
  <c r="C11833" i="8"/>
  <c r="C11832" i="8"/>
  <c r="C11831" i="8"/>
  <c r="C11830" i="8"/>
  <c r="C11829" i="8"/>
  <c r="C11828" i="8"/>
  <c r="C11827" i="8"/>
  <c r="C11826" i="8"/>
  <c r="C11825" i="8"/>
  <c r="C11824" i="8"/>
  <c r="C11823" i="8"/>
  <c r="C11822" i="8"/>
  <c r="C11821" i="8"/>
  <c r="C11820" i="8"/>
  <c r="C11819" i="8"/>
  <c r="C11818" i="8"/>
  <c r="C11817" i="8"/>
  <c r="C11816" i="8"/>
  <c r="C11815" i="8"/>
  <c r="C11814" i="8"/>
  <c r="C11813" i="8"/>
  <c r="C11812" i="8"/>
  <c r="C11811" i="8"/>
  <c r="C11810" i="8"/>
  <c r="C11809" i="8"/>
  <c r="C11808" i="8"/>
  <c r="C11807" i="8"/>
  <c r="C11806" i="8"/>
  <c r="C11805" i="8"/>
  <c r="C11804" i="8"/>
  <c r="C11803" i="8"/>
  <c r="C11802" i="8"/>
  <c r="C11801" i="8"/>
  <c r="C11800" i="8"/>
  <c r="C11799" i="8"/>
  <c r="C11798" i="8"/>
  <c r="C11797" i="8"/>
  <c r="C11796" i="8"/>
  <c r="C11795" i="8"/>
  <c r="C11794" i="8"/>
  <c r="C11793" i="8"/>
  <c r="C11792" i="8"/>
  <c r="C11791" i="8"/>
  <c r="C11790" i="8"/>
  <c r="C11789" i="8"/>
  <c r="C11788" i="8"/>
  <c r="C11787" i="8"/>
  <c r="C11786" i="8"/>
  <c r="C11785" i="8"/>
  <c r="C11784" i="8"/>
  <c r="C11783" i="8"/>
  <c r="C11782" i="8"/>
  <c r="C11781" i="8"/>
  <c r="C11780" i="8"/>
  <c r="C11779" i="8"/>
  <c r="C11778" i="8"/>
  <c r="C11777" i="8"/>
  <c r="C11776" i="8"/>
  <c r="C11775" i="8"/>
  <c r="C11774" i="8"/>
  <c r="C11773" i="8"/>
  <c r="C11772" i="8"/>
  <c r="C11771" i="8"/>
  <c r="C11770" i="8"/>
  <c r="C11769" i="8"/>
  <c r="C11768" i="8"/>
  <c r="C11767" i="8"/>
  <c r="C11766" i="8"/>
  <c r="C11765" i="8"/>
  <c r="C11764" i="8"/>
  <c r="C11763" i="8"/>
  <c r="C11762" i="8"/>
  <c r="C11761" i="8"/>
  <c r="C11760" i="8"/>
  <c r="C11759" i="8"/>
  <c r="C11758" i="8"/>
  <c r="C11757" i="8"/>
  <c r="C11756" i="8"/>
  <c r="C11755" i="8"/>
  <c r="C11754" i="8"/>
  <c r="C11753" i="8"/>
  <c r="C11752" i="8"/>
  <c r="C11751" i="8"/>
  <c r="C11750" i="8"/>
  <c r="C11749" i="8"/>
  <c r="C11748" i="8"/>
  <c r="C11747" i="8"/>
  <c r="C11746" i="8"/>
  <c r="C11745" i="8"/>
  <c r="C11744" i="8"/>
  <c r="C11743" i="8"/>
  <c r="C11742" i="8"/>
  <c r="C11741" i="8"/>
  <c r="C11740" i="8"/>
  <c r="C11739" i="8"/>
  <c r="C11738" i="8"/>
  <c r="C11737" i="8"/>
  <c r="C11736" i="8"/>
  <c r="C11735" i="8"/>
  <c r="C11734" i="8"/>
  <c r="C11733" i="8"/>
  <c r="C11732" i="8"/>
  <c r="C11731" i="8"/>
  <c r="C11730" i="8"/>
  <c r="C11729" i="8"/>
  <c r="C11728" i="8"/>
  <c r="C11727" i="8"/>
  <c r="C11726" i="8"/>
  <c r="C11725" i="8"/>
  <c r="C11724" i="8"/>
  <c r="C11723" i="8"/>
  <c r="C11722" i="8"/>
  <c r="C11721" i="8"/>
  <c r="C11720" i="8"/>
  <c r="C11719" i="8"/>
  <c r="C11718" i="8"/>
  <c r="C11717" i="8"/>
  <c r="C11716" i="8"/>
  <c r="C11715" i="8"/>
  <c r="C11714" i="8"/>
  <c r="C11713" i="8"/>
  <c r="C11712" i="8"/>
  <c r="C11711" i="8"/>
  <c r="C11710" i="8"/>
  <c r="C11709" i="8"/>
  <c r="C11708" i="8"/>
  <c r="C11707" i="8"/>
  <c r="C11706" i="8"/>
  <c r="C11705" i="8"/>
  <c r="C11704" i="8"/>
  <c r="C11703" i="8"/>
  <c r="C11702" i="8"/>
  <c r="C11701" i="8"/>
  <c r="C11700" i="8"/>
  <c r="C11699" i="8"/>
  <c r="C11698" i="8"/>
  <c r="C11697" i="8"/>
  <c r="C11696" i="8"/>
  <c r="C11695" i="8"/>
  <c r="C11694" i="8"/>
  <c r="C11693" i="8"/>
  <c r="C11692" i="8"/>
  <c r="C11691" i="8"/>
  <c r="C11690" i="8"/>
  <c r="C11689" i="8"/>
  <c r="C11688" i="8"/>
  <c r="C11687" i="8"/>
  <c r="C11686" i="8"/>
  <c r="C11685" i="8"/>
  <c r="C11684" i="8"/>
  <c r="C11683" i="8"/>
  <c r="C11682" i="8"/>
  <c r="C11681" i="8"/>
  <c r="C11680" i="8"/>
  <c r="C11679" i="8"/>
  <c r="C11678" i="8"/>
  <c r="C11677" i="8"/>
  <c r="C11676" i="8"/>
  <c r="C11675" i="8"/>
  <c r="C11674" i="8"/>
  <c r="C11673" i="8"/>
  <c r="C11672" i="8"/>
  <c r="C11671" i="8"/>
  <c r="C11670" i="8"/>
  <c r="C11669" i="8"/>
  <c r="C11668" i="8"/>
  <c r="C11667" i="8"/>
  <c r="C11666" i="8"/>
  <c r="C11665" i="8"/>
  <c r="C11664" i="8"/>
  <c r="C11663" i="8"/>
  <c r="C11662" i="8"/>
  <c r="C11661" i="8"/>
  <c r="C11660" i="8"/>
  <c r="C11659" i="8"/>
  <c r="C11658" i="8"/>
  <c r="C11657" i="8"/>
  <c r="C11656" i="8"/>
  <c r="C11655" i="8"/>
  <c r="C11654" i="8"/>
  <c r="C11653" i="8"/>
  <c r="C11652" i="8"/>
  <c r="C11651" i="8"/>
  <c r="C11650" i="8"/>
  <c r="C11649" i="8"/>
  <c r="C11648" i="8"/>
  <c r="C11647" i="8"/>
  <c r="C11646" i="8"/>
  <c r="C11645" i="8"/>
  <c r="C11644" i="8"/>
  <c r="C11643" i="8"/>
  <c r="C11642" i="8"/>
  <c r="C11641" i="8"/>
  <c r="C11640" i="8"/>
  <c r="C11639" i="8"/>
  <c r="C11638" i="8"/>
  <c r="C11637" i="8"/>
  <c r="C11636" i="8"/>
  <c r="C11635" i="8"/>
  <c r="C11634" i="8"/>
  <c r="C11633" i="8"/>
  <c r="C11632" i="8"/>
  <c r="C11631" i="8"/>
  <c r="C11630" i="8"/>
  <c r="C11629" i="8"/>
  <c r="C11628" i="8"/>
  <c r="C11627" i="8"/>
  <c r="C11626" i="8"/>
  <c r="C11625" i="8"/>
  <c r="C11624" i="8"/>
  <c r="C11623" i="8"/>
  <c r="C11622" i="8"/>
  <c r="C11621" i="8"/>
  <c r="C11620" i="8"/>
  <c r="C11619" i="8"/>
  <c r="C11618" i="8"/>
  <c r="C11617" i="8"/>
  <c r="C11616" i="8"/>
  <c r="C11615" i="8"/>
  <c r="C11614" i="8"/>
  <c r="C11613" i="8"/>
  <c r="C11612" i="8"/>
  <c r="C11611" i="8"/>
  <c r="C11610" i="8"/>
  <c r="C11609" i="8"/>
  <c r="C11608" i="8"/>
  <c r="C11607" i="8"/>
  <c r="C11606" i="8"/>
  <c r="C11605" i="8"/>
  <c r="C11604" i="8"/>
  <c r="C11603" i="8"/>
  <c r="C11602" i="8"/>
  <c r="C11601" i="8"/>
  <c r="C11600" i="8"/>
  <c r="C11599" i="8"/>
  <c r="C11598" i="8"/>
  <c r="C11597" i="8"/>
  <c r="C11596" i="8"/>
  <c r="C11595" i="8"/>
  <c r="C11594" i="8"/>
  <c r="C11593" i="8"/>
  <c r="C11592" i="8"/>
  <c r="C11591" i="8"/>
  <c r="C11590" i="8"/>
  <c r="C11589" i="8"/>
  <c r="C11588" i="8"/>
  <c r="C11587" i="8"/>
  <c r="C11586" i="8"/>
  <c r="C11585" i="8"/>
  <c r="C11584" i="8"/>
  <c r="C11583" i="8"/>
  <c r="C11582" i="8"/>
  <c r="C11581" i="8"/>
  <c r="C11580" i="8"/>
  <c r="C11579" i="8"/>
  <c r="C11578" i="8"/>
  <c r="C11577" i="8"/>
  <c r="C11576" i="8"/>
  <c r="C11575" i="8"/>
  <c r="C11574" i="8"/>
  <c r="C11573" i="8"/>
  <c r="C11572" i="8"/>
  <c r="C11571" i="8"/>
  <c r="C11570" i="8"/>
  <c r="C11569" i="8"/>
  <c r="C11568" i="8"/>
  <c r="C11567" i="8"/>
  <c r="C11566" i="8"/>
  <c r="C11565" i="8"/>
  <c r="C11564" i="8"/>
  <c r="C11563" i="8"/>
  <c r="C11562" i="8"/>
  <c r="C11561" i="8"/>
  <c r="C11560" i="8"/>
  <c r="C11559" i="8"/>
  <c r="C11558" i="8"/>
  <c r="C11557" i="8"/>
  <c r="C11556" i="8"/>
  <c r="C11555" i="8"/>
  <c r="C11554" i="8"/>
  <c r="C11553" i="8"/>
  <c r="C11552" i="8"/>
  <c r="C11551" i="8"/>
  <c r="C11550" i="8"/>
  <c r="C11549" i="8"/>
  <c r="C11548" i="8"/>
  <c r="C11547" i="8"/>
  <c r="C11546" i="8"/>
  <c r="C11545" i="8"/>
  <c r="C11544" i="8"/>
  <c r="C11543" i="8"/>
  <c r="C11542" i="8"/>
  <c r="C11541" i="8"/>
  <c r="C11540" i="8"/>
  <c r="C11539" i="8"/>
  <c r="C11538" i="8"/>
  <c r="C11537" i="8"/>
  <c r="C11536" i="8"/>
  <c r="C11535" i="8"/>
  <c r="C11534" i="8"/>
  <c r="C11533" i="8"/>
  <c r="C11532" i="8"/>
  <c r="C11531" i="8"/>
  <c r="C11530" i="8"/>
  <c r="C11529" i="8"/>
  <c r="C11528" i="8"/>
  <c r="C11527" i="8"/>
  <c r="C11526" i="8"/>
  <c r="C11525" i="8"/>
  <c r="C11524" i="8"/>
  <c r="C11523" i="8"/>
  <c r="C11522" i="8"/>
  <c r="C11521" i="8"/>
  <c r="C11520" i="8"/>
  <c r="C11519" i="8"/>
  <c r="C11518" i="8"/>
  <c r="C11517" i="8"/>
  <c r="C11516" i="8"/>
  <c r="C11515" i="8"/>
  <c r="C11514" i="8"/>
  <c r="C11513" i="8"/>
  <c r="C11512" i="8"/>
  <c r="C11511" i="8"/>
  <c r="C11510" i="8"/>
  <c r="C11509" i="8"/>
  <c r="C11508" i="8"/>
  <c r="C11507" i="8"/>
  <c r="C11506" i="8"/>
  <c r="C11505" i="8"/>
  <c r="C11504" i="8"/>
  <c r="C11503" i="8"/>
  <c r="C11502" i="8"/>
  <c r="C11501" i="8"/>
  <c r="C11500" i="8"/>
  <c r="C11499" i="8"/>
  <c r="C11498" i="8"/>
  <c r="C11497" i="8"/>
  <c r="C11496" i="8"/>
  <c r="C11495" i="8"/>
  <c r="C11494" i="8"/>
  <c r="C11493" i="8"/>
  <c r="C11492" i="8"/>
  <c r="C11491" i="8"/>
  <c r="C11490" i="8"/>
  <c r="C11489" i="8"/>
  <c r="C11488" i="8"/>
  <c r="C11487" i="8"/>
  <c r="C11486" i="8"/>
  <c r="C11485" i="8"/>
  <c r="C11484" i="8"/>
  <c r="C11483" i="8"/>
  <c r="C11482" i="8"/>
  <c r="C11481" i="8"/>
  <c r="C11480" i="8"/>
  <c r="C11479" i="8"/>
  <c r="C11478" i="8"/>
  <c r="C11477" i="8"/>
  <c r="C11476" i="8"/>
  <c r="C11475" i="8"/>
  <c r="C11474" i="8"/>
  <c r="C11473" i="8"/>
  <c r="C11472" i="8"/>
  <c r="C11471" i="8"/>
  <c r="C11470" i="8"/>
  <c r="C11469" i="8"/>
  <c r="C11468" i="8"/>
  <c r="C11467" i="8"/>
  <c r="C11466" i="8"/>
  <c r="C11465" i="8"/>
  <c r="C11464" i="8"/>
  <c r="C11463" i="8"/>
  <c r="C11462" i="8"/>
  <c r="C11461" i="8"/>
  <c r="C11460" i="8"/>
  <c r="C11459" i="8"/>
  <c r="C11458" i="8"/>
  <c r="C11457" i="8"/>
  <c r="C11456" i="8"/>
  <c r="C11455" i="8"/>
  <c r="C11454" i="8"/>
  <c r="C11453" i="8"/>
  <c r="C11452" i="8"/>
  <c r="C11451" i="8"/>
  <c r="C11450" i="8"/>
  <c r="C11449" i="8"/>
  <c r="C11448" i="8"/>
  <c r="C11447" i="8"/>
  <c r="C11446" i="8"/>
  <c r="C11445" i="8"/>
  <c r="C11444" i="8"/>
  <c r="C11443" i="8"/>
  <c r="C11442" i="8"/>
  <c r="C11441" i="8"/>
  <c r="C11440" i="8"/>
  <c r="C11439" i="8"/>
  <c r="C11438" i="8"/>
  <c r="C11437" i="8"/>
  <c r="C11436" i="8"/>
  <c r="C11435" i="8"/>
  <c r="C11434" i="8"/>
  <c r="C11433" i="8"/>
  <c r="C11432" i="8"/>
  <c r="C11431" i="8"/>
  <c r="C11430" i="8"/>
  <c r="C11429" i="8"/>
  <c r="C11428" i="8"/>
  <c r="C11427" i="8"/>
  <c r="C11426" i="8"/>
  <c r="C11425" i="8"/>
  <c r="C11424" i="8"/>
  <c r="C11423" i="8"/>
  <c r="C11422" i="8"/>
  <c r="C11421" i="8"/>
  <c r="C11420" i="8"/>
  <c r="C11419" i="8"/>
  <c r="C11418" i="8"/>
  <c r="C11417" i="8"/>
  <c r="C11416" i="8"/>
  <c r="C11415" i="8"/>
  <c r="C11414" i="8"/>
  <c r="C11413" i="8"/>
  <c r="C11412" i="8"/>
  <c r="C11411" i="8"/>
  <c r="C11410" i="8"/>
  <c r="C11409" i="8"/>
  <c r="C11408" i="8"/>
  <c r="C11407" i="8"/>
  <c r="C11406" i="8"/>
  <c r="C11405" i="8"/>
  <c r="C11404" i="8"/>
  <c r="C11403" i="8"/>
  <c r="C11402" i="8"/>
  <c r="C11401" i="8"/>
  <c r="C11400" i="8"/>
  <c r="C11399" i="8"/>
  <c r="C11398" i="8"/>
  <c r="C11397" i="8"/>
  <c r="C11396" i="8"/>
  <c r="C11395" i="8"/>
  <c r="C11394" i="8"/>
  <c r="C11393" i="8"/>
  <c r="C11392" i="8"/>
  <c r="C11391" i="8"/>
  <c r="C11390" i="8"/>
  <c r="C11389" i="8"/>
  <c r="C11388" i="8"/>
  <c r="C11387" i="8"/>
  <c r="C11386" i="8"/>
  <c r="C11385" i="8"/>
  <c r="C11384" i="8"/>
  <c r="C11383" i="8"/>
  <c r="C11382" i="8"/>
  <c r="C11381" i="8"/>
  <c r="C11380" i="8"/>
  <c r="C11379" i="8"/>
  <c r="C11378" i="8"/>
  <c r="C11377" i="8"/>
  <c r="C11376" i="8"/>
  <c r="C11375" i="8"/>
  <c r="C11374" i="8"/>
  <c r="C11373" i="8"/>
  <c r="C11372" i="8"/>
  <c r="C11371" i="8"/>
  <c r="C11370" i="8"/>
  <c r="C11369" i="8"/>
  <c r="C11368" i="8"/>
  <c r="C11367" i="8"/>
  <c r="C11366" i="8"/>
  <c r="C11365" i="8"/>
  <c r="C11364" i="8"/>
  <c r="C11363" i="8"/>
  <c r="C11362" i="8"/>
  <c r="C11361" i="8"/>
  <c r="C11360" i="8"/>
  <c r="C11359" i="8"/>
  <c r="C11358" i="8"/>
  <c r="C11357" i="8"/>
  <c r="C11356" i="8"/>
  <c r="C11355" i="8"/>
  <c r="C11354" i="8"/>
  <c r="C11353" i="8"/>
  <c r="C11352" i="8"/>
  <c r="C11351" i="8"/>
  <c r="C11350" i="8"/>
  <c r="C11349" i="8"/>
  <c r="C11348" i="8"/>
  <c r="C11347" i="8"/>
  <c r="C11346" i="8"/>
  <c r="C11345" i="8"/>
  <c r="C11344" i="8"/>
  <c r="C11343" i="8"/>
  <c r="C11342" i="8"/>
  <c r="C11341" i="8"/>
  <c r="C11340" i="8"/>
  <c r="C11339" i="8"/>
  <c r="C11338" i="8"/>
  <c r="C11337" i="8"/>
  <c r="C11336" i="8"/>
  <c r="C11335" i="8"/>
  <c r="C11334" i="8"/>
  <c r="C11333" i="8"/>
  <c r="C11332" i="8"/>
  <c r="C11331" i="8"/>
  <c r="C11330" i="8"/>
  <c r="C11329" i="8"/>
  <c r="C11328" i="8"/>
  <c r="C11327" i="8"/>
  <c r="C11326" i="8"/>
  <c r="C11325" i="8"/>
  <c r="C11324" i="8"/>
  <c r="C11323" i="8"/>
  <c r="C11322" i="8"/>
  <c r="C11321" i="8"/>
  <c r="C11320" i="8"/>
  <c r="C11319" i="8"/>
  <c r="C11318" i="8"/>
  <c r="C11317" i="8"/>
  <c r="C11316" i="8"/>
  <c r="C11315" i="8"/>
  <c r="C11314" i="8"/>
  <c r="C11313" i="8"/>
  <c r="C11312" i="8"/>
  <c r="C11311" i="8"/>
  <c r="C11310" i="8"/>
  <c r="C11309" i="8"/>
  <c r="C11308" i="8"/>
  <c r="C11307" i="8"/>
  <c r="C11306" i="8"/>
  <c r="C11305" i="8"/>
  <c r="C11304" i="8"/>
  <c r="C11303" i="8"/>
  <c r="C11302" i="8"/>
  <c r="C11301" i="8"/>
  <c r="C11300" i="8"/>
  <c r="C11299" i="8"/>
  <c r="C11298" i="8"/>
  <c r="C11297" i="8"/>
  <c r="C11296" i="8"/>
  <c r="C11295" i="8"/>
  <c r="C11294" i="8"/>
  <c r="C11293" i="8"/>
  <c r="C11292" i="8"/>
  <c r="C11291" i="8"/>
  <c r="C11290" i="8"/>
  <c r="C11289" i="8"/>
  <c r="C11288" i="8"/>
  <c r="C11287" i="8"/>
  <c r="C11286" i="8"/>
  <c r="C11285" i="8"/>
  <c r="C11284" i="8"/>
  <c r="C11283" i="8"/>
  <c r="C11282" i="8"/>
  <c r="C11281" i="8"/>
  <c r="C11280" i="8"/>
  <c r="C11279" i="8"/>
  <c r="C11278" i="8"/>
  <c r="C11277" i="8"/>
  <c r="C11276" i="8"/>
  <c r="C11275" i="8"/>
  <c r="C11274" i="8"/>
  <c r="C11273" i="8"/>
  <c r="C11272" i="8"/>
  <c r="C11271" i="8"/>
  <c r="C11270" i="8"/>
  <c r="C11269" i="8"/>
  <c r="C11268" i="8"/>
  <c r="C11267" i="8"/>
  <c r="C11266" i="8"/>
  <c r="C11265" i="8"/>
  <c r="C11264" i="8"/>
  <c r="C11263" i="8"/>
  <c r="C11262" i="8"/>
  <c r="C11261" i="8"/>
  <c r="C11260" i="8"/>
  <c r="C11259" i="8"/>
  <c r="C11258" i="8"/>
  <c r="C11257" i="8"/>
  <c r="C11256" i="8"/>
  <c r="C11255" i="8"/>
  <c r="C11254" i="8"/>
  <c r="C11253" i="8"/>
  <c r="C11252" i="8"/>
  <c r="C11251" i="8"/>
  <c r="C11250" i="8"/>
  <c r="C11249" i="8"/>
  <c r="C11248" i="8"/>
  <c r="C11247" i="8"/>
  <c r="C11246" i="8"/>
  <c r="C11245" i="8"/>
  <c r="C11244" i="8"/>
  <c r="C11243" i="8"/>
  <c r="C11242" i="8"/>
  <c r="C11241" i="8"/>
  <c r="C11240" i="8"/>
  <c r="C11239" i="8"/>
  <c r="C11238" i="8"/>
  <c r="C11237" i="8"/>
  <c r="C11236" i="8"/>
  <c r="C11235" i="8"/>
  <c r="C11234" i="8"/>
  <c r="C11233" i="8"/>
  <c r="C11232" i="8"/>
  <c r="C11231" i="8"/>
  <c r="C11230" i="8"/>
  <c r="C11229" i="8"/>
  <c r="C11228" i="8"/>
  <c r="C11227" i="8"/>
  <c r="C11226" i="8"/>
  <c r="C11225" i="8"/>
  <c r="C11224" i="8"/>
  <c r="C11223" i="8"/>
  <c r="C11222" i="8"/>
  <c r="C11221" i="8"/>
  <c r="C11220" i="8"/>
  <c r="C11219" i="8"/>
  <c r="C11218" i="8"/>
  <c r="C11217" i="8"/>
  <c r="C11216" i="8"/>
  <c r="C11215" i="8"/>
  <c r="C11214" i="8"/>
  <c r="C11213" i="8"/>
  <c r="C11212" i="8"/>
  <c r="C11211" i="8"/>
  <c r="C11210" i="8"/>
  <c r="C11209" i="8"/>
  <c r="C11208" i="8"/>
  <c r="C11207" i="8"/>
  <c r="C11206" i="8"/>
  <c r="C11205" i="8"/>
  <c r="C11204" i="8"/>
  <c r="C11203" i="8"/>
  <c r="C11202" i="8"/>
  <c r="C11201" i="8"/>
  <c r="C11200" i="8"/>
  <c r="C11199" i="8"/>
  <c r="C11198" i="8"/>
  <c r="C11197" i="8"/>
  <c r="C11196" i="8"/>
  <c r="C11195" i="8"/>
  <c r="C11194" i="8"/>
  <c r="C11193" i="8"/>
  <c r="C11192" i="8"/>
  <c r="C11191" i="8"/>
  <c r="C11190" i="8"/>
  <c r="C11189" i="8"/>
  <c r="C11188" i="8"/>
  <c r="C11187" i="8"/>
  <c r="C11186" i="8"/>
  <c r="C11185" i="8"/>
  <c r="C11184" i="8"/>
  <c r="C11183" i="8"/>
  <c r="C11182" i="8"/>
  <c r="C11181" i="8"/>
  <c r="C11180" i="8"/>
  <c r="C11179" i="8"/>
  <c r="C11178" i="8"/>
  <c r="C11177" i="8"/>
  <c r="C11176" i="8"/>
  <c r="C11175" i="8"/>
  <c r="C11174" i="8"/>
  <c r="C11173" i="8"/>
  <c r="C11172" i="8"/>
  <c r="C11171" i="8"/>
  <c r="C11170" i="8"/>
  <c r="C11169" i="8"/>
  <c r="C11168" i="8"/>
  <c r="C11167" i="8"/>
  <c r="C11166" i="8"/>
  <c r="C11165" i="8"/>
  <c r="C11164" i="8"/>
  <c r="C11163" i="8"/>
  <c r="C11162" i="8"/>
  <c r="C11161" i="8"/>
  <c r="C11160" i="8"/>
  <c r="C11159" i="8"/>
  <c r="C11158" i="8"/>
  <c r="C11157" i="8"/>
  <c r="C11156" i="8"/>
  <c r="C11155" i="8"/>
  <c r="C11154" i="8"/>
  <c r="C11153" i="8"/>
  <c r="C11152" i="8"/>
  <c r="C11151" i="8"/>
  <c r="C11150" i="8"/>
  <c r="C11149" i="8"/>
  <c r="C11148" i="8"/>
  <c r="C11147" i="8"/>
  <c r="C11146" i="8"/>
  <c r="C11145" i="8"/>
  <c r="C11144" i="8"/>
  <c r="C11143" i="8"/>
  <c r="C11142" i="8"/>
  <c r="C11141" i="8"/>
  <c r="C11140" i="8"/>
  <c r="C11139" i="8"/>
  <c r="C11138" i="8"/>
  <c r="C11137" i="8"/>
  <c r="C11136" i="8"/>
  <c r="C11135" i="8"/>
  <c r="C11134" i="8"/>
  <c r="C11133" i="8"/>
  <c r="C11132" i="8"/>
  <c r="C11131" i="8"/>
  <c r="C11130" i="8"/>
  <c r="C11129" i="8"/>
  <c r="C11128" i="8"/>
  <c r="C11127" i="8"/>
  <c r="C11126" i="8"/>
  <c r="C11125" i="8"/>
  <c r="C11124" i="8"/>
  <c r="C11123" i="8"/>
  <c r="C11122" i="8"/>
  <c r="C11121" i="8"/>
  <c r="C11120" i="8"/>
  <c r="C11119" i="8"/>
  <c r="C11118" i="8"/>
  <c r="C11117" i="8"/>
  <c r="C11116" i="8"/>
  <c r="C11115" i="8"/>
  <c r="C11114" i="8"/>
  <c r="C11113" i="8"/>
  <c r="C11112" i="8"/>
  <c r="C11111" i="8"/>
  <c r="C11110" i="8"/>
  <c r="C11109" i="8"/>
  <c r="C11108" i="8"/>
  <c r="C11107" i="8"/>
  <c r="C11106" i="8"/>
  <c r="C11105" i="8"/>
  <c r="C11104" i="8"/>
  <c r="C11103" i="8"/>
  <c r="C11102" i="8"/>
  <c r="C11101" i="8"/>
  <c r="C11100" i="8"/>
  <c r="C11099" i="8"/>
  <c r="C11098" i="8"/>
  <c r="C11097" i="8"/>
  <c r="C11096" i="8"/>
  <c r="C11095" i="8"/>
  <c r="C11094" i="8"/>
  <c r="C11093" i="8"/>
  <c r="C11092" i="8"/>
  <c r="C11091" i="8"/>
  <c r="C11090" i="8"/>
  <c r="C11089" i="8"/>
  <c r="C11088" i="8"/>
  <c r="C11087" i="8"/>
  <c r="C11086" i="8"/>
  <c r="C11085" i="8"/>
  <c r="C11084" i="8"/>
  <c r="C11083" i="8"/>
  <c r="C11082" i="8"/>
  <c r="C11081" i="8"/>
  <c r="C11080" i="8"/>
  <c r="C11079" i="8"/>
  <c r="C11078" i="8"/>
  <c r="C11077" i="8"/>
  <c r="C11076" i="8"/>
  <c r="C11075" i="8"/>
  <c r="C11074" i="8"/>
  <c r="C11073" i="8"/>
  <c r="C11072" i="8"/>
  <c r="C11071" i="8"/>
  <c r="C11070" i="8"/>
  <c r="C11069" i="8"/>
  <c r="C11068" i="8"/>
  <c r="C11067" i="8"/>
  <c r="C11066" i="8"/>
  <c r="C11065" i="8"/>
  <c r="C11064" i="8"/>
  <c r="C11063" i="8"/>
  <c r="C11062" i="8"/>
  <c r="C11061" i="8"/>
  <c r="C11060" i="8"/>
  <c r="C11059" i="8"/>
  <c r="C11058" i="8"/>
  <c r="C11057" i="8"/>
  <c r="C11056" i="8"/>
  <c r="C11055" i="8"/>
  <c r="C11054" i="8"/>
  <c r="C11053" i="8"/>
  <c r="C11052" i="8"/>
  <c r="C11051" i="8"/>
  <c r="C11050" i="8"/>
  <c r="C11049" i="8"/>
  <c r="C11048" i="8"/>
  <c r="C11047" i="8"/>
  <c r="C11046" i="8"/>
  <c r="C11045" i="8"/>
  <c r="C11044" i="8"/>
  <c r="C11043" i="8"/>
  <c r="C11042" i="8"/>
  <c r="C11041" i="8"/>
  <c r="C11040" i="8"/>
  <c r="C11039" i="8"/>
  <c r="C11038" i="8"/>
  <c r="C11037" i="8"/>
  <c r="C11036" i="8"/>
  <c r="C11035" i="8"/>
  <c r="C11034" i="8"/>
  <c r="C11033" i="8"/>
  <c r="C11032" i="8"/>
  <c r="C11031" i="8"/>
  <c r="C11030" i="8"/>
  <c r="C11029" i="8"/>
  <c r="C11028" i="8"/>
  <c r="C11027" i="8"/>
  <c r="C11026" i="8"/>
  <c r="C11025" i="8"/>
  <c r="C11024" i="8"/>
  <c r="C11023" i="8"/>
  <c r="C11022" i="8"/>
  <c r="C11021" i="8"/>
  <c r="C11020" i="8"/>
  <c r="C11019" i="8"/>
  <c r="C11018" i="8"/>
  <c r="C11017" i="8"/>
  <c r="C11016" i="8"/>
  <c r="C11015" i="8"/>
  <c r="C11014" i="8"/>
  <c r="C11013" i="8"/>
  <c r="C11012" i="8"/>
  <c r="C11011" i="8"/>
  <c r="C11010" i="8"/>
  <c r="C11009" i="8"/>
  <c r="C11008" i="8"/>
  <c r="C11007" i="8"/>
  <c r="C11006" i="8"/>
  <c r="C11005" i="8"/>
  <c r="C11004" i="8"/>
  <c r="C11003" i="8"/>
  <c r="C11002" i="8"/>
  <c r="C11001" i="8"/>
  <c r="C11000" i="8"/>
  <c r="C10999" i="8"/>
  <c r="C10998" i="8"/>
  <c r="C10997" i="8"/>
  <c r="C10996" i="8"/>
  <c r="C10995" i="8"/>
  <c r="C10994" i="8"/>
  <c r="C10993" i="8"/>
  <c r="C10992" i="8"/>
  <c r="C10991" i="8"/>
  <c r="C10990" i="8"/>
  <c r="C10989" i="8"/>
  <c r="C10988" i="8"/>
  <c r="C10987" i="8"/>
  <c r="C10986" i="8"/>
  <c r="C10985" i="8"/>
  <c r="C10984" i="8"/>
  <c r="C10983" i="8"/>
  <c r="C10982" i="8"/>
  <c r="C10981" i="8"/>
  <c r="C10980" i="8"/>
  <c r="C10979" i="8"/>
  <c r="C10978" i="8"/>
  <c r="C10977" i="8"/>
  <c r="C10976" i="8"/>
  <c r="C10975" i="8"/>
  <c r="C10974" i="8"/>
  <c r="C10973" i="8"/>
  <c r="C10972" i="8"/>
  <c r="C10971" i="8"/>
  <c r="C10970" i="8"/>
  <c r="C10969" i="8"/>
  <c r="C10968" i="8"/>
  <c r="C10967" i="8"/>
  <c r="C10966" i="8"/>
  <c r="C10965" i="8"/>
  <c r="C10964" i="8"/>
  <c r="C10963" i="8"/>
  <c r="C10962" i="8"/>
  <c r="C10961" i="8"/>
  <c r="C10960" i="8"/>
  <c r="C10959" i="8"/>
  <c r="C10958" i="8"/>
  <c r="C10957" i="8"/>
  <c r="C10956" i="8"/>
  <c r="C10955" i="8"/>
  <c r="C10954" i="8"/>
  <c r="C10953" i="8"/>
  <c r="C10952" i="8"/>
  <c r="C10951" i="8"/>
  <c r="C10950" i="8"/>
  <c r="C10949" i="8"/>
  <c r="C10948" i="8"/>
  <c r="C10947" i="8"/>
  <c r="C10946" i="8"/>
  <c r="C10945" i="8"/>
  <c r="C10944" i="8"/>
  <c r="C10943" i="8"/>
  <c r="C10942" i="8"/>
  <c r="C10941" i="8"/>
  <c r="C10940" i="8"/>
  <c r="C10939" i="8"/>
  <c r="C10938" i="8"/>
  <c r="C10937" i="8"/>
  <c r="C10936" i="8"/>
  <c r="C10935" i="8"/>
  <c r="C10934" i="8"/>
  <c r="C10933" i="8"/>
  <c r="C10932" i="8"/>
  <c r="C10931" i="8"/>
  <c r="C10930" i="8"/>
  <c r="C10929" i="8"/>
  <c r="C10928" i="8"/>
  <c r="C10927" i="8"/>
  <c r="C10926" i="8"/>
  <c r="C10925" i="8"/>
  <c r="C10924" i="8"/>
  <c r="C10923" i="8"/>
  <c r="C10922" i="8"/>
  <c r="C10921" i="8"/>
  <c r="C10920" i="8"/>
  <c r="C10919" i="8"/>
  <c r="C10918" i="8"/>
  <c r="C10917" i="8"/>
  <c r="C10916" i="8"/>
  <c r="C10915" i="8"/>
  <c r="C10914" i="8"/>
  <c r="C10913" i="8"/>
  <c r="C10912" i="8"/>
  <c r="C10911" i="8"/>
  <c r="C10910" i="8"/>
  <c r="C10909" i="8"/>
  <c r="C10908" i="8"/>
  <c r="C10907" i="8"/>
  <c r="C10906" i="8"/>
  <c r="C10905" i="8"/>
  <c r="C10904" i="8"/>
  <c r="C10903" i="8"/>
  <c r="C10902" i="8"/>
  <c r="C10901" i="8"/>
  <c r="C10900" i="8"/>
  <c r="C10899" i="8"/>
  <c r="C10898" i="8"/>
  <c r="C10897" i="8"/>
  <c r="C10896" i="8"/>
  <c r="C10895" i="8"/>
  <c r="C10894" i="8"/>
  <c r="C10893" i="8"/>
  <c r="C10892" i="8"/>
  <c r="C10891" i="8"/>
  <c r="C10890" i="8"/>
  <c r="C10889" i="8"/>
  <c r="C10888" i="8"/>
  <c r="C10887" i="8"/>
  <c r="C10886" i="8"/>
  <c r="C10885" i="8"/>
  <c r="C10884" i="8"/>
  <c r="C10883" i="8"/>
  <c r="C10882" i="8"/>
  <c r="C10881" i="8"/>
  <c r="C10880" i="8"/>
  <c r="C10879" i="8"/>
  <c r="C10878" i="8"/>
  <c r="C10877" i="8"/>
  <c r="C10876" i="8"/>
  <c r="C10875" i="8"/>
  <c r="C10874" i="8"/>
  <c r="C10873" i="8"/>
  <c r="C10872" i="8"/>
  <c r="C10871" i="8"/>
  <c r="C10870" i="8"/>
  <c r="C10869" i="8"/>
  <c r="C10868" i="8"/>
  <c r="C10867" i="8"/>
  <c r="C10866" i="8"/>
  <c r="C10865" i="8"/>
  <c r="C10864" i="8"/>
  <c r="C10863" i="8"/>
  <c r="C10862" i="8"/>
  <c r="C10861" i="8"/>
  <c r="C10860" i="8"/>
  <c r="C10859" i="8"/>
  <c r="C10858" i="8"/>
  <c r="C10857" i="8"/>
  <c r="C10856" i="8"/>
  <c r="C10855" i="8"/>
  <c r="C10854" i="8"/>
  <c r="C10853" i="8"/>
  <c r="C10852" i="8"/>
  <c r="C10851" i="8"/>
  <c r="C10850" i="8"/>
  <c r="C10849" i="8"/>
  <c r="C10848" i="8"/>
  <c r="C10847" i="8"/>
  <c r="C10846" i="8"/>
  <c r="C10845" i="8"/>
  <c r="C10844" i="8"/>
  <c r="C10843" i="8"/>
  <c r="C10842" i="8"/>
  <c r="C10841" i="8"/>
  <c r="C10840" i="8"/>
  <c r="C10839" i="8"/>
  <c r="C10838" i="8"/>
  <c r="C10837" i="8"/>
  <c r="C10836" i="8"/>
  <c r="C10835" i="8"/>
  <c r="C10834" i="8"/>
  <c r="C10833" i="8"/>
  <c r="C10832" i="8"/>
  <c r="C10831" i="8"/>
  <c r="C10830" i="8"/>
  <c r="C10829" i="8"/>
  <c r="C10828" i="8"/>
  <c r="C10827" i="8"/>
  <c r="C10826" i="8"/>
  <c r="C10825" i="8"/>
  <c r="C10824" i="8"/>
  <c r="C10823" i="8"/>
  <c r="C10822" i="8"/>
  <c r="C10821" i="8"/>
  <c r="C10820" i="8"/>
  <c r="C10819" i="8"/>
  <c r="C10818" i="8"/>
  <c r="C10817" i="8"/>
  <c r="C10816" i="8"/>
  <c r="C10815" i="8"/>
  <c r="C10814" i="8"/>
  <c r="C10813" i="8"/>
  <c r="C10812" i="8"/>
  <c r="C10811" i="8"/>
  <c r="C10810" i="8"/>
  <c r="C10809" i="8"/>
  <c r="C10808" i="8"/>
  <c r="C10807" i="8"/>
  <c r="C10806" i="8"/>
  <c r="C10805" i="8"/>
  <c r="C10804" i="8"/>
  <c r="C10803" i="8"/>
  <c r="C10802" i="8"/>
  <c r="C10801" i="8"/>
  <c r="C10800" i="8"/>
  <c r="C10799" i="8"/>
  <c r="C10798" i="8"/>
  <c r="C10797" i="8"/>
  <c r="C10796" i="8"/>
  <c r="C10795" i="8"/>
  <c r="C10794" i="8"/>
  <c r="C10793" i="8"/>
  <c r="C10792" i="8"/>
  <c r="C10791" i="8"/>
  <c r="C10790" i="8"/>
  <c r="C10789" i="8"/>
  <c r="C10788" i="8"/>
  <c r="C10787" i="8"/>
  <c r="C10786" i="8"/>
  <c r="C10785" i="8"/>
  <c r="C10784" i="8"/>
  <c r="C10783" i="8"/>
  <c r="C10782" i="8"/>
  <c r="C10781" i="8"/>
  <c r="C10780" i="8"/>
  <c r="C10779" i="8"/>
  <c r="C10778" i="8"/>
  <c r="C10777" i="8"/>
  <c r="C10776" i="8"/>
  <c r="C10775" i="8"/>
  <c r="C10774" i="8"/>
  <c r="C10773" i="8"/>
  <c r="C10772" i="8"/>
  <c r="C10771" i="8"/>
  <c r="C10770" i="8"/>
  <c r="C10769" i="8"/>
  <c r="C10768" i="8"/>
  <c r="C10767" i="8"/>
  <c r="C10766" i="8"/>
  <c r="C10765" i="8"/>
  <c r="C10764" i="8"/>
  <c r="C10763" i="8"/>
  <c r="C10762" i="8"/>
  <c r="C10761" i="8"/>
  <c r="C10760" i="8"/>
  <c r="C10759" i="8"/>
  <c r="C10758" i="8"/>
  <c r="C10757" i="8"/>
  <c r="C10756" i="8"/>
  <c r="C10755" i="8"/>
  <c r="C10754" i="8"/>
  <c r="C10753" i="8"/>
  <c r="C10752" i="8"/>
  <c r="C10751" i="8"/>
  <c r="C10750" i="8"/>
  <c r="C10749" i="8"/>
  <c r="C10748" i="8"/>
  <c r="C10747" i="8"/>
  <c r="C10746" i="8"/>
  <c r="C10745" i="8"/>
  <c r="C10744" i="8"/>
  <c r="C10743" i="8"/>
  <c r="C10742" i="8"/>
  <c r="C10741" i="8"/>
  <c r="C10740" i="8"/>
  <c r="C10739" i="8"/>
  <c r="C10738" i="8"/>
  <c r="C10737" i="8"/>
  <c r="C10736" i="8"/>
  <c r="C10735" i="8"/>
  <c r="C10734" i="8"/>
  <c r="C10733" i="8"/>
  <c r="C10732" i="8"/>
  <c r="C10731" i="8"/>
  <c r="C10730" i="8"/>
  <c r="C10729" i="8"/>
  <c r="C10728" i="8"/>
  <c r="C10727" i="8"/>
  <c r="C10726" i="8"/>
  <c r="C10725" i="8"/>
  <c r="C10724" i="8"/>
  <c r="C10723" i="8"/>
  <c r="C10722" i="8"/>
  <c r="C10721" i="8"/>
  <c r="C10720" i="8"/>
  <c r="C10719" i="8"/>
  <c r="C10718" i="8"/>
  <c r="C10717" i="8"/>
  <c r="C10716" i="8"/>
  <c r="C10715" i="8"/>
  <c r="C10714" i="8"/>
  <c r="C10713" i="8"/>
  <c r="C10712" i="8"/>
  <c r="C10711" i="8"/>
  <c r="C10710" i="8"/>
  <c r="C10709" i="8"/>
  <c r="C10708" i="8"/>
  <c r="C10707" i="8"/>
  <c r="C10706" i="8"/>
  <c r="C10705" i="8"/>
  <c r="C10704" i="8"/>
  <c r="C10703" i="8"/>
  <c r="C10702" i="8"/>
  <c r="C10701" i="8"/>
  <c r="C10700" i="8"/>
  <c r="C10699" i="8"/>
  <c r="C10698" i="8"/>
  <c r="C10697" i="8"/>
  <c r="C10696" i="8"/>
  <c r="C10695" i="8"/>
  <c r="C10694" i="8"/>
  <c r="C10693" i="8"/>
  <c r="C10692" i="8"/>
  <c r="C10691" i="8"/>
  <c r="C10690" i="8"/>
  <c r="C10689" i="8"/>
  <c r="C10688" i="8"/>
  <c r="C10687" i="8"/>
  <c r="C10686" i="8"/>
  <c r="C10685" i="8"/>
  <c r="C10684" i="8"/>
  <c r="C10683" i="8"/>
  <c r="C10682" i="8"/>
  <c r="C10681" i="8"/>
  <c r="C10680" i="8"/>
  <c r="C10679" i="8"/>
  <c r="C10678" i="8"/>
  <c r="C10677" i="8"/>
  <c r="C10676" i="8"/>
  <c r="C10675" i="8"/>
  <c r="C10674" i="8"/>
  <c r="C10673" i="8"/>
  <c r="C10672" i="8"/>
  <c r="C10671" i="8"/>
  <c r="C10670" i="8"/>
  <c r="C10669" i="8"/>
  <c r="C10668" i="8"/>
  <c r="C10667" i="8"/>
  <c r="C10666" i="8"/>
  <c r="C10665" i="8"/>
  <c r="C10664" i="8"/>
  <c r="C10663" i="8"/>
  <c r="C10662" i="8"/>
  <c r="C10661" i="8"/>
  <c r="C10660" i="8"/>
  <c r="C10659" i="8"/>
  <c r="C10658" i="8"/>
  <c r="C10657" i="8"/>
  <c r="C10656" i="8"/>
  <c r="C10655" i="8"/>
  <c r="C10654" i="8"/>
  <c r="C10653" i="8"/>
  <c r="C10652" i="8"/>
  <c r="C10651" i="8"/>
  <c r="C10650" i="8"/>
  <c r="C10649" i="8"/>
  <c r="C10648" i="8"/>
  <c r="C10647" i="8"/>
  <c r="C10646" i="8"/>
  <c r="C10645" i="8"/>
  <c r="C10644" i="8"/>
  <c r="C10643" i="8"/>
  <c r="C10642" i="8"/>
  <c r="C10641" i="8"/>
  <c r="C10640" i="8"/>
  <c r="C10639" i="8"/>
  <c r="C10638" i="8"/>
  <c r="C10637" i="8"/>
  <c r="C10636" i="8"/>
  <c r="C10635" i="8"/>
  <c r="C10634" i="8"/>
  <c r="C10633" i="8"/>
  <c r="C10632" i="8"/>
  <c r="C10631" i="8"/>
  <c r="C10630" i="8"/>
  <c r="C10629" i="8"/>
  <c r="C10628" i="8"/>
  <c r="C10627" i="8"/>
  <c r="C10626" i="8"/>
  <c r="C10625" i="8"/>
  <c r="C10624" i="8"/>
  <c r="C10623" i="8"/>
  <c r="C10622" i="8"/>
  <c r="C10621" i="8"/>
  <c r="C10620" i="8"/>
  <c r="C10619" i="8"/>
  <c r="C10618" i="8"/>
  <c r="C10617" i="8"/>
  <c r="C10616" i="8"/>
  <c r="C10615" i="8"/>
  <c r="C10614" i="8"/>
  <c r="C10613" i="8"/>
  <c r="C10612" i="8"/>
  <c r="C10611" i="8"/>
  <c r="C10610" i="8"/>
  <c r="C10609" i="8"/>
  <c r="C10608" i="8"/>
  <c r="C10607" i="8"/>
  <c r="C10606" i="8"/>
  <c r="C10605" i="8"/>
  <c r="C10604" i="8"/>
  <c r="C10603" i="8"/>
  <c r="C10602" i="8"/>
  <c r="C10601" i="8"/>
  <c r="C10600" i="8"/>
  <c r="C10599" i="8"/>
  <c r="C10598" i="8"/>
  <c r="C10597" i="8"/>
  <c r="C10596" i="8"/>
  <c r="C10595" i="8"/>
  <c r="C10594" i="8"/>
  <c r="C10593" i="8"/>
  <c r="C10592" i="8"/>
  <c r="C10591" i="8"/>
  <c r="C10590" i="8"/>
  <c r="C10589" i="8"/>
  <c r="C10588" i="8"/>
  <c r="C10587" i="8"/>
  <c r="C10586" i="8"/>
  <c r="C10585" i="8"/>
  <c r="C10584" i="8"/>
  <c r="C10583" i="8"/>
  <c r="C10582" i="8"/>
  <c r="C10581" i="8"/>
  <c r="C10580" i="8"/>
  <c r="C10579" i="8"/>
  <c r="C10578" i="8"/>
  <c r="C10577" i="8"/>
  <c r="C10576" i="8"/>
  <c r="C10575" i="8"/>
  <c r="C10574" i="8"/>
  <c r="C10573" i="8"/>
  <c r="C10572" i="8"/>
  <c r="C10571" i="8"/>
  <c r="C10570" i="8"/>
  <c r="C10569" i="8"/>
  <c r="C10568" i="8"/>
  <c r="C10567" i="8"/>
  <c r="C10566" i="8"/>
  <c r="C10565" i="8"/>
  <c r="C10564" i="8"/>
  <c r="C10563" i="8"/>
  <c r="C10562" i="8"/>
  <c r="C10561" i="8"/>
  <c r="C10560" i="8"/>
  <c r="C10559" i="8"/>
  <c r="C10558" i="8"/>
  <c r="C10557" i="8"/>
  <c r="C10556" i="8"/>
  <c r="C10555" i="8"/>
  <c r="C10554" i="8"/>
  <c r="C10553" i="8"/>
  <c r="C10552" i="8"/>
  <c r="C10551" i="8"/>
  <c r="C10550" i="8"/>
  <c r="C10549" i="8"/>
  <c r="C10548" i="8"/>
  <c r="C10547" i="8"/>
  <c r="C10546" i="8"/>
  <c r="C10545" i="8"/>
  <c r="C10544" i="8"/>
  <c r="C10543" i="8"/>
  <c r="C10542" i="8"/>
  <c r="C10541" i="8"/>
  <c r="C10540" i="8"/>
  <c r="C10539" i="8"/>
  <c r="C10538" i="8"/>
  <c r="C10537" i="8"/>
  <c r="C10536" i="8"/>
  <c r="C10535" i="8"/>
  <c r="C10534" i="8"/>
  <c r="C10533" i="8"/>
  <c r="C10532" i="8"/>
  <c r="C10531" i="8"/>
  <c r="C10530" i="8"/>
  <c r="C10529" i="8"/>
  <c r="C10528" i="8"/>
  <c r="C10527" i="8"/>
  <c r="C10526" i="8"/>
  <c r="C10525" i="8"/>
  <c r="C10524" i="8"/>
  <c r="C10523" i="8"/>
  <c r="C10522" i="8"/>
  <c r="C10521" i="8"/>
  <c r="C10520" i="8"/>
  <c r="C10519" i="8"/>
  <c r="C10518" i="8"/>
  <c r="C10517" i="8"/>
  <c r="C10516" i="8"/>
  <c r="C10515" i="8"/>
  <c r="C10514" i="8"/>
  <c r="C10513" i="8"/>
  <c r="C10512" i="8"/>
  <c r="C10511" i="8"/>
  <c r="C10510" i="8"/>
  <c r="C10509" i="8"/>
  <c r="C10508" i="8"/>
  <c r="C10507" i="8"/>
  <c r="C10506" i="8"/>
  <c r="C10505" i="8"/>
  <c r="C10504" i="8"/>
  <c r="C10503" i="8"/>
  <c r="C10502" i="8"/>
  <c r="C10501" i="8"/>
  <c r="C10500" i="8"/>
  <c r="C10499" i="8"/>
  <c r="C10498" i="8"/>
  <c r="C10497" i="8"/>
  <c r="C10496" i="8"/>
  <c r="C10495" i="8"/>
  <c r="C10494" i="8"/>
  <c r="C10493" i="8"/>
  <c r="C10492" i="8"/>
  <c r="C10491" i="8"/>
  <c r="C10490" i="8"/>
  <c r="C10489" i="8"/>
  <c r="C10488" i="8"/>
  <c r="C10487" i="8"/>
  <c r="C10486" i="8"/>
  <c r="C10485" i="8"/>
  <c r="C10484" i="8"/>
  <c r="C10483" i="8"/>
  <c r="C10482" i="8"/>
  <c r="C10481" i="8"/>
  <c r="C10480" i="8"/>
  <c r="C10479" i="8"/>
  <c r="C10478" i="8"/>
  <c r="C10477" i="8"/>
  <c r="C10476" i="8"/>
  <c r="C10475" i="8"/>
  <c r="C10474" i="8"/>
  <c r="C10473" i="8"/>
  <c r="C10472" i="8"/>
  <c r="C10471" i="8"/>
  <c r="C10470" i="8"/>
  <c r="C10469" i="8"/>
  <c r="C10468" i="8"/>
  <c r="C10467" i="8"/>
  <c r="C10466" i="8"/>
  <c r="C10465" i="8"/>
  <c r="C10464" i="8"/>
  <c r="C10463" i="8"/>
  <c r="C10462" i="8"/>
  <c r="C10461" i="8"/>
  <c r="C10460" i="8"/>
  <c r="C10459" i="8"/>
  <c r="C10458" i="8"/>
  <c r="C10457" i="8"/>
  <c r="C10456" i="8"/>
  <c r="C10455" i="8"/>
  <c r="C10454" i="8"/>
  <c r="C10453" i="8"/>
  <c r="C10452" i="8"/>
  <c r="C10451" i="8"/>
  <c r="C10450" i="8"/>
  <c r="C10449" i="8"/>
  <c r="C10448" i="8"/>
  <c r="C10447" i="8"/>
  <c r="C10446" i="8"/>
  <c r="C10445" i="8"/>
  <c r="C10444" i="8"/>
  <c r="C10443" i="8"/>
  <c r="C10442" i="8"/>
  <c r="C10441" i="8"/>
  <c r="C10440" i="8"/>
  <c r="C10439" i="8"/>
  <c r="C10438" i="8"/>
  <c r="C10437" i="8"/>
  <c r="C10436" i="8"/>
  <c r="C10435" i="8"/>
  <c r="C10434" i="8"/>
  <c r="C10433" i="8"/>
  <c r="C10432" i="8"/>
  <c r="C10431" i="8"/>
  <c r="C10430" i="8"/>
  <c r="C10429" i="8"/>
  <c r="C10428" i="8"/>
  <c r="C10427" i="8"/>
  <c r="C10426" i="8"/>
  <c r="C10425" i="8"/>
  <c r="C10424" i="8"/>
  <c r="C10423" i="8"/>
  <c r="C10422" i="8"/>
  <c r="C10421" i="8"/>
  <c r="C10420" i="8"/>
  <c r="C10419" i="8"/>
  <c r="C10418" i="8"/>
  <c r="C10417" i="8"/>
  <c r="C10416" i="8"/>
  <c r="C10415" i="8"/>
  <c r="C10414" i="8"/>
  <c r="C10413" i="8"/>
  <c r="C10412" i="8"/>
  <c r="C10411" i="8"/>
  <c r="C10410" i="8"/>
  <c r="C10409" i="8"/>
  <c r="C10408" i="8"/>
  <c r="C10407" i="8"/>
  <c r="C10406" i="8"/>
  <c r="C10405" i="8"/>
  <c r="C10404" i="8"/>
  <c r="C10403" i="8"/>
  <c r="C10402" i="8"/>
  <c r="C10401" i="8"/>
  <c r="C10400" i="8"/>
  <c r="C10399" i="8"/>
  <c r="C10398" i="8"/>
  <c r="C10397" i="8"/>
  <c r="C10396" i="8"/>
  <c r="C10395" i="8"/>
  <c r="C10394" i="8"/>
  <c r="C10393" i="8"/>
  <c r="C10392" i="8"/>
  <c r="C10391" i="8"/>
  <c r="C10390" i="8"/>
  <c r="C10389" i="8"/>
  <c r="C10388" i="8"/>
  <c r="C10387" i="8"/>
  <c r="C10386" i="8"/>
  <c r="C10385" i="8"/>
  <c r="C10384" i="8"/>
  <c r="C10383" i="8"/>
  <c r="C10382" i="8"/>
  <c r="C10381" i="8"/>
  <c r="C10380" i="8"/>
  <c r="C10379" i="8"/>
  <c r="C10378" i="8"/>
  <c r="C10377" i="8"/>
  <c r="C10376" i="8"/>
  <c r="C10375" i="8"/>
  <c r="C10374" i="8"/>
  <c r="C10373" i="8"/>
  <c r="C10372" i="8"/>
  <c r="C10371" i="8"/>
  <c r="C10370" i="8"/>
  <c r="C10369" i="8"/>
  <c r="C10368" i="8"/>
  <c r="C10367" i="8"/>
  <c r="C10366" i="8"/>
  <c r="C10365" i="8"/>
  <c r="C10364" i="8"/>
  <c r="C10363" i="8"/>
  <c r="C10362" i="8"/>
  <c r="C10361" i="8"/>
  <c r="C10360" i="8"/>
  <c r="C10359" i="8"/>
  <c r="C10358" i="8"/>
  <c r="C10357" i="8"/>
  <c r="C10356" i="8"/>
  <c r="C10355" i="8"/>
  <c r="C10354" i="8"/>
  <c r="C10353" i="8"/>
  <c r="C10352" i="8"/>
  <c r="C10351" i="8"/>
  <c r="C10350" i="8"/>
  <c r="C10349" i="8"/>
  <c r="C10348" i="8"/>
  <c r="C10347" i="8"/>
  <c r="C10346" i="8"/>
  <c r="C10345" i="8"/>
  <c r="C10344" i="8"/>
  <c r="C10343" i="8"/>
  <c r="C10342" i="8"/>
  <c r="C10341" i="8"/>
  <c r="C10340" i="8"/>
  <c r="C10339" i="8"/>
  <c r="C10338" i="8"/>
  <c r="C10337" i="8"/>
  <c r="C10336" i="8"/>
  <c r="C10335" i="8"/>
  <c r="C10334" i="8"/>
  <c r="C10333" i="8"/>
  <c r="C10332" i="8"/>
  <c r="C10331" i="8"/>
  <c r="C10330" i="8"/>
  <c r="C10329" i="8"/>
  <c r="C10328" i="8"/>
  <c r="C10327" i="8"/>
  <c r="C10326" i="8"/>
  <c r="C10325" i="8"/>
  <c r="C10324" i="8"/>
  <c r="C10323" i="8"/>
  <c r="C10322" i="8"/>
  <c r="C10321" i="8"/>
  <c r="C10320" i="8"/>
  <c r="C10319" i="8"/>
  <c r="C10318" i="8"/>
  <c r="C10317" i="8"/>
  <c r="C10316" i="8"/>
  <c r="C10315" i="8"/>
  <c r="C10314" i="8"/>
  <c r="C10313" i="8"/>
  <c r="C10312" i="8"/>
  <c r="C10311" i="8"/>
  <c r="C10310" i="8"/>
  <c r="C10309" i="8"/>
  <c r="C10308" i="8"/>
  <c r="C10307" i="8"/>
  <c r="C10306" i="8"/>
  <c r="C10305" i="8"/>
  <c r="C10304" i="8"/>
  <c r="C10303" i="8"/>
  <c r="C10302" i="8"/>
  <c r="C10301" i="8"/>
  <c r="C10300" i="8"/>
  <c r="C10299" i="8"/>
  <c r="C10298" i="8"/>
  <c r="C10297" i="8"/>
  <c r="C10296" i="8"/>
  <c r="C10295" i="8"/>
  <c r="C10294" i="8"/>
  <c r="C10293" i="8"/>
  <c r="C10292" i="8"/>
  <c r="C10291" i="8"/>
  <c r="C10290" i="8"/>
  <c r="C10289" i="8"/>
  <c r="C10288" i="8"/>
  <c r="C10287" i="8"/>
  <c r="C10286" i="8"/>
  <c r="C10285" i="8"/>
  <c r="C10284" i="8"/>
  <c r="C10283" i="8"/>
  <c r="C10282" i="8"/>
  <c r="C10281" i="8"/>
  <c r="C10280" i="8"/>
  <c r="C10279" i="8"/>
  <c r="C10278" i="8"/>
  <c r="C10277" i="8"/>
  <c r="C10276" i="8"/>
  <c r="C10275" i="8"/>
  <c r="C10274" i="8"/>
  <c r="C10273" i="8"/>
  <c r="C10272" i="8"/>
  <c r="C10271" i="8"/>
  <c r="C10270" i="8"/>
  <c r="C10269" i="8"/>
  <c r="C10268" i="8"/>
  <c r="C10267" i="8"/>
  <c r="C10266" i="8"/>
  <c r="C10265" i="8"/>
  <c r="C10264" i="8"/>
  <c r="C10263" i="8"/>
  <c r="C10262" i="8"/>
  <c r="C10261" i="8"/>
  <c r="C10260" i="8"/>
  <c r="C10259" i="8"/>
  <c r="C10258" i="8"/>
  <c r="C10257" i="8"/>
  <c r="C10256" i="8"/>
  <c r="C10255" i="8"/>
  <c r="C10254" i="8"/>
  <c r="C10253" i="8"/>
  <c r="C10252" i="8"/>
  <c r="C10251" i="8"/>
  <c r="C10250" i="8"/>
  <c r="C10249" i="8"/>
  <c r="C10248" i="8"/>
  <c r="C10247" i="8"/>
  <c r="C10246" i="8"/>
  <c r="C10245" i="8"/>
  <c r="C10244" i="8"/>
  <c r="C10243" i="8"/>
  <c r="C10242" i="8"/>
  <c r="C10241" i="8"/>
  <c r="C10240" i="8"/>
  <c r="C10239" i="8"/>
  <c r="C10238" i="8"/>
  <c r="C10237" i="8"/>
  <c r="C10236" i="8"/>
  <c r="C10235" i="8"/>
  <c r="C10234" i="8"/>
  <c r="C10233" i="8"/>
  <c r="C10232" i="8"/>
  <c r="C10231" i="8"/>
  <c r="C10230" i="8"/>
  <c r="C10229" i="8"/>
  <c r="C10228" i="8"/>
  <c r="C10227" i="8"/>
  <c r="C10226" i="8"/>
  <c r="C10225" i="8"/>
  <c r="C10224" i="8"/>
  <c r="C10223" i="8"/>
  <c r="C10222" i="8"/>
  <c r="C10221" i="8"/>
  <c r="C10220" i="8"/>
  <c r="C10219" i="8"/>
  <c r="C10218" i="8"/>
  <c r="C10217" i="8"/>
  <c r="C10216" i="8"/>
  <c r="C10215" i="8"/>
  <c r="C10214" i="8"/>
  <c r="C10213" i="8"/>
  <c r="C10212" i="8"/>
  <c r="C10211" i="8"/>
  <c r="C10210" i="8"/>
  <c r="C10209" i="8"/>
  <c r="C10208" i="8"/>
  <c r="C10207" i="8"/>
  <c r="C10206" i="8"/>
  <c r="C10205" i="8"/>
  <c r="C10204" i="8"/>
  <c r="C10203" i="8"/>
  <c r="C10202" i="8"/>
  <c r="C10201" i="8"/>
  <c r="C10200" i="8"/>
  <c r="C10199" i="8"/>
  <c r="C10198" i="8"/>
  <c r="C10197" i="8"/>
  <c r="C10196" i="8"/>
  <c r="C10195" i="8"/>
  <c r="C10194" i="8"/>
  <c r="C10193" i="8"/>
  <c r="C10192" i="8"/>
  <c r="C10191" i="8"/>
  <c r="C10190" i="8"/>
  <c r="C10189" i="8"/>
  <c r="C10188" i="8"/>
  <c r="C10187" i="8"/>
  <c r="C10186" i="8"/>
  <c r="C10185" i="8"/>
  <c r="C10184" i="8"/>
  <c r="C10183" i="8"/>
  <c r="C10182" i="8"/>
  <c r="C10181" i="8"/>
  <c r="C10180" i="8"/>
  <c r="C10179" i="8"/>
  <c r="C10178" i="8"/>
  <c r="C10177" i="8"/>
  <c r="C10176" i="8"/>
  <c r="C10175" i="8"/>
  <c r="C10174" i="8"/>
  <c r="C10173" i="8"/>
  <c r="C10172" i="8"/>
  <c r="C10171" i="8"/>
  <c r="C10170" i="8"/>
  <c r="C10169" i="8"/>
  <c r="C10168" i="8"/>
  <c r="C10167" i="8"/>
  <c r="C10166" i="8"/>
  <c r="C10165" i="8"/>
  <c r="C10164" i="8"/>
  <c r="C10163" i="8"/>
  <c r="C10162" i="8"/>
  <c r="C10161" i="8"/>
  <c r="C10160" i="8"/>
  <c r="C10159" i="8"/>
  <c r="C10158" i="8"/>
  <c r="C10157" i="8"/>
  <c r="C10156" i="8"/>
  <c r="C10155" i="8"/>
  <c r="C10154" i="8"/>
  <c r="C10153" i="8"/>
  <c r="C10152" i="8"/>
  <c r="C10151" i="8"/>
  <c r="C10150" i="8"/>
  <c r="C10149" i="8"/>
  <c r="C10148" i="8"/>
  <c r="C10147" i="8"/>
  <c r="C10146" i="8"/>
  <c r="C10145" i="8"/>
  <c r="C10144" i="8"/>
  <c r="C10143" i="8"/>
  <c r="C10142" i="8"/>
  <c r="C10141" i="8"/>
  <c r="C10140" i="8"/>
  <c r="C10139" i="8"/>
  <c r="C10138" i="8"/>
  <c r="C10137" i="8"/>
  <c r="C10136" i="8"/>
  <c r="C10135" i="8"/>
  <c r="C10134" i="8"/>
  <c r="C10133" i="8"/>
  <c r="C10132" i="8"/>
  <c r="C10131" i="8"/>
  <c r="C10130" i="8"/>
  <c r="C10129" i="8"/>
  <c r="C10128" i="8"/>
  <c r="C10127" i="8"/>
  <c r="C10126" i="8"/>
  <c r="C10125" i="8"/>
  <c r="C10124" i="8"/>
  <c r="C10123" i="8"/>
  <c r="C10122" i="8"/>
  <c r="C10121" i="8"/>
  <c r="C10120" i="8"/>
  <c r="C10119" i="8"/>
  <c r="C10118" i="8"/>
  <c r="C10117" i="8"/>
  <c r="C10116" i="8"/>
  <c r="C10115" i="8"/>
  <c r="C10114" i="8"/>
  <c r="C10113" i="8"/>
  <c r="C10112" i="8"/>
  <c r="C10111" i="8"/>
  <c r="C10110" i="8"/>
  <c r="C10109" i="8"/>
  <c r="C10108" i="8"/>
  <c r="C10107" i="8"/>
  <c r="C10106" i="8"/>
  <c r="C10105" i="8"/>
  <c r="C10104" i="8"/>
  <c r="C10103" i="8"/>
  <c r="C10102" i="8"/>
  <c r="C10101" i="8"/>
  <c r="C10100" i="8"/>
  <c r="C10099" i="8"/>
  <c r="C10098" i="8"/>
  <c r="C10097" i="8"/>
  <c r="C10096" i="8"/>
  <c r="C10095" i="8"/>
  <c r="C10094" i="8"/>
  <c r="C10093" i="8"/>
  <c r="C10092" i="8"/>
  <c r="C10091" i="8"/>
  <c r="C10090" i="8"/>
  <c r="C10089" i="8"/>
  <c r="C10088" i="8"/>
  <c r="C10087" i="8"/>
  <c r="C10086" i="8"/>
  <c r="C10085" i="8"/>
  <c r="C10084" i="8"/>
  <c r="C10083" i="8"/>
  <c r="C10082" i="8"/>
  <c r="C10081" i="8"/>
  <c r="C10080" i="8"/>
  <c r="C10079" i="8"/>
  <c r="C10078" i="8"/>
  <c r="C10077" i="8"/>
  <c r="C10076" i="8"/>
  <c r="C10075" i="8"/>
  <c r="C10074" i="8"/>
  <c r="C10073" i="8"/>
  <c r="C10072" i="8"/>
  <c r="C10071" i="8"/>
  <c r="C10070" i="8"/>
  <c r="C10069" i="8"/>
  <c r="C10068" i="8"/>
  <c r="C10067" i="8"/>
  <c r="C10066" i="8"/>
  <c r="C10065" i="8"/>
  <c r="C10064" i="8"/>
  <c r="C10063" i="8"/>
  <c r="C10062" i="8"/>
  <c r="C10061" i="8"/>
  <c r="C10060" i="8"/>
  <c r="C10059" i="8"/>
  <c r="C10058" i="8"/>
  <c r="C10057" i="8"/>
  <c r="C10056" i="8"/>
  <c r="C10055" i="8"/>
  <c r="C10054" i="8"/>
  <c r="C10053" i="8"/>
  <c r="C10052" i="8"/>
  <c r="C10051" i="8"/>
  <c r="C10050" i="8"/>
  <c r="C10049" i="8"/>
  <c r="C10048" i="8"/>
  <c r="C10047" i="8"/>
  <c r="C10046" i="8"/>
  <c r="C10045" i="8"/>
  <c r="C10044" i="8"/>
  <c r="C10043" i="8"/>
  <c r="C10042" i="8"/>
  <c r="C10041" i="8"/>
  <c r="C10040" i="8"/>
  <c r="C10039" i="8"/>
  <c r="C10038" i="8"/>
  <c r="C10037" i="8"/>
  <c r="C10036" i="8"/>
  <c r="C10035" i="8"/>
  <c r="C10034" i="8"/>
  <c r="C10033" i="8"/>
  <c r="C10032" i="8"/>
  <c r="C10031" i="8"/>
  <c r="C10030" i="8"/>
  <c r="C10029" i="8"/>
  <c r="C10028" i="8"/>
  <c r="C10027" i="8"/>
  <c r="C10026" i="8"/>
  <c r="C10025" i="8"/>
  <c r="C10024" i="8"/>
  <c r="C10023" i="8"/>
  <c r="C10022" i="8"/>
  <c r="C10021" i="8"/>
  <c r="C10020" i="8"/>
  <c r="C10019" i="8"/>
  <c r="C10018" i="8"/>
  <c r="C10017" i="8"/>
  <c r="C10016" i="8"/>
  <c r="C10015" i="8"/>
  <c r="C10014" i="8"/>
  <c r="C10013" i="8"/>
  <c r="C10012" i="8"/>
  <c r="C10011" i="8"/>
  <c r="C10010" i="8"/>
  <c r="C10009" i="8"/>
  <c r="C10008" i="8"/>
  <c r="C10007" i="8"/>
  <c r="C10006" i="8"/>
  <c r="C10005" i="8"/>
  <c r="C10004" i="8"/>
  <c r="C10003" i="8"/>
  <c r="C10002" i="8"/>
  <c r="C10001" i="8"/>
  <c r="C10000" i="8"/>
  <c r="C9999" i="8"/>
  <c r="C9998" i="8"/>
  <c r="C9997" i="8"/>
  <c r="C9996" i="8"/>
  <c r="C9995" i="8"/>
  <c r="C9994" i="8"/>
  <c r="C9993" i="8"/>
  <c r="C9992" i="8"/>
  <c r="C9991" i="8"/>
  <c r="C9990" i="8"/>
  <c r="C9989" i="8"/>
  <c r="C9988" i="8"/>
  <c r="C9987" i="8"/>
  <c r="C9986" i="8"/>
  <c r="C9985" i="8"/>
  <c r="C9984" i="8"/>
  <c r="C9983" i="8"/>
  <c r="C9982" i="8"/>
  <c r="C9981" i="8"/>
  <c r="C9980" i="8"/>
  <c r="C9979" i="8"/>
  <c r="C9978" i="8"/>
  <c r="C9977" i="8"/>
  <c r="C9976" i="8"/>
  <c r="C9975" i="8"/>
  <c r="C9974" i="8"/>
  <c r="C9973" i="8"/>
  <c r="C9972" i="8"/>
  <c r="C9971" i="8"/>
  <c r="C9970" i="8"/>
  <c r="C9969" i="8"/>
  <c r="C9968" i="8"/>
  <c r="C9967" i="8"/>
  <c r="C9966" i="8"/>
  <c r="C9965" i="8"/>
  <c r="C9964" i="8"/>
  <c r="C9963" i="8"/>
  <c r="C9962" i="8"/>
  <c r="C9961" i="8"/>
  <c r="C9960" i="8"/>
  <c r="C9959" i="8"/>
  <c r="C9958" i="8"/>
  <c r="C9957" i="8"/>
  <c r="C9956" i="8"/>
  <c r="C9955" i="8"/>
  <c r="C9954" i="8"/>
  <c r="C9953" i="8"/>
  <c r="C9952" i="8"/>
  <c r="C9951" i="8"/>
  <c r="C9950" i="8"/>
  <c r="C9949" i="8"/>
  <c r="C9948" i="8"/>
  <c r="C9947" i="8"/>
  <c r="C9946" i="8"/>
  <c r="C9945" i="8"/>
  <c r="C9944" i="8"/>
  <c r="C9943" i="8"/>
  <c r="C9942" i="8"/>
  <c r="C9941" i="8"/>
  <c r="C9940" i="8"/>
  <c r="C9939" i="8"/>
  <c r="C9938" i="8"/>
  <c r="C9937" i="8"/>
  <c r="C9936" i="8"/>
  <c r="C9935" i="8"/>
  <c r="C9934" i="8"/>
  <c r="C9933" i="8"/>
  <c r="C9932" i="8"/>
  <c r="C9931" i="8"/>
  <c r="C9930" i="8"/>
  <c r="C9929" i="8"/>
  <c r="C9928" i="8"/>
  <c r="C9927" i="8"/>
  <c r="C9926" i="8"/>
  <c r="C9925" i="8"/>
  <c r="C9924" i="8"/>
  <c r="C9923" i="8"/>
  <c r="C9922" i="8"/>
  <c r="C9921" i="8"/>
  <c r="C9920" i="8"/>
  <c r="C9919" i="8"/>
  <c r="C9918" i="8"/>
  <c r="C9917" i="8"/>
  <c r="C9916" i="8"/>
  <c r="C9915" i="8"/>
  <c r="C9914" i="8"/>
  <c r="C9913" i="8"/>
  <c r="C9912" i="8"/>
  <c r="C9911" i="8"/>
  <c r="C9910" i="8"/>
  <c r="C9909" i="8"/>
  <c r="C9908" i="8"/>
  <c r="C9907" i="8"/>
  <c r="C9906" i="8"/>
  <c r="C9905" i="8"/>
  <c r="C9904" i="8"/>
  <c r="C9903" i="8"/>
  <c r="C9902" i="8"/>
  <c r="C9901" i="8"/>
  <c r="C9900" i="8"/>
  <c r="C9899" i="8"/>
  <c r="C9898" i="8"/>
  <c r="C9897" i="8"/>
  <c r="C9896" i="8"/>
  <c r="C9895" i="8"/>
  <c r="C9894" i="8"/>
  <c r="C9893" i="8"/>
  <c r="C9892" i="8"/>
  <c r="C9891" i="8"/>
  <c r="C9890" i="8"/>
  <c r="C9889" i="8"/>
  <c r="C9888" i="8"/>
  <c r="C9887" i="8"/>
  <c r="C9886" i="8"/>
  <c r="C9885" i="8"/>
  <c r="C9884" i="8"/>
  <c r="C9883" i="8"/>
  <c r="C9882" i="8"/>
  <c r="C9881" i="8"/>
  <c r="C9880" i="8"/>
  <c r="C9879" i="8"/>
  <c r="C9878" i="8"/>
  <c r="C9877" i="8"/>
  <c r="C9876" i="8"/>
  <c r="C9875" i="8"/>
  <c r="C9874" i="8"/>
  <c r="C9873" i="8"/>
  <c r="C9872" i="8"/>
  <c r="C9871" i="8"/>
  <c r="C9870" i="8"/>
  <c r="C9869" i="8"/>
  <c r="C9868" i="8"/>
  <c r="C9867" i="8"/>
  <c r="C9866" i="8"/>
  <c r="C9865" i="8"/>
  <c r="C9864" i="8"/>
  <c r="C9863" i="8"/>
  <c r="C9862" i="8"/>
  <c r="C9861" i="8"/>
  <c r="C9860" i="8"/>
  <c r="C9859" i="8"/>
  <c r="C9858" i="8"/>
  <c r="C9857" i="8"/>
  <c r="C9856" i="8"/>
  <c r="C9855" i="8"/>
  <c r="C9854" i="8"/>
  <c r="C9853" i="8"/>
  <c r="C9852" i="8"/>
  <c r="C9851" i="8"/>
  <c r="C9850" i="8"/>
  <c r="C9849" i="8"/>
  <c r="C9848" i="8"/>
  <c r="C9847" i="8"/>
  <c r="C9846" i="8"/>
  <c r="C9845" i="8"/>
  <c r="C9844" i="8"/>
  <c r="C9843" i="8"/>
  <c r="C9842" i="8"/>
  <c r="C9841" i="8"/>
  <c r="C9840" i="8"/>
  <c r="C9839" i="8"/>
  <c r="C9838" i="8"/>
  <c r="C9837" i="8"/>
  <c r="C9836" i="8"/>
  <c r="C9835" i="8"/>
  <c r="C9834" i="8"/>
  <c r="C9833" i="8"/>
  <c r="C9832" i="8"/>
  <c r="C9831" i="8"/>
  <c r="C9830" i="8"/>
  <c r="C9829" i="8"/>
  <c r="C9828" i="8"/>
  <c r="C9827" i="8"/>
  <c r="C9826" i="8"/>
  <c r="C9825" i="8"/>
  <c r="C9824" i="8"/>
  <c r="C9823" i="8"/>
  <c r="C9822" i="8"/>
  <c r="C9821" i="8"/>
  <c r="C9820" i="8"/>
  <c r="C9819" i="8"/>
  <c r="C9818" i="8"/>
  <c r="C9817" i="8"/>
  <c r="C9816" i="8"/>
  <c r="C9815" i="8"/>
  <c r="C9814" i="8"/>
  <c r="C9813" i="8"/>
  <c r="C9812" i="8"/>
  <c r="C9811" i="8"/>
  <c r="C9810" i="8"/>
  <c r="C9809" i="8"/>
  <c r="C9808" i="8"/>
  <c r="C9807" i="8"/>
  <c r="C9806" i="8"/>
  <c r="C9805" i="8"/>
  <c r="C9804" i="8"/>
  <c r="C9803" i="8"/>
  <c r="C9802" i="8"/>
  <c r="C9801" i="8"/>
  <c r="C9800" i="8"/>
  <c r="C9799" i="8"/>
  <c r="C9798" i="8"/>
  <c r="C9797" i="8"/>
  <c r="C9796" i="8"/>
  <c r="C9795" i="8"/>
  <c r="C9794" i="8"/>
  <c r="C9793" i="8"/>
  <c r="C9792" i="8"/>
  <c r="C9791" i="8"/>
  <c r="C9790" i="8"/>
  <c r="C9789" i="8"/>
  <c r="C9788" i="8"/>
  <c r="C9787" i="8"/>
  <c r="C9786" i="8"/>
  <c r="C9785" i="8"/>
  <c r="C9784" i="8"/>
  <c r="C9783" i="8"/>
  <c r="C9782" i="8"/>
  <c r="C9781" i="8"/>
  <c r="C9780" i="8"/>
  <c r="C9779" i="8"/>
  <c r="C9778" i="8"/>
  <c r="C9777" i="8"/>
  <c r="C9776" i="8"/>
  <c r="C9775" i="8"/>
  <c r="C9774" i="8"/>
  <c r="C9773" i="8"/>
  <c r="C9772" i="8"/>
  <c r="C9771" i="8"/>
  <c r="C9770" i="8"/>
  <c r="C9769" i="8"/>
  <c r="C9768" i="8"/>
  <c r="C9767" i="8"/>
  <c r="C9766" i="8"/>
  <c r="C9765" i="8"/>
  <c r="C9764" i="8"/>
  <c r="C9763" i="8"/>
  <c r="C9762" i="8"/>
  <c r="C9761" i="8"/>
  <c r="C9760" i="8"/>
  <c r="C9759" i="8"/>
  <c r="C9758" i="8"/>
  <c r="C9757" i="8"/>
  <c r="C9756" i="8"/>
  <c r="C9755" i="8"/>
  <c r="C9754" i="8"/>
  <c r="C9753" i="8"/>
  <c r="C9752" i="8"/>
  <c r="C9751" i="8"/>
  <c r="C9750" i="8"/>
  <c r="C9749" i="8"/>
  <c r="C9748" i="8"/>
  <c r="C9747" i="8"/>
  <c r="C9746" i="8"/>
  <c r="C9745" i="8"/>
  <c r="C9744" i="8"/>
  <c r="C9743" i="8"/>
  <c r="C9742" i="8"/>
  <c r="C9741" i="8"/>
  <c r="C9740" i="8"/>
  <c r="C9739" i="8"/>
  <c r="C9738" i="8"/>
  <c r="C9737" i="8"/>
  <c r="C9736" i="8"/>
  <c r="C9735" i="8"/>
  <c r="C9734" i="8"/>
  <c r="C9733" i="8"/>
  <c r="C9732" i="8"/>
  <c r="C9731" i="8"/>
  <c r="C9730" i="8"/>
  <c r="C9729" i="8"/>
  <c r="C9728" i="8"/>
  <c r="C9727" i="8"/>
  <c r="C9726" i="8"/>
  <c r="C9725" i="8"/>
  <c r="C9724" i="8"/>
  <c r="C9723" i="8"/>
  <c r="C9722" i="8"/>
  <c r="C9721" i="8"/>
  <c r="C9720" i="8"/>
  <c r="C9719" i="8"/>
  <c r="C9718" i="8"/>
  <c r="C9717" i="8"/>
  <c r="C9716" i="8"/>
  <c r="C9715" i="8"/>
  <c r="C9714" i="8"/>
  <c r="C9713" i="8"/>
  <c r="C9712" i="8"/>
  <c r="C9711" i="8"/>
  <c r="C9710" i="8"/>
  <c r="C9709" i="8"/>
  <c r="C9708" i="8"/>
  <c r="C9707" i="8"/>
  <c r="C9706" i="8"/>
  <c r="C9705" i="8"/>
  <c r="C9704" i="8"/>
  <c r="C9703" i="8"/>
  <c r="C9702" i="8"/>
  <c r="C9701" i="8"/>
  <c r="C9700" i="8"/>
  <c r="C9699" i="8"/>
  <c r="C9698" i="8"/>
  <c r="C9697" i="8"/>
  <c r="C9696" i="8"/>
  <c r="C9695" i="8"/>
  <c r="C9694" i="8"/>
  <c r="C9693" i="8"/>
  <c r="C9692" i="8"/>
  <c r="C9691" i="8"/>
  <c r="C9690" i="8"/>
  <c r="C9689" i="8"/>
  <c r="C9688" i="8"/>
  <c r="C9687" i="8"/>
  <c r="C9686" i="8"/>
  <c r="C9685" i="8"/>
  <c r="C9684" i="8"/>
  <c r="C9683" i="8"/>
  <c r="C9682" i="8"/>
  <c r="C9681" i="8"/>
  <c r="C9680" i="8"/>
  <c r="C9679" i="8"/>
  <c r="C9678" i="8"/>
  <c r="C9677" i="8"/>
  <c r="C9676" i="8"/>
  <c r="C9675" i="8"/>
  <c r="C9674" i="8"/>
  <c r="C9673" i="8"/>
  <c r="C9672" i="8"/>
  <c r="C9671" i="8"/>
  <c r="C9670" i="8"/>
  <c r="C9669" i="8"/>
  <c r="C9668" i="8"/>
  <c r="C9667" i="8"/>
  <c r="C9666" i="8"/>
  <c r="C9665" i="8"/>
  <c r="C9664" i="8"/>
  <c r="C9663" i="8"/>
  <c r="C9662" i="8"/>
  <c r="C9661" i="8"/>
  <c r="C9660" i="8"/>
  <c r="C9659" i="8"/>
  <c r="C9658" i="8"/>
  <c r="C9657" i="8"/>
  <c r="C9656" i="8"/>
  <c r="C9655" i="8"/>
  <c r="C9654" i="8"/>
  <c r="C9653" i="8"/>
  <c r="C9652" i="8"/>
  <c r="C9651" i="8"/>
  <c r="C9650" i="8"/>
  <c r="C9649" i="8"/>
  <c r="C9648" i="8"/>
  <c r="C9647" i="8"/>
  <c r="C9646" i="8"/>
  <c r="C9645" i="8"/>
  <c r="C9644" i="8"/>
  <c r="C9643" i="8"/>
  <c r="C9642" i="8"/>
  <c r="C9641" i="8"/>
  <c r="C9640" i="8"/>
  <c r="C9639" i="8"/>
  <c r="C9638" i="8"/>
  <c r="C9637" i="8"/>
  <c r="C9636" i="8"/>
  <c r="C9635" i="8"/>
  <c r="C9634" i="8"/>
  <c r="C9633" i="8"/>
  <c r="C9632" i="8"/>
  <c r="C9631" i="8"/>
  <c r="C9630" i="8"/>
  <c r="C9629" i="8"/>
  <c r="C9628" i="8"/>
  <c r="C9627" i="8"/>
  <c r="C9626" i="8"/>
  <c r="C9625" i="8"/>
  <c r="C9624" i="8"/>
  <c r="C9623" i="8"/>
  <c r="C9622" i="8"/>
  <c r="C9621" i="8"/>
  <c r="C9620" i="8"/>
  <c r="C9619" i="8"/>
  <c r="C9618" i="8"/>
  <c r="C9617" i="8"/>
  <c r="C9616" i="8"/>
  <c r="C9615" i="8"/>
  <c r="C9614" i="8"/>
  <c r="C9613" i="8"/>
  <c r="C9612" i="8"/>
  <c r="C9611" i="8"/>
  <c r="C9610" i="8"/>
  <c r="C9609" i="8"/>
  <c r="C9608" i="8"/>
  <c r="C9607" i="8"/>
  <c r="C9606" i="8"/>
  <c r="C9605" i="8"/>
  <c r="C9604" i="8"/>
  <c r="C9603" i="8"/>
  <c r="C9602" i="8"/>
  <c r="C9601" i="8"/>
  <c r="C9600" i="8"/>
  <c r="C9599" i="8"/>
  <c r="C9598" i="8"/>
  <c r="C9597" i="8"/>
  <c r="C9596" i="8"/>
  <c r="C9595" i="8"/>
  <c r="C9594" i="8"/>
  <c r="C9593" i="8"/>
  <c r="C9592" i="8"/>
  <c r="C9591" i="8"/>
  <c r="C9590" i="8"/>
  <c r="C9589" i="8"/>
  <c r="C9588" i="8"/>
  <c r="C9587" i="8"/>
  <c r="C9586" i="8"/>
  <c r="C9585" i="8"/>
  <c r="C9584" i="8"/>
  <c r="C9583" i="8"/>
  <c r="C9582" i="8"/>
  <c r="C9581" i="8"/>
  <c r="C9580" i="8"/>
  <c r="C9579" i="8"/>
  <c r="C9578" i="8"/>
  <c r="C9577" i="8"/>
  <c r="C9576" i="8"/>
  <c r="C9575" i="8"/>
  <c r="C9574" i="8"/>
  <c r="C9573" i="8"/>
  <c r="C9572" i="8"/>
  <c r="C9571" i="8"/>
  <c r="C9570" i="8"/>
  <c r="C9569" i="8"/>
  <c r="C9568" i="8"/>
  <c r="C9567" i="8"/>
  <c r="C9566" i="8"/>
  <c r="C9565" i="8"/>
  <c r="C9564" i="8"/>
  <c r="C9563" i="8"/>
  <c r="C9562" i="8"/>
  <c r="C9561" i="8"/>
  <c r="C9560" i="8"/>
  <c r="C9559" i="8"/>
  <c r="C9558" i="8"/>
  <c r="C9557" i="8"/>
  <c r="C9556" i="8"/>
  <c r="C9555" i="8"/>
  <c r="C9554" i="8"/>
  <c r="C9553" i="8"/>
  <c r="C9552" i="8"/>
  <c r="C9551" i="8"/>
  <c r="C9550" i="8"/>
  <c r="C9549" i="8"/>
  <c r="C9548" i="8"/>
  <c r="C9547" i="8"/>
  <c r="C9546" i="8"/>
  <c r="C9545" i="8"/>
  <c r="C9544" i="8"/>
  <c r="C9543" i="8"/>
  <c r="C9542" i="8"/>
  <c r="C9541" i="8"/>
  <c r="C9540" i="8"/>
  <c r="C9539" i="8"/>
  <c r="C9538" i="8"/>
  <c r="C9537" i="8"/>
  <c r="C9536" i="8"/>
  <c r="C9535" i="8"/>
  <c r="C9534" i="8"/>
  <c r="C9533" i="8"/>
  <c r="C9532" i="8"/>
  <c r="C9531" i="8"/>
  <c r="C9530" i="8"/>
  <c r="C9529" i="8"/>
  <c r="C9528" i="8"/>
  <c r="C9527" i="8"/>
  <c r="C9526" i="8"/>
  <c r="C9525" i="8"/>
  <c r="C9524" i="8"/>
  <c r="C9523" i="8"/>
  <c r="C9522" i="8"/>
  <c r="C9521" i="8"/>
  <c r="C9520" i="8"/>
  <c r="C9519" i="8"/>
  <c r="C9518" i="8"/>
  <c r="C9517" i="8"/>
  <c r="C9516" i="8"/>
  <c r="C9515" i="8"/>
  <c r="C9514" i="8"/>
  <c r="C9513" i="8"/>
  <c r="C9512" i="8"/>
  <c r="C9511" i="8"/>
  <c r="C9510" i="8"/>
  <c r="C9509" i="8"/>
  <c r="C9508" i="8"/>
  <c r="C9507" i="8"/>
  <c r="C9506" i="8"/>
  <c r="C9505" i="8"/>
  <c r="C9504" i="8"/>
  <c r="C9503" i="8"/>
  <c r="C9502" i="8"/>
  <c r="C9501" i="8"/>
  <c r="C9500" i="8"/>
  <c r="C9499" i="8"/>
  <c r="C9498" i="8"/>
  <c r="C9497" i="8"/>
  <c r="C9496" i="8"/>
  <c r="C9495" i="8"/>
  <c r="C9494" i="8"/>
  <c r="C9493" i="8"/>
  <c r="C9492" i="8"/>
  <c r="C9491" i="8"/>
  <c r="C9490" i="8"/>
  <c r="C9489" i="8"/>
  <c r="C9488" i="8"/>
  <c r="C9487" i="8"/>
  <c r="C9486" i="8"/>
  <c r="C9485" i="8"/>
  <c r="C9484" i="8"/>
  <c r="C9483" i="8"/>
  <c r="C9482" i="8"/>
  <c r="C9481" i="8"/>
  <c r="C9480" i="8"/>
  <c r="C9479" i="8"/>
  <c r="C9478" i="8"/>
  <c r="C9477" i="8"/>
  <c r="C9476" i="8"/>
  <c r="C9475" i="8"/>
  <c r="C9474" i="8"/>
  <c r="C9473" i="8"/>
  <c r="C9472" i="8"/>
  <c r="C9471" i="8"/>
  <c r="C9470" i="8"/>
  <c r="C9469" i="8"/>
  <c r="C9468" i="8"/>
  <c r="C9467" i="8"/>
  <c r="C9466" i="8"/>
  <c r="C9465" i="8"/>
  <c r="C9464" i="8"/>
  <c r="C9463" i="8"/>
  <c r="C9462" i="8"/>
  <c r="C9461" i="8"/>
  <c r="C9460" i="8"/>
  <c r="C9459" i="8"/>
  <c r="C9458" i="8"/>
  <c r="C9457" i="8"/>
  <c r="C9456" i="8"/>
  <c r="C9455" i="8"/>
  <c r="C9454" i="8"/>
  <c r="C9453" i="8"/>
  <c r="C9452" i="8"/>
  <c r="C9451" i="8"/>
  <c r="C9450" i="8"/>
  <c r="C9449" i="8"/>
  <c r="C9448" i="8"/>
  <c r="C9447" i="8"/>
  <c r="C9446" i="8"/>
  <c r="C9445" i="8"/>
  <c r="C9444" i="8"/>
  <c r="C9443" i="8"/>
  <c r="C9442" i="8"/>
  <c r="C9441" i="8"/>
  <c r="C9440" i="8"/>
  <c r="C9439" i="8"/>
  <c r="C9438" i="8"/>
  <c r="C9437" i="8"/>
  <c r="C9436" i="8"/>
  <c r="C9435" i="8"/>
  <c r="C9434" i="8"/>
  <c r="C9433" i="8"/>
  <c r="C9432" i="8"/>
  <c r="C9431" i="8"/>
  <c r="C9430" i="8"/>
  <c r="C9429" i="8"/>
  <c r="C9428" i="8"/>
  <c r="C9427" i="8"/>
  <c r="C9426" i="8"/>
  <c r="C9425" i="8"/>
  <c r="C9424" i="8"/>
  <c r="C9423" i="8"/>
  <c r="C9422" i="8"/>
  <c r="C9421" i="8"/>
  <c r="C9420" i="8"/>
  <c r="C9419" i="8"/>
  <c r="C9418" i="8"/>
  <c r="C9417" i="8"/>
  <c r="C9416" i="8"/>
  <c r="C9415" i="8"/>
  <c r="C9414" i="8"/>
  <c r="C9413" i="8"/>
  <c r="C9412" i="8"/>
  <c r="C9411" i="8"/>
  <c r="C9410" i="8"/>
  <c r="C9409" i="8"/>
  <c r="C9408" i="8"/>
  <c r="C9407" i="8"/>
  <c r="C9406" i="8"/>
  <c r="C9405" i="8"/>
  <c r="C9404" i="8"/>
  <c r="C9403" i="8"/>
  <c r="C9402" i="8"/>
  <c r="C9401" i="8"/>
  <c r="C9400" i="8"/>
  <c r="C9399" i="8"/>
  <c r="C9398" i="8"/>
  <c r="C9397" i="8"/>
  <c r="C9396" i="8"/>
  <c r="C9395" i="8"/>
  <c r="C9394" i="8"/>
  <c r="C9393" i="8"/>
  <c r="C9392" i="8"/>
  <c r="C9391" i="8"/>
  <c r="C9390" i="8"/>
  <c r="C9389" i="8"/>
  <c r="C9388" i="8"/>
  <c r="C9387" i="8"/>
  <c r="C9386" i="8"/>
  <c r="C9385" i="8"/>
  <c r="C9384" i="8"/>
  <c r="C9383" i="8"/>
  <c r="C9382" i="8"/>
  <c r="C9381" i="8"/>
  <c r="C9380" i="8"/>
  <c r="C9379" i="8"/>
  <c r="C9378" i="8"/>
  <c r="C9377" i="8"/>
  <c r="C9376" i="8"/>
  <c r="C9375" i="8"/>
  <c r="C9374" i="8"/>
  <c r="C9373" i="8"/>
  <c r="C9372" i="8"/>
  <c r="C9371" i="8"/>
  <c r="C9370" i="8"/>
  <c r="C9369" i="8"/>
  <c r="C9368" i="8"/>
  <c r="C9367" i="8"/>
  <c r="C9366" i="8"/>
  <c r="C9365" i="8"/>
  <c r="C9364" i="8"/>
  <c r="C9363" i="8"/>
  <c r="C9362" i="8"/>
  <c r="C9361" i="8"/>
  <c r="C9360" i="8"/>
  <c r="C9359" i="8"/>
  <c r="C9358" i="8"/>
  <c r="C9357" i="8"/>
  <c r="C9356" i="8"/>
  <c r="C9355" i="8"/>
  <c r="C9354" i="8"/>
  <c r="C9353" i="8"/>
  <c r="C9352" i="8"/>
  <c r="C9351" i="8"/>
  <c r="C9350" i="8"/>
  <c r="C9349" i="8"/>
  <c r="C9348" i="8"/>
  <c r="C9347" i="8"/>
  <c r="C9346" i="8"/>
  <c r="C9345" i="8"/>
  <c r="C9344" i="8"/>
  <c r="C9343" i="8"/>
  <c r="C9342" i="8"/>
  <c r="C9341" i="8"/>
  <c r="C9340" i="8"/>
  <c r="C9339" i="8"/>
  <c r="C9338" i="8"/>
  <c r="C9337" i="8"/>
  <c r="C9336" i="8"/>
  <c r="C9335" i="8"/>
  <c r="C9334" i="8"/>
  <c r="C9333" i="8"/>
  <c r="C9332" i="8"/>
  <c r="C9331" i="8"/>
  <c r="C9330" i="8"/>
  <c r="C9329" i="8"/>
  <c r="C9328" i="8"/>
  <c r="C9327" i="8"/>
  <c r="C9326" i="8"/>
  <c r="C9325" i="8"/>
  <c r="C9324" i="8"/>
  <c r="C9323" i="8"/>
  <c r="C9322" i="8"/>
  <c r="C9321" i="8"/>
  <c r="C9320" i="8"/>
  <c r="C9319" i="8"/>
  <c r="C9318" i="8"/>
  <c r="C9317" i="8"/>
  <c r="C9316" i="8"/>
  <c r="C9315" i="8"/>
  <c r="C9314" i="8"/>
  <c r="C9313" i="8"/>
  <c r="C9312" i="8"/>
  <c r="C9311" i="8"/>
  <c r="C9310" i="8"/>
  <c r="C9309" i="8"/>
  <c r="C9308" i="8"/>
  <c r="C9307" i="8"/>
  <c r="C9306" i="8"/>
  <c r="C9305" i="8"/>
  <c r="C9304" i="8"/>
  <c r="C9303" i="8"/>
  <c r="C9302" i="8"/>
  <c r="C9301" i="8"/>
  <c r="C9300" i="8"/>
  <c r="C9299" i="8"/>
  <c r="C9298" i="8"/>
  <c r="C9297" i="8"/>
  <c r="C9296" i="8"/>
  <c r="C9295" i="8"/>
  <c r="C9294" i="8"/>
  <c r="C9293" i="8"/>
  <c r="C9292" i="8"/>
  <c r="C9291" i="8"/>
  <c r="C9290" i="8"/>
  <c r="C9289" i="8"/>
  <c r="C9288" i="8"/>
  <c r="C9287" i="8"/>
  <c r="C9286" i="8"/>
  <c r="C9285" i="8"/>
  <c r="C9284" i="8"/>
  <c r="C9283" i="8"/>
  <c r="C9282" i="8"/>
  <c r="C9281" i="8"/>
  <c r="C9280" i="8"/>
  <c r="C9279" i="8"/>
  <c r="C9278" i="8"/>
  <c r="C9277" i="8"/>
  <c r="C9276" i="8"/>
  <c r="C9275" i="8"/>
  <c r="C9274" i="8"/>
  <c r="C9273" i="8"/>
  <c r="C9272" i="8"/>
  <c r="C9271" i="8"/>
  <c r="C9270" i="8"/>
  <c r="C9269" i="8"/>
  <c r="C9268" i="8"/>
  <c r="C9267" i="8"/>
  <c r="C9266" i="8"/>
  <c r="C9265" i="8"/>
  <c r="C9264" i="8"/>
  <c r="C9263" i="8"/>
  <c r="C9262" i="8"/>
  <c r="C9261" i="8"/>
  <c r="C9260" i="8"/>
  <c r="C9259" i="8"/>
  <c r="C9258" i="8"/>
  <c r="C9257" i="8"/>
  <c r="C9256" i="8"/>
  <c r="C9255" i="8"/>
  <c r="C9254" i="8"/>
  <c r="C9253" i="8"/>
  <c r="C9252" i="8"/>
  <c r="C9251" i="8"/>
  <c r="C9250" i="8"/>
  <c r="C9249" i="8"/>
  <c r="C9248" i="8"/>
  <c r="C9247" i="8"/>
  <c r="C9246" i="8"/>
  <c r="C9245" i="8"/>
  <c r="C9244" i="8"/>
  <c r="C9243" i="8"/>
  <c r="C9242" i="8"/>
  <c r="C9241" i="8"/>
  <c r="C9240" i="8"/>
  <c r="C9239" i="8"/>
  <c r="C9238" i="8"/>
  <c r="C9237" i="8"/>
  <c r="C9236" i="8"/>
  <c r="C9235" i="8"/>
  <c r="C9234" i="8"/>
  <c r="C9233" i="8"/>
  <c r="C9232" i="8"/>
  <c r="C9231" i="8"/>
  <c r="C9230" i="8"/>
  <c r="C9229" i="8"/>
  <c r="C9228" i="8"/>
  <c r="C9227" i="8"/>
  <c r="C9226" i="8"/>
  <c r="C9225" i="8"/>
  <c r="C9224" i="8"/>
  <c r="C9223" i="8"/>
  <c r="C9222" i="8"/>
  <c r="C9221" i="8"/>
  <c r="C9220" i="8"/>
  <c r="C9219" i="8"/>
  <c r="C9218" i="8"/>
  <c r="C9217" i="8"/>
  <c r="C9216" i="8"/>
  <c r="C9215" i="8"/>
  <c r="C9214" i="8"/>
  <c r="C9213" i="8"/>
  <c r="C9212" i="8"/>
  <c r="C9211" i="8"/>
  <c r="C9210" i="8"/>
  <c r="C9209" i="8"/>
  <c r="C9208" i="8"/>
  <c r="C9207" i="8"/>
  <c r="C9206" i="8"/>
  <c r="C9205" i="8"/>
  <c r="C9204" i="8"/>
  <c r="C9203" i="8"/>
  <c r="C9202" i="8"/>
  <c r="C9201" i="8"/>
  <c r="C9200" i="8"/>
  <c r="C9199" i="8"/>
  <c r="C9198" i="8"/>
  <c r="C9197" i="8"/>
  <c r="C9196" i="8"/>
  <c r="C9195" i="8"/>
  <c r="C9194" i="8"/>
  <c r="C9193" i="8"/>
  <c r="C9192" i="8"/>
  <c r="C9191" i="8"/>
  <c r="C9190" i="8"/>
  <c r="C9189" i="8"/>
  <c r="C9188" i="8"/>
  <c r="C9187" i="8"/>
  <c r="C9186" i="8"/>
  <c r="C9185" i="8"/>
  <c r="C9184" i="8"/>
  <c r="C9183" i="8"/>
  <c r="C9182" i="8"/>
  <c r="C9181" i="8"/>
  <c r="C9180" i="8"/>
  <c r="C9179" i="8"/>
  <c r="C9178" i="8"/>
  <c r="C9177" i="8"/>
  <c r="C9176" i="8"/>
  <c r="C9175" i="8"/>
  <c r="C9174" i="8"/>
  <c r="C9173" i="8"/>
  <c r="C9172" i="8"/>
  <c r="C9171" i="8"/>
  <c r="C9170" i="8"/>
  <c r="C9169" i="8"/>
  <c r="C9168" i="8"/>
  <c r="C9167" i="8"/>
  <c r="C9166" i="8"/>
  <c r="C9165" i="8"/>
  <c r="C9164" i="8"/>
  <c r="C9163" i="8"/>
  <c r="C9162" i="8"/>
  <c r="C9161" i="8"/>
  <c r="C9160" i="8"/>
  <c r="C9159" i="8"/>
  <c r="C9158" i="8"/>
  <c r="C9157" i="8"/>
  <c r="C9156" i="8"/>
  <c r="C9155" i="8"/>
  <c r="C9154" i="8"/>
  <c r="C9153" i="8"/>
  <c r="C9152" i="8"/>
  <c r="C9151" i="8"/>
  <c r="C9150" i="8"/>
  <c r="C9149" i="8"/>
  <c r="C9148" i="8"/>
  <c r="C9147" i="8"/>
  <c r="C9146" i="8"/>
  <c r="C9145" i="8"/>
  <c r="C9144" i="8"/>
  <c r="C9143" i="8"/>
  <c r="C9142" i="8"/>
  <c r="C9141" i="8"/>
  <c r="C9140" i="8"/>
  <c r="C9139" i="8"/>
  <c r="C9138" i="8"/>
  <c r="C9137" i="8"/>
  <c r="C9136" i="8"/>
  <c r="C9135" i="8"/>
  <c r="C9134" i="8"/>
  <c r="C9133" i="8"/>
  <c r="C9132" i="8"/>
  <c r="C9131" i="8"/>
  <c r="C9130" i="8"/>
  <c r="C9129" i="8"/>
  <c r="C9128" i="8"/>
  <c r="C9127" i="8"/>
  <c r="C9126" i="8"/>
  <c r="C9125" i="8"/>
  <c r="C9124" i="8"/>
  <c r="C9123" i="8"/>
  <c r="C9122" i="8"/>
  <c r="C9121" i="8"/>
  <c r="C9120" i="8"/>
  <c r="C9119" i="8"/>
  <c r="C9118" i="8"/>
  <c r="C9117" i="8"/>
  <c r="C9116" i="8"/>
  <c r="C9115" i="8"/>
  <c r="C9114" i="8"/>
  <c r="C9113" i="8"/>
  <c r="C9112" i="8"/>
  <c r="C9111" i="8"/>
  <c r="C9110" i="8"/>
  <c r="C9109" i="8"/>
  <c r="C9108" i="8"/>
  <c r="C9107" i="8"/>
  <c r="C9106" i="8"/>
  <c r="C9105" i="8"/>
  <c r="C9104" i="8"/>
  <c r="C9103" i="8"/>
  <c r="C9102" i="8"/>
  <c r="C9101" i="8"/>
  <c r="C9100" i="8"/>
  <c r="C9099" i="8"/>
  <c r="C9098" i="8"/>
  <c r="C9097" i="8"/>
  <c r="C9096" i="8"/>
  <c r="C9095" i="8"/>
  <c r="C9094" i="8"/>
  <c r="C9093" i="8"/>
  <c r="C9092" i="8"/>
  <c r="C9091" i="8"/>
  <c r="C9090" i="8"/>
  <c r="C9089" i="8"/>
  <c r="C9088" i="8"/>
  <c r="C9087" i="8"/>
  <c r="C9086" i="8"/>
  <c r="C9085" i="8"/>
  <c r="C9084" i="8"/>
  <c r="C9083" i="8"/>
  <c r="C9082" i="8"/>
  <c r="C9081" i="8"/>
  <c r="C9080" i="8"/>
  <c r="C9079" i="8"/>
  <c r="C9078" i="8"/>
  <c r="C9077" i="8"/>
  <c r="C9076" i="8"/>
  <c r="C9075" i="8"/>
  <c r="C9074" i="8"/>
  <c r="C9073" i="8"/>
  <c r="C9072" i="8"/>
  <c r="C9071" i="8"/>
  <c r="C9070" i="8"/>
  <c r="C9069" i="8"/>
  <c r="C9068" i="8"/>
  <c r="C9067" i="8"/>
  <c r="C9066" i="8"/>
  <c r="C9065" i="8"/>
  <c r="C9064" i="8"/>
  <c r="C9063" i="8"/>
  <c r="C9062" i="8"/>
  <c r="C9061" i="8"/>
  <c r="C9060" i="8"/>
  <c r="C9059" i="8"/>
  <c r="C9058" i="8"/>
  <c r="C9057" i="8"/>
  <c r="C9056" i="8"/>
  <c r="C9055" i="8"/>
  <c r="C9054" i="8"/>
  <c r="C9053" i="8"/>
  <c r="C9052" i="8"/>
  <c r="C9051" i="8"/>
  <c r="C9050" i="8"/>
  <c r="C9049" i="8"/>
  <c r="C9048" i="8"/>
  <c r="C9047" i="8"/>
  <c r="C9046" i="8"/>
  <c r="C9045" i="8"/>
  <c r="C9044" i="8"/>
  <c r="C9043" i="8"/>
  <c r="C9042" i="8"/>
  <c r="C9041" i="8"/>
  <c r="C9040" i="8"/>
  <c r="C9039" i="8"/>
  <c r="C9038" i="8"/>
  <c r="C9037" i="8"/>
  <c r="C9036" i="8"/>
  <c r="C9035" i="8"/>
  <c r="C9034" i="8"/>
  <c r="C9033" i="8"/>
  <c r="C9032" i="8"/>
  <c r="C9031" i="8"/>
  <c r="C9030" i="8"/>
  <c r="C9029" i="8"/>
  <c r="C9028" i="8"/>
  <c r="C9027" i="8"/>
  <c r="C9026" i="8"/>
  <c r="C9025" i="8"/>
  <c r="C9024" i="8"/>
  <c r="C9023" i="8"/>
  <c r="C9022" i="8"/>
  <c r="C9021" i="8"/>
  <c r="C9020" i="8"/>
  <c r="C9019" i="8"/>
  <c r="C9018" i="8"/>
  <c r="C9017" i="8"/>
  <c r="C9016" i="8"/>
  <c r="C9015" i="8"/>
  <c r="C9014" i="8"/>
  <c r="C9013" i="8"/>
  <c r="C9012" i="8"/>
  <c r="C9011" i="8"/>
  <c r="C9010" i="8"/>
  <c r="C9009" i="8"/>
  <c r="C9008" i="8"/>
  <c r="C9007" i="8"/>
  <c r="C9006" i="8"/>
  <c r="C9005" i="8"/>
  <c r="C9004" i="8"/>
  <c r="C9003" i="8"/>
  <c r="C9002" i="8"/>
  <c r="C9001" i="8"/>
  <c r="C9000" i="8"/>
  <c r="C8999" i="8"/>
  <c r="C8998" i="8"/>
  <c r="C8997" i="8"/>
  <c r="C8996" i="8"/>
  <c r="C8995" i="8"/>
  <c r="C8994" i="8"/>
  <c r="C8993" i="8"/>
  <c r="C8992" i="8"/>
  <c r="C8991" i="8"/>
  <c r="C8990" i="8"/>
  <c r="C8989" i="8"/>
  <c r="C8988" i="8"/>
  <c r="C8987" i="8"/>
  <c r="C8986" i="8"/>
  <c r="C8985" i="8"/>
  <c r="C8984" i="8"/>
  <c r="C8983" i="8"/>
  <c r="C8982" i="8"/>
  <c r="C8981" i="8"/>
  <c r="C8980" i="8"/>
  <c r="C8979" i="8"/>
  <c r="C8978" i="8"/>
  <c r="C8977" i="8"/>
  <c r="C8976" i="8"/>
  <c r="C8975" i="8"/>
  <c r="C8974" i="8"/>
  <c r="C8973" i="8"/>
  <c r="C8972" i="8"/>
  <c r="C8971" i="8"/>
  <c r="C8970" i="8"/>
  <c r="C8969" i="8"/>
  <c r="C8968" i="8"/>
  <c r="C8967" i="8"/>
  <c r="C8966" i="8"/>
  <c r="C8965" i="8"/>
  <c r="C8964" i="8"/>
  <c r="C8963" i="8"/>
  <c r="C8962" i="8"/>
  <c r="C8961" i="8"/>
  <c r="C8960" i="8"/>
  <c r="C8959" i="8"/>
  <c r="C8958" i="8"/>
  <c r="C8957" i="8"/>
  <c r="C8956" i="8"/>
  <c r="C8955" i="8"/>
  <c r="C8954" i="8"/>
  <c r="C8953" i="8"/>
  <c r="C8952" i="8"/>
  <c r="C8951" i="8"/>
  <c r="C8950" i="8"/>
  <c r="C8949" i="8"/>
  <c r="C8948" i="8"/>
  <c r="C8947" i="8"/>
  <c r="C8946" i="8"/>
  <c r="C8945" i="8"/>
  <c r="C8944" i="8"/>
  <c r="C8943" i="8"/>
  <c r="C8942" i="8"/>
  <c r="C8941" i="8"/>
  <c r="C8940" i="8"/>
  <c r="C8939" i="8"/>
  <c r="C8938" i="8"/>
  <c r="C8937" i="8"/>
  <c r="C8936" i="8"/>
  <c r="C8935" i="8"/>
  <c r="C8934" i="8"/>
  <c r="C8933" i="8"/>
  <c r="C8932" i="8"/>
  <c r="C8931" i="8"/>
  <c r="C8930" i="8"/>
  <c r="C8929" i="8"/>
  <c r="C8928" i="8"/>
  <c r="C8927" i="8"/>
  <c r="C8926" i="8"/>
  <c r="C8925" i="8"/>
  <c r="C8924" i="8"/>
  <c r="C8923" i="8"/>
  <c r="C8922" i="8"/>
  <c r="C8921" i="8"/>
  <c r="C8920" i="8"/>
  <c r="C8919" i="8"/>
  <c r="C8918" i="8"/>
  <c r="C8917" i="8"/>
  <c r="C8916" i="8"/>
  <c r="C8915" i="8"/>
  <c r="C8914" i="8"/>
  <c r="C8913" i="8"/>
  <c r="C8912" i="8"/>
  <c r="C8911" i="8"/>
  <c r="C8910" i="8"/>
  <c r="C8909" i="8"/>
  <c r="C8908" i="8"/>
  <c r="C8907" i="8"/>
  <c r="C8906" i="8"/>
  <c r="C8905" i="8"/>
  <c r="C8904" i="8"/>
  <c r="C8903" i="8"/>
  <c r="C8902" i="8"/>
  <c r="C8901" i="8"/>
  <c r="C8900" i="8"/>
  <c r="C8899" i="8"/>
  <c r="C8898" i="8"/>
  <c r="C8897" i="8"/>
  <c r="C8896" i="8"/>
  <c r="C8895" i="8"/>
  <c r="C8894" i="8"/>
  <c r="C8893" i="8"/>
  <c r="C8892" i="8"/>
  <c r="C8891" i="8"/>
  <c r="C8890" i="8"/>
  <c r="C8889" i="8"/>
  <c r="C8888" i="8"/>
  <c r="C8887" i="8"/>
  <c r="C8886" i="8"/>
  <c r="C8885" i="8"/>
  <c r="C8884" i="8"/>
  <c r="C8883" i="8"/>
  <c r="C8882" i="8"/>
  <c r="C8881" i="8"/>
  <c r="C8880" i="8"/>
  <c r="C8879" i="8"/>
  <c r="C8878" i="8"/>
  <c r="C8877" i="8"/>
  <c r="C8876" i="8"/>
  <c r="C8875" i="8"/>
  <c r="C8874" i="8"/>
  <c r="C8873" i="8"/>
  <c r="C8872" i="8"/>
  <c r="C8871" i="8"/>
  <c r="C8870" i="8"/>
  <c r="C8869" i="8"/>
  <c r="C8868" i="8"/>
  <c r="C8867" i="8"/>
  <c r="C8866" i="8"/>
  <c r="C8865" i="8"/>
  <c r="C8864" i="8"/>
  <c r="C8863" i="8"/>
  <c r="C8862" i="8"/>
  <c r="C8861" i="8"/>
  <c r="C8860" i="8"/>
  <c r="C8859" i="8"/>
  <c r="C8858" i="8"/>
  <c r="C8857" i="8"/>
  <c r="C8856" i="8"/>
  <c r="C8855" i="8"/>
  <c r="C8854" i="8"/>
  <c r="C8853" i="8"/>
  <c r="C8852" i="8"/>
  <c r="C8851" i="8"/>
  <c r="C8850" i="8"/>
  <c r="C8849" i="8"/>
  <c r="C8848" i="8"/>
  <c r="C8847" i="8"/>
  <c r="C8846" i="8"/>
  <c r="C8845" i="8"/>
  <c r="C8844" i="8"/>
  <c r="C8843" i="8"/>
  <c r="C8842" i="8"/>
  <c r="C8841" i="8"/>
  <c r="C8840" i="8"/>
  <c r="C8839" i="8"/>
  <c r="C8838" i="8"/>
  <c r="C8837" i="8"/>
  <c r="C8836" i="8"/>
  <c r="C8835" i="8"/>
  <c r="C8834" i="8"/>
  <c r="C8833" i="8"/>
  <c r="C8832" i="8"/>
  <c r="C8831" i="8"/>
  <c r="C8830" i="8"/>
  <c r="C8829" i="8"/>
  <c r="C8828" i="8"/>
  <c r="C8827" i="8"/>
  <c r="C8826" i="8"/>
  <c r="C8825" i="8"/>
  <c r="C8824" i="8"/>
  <c r="C8823" i="8"/>
  <c r="C8822" i="8"/>
  <c r="C8821" i="8"/>
  <c r="C8820" i="8"/>
  <c r="C8819" i="8"/>
  <c r="C8818" i="8"/>
  <c r="C8817" i="8"/>
  <c r="C8816" i="8"/>
  <c r="C8815" i="8"/>
  <c r="C8814" i="8"/>
  <c r="C8813" i="8"/>
  <c r="C8812" i="8"/>
  <c r="C8811" i="8"/>
  <c r="C8810" i="8"/>
  <c r="C8809" i="8"/>
  <c r="C8808" i="8"/>
  <c r="C8807" i="8"/>
  <c r="C8806" i="8"/>
  <c r="C8805" i="8"/>
  <c r="C8804" i="8"/>
  <c r="C8803" i="8"/>
  <c r="C8802" i="8"/>
  <c r="C8801" i="8"/>
  <c r="C8800" i="8"/>
  <c r="C8799" i="8"/>
  <c r="C8798" i="8"/>
  <c r="C8797" i="8"/>
  <c r="C8796" i="8"/>
  <c r="C8795" i="8"/>
  <c r="C8794" i="8"/>
  <c r="C8793" i="8"/>
  <c r="C8792" i="8"/>
  <c r="C8791" i="8"/>
  <c r="C8790" i="8"/>
  <c r="C8789" i="8"/>
  <c r="C8788" i="8"/>
  <c r="C8787" i="8"/>
  <c r="C8786" i="8"/>
  <c r="C8785" i="8"/>
  <c r="C8784" i="8"/>
  <c r="C8783" i="8"/>
  <c r="C8782" i="8"/>
  <c r="C8781" i="8"/>
  <c r="C8780" i="8"/>
  <c r="C8779" i="8"/>
  <c r="C8778" i="8"/>
  <c r="C8777" i="8"/>
  <c r="C8776" i="8"/>
  <c r="C8775" i="8"/>
  <c r="C8774" i="8"/>
  <c r="C8773" i="8"/>
  <c r="C8772" i="8"/>
  <c r="C8771" i="8"/>
  <c r="C8770" i="8"/>
  <c r="C8769" i="8"/>
  <c r="C8768" i="8"/>
  <c r="C8767" i="8"/>
  <c r="C8766" i="8"/>
  <c r="C8765" i="8"/>
  <c r="C8764" i="8"/>
  <c r="C8763" i="8"/>
  <c r="C8762" i="8"/>
  <c r="C8761" i="8"/>
  <c r="C8760" i="8"/>
  <c r="C8759" i="8"/>
  <c r="C8758" i="8"/>
  <c r="C8757" i="8"/>
  <c r="C8756" i="8"/>
  <c r="C8755" i="8"/>
  <c r="C8754" i="8"/>
  <c r="C8753" i="8"/>
  <c r="C8752" i="8"/>
  <c r="C8751" i="8"/>
  <c r="C8750" i="8"/>
  <c r="C8749" i="8"/>
  <c r="C8748" i="8"/>
  <c r="C8747" i="8"/>
  <c r="C8746" i="8"/>
  <c r="C8745" i="8"/>
  <c r="C8744" i="8"/>
  <c r="C8743" i="8"/>
  <c r="C8742" i="8"/>
  <c r="C8741" i="8"/>
  <c r="C8740" i="8"/>
  <c r="C8739" i="8"/>
  <c r="C8738" i="8"/>
  <c r="C8737" i="8"/>
  <c r="C8736" i="8"/>
  <c r="C8735" i="8"/>
  <c r="C8734" i="8"/>
  <c r="C8733" i="8"/>
  <c r="C8732" i="8"/>
  <c r="C8731" i="8"/>
  <c r="C8730" i="8"/>
  <c r="C8729" i="8"/>
  <c r="C8728" i="8"/>
  <c r="C8727" i="8"/>
  <c r="C8726" i="8"/>
  <c r="C8725" i="8"/>
  <c r="C8724" i="8"/>
  <c r="C8723" i="8"/>
  <c r="C8722" i="8"/>
  <c r="C8721" i="8"/>
  <c r="C8720" i="8"/>
  <c r="C8719" i="8"/>
  <c r="C8718" i="8"/>
  <c r="C8717" i="8"/>
  <c r="C8716" i="8"/>
  <c r="C8715" i="8"/>
  <c r="C8714" i="8"/>
  <c r="C8713" i="8"/>
  <c r="C8712" i="8"/>
  <c r="C8711" i="8"/>
  <c r="C8710" i="8"/>
  <c r="C8709" i="8"/>
  <c r="C8708" i="8"/>
  <c r="C8707" i="8"/>
  <c r="C8706" i="8"/>
  <c r="C8705" i="8"/>
  <c r="C8704" i="8"/>
  <c r="C8703" i="8"/>
  <c r="C8702" i="8"/>
  <c r="C8701" i="8"/>
  <c r="C8700" i="8"/>
  <c r="C8699" i="8"/>
  <c r="C8698" i="8"/>
  <c r="C8697" i="8"/>
  <c r="C8696" i="8"/>
  <c r="C8695" i="8"/>
  <c r="C8694" i="8"/>
  <c r="C8693" i="8"/>
  <c r="C8692" i="8"/>
  <c r="C8691" i="8"/>
  <c r="C8690" i="8"/>
  <c r="C8689" i="8"/>
  <c r="C8688" i="8"/>
  <c r="C8687" i="8"/>
  <c r="C8686" i="8"/>
  <c r="C8685" i="8"/>
  <c r="C8684" i="8"/>
  <c r="C8683" i="8"/>
  <c r="C8682" i="8"/>
  <c r="C8681" i="8"/>
  <c r="C8680" i="8"/>
  <c r="C8679" i="8"/>
  <c r="C8678" i="8"/>
  <c r="C8677" i="8"/>
  <c r="C8676" i="8"/>
  <c r="C8675" i="8"/>
  <c r="C8674" i="8"/>
  <c r="C8673" i="8"/>
  <c r="C8672" i="8"/>
  <c r="C8671" i="8"/>
  <c r="C8670" i="8"/>
  <c r="C8669" i="8"/>
  <c r="C8668" i="8"/>
  <c r="C8667" i="8"/>
  <c r="C8666" i="8"/>
  <c r="C8665" i="8"/>
  <c r="C8664" i="8"/>
  <c r="C8663" i="8"/>
  <c r="C8662" i="8"/>
  <c r="C8661" i="8"/>
  <c r="C8660" i="8"/>
  <c r="C8659" i="8"/>
  <c r="C8658" i="8"/>
  <c r="C8657" i="8"/>
  <c r="C8656" i="8"/>
  <c r="C8655" i="8"/>
  <c r="C8654" i="8"/>
  <c r="C8653" i="8"/>
  <c r="C8652" i="8"/>
  <c r="C8651" i="8"/>
  <c r="C8650" i="8"/>
  <c r="C8649" i="8"/>
  <c r="C8648" i="8"/>
  <c r="C8647" i="8"/>
  <c r="C8646" i="8"/>
  <c r="C8645" i="8"/>
  <c r="C8644" i="8"/>
  <c r="C8643" i="8"/>
  <c r="C8642" i="8"/>
  <c r="C8641" i="8"/>
  <c r="C8640" i="8"/>
  <c r="C8639" i="8"/>
  <c r="C8638" i="8"/>
  <c r="C8637" i="8"/>
  <c r="C8636" i="8"/>
  <c r="C8635" i="8"/>
  <c r="C8634" i="8"/>
  <c r="C8633" i="8"/>
  <c r="C8632" i="8"/>
  <c r="C8631" i="8"/>
  <c r="C8630" i="8"/>
  <c r="C8629" i="8"/>
  <c r="C8628" i="8"/>
  <c r="C8627" i="8"/>
  <c r="C8626" i="8"/>
  <c r="C8625" i="8"/>
  <c r="C8624" i="8"/>
  <c r="C8623" i="8"/>
  <c r="C8622" i="8"/>
  <c r="C8621" i="8"/>
  <c r="C8620" i="8"/>
  <c r="C8619" i="8"/>
  <c r="C8618" i="8"/>
  <c r="C8617" i="8"/>
  <c r="C8616" i="8"/>
  <c r="C8615" i="8"/>
  <c r="C8614" i="8"/>
  <c r="C8613" i="8"/>
  <c r="C8612" i="8"/>
  <c r="C8611" i="8"/>
  <c r="C8610" i="8"/>
  <c r="C8609" i="8"/>
  <c r="C8608" i="8"/>
  <c r="C8607" i="8"/>
  <c r="C8606" i="8"/>
  <c r="C8605" i="8"/>
  <c r="C8604" i="8"/>
  <c r="C8603" i="8"/>
  <c r="C8602" i="8"/>
  <c r="C8601" i="8"/>
  <c r="C8600" i="8"/>
  <c r="C8599" i="8"/>
  <c r="C8598" i="8"/>
  <c r="C8597" i="8"/>
  <c r="C8596" i="8"/>
  <c r="C8595" i="8"/>
  <c r="C8594" i="8"/>
  <c r="C8593" i="8"/>
  <c r="C8592" i="8"/>
  <c r="C8591" i="8"/>
  <c r="C8590" i="8"/>
  <c r="C8589" i="8"/>
  <c r="C8588" i="8"/>
  <c r="C8587" i="8"/>
  <c r="C8586" i="8"/>
  <c r="C8585" i="8"/>
  <c r="C8584" i="8"/>
  <c r="C8583" i="8"/>
  <c r="C8582" i="8"/>
  <c r="C8581" i="8"/>
  <c r="C8580" i="8"/>
  <c r="C8579" i="8"/>
  <c r="C8578" i="8"/>
  <c r="C8577" i="8"/>
  <c r="C8576" i="8"/>
  <c r="C8575" i="8"/>
  <c r="C8574" i="8"/>
  <c r="C8573" i="8"/>
  <c r="C8572" i="8"/>
  <c r="C8571" i="8"/>
  <c r="C8570" i="8"/>
  <c r="C8569" i="8"/>
  <c r="C8568" i="8"/>
  <c r="C8567" i="8"/>
  <c r="C8566" i="8"/>
  <c r="C8565" i="8"/>
  <c r="C8564" i="8"/>
  <c r="C8563" i="8"/>
  <c r="C8562" i="8"/>
  <c r="C8561" i="8"/>
  <c r="C8560" i="8"/>
  <c r="C8559" i="8"/>
  <c r="C8558" i="8"/>
  <c r="C8557" i="8"/>
  <c r="C8556" i="8"/>
  <c r="C8555" i="8"/>
  <c r="C8554" i="8"/>
  <c r="C8553" i="8"/>
  <c r="C8552" i="8"/>
  <c r="C8551" i="8"/>
  <c r="C8550" i="8"/>
  <c r="C8549" i="8"/>
  <c r="C8548" i="8"/>
  <c r="C8547" i="8"/>
  <c r="C8546" i="8"/>
  <c r="C8545" i="8"/>
  <c r="C8544" i="8"/>
  <c r="C8543" i="8"/>
  <c r="C8542" i="8"/>
  <c r="C8541" i="8"/>
  <c r="C8540" i="8"/>
  <c r="C8539" i="8"/>
  <c r="C8538" i="8"/>
  <c r="C8537" i="8"/>
  <c r="C8536" i="8"/>
  <c r="C8535" i="8"/>
  <c r="C8534" i="8"/>
  <c r="C8533" i="8"/>
  <c r="C8532" i="8"/>
  <c r="C8531" i="8"/>
  <c r="C8530" i="8"/>
  <c r="C8529" i="8"/>
  <c r="C8528" i="8"/>
  <c r="C8527" i="8"/>
  <c r="C8526" i="8"/>
  <c r="C8525" i="8"/>
  <c r="C8524" i="8"/>
  <c r="C8523" i="8"/>
  <c r="C8522" i="8"/>
  <c r="C8521" i="8"/>
  <c r="C8520" i="8"/>
  <c r="C8519" i="8"/>
  <c r="C8518" i="8"/>
  <c r="C8517" i="8"/>
  <c r="C8516" i="8"/>
  <c r="C8515" i="8"/>
  <c r="C8514" i="8"/>
  <c r="C8513" i="8"/>
  <c r="C8512" i="8"/>
  <c r="C8511" i="8"/>
  <c r="C8510" i="8"/>
  <c r="C8509" i="8"/>
  <c r="C8508" i="8"/>
  <c r="C8507" i="8"/>
  <c r="C8506" i="8"/>
  <c r="C8505" i="8"/>
  <c r="C8504" i="8"/>
  <c r="C8503" i="8"/>
  <c r="C8502" i="8"/>
  <c r="C8501" i="8"/>
  <c r="C8500" i="8"/>
  <c r="C8499" i="8"/>
  <c r="C8498" i="8"/>
  <c r="C8497" i="8"/>
  <c r="C8496" i="8"/>
  <c r="C8495" i="8"/>
  <c r="C8494" i="8"/>
  <c r="C8493" i="8"/>
  <c r="C8492" i="8"/>
  <c r="C8491" i="8"/>
  <c r="C8490" i="8"/>
  <c r="C8489" i="8"/>
  <c r="C8488" i="8"/>
  <c r="C8487" i="8"/>
  <c r="C8486" i="8"/>
  <c r="C8485" i="8"/>
  <c r="C8484" i="8"/>
  <c r="C8483" i="8"/>
  <c r="C8482" i="8"/>
  <c r="C8481" i="8"/>
  <c r="C8480" i="8"/>
  <c r="C8479" i="8"/>
  <c r="C8478" i="8"/>
  <c r="C8477" i="8"/>
  <c r="C8476" i="8"/>
  <c r="C8475" i="8"/>
  <c r="C8474" i="8"/>
  <c r="C8473" i="8"/>
  <c r="C8472" i="8"/>
  <c r="C8471" i="8"/>
  <c r="C8470" i="8"/>
  <c r="C8469" i="8"/>
  <c r="C8468" i="8"/>
  <c r="C8467" i="8"/>
  <c r="C8466" i="8"/>
  <c r="C8465" i="8"/>
  <c r="C8464" i="8"/>
  <c r="C8463" i="8"/>
  <c r="C8462" i="8"/>
  <c r="C8461" i="8"/>
  <c r="C8460" i="8"/>
  <c r="C8459" i="8"/>
  <c r="C8458" i="8"/>
  <c r="C8457" i="8"/>
  <c r="C8456" i="8"/>
  <c r="C8455" i="8"/>
  <c r="C8454" i="8"/>
  <c r="C8453" i="8"/>
  <c r="C8452" i="8"/>
  <c r="C8451" i="8"/>
  <c r="C8450" i="8"/>
  <c r="C8449" i="8"/>
  <c r="C8448" i="8"/>
  <c r="C8447" i="8"/>
  <c r="C8446" i="8"/>
  <c r="C8445" i="8"/>
  <c r="C8444" i="8"/>
  <c r="C8443" i="8"/>
  <c r="C8442" i="8"/>
  <c r="C8441" i="8"/>
  <c r="C8440" i="8"/>
  <c r="C8439" i="8"/>
  <c r="C8438" i="8"/>
  <c r="C8437" i="8"/>
  <c r="C8436" i="8"/>
  <c r="C8435" i="8"/>
  <c r="C8434" i="8"/>
  <c r="C8433" i="8"/>
  <c r="C8432" i="8"/>
  <c r="C8431" i="8"/>
  <c r="C8430" i="8"/>
  <c r="C8429" i="8"/>
  <c r="C8428" i="8"/>
  <c r="C8427" i="8"/>
  <c r="C8426" i="8"/>
  <c r="C8425" i="8"/>
  <c r="C8424" i="8"/>
  <c r="C8423" i="8"/>
  <c r="C8422" i="8"/>
  <c r="C8421" i="8"/>
  <c r="C8420" i="8"/>
  <c r="C8419" i="8"/>
  <c r="C8418" i="8"/>
  <c r="C8417" i="8"/>
  <c r="C8416" i="8"/>
  <c r="C8415" i="8"/>
  <c r="C8414" i="8"/>
  <c r="C8413" i="8"/>
  <c r="C8412" i="8"/>
  <c r="C8411" i="8"/>
  <c r="C8410" i="8"/>
  <c r="C8409" i="8"/>
  <c r="C8408" i="8"/>
  <c r="C8407" i="8"/>
  <c r="C8406" i="8"/>
  <c r="C8405" i="8"/>
  <c r="C8404" i="8"/>
  <c r="C8403" i="8"/>
  <c r="C8402" i="8"/>
  <c r="C8401" i="8"/>
  <c r="C8400" i="8"/>
  <c r="C8399" i="8"/>
  <c r="C8398" i="8"/>
  <c r="C8397" i="8"/>
  <c r="C8396" i="8"/>
  <c r="C8395" i="8"/>
  <c r="C8394" i="8"/>
  <c r="C8393" i="8"/>
  <c r="C8392" i="8"/>
  <c r="C8391" i="8"/>
  <c r="C8390" i="8"/>
  <c r="C8389" i="8"/>
  <c r="C8388" i="8"/>
  <c r="C8387" i="8"/>
  <c r="C8386" i="8"/>
  <c r="C8385" i="8"/>
  <c r="C8384" i="8"/>
  <c r="C8383" i="8"/>
  <c r="C8382" i="8"/>
  <c r="C8381" i="8"/>
  <c r="C8380" i="8"/>
  <c r="C8379" i="8"/>
  <c r="C8378" i="8"/>
  <c r="C8377" i="8"/>
  <c r="C8376" i="8"/>
  <c r="C8375" i="8"/>
  <c r="C8374" i="8"/>
  <c r="C8373" i="8"/>
  <c r="C8372" i="8"/>
  <c r="C8371" i="8"/>
  <c r="C8370" i="8"/>
  <c r="C8369" i="8"/>
  <c r="C8368" i="8"/>
  <c r="C8367" i="8"/>
  <c r="C8366" i="8"/>
  <c r="C8365" i="8"/>
  <c r="C8364" i="8"/>
  <c r="C8363" i="8"/>
  <c r="C8362" i="8"/>
  <c r="C8361" i="8"/>
  <c r="C8360" i="8"/>
  <c r="C8359" i="8"/>
  <c r="C8358" i="8"/>
  <c r="C8357" i="8"/>
  <c r="C8356" i="8"/>
  <c r="C8355" i="8"/>
  <c r="C8354" i="8"/>
  <c r="C8353" i="8"/>
  <c r="C8352" i="8"/>
  <c r="C8351" i="8"/>
  <c r="C8350" i="8"/>
  <c r="C8349" i="8"/>
  <c r="C8348" i="8"/>
  <c r="C8347" i="8"/>
  <c r="C8346" i="8"/>
  <c r="C8345" i="8"/>
  <c r="C8344" i="8"/>
  <c r="C8343" i="8"/>
  <c r="C8342" i="8"/>
  <c r="C8341" i="8"/>
  <c r="C8340" i="8"/>
  <c r="C8339" i="8"/>
  <c r="C8338" i="8"/>
  <c r="C8337" i="8"/>
  <c r="C8336" i="8"/>
  <c r="C8335" i="8"/>
  <c r="C8334" i="8"/>
  <c r="C8333" i="8"/>
  <c r="C8332" i="8"/>
  <c r="C8331" i="8"/>
  <c r="C8330" i="8"/>
  <c r="C8329" i="8"/>
  <c r="C8328" i="8"/>
  <c r="C8327" i="8"/>
  <c r="C8326" i="8"/>
  <c r="C8325" i="8"/>
  <c r="C8324" i="8"/>
  <c r="C8323" i="8"/>
  <c r="C8322" i="8"/>
  <c r="C8321" i="8"/>
  <c r="C8320" i="8"/>
  <c r="C8319" i="8"/>
  <c r="C8318" i="8"/>
  <c r="C8317" i="8"/>
  <c r="C8316" i="8"/>
  <c r="C8315" i="8"/>
  <c r="C8314" i="8"/>
  <c r="C8313" i="8"/>
  <c r="C8312" i="8"/>
  <c r="C8311" i="8"/>
  <c r="C8310" i="8"/>
  <c r="C8309" i="8"/>
  <c r="C8308" i="8"/>
  <c r="C8307" i="8"/>
  <c r="C8306" i="8"/>
  <c r="C8305" i="8"/>
  <c r="C8304" i="8"/>
  <c r="C8303" i="8"/>
  <c r="C8302" i="8"/>
  <c r="C8301" i="8"/>
  <c r="C8300" i="8"/>
  <c r="C8299" i="8"/>
  <c r="C8298" i="8"/>
  <c r="C8297" i="8"/>
  <c r="C8296" i="8"/>
  <c r="C8295" i="8"/>
  <c r="C8294" i="8"/>
  <c r="C8293" i="8"/>
  <c r="C8292" i="8"/>
  <c r="C8291" i="8"/>
  <c r="C8290" i="8"/>
  <c r="C8289" i="8"/>
  <c r="C8288" i="8"/>
  <c r="C8287" i="8"/>
  <c r="C8286" i="8"/>
  <c r="C8285" i="8"/>
  <c r="C8284" i="8"/>
  <c r="C8283" i="8"/>
  <c r="C8282" i="8"/>
  <c r="C8281" i="8"/>
  <c r="C8280" i="8"/>
  <c r="C8279" i="8"/>
  <c r="C8278" i="8"/>
  <c r="C8277" i="8"/>
  <c r="C8276" i="8"/>
  <c r="C8275" i="8"/>
  <c r="C8274" i="8"/>
  <c r="C8273" i="8"/>
  <c r="C8272" i="8"/>
  <c r="C8271" i="8"/>
  <c r="C8270" i="8"/>
  <c r="C8269" i="8"/>
  <c r="C8268" i="8"/>
  <c r="C8267" i="8"/>
  <c r="C8266" i="8"/>
  <c r="C8265" i="8"/>
  <c r="C8264" i="8"/>
  <c r="C8263" i="8"/>
  <c r="C8262" i="8"/>
  <c r="C8261" i="8"/>
  <c r="C8260" i="8"/>
  <c r="C8259" i="8"/>
  <c r="C8258" i="8"/>
  <c r="C8257" i="8"/>
  <c r="C8256" i="8"/>
  <c r="C8255" i="8"/>
  <c r="C8254" i="8"/>
  <c r="C8253" i="8"/>
  <c r="C8252" i="8"/>
  <c r="C8251" i="8"/>
  <c r="C8250" i="8"/>
  <c r="C8249" i="8"/>
  <c r="C8248" i="8"/>
  <c r="C8247" i="8"/>
  <c r="C8246" i="8"/>
  <c r="C8245" i="8"/>
  <c r="C8244" i="8"/>
  <c r="C8243" i="8"/>
  <c r="C8242" i="8"/>
  <c r="C8241" i="8"/>
  <c r="C8240" i="8"/>
  <c r="C8239" i="8"/>
  <c r="C8238" i="8"/>
  <c r="C8237" i="8"/>
  <c r="C8236" i="8"/>
  <c r="C8235" i="8"/>
  <c r="C8234" i="8"/>
  <c r="C8233" i="8"/>
  <c r="C8232" i="8"/>
  <c r="C8231" i="8"/>
  <c r="C8230" i="8"/>
  <c r="C8229" i="8"/>
  <c r="C8228" i="8"/>
  <c r="C8227" i="8"/>
  <c r="C8226" i="8"/>
  <c r="C8225" i="8"/>
  <c r="C8224" i="8"/>
  <c r="C8223" i="8"/>
  <c r="C8222" i="8"/>
  <c r="C8221" i="8"/>
  <c r="C8220" i="8"/>
  <c r="C8219" i="8"/>
  <c r="C8218" i="8"/>
  <c r="C8217" i="8"/>
  <c r="C8216" i="8"/>
  <c r="C8215" i="8"/>
  <c r="C8214" i="8"/>
  <c r="C8213" i="8"/>
  <c r="C8212" i="8"/>
  <c r="C8211" i="8"/>
  <c r="C8210" i="8"/>
  <c r="C8209" i="8"/>
  <c r="C8208" i="8"/>
  <c r="C8207" i="8"/>
  <c r="C8206" i="8"/>
  <c r="C8205" i="8"/>
  <c r="C8204" i="8"/>
  <c r="C8203" i="8"/>
  <c r="C8202" i="8"/>
  <c r="C8201" i="8"/>
  <c r="C8200" i="8"/>
  <c r="C8199" i="8"/>
  <c r="C8198" i="8"/>
  <c r="C8197" i="8"/>
  <c r="C8196" i="8"/>
  <c r="C8195" i="8"/>
  <c r="C8194" i="8"/>
  <c r="C8193" i="8"/>
  <c r="C8192" i="8"/>
  <c r="C8191" i="8"/>
  <c r="C8190" i="8"/>
  <c r="C8189" i="8"/>
  <c r="C8188" i="8"/>
  <c r="C8187" i="8"/>
  <c r="C8186" i="8"/>
  <c r="C8185" i="8"/>
  <c r="C8184" i="8"/>
  <c r="C8183" i="8"/>
  <c r="C8182" i="8"/>
  <c r="C8181" i="8"/>
  <c r="C8180" i="8"/>
  <c r="C8179" i="8"/>
  <c r="C8178" i="8"/>
  <c r="C8177" i="8"/>
  <c r="C8176" i="8"/>
  <c r="C8175" i="8"/>
  <c r="C8174" i="8"/>
  <c r="C8173" i="8"/>
  <c r="C8172" i="8"/>
  <c r="C8171" i="8"/>
  <c r="C8170" i="8"/>
  <c r="C8169" i="8"/>
  <c r="C8168" i="8"/>
  <c r="C8167" i="8"/>
  <c r="C8166" i="8"/>
  <c r="C8165" i="8"/>
  <c r="C8164" i="8"/>
  <c r="C8163" i="8"/>
  <c r="C8162" i="8"/>
  <c r="C8161" i="8"/>
  <c r="C8160" i="8"/>
  <c r="C8159" i="8"/>
  <c r="C8158" i="8"/>
  <c r="C8157" i="8"/>
  <c r="C8156" i="8"/>
  <c r="C8155" i="8"/>
  <c r="C8154" i="8"/>
  <c r="C8153" i="8"/>
  <c r="C8152" i="8"/>
  <c r="C8151" i="8"/>
  <c r="C8150" i="8"/>
  <c r="C8149" i="8"/>
  <c r="C8148" i="8"/>
  <c r="C8147" i="8"/>
  <c r="C8146" i="8"/>
  <c r="C8145" i="8"/>
  <c r="C8144" i="8"/>
  <c r="C8143" i="8"/>
  <c r="C8142" i="8"/>
  <c r="C8141" i="8"/>
  <c r="C8140" i="8"/>
  <c r="C8139" i="8"/>
  <c r="C8138" i="8"/>
  <c r="C8137" i="8"/>
  <c r="C8136" i="8"/>
  <c r="C8135" i="8"/>
  <c r="C8134" i="8"/>
  <c r="C8133" i="8"/>
  <c r="C8132" i="8"/>
  <c r="C8131" i="8"/>
  <c r="C8130" i="8"/>
  <c r="C8129" i="8"/>
  <c r="C8128" i="8"/>
  <c r="C8127" i="8"/>
  <c r="C8126" i="8"/>
  <c r="C8125" i="8"/>
  <c r="C8124" i="8"/>
  <c r="C8123" i="8"/>
  <c r="C8122" i="8"/>
  <c r="C8121" i="8"/>
  <c r="C8120" i="8"/>
  <c r="C8119" i="8"/>
  <c r="C8118" i="8"/>
  <c r="C8117" i="8"/>
  <c r="C8116" i="8"/>
  <c r="C8115" i="8"/>
  <c r="C8114" i="8"/>
  <c r="C8113" i="8"/>
  <c r="C8112" i="8"/>
  <c r="C8111" i="8"/>
  <c r="C8110" i="8"/>
  <c r="C8109" i="8"/>
  <c r="C8108" i="8"/>
  <c r="C8107" i="8"/>
  <c r="C8106" i="8"/>
  <c r="C8105" i="8"/>
  <c r="C8104" i="8"/>
  <c r="C8103" i="8"/>
  <c r="C8102" i="8"/>
  <c r="C8101" i="8"/>
  <c r="C8100" i="8"/>
  <c r="C8099" i="8"/>
  <c r="C8098" i="8"/>
  <c r="C8097" i="8"/>
  <c r="C8096" i="8"/>
  <c r="C8095" i="8"/>
  <c r="C8094" i="8"/>
  <c r="C8093" i="8"/>
  <c r="C8092" i="8"/>
  <c r="C8091" i="8"/>
  <c r="C8090" i="8"/>
  <c r="C8089" i="8"/>
  <c r="C8088" i="8"/>
  <c r="C8087" i="8"/>
  <c r="C8086" i="8"/>
  <c r="C8085" i="8"/>
  <c r="C8084" i="8"/>
  <c r="C8083" i="8"/>
  <c r="C8082" i="8"/>
  <c r="C8081" i="8"/>
  <c r="C8080" i="8"/>
  <c r="C8079" i="8"/>
  <c r="C8078" i="8"/>
  <c r="C8077" i="8"/>
  <c r="C8076" i="8"/>
  <c r="C8075" i="8"/>
  <c r="C8074" i="8"/>
  <c r="C8073" i="8"/>
  <c r="C8072" i="8"/>
  <c r="C8071" i="8"/>
  <c r="C8070" i="8"/>
  <c r="C8069" i="8"/>
  <c r="C8068" i="8"/>
  <c r="C8067" i="8"/>
  <c r="C8066" i="8"/>
  <c r="C8065" i="8"/>
  <c r="C8064" i="8"/>
  <c r="C8063" i="8"/>
  <c r="C8062" i="8"/>
  <c r="C8061" i="8"/>
  <c r="C8060" i="8"/>
  <c r="C8059" i="8"/>
  <c r="C8058" i="8"/>
  <c r="C8057" i="8"/>
  <c r="C8056" i="8"/>
  <c r="C8055" i="8"/>
  <c r="C8054" i="8"/>
  <c r="C8053" i="8"/>
  <c r="C8052" i="8"/>
  <c r="C8051" i="8"/>
  <c r="C8050" i="8"/>
  <c r="C8049" i="8"/>
  <c r="C8048" i="8"/>
  <c r="C8047" i="8"/>
  <c r="C8046" i="8"/>
  <c r="C8045" i="8"/>
  <c r="C8044" i="8"/>
  <c r="C8043" i="8"/>
  <c r="C8042" i="8"/>
  <c r="C8041" i="8"/>
  <c r="C8040" i="8"/>
  <c r="C8039" i="8"/>
  <c r="C8038" i="8"/>
  <c r="C8037" i="8"/>
  <c r="C8036" i="8"/>
  <c r="C8035" i="8"/>
  <c r="C8034" i="8"/>
  <c r="C8033" i="8"/>
  <c r="C8032" i="8"/>
  <c r="C8031" i="8"/>
  <c r="C8030" i="8"/>
  <c r="C8029" i="8"/>
  <c r="C8028" i="8"/>
  <c r="C8027" i="8"/>
  <c r="C8026" i="8"/>
  <c r="C8025" i="8"/>
  <c r="C8024" i="8"/>
  <c r="C8023" i="8"/>
  <c r="C8022" i="8"/>
  <c r="C8021" i="8"/>
  <c r="C8020" i="8"/>
  <c r="C8019" i="8"/>
  <c r="C8018" i="8"/>
  <c r="C8017" i="8"/>
  <c r="C8016" i="8"/>
  <c r="C8015" i="8"/>
  <c r="C8014" i="8"/>
  <c r="C8013" i="8"/>
  <c r="C8012" i="8"/>
  <c r="C8011" i="8"/>
  <c r="C8010" i="8"/>
  <c r="C8009" i="8"/>
  <c r="C8008" i="8"/>
  <c r="C8007" i="8"/>
  <c r="C8006" i="8"/>
  <c r="C8005" i="8"/>
  <c r="C8004" i="8"/>
  <c r="C8003" i="8"/>
  <c r="C8002" i="8"/>
  <c r="C8001" i="8"/>
  <c r="C8000" i="8"/>
  <c r="C7999" i="8"/>
  <c r="C7998" i="8"/>
  <c r="C7997" i="8"/>
  <c r="C7996" i="8"/>
  <c r="C7995" i="8"/>
  <c r="C7994" i="8"/>
  <c r="C7993" i="8"/>
  <c r="C7992" i="8"/>
  <c r="C7991" i="8"/>
  <c r="C7990" i="8"/>
  <c r="C7989" i="8"/>
  <c r="C7988" i="8"/>
  <c r="C7987" i="8"/>
  <c r="C7986" i="8"/>
  <c r="C7985" i="8"/>
  <c r="C7984" i="8"/>
  <c r="C7983" i="8"/>
  <c r="C7982" i="8"/>
  <c r="C7981" i="8"/>
  <c r="C7980" i="8"/>
  <c r="C7979" i="8"/>
  <c r="C7978" i="8"/>
  <c r="C7977" i="8"/>
  <c r="C7976" i="8"/>
  <c r="C7975" i="8"/>
  <c r="C7974" i="8"/>
  <c r="C7973" i="8"/>
  <c r="C7972" i="8"/>
  <c r="C7971" i="8"/>
  <c r="C7970" i="8"/>
  <c r="C7969" i="8"/>
  <c r="C7968" i="8"/>
  <c r="C7967" i="8"/>
  <c r="C7966" i="8"/>
  <c r="C7965" i="8"/>
  <c r="C7964" i="8"/>
  <c r="C7963" i="8"/>
  <c r="C7962" i="8"/>
  <c r="C7961" i="8"/>
  <c r="C7960" i="8"/>
  <c r="C7959" i="8"/>
  <c r="C7958" i="8"/>
  <c r="C7957" i="8"/>
  <c r="C7956" i="8"/>
  <c r="C7955" i="8"/>
  <c r="C7954" i="8"/>
  <c r="C7953" i="8"/>
  <c r="C7952" i="8"/>
  <c r="C7951" i="8"/>
  <c r="C7950" i="8"/>
  <c r="C7949" i="8"/>
  <c r="C7948" i="8"/>
  <c r="C7947" i="8"/>
  <c r="C7946" i="8"/>
  <c r="C7945" i="8"/>
  <c r="C7944" i="8"/>
  <c r="C7943" i="8"/>
  <c r="C7942" i="8"/>
  <c r="C7941" i="8"/>
  <c r="C7940" i="8"/>
  <c r="C7939" i="8"/>
  <c r="C7938" i="8"/>
  <c r="C7937" i="8"/>
  <c r="C7936" i="8"/>
  <c r="C7935" i="8"/>
  <c r="C7934" i="8"/>
  <c r="C7933" i="8"/>
  <c r="C7932" i="8"/>
  <c r="C7931" i="8"/>
  <c r="C7930" i="8"/>
  <c r="C7929" i="8"/>
  <c r="C7928" i="8"/>
  <c r="C7927" i="8"/>
  <c r="C7926" i="8"/>
  <c r="C7925" i="8"/>
  <c r="C7924" i="8"/>
  <c r="C7923" i="8"/>
  <c r="C7922" i="8"/>
  <c r="C7921" i="8"/>
  <c r="C7920" i="8"/>
  <c r="C7919" i="8"/>
  <c r="C7918" i="8"/>
  <c r="C7917" i="8"/>
  <c r="C7916" i="8"/>
  <c r="C7915" i="8"/>
  <c r="C7914" i="8"/>
  <c r="C7913" i="8"/>
  <c r="C7912" i="8"/>
  <c r="C7911" i="8"/>
  <c r="C7910" i="8"/>
  <c r="C7909" i="8"/>
  <c r="C7908" i="8"/>
  <c r="C7907" i="8"/>
  <c r="C7906" i="8"/>
  <c r="C7905" i="8"/>
  <c r="C7904" i="8"/>
  <c r="C7903" i="8"/>
  <c r="C7902" i="8"/>
  <c r="C7901" i="8"/>
  <c r="C7900" i="8"/>
  <c r="C7899" i="8"/>
  <c r="C7898" i="8"/>
  <c r="C7897" i="8"/>
  <c r="C7896" i="8"/>
  <c r="C7895" i="8"/>
  <c r="C7894" i="8"/>
  <c r="C7893" i="8"/>
  <c r="C7892" i="8"/>
  <c r="C7891" i="8"/>
  <c r="C7890" i="8"/>
  <c r="C7889" i="8"/>
  <c r="C7888" i="8"/>
  <c r="C7887" i="8"/>
  <c r="C7886" i="8"/>
  <c r="C7885" i="8"/>
  <c r="C7884" i="8"/>
  <c r="C7883" i="8"/>
  <c r="C7882" i="8"/>
  <c r="C7881" i="8"/>
  <c r="C7880" i="8"/>
  <c r="C7879" i="8"/>
  <c r="C7878" i="8"/>
  <c r="C7877" i="8"/>
  <c r="C7876" i="8"/>
  <c r="C7875" i="8"/>
  <c r="C7874" i="8"/>
  <c r="C7873" i="8"/>
  <c r="C7872" i="8"/>
  <c r="C7871" i="8"/>
  <c r="C7870" i="8"/>
  <c r="C7869" i="8"/>
  <c r="C7868" i="8"/>
  <c r="C7867" i="8"/>
  <c r="C7866" i="8"/>
  <c r="C7865" i="8"/>
  <c r="C7864" i="8"/>
  <c r="C7863" i="8"/>
  <c r="C7862" i="8"/>
  <c r="C7861" i="8"/>
  <c r="C7860" i="8"/>
  <c r="C7859" i="8"/>
  <c r="C7858" i="8"/>
  <c r="C7857" i="8"/>
  <c r="C7856" i="8"/>
  <c r="C7855" i="8"/>
  <c r="C7854" i="8"/>
  <c r="C7853" i="8"/>
  <c r="C7852" i="8"/>
  <c r="C7851" i="8"/>
  <c r="C7850" i="8"/>
  <c r="C7849" i="8"/>
  <c r="C7848" i="8"/>
  <c r="C7847" i="8"/>
  <c r="C7846" i="8"/>
  <c r="C7845" i="8"/>
  <c r="C7844" i="8"/>
  <c r="C7843" i="8"/>
  <c r="C7842" i="8"/>
  <c r="C7841" i="8"/>
  <c r="C7840" i="8"/>
  <c r="C7839" i="8"/>
  <c r="C7838" i="8"/>
  <c r="C7837" i="8"/>
  <c r="C7836" i="8"/>
  <c r="C7835" i="8"/>
  <c r="C7834" i="8"/>
  <c r="C7833" i="8"/>
  <c r="C7832" i="8"/>
  <c r="C7831" i="8"/>
  <c r="C7830" i="8"/>
  <c r="C7829" i="8"/>
  <c r="C7828" i="8"/>
  <c r="C7827" i="8"/>
  <c r="C7826" i="8"/>
  <c r="C7825" i="8"/>
  <c r="C7824" i="8"/>
  <c r="C7823" i="8"/>
  <c r="C7822" i="8"/>
  <c r="C7821" i="8"/>
  <c r="C7820" i="8"/>
  <c r="C7819" i="8"/>
  <c r="C7818" i="8"/>
  <c r="C7817" i="8"/>
  <c r="C7816" i="8"/>
  <c r="C7815" i="8"/>
  <c r="C7814" i="8"/>
  <c r="C7813" i="8"/>
  <c r="C7812" i="8"/>
  <c r="C7811" i="8"/>
  <c r="C7810" i="8"/>
  <c r="C7809" i="8"/>
  <c r="C7808" i="8"/>
  <c r="C7807" i="8"/>
  <c r="C7806" i="8"/>
  <c r="C7805" i="8"/>
  <c r="C7804" i="8"/>
  <c r="C7803" i="8"/>
  <c r="C7802" i="8"/>
  <c r="C7801" i="8"/>
  <c r="C7800" i="8"/>
  <c r="C7799" i="8"/>
  <c r="C7798" i="8"/>
  <c r="C7797" i="8"/>
  <c r="C7796" i="8"/>
  <c r="C7795" i="8"/>
  <c r="C7794" i="8"/>
  <c r="C7793" i="8"/>
  <c r="C7792" i="8"/>
  <c r="C7791" i="8"/>
  <c r="C7790" i="8"/>
  <c r="C7789" i="8"/>
  <c r="C7788" i="8"/>
  <c r="C7787" i="8"/>
  <c r="C7786" i="8"/>
  <c r="C7785" i="8"/>
  <c r="C7784" i="8"/>
  <c r="C7783" i="8"/>
  <c r="C7782" i="8"/>
  <c r="C7781" i="8"/>
  <c r="C7780" i="8"/>
  <c r="C7779" i="8"/>
  <c r="C7778" i="8"/>
  <c r="C7777" i="8"/>
  <c r="C7776" i="8"/>
  <c r="C7775" i="8"/>
  <c r="C7774" i="8"/>
  <c r="C7773" i="8"/>
  <c r="C7772" i="8"/>
  <c r="C7771" i="8"/>
  <c r="C7770" i="8"/>
  <c r="C7769" i="8"/>
  <c r="C7768" i="8"/>
  <c r="C7767" i="8"/>
  <c r="C7766" i="8"/>
  <c r="C7765" i="8"/>
  <c r="C7764" i="8"/>
  <c r="C7763" i="8"/>
  <c r="C7762" i="8"/>
  <c r="C7761" i="8"/>
  <c r="C7760" i="8"/>
  <c r="C7759" i="8"/>
  <c r="C7758" i="8"/>
  <c r="C7757" i="8"/>
  <c r="C7756" i="8"/>
  <c r="C7755" i="8"/>
  <c r="C7754" i="8"/>
  <c r="C7753" i="8"/>
  <c r="C7752" i="8"/>
  <c r="C7751" i="8"/>
  <c r="C7750" i="8"/>
  <c r="C7749" i="8"/>
  <c r="C7748" i="8"/>
  <c r="C7747" i="8"/>
  <c r="C7746" i="8"/>
  <c r="C7745" i="8"/>
  <c r="C7744" i="8"/>
  <c r="C7743" i="8"/>
  <c r="C7742" i="8"/>
  <c r="C7741" i="8"/>
  <c r="C7740" i="8"/>
  <c r="C7739" i="8"/>
  <c r="C7738" i="8"/>
  <c r="C7737" i="8"/>
  <c r="C7736" i="8"/>
  <c r="C7735" i="8"/>
  <c r="C7734" i="8"/>
  <c r="C7733" i="8"/>
  <c r="C7732" i="8"/>
  <c r="C7731" i="8"/>
  <c r="C7730" i="8"/>
  <c r="C7729" i="8"/>
  <c r="C7728" i="8"/>
  <c r="C7727" i="8"/>
  <c r="C7726" i="8"/>
  <c r="C7725" i="8"/>
  <c r="C7724" i="8"/>
  <c r="C7723" i="8"/>
  <c r="C7722" i="8"/>
  <c r="C7721" i="8"/>
  <c r="C7720" i="8"/>
  <c r="C7719" i="8"/>
  <c r="C7718" i="8"/>
  <c r="C7717" i="8"/>
  <c r="C7716" i="8"/>
  <c r="C7715" i="8"/>
  <c r="C7714" i="8"/>
  <c r="C7713" i="8"/>
  <c r="C7712" i="8"/>
  <c r="C7711" i="8"/>
  <c r="C7710" i="8"/>
  <c r="C7709" i="8"/>
  <c r="C7708" i="8"/>
  <c r="C7707" i="8"/>
  <c r="C7706" i="8"/>
  <c r="C7705" i="8"/>
  <c r="C7704" i="8"/>
  <c r="C7703" i="8"/>
  <c r="C7702" i="8"/>
  <c r="C7701" i="8"/>
  <c r="C7700" i="8"/>
  <c r="C7699" i="8"/>
  <c r="C7698" i="8"/>
  <c r="C7697" i="8"/>
  <c r="C7696" i="8"/>
  <c r="C7695" i="8"/>
  <c r="C7694" i="8"/>
  <c r="C7693" i="8"/>
  <c r="C7692" i="8"/>
  <c r="C7691" i="8"/>
  <c r="C7690" i="8"/>
  <c r="C7689" i="8"/>
  <c r="C7688" i="8"/>
  <c r="C7687" i="8"/>
  <c r="C7686" i="8"/>
  <c r="C7685" i="8"/>
  <c r="C7684" i="8"/>
  <c r="C7683" i="8"/>
  <c r="C7682" i="8"/>
  <c r="C7681" i="8"/>
  <c r="C7680" i="8"/>
  <c r="C7679" i="8"/>
  <c r="C7678" i="8"/>
  <c r="C7677" i="8"/>
  <c r="C7676" i="8"/>
  <c r="C7675" i="8"/>
  <c r="C7674" i="8"/>
  <c r="C7673" i="8"/>
  <c r="C7672" i="8"/>
  <c r="C7671" i="8"/>
  <c r="C7670" i="8"/>
  <c r="C7669" i="8"/>
  <c r="C7668" i="8"/>
  <c r="C7667" i="8"/>
  <c r="C7666" i="8"/>
  <c r="C7665" i="8"/>
  <c r="C7664" i="8"/>
  <c r="C7663" i="8"/>
  <c r="C7662" i="8"/>
  <c r="C7661" i="8"/>
  <c r="C7660" i="8"/>
  <c r="C7659" i="8"/>
  <c r="C7658" i="8"/>
  <c r="C7657" i="8"/>
  <c r="C7656" i="8"/>
  <c r="C7655" i="8"/>
  <c r="C7654" i="8"/>
  <c r="C7653" i="8"/>
  <c r="C7652" i="8"/>
  <c r="C7651" i="8"/>
  <c r="C7650" i="8"/>
  <c r="C7649" i="8"/>
  <c r="C7648" i="8"/>
  <c r="C7647" i="8"/>
  <c r="C7646" i="8"/>
  <c r="C7645" i="8"/>
  <c r="C7644" i="8"/>
  <c r="C7643" i="8"/>
  <c r="C7642" i="8"/>
  <c r="C7641" i="8"/>
  <c r="C7640" i="8"/>
  <c r="C7639" i="8"/>
  <c r="C7638" i="8"/>
  <c r="C7637" i="8"/>
  <c r="C7636" i="8"/>
  <c r="C7635" i="8"/>
  <c r="C7634" i="8"/>
  <c r="C7633" i="8"/>
  <c r="C7632" i="8"/>
  <c r="C7631" i="8"/>
  <c r="C7630" i="8"/>
  <c r="C7629" i="8"/>
  <c r="C7628" i="8"/>
  <c r="C7627" i="8"/>
  <c r="C7626" i="8"/>
  <c r="C7625" i="8"/>
  <c r="C7624" i="8"/>
  <c r="C7623" i="8"/>
  <c r="C7622" i="8"/>
  <c r="C7621" i="8"/>
  <c r="C7620" i="8"/>
  <c r="C7619" i="8"/>
  <c r="C7618" i="8"/>
  <c r="C7617" i="8"/>
  <c r="C7616" i="8"/>
  <c r="C7615" i="8"/>
  <c r="C7614" i="8"/>
  <c r="C7613" i="8"/>
  <c r="C7612" i="8"/>
  <c r="C7611" i="8"/>
  <c r="C7610" i="8"/>
  <c r="C7609" i="8"/>
  <c r="C7608" i="8"/>
  <c r="C7607" i="8"/>
  <c r="C7606" i="8"/>
  <c r="C7605" i="8"/>
  <c r="C7604" i="8"/>
  <c r="C7603" i="8"/>
  <c r="C7602" i="8"/>
  <c r="C7601" i="8"/>
  <c r="C7600" i="8"/>
  <c r="C7599" i="8"/>
  <c r="C7598" i="8"/>
  <c r="C7597" i="8"/>
  <c r="C7596" i="8"/>
  <c r="C7595" i="8"/>
  <c r="C7594" i="8"/>
  <c r="C7593" i="8"/>
  <c r="C7592" i="8"/>
  <c r="C7591" i="8"/>
  <c r="C7590" i="8"/>
  <c r="C7589" i="8"/>
  <c r="C7588" i="8"/>
  <c r="C7587" i="8"/>
  <c r="C7586" i="8"/>
  <c r="C7585" i="8"/>
  <c r="C7584" i="8"/>
  <c r="C7583" i="8"/>
  <c r="C7582" i="8"/>
  <c r="C7581" i="8"/>
  <c r="C7580" i="8"/>
  <c r="C7579" i="8"/>
  <c r="C7578" i="8"/>
  <c r="C7577" i="8"/>
  <c r="C7576" i="8"/>
  <c r="C7575" i="8"/>
  <c r="C7574" i="8"/>
  <c r="C7573" i="8"/>
  <c r="C7572" i="8"/>
  <c r="C7571" i="8"/>
  <c r="C7570" i="8"/>
  <c r="C7569" i="8"/>
  <c r="C7568" i="8"/>
  <c r="C7567" i="8"/>
  <c r="C7566" i="8"/>
  <c r="C7565" i="8"/>
  <c r="C7564" i="8"/>
  <c r="C7563" i="8"/>
  <c r="C7562" i="8"/>
  <c r="C7561" i="8"/>
  <c r="C7560" i="8"/>
  <c r="C7559" i="8"/>
  <c r="C7558" i="8"/>
  <c r="C7557" i="8"/>
  <c r="C7556" i="8"/>
  <c r="C7555" i="8"/>
  <c r="C7554" i="8"/>
  <c r="C7553" i="8"/>
  <c r="C7552" i="8"/>
  <c r="C7551" i="8"/>
  <c r="C7550" i="8"/>
  <c r="C7549" i="8"/>
  <c r="C7548" i="8"/>
  <c r="C7547" i="8"/>
  <c r="C7546" i="8"/>
  <c r="C7545" i="8"/>
  <c r="C7544" i="8"/>
  <c r="C7543" i="8"/>
  <c r="C7542" i="8"/>
  <c r="C7541" i="8"/>
  <c r="C7540" i="8"/>
  <c r="C7539" i="8"/>
  <c r="C7538" i="8"/>
  <c r="C7537" i="8"/>
  <c r="C7536" i="8"/>
  <c r="C7535" i="8"/>
  <c r="C7534" i="8"/>
  <c r="C7533" i="8"/>
  <c r="C7532" i="8"/>
  <c r="C7531" i="8"/>
  <c r="C7530" i="8"/>
  <c r="C7529" i="8"/>
  <c r="C7528" i="8"/>
  <c r="C7527" i="8"/>
  <c r="C7526" i="8"/>
  <c r="C7525" i="8"/>
  <c r="C7524" i="8"/>
  <c r="C7523" i="8"/>
  <c r="C7522" i="8"/>
  <c r="C7521" i="8"/>
  <c r="C7520" i="8"/>
  <c r="C7519" i="8"/>
  <c r="C7518" i="8"/>
  <c r="C7517" i="8"/>
  <c r="C7516" i="8"/>
  <c r="C7515" i="8"/>
  <c r="C7514" i="8"/>
  <c r="C7513" i="8"/>
  <c r="C7512" i="8"/>
  <c r="C7511" i="8"/>
  <c r="C7510" i="8"/>
  <c r="C7509" i="8"/>
  <c r="C7508" i="8"/>
  <c r="C7507" i="8"/>
  <c r="C7506" i="8"/>
  <c r="C7505" i="8"/>
  <c r="C7504" i="8"/>
  <c r="C7503" i="8"/>
  <c r="C7502" i="8"/>
  <c r="C7501" i="8"/>
  <c r="C7500" i="8"/>
  <c r="C7499" i="8"/>
  <c r="C7498" i="8"/>
  <c r="C7497" i="8"/>
  <c r="C7496" i="8"/>
  <c r="C7495" i="8"/>
  <c r="C7494" i="8"/>
  <c r="C7493" i="8"/>
  <c r="C7492" i="8"/>
  <c r="C7491" i="8"/>
  <c r="C7490" i="8"/>
  <c r="C7489" i="8"/>
  <c r="C7488" i="8"/>
  <c r="C7487" i="8"/>
  <c r="C7486" i="8"/>
  <c r="C7485" i="8"/>
  <c r="C7484" i="8"/>
  <c r="C7483" i="8"/>
  <c r="C7482" i="8"/>
  <c r="C7481" i="8"/>
  <c r="C7480" i="8"/>
  <c r="C7479" i="8"/>
  <c r="C7478" i="8"/>
  <c r="C7477" i="8"/>
  <c r="C7476" i="8"/>
  <c r="C7475" i="8"/>
  <c r="C7474" i="8"/>
  <c r="C7473" i="8"/>
  <c r="C7472" i="8"/>
  <c r="C7471" i="8"/>
  <c r="C7470" i="8"/>
  <c r="C7469" i="8"/>
  <c r="C7468" i="8"/>
  <c r="C7467" i="8"/>
  <c r="C7466" i="8"/>
  <c r="C7465" i="8"/>
  <c r="C7464" i="8"/>
  <c r="C7463" i="8"/>
  <c r="C7462" i="8"/>
  <c r="C7461" i="8"/>
  <c r="C7460" i="8"/>
  <c r="C7459" i="8"/>
  <c r="C7458" i="8"/>
  <c r="C7457" i="8"/>
  <c r="C7456" i="8"/>
  <c r="C7455" i="8"/>
  <c r="C7454" i="8"/>
  <c r="C7453" i="8"/>
  <c r="C7452" i="8"/>
  <c r="C7451" i="8"/>
  <c r="C7450" i="8"/>
  <c r="C7449" i="8"/>
  <c r="C7448" i="8"/>
  <c r="C7447" i="8"/>
  <c r="C7446" i="8"/>
  <c r="C7445" i="8"/>
  <c r="C7444" i="8"/>
  <c r="C7443" i="8"/>
  <c r="C7442" i="8"/>
  <c r="C7441" i="8"/>
  <c r="C7440" i="8"/>
  <c r="C7439" i="8"/>
  <c r="C7438" i="8"/>
  <c r="C7437" i="8"/>
  <c r="C7436" i="8"/>
  <c r="C7435" i="8"/>
  <c r="C7434" i="8"/>
  <c r="C7433" i="8"/>
  <c r="C7432" i="8"/>
  <c r="C7431" i="8"/>
  <c r="C7430" i="8"/>
  <c r="C7429" i="8"/>
  <c r="C7428" i="8"/>
  <c r="C7427" i="8"/>
  <c r="C7426" i="8"/>
  <c r="C7425" i="8"/>
  <c r="C7424" i="8"/>
  <c r="C7423" i="8"/>
  <c r="C7422" i="8"/>
  <c r="C7421" i="8"/>
  <c r="C7420" i="8"/>
  <c r="C7419" i="8"/>
  <c r="C7418" i="8"/>
  <c r="C7417" i="8"/>
  <c r="C7416" i="8"/>
  <c r="C7415" i="8"/>
  <c r="C7414" i="8"/>
  <c r="C7413" i="8"/>
  <c r="C7412" i="8"/>
  <c r="C7411" i="8"/>
  <c r="C7410" i="8"/>
  <c r="C7409" i="8"/>
  <c r="C7408" i="8"/>
  <c r="C7407" i="8"/>
  <c r="C7406" i="8"/>
  <c r="C7405" i="8"/>
  <c r="C7404" i="8"/>
  <c r="C7403" i="8"/>
  <c r="C7402" i="8"/>
  <c r="C7401" i="8"/>
  <c r="C7400" i="8"/>
  <c r="C7399" i="8"/>
  <c r="C7398" i="8"/>
  <c r="C7397" i="8"/>
  <c r="C7396" i="8"/>
  <c r="C7395" i="8"/>
  <c r="C7394" i="8"/>
  <c r="C7393" i="8"/>
  <c r="C7392" i="8"/>
  <c r="C7391" i="8"/>
  <c r="C7390" i="8"/>
  <c r="C7389" i="8"/>
  <c r="C7388" i="8"/>
  <c r="C7387" i="8"/>
  <c r="C7386" i="8"/>
  <c r="C7385" i="8"/>
  <c r="C7384" i="8"/>
  <c r="C7383" i="8"/>
  <c r="C7382" i="8"/>
  <c r="C7381" i="8"/>
  <c r="C7380" i="8"/>
  <c r="C7379" i="8"/>
  <c r="C7378" i="8"/>
  <c r="C7377" i="8"/>
  <c r="C7376" i="8"/>
  <c r="C7375" i="8"/>
  <c r="C7374" i="8"/>
  <c r="C7373" i="8"/>
  <c r="C7372" i="8"/>
  <c r="C7371" i="8"/>
  <c r="C7370" i="8"/>
  <c r="C7369" i="8"/>
  <c r="C7368" i="8"/>
  <c r="C7367" i="8"/>
  <c r="C7366" i="8"/>
  <c r="C7365" i="8"/>
  <c r="C7364" i="8"/>
  <c r="C7363" i="8"/>
  <c r="C7362" i="8"/>
  <c r="C7361" i="8"/>
  <c r="C7360" i="8"/>
  <c r="C7359" i="8"/>
  <c r="C7358" i="8"/>
  <c r="C7357" i="8"/>
  <c r="C7356" i="8"/>
  <c r="C7355" i="8"/>
  <c r="C7354" i="8"/>
  <c r="C7353" i="8"/>
  <c r="C7352" i="8"/>
  <c r="C7351" i="8"/>
  <c r="C7350" i="8"/>
  <c r="C7349" i="8"/>
  <c r="C7348" i="8"/>
  <c r="C7347" i="8"/>
  <c r="C7346" i="8"/>
  <c r="C7345" i="8"/>
  <c r="C7344" i="8"/>
  <c r="C7343" i="8"/>
  <c r="C7342" i="8"/>
  <c r="C7341" i="8"/>
  <c r="C7340" i="8"/>
  <c r="C7339" i="8"/>
  <c r="C7338" i="8"/>
  <c r="C7337" i="8"/>
  <c r="C7336" i="8"/>
  <c r="C7335" i="8"/>
  <c r="C7334" i="8"/>
  <c r="C7333" i="8"/>
  <c r="C7332" i="8"/>
  <c r="C7331" i="8"/>
  <c r="C7330" i="8"/>
  <c r="C7329" i="8"/>
  <c r="C7328" i="8"/>
  <c r="C7327" i="8"/>
  <c r="C7326" i="8"/>
  <c r="C7325" i="8"/>
  <c r="C7324" i="8"/>
  <c r="C7323" i="8"/>
  <c r="C7322" i="8"/>
  <c r="C7321" i="8"/>
  <c r="C7320" i="8"/>
  <c r="C7319" i="8"/>
  <c r="C7318" i="8"/>
  <c r="C7317" i="8"/>
  <c r="C7316" i="8"/>
  <c r="C7315" i="8"/>
  <c r="C7314" i="8"/>
  <c r="C7313" i="8"/>
  <c r="C7312" i="8"/>
  <c r="C7311" i="8"/>
  <c r="C7310" i="8"/>
  <c r="C7309" i="8"/>
  <c r="C7308" i="8"/>
  <c r="C7307" i="8"/>
  <c r="C7306" i="8"/>
  <c r="C7305" i="8"/>
  <c r="C7304" i="8"/>
  <c r="C7303" i="8"/>
  <c r="C7302" i="8"/>
  <c r="C7301" i="8"/>
  <c r="C7300" i="8"/>
  <c r="C7299" i="8"/>
  <c r="C7298" i="8"/>
  <c r="C7297" i="8"/>
  <c r="C7296" i="8"/>
  <c r="C7295" i="8"/>
  <c r="C7294" i="8"/>
  <c r="C7293" i="8"/>
  <c r="C7292" i="8"/>
  <c r="C7291" i="8"/>
  <c r="C7290" i="8"/>
  <c r="C7289" i="8"/>
  <c r="C7288" i="8"/>
  <c r="C7287" i="8"/>
  <c r="C7286" i="8"/>
  <c r="C7285" i="8"/>
  <c r="C7284" i="8"/>
  <c r="C7283" i="8"/>
  <c r="C7282" i="8"/>
  <c r="C7281" i="8"/>
  <c r="C7280" i="8"/>
  <c r="C7279" i="8"/>
  <c r="C7278" i="8"/>
  <c r="C7277" i="8"/>
  <c r="C7276" i="8"/>
  <c r="C7275" i="8"/>
  <c r="C7274" i="8"/>
  <c r="C7273" i="8"/>
  <c r="C7272" i="8"/>
  <c r="C7271" i="8"/>
  <c r="C7270" i="8"/>
  <c r="C7269" i="8"/>
  <c r="C7268" i="8"/>
  <c r="C7267" i="8"/>
  <c r="C7266" i="8"/>
  <c r="C7265" i="8"/>
  <c r="C7264" i="8"/>
  <c r="C7263" i="8"/>
  <c r="C7262" i="8"/>
  <c r="C7261" i="8"/>
  <c r="C7260" i="8"/>
  <c r="C7259" i="8"/>
  <c r="C7258" i="8"/>
  <c r="C7257" i="8"/>
  <c r="C7256" i="8"/>
  <c r="C7255" i="8"/>
  <c r="C7254" i="8"/>
  <c r="C7253" i="8"/>
  <c r="C7252" i="8"/>
  <c r="C7251" i="8"/>
  <c r="C7250" i="8"/>
  <c r="C7249" i="8"/>
  <c r="C7248" i="8"/>
  <c r="C7247" i="8"/>
  <c r="C7246" i="8"/>
  <c r="C7245" i="8"/>
  <c r="C7244" i="8"/>
  <c r="C7243" i="8"/>
  <c r="C7242" i="8"/>
  <c r="C7241" i="8"/>
  <c r="C7240" i="8"/>
  <c r="C7239" i="8"/>
  <c r="C7238" i="8"/>
  <c r="C7237" i="8"/>
  <c r="C7236" i="8"/>
  <c r="C7235" i="8"/>
  <c r="C7234" i="8"/>
  <c r="C7233" i="8"/>
  <c r="C7232" i="8"/>
  <c r="C7231" i="8"/>
  <c r="C7230" i="8"/>
  <c r="C7229" i="8"/>
  <c r="C7228" i="8"/>
  <c r="C7227" i="8"/>
  <c r="C7226" i="8"/>
  <c r="C7225" i="8"/>
  <c r="C7224" i="8"/>
  <c r="C7223" i="8"/>
  <c r="C7222" i="8"/>
  <c r="C7221" i="8"/>
  <c r="C7220" i="8"/>
  <c r="C7219" i="8"/>
  <c r="C7218" i="8"/>
  <c r="C7217" i="8"/>
  <c r="C7216" i="8"/>
  <c r="C7215" i="8"/>
  <c r="C7214" i="8"/>
  <c r="C7213" i="8"/>
  <c r="C7212" i="8"/>
  <c r="C7211" i="8"/>
  <c r="C7210" i="8"/>
  <c r="C7209" i="8"/>
  <c r="C7208" i="8"/>
  <c r="C7207" i="8"/>
  <c r="C7206" i="8"/>
  <c r="C7205" i="8"/>
  <c r="C7204" i="8"/>
  <c r="C7203" i="8"/>
  <c r="C7202" i="8"/>
  <c r="C7201" i="8"/>
  <c r="C7200" i="8"/>
  <c r="C7199" i="8"/>
  <c r="C7198" i="8"/>
  <c r="C7197" i="8"/>
  <c r="C7196" i="8"/>
  <c r="C7195" i="8"/>
  <c r="C7194" i="8"/>
  <c r="C7193" i="8"/>
  <c r="C7192" i="8"/>
  <c r="C7191" i="8"/>
  <c r="C7190" i="8"/>
  <c r="C7189" i="8"/>
  <c r="C7188" i="8"/>
  <c r="C7187" i="8"/>
  <c r="C7186" i="8"/>
  <c r="C7185" i="8"/>
  <c r="C7184" i="8"/>
  <c r="C7183" i="8"/>
  <c r="C7182" i="8"/>
  <c r="C7181" i="8"/>
  <c r="C7180" i="8"/>
  <c r="C7179" i="8"/>
  <c r="C7178" i="8"/>
  <c r="C7177" i="8"/>
  <c r="C7176" i="8"/>
  <c r="C7175" i="8"/>
  <c r="C7174" i="8"/>
  <c r="C7173" i="8"/>
  <c r="C7172" i="8"/>
  <c r="C7171" i="8"/>
  <c r="C7170" i="8"/>
  <c r="C7169" i="8"/>
  <c r="C7168" i="8"/>
  <c r="C7167" i="8"/>
  <c r="C7166" i="8"/>
  <c r="C7165" i="8"/>
  <c r="C7164" i="8"/>
  <c r="C7163" i="8"/>
  <c r="C7162" i="8"/>
  <c r="C7161" i="8"/>
  <c r="C7160" i="8"/>
  <c r="C7159" i="8"/>
  <c r="C7158" i="8"/>
  <c r="C7157" i="8"/>
  <c r="C7156" i="8"/>
  <c r="C7155" i="8"/>
  <c r="C7154" i="8"/>
  <c r="C7153" i="8"/>
  <c r="C7152" i="8"/>
  <c r="C7151" i="8"/>
  <c r="C7150" i="8"/>
  <c r="C7149" i="8"/>
  <c r="C7148" i="8"/>
  <c r="C7147" i="8"/>
  <c r="C7146" i="8"/>
  <c r="C7145" i="8"/>
  <c r="C7144" i="8"/>
  <c r="C7143" i="8"/>
  <c r="C7142" i="8"/>
  <c r="C7141" i="8"/>
  <c r="C7140" i="8"/>
  <c r="C7139" i="8"/>
  <c r="C7138" i="8"/>
  <c r="C7137" i="8"/>
  <c r="C7136" i="8"/>
  <c r="C7135" i="8"/>
  <c r="C7134" i="8"/>
  <c r="C7133" i="8"/>
  <c r="C7132" i="8"/>
  <c r="C7131" i="8"/>
  <c r="C7130" i="8"/>
  <c r="C7129" i="8"/>
  <c r="C7128" i="8"/>
  <c r="C7127" i="8"/>
  <c r="C7126" i="8"/>
  <c r="C7125" i="8"/>
  <c r="C7124" i="8"/>
  <c r="C7123" i="8"/>
  <c r="C7122" i="8"/>
  <c r="C7121" i="8"/>
  <c r="C7120" i="8"/>
  <c r="C7119" i="8"/>
  <c r="C7118" i="8"/>
  <c r="C7117" i="8"/>
  <c r="C7116" i="8"/>
  <c r="C7115" i="8"/>
  <c r="C7114" i="8"/>
  <c r="C7113" i="8"/>
  <c r="C7112" i="8"/>
  <c r="C7111" i="8"/>
  <c r="C7110" i="8"/>
  <c r="C7109" i="8"/>
  <c r="C7108" i="8"/>
  <c r="C7107" i="8"/>
  <c r="C7106" i="8"/>
  <c r="C7105" i="8"/>
  <c r="C7104" i="8"/>
  <c r="C7103" i="8"/>
  <c r="C7102" i="8"/>
  <c r="C7101" i="8"/>
  <c r="C7100" i="8"/>
  <c r="C7099" i="8"/>
  <c r="C7098" i="8"/>
  <c r="C7097" i="8"/>
  <c r="C7096" i="8"/>
  <c r="C7095" i="8"/>
  <c r="C7094" i="8"/>
  <c r="C7093" i="8"/>
  <c r="C7092" i="8"/>
  <c r="C7091" i="8"/>
  <c r="C7090" i="8"/>
  <c r="C7089" i="8"/>
  <c r="C7088" i="8"/>
  <c r="C7087" i="8"/>
  <c r="C7086" i="8"/>
  <c r="C7085" i="8"/>
  <c r="C7084" i="8"/>
  <c r="C7083" i="8"/>
  <c r="C7082" i="8"/>
  <c r="C7081" i="8"/>
  <c r="C7080" i="8"/>
  <c r="C7079" i="8"/>
  <c r="C7078" i="8"/>
  <c r="C7077" i="8"/>
  <c r="C7076" i="8"/>
  <c r="C7075" i="8"/>
  <c r="C7074" i="8"/>
  <c r="C7073" i="8"/>
  <c r="C7072" i="8"/>
  <c r="C7071" i="8"/>
  <c r="C7070" i="8"/>
  <c r="C7069" i="8"/>
  <c r="C7068" i="8"/>
  <c r="C7067" i="8"/>
  <c r="C7066" i="8"/>
  <c r="C7065" i="8"/>
  <c r="C7064" i="8"/>
  <c r="C7063" i="8"/>
  <c r="C7062" i="8"/>
  <c r="C7061" i="8"/>
  <c r="C7060" i="8"/>
  <c r="C7059" i="8"/>
  <c r="C7058" i="8"/>
  <c r="C7057" i="8"/>
  <c r="C7056" i="8"/>
  <c r="C7055" i="8"/>
  <c r="C7054" i="8"/>
  <c r="C7053" i="8"/>
  <c r="C7052" i="8"/>
  <c r="C7051" i="8"/>
  <c r="C7050" i="8"/>
  <c r="C7049" i="8"/>
  <c r="C7048" i="8"/>
  <c r="C7047" i="8"/>
  <c r="C7046" i="8"/>
  <c r="C7045" i="8"/>
  <c r="C7044" i="8"/>
  <c r="C7043" i="8"/>
  <c r="C7042" i="8"/>
  <c r="C7041" i="8"/>
  <c r="C7040" i="8"/>
  <c r="C7039" i="8"/>
  <c r="C7038" i="8"/>
  <c r="C7037" i="8"/>
  <c r="C7036" i="8"/>
  <c r="C7035" i="8"/>
  <c r="C7034" i="8"/>
  <c r="C7033" i="8"/>
  <c r="C7032" i="8"/>
  <c r="C7031" i="8"/>
  <c r="C7030" i="8"/>
  <c r="C7029" i="8"/>
  <c r="C7028" i="8"/>
  <c r="C7027" i="8"/>
  <c r="C7026" i="8"/>
  <c r="C7025" i="8"/>
  <c r="C7024" i="8"/>
  <c r="C7023" i="8"/>
  <c r="C7022" i="8"/>
  <c r="C7021" i="8"/>
  <c r="C7020" i="8"/>
  <c r="C7019" i="8"/>
  <c r="C7018" i="8"/>
  <c r="C7017" i="8"/>
  <c r="C7016" i="8"/>
  <c r="C7015" i="8"/>
  <c r="C7014" i="8"/>
  <c r="C7013" i="8"/>
  <c r="C7012" i="8"/>
  <c r="C7011" i="8"/>
  <c r="C7010" i="8"/>
  <c r="C7009" i="8"/>
  <c r="C7008" i="8"/>
  <c r="C7007" i="8"/>
  <c r="C7006" i="8"/>
  <c r="C7005" i="8"/>
  <c r="C7004" i="8"/>
  <c r="C7003" i="8"/>
  <c r="C7002" i="8"/>
  <c r="C7001" i="8"/>
  <c r="C7000" i="8"/>
  <c r="C6999" i="8"/>
  <c r="C6998" i="8"/>
  <c r="C6997" i="8"/>
  <c r="C6996" i="8"/>
  <c r="C6995" i="8"/>
  <c r="C6994" i="8"/>
  <c r="C6993" i="8"/>
  <c r="C6992" i="8"/>
  <c r="C6991" i="8"/>
  <c r="C6990" i="8"/>
  <c r="C6989" i="8"/>
  <c r="C6988" i="8"/>
  <c r="C6987" i="8"/>
  <c r="C6986" i="8"/>
  <c r="C6985" i="8"/>
  <c r="C6984" i="8"/>
  <c r="C6983" i="8"/>
  <c r="C6982" i="8"/>
  <c r="C6981" i="8"/>
  <c r="C6980" i="8"/>
  <c r="C6979" i="8"/>
  <c r="C6978" i="8"/>
  <c r="C6977" i="8"/>
  <c r="C6976" i="8"/>
  <c r="C6975" i="8"/>
  <c r="C6974" i="8"/>
  <c r="C6973" i="8"/>
  <c r="C6972" i="8"/>
  <c r="C6971" i="8"/>
  <c r="C6970" i="8"/>
  <c r="C6969" i="8"/>
  <c r="C6968" i="8"/>
  <c r="C6967" i="8"/>
  <c r="C6966" i="8"/>
  <c r="C6965" i="8"/>
  <c r="C6964" i="8"/>
  <c r="C6963" i="8"/>
  <c r="C6962" i="8"/>
  <c r="C6961" i="8"/>
  <c r="C6960" i="8"/>
  <c r="C6959" i="8"/>
  <c r="C6958" i="8"/>
  <c r="C6957" i="8"/>
  <c r="C6956" i="8"/>
  <c r="C6955" i="8"/>
  <c r="C6954" i="8"/>
  <c r="C6953" i="8"/>
  <c r="C6952" i="8"/>
  <c r="C6951" i="8"/>
  <c r="C6950" i="8"/>
  <c r="C6949" i="8"/>
  <c r="C6948" i="8"/>
  <c r="C6947" i="8"/>
  <c r="C6946" i="8"/>
  <c r="C6945" i="8"/>
  <c r="C6944" i="8"/>
  <c r="C6943" i="8"/>
  <c r="C6942" i="8"/>
  <c r="C6941" i="8"/>
  <c r="C6940" i="8"/>
  <c r="C6939" i="8"/>
  <c r="C6938" i="8"/>
  <c r="C6937" i="8"/>
  <c r="C6936" i="8"/>
  <c r="C6935" i="8"/>
  <c r="C6934" i="8"/>
  <c r="C6933" i="8"/>
  <c r="C6932" i="8"/>
  <c r="C6931" i="8"/>
  <c r="C6930" i="8"/>
  <c r="C6929" i="8"/>
  <c r="C6928" i="8"/>
  <c r="C6927" i="8"/>
  <c r="C6926" i="8"/>
  <c r="C6925" i="8"/>
  <c r="C6924" i="8"/>
  <c r="C6923" i="8"/>
  <c r="C6922" i="8"/>
  <c r="C6921" i="8"/>
  <c r="C6920" i="8"/>
  <c r="C6919" i="8"/>
  <c r="C6918" i="8"/>
  <c r="C6917" i="8"/>
  <c r="C6916" i="8"/>
  <c r="C6915" i="8"/>
  <c r="C6914" i="8"/>
  <c r="C6913" i="8"/>
  <c r="C6912" i="8"/>
  <c r="C6911" i="8"/>
  <c r="C6910" i="8"/>
  <c r="C6909" i="8"/>
  <c r="C6908" i="8"/>
  <c r="C6907" i="8"/>
  <c r="C6906" i="8"/>
  <c r="C6905" i="8"/>
  <c r="C6904" i="8"/>
  <c r="C6903" i="8"/>
  <c r="C6902" i="8"/>
  <c r="C6901" i="8"/>
  <c r="C6900" i="8"/>
  <c r="C6899" i="8"/>
  <c r="C6898" i="8"/>
  <c r="C6897" i="8"/>
  <c r="C6896" i="8"/>
  <c r="C6895" i="8"/>
  <c r="C6894" i="8"/>
  <c r="C6893" i="8"/>
  <c r="C6892" i="8"/>
  <c r="C6891" i="8"/>
  <c r="C6890" i="8"/>
  <c r="C6889" i="8"/>
  <c r="C6888" i="8"/>
  <c r="C6887" i="8"/>
  <c r="C6886" i="8"/>
  <c r="C6885" i="8"/>
  <c r="C6884" i="8"/>
  <c r="C6883" i="8"/>
  <c r="C6882" i="8"/>
  <c r="C6881" i="8"/>
  <c r="C6880" i="8"/>
  <c r="C6879" i="8"/>
  <c r="C6878" i="8"/>
  <c r="C6877" i="8"/>
  <c r="C6876" i="8"/>
  <c r="C6875" i="8"/>
  <c r="C6874" i="8"/>
  <c r="C6873" i="8"/>
  <c r="C6872" i="8"/>
  <c r="C6871" i="8"/>
  <c r="C6870" i="8"/>
  <c r="C6869" i="8"/>
  <c r="C6868" i="8"/>
  <c r="C6867" i="8"/>
  <c r="C6866" i="8"/>
  <c r="C6865" i="8"/>
  <c r="C6864" i="8"/>
  <c r="C6863" i="8"/>
  <c r="C6862" i="8"/>
  <c r="C6861" i="8"/>
  <c r="C6860" i="8"/>
  <c r="C6859" i="8"/>
  <c r="C6858" i="8"/>
  <c r="C6857" i="8"/>
  <c r="C6856" i="8"/>
  <c r="C6855" i="8"/>
  <c r="C6854" i="8"/>
  <c r="C6853" i="8"/>
  <c r="C6852" i="8"/>
  <c r="C6851" i="8"/>
  <c r="C6850" i="8"/>
  <c r="C6849" i="8"/>
  <c r="C6848" i="8"/>
  <c r="C6847" i="8"/>
  <c r="C6846" i="8"/>
  <c r="C6845" i="8"/>
  <c r="C6844" i="8"/>
  <c r="C6843" i="8"/>
  <c r="C6842" i="8"/>
  <c r="C6841" i="8"/>
  <c r="C6840" i="8"/>
  <c r="C6839" i="8"/>
  <c r="C6838" i="8"/>
  <c r="C6837" i="8"/>
  <c r="C6836" i="8"/>
  <c r="C6835" i="8"/>
  <c r="C6834" i="8"/>
  <c r="C6833" i="8"/>
  <c r="C6832" i="8"/>
  <c r="C6831" i="8"/>
  <c r="C6830" i="8"/>
  <c r="C6829" i="8"/>
  <c r="C6828" i="8"/>
  <c r="C6827" i="8"/>
  <c r="C6826" i="8"/>
  <c r="C6825" i="8"/>
  <c r="C6824" i="8"/>
  <c r="C6823" i="8"/>
  <c r="C6822" i="8"/>
  <c r="C6821" i="8"/>
  <c r="C6820" i="8"/>
  <c r="C6819" i="8"/>
  <c r="C6818" i="8"/>
  <c r="C6817" i="8"/>
  <c r="C6816" i="8"/>
  <c r="C6815" i="8"/>
  <c r="C6814" i="8"/>
  <c r="C6813" i="8"/>
  <c r="C6812" i="8"/>
  <c r="C6811" i="8"/>
  <c r="C6810" i="8"/>
  <c r="C6809" i="8"/>
  <c r="C6808" i="8"/>
  <c r="C6807" i="8"/>
  <c r="C6806" i="8"/>
  <c r="C6805" i="8"/>
  <c r="C6804" i="8"/>
  <c r="C6803" i="8"/>
  <c r="C6802" i="8"/>
  <c r="C6801" i="8"/>
  <c r="C6800" i="8"/>
  <c r="C6799" i="8"/>
  <c r="C6798" i="8"/>
  <c r="C6797" i="8"/>
  <c r="C6796" i="8"/>
  <c r="C6795" i="8"/>
  <c r="C6794" i="8"/>
  <c r="C6793" i="8"/>
  <c r="C6792" i="8"/>
  <c r="C6791" i="8"/>
  <c r="C6790" i="8"/>
  <c r="C6789" i="8"/>
  <c r="C6788" i="8"/>
  <c r="C6787" i="8"/>
  <c r="C6786" i="8"/>
  <c r="C6785" i="8"/>
  <c r="C6784" i="8"/>
  <c r="C6783" i="8"/>
  <c r="C6782" i="8"/>
  <c r="C6781" i="8"/>
  <c r="C6780" i="8"/>
  <c r="C6779" i="8"/>
  <c r="C6778" i="8"/>
  <c r="C6777" i="8"/>
  <c r="C6776" i="8"/>
  <c r="C6775" i="8"/>
  <c r="C6774" i="8"/>
  <c r="C6773" i="8"/>
  <c r="C6772" i="8"/>
  <c r="C6771" i="8"/>
  <c r="C6770" i="8"/>
  <c r="C6769" i="8"/>
  <c r="C6768" i="8"/>
  <c r="C6767" i="8"/>
  <c r="C6766" i="8"/>
  <c r="C6765" i="8"/>
  <c r="C6764" i="8"/>
  <c r="C6763" i="8"/>
  <c r="C6762" i="8"/>
  <c r="C6761" i="8"/>
  <c r="C6760" i="8"/>
  <c r="C6759" i="8"/>
  <c r="C6758" i="8"/>
  <c r="C6757" i="8"/>
  <c r="C6756" i="8"/>
  <c r="C6755" i="8"/>
  <c r="C6754" i="8"/>
  <c r="C6753" i="8"/>
  <c r="C6752" i="8"/>
  <c r="C6751" i="8"/>
  <c r="C6750" i="8"/>
  <c r="C6749" i="8"/>
  <c r="C6748" i="8"/>
  <c r="C6747" i="8"/>
  <c r="C6746" i="8"/>
  <c r="C6745" i="8"/>
  <c r="C6744" i="8"/>
  <c r="C6743" i="8"/>
  <c r="C6742" i="8"/>
  <c r="C6741" i="8"/>
  <c r="C6740" i="8"/>
  <c r="C6739" i="8"/>
  <c r="C6738" i="8"/>
  <c r="C6737" i="8"/>
  <c r="C6736" i="8"/>
  <c r="C6735" i="8"/>
  <c r="C6734" i="8"/>
  <c r="C6733" i="8"/>
  <c r="C6732" i="8"/>
  <c r="C6731" i="8"/>
  <c r="C6730" i="8"/>
  <c r="C6729" i="8"/>
  <c r="C6728" i="8"/>
  <c r="C6727" i="8"/>
  <c r="C6726" i="8"/>
  <c r="C6725" i="8"/>
  <c r="C6724" i="8"/>
  <c r="C6723" i="8"/>
  <c r="C6722" i="8"/>
  <c r="C6721" i="8"/>
  <c r="C6720" i="8"/>
  <c r="C6719" i="8"/>
  <c r="C6718" i="8"/>
  <c r="C6717" i="8"/>
  <c r="C6716" i="8"/>
  <c r="C6715" i="8"/>
  <c r="C6714" i="8"/>
  <c r="C6713" i="8"/>
  <c r="C6712" i="8"/>
  <c r="C6711" i="8"/>
  <c r="C6710" i="8"/>
  <c r="C6709" i="8"/>
  <c r="C6708" i="8"/>
  <c r="C6707" i="8"/>
  <c r="C6706" i="8"/>
  <c r="C6705" i="8"/>
  <c r="C6704" i="8"/>
  <c r="C6703" i="8"/>
  <c r="C6702" i="8"/>
  <c r="C6701" i="8"/>
  <c r="C6700" i="8"/>
  <c r="C6699" i="8"/>
  <c r="C6698" i="8"/>
  <c r="C6697" i="8"/>
  <c r="C6696" i="8"/>
  <c r="C6695" i="8"/>
  <c r="C6694" i="8"/>
  <c r="C6693" i="8"/>
  <c r="C6692" i="8"/>
  <c r="C6691" i="8"/>
  <c r="C6690" i="8"/>
  <c r="C6689" i="8"/>
  <c r="C6688" i="8"/>
  <c r="C6687" i="8"/>
  <c r="C6686" i="8"/>
  <c r="C6685" i="8"/>
  <c r="C6684" i="8"/>
  <c r="C6683" i="8"/>
  <c r="C6682" i="8"/>
  <c r="C6681" i="8"/>
  <c r="C6680" i="8"/>
  <c r="C6679" i="8"/>
  <c r="C6678" i="8"/>
  <c r="C6677" i="8"/>
  <c r="C6676" i="8"/>
  <c r="C6675" i="8"/>
  <c r="C6674" i="8"/>
  <c r="C6673" i="8"/>
  <c r="C6672" i="8"/>
  <c r="C6671" i="8"/>
  <c r="C6670" i="8"/>
  <c r="C6669" i="8"/>
  <c r="C6668" i="8"/>
  <c r="C6667" i="8"/>
  <c r="C6666" i="8"/>
  <c r="C6665" i="8"/>
  <c r="C6664" i="8"/>
  <c r="C6663" i="8"/>
  <c r="C6662" i="8"/>
  <c r="C6661" i="8"/>
  <c r="C6660" i="8"/>
  <c r="C6659" i="8"/>
  <c r="C6658" i="8"/>
  <c r="C6657" i="8"/>
  <c r="C6656" i="8"/>
  <c r="C6655" i="8"/>
  <c r="C6654" i="8"/>
  <c r="C6653" i="8"/>
  <c r="C6652" i="8"/>
  <c r="C6651" i="8"/>
  <c r="C6650" i="8"/>
  <c r="C6649" i="8"/>
  <c r="C6648" i="8"/>
  <c r="C6647" i="8"/>
  <c r="C6646" i="8"/>
  <c r="C6645" i="8"/>
  <c r="C6644" i="8"/>
  <c r="C6643" i="8"/>
  <c r="C6642" i="8"/>
  <c r="C6641" i="8"/>
  <c r="C6640" i="8"/>
  <c r="C6639" i="8"/>
  <c r="C6638" i="8"/>
  <c r="C6637" i="8"/>
  <c r="C6636" i="8"/>
  <c r="C6635" i="8"/>
  <c r="C6634" i="8"/>
  <c r="C6633" i="8"/>
  <c r="C6632" i="8"/>
  <c r="C6631" i="8"/>
  <c r="C6630" i="8"/>
  <c r="C6629" i="8"/>
  <c r="C6628" i="8"/>
  <c r="C6627" i="8"/>
  <c r="C6626" i="8"/>
  <c r="C6625" i="8"/>
  <c r="C6624" i="8"/>
  <c r="C6623" i="8"/>
  <c r="C6622" i="8"/>
  <c r="C6621" i="8"/>
  <c r="C6620" i="8"/>
  <c r="C6619" i="8"/>
  <c r="C6618" i="8"/>
  <c r="C6617" i="8"/>
  <c r="C6616" i="8"/>
  <c r="C6615" i="8"/>
  <c r="C6614" i="8"/>
  <c r="C6613" i="8"/>
  <c r="C6612" i="8"/>
  <c r="C6611" i="8"/>
  <c r="C6610" i="8"/>
  <c r="C6609" i="8"/>
  <c r="C6608" i="8"/>
  <c r="C6607" i="8"/>
  <c r="C6606" i="8"/>
  <c r="C6605" i="8"/>
  <c r="C6604" i="8"/>
  <c r="C6603" i="8"/>
  <c r="C6602" i="8"/>
  <c r="C6601" i="8"/>
  <c r="C6600" i="8"/>
  <c r="C6599" i="8"/>
  <c r="C6598" i="8"/>
  <c r="C6597" i="8"/>
  <c r="C6596" i="8"/>
  <c r="C6595" i="8"/>
  <c r="C6594" i="8"/>
  <c r="C6593" i="8"/>
  <c r="C6592" i="8"/>
  <c r="C6591" i="8"/>
  <c r="C6590" i="8"/>
  <c r="C6589" i="8"/>
  <c r="C6588" i="8"/>
  <c r="C6587" i="8"/>
  <c r="C6586" i="8"/>
  <c r="C6585" i="8"/>
  <c r="C6584" i="8"/>
  <c r="C6583" i="8"/>
  <c r="C6582" i="8"/>
  <c r="C6581" i="8"/>
  <c r="C6580" i="8"/>
  <c r="C6579" i="8"/>
  <c r="C6578" i="8"/>
  <c r="C6577" i="8"/>
  <c r="C6576" i="8"/>
  <c r="C6575" i="8"/>
  <c r="C6574" i="8"/>
  <c r="C6573" i="8"/>
  <c r="C6572" i="8"/>
  <c r="C6571" i="8"/>
  <c r="C6570" i="8"/>
  <c r="C6569" i="8"/>
  <c r="C6568" i="8"/>
  <c r="C6567" i="8"/>
  <c r="C6566" i="8"/>
  <c r="C6565" i="8"/>
  <c r="C6564" i="8"/>
  <c r="C6563" i="8"/>
  <c r="C6562" i="8"/>
  <c r="C6561" i="8"/>
  <c r="C6560" i="8"/>
  <c r="C6559" i="8"/>
  <c r="C6558" i="8"/>
  <c r="C6557" i="8"/>
  <c r="C6556" i="8"/>
  <c r="C6555" i="8"/>
  <c r="C6554" i="8"/>
  <c r="C6553" i="8"/>
  <c r="C6552" i="8"/>
  <c r="C6551" i="8"/>
  <c r="C6550" i="8"/>
  <c r="C6549" i="8"/>
  <c r="C6548" i="8"/>
  <c r="C6547" i="8"/>
  <c r="C6546" i="8"/>
  <c r="C6545" i="8"/>
  <c r="C6544" i="8"/>
  <c r="C6543" i="8"/>
  <c r="C6542" i="8"/>
  <c r="C6541" i="8"/>
  <c r="C6540" i="8"/>
  <c r="C6539" i="8"/>
  <c r="C6538" i="8"/>
  <c r="C6537" i="8"/>
  <c r="C6536" i="8"/>
  <c r="C6535" i="8"/>
  <c r="C6534" i="8"/>
  <c r="C6533" i="8"/>
  <c r="C6532" i="8"/>
  <c r="C6531" i="8"/>
  <c r="C6530" i="8"/>
  <c r="C6529" i="8"/>
  <c r="C6528" i="8"/>
  <c r="C6527" i="8"/>
  <c r="C6526" i="8"/>
  <c r="C6525" i="8"/>
  <c r="C6524" i="8"/>
  <c r="C6523" i="8"/>
  <c r="C6522" i="8"/>
  <c r="C6521" i="8"/>
  <c r="C6520" i="8"/>
  <c r="C6519" i="8"/>
  <c r="C6518" i="8"/>
  <c r="C6517" i="8"/>
  <c r="C6516" i="8"/>
  <c r="C6515" i="8"/>
  <c r="C6514" i="8"/>
  <c r="C6513" i="8"/>
  <c r="C6512" i="8"/>
  <c r="C6511" i="8"/>
  <c r="C6510" i="8"/>
  <c r="C6509" i="8"/>
  <c r="C6508" i="8"/>
  <c r="C6507" i="8"/>
  <c r="C6506" i="8"/>
  <c r="C6505" i="8"/>
  <c r="C6504" i="8"/>
  <c r="C6503" i="8"/>
  <c r="C6502" i="8"/>
  <c r="C6501" i="8"/>
  <c r="C6500" i="8"/>
  <c r="C6499" i="8"/>
  <c r="C6498" i="8"/>
  <c r="C6497" i="8"/>
  <c r="C6496" i="8"/>
  <c r="C6495" i="8"/>
  <c r="C6494" i="8"/>
  <c r="C6493" i="8"/>
  <c r="C6492" i="8"/>
  <c r="C6491" i="8"/>
  <c r="C6490" i="8"/>
  <c r="C6489" i="8"/>
  <c r="C6488" i="8"/>
  <c r="C6487" i="8"/>
  <c r="C6486" i="8"/>
  <c r="C6485" i="8"/>
  <c r="C6484" i="8"/>
  <c r="C6483" i="8"/>
  <c r="C6482" i="8"/>
  <c r="C6481" i="8"/>
  <c r="C6480" i="8"/>
  <c r="C6479" i="8"/>
  <c r="C6478" i="8"/>
  <c r="C6477" i="8"/>
  <c r="C6476" i="8"/>
  <c r="C6475" i="8"/>
  <c r="C6474" i="8"/>
  <c r="C6473" i="8"/>
  <c r="C6472" i="8"/>
  <c r="C6471" i="8"/>
  <c r="C6470" i="8"/>
  <c r="C6469" i="8"/>
  <c r="C6468" i="8"/>
  <c r="C6467" i="8"/>
  <c r="C6466" i="8"/>
  <c r="C6465" i="8"/>
  <c r="C6464" i="8"/>
  <c r="C6463" i="8"/>
  <c r="C6462" i="8"/>
  <c r="C6461" i="8"/>
  <c r="C6460" i="8"/>
  <c r="C6459" i="8"/>
  <c r="C6458" i="8"/>
  <c r="C6457" i="8"/>
  <c r="C6456" i="8"/>
  <c r="C6455" i="8"/>
  <c r="C6454" i="8"/>
  <c r="C6453" i="8"/>
  <c r="C6452" i="8"/>
  <c r="C6451" i="8"/>
  <c r="C6450" i="8"/>
  <c r="C6449" i="8"/>
  <c r="C6448" i="8"/>
  <c r="C6447" i="8"/>
  <c r="C6446" i="8"/>
  <c r="C6445" i="8"/>
  <c r="C6444" i="8"/>
  <c r="C6443" i="8"/>
  <c r="C6442" i="8"/>
  <c r="C6441" i="8"/>
  <c r="C6440" i="8"/>
  <c r="C6439" i="8"/>
  <c r="C6438" i="8"/>
  <c r="C6437" i="8"/>
  <c r="C6436" i="8"/>
  <c r="C6435" i="8"/>
  <c r="C6434" i="8"/>
  <c r="C6433" i="8"/>
  <c r="C6432" i="8"/>
  <c r="C6431" i="8"/>
  <c r="C6430" i="8"/>
  <c r="C6429" i="8"/>
  <c r="C6428" i="8"/>
  <c r="C6427" i="8"/>
  <c r="C6426" i="8"/>
  <c r="C6425" i="8"/>
  <c r="C6424" i="8"/>
  <c r="C6423" i="8"/>
  <c r="C6422" i="8"/>
  <c r="C6421" i="8"/>
  <c r="C6420" i="8"/>
  <c r="C6419" i="8"/>
  <c r="C6418" i="8"/>
  <c r="C6417" i="8"/>
  <c r="C6416" i="8"/>
  <c r="C6415" i="8"/>
  <c r="C6414" i="8"/>
  <c r="C6413" i="8"/>
  <c r="C6412" i="8"/>
  <c r="C6411" i="8"/>
  <c r="C6410" i="8"/>
  <c r="C6409" i="8"/>
  <c r="C6408" i="8"/>
  <c r="C6407" i="8"/>
  <c r="C6406" i="8"/>
  <c r="C6405" i="8"/>
  <c r="C6404" i="8"/>
  <c r="C6403" i="8"/>
  <c r="C6402" i="8"/>
  <c r="C6401" i="8"/>
  <c r="C6400" i="8"/>
  <c r="C6399" i="8"/>
  <c r="C6398" i="8"/>
  <c r="C6397" i="8"/>
  <c r="C6396" i="8"/>
  <c r="C6395" i="8"/>
  <c r="C6394" i="8"/>
  <c r="C6393" i="8"/>
  <c r="C6392" i="8"/>
  <c r="C6391" i="8"/>
  <c r="C6390" i="8"/>
  <c r="C6389" i="8"/>
  <c r="C6388" i="8"/>
  <c r="C6387" i="8"/>
  <c r="C6386" i="8"/>
  <c r="C6385" i="8"/>
  <c r="C6384" i="8"/>
  <c r="C6383" i="8"/>
  <c r="C6382" i="8"/>
  <c r="C6381" i="8"/>
  <c r="C6380" i="8"/>
  <c r="C6379" i="8"/>
  <c r="C6378" i="8"/>
  <c r="C6377" i="8"/>
  <c r="C6376" i="8"/>
  <c r="C6375" i="8"/>
  <c r="C6374" i="8"/>
  <c r="C6373" i="8"/>
  <c r="C6372" i="8"/>
  <c r="C6371" i="8"/>
  <c r="C6370" i="8"/>
  <c r="C6369" i="8"/>
  <c r="C6368" i="8"/>
  <c r="C6367" i="8"/>
  <c r="C6366" i="8"/>
  <c r="C6365" i="8"/>
  <c r="C6364" i="8"/>
  <c r="C6363" i="8"/>
  <c r="C6362" i="8"/>
  <c r="C6361" i="8"/>
  <c r="C6360" i="8"/>
  <c r="C6359" i="8"/>
  <c r="C6358" i="8"/>
  <c r="C6357" i="8"/>
  <c r="C6356" i="8"/>
  <c r="C6355" i="8"/>
  <c r="C6354" i="8"/>
  <c r="C6353" i="8"/>
  <c r="C6352" i="8"/>
  <c r="C6351" i="8"/>
  <c r="C6350" i="8"/>
  <c r="C6349" i="8"/>
  <c r="C6348" i="8"/>
  <c r="C6347" i="8"/>
  <c r="C6346" i="8"/>
  <c r="C6345" i="8"/>
  <c r="C6344" i="8"/>
  <c r="C6343" i="8"/>
  <c r="C6342" i="8"/>
  <c r="C6341" i="8"/>
  <c r="C6340" i="8"/>
  <c r="C6339" i="8"/>
  <c r="C6338" i="8"/>
  <c r="C6337" i="8"/>
  <c r="C6336" i="8"/>
  <c r="C6335" i="8"/>
  <c r="C6334" i="8"/>
  <c r="C6333" i="8"/>
  <c r="C6332" i="8"/>
  <c r="C6331" i="8"/>
  <c r="C6330" i="8"/>
  <c r="C6329" i="8"/>
  <c r="C6328" i="8"/>
  <c r="C6327" i="8"/>
  <c r="C6326" i="8"/>
  <c r="C6325" i="8"/>
  <c r="C6324" i="8"/>
  <c r="C6323" i="8"/>
  <c r="C6322" i="8"/>
  <c r="C6321" i="8"/>
  <c r="C6320" i="8"/>
  <c r="C6319" i="8"/>
  <c r="C6318" i="8"/>
  <c r="C6317" i="8"/>
  <c r="C6316" i="8"/>
  <c r="C6315" i="8"/>
  <c r="C6314" i="8"/>
  <c r="C6313" i="8"/>
  <c r="C6312" i="8"/>
  <c r="C6311" i="8"/>
  <c r="C6310" i="8"/>
  <c r="C6309" i="8"/>
  <c r="C6308" i="8"/>
  <c r="C6307" i="8"/>
  <c r="C6306" i="8"/>
  <c r="C6305" i="8"/>
  <c r="C6304" i="8"/>
  <c r="C6303" i="8"/>
  <c r="C6302" i="8"/>
  <c r="C6301" i="8"/>
  <c r="C6300" i="8"/>
  <c r="C6299" i="8"/>
  <c r="C6298" i="8"/>
  <c r="C6297" i="8"/>
  <c r="C6296" i="8"/>
  <c r="C6295" i="8"/>
  <c r="C6294" i="8"/>
  <c r="C6293" i="8"/>
  <c r="C6292" i="8"/>
  <c r="C6291" i="8"/>
  <c r="C6290" i="8"/>
  <c r="C6289" i="8"/>
  <c r="C6288" i="8"/>
  <c r="C6287" i="8"/>
  <c r="C6286" i="8"/>
  <c r="C6285" i="8"/>
  <c r="C6284" i="8"/>
  <c r="C6283" i="8"/>
  <c r="C6282" i="8"/>
  <c r="C6281" i="8"/>
  <c r="C6280" i="8"/>
  <c r="C6279" i="8"/>
  <c r="C6278" i="8"/>
  <c r="C6277" i="8"/>
  <c r="C6276" i="8"/>
  <c r="C6275" i="8"/>
  <c r="C6274" i="8"/>
  <c r="C6273" i="8"/>
  <c r="C6272" i="8"/>
  <c r="C6271" i="8"/>
  <c r="C6270" i="8"/>
  <c r="C6269" i="8"/>
  <c r="C6268" i="8"/>
  <c r="C6267" i="8"/>
  <c r="C6266" i="8"/>
  <c r="C6265" i="8"/>
  <c r="C6264" i="8"/>
  <c r="C6263" i="8"/>
  <c r="C6262" i="8"/>
  <c r="C6261" i="8"/>
  <c r="C6260" i="8"/>
  <c r="C6259" i="8"/>
  <c r="C6258" i="8"/>
  <c r="C6257" i="8"/>
  <c r="C6256" i="8"/>
  <c r="C6255" i="8"/>
  <c r="C6254" i="8"/>
  <c r="C6253" i="8"/>
  <c r="C6252" i="8"/>
  <c r="C6251" i="8"/>
  <c r="C6250" i="8"/>
  <c r="C6249" i="8"/>
  <c r="C6248" i="8"/>
  <c r="C6247" i="8"/>
  <c r="C6246" i="8"/>
  <c r="C6245" i="8"/>
  <c r="C6244" i="8"/>
  <c r="C6243" i="8"/>
  <c r="C6242" i="8"/>
  <c r="C6241" i="8"/>
  <c r="C6240" i="8"/>
  <c r="C6239" i="8"/>
  <c r="C6238" i="8"/>
  <c r="C6237" i="8"/>
  <c r="C6236" i="8"/>
  <c r="C6235" i="8"/>
  <c r="C6234" i="8"/>
  <c r="C6233" i="8"/>
  <c r="C6232" i="8"/>
  <c r="C6231" i="8"/>
  <c r="C6230" i="8"/>
  <c r="C6229" i="8"/>
  <c r="C6228" i="8"/>
  <c r="C6227" i="8"/>
  <c r="C6226" i="8"/>
  <c r="C6225" i="8"/>
  <c r="C6224" i="8"/>
  <c r="C6223" i="8"/>
  <c r="C6222" i="8"/>
  <c r="C6221" i="8"/>
  <c r="C6220" i="8"/>
  <c r="C6219" i="8"/>
  <c r="C6218" i="8"/>
  <c r="C6217" i="8"/>
  <c r="C6216" i="8"/>
  <c r="C6215" i="8"/>
  <c r="C6214" i="8"/>
  <c r="C6213" i="8"/>
  <c r="C6212" i="8"/>
  <c r="C6211" i="8"/>
  <c r="C6210" i="8"/>
  <c r="C6209" i="8"/>
  <c r="C6208" i="8"/>
  <c r="C6207" i="8"/>
  <c r="C6206" i="8"/>
  <c r="C6205" i="8"/>
  <c r="C6204" i="8"/>
  <c r="C6203" i="8"/>
  <c r="C6202" i="8"/>
  <c r="C6201" i="8"/>
  <c r="C6200" i="8"/>
  <c r="C6199" i="8"/>
  <c r="C6198" i="8"/>
  <c r="C6197" i="8"/>
  <c r="C6196" i="8"/>
  <c r="C6195" i="8"/>
  <c r="C6194" i="8"/>
  <c r="C6193" i="8"/>
  <c r="C6192" i="8"/>
  <c r="C6191" i="8"/>
  <c r="C6190" i="8"/>
  <c r="C6189" i="8"/>
  <c r="C6188" i="8"/>
  <c r="C6187" i="8"/>
  <c r="C6186" i="8"/>
  <c r="C6185" i="8"/>
  <c r="C6184" i="8"/>
  <c r="C6183" i="8"/>
  <c r="C6182" i="8"/>
  <c r="C6181" i="8"/>
  <c r="C6180" i="8"/>
  <c r="C6179" i="8"/>
  <c r="C6178" i="8"/>
  <c r="C6177" i="8"/>
  <c r="C6176" i="8"/>
  <c r="C6175" i="8"/>
  <c r="C6174" i="8"/>
  <c r="C6173" i="8"/>
  <c r="C6172" i="8"/>
  <c r="C6171" i="8"/>
  <c r="C6170" i="8"/>
  <c r="C6169" i="8"/>
  <c r="C6168" i="8"/>
  <c r="C6167" i="8"/>
  <c r="C6166" i="8"/>
  <c r="C6165" i="8"/>
  <c r="C6164" i="8"/>
  <c r="C6163" i="8"/>
  <c r="C6162" i="8"/>
  <c r="C6161" i="8"/>
  <c r="C6160" i="8"/>
  <c r="C6159" i="8"/>
  <c r="C6158" i="8"/>
  <c r="C6157" i="8"/>
  <c r="C6156" i="8"/>
  <c r="C6155" i="8"/>
  <c r="C6154" i="8"/>
  <c r="C6153" i="8"/>
  <c r="C6152" i="8"/>
  <c r="C6151" i="8"/>
  <c r="C6150" i="8"/>
  <c r="C6149" i="8"/>
  <c r="C6148" i="8"/>
  <c r="C6147" i="8"/>
  <c r="C6146" i="8"/>
  <c r="C6145" i="8"/>
  <c r="C6144" i="8"/>
  <c r="C6143" i="8"/>
  <c r="C6142" i="8"/>
  <c r="C6141" i="8"/>
  <c r="C6140" i="8"/>
  <c r="C6139" i="8"/>
  <c r="C6138" i="8"/>
  <c r="C6137" i="8"/>
  <c r="C6136" i="8"/>
  <c r="C6135" i="8"/>
  <c r="C6134" i="8"/>
  <c r="C6133" i="8"/>
  <c r="C6132" i="8"/>
  <c r="C6131" i="8"/>
  <c r="C6130" i="8"/>
  <c r="C6129" i="8"/>
  <c r="C6128" i="8"/>
  <c r="C6127" i="8"/>
  <c r="C6126" i="8"/>
  <c r="C6125" i="8"/>
  <c r="C6124" i="8"/>
  <c r="C6123" i="8"/>
  <c r="C6122" i="8"/>
  <c r="C6121" i="8"/>
  <c r="C6120" i="8"/>
  <c r="C6119" i="8"/>
  <c r="C6118" i="8"/>
  <c r="C6117" i="8"/>
  <c r="C6116" i="8"/>
  <c r="C6115" i="8"/>
  <c r="C6114" i="8"/>
  <c r="C6113" i="8"/>
  <c r="C6112" i="8"/>
  <c r="C6111" i="8"/>
  <c r="C6110" i="8"/>
  <c r="C6109" i="8"/>
  <c r="C6108" i="8"/>
  <c r="C6107" i="8"/>
  <c r="C6106" i="8"/>
  <c r="C6105" i="8"/>
  <c r="C6104" i="8"/>
  <c r="C6103" i="8"/>
  <c r="C6102" i="8"/>
  <c r="C6101" i="8"/>
  <c r="C6100" i="8"/>
  <c r="C6099" i="8"/>
  <c r="C6098" i="8"/>
  <c r="C6097" i="8"/>
  <c r="C6096" i="8"/>
  <c r="C6095" i="8"/>
  <c r="C6094" i="8"/>
  <c r="C6093" i="8"/>
  <c r="C6092" i="8"/>
  <c r="C6091" i="8"/>
  <c r="C6090" i="8"/>
  <c r="C6089" i="8"/>
  <c r="C6088" i="8"/>
  <c r="C6087" i="8"/>
  <c r="C6086" i="8"/>
  <c r="C6085" i="8"/>
  <c r="C6084" i="8"/>
  <c r="C6083" i="8"/>
  <c r="C6082" i="8"/>
  <c r="C6081" i="8"/>
  <c r="C6080" i="8"/>
  <c r="C6079" i="8"/>
  <c r="C6078" i="8"/>
  <c r="C6077" i="8"/>
  <c r="C6076" i="8"/>
  <c r="C6075" i="8"/>
  <c r="C6074" i="8"/>
  <c r="C6073" i="8"/>
  <c r="C6072" i="8"/>
  <c r="C6071" i="8"/>
  <c r="C6070" i="8"/>
  <c r="C6069" i="8"/>
  <c r="C6068" i="8"/>
  <c r="C6067" i="8"/>
  <c r="C6066" i="8"/>
  <c r="C6065" i="8"/>
  <c r="C6064" i="8"/>
  <c r="C6063" i="8"/>
  <c r="C6062" i="8"/>
  <c r="C6061" i="8"/>
  <c r="C6060" i="8"/>
  <c r="C6059" i="8"/>
  <c r="C6058" i="8"/>
  <c r="C6057" i="8"/>
  <c r="C6056" i="8"/>
  <c r="C6055" i="8"/>
  <c r="C6054" i="8"/>
  <c r="C6053" i="8"/>
  <c r="C6052" i="8"/>
  <c r="C6051" i="8"/>
  <c r="C6050" i="8"/>
  <c r="C6049" i="8"/>
  <c r="C6048" i="8"/>
  <c r="C6047" i="8"/>
  <c r="C6046" i="8"/>
  <c r="C6045" i="8"/>
  <c r="C6044" i="8"/>
  <c r="C6043" i="8"/>
  <c r="C6042" i="8"/>
  <c r="C6041" i="8"/>
  <c r="C6040" i="8"/>
  <c r="C6039" i="8"/>
  <c r="C6038" i="8"/>
  <c r="C6037" i="8"/>
  <c r="C6036" i="8"/>
  <c r="C6035" i="8"/>
  <c r="C6034" i="8"/>
  <c r="C6033" i="8"/>
  <c r="C6032" i="8"/>
  <c r="C6031" i="8"/>
  <c r="C6030" i="8"/>
  <c r="C6029" i="8"/>
  <c r="C6028" i="8"/>
  <c r="C6027" i="8"/>
  <c r="C6026" i="8"/>
  <c r="C6025" i="8"/>
  <c r="C6024" i="8"/>
  <c r="C6023" i="8"/>
  <c r="C6022" i="8"/>
  <c r="C6021" i="8"/>
  <c r="C6020" i="8"/>
  <c r="C6019" i="8"/>
  <c r="C6018" i="8"/>
  <c r="C6017" i="8"/>
  <c r="C6016" i="8"/>
  <c r="C6015" i="8"/>
  <c r="C6014" i="8"/>
  <c r="C6013" i="8"/>
  <c r="C6012" i="8"/>
  <c r="C6011" i="8"/>
  <c r="C6010" i="8"/>
  <c r="C6009" i="8"/>
  <c r="C6008" i="8"/>
  <c r="C6007" i="8"/>
  <c r="C6006" i="8"/>
  <c r="C6005" i="8"/>
  <c r="C6004" i="8"/>
  <c r="C6003" i="8"/>
  <c r="C6002" i="8"/>
  <c r="C6001" i="8"/>
  <c r="C6000" i="8"/>
  <c r="C5999" i="8"/>
  <c r="C5998" i="8"/>
  <c r="C5997" i="8"/>
  <c r="C5996" i="8"/>
  <c r="C5995" i="8"/>
  <c r="C5994" i="8"/>
  <c r="C5993" i="8"/>
  <c r="C5992" i="8"/>
  <c r="C5991" i="8"/>
  <c r="C5990" i="8"/>
  <c r="C5989" i="8"/>
  <c r="C5988" i="8"/>
  <c r="C5987" i="8"/>
  <c r="C5986" i="8"/>
  <c r="C5985" i="8"/>
  <c r="C5984" i="8"/>
  <c r="C5983" i="8"/>
  <c r="C5982" i="8"/>
  <c r="C5981" i="8"/>
  <c r="C5980" i="8"/>
  <c r="C5979" i="8"/>
  <c r="C5978" i="8"/>
  <c r="C5977" i="8"/>
  <c r="C5976" i="8"/>
  <c r="C5975" i="8"/>
  <c r="C5974" i="8"/>
  <c r="C5973" i="8"/>
  <c r="C5972" i="8"/>
  <c r="C5971" i="8"/>
  <c r="C5970" i="8"/>
  <c r="C5969" i="8"/>
  <c r="C5968" i="8"/>
  <c r="C5967" i="8"/>
  <c r="C5966" i="8"/>
  <c r="C5965" i="8"/>
  <c r="C5964" i="8"/>
  <c r="C5963" i="8"/>
  <c r="C5962" i="8"/>
  <c r="C5961" i="8"/>
  <c r="C5960" i="8"/>
  <c r="C5959" i="8"/>
  <c r="C5958" i="8"/>
  <c r="C5957" i="8"/>
  <c r="C5956" i="8"/>
  <c r="C5955" i="8"/>
  <c r="C5954" i="8"/>
  <c r="C5953" i="8"/>
  <c r="C5952" i="8"/>
  <c r="C5951" i="8"/>
  <c r="C5950" i="8"/>
  <c r="C5949" i="8"/>
  <c r="C5948" i="8"/>
  <c r="C5947" i="8"/>
  <c r="C5946" i="8"/>
  <c r="C5945" i="8"/>
  <c r="C5944" i="8"/>
  <c r="C5943" i="8"/>
  <c r="C5942" i="8"/>
  <c r="C5941" i="8"/>
  <c r="C5940" i="8"/>
  <c r="C5939" i="8"/>
  <c r="C5938" i="8"/>
  <c r="C5937" i="8"/>
  <c r="C5936" i="8"/>
  <c r="C5935" i="8"/>
  <c r="C5934" i="8"/>
  <c r="C5933" i="8"/>
  <c r="C5932" i="8"/>
  <c r="C5931" i="8"/>
  <c r="C5930" i="8"/>
  <c r="C5929" i="8"/>
  <c r="C5928" i="8"/>
  <c r="C5927" i="8"/>
  <c r="C5926" i="8"/>
  <c r="C5925" i="8"/>
  <c r="C5924" i="8"/>
  <c r="C5923" i="8"/>
  <c r="C5922" i="8"/>
  <c r="C5921" i="8"/>
  <c r="C5920" i="8"/>
  <c r="C5919" i="8"/>
  <c r="C5918" i="8"/>
  <c r="C5917" i="8"/>
  <c r="C5916" i="8"/>
  <c r="C5915" i="8"/>
  <c r="C5914" i="8"/>
  <c r="C5913" i="8"/>
  <c r="C5912" i="8"/>
  <c r="C5911" i="8"/>
  <c r="C5910" i="8"/>
  <c r="C5909" i="8"/>
  <c r="C5908" i="8"/>
  <c r="C5907" i="8"/>
  <c r="C5906" i="8"/>
  <c r="C5905" i="8"/>
  <c r="C5904" i="8"/>
  <c r="C5903" i="8"/>
  <c r="C5902" i="8"/>
  <c r="C5901" i="8"/>
  <c r="C5900" i="8"/>
  <c r="C5899" i="8"/>
  <c r="C5898" i="8"/>
  <c r="C5897" i="8"/>
  <c r="C5896" i="8"/>
  <c r="C5895" i="8"/>
  <c r="C5894" i="8"/>
  <c r="C5893" i="8"/>
  <c r="C5892" i="8"/>
  <c r="C5891" i="8"/>
  <c r="C5890" i="8"/>
  <c r="C5889" i="8"/>
  <c r="C5888" i="8"/>
  <c r="C5887" i="8"/>
  <c r="C5886" i="8"/>
  <c r="C5885" i="8"/>
  <c r="C5884" i="8"/>
  <c r="C5883" i="8"/>
  <c r="C5882" i="8"/>
  <c r="C5881" i="8"/>
  <c r="C5880" i="8"/>
  <c r="C5879" i="8"/>
  <c r="C5878" i="8"/>
  <c r="C5877" i="8"/>
  <c r="C5876" i="8"/>
  <c r="C5875" i="8"/>
  <c r="C5874" i="8"/>
  <c r="C5873" i="8"/>
  <c r="C5872" i="8"/>
  <c r="C5871" i="8"/>
  <c r="C5870" i="8"/>
  <c r="C5869" i="8"/>
  <c r="C5868" i="8"/>
  <c r="C5867" i="8"/>
  <c r="C5866" i="8"/>
  <c r="C5865" i="8"/>
  <c r="C5864" i="8"/>
  <c r="C5863" i="8"/>
  <c r="C5862" i="8"/>
  <c r="C5861" i="8"/>
  <c r="C5860" i="8"/>
  <c r="C5859" i="8"/>
  <c r="C5858" i="8"/>
  <c r="C5857" i="8"/>
  <c r="C5856" i="8"/>
  <c r="C5855" i="8"/>
  <c r="C5854" i="8"/>
  <c r="C5853" i="8"/>
  <c r="C5852" i="8"/>
  <c r="C5851" i="8"/>
  <c r="C5850" i="8"/>
  <c r="C5849" i="8"/>
  <c r="C5848" i="8"/>
  <c r="C5847" i="8"/>
  <c r="C5846" i="8"/>
  <c r="C5845" i="8"/>
  <c r="C5844" i="8"/>
  <c r="C5843" i="8"/>
  <c r="C5842" i="8"/>
  <c r="C5841" i="8"/>
  <c r="C5840" i="8"/>
  <c r="C5839" i="8"/>
  <c r="C5838" i="8"/>
  <c r="C5837" i="8"/>
  <c r="C5836" i="8"/>
  <c r="C5835" i="8"/>
  <c r="C5834" i="8"/>
  <c r="C5833" i="8"/>
  <c r="C5832" i="8"/>
  <c r="C5831" i="8"/>
  <c r="C5830" i="8"/>
  <c r="C5829" i="8"/>
  <c r="C5828" i="8"/>
  <c r="C5827" i="8"/>
  <c r="C5826" i="8"/>
  <c r="C5825" i="8"/>
  <c r="C5824" i="8"/>
  <c r="C5823" i="8"/>
  <c r="C5822" i="8"/>
  <c r="C5821" i="8"/>
  <c r="C5820" i="8"/>
  <c r="C5819" i="8"/>
  <c r="C5818" i="8"/>
  <c r="C5817" i="8"/>
  <c r="C5816" i="8"/>
  <c r="C5815" i="8"/>
  <c r="C5814" i="8"/>
  <c r="C5813" i="8"/>
  <c r="C5812" i="8"/>
  <c r="C5811" i="8"/>
  <c r="C5810" i="8"/>
  <c r="C5809" i="8"/>
  <c r="C5808" i="8"/>
  <c r="C5807" i="8"/>
  <c r="C5806" i="8"/>
  <c r="C5805" i="8"/>
  <c r="C5804" i="8"/>
  <c r="C5803" i="8"/>
  <c r="C5802" i="8"/>
  <c r="C5801" i="8"/>
  <c r="C5800" i="8"/>
  <c r="C5799" i="8"/>
  <c r="C5798" i="8"/>
  <c r="C5797" i="8"/>
  <c r="C5796" i="8"/>
  <c r="C5795" i="8"/>
  <c r="C5794" i="8"/>
  <c r="C5793" i="8"/>
  <c r="C5792" i="8"/>
  <c r="C5791" i="8"/>
  <c r="C5790" i="8"/>
  <c r="C5789" i="8"/>
  <c r="C5788" i="8"/>
  <c r="C5787" i="8"/>
  <c r="C5786" i="8"/>
  <c r="C5785" i="8"/>
  <c r="C5784" i="8"/>
  <c r="C5783" i="8"/>
  <c r="C5782" i="8"/>
  <c r="C5781" i="8"/>
  <c r="C5780" i="8"/>
  <c r="C5779" i="8"/>
  <c r="C5778" i="8"/>
  <c r="C5777" i="8"/>
  <c r="C5776" i="8"/>
  <c r="C5775" i="8"/>
  <c r="C5774" i="8"/>
  <c r="C5773" i="8"/>
  <c r="C5772" i="8"/>
  <c r="C5771" i="8"/>
  <c r="C5770" i="8"/>
  <c r="C5769" i="8"/>
  <c r="C5768" i="8"/>
  <c r="C5767" i="8"/>
  <c r="C5766" i="8"/>
  <c r="C5765" i="8"/>
  <c r="C5764" i="8"/>
  <c r="C5763" i="8"/>
  <c r="C5762" i="8"/>
  <c r="C5761" i="8"/>
  <c r="C5760" i="8"/>
  <c r="C5759" i="8"/>
  <c r="C5758" i="8"/>
  <c r="C5757" i="8"/>
  <c r="C5756" i="8"/>
  <c r="C5755" i="8"/>
  <c r="C5754" i="8"/>
  <c r="C5753" i="8"/>
  <c r="C5752" i="8"/>
  <c r="C5751" i="8"/>
  <c r="C5750" i="8"/>
  <c r="C5749" i="8"/>
  <c r="C5748" i="8"/>
  <c r="C5747" i="8"/>
  <c r="C5746" i="8"/>
  <c r="C5745" i="8"/>
  <c r="C5744" i="8"/>
  <c r="C5743" i="8"/>
  <c r="C5742" i="8"/>
  <c r="C5741" i="8"/>
  <c r="C5740" i="8"/>
  <c r="C5739" i="8"/>
  <c r="C5738" i="8"/>
  <c r="C5737" i="8"/>
  <c r="C5736" i="8"/>
  <c r="C5735" i="8"/>
  <c r="C5734" i="8"/>
  <c r="C5733" i="8"/>
  <c r="C5732" i="8"/>
  <c r="C5731" i="8"/>
  <c r="C5730" i="8"/>
  <c r="C5729" i="8"/>
  <c r="C5728" i="8"/>
  <c r="C5727" i="8"/>
  <c r="C5726" i="8"/>
  <c r="C5725" i="8"/>
  <c r="C5724" i="8"/>
  <c r="C5723" i="8"/>
  <c r="C5722" i="8"/>
  <c r="C5721" i="8"/>
  <c r="C5720" i="8"/>
  <c r="C5719" i="8"/>
  <c r="C5718" i="8"/>
  <c r="C5717" i="8"/>
  <c r="C5716" i="8"/>
  <c r="C5715" i="8"/>
  <c r="C5714" i="8"/>
  <c r="C5713" i="8"/>
  <c r="C5712" i="8"/>
  <c r="C5711" i="8"/>
  <c r="C5710" i="8"/>
  <c r="C5709" i="8"/>
  <c r="C5708" i="8"/>
  <c r="C5707" i="8"/>
  <c r="C5706" i="8"/>
  <c r="C5705" i="8"/>
  <c r="C5704" i="8"/>
  <c r="C5703" i="8"/>
  <c r="C5702" i="8"/>
  <c r="C5701" i="8"/>
  <c r="C5700" i="8"/>
  <c r="C5699" i="8"/>
  <c r="C5698" i="8"/>
  <c r="C5697" i="8"/>
  <c r="C5696" i="8"/>
  <c r="C5695" i="8"/>
  <c r="C5694" i="8"/>
  <c r="C5693" i="8"/>
  <c r="C5692" i="8"/>
  <c r="C5691" i="8"/>
  <c r="C5690" i="8"/>
  <c r="C5689" i="8"/>
  <c r="C5688" i="8"/>
  <c r="C5687" i="8"/>
  <c r="C5686" i="8"/>
  <c r="C5685" i="8"/>
  <c r="C5684" i="8"/>
  <c r="C5683" i="8"/>
  <c r="C5682" i="8"/>
  <c r="C5681" i="8"/>
  <c r="C5680" i="8"/>
  <c r="C5679" i="8"/>
  <c r="C5678" i="8"/>
  <c r="C5677" i="8"/>
  <c r="C5676" i="8"/>
  <c r="C5675" i="8"/>
  <c r="C5674" i="8"/>
  <c r="C5673" i="8"/>
  <c r="C5672" i="8"/>
  <c r="C5671" i="8"/>
  <c r="C5670" i="8"/>
  <c r="C5669" i="8"/>
  <c r="C5668" i="8"/>
  <c r="C5667" i="8"/>
  <c r="C5666" i="8"/>
  <c r="C5665" i="8"/>
  <c r="C5664" i="8"/>
  <c r="C5663" i="8"/>
  <c r="C5662" i="8"/>
  <c r="C5661" i="8"/>
  <c r="C5660" i="8"/>
  <c r="C5659" i="8"/>
  <c r="C5658" i="8"/>
  <c r="C5657" i="8"/>
  <c r="C5656" i="8"/>
  <c r="C5655" i="8"/>
  <c r="C5654" i="8"/>
  <c r="C5653" i="8"/>
  <c r="C5652" i="8"/>
  <c r="C5651" i="8"/>
  <c r="C5650" i="8"/>
  <c r="C5649" i="8"/>
  <c r="C5648" i="8"/>
  <c r="C5647" i="8"/>
  <c r="C5646" i="8"/>
  <c r="C5645" i="8"/>
  <c r="C5644" i="8"/>
  <c r="C5643" i="8"/>
  <c r="C5642" i="8"/>
  <c r="C5641" i="8"/>
  <c r="C5640" i="8"/>
  <c r="C5639" i="8"/>
  <c r="C5638" i="8"/>
  <c r="C5637" i="8"/>
  <c r="C5636" i="8"/>
  <c r="C5635" i="8"/>
  <c r="C5634" i="8"/>
  <c r="C5633" i="8"/>
  <c r="C5632" i="8"/>
  <c r="C5631" i="8"/>
  <c r="C5630" i="8"/>
  <c r="C5629" i="8"/>
  <c r="C5628" i="8"/>
  <c r="C5627" i="8"/>
  <c r="C5626" i="8"/>
  <c r="C5625" i="8"/>
  <c r="C5624" i="8"/>
  <c r="C5623" i="8"/>
  <c r="C5622" i="8"/>
  <c r="C5621" i="8"/>
  <c r="C5620" i="8"/>
  <c r="C5619" i="8"/>
  <c r="C5618" i="8"/>
  <c r="C5617" i="8"/>
  <c r="C5616" i="8"/>
  <c r="C5615" i="8"/>
  <c r="C5614" i="8"/>
  <c r="C5613" i="8"/>
  <c r="C5612" i="8"/>
  <c r="C5611" i="8"/>
  <c r="C5610" i="8"/>
  <c r="C5609" i="8"/>
  <c r="C5608" i="8"/>
  <c r="C5607" i="8"/>
  <c r="C5606" i="8"/>
  <c r="C5605" i="8"/>
  <c r="C5604" i="8"/>
  <c r="C5603" i="8"/>
  <c r="C5602" i="8"/>
  <c r="C5601" i="8"/>
  <c r="C5600" i="8"/>
  <c r="C5599" i="8"/>
  <c r="C5598" i="8"/>
  <c r="C5597" i="8"/>
  <c r="C5596" i="8"/>
  <c r="C5595" i="8"/>
  <c r="C5594" i="8"/>
  <c r="C5593" i="8"/>
  <c r="C5592" i="8"/>
  <c r="C5591" i="8"/>
  <c r="C5590" i="8"/>
  <c r="C5589" i="8"/>
  <c r="C5588" i="8"/>
  <c r="C5587" i="8"/>
  <c r="C5586" i="8"/>
  <c r="C5585" i="8"/>
  <c r="C5584" i="8"/>
  <c r="C5583" i="8"/>
  <c r="C5582" i="8"/>
  <c r="C5581" i="8"/>
  <c r="C5580" i="8"/>
  <c r="C5579" i="8"/>
  <c r="C5578" i="8"/>
  <c r="C5577" i="8"/>
  <c r="C5576" i="8"/>
  <c r="C5575" i="8"/>
  <c r="C5574" i="8"/>
  <c r="C5573" i="8"/>
  <c r="C5572" i="8"/>
  <c r="C5571" i="8"/>
  <c r="C5570" i="8"/>
  <c r="C5569" i="8"/>
  <c r="C5568" i="8"/>
  <c r="C5567" i="8"/>
  <c r="C5566" i="8"/>
  <c r="C5565" i="8"/>
  <c r="C5564" i="8"/>
  <c r="C5563" i="8"/>
  <c r="C5562" i="8"/>
  <c r="C5561" i="8"/>
  <c r="C5560" i="8"/>
  <c r="C5559" i="8"/>
  <c r="C5558" i="8"/>
  <c r="C5557" i="8"/>
  <c r="C5556" i="8"/>
  <c r="C5555" i="8"/>
  <c r="C5554" i="8"/>
  <c r="C5553" i="8"/>
  <c r="C5552" i="8"/>
  <c r="C5551" i="8"/>
  <c r="C5550" i="8"/>
  <c r="C5549" i="8"/>
  <c r="C5548" i="8"/>
  <c r="C5547" i="8"/>
  <c r="C5546" i="8"/>
  <c r="C5545" i="8"/>
  <c r="C5544" i="8"/>
  <c r="C5543" i="8"/>
  <c r="C5542" i="8"/>
  <c r="C5541" i="8"/>
  <c r="C5540" i="8"/>
  <c r="C5539" i="8"/>
  <c r="C5538" i="8"/>
  <c r="C5537" i="8"/>
  <c r="C5536" i="8"/>
  <c r="C5535" i="8"/>
  <c r="C5534" i="8"/>
  <c r="C5533" i="8"/>
  <c r="C5532" i="8"/>
  <c r="C5531" i="8"/>
  <c r="C5530" i="8"/>
  <c r="C5529" i="8"/>
  <c r="C5528" i="8"/>
  <c r="C5527" i="8"/>
  <c r="C5526" i="8"/>
  <c r="C5525" i="8"/>
  <c r="C5524" i="8"/>
  <c r="C5523" i="8"/>
  <c r="C5522" i="8"/>
  <c r="C5521" i="8"/>
  <c r="C5520" i="8"/>
  <c r="C5519" i="8"/>
  <c r="C5518" i="8"/>
  <c r="C5517" i="8"/>
  <c r="C5516" i="8"/>
  <c r="C5515" i="8"/>
  <c r="C5514" i="8"/>
  <c r="C5513" i="8"/>
  <c r="C5512" i="8"/>
  <c r="C5511" i="8"/>
  <c r="C5510" i="8"/>
  <c r="C5509" i="8"/>
  <c r="C5508" i="8"/>
  <c r="C5507" i="8"/>
  <c r="C5506" i="8"/>
  <c r="C5505" i="8"/>
  <c r="C5504" i="8"/>
  <c r="C5503" i="8"/>
  <c r="C5502" i="8"/>
  <c r="C5501" i="8"/>
  <c r="C5500" i="8"/>
  <c r="C5499" i="8"/>
  <c r="C5498" i="8"/>
  <c r="C5497" i="8"/>
  <c r="C5496" i="8"/>
  <c r="C5495" i="8"/>
  <c r="C5494" i="8"/>
  <c r="C5493" i="8"/>
  <c r="C5492" i="8"/>
  <c r="C5491" i="8"/>
  <c r="C5490" i="8"/>
  <c r="C5489" i="8"/>
  <c r="C5488" i="8"/>
  <c r="C5487" i="8"/>
  <c r="C5486" i="8"/>
  <c r="C5485" i="8"/>
  <c r="C5484" i="8"/>
  <c r="C5483" i="8"/>
  <c r="C5482" i="8"/>
  <c r="C5481" i="8"/>
  <c r="C5480" i="8"/>
  <c r="C5479" i="8"/>
  <c r="C5478" i="8"/>
  <c r="C5477" i="8"/>
  <c r="C5476" i="8"/>
  <c r="C5475" i="8"/>
  <c r="C5474" i="8"/>
  <c r="C5473" i="8"/>
  <c r="C5472" i="8"/>
  <c r="C5471" i="8"/>
  <c r="C5470" i="8"/>
  <c r="C5469" i="8"/>
  <c r="C5468" i="8"/>
  <c r="C5467" i="8"/>
  <c r="C5466" i="8"/>
  <c r="C5465" i="8"/>
  <c r="C5464" i="8"/>
  <c r="C5463" i="8"/>
  <c r="C5462" i="8"/>
  <c r="C5461" i="8"/>
  <c r="C5460" i="8"/>
  <c r="C5459" i="8"/>
  <c r="C5458" i="8"/>
  <c r="C5457" i="8"/>
  <c r="C5456" i="8"/>
  <c r="C5455" i="8"/>
  <c r="C5454" i="8"/>
  <c r="C5453" i="8"/>
  <c r="C5452" i="8"/>
  <c r="C5451" i="8"/>
  <c r="C5450" i="8"/>
  <c r="C5449" i="8"/>
  <c r="C5448" i="8"/>
  <c r="C5447" i="8"/>
  <c r="C5446" i="8"/>
  <c r="C5445" i="8"/>
  <c r="C5444" i="8"/>
  <c r="C5443" i="8"/>
  <c r="C5442" i="8"/>
  <c r="C5441" i="8"/>
  <c r="C5440" i="8"/>
  <c r="C5439" i="8"/>
  <c r="C5438" i="8"/>
  <c r="C5437" i="8"/>
  <c r="C5436" i="8"/>
  <c r="C5435" i="8"/>
  <c r="C5434" i="8"/>
  <c r="C5433" i="8"/>
  <c r="C5432" i="8"/>
  <c r="C5431" i="8"/>
  <c r="C5430" i="8"/>
  <c r="C5429" i="8"/>
  <c r="C5428" i="8"/>
  <c r="C5427" i="8"/>
  <c r="C5426" i="8"/>
  <c r="C5425" i="8"/>
  <c r="C5424" i="8"/>
  <c r="C5423" i="8"/>
  <c r="C5422" i="8"/>
  <c r="C5421" i="8"/>
  <c r="C5420" i="8"/>
  <c r="C5419" i="8"/>
  <c r="C5418" i="8"/>
  <c r="C5417" i="8"/>
  <c r="C5416" i="8"/>
  <c r="C5415" i="8"/>
  <c r="C5414" i="8"/>
  <c r="C5413" i="8"/>
  <c r="C5412" i="8"/>
  <c r="C5411" i="8"/>
  <c r="C5410" i="8"/>
  <c r="C5409" i="8"/>
  <c r="C5408" i="8"/>
  <c r="C5407" i="8"/>
  <c r="C5406" i="8"/>
  <c r="C5405" i="8"/>
  <c r="C5404" i="8"/>
  <c r="C5403" i="8"/>
  <c r="C5402" i="8"/>
  <c r="C5401" i="8"/>
  <c r="C5400" i="8"/>
  <c r="C5399" i="8"/>
  <c r="C5398" i="8"/>
  <c r="C5397" i="8"/>
  <c r="C5396" i="8"/>
  <c r="C5395" i="8"/>
  <c r="C5394" i="8"/>
  <c r="C5393" i="8"/>
  <c r="C5392" i="8"/>
  <c r="C5391" i="8"/>
  <c r="C5390" i="8"/>
  <c r="C5389" i="8"/>
  <c r="C5388" i="8"/>
  <c r="C5387" i="8"/>
  <c r="C5386" i="8"/>
  <c r="C5385" i="8"/>
  <c r="C5384" i="8"/>
  <c r="C5383" i="8"/>
  <c r="C5382" i="8"/>
  <c r="C5381" i="8"/>
  <c r="C5380" i="8"/>
  <c r="C5379" i="8"/>
  <c r="C5378" i="8"/>
  <c r="C5377" i="8"/>
  <c r="C5376" i="8"/>
  <c r="C5375" i="8"/>
  <c r="C5374" i="8"/>
  <c r="C5373" i="8"/>
  <c r="C5372" i="8"/>
  <c r="C5371" i="8"/>
  <c r="C5370" i="8"/>
  <c r="C5369" i="8"/>
  <c r="C5368" i="8"/>
  <c r="C5367" i="8"/>
  <c r="C5366" i="8"/>
  <c r="C5365" i="8"/>
  <c r="C5364" i="8"/>
  <c r="C5363" i="8"/>
  <c r="C5362" i="8"/>
  <c r="C5361" i="8"/>
  <c r="C5360" i="8"/>
  <c r="C5359" i="8"/>
  <c r="C5358" i="8"/>
  <c r="C5357" i="8"/>
  <c r="C5356" i="8"/>
  <c r="C5355" i="8"/>
  <c r="C5354" i="8"/>
  <c r="C5353" i="8"/>
  <c r="C5352" i="8"/>
  <c r="C5351" i="8"/>
  <c r="C5350" i="8"/>
  <c r="C5349" i="8"/>
  <c r="C5348" i="8"/>
  <c r="C5347" i="8"/>
  <c r="C5346" i="8"/>
  <c r="C5345" i="8"/>
  <c r="C5344" i="8"/>
  <c r="C5343" i="8"/>
  <c r="C5342" i="8"/>
  <c r="C5341" i="8"/>
  <c r="C5340" i="8"/>
  <c r="C5339" i="8"/>
  <c r="C5338" i="8"/>
  <c r="C5337" i="8"/>
  <c r="C5336" i="8"/>
  <c r="C5335" i="8"/>
  <c r="C5334" i="8"/>
  <c r="C5333" i="8"/>
  <c r="C5332" i="8"/>
  <c r="C5331" i="8"/>
  <c r="C5330" i="8"/>
  <c r="C5329" i="8"/>
  <c r="C5328" i="8"/>
  <c r="C5327" i="8"/>
  <c r="C5326" i="8"/>
  <c r="C5325" i="8"/>
  <c r="C5324" i="8"/>
  <c r="C5323" i="8"/>
  <c r="C5322" i="8"/>
  <c r="C5321" i="8"/>
  <c r="C5320" i="8"/>
  <c r="C5319" i="8"/>
  <c r="C5318" i="8"/>
  <c r="C5317" i="8"/>
  <c r="C5316" i="8"/>
  <c r="C5315" i="8"/>
  <c r="C5314" i="8"/>
  <c r="C5313" i="8"/>
  <c r="C5312" i="8"/>
  <c r="C5311" i="8"/>
  <c r="C5310" i="8"/>
  <c r="C5309" i="8"/>
  <c r="C5308" i="8"/>
  <c r="C5307" i="8"/>
  <c r="C5306" i="8"/>
  <c r="C5305" i="8"/>
  <c r="C5304" i="8"/>
  <c r="C5303" i="8"/>
  <c r="C5302" i="8"/>
  <c r="C5301" i="8"/>
  <c r="C5300" i="8"/>
  <c r="C5299" i="8"/>
  <c r="C5298" i="8"/>
  <c r="C5297" i="8"/>
  <c r="C5296" i="8"/>
  <c r="C5295" i="8"/>
  <c r="C5294" i="8"/>
  <c r="C5293" i="8"/>
  <c r="C5292" i="8"/>
  <c r="C5291" i="8"/>
  <c r="C5290" i="8"/>
  <c r="C5289" i="8"/>
  <c r="C5288" i="8"/>
  <c r="C5287" i="8"/>
  <c r="C5286" i="8"/>
  <c r="C5285" i="8"/>
  <c r="C5284" i="8"/>
  <c r="C5283" i="8"/>
  <c r="C5282" i="8"/>
  <c r="C5281" i="8"/>
  <c r="C5280" i="8"/>
  <c r="C5279" i="8"/>
  <c r="C5278" i="8"/>
  <c r="C5277" i="8"/>
  <c r="C5276" i="8"/>
  <c r="C5275" i="8"/>
  <c r="C5274" i="8"/>
  <c r="C5273" i="8"/>
  <c r="C5272" i="8"/>
  <c r="C5271" i="8"/>
  <c r="C5270" i="8"/>
  <c r="C5269" i="8"/>
  <c r="C5268" i="8"/>
  <c r="C5267" i="8"/>
  <c r="C5266" i="8"/>
  <c r="C5265" i="8"/>
  <c r="C5264" i="8"/>
  <c r="C5263" i="8"/>
  <c r="C5262" i="8"/>
  <c r="C5261" i="8"/>
  <c r="C5260" i="8"/>
  <c r="C5259" i="8"/>
  <c r="C5258" i="8"/>
  <c r="C5257" i="8"/>
  <c r="C5256" i="8"/>
  <c r="C5255" i="8"/>
  <c r="C5254" i="8"/>
  <c r="C5253" i="8"/>
  <c r="C5252" i="8"/>
  <c r="C5251" i="8"/>
  <c r="C5250" i="8"/>
  <c r="C5249" i="8"/>
  <c r="C5248" i="8"/>
  <c r="C5247" i="8"/>
  <c r="C5246" i="8"/>
  <c r="C5245" i="8"/>
  <c r="C5244" i="8"/>
  <c r="C5243" i="8"/>
  <c r="C5242" i="8"/>
  <c r="C5241" i="8"/>
  <c r="C5240" i="8"/>
  <c r="C5239" i="8"/>
  <c r="C5238" i="8"/>
  <c r="C5237" i="8"/>
  <c r="C5236" i="8"/>
  <c r="C5235" i="8"/>
  <c r="C5234" i="8"/>
  <c r="C5233" i="8"/>
  <c r="C5232" i="8"/>
  <c r="C5231" i="8"/>
  <c r="C5230" i="8"/>
  <c r="C5229" i="8"/>
  <c r="C5228" i="8"/>
  <c r="C5227" i="8"/>
  <c r="C5226" i="8"/>
  <c r="C5225" i="8"/>
  <c r="C5224" i="8"/>
  <c r="C5223" i="8"/>
  <c r="C5222" i="8"/>
  <c r="C5221" i="8"/>
  <c r="C5220" i="8"/>
  <c r="C5219" i="8"/>
  <c r="C5218" i="8"/>
  <c r="C5217" i="8"/>
  <c r="C5216" i="8"/>
  <c r="C5215" i="8"/>
  <c r="C5214" i="8"/>
  <c r="C5213" i="8"/>
  <c r="C5212" i="8"/>
  <c r="C5211" i="8"/>
  <c r="C5210" i="8"/>
  <c r="C5209" i="8"/>
  <c r="C5208" i="8"/>
  <c r="C5207" i="8"/>
  <c r="C5206" i="8"/>
  <c r="C5205" i="8"/>
  <c r="C5204" i="8"/>
  <c r="C5203" i="8"/>
  <c r="C5202" i="8"/>
  <c r="C5201" i="8"/>
  <c r="C5200" i="8"/>
  <c r="C5199" i="8"/>
  <c r="C5198" i="8"/>
  <c r="C5197" i="8"/>
  <c r="C5196" i="8"/>
  <c r="C5195" i="8"/>
  <c r="C5194" i="8"/>
  <c r="C5193" i="8"/>
  <c r="C5192" i="8"/>
  <c r="C5191" i="8"/>
  <c r="C5190" i="8"/>
  <c r="C5189" i="8"/>
  <c r="C5188" i="8"/>
  <c r="C5187" i="8"/>
  <c r="C5186" i="8"/>
  <c r="C5185" i="8"/>
  <c r="C5184" i="8"/>
  <c r="C5183" i="8"/>
  <c r="C5182" i="8"/>
  <c r="C5181" i="8"/>
  <c r="C5180" i="8"/>
  <c r="C5179" i="8"/>
  <c r="C5178" i="8"/>
  <c r="C5177" i="8"/>
  <c r="C5176" i="8"/>
  <c r="C5175" i="8"/>
  <c r="C5174" i="8"/>
  <c r="C5173" i="8"/>
  <c r="C5172" i="8"/>
  <c r="C5171" i="8"/>
  <c r="C5170" i="8"/>
  <c r="C5169" i="8"/>
  <c r="C5168" i="8"/>
  <c r="C5167" i="8"/>
  <c r="C5166" i="8"/>
  <c r="C5165" i="8"/>
  <c r="C5164" i="8"/>
  <c r="C5163" i="8"/>
  <c r="C5162" i="8"/>
  <c r="C5161" i="8"/>
  <c r="C5160" i="8"/>
  <c r="C5159" i="8"/>
  <c r="C5158" i="8"/>
  <c r="C5157" i="8"/>
  <c r="C5156" i="8"/>
  <c r="C5155" i="8"/>
  <c r="C5154" i="8"/>
  <c r="C5153" i="8"/>
  <c r="C5152" i="8"/>
  <c r="C5151" i="8"/>
  <c r="C5150" i="8"/>
  <c r="C5149" i="8"/>
  <c r="C5148" i="8"/>
  <c r="C5147" i="8"/>
  <c r="C5146" i="8"/>
  <c r="C5145" i="8"/>
  <c r="C5144" i="8"/>
  <c r="C5143" i="8"/>
  <c r="C5142" i="8"/>
  <c r="C5141" i="8"/>
  <c r="C5140" i="8"/>
  <c r="C5139" i="8"/>
  <c r="C5138" i="8"/>
  <c r="C5137" i="8"/>
  <c r="C5136" i="8"/>
  <c r="C5135" i="8"/>
  <c r="C5134" i="8"/>
  <c r="C5133" i="8"/>
  <c r="C5132" i="8"/>
  <c r="C5131" i="8"/>
  <c r="C5130" i="8"/>
  <c r="C5129" i="8"/>
  <c r="C5128" i="8"/>
  <c r="C5127" i="8"/>
  <c r="C5126" i="8"/>
  <c r="C5125" i="8"/>
  <c r="C5124" i="8"/>
  <c r="C5123" i="8"/>
  <c r="C5122" i="8"/>
  <c r="C5121" i="8"/>
  <c r="C5120" i="8"/>
  <c r="C5119" i="8"/>
  <c r="C5118" i="8"/>
  <c r="C5117" i="8"/>
  <c r="C5116" i="8"/>
  <c r="C5115" i="8"/>
  <c r="C5114" i="8"/>
  <c r="C5113" i="8"/>
  <c r="C5112" i="8"/>
  <c r="C5111" i="8"/>
  <c r="C5110" i="8"/>
  <c r="C5109" i="8"/>
  <c r="C5108" i="8"/>
  <c r="C5107" i="8"/>
  <c r="C5106" i="8"/>
  <c r="C5105" i="8"/>
  <c r="C5104" i="8"/>
  <c r="C5103" i="8"/>
  <c r="C5102" i="8"/>
  <c r="C5101" i="8"/>
  <c r="C5100" i="8"/>
  <c r="C5099" i="8"/>
  <c r="C5098" i="8"/>
  <c r="C5097" i="8"/>
  <c r="C5096" i="8"/>
  <c r="C5095" i="8"/>
  <c r="C5094" i="8"/>
  <c r="C5093" i="8"/>
  <c r="C5092" i="8"/>
  <c r="C5091" i="8"/>
  <c r="C5090" i="8"/>
  <c r="C5089" i="8"/>
  <c r="C5088" i="8"/>
  <c r="C5087" i="8"/>
  <c r="C5086" i="8"/>
  <c r="C5085" i="8"/>
  <c r="C5084" i="8"/>
  <c r="C5083" i="8"/>
  <c r="C5082" i="8"/>
  <c r="C5081" i="8"/>
  <c r="C5080" i="8"/>
  <c r="C5079" i="8"/>
  <c r="C5078" i="8"/>
  <c r="C5077" i="8"/>
  <c r="C5076" i="8"/>
  <c r="C5075" i="8"/>
  <c r="C5074" i="8"/>
  <c r="C5073" i="8"/>
  <c r="C5072" i="8"/>
  <c r="C5071" i="8"/>
  <c r="C5070" i="8"/>
  <c r="C5069" i="8"/>
  <c r="C5068" i="8"/>
  <c r="C5067" i="8"/>
  <c r="C5066" i="8"/>
  <c r="C5065" i="8"/>
  <c r="C5064" i="8"/>
  <c r="C5063" i="8"/>
  <c r="C5062" i="8"/>
  <c r="C5061" i="8"/>
  <c r="C5060" i="8"/>
  <c r="C5059" i="8"/>
  <c r="C5058" i="8"/>
  <c r="C5057" i="8"/>
  <c r="C5056" i="8"/>
  <c r="C5055" i="8"/>
  <c r="C5054" i="8"/>
  <c r="C5053" i="8"/>
  <c r="C5052" i="8"/>
  <c r="C5051" i="8"/>
  <c r="C5050" i="8"/>
  <c r="C5049" i="8"/>
  <c r="C5048" i="8"/>
  <c r="C5047" i="8"/>
  <c r="C5046" i="8"/>
  <c r="C5045" i="8"/>
  <c r="C5044" i="8"/>
  <c r="C5043" i="8"/>
  <c r="C5042" i="8"/>
  <c r="C5041" i="8"/>
  <c r="C5040" i="8"/>
  <c r="C5039" i="8"/>
  <c r="C5038" i="8"/>
  <c r="C5037" i="8"/>
  <c r="C5036" i="8"/>
  <c r="C5035" i="8"/>
  <c r="C5034" i="8"/>
  <c r="C5033" i="8"/>
  <c r="C5032" i="8"/>
  <c r="C5031" i="8"/>
  <c r="C5030" i="8"/>
  <c r="C5029" i="8"/>
  <c r="C5028" i="8"/>
  <c r="C5027" i="8"/>
  <c r="C5026" i="8"/>
  <c r="C5025" i="8"/>
  <c r="C5024" i="8"/>
  <c r="C5023" i="8"/>
  <c r="C5022" i="8"/>
  <c r="C5021" i="8"/>
  <c r="C5020" i="8"/>
  <c r="C5019" i="8"/>
  <c r="C5018" i="8"/>
  <c r="C5017" i="8"/>
  <c r="C5016" i="8"/>
  <c r="C5015" i="8"/>
  <c r="C5014" i="8"/>
  <c r="C5013" i="8"/>
  <c r="C5012" i="8"/>
  <c r="C5011" i="8"/>
  <c r="C5010" i="8"/>
  <c r="C5009" i="8"/>
  <c r="C5008" i="8"/>
  <c r="C5007" i="8"/>
  <c r="C5006" i="8"/>
  <c r="C5005" i="8"/>
  <c r="C5004" i="8"/>
  <c r="C5003" i="8"/>
  <c r="C5002" i="8"/>
  <c r="C5001" i="8"/>
  <c r="C5000" i="8"/>
  <c r="C4999" i="8"/>
  <c r="C4998" i="8"/>
  <c r="C4997" i="8"/>
  <c r="C4996" i="8"/>
  <c r="C4995" i="8"/>
  <c r="C4994" i="8"/>
  <c r="C4993" i="8"/>
  <c r="C4992" i="8"/>
  <c r="C4991" i="8"/>
  <c r="C4990" i="8"/>
  <c r="C4989" i="8"/>
  <c r="C4988" i="8"/>
  <c r="C4987" i="8"/>
  <c r="C4986" i="8"/>
  <c r="C4985" i="8"/>
  <c r="C4984" i="8"/>
  <c r="C4983" i="8"/>
  <c r="C4982" i="8"/>
  <c r="C4981" i="8"/>
  <c r="C4980" i="8"/>
  <c r="C4979" i="8"/>
  <c r="C4978" i="8"/>
  <c r="C4977" i="8"/>
  <c r="C4976" i="8"/>
  <c r="C4975" i="8"/>
  <c r="C4974" i="8"/>
  <c r="C4973" i="8"/>
  <c r="C4972" i="8"/>
  <c r="C4971" i="8"/>
  <c r="C4970" i="8"/>
  <c r="C4969" i="8"/>
  <c r="C4968" i="8"/>
  <c r="C4967" i="8"/>
  <c r="C4966" i="8"/>
  <c r="C4965" i="8"/>
  <c r="C4964" i="8"/>
  <c r="C4963" i="8"/>
  <c r="C4962" i="8"/>
  <c r="C4961" i="8"/>
  <c r="C4960" i="8"/>
  <c r="C4959" i="8"/>
  <c r="C4958" i="8"/>
  <c r="C4957" i="8"/>
  <c r="C4956" i="8"/>
  <c r="C4955" i="8"/>
  <c r="C4954" i="8"/>
  <c r="C4953" i="8"/>
  <c r="C4952" i="8"/>
  <c r="C4951" i="8"/>
  <c r="C4950" i="8"/>
  <c r="C4949" i="8"/>
  <c r="C4948" i="8"/>
  <c r="C4947" i="8"/>
  <c r="C4946" i="8"/>
  <c r="C4945" i="8"/>
  <c r="C4944" i="8"/>
  <c r="C4943" i="8"/>
  <c r="C4942" i="8"/>
  <c r="C4941" i="8"/>
  <c r="C4940" i="8"/>
  <c r="C4939" i="8"/>
  <c r="C4938" i="8"/>
  <c r="C4937" i="8"/>
  <c r="C4936" i="8"/>
  <c r="C4935" i="8"/>
  <c r="C4934" i="8"/>
  <c r="C4933" i="8"/>
  <c r="C4932" i="8"/>
  <c r="C4931" i="8"/>
  <c r="C4930" i="8"/>
  <c r="C4929" i="8"/>
  <c r="C4928" i="8"/>
  <c r="C4927" i="8"/>
  <c r="C4926" i="8"/>
  <c r="C4925" i="8"/>
  <c r="C4924" i="8"/>
  <c r="C4923" i="8"/>
  <c r="C4922" i="8"/>
  <c r="C4921" i="8"/>
  <c r="C4920" i="8"/>
  <c r="C4919" i="8"/>
  <c r="C4918" i="8"/>
  <c r="C4917" i="8"/>
  <c r="C4916" i="8"/>
  <c r="C4915" i="8"/>
  <c r="C4914" i="8"/>
  <c r="C4913" i="8"/>
  <c r="C4912" i="8"/>
  <c r="C4911" i="8"/>
  <c r="C4910" i="8"/>
  <c r="C4909" i="8"/>
  <c r="C4908" i="8"/>
  <c r="C4907" i="8"/>
  <c r="C4906" i="8"/>
  <c r="C4905" i="8"/>
  <c r="C4904" i="8"/>
  <c r="C4903" i="8"/>
  <c r="C4902" i="8"/>
  <c r="C4901" i="8"/>
  <c r="C4900" i="8"/>
  <c r="C4899" i="8"/>
  <c r="C4898" i="8"/>
  <c r="C4897" i="8"/>
  <c r="C4896" i="8"/>
  <c r="C4895" i="8"/>
  <c r="C4894" i="8"/>
  <c r="C4893" i="8"/>
  <c r="C4892" i="8"/>
  <c r="C4891" i="8"/>
  <c r="C4890" i="8"/>
  <c r="C4889" i="8"/>
  <c r="C4888" i="8"/>
  <c r="C4887" i="8"/>
  <c r="C4886" i="8"/>
  <c r="C4885" i="8"/>
  <c r="C4884" i="8"/>
  <c r="C4883" i="8"/>
  <c r="C4882" i="8"/>
  <c r="C4881" i="8"/>
  <c r="C4880" i="8"/>
  <c r="C4879" i="8"/>
  <c r="C4878" i="8"/>
  <c r="C4877" i="8"/>
  <c r="C4876" i="8"/>
  <c r="C4875" i="8"/>
  <c r="C4874" i="8"/>
  <c r="C4873" i="8"/>
  <c r="C4872" i="8"/>
  <c r="C4871" i="8"/>
  <c r="C4870" i="8"/>
  <c r="C4869" i="8"/>
  <c r="C4868" i="8"/>
  <c r="C4867" i="8"/>
  <c r="C4866" i="8"/>
  <c r="C4865" i="8"/>
  <c r="C4864" i="8"/>
  <c r="C4863" i="8"/>
  <c r="C4862" i="8"/>
  <c r="C4861" i="8"/>
  <c r="C4860" i="8"/>
  <c r="C4859" i="8"/>
  <c r="C4858" i="8"/>
  <c r="C4857" i="8"/>
  <c r="C4856" i="8"/>
  <c r="C4855" i="8"/>
  <c r="C4854" i="8"/>
  <c r="C4853" i="8"/>
  <c r="C4852" i="8"/>
  <c r="C4851" i="8"/>
  <c r="C4850" i="8"/>
  <c r="C4849" i="8"/>
  <c r="C4848" i="8"/>
  <c r="C4847" i="8"/>
  <c r="C4846" i="8"/>
  <c r="C4845" i="8"/>
  <c r="C4844" i="8"/>
  <c r="C4843" i="8"/>
  <c r="C4842" i="8"/>
  <c r="C4841" i="8"/>
  <c r="C4840" i="8"/>
  <c r="C4839" i="8"/>
  <c r="C4838" i="8"/>
  <c r="C4837" i="8"/>
  <c r="C4836" i="8"/>
  <c r="C4835" i="8"/>
  <c r="C4834" i="8"/>
  <c r="C4833" i="8"/>
  <c r="C4832" i="8"/>
  <c r="C4831" i="8"/>
  <c r="C4830" i="8"/>
  <c r="C4829" i="8"/>
  <c r="C4828" i="8"/>
  <c r="C4827" i="8"/>
  <c r="C4826" i="8"/>
  <c r="C4825" i="8"/>
  <c r="C4824" i="8"/>
  <c r="C4823" i="8"/>
  <c r="C4822" i="8"/>
  <c r="C4821" i="8"/>
  <c r="C4820" i="8"/>
  <c r="C4819" i="8"/>
  <c r="C4818" i="8"/>
  <c r="C4817" i="8"/>
  <c r="C4816" i="8"/>
  <c r="C4815" i="8"/>
  <c r="C4814" i="8"/>
  <c r="C4813" i="8"/>
  <c r="C4812" i="8"/>
  <c r="C4811" i="8"/>
  <c r="C4810" i="8"/>
  <c r="C4809" i="8"/>
  <c r="C4808" i="8"/>
  <c r="C4807" i="8"/>
  <c r="C4806" i="8"/>
  <c r="C4805" i="8"/>
  <c r="C4804" i="8"/>
  <c r="C4803" i="8"/>
  <c r="C4802" i="8"/>
  <c r="C4801" i="8"/>
  <c r="C4800" i="8"/>
  <c r="C4799" i="8"/>
  <c r="C4798" i="8"/>
  <c r="C4797" i="8"/>
  <c r="C4796" i="8"/>
  <c r="C4795" i="8"/>
  <c r="C4794" i="8"/>
  <c r="C4793" i="8"/>
  <c r="C4792" i="8"/>
  <c r="C4791" i="8"/>
  <c r="C4790" i="8"/>
  <c r="C4789" i="8"/>
  <c r="C4788" i="8"/>
  <c r="C4787" i="8"/>
  <c r="C4786" i="8"/>
  <c r="C4785" i="8"/>
  <c r="C4784" i="8"/>
  <c r="C4783" i="8"/>
  <c r="C4782" i="8"/>
  <c r="C4781" i="8"/>
  <c r="C4780" i="8"/>
  <c r="C4779" i="8"/>
  <c r="C4778" i="8"/>
  <c r="C4777" i="8"/>
  <c r="C4776" i="8"/>
  <c r="C4775" i="8"/>
  <c r="C4774" i="8"/>
  <c r="C4773" i="8"/>
  <c r="C4772" i="8"/>
  <c r="C4771" i="8"/>
  <c r="C4770" i="8"/>
  <c r="C4769" i="8"/>
  <c r="C4768" i="8"/>
  <c r="C4767" i="8"/>
  <c r="C4766" i="8"/>
  <c r="C4765" i="8"/>
  <c r="C4764" i="8"/>
  <c r="C4763" i="8"/>
  <c r="C4762" i="8"/>
  <c r="C4761" i="8"/>
  <c r="C4760" i="8"/>
  <c r="C4759" i="8"/>
  <c r="C4758" i="8"/>
  <c r="C4757" i="8"/>
  <c r="C4756" i="8"/>
  <c r="C4755" i="8"/>
  <c r="C4754" i="8"/>
  <c r="C4753" i="8"/>
  <c r="C4752" i="8"/>
  <c r="C4751" i="8"/>
  <c r="C4750" i="8"/>
  <c r="C4749" i="8"/>
  <c r="C4748" i="8"/>
  <c r="C4747" i="8"/>
  <c r="C4746" i="8"/>
  <c r="C4745" i="8"/>
  <c r="C4744" i="8"/>
  <c r="C4743" i="8"/>
  <c r="C4742" i="8"/>
  <c r="C4741" i="8"/>
  <c r="C4740" i="8"/>
  <c r="C4739" i="8"/>
  <c r="C4738" i="8"/>
  <c r="C4737" i="8"/>
  <c r="C4736" i="8"/>
  <c r="C4735" i="8"/>
  <c r="C4734" i="8"/>
  <c r="C4733" i="8"/>
  <c r="C4732" i="8"/>
  <c r="C4731" i="8"/>
  <c r="C4730" i="8"/>
  <c r="C4729" i="8"/>
  <c r="C4728" i="8"/>
  <c r="C4727" i="8"/>
  <c r="C4726" i="8"/>
  <c r="C4725" i="8"/>
  <c r="C4724" i="8"/>
  <c r="C4723" i="8"/>
  <c r="C4722" i="8"/>
  <c r="C4721" i="8"/>
  <c r="C4720" i="8"/>
  <c r="C4719" i="8"/>
  <c r="C4718" i="8"/>
  <c r="C4717" i="8"/>
  <c r="C4716" i="8"/>
  <c r="C4715" i="8"/>
  <c r="C4714" i="8"/>
  <c r="C4713" i="8"/>
  <c r="C4712" i="8"/>
  <c r="C4711" i="8"/>
  <c r="C4710" i="8"/>
  <c r="C4709" i="8"/>
  <c r="C4708" i="8"/>
  <c r="C4707" i="8"/>
  <c r="C4706" i="8"/>
  <c r="C4705" i="8"/>
  <c r="C4704" i="8"/>
  <c r="C4703" i="8"/>
  <c r="C4702" i="8"/>
  <c r="C4701" i="8"/>
  <c r="C4700" i="8"/>
  <c r="C4699" i="8"/>
  <c r="C4698" i="8"/>
  <c r="C4697" i="8"/>
  <c r="C4696" i="8"/>
  <c r="C4695" i="8"/>
  <c r="C4694" i="8"/>
  <c r="C4693" i="8"/>
  <c r="C4692" i="8"/>
  <c r="C4691" i="8"/>
  <c r="C4690" i="8"/>
  <c r="C4689" i="8"/>
  <c r="C4688" i="8"/>
  <c r="C4687" i="8"/>
  <c r="C4686" i="8"/>
  <c r="C4685" i="8"/>
  <c r="C4684" i="8"/>
  <c r="C4683" i="8"/>
  <c r="C4682" i="8"/>
  <c r="C4681" i="8"/>
  <c r="C4680" i="8"/>
  <c r="C4679" i="8"/>
  <c r="C4678" i="8"/>
  <c r="C4677" i="8"/>
  <c r="C4676" i="8"/>
  <c r="C4675" i="8"/>
  <c r="C4674" i="8"/>
  <c r="C4673" i="8"/>
  <c r="C4672" i="8"/>
  <c r="C4671" i="8"/>
  <c r="C4670" i="8"/>
  <c r="C4669" i="8"/>
  <c r="C4668" i="8"/>
  <c r="C4667" i="8"/>
  <c r="C4666" i="8"/>
  <c r="C4665" i="8"/>
  <c r="C4664" i="8"/>
  <c r="C4663" i="8"/>
  <c r="C4662" i="8"/>
  <c r="C4661" i="8"/>
  <c r="C4660" i="8"/>
  <c r="C4659" i="8"/>
  <c r="C4658" i="8"/>
  <c r="C4657" i="8"/>
  <c r="C4656" i="8"/>
  <c r="C4655" i="8"/>
  <c r="C4654" i="8"/>
  <c r="C4653" i="8"/>
  <c r="C4652" i="8"/>
  <c r="C4651" i="8"/>
  <c r="C4650" i="8"/>
  <c r="C4649" i="8"/>
  <c r="C4648" i="8"/>
  <c r="C4647" i="8"/>
  <c r="C4646" i="8"/>
  <c r="C4645" i="8"/>
  <c r="C4644" i="8"/>
  <c r="C4643" i="8"/>
  <c r="C4642" i="8"/>
  <c r="C4641" i="8"/>
  <c r="C4640" i="8"/>
  <c r="C4639" i="8"/>
  <c r="C4638" i="8"/>
  <c r="C4637" i="8"/>
  <c r="C4636" i="8"/>
  <c r="C4635" i="8"/>
  <c r="C4634" i="8"/>
  <c r="C4633" i="8"/>
  <c r="C4632" i="8"/>
  <c r="C4631" i="8"/>
  <c r="C4630" i="8"/>
  <c r="C4629" i="8"/>
  <c r="C4628" i="8"/>
  <c r="C4627" i="8"/>
  <c r="C4626" i="8"/>
  <c r="C4625" i="8"/>
  <c r="C4624" i="8"/>
  <c r="C4623" i="8"/>
  <c r="C4622" i="8"/>
  <c r="C4621" i="8"/>
  <c r="C4620" i="8"/>
  <c r="C4619" i="8"/>
  <c r="C4618" i="8"/>
  <c r="C4617" i="8"/>
  <c r="C4616" i="8"/>
  <c r="C4615" i="8"/>
  <c r="C4614" i="8"/>
  <c r="C4613" i="8"/>
  <c r="C4612" i="8"/>
  <c r="C4611" i="8"/>
  <c r="C4610" i="8"/>
  <c r="C4609" i="8"/>
  <c r="C4608" i="8"/>
  <c r="C4607" i="8"/>
  <c r="C4606" i="8"/>
  <c r="C4605" i="8"/>
  <c r="C4604" i="8"/>
  <c r="C4603" i="8"/>
  <c r="C4602" i="8"/>
  <c r="C4601" i="8"/>
  <c r="C4600" i="8"/>
  <c r="C4599" i="8"/>
  <c r="C4598" i="8"/>
  <c r="C4597" i="8"/>
  <c r="C4596" i="8"/>
  <c r="C4595" i="8"/>
  <c r="C4594" i="8"/>
  <c r="C4593" i="8"/>
  <c r="C4592" i="8"/>
  <c r="C4591" i="8"/>
  <c r="C4590" i="8"/>
  <c r="C4589" i="8"/>
  <c r="C4588" i="8"/>
  <c r="C4587" i="8"/>
  <c r="C4586" i="8"/>
  <c r="C4585" i="8"/>
  <c r="C4584" i="8"/>
  <c r="C4583" i="8"/>
  <c r="C4582" i="8"/>
  <c r="C4581" i="8"/>
  <c r="C4580" i="8"/>
  <c r="C4579" i="8"/>
  <c r="C4578" i="8"/>
  <c r="C4577" i="8"/>
  <c r="C4576" i="8"/>
  <c r="C4575" i="8"/>
  <c r="C4574" i="8"/>
  <c r="C4573" i="8"/>
  <c r="C4572" i="8"/>
  <c r="C4571" i="8"/>
  <c r="C4570" i="8"/>
  <c r="C4569" i="8"/>
  <c r="C4568" i="8"/>
  <c r="C4567" i="8"/>
  <c r="C4566" i="8"/>
  <c r="C4565" i="8"/>
  <c r="C4564" i="8"/>
  <c r="C4563" i="8"/>
  <c r="C4562" i="8"/>
  <c r="C4561" i="8"/>
  <c r="C4560" i="8"/>
  <c r="C4559" i="8"/>
  <c r="C4558" i="8"/>
  <c r="C4557" i="8"/>
  <c r="C4556" i="8"/>
  <c r="C4555" i="8"/>
  <c r="C4554" i="8"/>
  <c r="C4553" i="8"/>
  <c r="C4552" i="8"/>
  <c r="C4551" i="8"/>
  <c r="C4550" i="8"/>
  <c r="C4549" i="8"/>
  <c r="C4548" i="8"/>
  <c r="C4547" i="8"/>
  <c r="C4546" i="8"/>
  <c r="C4545" i="8"/>
  <c r="C4544" i="8"/>
  <c r="C4543" i="8"/>
  <c r="C4542" i="8"/>
  <c r="C4541" i="8"/>
  <c r="C4540" i="8"/>
  <c r="C4539" i="8"/>
  <c r="C4538" i="8"/>
  <c r="C4537" i="8"/>
  <c r="C4536" i="8"/>
  <c r="C4535" i="8"/>
  <c r="C4534" i="8"/>
  <c r="C4533" i="8"/>
  <c r="C4532" i="8"/>
  <c r="C4531" i="8"/>
  <c r="C4530" i="8"/>
  <c r="C4529" i="8"/>
  <c r="C4528" i="8"/>
  <c r="C4527" i="8"/>
  <c r="C4526" i="8"/>
  <c r="C4525" i="8"/>
  <c r="C4524" i="8"/>
  <c r="C4523" i="8"/>
  <c r="C4522" i="8"/>
  <c r="C4521" i="8"/>
  <c r="C4520" i="8"/>
  <c r="C4519" i="8"/>
  <c r="C4518" i="8"/>
  <c r="C4517" i="8"/>
  <c r="C4516" i="8"/>
  <c r="C4515" i="8"/>
  <c r="C4514" i="8"/>
  <c r="C4513" i="8"/>
  <c r="C4512" i="8"/>
  <c r="C4511" i="8"/>
  <c r="C4510" i="8"/>
  <c r="C4509" i="8"/>
  <c r="C4508" i="8"/>
  <c r="C4507" i="8"/>
  <c r="C4506" i="8"/>
  <c r="C4505" i="8"/>
  <c r="C4504" i="8"/>
  <c r="C4503" i="8"/>
  <c r="C4502" i="8"/>
  <c r="C4501" i="8"/>
  <c r="C4500" i="8"/>
  <c r="C4499" i="8"/>
  <c r="C4498" i="8"/>
  <c r="C4497" i="8"/>
  <c r="C4496" i="8"/>
  <c r="C4495" i="8"/>
  <c r="C4494" i="8"/>
  <c r="C4493" i="8"/>
  <c r="C4492" i="8"/>
  <c r="C4491" i="8"/>
  <c r="C4490" i="8"/>
  <c r="C4489" i="8"/>
  <c r="C4488" i="8"/>
  <c r="C4487" i="8"/>
  <c r="C4486" i="8"/>
  <c r="C4485" i="8"/>
  <c r="C4484" i="8"/>
  <c r="C4483" i="8"/>
  <c r="C4482" i="8"/>
  <c r="C4481" i="8"/>
  <c r="C4480" i="8"/>
  <c r="C4479" i="8"/>
  <c r="C4478" i="8"/>
  <c r="C4477" i="8"/>
  <c r="C4476" i="8"/>
  <c r="C4475" i="8"/>
  <c r="C4474" i="8"/>
  <c r="C4473" i="8"/>
  <c r="C4472" i="8"/>
  <c r="C4471" i="8"/>
  <c r="C4470" i="8"/>
  <c r="C4469" i="8"/>
  <c r="C4468" i="8"/>
  <c r="C4467" i="8"/>
  <c r="C4466" i="8"/>
  <c r="C4465" i="8"/>
  <c r="C4464" i="8"/>
  <c r="C4463" i="8"/>
  <c r="C4462" i="8"/>
  <c r="C4461" i="8"/>
  <c r="C4460" i="8"/>
  <c r="C4459" i="8"/>
  <c r="C4458" i="8"/>
  <c r="C4457" i="8"/>
  <c r="C4456" i="8"/>
  <c r="C4455" i="8"/>
  <c r="C4454" i="8"/>
  <c r="C4453" i="8"/>
  <c r="C4452" i="8"/>
  <c r="C4451" i="8"/>
  <c r="C4450" i="8"/>
  <c r="C4449" i="8"/>
  <c r="C4448" i="8"/>
  <c r="C4447" i="8"/>
  <c r="C4446" i="8"/>
  <c r="C4445" i="8"/>
  <c r="C4444" i="8"/>
  <c r="C4443" i="8"/>
  <c r="C4442" i="8"/>
  <c r="C4441" i="8"/>
  <c r="C4440" i="8"/>
  <c r="C4439" i="8"/>
  <c r="C4438" i="8"/>
  <c r="C4437" i="8"/>
  <c r="C4436" i="8"/>
  <c r="C4435" i="8"/>
  <c r="C4434" i="8"/>
  <c r="C4433" i="8"/>
  <c r="C4432" i="8"/>
  <c r="C4431" i="8"/>
  <c r="C4430" i="8"/>
  <c r="C4429" i="8"/>
  <c r="C4428" i="8"/>
  <c r="C4427" i="8"/>
  <c r="C4426" i="8"/>
  <c r="C4425" i="8"/>
  <c r="C4424" i="8"/>
  <c r="C4423" i="8"/>
  <c r="C4422" i="8"/>
  <c r="C4421" i="8"/>
  <c r="C4420" i="8"/>
  <c r="C4419" i="8"/>
  <c r="C4418" i="8"/>
  <c r="C4417" i="8"/>
  <c r="C4416" i="8"/>
  <c r="C4415" i="8"/>
  <c r="C4414" i="8"/>
  <c r="C4413" i="8"/>
  <c r="C4412" i="8"/>
  <c r="C4411" i="8"/>
  <c r="C4410" i="8"/>
  <c r="C4409" i="8"/>
  <c r="C4408" i="8"/>
  <c r="C4407" i="8"/>
  <c r="C4406" i="8"/>
  <c r="C4405" i="8"/>
  <c r="C4404" i="8"/>
  <c r="C4403" i="8"/>
  <c r="C4402" i="8"/>
  <c r="C4401" i="8"/>
  <c r="C4400" i="8"/>
  <c r="C4399" i="8"/>
  <c r="C4398" i="8"/>
  <c r="C4397" i="8"/>
  <c r="C4396" i="8"/>
  <c r="C4395" i="8"/>
  <c r="C4394" i="8"/>
  <c r="C4393" i="8"/>
  <c r="C4392" i="8"/>
  <c r="C4391" i="8"/>
  <c r="C4390" i="8"/>
  <c r="C4389" i="8"/>
  <c r="C4388" i="8"/>
  <c r="C4387" i="8"/>
  <c r="C4386" i="8"/>
  <c r="C4385" i="8"/>
  <c r="C4384" i="8"/>
  <c r="C4383" i="8"/>
  <c r="C4382" i="8"/>
  <c r="C4381" i="8"/>
  <c r="C4380" i="8"/>
  <c r="C4379" i="8"/>
  <c r="C4378" i="8"/>
  <c r="C4377" i="8"/>
  <c r="C4376" i="8"/>
  <c r="C4375" i="8"/>
  <c r="C4374" i="8"/>
  <c r="C4373" i="8"/>
  <c r="C4372" i="8"/>
  <c r="C4371" i="8"/>
  <c r="C4370" i="8"/>
  <c r="C4369" i="8"/>
  <c r="C4368" i="8"/>
  <c r="C4367" i="8"/>
  <c r="C4366" i="8"/>
  <c r="C4365" i="8"/>
  <c r="C4364" i="8"/>
  <c r="C4363" i="8"/>
  <c r="C4362" i="8"/>
  <c r="C4361" i="8"/>
  <c r="C4360" i="8"/>
  <c r="C4359" i="8"/>
  <c r="C4358" i="8"/>
  <c r="C4357" i="8"/>
  <c r="C4356" i="8"/>
  <c r="C4355" i="8"/>
  <c r="C4354" i="8"/>
  <c r="C4353" i="8"/>
  <c r="C4352" i="8"/>
  <c r="C4351" i="8"/>
  <c r="C4350" i="8"/>
  <c r="C4349" i="8"/>
  <c r="C4348" i="8"/>
  <c r="C4347" i="8"/>
  <c r="C4346" i="8"/>
  <c r="C4345" i="8"/>
  <c r="C4344" i="8"/>
  <c r="C4343" i="8"/>
  <c r="C4342" i="8"/>
  <c r="C4341" i="8"/>
  <c r="C4340" i="8"/>
  <c r="C4339" i="8"/>
  <c r="C4338" i="8"/>
  <c r="C4337" i="8"/>
  <c r="C4336" i="8"/>
  <c r="C4335" i="8"/>
  <c r="C4334" i="8"/>
  <c r="C4333" i="8"/>
  <c r="C4332" i="8"/>
  <c r="C4331" i="8"/>
  <c r="C4330" i="8"/>
  <c r="C4329" i="8"/>
  <c r="C4328" i="8"/>
  <c r="C4327" i="8"/>
  <c r="C4326" i="8"/>
  <c r="C4325" i="8"/>
  <c r="C4324" i="8"/>
  <c r="C4323" i="8"/>
  <c r="C4322" i="8"/>
  <c r="C4321" i="8"/>
  <c r="C4320" i="8"/>
  <c r="C4319" i="8"/>
  <c r="C4318" i="8"/>
  <c r="C4317" i="8"/>
  <c r="C4316" i="8"/>
  <c r="C4315" i="8"/>
  <c r="C4314" i="8"/>
  <c r="C4313" i="8"/>
  <c r="C4312" i="8"/>
  <c r="C4311" i="8"/>
  <c r="C4310" i="8"/>
  <c r="C4309" i="8"/>
  <c r="C4308" i="8"/>
  <c r="C4307" i="8"/>
  <c r="C4306" i="8"/>
  <c r="C4305" i="8"/>
  <c r="C4304" i="8"/>
  <c r="C4303" i="8"/>
  <c r="C4302" i="8"/>
  <c r="C4301" i="8"/>
  <c r="C4300" i="8"/>
  <c r="C4299" i="8"/>
  <c r="C4298" i="8"/>
  <c r="C4297" i="8"/>
  <c r="C4296" i="8"/>
  <c r="C4295" i="8"/>
  <c r="C4294" i="8"/>
  <c r="C4293" i="8"/>
  <c r="C4292" i="8"/>
  <c r="C4291" i="8"/>
  <c r="C4290" i="8"/>
  <c r="C4289" i="8"/>
  <c r="C4288" i="8"/>
  <c r="C4287" i="8"/>
  <c r="C4286" i="8"/>
  <c r="C4285" i="8"/>
  <c r="C4284" i="8"/>
  <c r="C4283" i="8"/>
  <c r="C4282" i="8"/>
  <c r="C4281" i="8"/>
  <c r="C4280" i="8"/>
  <c r="C4279" i="8"/>
  <c r="C4278" i="8"/>
  <c r="C4277" i="8"/>
  <c r="C4276" i="8"/>
  <c r="C4275" i="8"/>
  <c r="C4274" i="8"/>
  <c r="C4273" i="8"/>
  <c r="C4272" i="8"/>
  <c r="C4271" i="8"/>
  <c r="C4270" i="8"/>
  <c r="C4269" i="8"/>
  <c r="C4268" i="8"/>
  <c r="C4267" i="8"/>
  <c r="C4266" i="8"/>
  <c r="C4265" i="8"/>
  <c r="C4264" i="8"/>
  <c r="C4263" i="8"/>
  <c r="C4262" i="8"/>
  <c r="C4261" i="8"/>
  <c r="C4260" i="8"/>
  <c r="C4259" i="8"/>
  <c r="C4258" i="8"/>
  <c r="C4257" i="8"/>
  <c r="C4256" i="8"/>
  <c r="C4255" i="8"/>
  <c r="C4254" i="8"/>
  <c r="C4253" i="8"/>
  <c r="C4252" i="8"/>
  <c r="C4251" i="8"/>
  <c r="C4250" i="8"/>
  <c r="C4249" i="8"/>
  <c r="C4248" i="8"/>
  <c r="C4247" i="8"/>
  <c r="C4246" i="8"/>
  <c r="C4245" i="8"/>
  <c r="C4244" i="8"/>
  <c r="C4243" i="8"/>
  <c r="C4242" i="8"/>
  <c r="C4241" i="8"/>
  <c r="C4240" i="8"/>
  <c r="C4239" i="8"/>
  <c r="C4238" i="8"/>
  <c r="C4237" i="8"/>
  <c r="C4236" i="8"/>
  <c r="C4235" i="8"/>
  <c r="C4234" i="8"/>
  <c r="C4233" i="8"/>
  <c r="C4232" i="8"/>
  <c r="C4231" i="8"/>
  <c r="C4230" i="8"/>
  <c r="C4229" i="8"/>
  <c r="C4228" i="8"/>
  <c r="C4227" i="8"/>
  <c r="C4226" i="8"/>
  <c r="C4225" i="8"/>
  <c r="C4224" i="8"/>
  <c r="C4223" i="8"/>
  <c r="C4222" i="8"/>
  <c r="C4221" i="8"/>
  <c r="C4220" i="8"/>
  <c r="C4219" i="8"/>
  <c r="C4218" i="8"/>
  <c r="C4217" i="8"/>
  <c r="C4216" i="8"/>
  <c r="C4215" i="8"/>
  <c r="C4214" i="8"/>
  <c r="C4213" i="8"/>
  <c r="C4212" i="8"/>
  <c r="C4211" i="8"/>
  <c r="C4210" i="8"/>
  <c r="C4209" i="8"/>
  <c r="C4208" i="8"/>
  <c r="C4207" i="8"/>
  <c r="C4206" i="8"/>
  <c r="C4205" i="8"/>
  <c r="C4204" i="8"/>
  <c r="C4203" i="8"/>
  <c r="C4202" i="8"/>
  <c r="C4201" i="8"/>
  <c r="C4200" i="8"/>
  <c r="C4199" i="8"/>
  <c r="C4198" i="8"/>
  <c r="C4197" i="8"/>
  <c r="C4196" i="8"/>
  <c r="C4195" i="8"/>
  <c r="C4194" i="8"/>
  <c r="C4193" i="8"/>
  <c r="C4192" i="8"/>
  <c r="C4191" i="8"/>
  <c r="C4190" i="8"/>
  <c r="C4189" i="8"/>
  <c r="C4188" i="8"/>
  <c r="C4187" i="8"/>
  <c r="C4186" i="8"/>
  <c r="C4185" i="8"/>
  <c r="C4184" i="8"/>
  <c r="C4183" i="8"/>
  <c r="C4182" i="8"/>
  <c r="C4181" i="8"/>
  <c r="C4180" i="8"/>
  <c r="C4179" i="8"/>
  <c r="C4178" i="8"/>
  <c r="C4177" i="8"/>
  <c r="C4176" i="8"/>
  <c r="C4175" i="8"/>
  <c r="C4174" i="8"/>
  <c r="C4173" i="8"/>
  <c r="C4172" i="8"/>
  <c r="C4171" i="8"/>
  <c r="C4170" i="8"/>
  <c r="C4169" i="8"/>
  <c r="C4168" i="8"/>
  <c r="C4167" i="8"/>
  <c r="C4166" i="8"/>
  <c r="C4165" i="8"/>
  <c r="C4164" i="8"/>
  <c r="C4163" i="8"/>
  <c r="C4162" i="8"/>
  <c r="C4161" i="8"/>
  <c r="C4160" i="8"/>
  <c r="C4159" i="8"/>
  <c r="C4158" i="8"/>
  <c r="C4157" i="8"/>
  <c r="C4156" i="8"/>
  <c r="C4155" i="8"/>
  <c r="C4154" i="8"/>
  <c r="C4153" i="8"/>
  <c r="C4152" i="8"/>
  <c r="C4151" i="8"/>
  <c r="C4150" i="8"/>
  <c r="C4149" i="8"/>
  <c r="C4148" i="8"/>
  <c r="C4147" i="8"/>
  <c r="C4146" i="8"/>
  <c r="C4145" i="8"/>
  <c r="C4144" i="8"/>
  <c r="C4143" i="8"/>
  <c r="C4142" i="8"/>
  <c r="C4141" i="8"/>
  <c r="C4140" i="8"/>
  <c r="C4139" i="8"/>
  <c r="C4138" i="8"/>
  <c r="C4137" i="8"/>
  <c r="C4136" i="8"/>
  <c r="C4135" i="8"/>
  <c r="C4134" i="8"/>
  <c r="C4133" i="8"/>
  <c r="C4132" i="8"/>
  <c r="C4131" i="8"/>
  <c r="C4130" i="8"/>
  <c r="C4129" i="8"/>
  <c r="C4128" i="8"/>
  <c r="C4127" i="8"/>
  <c r="C4126" i="8"/>
  <c r="C4125" i="8"/>
  <c r="C4124" i="8"/>
  <c r="C4123" i="8"/>
  <c r="C4122" i="8"/>
  <c r="C4121" i="8"/>
  <c r="C4120" i="8"/>
  <c r="C4119" i="8"/>
  <c r="C4118" i="8"/>
  <c r="C4117" i="8"/>
  <c r="C4116" i="8"/>
  <c r="C4115" i="8"/>
  <c r="C4114" i="8"/>
  <c r="C4113" i="8"/>
  <c r="C4112" i="8"/>
  <c r="C4111" i="8"/>
  <c r="C4110" i="8"/>
  <c r="C4109" i="8"/>
  <c r="C4108" i="8"/>
  <c r="C4107" i="8"/>
  <c r="C4106" i="8"/>
  <c r="C4105" i="8"/>
  <c r="C4104" i="8"/>
  <c r="C4103" i="8"/>
  <c r="C4102" i="8"/>
  <c r="C4101" i="8"/>
  <c r="C4100" i="8"/>
  <c r="C4099" i="8"/>
  <c r="C4098" i="8"/>
  <c r="C4097" i="8"/>
  <c r="C4096" i="8"/>
  <c r="C4095" i="8"/>
  <c r="C4094" i="8"/>
  <c r="C4093" i="8"/>
  <c r="C4092" i="8"/>
  <c r="C4091" i="8"/>
  <c r="C4090" i="8"/>
  <c r="C4089" i="8"/>
  <c r="C4088" i="8"/>
  <c r="C4087" i="8"/>
  <c r="C4086" i="8"/>
  <c r="C4085" i="8"/>
  <c r="C4084" i="8"/>
  <c r="C4083" i="8"/>
  <c r="C4082" i="8"/>
  <c r="C4081" i="8"/>
  <c r="C4080" i="8"/>
  <c r="C4079" i="8"/>
  <c r="C4078" i="8"/>
  <c r="C4077" i="8"/>
  <c r="C4076" i="8"/>
  <c r="C4075" i="8"/>
  <c r="C4074" i="8"/>
  <c r="C4073" i="8"/>
  <c r="C4072" i="8"/>
  <c r="C4071" i="8"/>
  <c r="C4070" i="8"/>
  <c r="C4069" i="8"/>
  <c r="C4068" i="8"/>
  <c r="C4067" i="8"/>
  <c r="C4066" i="8"/>
  <c r="C4065" i="8"/>
  <c r="C4064" i="8"/>
  <c r="C4063" i="8"/>
  <c r="C4062" i="8"/>
  <c r="C4061" i="8"/>
  <c r="C4060" i="8"/>
  <c r="C4059" i="8"/>
  <c r="C4058" i="8"/>
  <c r="C4057" i="8"/>
  <c r="C4056" i="8"/>
  <c r="C4055" i="8"/>
  <c r="C4054" i="8"/>
  <c r="C4053" i="8"/>
  <c r="C4052" i="8"/>
  <c r="C4051" i="8"/>
  <c r="C4050" i="8"/>
  <c r="C4049" i="8"/>
  <c r="C4048" i="8"/>
  <c r="C4047" i="8"/>
  <c r="C4046" i="8"/>
  <c r="C4045" i="8"/>
  <c r="C4044" i="8"/>
  <c r="C4043" i="8"/>
  <c r="C4042" i="8"/>
  <c r="C4041" i="8"/>
  <c r="C4040" i="8"/>
  <c r="C4039" i="8"/>
  <c r="C4038" i="8"/>
  <c r="C4037" i="8"/>
  <c r="C4036" i="8"/>
  <c r="C4035" i="8"/>
  <c r="C4034" i="8"/>
  <c r="C4033" i="8"/>
  <c r="C4032" i="8"/>
  <c r="C4031" i="8"/>
  <c r="C4030" i="8"/>
  <c r="C4029" i="8"/>
  <c r="C4028" i="8"/>
  <c r="C4027" i="8"/>
  <c r="C4026" i="8"/>
  <c r="C4025" i="8"/>
  <c r="C4024" i="8"/>
  <c r="C4023" i="8"/>
  <c r="C4022" i="8"/>
  <c r="C4021" i="8"/>
  <c r="C4020" i="8"/>
  <c r="C4019" i="8"/>
  <c r="C4018" i="8"/>
  <c r="C4017" i="8"/>
  <c r="C4016" i="8"/>
  <c r="C4015" i="8"/>
  <c r="C4014" i="8"/>
  <c r="C4013" i="8"/>
  <c r="C4012" i="8"/>
  <c r="C4011" i="8"/>
  <c r="C4010" i="8"/>
  <c r="C4009" i="8"/>
  <c r="C4008" i="8"/>
  <c r="C4007" i="8"/>
  <c r="C4006" i="8"/>
  <c r="C4005" i="8"/>
  <c r="C4004" i="8"/>
  <c r="C4003" i="8"/>
  <c r="C4002" i="8"/>
  <c r="C4001" i="8"/>
  <c r="C4000" i="8"/>
  <c r="C3999" i="8"/>
  <c r="C3998" i="8"/>
  <c r="C3997" i="8"/>
  <c r="C3996" i="8"/>
  <c r="C3995" i="8"/>
  <c r="C3994" i="8"/>
  <c r="C3993" i="8"/>
  <c r="C3992" i="8"/>
  <c r="C3991" i="8"/>
  <c r="C3990" i="8"/>
  <c r="C3989" i="8"/>
  <c r="C3988" i="8"/>
  <c r="C3987" i="8"/>
  <c r="C3986" i="8"/>
  <c r="C3985" i="8"/>
  <c r="C3984" i="8"/>
  <c r="C3983" i="8"/>
  <c r="C3982" i="8"/>
  <c r="C3981" i="8"/>
  <c r="C3980" i="8"/>
  <c r="C3979" i="8"/>
  <c r="C3978" i="8"/>
  <c r="C3977" i="8"/>
  <c r="C3976" i="8"/>
  <c r="C3975" i="8"/>
  <c r="C3974" i="8"/>
  <c r="C3973" i="8"/>
  <c r="C3972" i="8"/>
  <c r="C3971" i="8"/>
  <c r="C3970" i="8"/>
  <c r="C3969" i="8"/>
  <c r="C3968" i="8"/>
  <c r="C3967" i="8"/>
  <c r="C3966" i="8"/>
  <c r="C3965" i="8"/>
  <c r="C3964" i="8"/>
  <c r="C3963" i="8"/>
  <c r="C3962" i="8"/>
  <c r="C3961" i="8"/>
  <c r="C3960" i="8"/>
  <c r="C3959" i="8"/>
  <c r="C3958" i="8"/>
  <c r="C3957" i="8"/>
  <c r="C3956" i="8"/>
  <c r="C3955" i="8"/>
  <c r="C3954" i="8"/>
  <c r="C3953" i="8"/>
  <c r="C3952" i="8"/>
  <c r="C3951" i="8"/>
  <c r="C3950" i="8"/>
  <c r="C3949" i="8"/>
  <c r="C3948" i="8"/>
  <c r="C3947" i="8"/>
  <c r="C3946" i="8"/>
  <c r="C3945" i="8"/>
  <c r="C3944" i="8"/>
  <c r="C3943" i="8"/>
  <c r="C3942" i="8"/>
  <c r="C3941" i="8"/>
  <c r="C3940" i="8"/>
  <c r="C3939" i="8"/>
  <c r="C3938" i="8"/>
  <c r="C3937" i="8"/>
  <c r="C3936" i="8"/>
  <c r="C3935" i="8"/>
  <c r="C3934" i="8"/>
  <c r="C3933" i="8"/>
  <c r="C3932" i="8"/>
  <c r="C3931" i="8"/>
  <c r="C3930" i="8"/>
  <c r="C3929" i="8"/>
  <c r="C3928" i="8"/>
  <c r="C3927" i="8"/>
  <c r="C3926" i="8"/>
  <c r="C3925" i="8"/>
  <c r="C3924" i="8"/>
  <c r="C3923" i="8"/>
  <c r="C3922" i="8"/>
  <c r="C3921" i="8"/>
  <c r="C3920" i="8"/>
  <c r="C3919" i="8"/>
  <c r="C3918" i="8"/>
  <c r="C3917" i="8"/>
  <c r="C3916" i="8"/>
  <c r="C3915" i="8"/>
  <c r="C3914" i="8"/>
  <c r="C3913" i="8"/>
  <c r="C3912" i="8"/>
  <c r="C3911" i="8"/>
  <c r="C3910" i="8"/>
  <c r="C3909" i="8"/>
  <c r="C3908" i="8"/>
  <c r="C3907" i="8"/>
  <c r="C3906" i="8"/>
  <c r="C3905" i="8"/>
  <c r="C3904" i="8"/>
  <c r="C3903" i="8"/>
  <c r="C3902" i="8"/>
  <c r="C3901" i="8"/>
  <c r="C3900" i="8"/>
  <c r="C3899" i="8"/>
  <c r="C3898" i="8"/>
  <c r="C3897" i="8"/>
  <c r="C3896" i="8"/>
  <c r="C3895" i="8"/>
  <c r="C3894" i="8"/>
  <c r="C3893" i="8"/>
  <c r="C3892" i="8"/>
  <c r="C3891" i="8"/>
  <c r="C3890" i="8"/>
  <c r="C3889" i="8"/>
  <c r="C3888" i="8"/>
  <c r="C3887" i="8"/>
  <c r="C3886" i="8"/>
  <c r="C3885" i="8"/>
  <c r="C3884" i="8"/>
  <c r="C3883" i="8"/>
  <c r="C3882" i="8"/>
  <c r="C3881" i="8"/>
  <c r="C3880" i="8"/>
  <c r="C3879" i="8"/>
  <c r="C3878" i="8"/>
  <c r="C3877" i="8"/>
  <c r="C3876" i="8"/>
  <c r="C3875" i="8"/>
  <c r="C3874" i="8"/>
  <c r="C3873" i="8"/>
  <c r="C3872" i="8"/>
  <c r="C3871" i="8"/>
  <c r="C3870" i="8"/>
  <c r="C3869" i="8"/>
  <c r="C3868" i="8"/>
  <c r="C3867" i="8"/>
  <c r="C3866" i="8"/>
  <c r="C3865" i="8"/>
  <c r="C3864" i="8"/>
  <c r="C3863" i="8"/>
  <c r="C3862" i="8"/>
  <c r="C3861" i="8"/>
  <c r="C3860" i="8"/>
  <c r="C3859" i="8"/>
  <c r="C3858" i="8"/>
  <c r="C3857" i="8"/>
  <c r="C3856" i="8"/>
  <c r="C3855" i="8"/>
  <c r="C3854" i="8"/>
  <c r="C3853" i="8"/>
  <c r="C3852" i="8"/>
  <c r="C3851" i="8"/>
  <c r="C3850" i="8"/>
  <c r="C3849" i="8"/>
  <c r="C3848" i="8"/>
  <c r="C3847" i="8"/>
  <c r="C3846" i="8"/>
  <c r="C3845" i="8"/>
  <c r="C3844" i="8"/>
  <c r="C3843" i="8"/>
  <c r="C3842" i="8"/>
  <c r="C3841" i="8"/>
  <c r="C3840" i="8"/>
  <c r="C3839" i="8"/>
  <c r="C3838" i="8"/>
  <c r="C3837" i="8"/>
  <c r="C3836" i="8"/>
  <c r="C3835" i="8"/>
  <c r="C3834" i="8"/>
  <c r="C3833" i="8"/>
  <c r="C3832" i="8"/>
  <c r="C3831" i="8"/>
  <c r="C3830" i="8"/>
  <c r="C3829" i="8"/>
  <c r="C3828" i="8"/>
  <c r="C3827" i="8"/>
  <c r="C3826" i="8"/>
  <c r="C3825" i="8"/>
  <c r="C3824" i="8"/>
  <c r="C3823" i="8"/>
  <c r="C3822" i="8"/>
  <c r="C3821" i="8"/>
  <c r="C3820" i="8"/>
  <c r="C3819" i="8"/>
  <c r="C3818" i="8"/>
  <c r="C3817" i="8"/>
  <c r="C3816" i="8"/>
  <c r="C3815" i="8"/>
  <c r="C3814" i="8"/>
  <c r="C3813" i="8"/>
  <c r="C3812" i="8"/>
  <c r="C3811" i="8"/>
  <c r="C3810" i="8"/>
  <c r="C3809" i="8"/>
  <c r="C3808" i="8"/>
  <c r="C3807" i="8"/>
  <c r="C3806" i="8"/>
  <c r="C3805" i="8"/>
  <c r="C3804" i="8"/>
  <c r="C3803" i="8"/>
  <c r="C3802" i="8"/>
  <c r="C3801" i="8"/>
  <c r="C3800" i="8"/>
  <c r="C3799" i="8"/>
  <c r="C3798" i="8"/>
  <c r="C3797" i="8"/>
  <c r="C3796" i="8"/>
  <c r="C3795" i="8"/>
  <c r="C3794" i="8"/>
  <c r="C3793" i="8"/>
  <c r="C3792" i="8"/>
  <c r="C3791" i="8"/>
  <c r="C3790" i="8"/>
  <c r="C3789" i="8"/>
  <c r="C3788" i="8"/>
  <c r="C3787" i="8"/>
  <c r="C3786" i="8"/>
  <c r="C3785" i="8"/>
  <c r="C3784" i="8"/>
  <c r="C3783" i="8"/>
  <c r="C3782" i="8"/>
  <c r="C3781" i="8"/>
  <c r="C3780" i="8"/>
  <c r="C3779" i="8"/>
  <c r="C3778" i="8"/>
  <c r="C3777" i="8"/>
  <c r="C3776" i="8"/>
  <c r="C3775" i="8"/>
  <c r="C3774" i="8"/>
  <c r="C3773" i="8"/>
  <c r="C3772" i="8"/>
  <c r="C3771" i="8"/>
  <c r="C3770" i="8"/>
  <c r="C3769" i="8"/>
  <c r="C3768" i="8"/>
  <c r="C3767" i="8"/>
  <c r="C3766" i="8"/>
  <c r="C3765" i="8"/>
  <c r="C3764" i="8"/>
  <c r="C3763" i="8"/>
  <c r="C3762" i="8"/>
  <c r="C3761" i="8"/>
  <c r="C3760" i="8"/>
  <c r="C3759" i="8"/>
  <c r="C3758" i="8"/>
  <c r="C3757" i="8"/>
  <c r="C3756" i="8"/>
  <c r="C3755" i="8"/>
  <c r="C3754" i="8"/>
  <c r="C3753" i="8"/>
  <c r="C3752" i="8"/>
  <c r="C3751" i="8"/>
  <c r="C3750" i="8"/>
  <c r="C3749" i="8"/>
  <c r="C3748" i="8"/>
  <c r="C3747" i="8"/>
  <c r="C3746" i="8"/>
  <c r="C3745" i="8"/>
  <c r="C3744" i="8"/>
  <c r="C3743" i="8"/>
  <c r="C3742" i="8"/>
  <c r="C3741" i="8"/>
  <c r="C3740" i="8"/>
  <c r="C3739" i="8"/>
  <c r="C3738" i="8"/>
  <c r="C3737" i="8"/>
  <c r="C3736" i="8"/>
  <c r="C3735" i="8"/>
  <c r="C3734" i="8"/>
  <c r="C3733" i="8"/>
  <c r="C3732" i="8"/>
  <c r="C3731" i="8"/>
  <c r="C3730" i="8"/>
  <c r="C3729" i="8"/>
  <c r="C3728" i="8"/>
  <c r="C3727" i="8"/>
  <c r="C3726" i="8"/>
  <c r="C3725" i="8"/>
  <c r="C3724" i="8"/>
  <c r="C3723" i="8"/>
  <c r="C3722" i="8"/>
  <c r="C3721" i="8"/>
  <c r="C3720" i="8"/>
  <c r="C3719" i="8"/>
  <c r="C3718" i="8"/>
  <c r="C3717" i="8"/>
  <c r="C3716" i="8"/>
  <c r="C3715" i="8"/>
  <c r="C3714" i="8"/>
  <c r="C3713" i="8"/>
  <c r="C3712" i="8"/>
  <c r="C3711" i="8"/>
  <c r="C3710" i="8"/>
  <c r="C3709" i="8"/>
  <c r="C3708" i="8"/>
  <c r="C3707" i="8"/>
  <c r="C3706" i="8"/>
  <c r="C3705" i="8"/>
  <c r="C3704" i="8"/>
  <c r="C3703" i="8"/>
  <c r="C3702" i="8"/>
  <c r="C3701" i="8"/>
  <c r="C3700" i="8"/>
  <c r="C3699" i="8"/>
  <c r="C3698" i="8"/>
  <c r="C3697" i="8"/>
  <c r="C3696" i="8"/>
  <c r="C3695" i="8"/>
  <c r="C3694" i="8"/>
  <c r="C3693" i="8"/>
  <c r="C3692" i="8"/>
  <c r="C3691" i="8"/>
  <c r="C3690" i="8"/>
  <c r="C3689" i="8"/>
  <c r="C3688" i="8"/>
  <c r="C3687" i="8"/>
  <c r="C3686" i="8"/>
  <c r="C3685" i="8"/>
  <c r="C3684" i="8"/>
  <c r="C3683" i="8"/>
  <c r="C3682" i="8"/>
  <c r="C3681" i="8"/>
  <c r="C3680" i="8"/>
  <c r="C3679" i="8"/>
  <c r="C3678" i="8"/>
  <c r="C3677" i="8"/>
  <c r="C3676" i="8"/>
  <c r="C3675" i="8"/>
  <c r="C3674" i="8"/>
  <c r="C3673" i="8"/>
  <c r="C3672" i="8"/>
  <c r="C3671" i="8"/>
  <c r="C3670" i="8"/>
  <c r="C3669" i="8"/>
  <c r="C3668" i="8"/>
  <c r="C3667" i="8"/>
  <c r="C3666" i="8"/>
  <c r="C3665" i="8"/>
  <c r="C3664" i="8"/>
  <c r="C3663" i="8"/>
  <c r="C3662" i="8"/>
  <c r="C3661" i="8"/>
  <c r="C3660" i="8"/>
  <c r="C3659" i="8"/>
  <c r="C3658" i="8"/>
  <c r="C3657" i="8"/>
  <c r="C3656" i="8"/>
  <c r="C3655" i="8"/>
  <c r="C3654" i="8"/>
  <c r="C3653" i="8"/>
  <c r="C3652" i="8"/>
  <c r="C3651" i="8"/>
  <c r="C3650" i="8"/>
  <c r="C3649" i="8"/>
  <c r="C3648" i="8"/>
  <c r="C3647" i="8"/>
  <c r="C3646" i="8"/>
  <c r="C3645" i="8"/>
  <c r="C3644" i="8"/>
  <c r="C3643" i="8"/>
  <c r="C3642" i="8"/>
  <c r="C3641" i="8"/>
  <c r="C3640" i="8"/>
  <c r="C3639" i="8"/>
  <c r="C3638" i="8"/>
  <c r="C3637" i="8"/>
  <c r="C3636" i="8"/>
  <c r="C3635" i="8"/>
  <c r="C3634" i="8"/>
  <c r="C3633" i="8"/>
  <c r="C3632" i="8"/>
  <c r="C3631" i="8"/>
  <c r="C3630" i="8"/>
  <c r="C3629" i="8"/>
  <c r="C3628" i="8"/>
  <c r="C3627" i="8"/>
  <c r="C3626" i="8"/>
  <c r="C3625" i="8"/>
  <c r="C3624" i="8"/>
  <c r="C3623" i="8"/>
  <c r="C3622" i="8"/>
  <c r="C3621" i="8"/>
  <c r="C3620" i="8"/>
  <c r="C3619" i="8"/>
  <c r="C3618" i="8"/>
  <c r="C3617" i="8"/>
  <c r="C3616" i="8"/>
  <c r="C3615" i="8"/>
  <c r="C3614" i="8"/>
  <c r="C3613" i="8"/>
  <c r="C3612" i="8"/>
  <c r="C3611" i="8"/>
  <c r="C3610" i="8"/>
  <c r="C3609" i="8"/>
  <c r="C3608" i="8"/>
  <c r="C3607" i="8"/>
  <c r="C3606" i="8"/>
  <c r="C3605" i="8"/>
  <c r="C3604" i="8"/>
  <c r="C3603" i="8"/>
  <c r="C3602" i="8"/>
  <c r="C3601" i="8"/>
  <c r="C3600" i="8"/>
  <c r="C3599" i="8"/>
  <c r="C3598" i="8"/>
  <c r="C3597" i="8"/>
  <c r="C3596" i="8"/>
  <c r="C3595" i="8"/>
  <c r="C3594" i="8"/>
  <c r="C3593" i="8"/>
  <c r="C3592" i="8"/>
  <c r="C3591" i="8"/>
  <c r="C3590" i="8"/>
  <c r="C3589" i="8"/>
  <c r="C3588" i="8"/>
  <c r="C3587" i="8"/>
  <c r="C3586" i="8"/>
  <c r="C3585" i="8"/>
  <c r="C3584" i="8"/>
  <c r="C3583" i="8"/>
  <c r="C3582" i="8"/>
  <c r="C3581" i="8"/>
  <c r="C3580" i="8"/>
  <c r="C3579" i="8"/>
  <c r="C3578" i="8"/>
  <c r="C3577" i="8"/>
  <c r="C3576" i="8"/>
  <c r="C3575" i="8"/>
  <c r="C3574" i="8"/>
  <c r="C3573" i="8"/>
  <c r="C3572" i="8"/>
  <c r="C3571" i="8"/>
  <c r="C3570" i="8"/>
  <c r="C3569" i="8"/>
  <c r="C3568" i="8"/>
  <c r="C3567" i="8"/>
  <c r="C3566" i="8"/>
  <c r="C3565" i="8"/>
  <c r="C3564" i="8"/>
  <c r="C3563" i="8"/>
  <c r="C3562" i="8"/>
  <c r="C3561" i="8"/>
  <c r="C3560" i="8"/>
  <c r="C3559" i="8"/>
  <c r="C3558" i="8"/>
  <c r="C3557" i="8"/>
  <c r="C3556" i="8"/>
  <c r="C3555" i="8"/>
  <c r="C3554" i="8"/>
  <c r="C3553" i="8"/>
  <c r="C3552" i="8"/>
  <c r="C3551" i="8"/>
  <c r="C3550" i="8"/>
  <c r="C3549" i="8"/>
  <c r="C3548" i="8"/>
  <c r="C3547" i="8"/>
  <c r="C3546" i="8"/>
  <c r="C3545" i="8"/>
  <c r="C3544" i="8"/>
  <c r="C3543" i="8"/>
  <c r="C3542" i="8"/>
  <c r="C3541" i="8"/>
  <c r="C3540" i="8"/>
  <c r="C3539" i="8"/>
  <c r="C3538" i="8"/>
  <c r="C3537" i="8"/>
  <c r="C3536" i="8"/>
  <c r="C3535" i="8"/>
  <c r="C3534" i="8"/>
  <c r="C3533" i="8"/>
  <c r="C3532" i="8"/>
  <c r="C3531" i="8"/>
  <c r="C3530" i="8"/>
  <c r="C3529" i="8"/>
  <c r="C3528" i="8"/>
  <c r="C3527" i="8"/>
  <c r="C3526" i="8"/>
  <c r="C3525" i="8"/>
  <c r="C3524" i="8"/>
  <c r="C3523" i="8"/>
  <c r="C3522" i="8"/>
  <c r="C3521" i="8"/>
  <c r="C3520" i="8"/>
  <c r="C3519" i="8"/>
  <c r="C3518" i="8"/>
  <c r="C3517" i="8"/>
  <c r="C3516" i="8"/>
  <c r="C3515" i="8"/>
  <c r="C3514" i="8"/>
  <c r="C3513" i="8"/>
  <c r="C3512" i="8"/>
  <c r="C3511" i="8"/>
  <c r="C3510" i="8"/>
  <c r="C3509" i="8"/>
  <c r="C3508" i="8"/>
  <c r="C3507" i="8"/>
  <c r="C3506" i="8"/>
  <c r="C3505" i="8"/>
  <c r="C3504" i="8"/>
  <c r="C3503" i="8"/>
  <c r="C3502" i="8"/>
  <c r="C3501" i="8"/>
  <c r="C3500" i="8"/>
  <c r="C3499" i="8"/>
  <c r="C3498" i="8"/>
  <c r="C3497" i="8"/>
  <c r="C3496" i="8"/>
  <c r="C3495" i="8"/>
  <c r="C3494" i="8"/>
  <c r="C3493" i="8"/>
  <c r="C3492" i="8"/>
  <c r="C3491" i="8"/>
  <c r="C3490" i="8"/>
  <c r="C3489" i="8"/>
  <c r="C3488" i="8"/>
  <c r="C3487" i="8"/>
  <c r="C3486" i="8"/>
  <c r="C3485" i="8"/>
  <c r="C3484" i="8"/>
  <c r="C3483" i="8"/>
  <c r="C3482" i="8"/>
  <c r="C3481" i="8"/>
  <c r="C3480" i="8"/>
  <c r="C3479" i="8"/>
  <c r="C3478" i="8"/>
  <c r="C3477" i="8"/>
  <c r="C3476" i="8"/>
  <c r="C3475" i="8"/>
  <c r="C3474" i="8"/>
  <c r="C3473" i="8"/>
  <c r="C3472" i="8"/>
  <c r="C3471" i="8"/>
  <c r="C3470" i="8"/>
  <c r="C3469" i="8"/>
  <c r="C3468" i="8"/>
  <c r="C3467" i="8"/>
  <c r="C3466" i="8"/>
  <c r="C3465" i="8"/>
  <c r="C3464" i="8"/>
  <c r="C3463" i="8"/>
  <c r="C3462" i="8"/>
  <c r="C3461" i="8"/>
  <c r="C3460" i="8"/>
  <c r="C3459" i="8"/>
  <c r="C3458" i="8"/>
  <c r="C3457" i="8"/>
  <c r="C3456" i="8"/>
  <c r="C3455" i="8"/>
  <c r="C3454" i="8"/>
  <c r="C3453" i="8"/>
  <c r="C3452" i="8"/>
  <c r="C3451" i="8"/>
  <c r="C3450" i="8"/>
  <c r="C3449" i="8"/>
  <c r="C3448" i="8"/>
  <c r="C3447" i="8"/>
  <c r="C3446" i="8"/>
  <c r="C3445" i="8"/>
  <c r="C3444" i="8"/>
  <c r="C3443" i="8"/>
  <c r="C3442" i="8"/>
  <c r="C3441" i="8"/>
  <c r="C3440" i="8"/>
  <c r="C3439" i="8"/>
  <c r="C3438" i="8"/>
  <c r="C3437" i="8"/>
  <c r="C3436" i="8"/>
  <c r="C3435" i="8"/>
  <c r="C3434" i="8"/>
  <c r="C3433" i="8"/>
  <c r="C3432" i="8"/>
  <c r="C3431" i="8"/>
  <c r="C3430" i="8"/>
  <c r="C3429" i="8"/>
  <c r="C3428" i="8"/>
  <c r="C3427" i="8"/>
  <c r="C3426" i="8"/>
  <c r="C3425" i="8"/>
  <c r="C3424" i="8"/>
  <c r="C3423" i="8"/>
  <c r="C3422" i="8"/>
  <c r="C3421" i="8"/>
  <c r="C3420" i="8"/>
  <c r="C3419" i="8"/>
  <c r="C3418" i="8"/>
  <c r="C3417" i="8"/>
  <c r="C3416" i="8"/>
  <c r="C3415" i="8"/>
  <c r="C3414" i="8"/>
  <c r="C3413" i="8"/>
  <c r="C3412" i="8"/>
  <c r="C3411" i="8"/>
  <c r="C3410" i="8"/>
  <c r="C3409" i="8"/>
  <c r="C3408" i="8"/>
  <c r="C3407" i="8"/>
  <c r="C3406" i="8"/>
  <c r="C3405" i="8"/>
  <c r="C3404" i="8"/>
  <c r="C3403" i="8"/>
  <c r="C3402" i="8"/>
  <c r="C3401" i="8"/>
  <c r="C3400" i="8"/>
  <c r="C3399" i="8"/>
  <c r="C3398" i="8"/>
  <c r="C3397" i="8"/>
  <c r="C3396" i="8"/>
  <c r="C3395" i="8"/>
  <c r="C3394" i="8"/>
  <c r="C3393" i="8"/>
  <c r="C3392" i="8"/>
  <c r="C3391" i="8"/>
  <c r="C3390" i="8"/>
  <c r="C3389" i="8"/>
  <c r="C3388" i="8"/>
  <c r="C3387" i="8"/>
  <c r="C3386" i="8"/>
  <c r="C3385" i="8"/>
  <c r="C3384" i="8"/>
  <c r="C3383" i="8"/>
  <c r="C3382" i="8"/>
  <c r="C3381" i="8"/>
  <c r="C3380" i="8"/>
  <c r="C3379" i="8"/>
  <c r="C3378" i="8"/>
  <c r="C3377" i="8"/>
  <c r="C3376" i="8"/>
  <c r="C3375" i="8"/>
  <c r="C3374" i="8"/>
  <c r="C3373" i="8"/>
  <c r="C3372" i="8"/>
  <c r="C3371" i="8"/>
  <c r="C3370" i="8"/>
  <c r="C3369" i="8"/>
  <c r="C3368" i="8"/>
  <c r="C3367" i="8"/>
  <c r="C3366" i="8"/>
  <c r="C3365" i="8"/>
  <c r="C3364" i="8"/>
  <c r="C3363" i="8"/>
  <c r="C3362" i="8"/>
  <c r="C3361" i="8"/>
  <c r="C3360" i="8"/>
  <c r="C3359" i="8"/>
  <c r="C3358" i="8"/>
  <c r="C3357" i="8"/>
  <c r="C3356" i="8"/>
  <c r="C3355" i="8"/>
  <c r="C3354" i="8"/>
  <c r="C3353" i="8"/>
  <c r="C3352" i="8"/>
  <c r="C3351" i="8"/>
  <c r="C3350" i="8"/>
  <c r="C3349" i="8"/>
  <c r="C3348" i="8"/>
  <c r="C3347" i="8"/>
  <c r="C3346" i="8"/>
  <c r="C3345" i="8"/>
  <c r="C3344" i="8"/>
  <c r="C3343" i="8"/>
  <c r="C3342" i="8"/>
  <c r="C3341" i="8"/>
  <c r="C3340" i="8"/>
  <c r="C3339" i="8"/>
  <c r="C3338" i="8"/>
  <c r="C3337" i="8"/>
  <c r="C3336" i="8"/>
  <c r="C3335" i="8"/>
  <c r="C3334" i="8"/>
  <c r="C3333" i="8"/>
  <c r="C3332" i="8"/>
  <c r="C3331" i="8"/>
  <c r="C3330" i="8"/>
  <c r="C3329" i="8"/>
  <c r="C3328" i="8"/>
  <c r="C3327" i="8"/>
  <c r="C3326" i="8"/>
  <c r="C3325" i="8"/>
  <c r="C3324" i="8"/>
  <c r="C3323" i="8"/>
  <c r="C3322" i="8"/>
  <c r="C3321" i="8"/>
  <c r="C3320" i="8"/>
  <c r="C3319" i="8"/>
  <c r="C3318" i="8"/>
  <c r="C3317" i="8"/>
  <c r="C3316" i="8"/>
  <c r="C3315" i="8"/>
  <c r="C3314" i="8"/>
  <c r="C3313" i="8"/>
  <c r="C3312" i="8"/>
  <c r="C3311" i="8"/>
  <c r="C3310" i="8"/>
  <c r="C3309" i="8"/>
  <c r="C3308" i="8"/>
  <c r="C3307" i="8"/>
  <c r="C3306" i="8"/>
  <c r="C3305" i="8"/>
  <c r="C3304" i="8"/>
  <c r="C3303" i="8"/>
  <c r="C3302" i="8"/>
  <c r="C3301" i="8"/>
  <c r="C3300" i="8"/>
  <c r="C3299" i="8"/>
  <c r="C3298" i="8"/>
  <c r="C3297" i="8"/>
  <c r="C3296" i="8"/>
  <c r="C3295" i="8"/>
  <c r="C3294" i="8"/>
  <c r="C3293" i="8"/>
  <c r="C3292" i="8"/>
  <c r="C3291" i="8"/>
  <c r="C3290" i="8"/>
  <c r="C3289" i="8"/>
  <c r="C3288" i="8"/>
  <c r="C3287" i="8"/>
  <c r="C3286" i="8"/>
  <c r="C3285" i="8"/>
  <c r="C3284" i="8"/>
  <c r="C3283" i="8"/>
  <c r="C3282" i="8"/>
  <c r="C3281" i="8"/>
  <c r="C3280" i="8"/>
  <c r="C3279" i="8"/>
  <c r="C3278" i="8"/>
  <c r="C3277" i="8"/>
  <c r="C3276" i="8"/>
  <c r="C3275" i="8"/>
  <c r="C3274" i="8"/>
  <c r="C3273" i="8"/>
  <c r="C3272" i="8"/>
  <c r="C3271" i="8"/>
  <c r="C3270" i="8"/>
  <c r="C3269" i="8"/>
  <c r="C3268" i="8"/>
  <c r="C3267" i="8"/>
  <c r="C3266" i="8"/>
  <c r="C3265" i="8"/>
  <c r="C3264" i="8"/>
  <c r="C3263" i="8"/>
  <c r="C3262" i="8"/>
  <c r="C3261" i="8"/>
  <c r="C3260" i="8"/>
  <c r="C3259" i="8"/>
  <c r="C3258" i="8"/>
  <c r="C3257" i="8"/>
  <c r="C3256" i="8"/>
  <c r="C3255" i="8"/>
  <c r="C3254" i="8"/>
  <c r="C3253" i="8"/>
  <c r="C3252" i="8"/>
  <c r="C3251" i="8"/>
  <c r="C3250" i="8"/>
  <c r="C3249" i="8"/>
  <c r="C3248" i="8"/>
  <c r="C3247" i="8"/>
  <c r="C3246" i="8"/>
  <c r="C3245" i="8"/>
  <c r="C3244" i="8"/>
  <c r="C3243" i="8"/>
  <c r="C3242" i="8"/>
  <c r="C3241" i="8"/>
  <c r="C3240" i="8"/>
  <c r="C3239" i="8"/>
  <c r="C3238" i="8"/>
  <c r="C3237" i="8"/>
  <c r="C3236" i="8"/>
  <c r="C3235" i="8"/>
  <c r="C3234" i="8"/>
  <c r="C3233" i="8"/>
  <c r="C3232" i="8"/>
  <c r="C3231" i="8"/>
  <c r="C3230" i="8"/>
  <c r="C3229" i="8"/>
  <c r="C3228" i="8"/>
  <c r="C3227" i="8"/>
  <c r="C3226" i="8"/>
  <c r="C3225" i="8"/>
  <c r="C3224" i="8"/>
  <c r="C3223" i="8"/>
  <c r="C3222" i="8"/>
  <c r="C3221" i="8"/>
  <c r="C3220" i="8"/>
  <c r="C3219" i="8"/>
  <c r="C3218" i="8"/>
  <c r="C3217" i="8"/>
  <c r="C3216" i="8"/>
  <c r="C3215" i="8"/>
  <c r="C3214" i="8"/>
  <c r="C3213" i="8"/>
  <c r="C3212" i="8"/>
  <c r="C3211" i="8"/>
  <c r="C3210" i="8"/>
  <c r="C3209" i="8"/>
  <c r="C3208" i="8"/>
  <c r="C3207" i="8"/>
  <c r="C3206" i="8"/>
  <c r="C3205" i="8"/>
  <c r="C3204" i="8"/>
  <c r="C3203" i="8"/>
  <c r="C3202" i="8"/>
  <c r="C3201" i="8"/>
  <c r="C3200" i="8"/>
  <c r="C3199" i="8"/>
  <c r="C3198" i="8"/>
  <c r="C3197" i="8"/>
  <c r="C3196" i="8"/>
  <c r="C3195" i="8"/>
  <c r="C3194" i="8"/>
  <c r="C3193" i="8"/>
  <c r="C3192" i="8"/>
  <c r="C3191" i="8"/>
  <c r="C3190" i="8"/>
  <c r="C3189" i="8"/>
  <c r="C3188" i="8"/>
  <c r="C3187" i="8"/>
  <c r="C3186" i="8"/>
  <c r="C3185" i="8"/>
  <c r="C3184" i="8"/>
  <c r="C3183" i="8"/>
  <c r="C3182" i="8"/>
  <c r="C3181" i="8"/>
  <c r="C3180" i="8"/>
  <c r="C3179" i="8"/>
  <c r="C3178" i="8"/>
  <c r="C3177" i="8"/>
  <c r="C3176" i="8"/>
  <c r="C3175" i="8"/>
  <c r="C3174" i="8"/>
  <c r="C3173" i="8"/>
  <c r="C3172" i="8"/>
  <c r="C3171" i="8"/>
  <c r="C3170" i="8"/>
  <c r="C3169" i="8"/>
  <c r="C3168" i="8"/>
  <c r="C3167" i="8"/>
  <c r="C3166" i="8"/>
  <c r="C3165" i="8"/>
  <c r="C3164" i="8"/>
  <c r="C3163" i="8"/>
  <c r="C3162" i="8"/>
  <c r="C3161" i="8"/>
  <c r="C3160" i="8"/>
  <c r="C3159" i="8"/>
  <c r="C3158" i="8"/>
  <c r="C3157" i="8"/>
  <c r="C3156" i="8"/>
  <c r="C3155" i="8"/>
  <c r="C3154" i="8"/>
  <c r="C3153" i="8"/>
  <c r="C3152" i="8"/>
  <c r="C3151" i="8"/>
  <c r="C3150" i="8"/>
  <c r="C3149" i="8"/>
  <c r="C3148" i="8"/>
  <c r="C3147" i="8"/>
  <c r="C3146" i="8"/>
  <c r="C3145" i="8"/>
  <c r="C3144" i="8"/>
  <c r="C3143" i="8"/>
  <c r="C3142" i="8"/>
  <c r="C3141" i="8"/>
  <c r="C3140" i="8"/>
  <c r="C3139" i="8"/>
  <c r="C3138" i="8"/>
  <c r="C3137" i="8"/>
  <c r="C3136" i="8"/>
  <c r="C3135" i="8"/>
  <c r="C3134" i="8"/>
  <c r="C3133" i="8"/>
  <c r="C3132" i="8"/>
  <c r="C3131" i="8"/>
  <c r="C3130" i="8"/>
  <c r="C3129" i="8"/>
  <c r="C3128" i="8"/>
  <c r="C3127" i="8"/>
  <c r="C3126" i="8"/>
  <c r="C3125" i="8"/>
  <c r="C3124" i="8"/>
  <c r="C3123" i="8"/>
  <c r="C3122" i="8"/>
  <c r="C3121" i="8"/>
  <c r="C3120" i="8"/>
  <c r="C3119" i="8"/>
  <c r="C3118" i="8"/>
  <c r="C3117" i="8"/>
  <c r="C3116" i="8"/>
  <c r="C3115" i="8"/>
  <c r="C3114" i="8"/>
  <c r="C3113" i="8"/>
  <c r="C3112" i="8"/>
  <c r="C3111" i="8"/>
  <c r="C3110" i="8"/>
  <c r="C3109" i="8"/>
  <c r="C3108" i="8"/>
  <c r="C3107" i="8"/>
  <c r="C3106" i="8"/>
  <c r="C3105" i="8"/>
  <c r="C3104" i="8"/>
  <c r="C3103" i="8"/>
  <c r="C3102" i="8"/>
  <c r="C3101" i="8"/>
  <c r="C3100" i="8"/>
  <c r="C3099" i="8"/>
  <c r="C3098" i="8"/>
  <c r="C3097" i="8"/>
  <c r="C3096" i="8"/>
  <c r="C3095" i="8"/>
  <c r="C3094" i="8"/>
  <c r="C3093" i="8"/>
  <c r="C3092" i="8"/>
  <c r="C3091" i="8"/>
  <c r="C3090" i="8"/>
  <c r="C3089" i="8"/>
  <c r="C3088" i="8"/>
  <c r="C3087" i="8"/>
  <c r="C3086" i="8"/>
  <c r="C3085" i="8"/>
  <c r="C3084" i="8"/>
  <c r="C3083" i="8"/>
  <c r="C3082" i="8"/>
  <c r="C3081" i="8"/>
  <c r="C3080" i="8"/>
  <c r="C3079" i="8"/>
  <c r="C3078" i="8"/>
  <c r="C3077" i="8"/>
  <c r="C3076" i="8"/>
  <c r="C3075" i="8"/>
  <c r="C3074" i="8"/>
  <c r="C3073" i="8"/>
  <c r="C3072" i="8"/>
  <c r="C3071" i="8"/>
  <c r="C3070" i="8"/>
  <c r="C3069" i="8"/>
  <c r="C3068" i="8"/>
  <c r="C3067" i="8"/>
  <c r="C3066" i="8"/>
  <c r="C3065" i="8"/>
  <c r="C3064" i="8"/>
  <c r="C3063" i="8"/>
  <c r="C3062" i="8"/>
  <c r="C3061" i="8"/>
  <c r="C3060" i="8"/>
  <c r="C3059" i="8"/>
  <c r="C3058" i="8"/>
  <c r="C3057" i="8"/>
  <c r="C3056" i="8"/>
  <c r="C3055" i="8"/>
  <c r="C3054" i="8"/>
  <c r="C3053" i="8"/>
  <c r="C3052" i="8"/>
  <c r="C3051" i="8"/>
  <c r="C3050" i="8"/>
  <c r="C3049" i="8"/>
  <c r="C3048" i="8"/>
  <c r="C3047" i="8"/>
  <c r="C3046" i="8"/>
  <c r="C3045" i="8"/>
  <c r="C3044" i="8"/>
  <c r="C3043" i="8"/>
  <c r="C3042" i="8"/>
  <c r="C3041" i="8"/>
  <c r="C3040" i="8"/>
  <c r="C3039" i="8"/>
  <c r="C3038" i="8"/>
  <c r="C3037" i="8"/>
  <c r="C3036" i="8"/>
  <c r="C3035" i="8"/>
  <c r="C3034" i="8"/>
  <c r="C3033" i="8"/>
  <c r="C3032" i="8"/>
  <c r="C3031" i="8"/>
  <c r="C3030" i="8"/>
  <c r="C3029" i="8"/>
  <c r="C3028" i="8"/>
  <c r="C3027" i="8"/>
  <c r="C3026" i="8"/>
  <c r="C3025" i="8"/>
  <c r="C3024" i="8"/>
  <c r="C3023" i="8"/>
  <c r="C3022" i="8"/>
  <c r="C3021" i="8"/>
  <c r="C3020" i="8"/>
  <c r="C3019" i="8"/>
  <c r="C3018" i="8"/>
  <c r="C3017" i="8"/>
  <c r="C3016" i="8"/>
  <c r="C3015" i="8"/>
  <c r="C3014" i="8"/>
  <c r="C3013" i="8"/>
  <c r="C3012" i="8"/>
  <c r="C3011" i="8"/>
  <c r="C3010" i="8"/>
  <c r="C3009" i="8"/>
  <c r="C3008" i="8"/>
  <c r="C3007" i="8"/>
  <c r="C3006" i="8"/>
  <c r="C3005" i="8"/>
  <c r="C3004" i="8"/>
  <c r="C3003" i="8"/>
  <c r="C3002" i="8"/>
  <c r="C3001" i="8"/>
  <c r="C3000" i="8"/>
  <c r="C2999" i="8"/>
  <c r="C2998" i="8"/>
  <c r="C2997" i="8"/>
  <c r="C2996" i="8"/>
  <c r="C2995" i="8"/>
  <c r="C2994" i="8"/>
  <c r="C2993" i="8"/>
  <c r="C2992" i="8"/>
  <c r="C2991" i="8"/>
  <c r="C2990" i="8"/>
  <c r="C2989" i="8"/>
  <c r="C2988" i="8"/>
  <c r="C2987" i="8"/>
  <c r="C2986" i="8"/>
  <c r="C2985" i="8"/>
  <c r="C2984" i="8"/>
  <c r="C2983" i="8"/>
  <c r="C2982" i="8"/>
  <c r="C2981" i="8"/>
  <c r="C2980" i="8"/>
  <c r="C2979" i="8"/>
  <c r="C2978" i="8"/>
  <c r="C2977" i="8"/>
  <c r="C2976" i="8"/>
  <c r="C2975" i="8"/>
  <c r="C2974" i="8"/>
  <c r="C2973" i="8"/>
  <c r="C2972" i="8"/>
  <c r="C2971" i="8"/>
  <c r="C2970" i="8"/>
  <c r="C2969" i="8"/>
  <c r="C2968" i="8"/>
  <c r="C2967" i="8"/>
  <c r="C2966" i="8"/>
  <c r="C2965" i="8"/>
  <c r="C2964" i="8"/>
  <c r="C2963" i="8"/>
  <c r="C2962" i="8"/>
  <c r="C2961" i="8"/>
  <c r="C2960" i="8"/>
  <c r="C2959" i="8"/>
  <c r="C2958" i="8"/>
  <c r="C2957" i="8"/>
  <c r="C2956" i="8"/>
  <c r="C2955" i="8"/>
  <c r="C2954" i="8"/>
  <c r="C2953" i="8"/>
  <c r="C2952" i="8"/>
  <c r="C2951" i="8"/>
  <c r="C2950" i="8"/>
  <c r="C2949" i="8"/>
  <c r="C2948" i="8"/>
  <c r="C2947" i="8"/>
  <c r="C2946" i="8"/>
  <c r="C2945" i="8"/>
  <c r="C2944" i="8"/>
  <c r="C2943" i="8"/>
  <c r="C2942" i="8"/>
  <c r="C2941" i="8"/>
  <c r="C2940" i="8"/>
  <c r="C2939" i="8"/>
  <c r="C2938" i="8"/>
  <c r="C2937" i="8"/>
  <c r="C2936" i="8"/>
  <c r="C2935" i="8"/>
  <c r="C2934" i="8"/>
  <c r="C2933" i="8"/>
  <c r="C2932" i="8"/>
  <c r="C2931" i="8"/>
  <c r="C2930" i="8"/>
  <c r="C2929" i="8"/>
  <c r="C2928" i="8"/>
  <c r="C2927" i="8"/>
  <c r="C2926" i="8"/>
  <c r="C2925" i="8"/>
  <c r="C2924" i="8"/>
  <c r="C2923" i="8"/>
  <c r="C2922" i="8"/>
  <c r="C2921" i="8"/>
  <c r="C2920" i="8"/>
  <c r="C2919" i="8"/>
  <c r="C2918" i="8"/>
  <c r="C2917" i="8"/>
  <c r="C2916" i="8"/>
  <c r="C2915" i="8"/>
  <c r="C2914" i="8"/>
  <c r="C2913" i="8"/>
  <c r="C2912" i="8"/>
  <c r="C2911" i="8"/>
  <c r="C2910" i="8"/>
  <c r="C2909" i="8"/>
  <c r="C2908" i="8"/>
  <c r="C2907" i="8"/>
  <c r="C2906" i="8"/>
  <c r="C2905" i="8"/>
  <c r="C2904" i="8"/>
  <c r="C2903" i="8"/>
  <c r="C2902" i="8"/>
  <c r="C2901" i="8"/>
  <c r="C2900" i="8"/>
  <c r="C2899" i="8"/>
  <c r="C2898" i="8"/>
  <c r="C2897" i="8"/>
  <c r="C2896" i="8"/>
  <c r="C2895" i="8"/>
  <c r="C2894" i="8"/>
  <c r="C2893" i="8"/>
  <c r="C2892" i="8"/>
  <c r="C2891" i="8"/>
  <c r="C2890" i="8"/>
  <c r="C2889" i="8"/>
  <c r="C2888" i="8"/>
  <c r="C2887" i="8"/>
  <c r="C2886" i="8"/>
  <c r="C2885" i="8"/>
  <c r="C2884" i="8"/>
  <c r="C2883" i="8"/>
  <c r="C2882" i="8"/>
  <c r="C2881" i="8"/>
  <c r="C2880" i="8"/>
  <c r="C2879" i="8"/>
  <c r="C2878" i="8"/>
  <c r="C2877" i="8"/>
  <c r="C2876" i="8"/>
  <c r="C2875" i="8"/>
  <c r="C2874" i="8"/>
  <c r="C2873" i="8"/>
  <c r="C2872" i="8"/>
  <c r="C2871" i="8"/>
  <c r="C2870" i="8"/>
  <c r="C2869" i="8"/>
  <c r="C2868" i="8"/>
  <c r="C2867" i="8"/>
  <c r="C2866" i="8"/>
  <c r="C2865" i="8"/>
  <c r="C2864" i="8"/>
  <c r="C2863" i="8"/>
  <c r="C2862" i="8"/>
  <c r="C2861" i="8"/>
  <c r="C2860" i="8"/>
  <c r="C2859" i="8"/>
  <c r="C2858" i="8"/>
  <c r="C2857" i="8"/>
  <c r="C2856" i="8"/>
  <c r="C2855" i="8"/>
  <c r="C2854" i="8"/>
  <c r="C2853" i="8"/>
  <c r="C2852" i="8"/>
  <c r="C2851" i="8"/>
  <c r="C2850" i="8"/>
  <c r="C2849" i="8"/>
  <c r="C2848" i="8"/>
  <c r="C2847" i="8"/>
  <c r="C2846" i="8"/>
  <c r="C2845" i="8"/>
  <c r="C2844" i="8"/>
  <c r="C2843" i="8"/>
  <c r="C2842" i="8"/>
  <c r="C2841" i="8"/>
  <c r="C2840" i="8"/>
  <c r="C2839" i="8"/>
  <c r="C2838" i="8"/>
  <c r="C2837" i="8"/>
  <c r="C2836" i="8"/>
  <c r="C2835" i="8"/>
  <c r="C2834" i="8"/>
  <c r="C2833" i="8"/>
  <c r="C2832" i="8"/>
  <c r="C2831" i="8"/>
  <c r="C2830" i="8"/>
  <c r="C2829" i="8"/>
  <c r="C2828" i="8"/>
  <c r="C2827" i="8"/>
  <c r="C2826" i="8"/>
  <c r="C2825" i="8"/>
  <c r="C2824" i="8"/>
  <c r="C2823" i="8"/>
  <c r="C2822" i="8"/>
  <c r="C2821" i="8"/>
  <c r="C2820" i="8"/>
  <c r="C2819" i="8"/>
  <c r="C2818" i="8"/>
  <c r="C2817" i="8"/>
  <c r="C2816" i="8"/>
  <c r="C2815" i="8"/>
  <c r="C2814" i="8"/>
  <c r="C2813" i="8"/>
  <c r="C2812" i="8"/>
  <c r="C2811" i="8"/>
  <c r="C2810" i="8"/>
  <c r="C2809" i="8"/>
  <c r="C2808" i="8"/>
  <c r="C2807" i="8"/>
  <c r="C2806" i="8"/>
  <c r="C2805" i="8"/>
  <c r="C2804" i="8"/>
  <c r="C2803" i="8"/>
  <c r="C2802" i="8"/>
  <c r="C2801" i="8"/>
  <c r="C2800" i="8"/>
  <c r="C2799" i="8"/>
  <c r="C2798" i="8"/>
  <c r="C2797" i="8"/>
  <c r="C2796" i="8"/>
  <c r="C2795" i="8"/>
  <c r="C2794" i="8"/>
  <c r="C2793" i="8"/>
  <c r="C2792" i="8"/>
  <c r="C2791" i="8"/>
  <c r="C2790" i="8"/>
  <c r="C2789" i="8"/>
  <c r="C2788" i="8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42" i="8"/>
  <c r="C2041" i="8"/>
  <c r="C2040" i="8"/>
  <c r="C2039" i="8"/>
  <c r="C2038" i="8"/>
  <c r="C2037" i="8"/>
  <c r="C2036" i="8"/>
  <c r="C2035" i="8"/>
  <c r="C2034" i="8"/>
  <c r="C2033" i="8"/>
  <c r="C2032" i="8"/>
  <c r="C2031" i="8"/>
  <c r="C2030" i="8"/>
  <c r="C2029" i="8"/>
  <c r="C2028" i="8"/>
  <c r="C2027" i="8"/>
  <c r="C2026" i="8"/>
  <c r="C2025" i="8"/>
  <c r="C2024" i="8"/>
  <c r="C2023" i="8"/>
  <c r="C2022" i="8"/>
  <c r="C2021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4" i="8"/>
  <c r="C1943" i="8"/>
  <c r="C1942" i="8"/>
  <c r="C1941" i="8"/>
  <c r="C1940" i="8"/>
  <c r="C1939" i="8"/>
  <c r="C1938" i="8"/>
  <c r="C1937" i="8"/>
  <c r="C1936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5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G276" i="8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2" i="1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L170" i="7"/>
  <c r="F170" i="7"/>
  <c r="L169" i="7"/>
  <c r="F169" i="7"/>
  <c r="L168" i="7"/>
  <c r="F168" i="7"/>
  <c r="L167" i="7"/>
  <c r="F167" i="7"/>
  <c r="L166" i="7"/>
  <c r="F166" i="7"/>
  <c r="L165" i="7"/>
  <c r="F165" i="7"/>
  <c r="L164" i="7"/>
  <c r="F164" i="7"/>
  <c r="L163" i="7"/>
  <c r="F163" i="7"/>
  <c r="L162" i="7"/>
  <c r="F162" i="7"/>
  <c r="L161" i="7"/>
  <c r="F161" i="7"/>
  <c r="L160" i="7"/>
  <c r="F160" i="7"/>
  <c r="L159" i="7"/>
  <c r="F159" i="7"/>
  <c r="L158" i="7"/>
  <c r="F158" i="7"/>
  <c r="L157" i="7"/>
  <c r="F157" i="7"/>
  <c r="L156" i="7"/>
  <c r="F156" i="7"/>
  <c r="L155" i="7"/>
  <c r="F155" i="7"/>
  <c r="L154" i="7"/>
  <c r="F154" i="7"/>
  <c r="L153" i="7"/>
  <c r="F153" i="7"/>
  <c r="L152" i="7"/>
  <c r="F152" i="7"/>
  <c r="L151" i="7"/>
  <c r="F151" i="7"/>
  <c r="L150" i="7"/>
  <c r="F150" i="7"/>
  <c r="L149" i="7"/>
  <c r="F149" i="7"/>
  <c r="L148" i="7"/>
  <c r="F148" i="7"/>
  <c r="L147" i="7"/>
  <c r="F147" i="7"/>
  <c r="L146" i="7"/>
  <c r="F146" i="7"/>
  <c r="L145" i="7"/>
  <c r="F145" i="7"/>
  <c r="L144" i="7"/>
  <c r="F144" i="7"/>
  <c r="L143" i="7"/>
  <c r="F143" i="7"/>
  <c r="L142" i="7"/>
  <c r="F142" i="7"/>
  <c r="L141" i="7"/>
  <c r="F141" i="7"/>
  <c r="L140" i="7"/>
  <c r="F140" i="7"/>
  <c r="L139" i="7"/>
  <c r="F139" i="7"/>
  <c r="L138" i="7"/>
  <c r="F138" i="7"/>
  <c r="L137" i="7"/>
  <c r="F137" i="7"/>
  <c r="L136" i="7"/>
  <c r="F136" i="7"/>
  <c r="L135" i="7"/>
  <c r="F135" i="7"/>
  <c r="L134" i="7"/>
  <c r="F134" i="7"/>
  <c r="L133" i="7"/>
  <c r="F133" i="7"/>
  <c r="L132" i="7"/>
  <c r="F132" i="7"/>
  <c r="L131" i="7"/>
  <c r="F131" i="7"/>
  <c r="L130" i="7"/>
  <c r="F130" i="7"/>
  <c r="L129" i="7"/>
  <c r="F129" i="7"/>
  <c r="L128" i="7"/>
  <c r="F128" i="7"/>
  <c r="L127" i="7"/>
  <c r="F127" i="7"/>
  <c r="L126" i="7"/>
  <c r="F126" i="7"/>
  <c r="L125" i="7"/>
  <c r="F125" i="7"/>
  <c r="L124" i="7"/>
  <c r="F124" i="7"/>
  <c r="L123" i="7"/>
  <c r="F123" i="7"/>
  <c r="L122" i="7"/>
  <c r="F122" i="7"/>
  <c r="L121" i="7"/>
  <c r="F121" i="7"/>
  <c r="L120" i="7"/>
  <c r="F120" i="7"/>
  <c r="L119" i="7"/>
  <c r="F119" i="7"/>
  <c r="L118" i="7"/>
  <c r="F118" i="7"/>
  <c r="L117" i="7"/>
  <c r="F117" i="7"/>
  <c r="L116" i="7"/>
  <c r="F116" i="7"/>
  <c r="L115" i="7"/>
  <c r="F115" i="7"/>
  <c r="L114" i="7"/>
  <c r="F114" i="7"/>
  <c r="L113" i="7"/>
  <c r="F113" i="7"/>
  <c r="L112" i="7"/>
  <c r="F112" i="7"/>
  <c r="L111" i="7"/>
  <c r="F111" i="7"/>
  <c r="L110" i="7"/>
  <c r="F110" i="7"/>
  <c r="L109" i="7"/>
  <c r="F109" i="7"/>
  <c r="L108" i="7"/>
  <c r="F108" i="7"/>
  <c r="L107" i="7"/>
  <c r="F107" i="7"/>
  <c r="L106" i="7"/>
  <c r="F106" i="7"/>
  <c r="L105" i="7"/>
  <c r="F105" i="7"/>
  <c r="L104" i="7"/>
  <c r="F104" i="7"/>
  <c r="L103" i="7"/>
  <c r="F103" i="7"/>
  <c r="L102" i="7"/>
  <c r="F102" i="7"/>
  <c r="L101" i="7"/>
  <c r="F101" i="7"/>
  <c r="L100" i="7"/>
  <c r="F100" i="7"/>
  <c r="L99" i="7"/>
  <c r="F99" i="7"/>
  <c r="L98" i="7"/>
  <c r="F98" i="7"/>
  <c r="L97" i="7"/>
  <c r="F97" i="7"/>
  <c r="L96" i="7"/>
  <c r="F96" i="7"/>
  <c r="L95" i="7"/>
  <c r="F95" i="7"/>
  <c r="L94" i="7"/>
  <c r="F94" i="7"/>
  <c r="L93" i="7"/>
  <c r="F93" i="7"/>
  <c r="L92" i="7"/>
  <c r="F92" i="7"/>
  <c r="L91" i="7"/>
  <c r="F91" i="7"/>
  <c r="L90" i="7"/>
  <c r="F90" i="7"/>
  <c r="E90" i="7"/>
  <c r="L89" i="7"/>
  <c r="F89" i="7"/>
  <c r="E89" i="7"/>
  <c r="K257" i="7" s="1"/>
  <c r="L257" i="7" s="1"/>
  <c r="L88" i="7"/>
  <c r="F88" i="7"/>
  <c r="E88" i="7"/>
  <c r="K256" i="7" s="1"/>
  <c r="L256" i="7" s="1"/>
  <c r="L87" i="7"/>
  <c r="F87" i="7"/>
  <c r="E87" i="7"/>
  <c r="K255" i="7" s="1"/>
  <c r="L255" i="7" s="1"/>
  <c r="L86" i="7"/>
  <c r="F86" i="7"/>
  <c r="E86" i="7"/>
  <c r="K254" i="7" s="1"/>
  <c r="L254" i="7" s="1"/>
  <c r="L85" i="7"/>
  <c r="F85" i="7"/>
  <c r="E85" i="7"/>
  <c r="K253" i="7" s="1"/>
  <c r="L253" i="7" s="1"/>
  <c r="L84" i="7"/>
  <c r="F84" i="7"/>
  <c r="E84" i="7"/>
  <c r="K252" i="7" s="1"/>
  <c r="L252" i="7" s="1"/>
  <c r="L83" i="7"/>
  <c r="F83" i="7"/>
  <c r="E83" i="7"/>
  <c r="K251" i="7" s="1"/>
  <c r="L251" i="7" s="1"/>
  <c r="L82" i="7"/>
  <c r="F82" i="7"/>
  <c r="E82" i="7"/>
  <c r="K250" i="7" s="1"/>
  <c r="L250" i="7" s="1"/>
  <c r="L81" i="7"/>
  <c r="F81" i="7"/>
  <c r="E81" i="7"/>
  <c r="K249" i="7" s="1"/>
  <c r="L249" i="7" s="1"/>
  <c r="L80" i="7"/>
  <c r="F80" i="7"/>
  <c r="E80" i="7"/>
  <c r="K248" i="7" s="1"/>
  <c r="L248" i="7" s="1"/>
  <c r="L79" i="7"/>
  <c r="F79" i="7"/>
  <c r="E79" i="7"/>
  <c r="K247" i="7" s="1"/>
  <c r="L247" i="7" s="1"/>
  <c r="L78" i="7"/>
  <c r="F78" i="7"/>
  <c r="E78" i="7"/>
  <c r="K246" i="7" s="1"/>
  <c r="L246" i="7" s="1"/>
  <c r="L77" i="7"/>
  <c r="F77" i="7"/>
  <c r="E77" i="7"/>
  <c r="K245" i="7" s="1"/>
  <c r="L245" i="7" s="1"/>
  <c r="L76" i="7"/>
  <c r="F76" i="7"/>
  <c r="E76" i="7"/>
  <c r="K244" i="7" s="1"/>
  <c r="L244" i="7" s="1"/>
  <c r="L75" i="7"/>
  <c r="F75" i="7"/>
  <c r="E75" i="7"/>
  <c r="K243" i="7" s="1"/>
  <c r="L243" i="7" s="1"/>
  <c r="L74" i="7"/>
  <c r="F74" i="7"/>
  <c r="E74" i="7"/>
  <c r="K242" i="7" s="1"/>
  <c r="L242" i="7" s="1"/>
  <c r="L73" i="7"/>
  <c r="F73" i="7"/>
  <c r="E73" i="7"/>
  <c r="K241" i="7" s="1"/>
  <c r="L241" i="7" s="1"/>
  <c r="L72" i="7"/>
  <c r="F72" i="7"/>
  <c r="E72" i="7"/>
  <c r="K240" i="7" s="1"/>
  <c r="L240" i="7" s="1"/>
  <c r="L71" i="7"/>
  <c r="F71" i="7"/>
  <c r="E71" i="7"/>
  <c r="K239" i="7" s="1"/>
  <c r="L239" i="7" s="1"/>
  <c r="L70" i="7"/>
  <c r="F70" i="7"/>
  <c r="E70" i="7"/>
  <c r="K238" i="7" s="1"/>
  <c r="L238" i="7" s="1"/>
  <c r="L69" i="7"/>
  <c r="F69" i="7"/>
  <c r="E69" i="7"/>
  <c r="K237" i="7" s="1"/>
  <c r="L237" i="7" s="1"/>
  <c r="L68" i="7"/>
  <c r="F68" i="7"/>
  <c r="E68" i="7"/>
  <c r="K236" i="7" s="1"/>
  <c r="L236" i="7" s="1"/>
  <c r="L67" i="7"/>
  <c r="F67" i="7"/>
  <c r="E67" i="7"/>
  <c r="K235" i="7" s="1"/>
  <c r="L235" i="7" s="1"/>
  <c r="L66" i="7"/>
  <c r="F66" i="7"/>
  <c r="E66" i="7"/>
  <c r="K234" i="7" s="1"/>
  <c r="L234" i="7" s="1"/>
  <c r="L65" i="7"/>
  <c r="F65" i="7"/>
  <c r="E65" i="7"/>
  <c r="K233" i="7" s="1"/>
  <c r="L233" i="7" s="1"/>
  <c r="L64" i="7"/>
  <c r="F64" i="7"/>
  <c r="E64" i="7"/>
  <c r="K232" i="7" s="1"/>
  <c r="L232" i="7" s="1"/>
  <c r="L63" i="7"/>
  <c r="F63" i="7"/>
  <c r="E63" i="7"/>
  <c r="K231" i="7" s="1"/>
  <c r="L231" i="7" s="1"/>
  <c r="L62" i="7"/>
  <c r="F62" i="7"/>
  <c r="E62" i="7"/>
  <c r="K230" i="7" s="1"/>
  <c r="L230" i="7" s="1"/>
  <c r="L61" i="7"/>
  <c r="F61" i="7"/>
  <c r="E61" i="7"/>
  <c r="K229" i="7" s="1"/>
  <c r="L229" i="7" s="1"/>
  <c r="L60" i="7"/>
  <c r="F60" i="7"/>
  <c r="E60" i="7"/>
  <c r="K228" i="7" s="1"/>
  <c r="L228" i="7" s="1"/>
  <c r="L59" i="7"/>
  <c r="F59" i="7"/>
  <c r="E59" i="7"/>
  <c r="K227" i="7" s="1"/>
  <c r="L227" i="7" s="1"/>
  <c r="L58" i="7"/>
  <c r="F58" i="7"/>
  <c r="E58" i="7"/>
  <c r="K226" i="7" s="1"/>
  <c r="L226" i="7" s="1"/>
  <c r="L57" i="7"/>
  <c r="F57" i="7"/>
  <c r="E57" i="7"/>
  <c r="K225" i="7" s="1"/>
  <c r="L225" i="7" s="1"/>
  <c r="L56" i="7"/>
  <c r="F56" i="7"/>
  <c r="E56" i="7"/>
  <c r="K224" i="7" s="1"/>
  <c r="L224" i="7" s="1"/>
  <c r="L55" i="7"/>
  <c r="F55" i="7"/>
  <c r="E55" i="7"/>
  <c r="K223" i="7" s="1"/>
  <c r="L223" i="7" s="1"/>
  <c r="L54" i="7"/>
  <c r="F54" i="7"/>
  <c r="E54" i="7"/>
  <c r="K222" i="7" s="1"/>
  <c r="L222" i="7" s="1"/>
  <c r="L53" i="7"/>
  <c r="F53" i="7"/>
  <c r="E53" i="7"/>
  <c r="K221" i="7" s="1"/>
  <c r="L221" i="7" s="1"/>
  <c r="L52" i="7"/>
  <c r="F52" i="7"/>
  <c r="E52" i="7"/>
  <c r="K220" i="7" s="1"/>
  <c r="L220" i="7" s="1"/>
  <c r="L51" i="7"/>
  <c r="F51" i="7"/>
  <c r="E51" i="7"/>
  <c r="K219" i="7" s="1"/>
  <c r="L219" i="7" s="1"/>
  <c r="L50" i="7"/>
  <c r="F50" i="7"/>
  <c r="E50" i="7"/>
  <c r="K218" i="7" s="1"/>
  <c r="L218" i="7" s="1"/>
  <c r="L49" i="7"/>
  <c r="F49" i="7"/>
  <c r="E49" i="7"/>
  <c r="K217" i="7" s="1"/>
  <c r="L217" i="7" s="1"/>
  <c r="L48" i="7"/>
  <c r="F48" i="7"/>
  <c r="E48" i="7"/>
  <c r="K216" i="7" s="1"/>
  <c r="L216" i="7" s="1"/>
  <c r="L47" i="7"/>
  <c r="F47" i="7"/>
  <c r="E47" i="7"/>
  <c r="K215" i="7" s="1"/>
  <c r="L215" i="7" s="1"/>
  <c r="L46" i="7"/>
  <c r="F46" i="7"/>
  <c r="E46" i="7"/>
  <c r="K214" i="7" s="1"/>
  <c r="L214" i="7" s="1"/>
  <c r="L45" i="7"/>
  <c r="F45" i="7"/>
  <c r="E45" i="7"/>
  <c r="K213" i="7" s="1"/>
  <c r="L213" i="7" s="1"/>
  <c r="L44" i="7"/>
  <c r="F44" i="7"/>
  <c r="E44" i="7"/>
  <c r="K212" i="7" s="1"/>
  <c r="L212" i="7" s="1"/>
  <c r="L43" i="7"/>
  <c r="F43" i="7"/>
  <c r="E43" i="7"/>
  <c r="K211" i="7" s="1"/>
  <c r="L211" i="7" s="1"/>
  <c r="L42" i="7"/>
  <c r="F42" i="7"/>
  <c r="E42" i="7"/>
  <c r="K210" i="7" s="1"/>
  <c r="L210" i="7" s="1"/>
  <c r="L41" i="7"/>
  <c r="F41" i="7"/>
  <c r="E41" i="7"/>
  <c r="K209" i="7" s="1"/>
  <c r="L209" i="7" s="1"/>
  <c r="L40" i="7"/>
  <c r="F40" i="7"/>
  <c r="E40" i="7"/>
  <c r="K208" i="7" s="1"/>
  <c r="L208" i="7" s="1"/>
  <c r="L39" i="7"/>
  <c r="F39" i="7"/>
  <c r="E39" i="7"/>
  <c r="K207" i="7" s="1"/>
  <c r="L207" i="7" s="1"/>
  <c r="P38" i="7"/>
  <c r="L38" i="7"/>
  <c r="F38" i="7"/>
  <c r="E38" i="7"/>
  <c r="K206" i="7" s="1"/>
  <c r="L206" i="7" s="1"/>
  <c r="L37" i="7"/>
  <c r="F37" i="7"/>
  <c r="E37" i="7"/>
  <c r="K205" i="7" s="1"/>
  <c r="L205" i="7" s="1"/>
  <c r="P36" i="7"/>
  <c r="L36" i="7"/>
  <c r="F36" i="7"/>
  <c r="E36" i="7"/>
  <c r="K204" i="7" s="1"/>
  <c r="L204" i="7" s="1"/>
  <c r="P35" i="7"/>
  <c r="L35" i="7"/>
  <c r="F35" i="7"/>
  <c r="E35" i="7"/>
  <c r="K203" i="7" s="1"/>
  <c r="L203" i="7" s="1"/>
  <c r="P34" i="7"/>
  <c r="L34" i="7"/>
  <c r="F34" i="7"/>
  <c r="E34" i="7"/>
  <c r="K202" i="7" s="1"/>
  <c r="L202" i="7" s="1"/>
  <c r="P33" i="7"/>
  <c r="L33" i="7"/>
  <c r="F33" i="7"/>
  <c r="E33" i="7"/>
  <c r="K201" i="7" s="1"/>
  <c r="L201" i="7" s="1"/>
  <c r="P32" i="7"/>
  <c r="L32" i="7"/>
  <c r="F32" i="7"/>
  <c r="E32" i="7"/>
  <c r="K200" i="7" s="1"/>
  <c r="L200" i="7" s="1"/>
  <c r="P31" i="7"/>
  <c r="L31" i="7"/>
  <c r="F31" i="7"/>
  <c r="E31" i="7"/>
  <c r="K199" i="7" s="1"/>
  <c r="L199" i="7" s="1"/>
  <c r="P30" i="7"/>
  <c r="L30" i="7"/>
  <c r="F30" i="7"/>
  <c r="E30" i="7"/>
  <c r="K198" i="7" s="1"/>
  <c r="L198" i="7" s="1"/>
  <c r="P29" i="7"/>
  <c r="L29" i="7"/>
  <c r="F29" i="7"/>
  <c r="E29" i="7"/>
  <c r="K197" i="7" s="1"/>
  <c r="L197" i="7" s="1"/>
  <c r="P28" i="7"/>
  <c r="L28" i="7"/>
  <c r="F28" i="7"/>
  <c r="E28" i="7"/>
  <c r="K196" i="7" s="1"/>
  <c r="L196" i="7" s="1"/>
  <c r="P27" i="7"/>
  <c r="L27" i="7"/>
  <c r="F27" i="7"/>
  <c r="E27" i="7"/>
  <c r="K195" i="7" s="1"/>
  <c r="L195" i="7" s="1"/>
  <c r="P26" i="7"/>
  <c r="L26" i="7"/>
  <c r="F26" i="7"/>
  <c r="E26" i="7"/>
  <c r="K194" i="7" s="1"/>
  <c r="L194" i="7" s="1"/>
  <c r="P25" i="7"/>
  <c r="L25" i="7"/>
  <c r="F25" i="7"/>
  <c r="E25" i="7"/>
  <c r="K193" i="7" s="1"/>
  <c r="L193" i="7" s="1"/>
  <c r="P24" i="7"/>
  <c r="L24" i="7"/>
  <c r="F24" i="7"/>
  <c r="E24" i="7"/>
  <c r="K192" i="7" s="1"/>
  <c r="L192" i="7" s="1"/>
  <c r="P23" i="7"/>
  <c r="L23" i="7"/>
  <c r="F23" i="7"/>
  <c r="E23" i="7"/>
  <c r="K191" i="7" s="1"/>
  <c r="L191" i="7" s="1"/>
  <c r="P22" i="7"/>
  <c r="L22" i="7"/>
  <c r="F22" i="7"/>
  <c r="E22" i="7"/>
  <c r="K190" i="7" s="1"/>
  <c r="L190" i="7" s="1"/>
  <c r="P21" i="7"/>
  <c r="L21" i="7"/>
  <c r="F21" i="7"/>
  <c r="E21" i="7"/>
  <c r="K189" i="7" s="1"/>
  <c r="L189" i="7" s="1"/>
  <c r="P20" i="7"/>
  <c r="L20" i="7"/>
  <c r="F20" i="7"/>
  <c r="E20" i="7"/>
  <c r="K188" i="7" s="1"/>
  <c r="L188" i="7" s="1"/>
  <c r="P19" i="7"/>
  <c r="L19" i="7"/>
  <c r="F19" i="7"/>
  <c r="E19" i="7"/>
  <c r="K187" i="7" s="1"/>
  <c r="L187" i="7" s="1"/>
  <c r="P18" i="7"/>
  <c r="L18" i="7"/>
  <c r="F18" i="7"/>
  <c r="E18" i="7"/>
  <c r="K186" i="7" s="1"/>
  <c r="L186" i="7" s="1"/>
  <c r="P17" i="7"/>
  <c r="L17" i="7"/>
  <c r="F17" i="7"/>
  <c r="E17" i="7"/>
  <c r="K185" i="7" s="1"/>
  <c r="L185" i="7" s="1"/>
  <c r="P16" i="7"/>
  <c r="L16" i="7"/>
  <c r="F16" i="7"/>
  <c r="E16" i="7"/>
  <c r="K184" i="7" s="1"/>
  <c r="L184" i="7" s="1"/>
  <c r="P15" i="7"/>
  <c r="L15" i="7"/>
  <c r="F15" i="7"/>
  <c r="E15" i="7"/>
  <c r="K183" i="7" s="1"/>
  <c r="L183" i="7" s="1"/>
  <c r="P14" i="7"/>
  <c r="L14" i="7"/>
  <c r="F14" i="7"/>
  <c r="E14" i="7"/>
  <c r="K182" i="7" s="1"/>
  <c r="L182" i="7" s="1"/>
  <c r="P13" i="7"/>
  <c r="L13" i="7"/>
  <c r="F13" i="7"/>
  <c r="E13" i="7"/>
  <c r="K181" i="7" s="1"/>
  <c r="L181" i="7" s="1"/>
  <c r="P12" i="7"/>
  <c r="L12" i="7"/>
  <c r="F12" i="7"/>
  <c r="E12" i="7"/>
  <c r="K180" i="7" s="1"/>
  <c r="L180" i="7" s="1"/>
  <c r="P11" i="7"/>
  <c r="L11" i="7"/>
  <c r="F11" i="7"/>
  <c r="E11" i="7"/>
  <c r="K179" i="7" s="1"/>
  <c r="L179" i="7" s="1"/>
  <c r="P10" i="7"/>
  <c r="L10" i="7"/>
  <c r="F10" i="7"/>
  <c r="E10" i="7"/>
  <c r="K178" i="7" s="1"/>
  <c r="L178" i="7" s="1"/>
  <c r="P9" i="7"/>
  <c r="L9" i="7"/>
  <c r="F9" i="7"/>
  <c r="E9" i="7"/>
  <c r="K177" i="7" s="1"/>
  <c r="L177" i="7" s="1"/>
  <c r="P8" i="7"/>
  <c r="L8" i="7"/>
  <c r="F8" i="7"/>
  <c r="E8" i="7"/>
  <c r="K176" i="7" s="1"/>
  <c r="L176" i="7" s="1"/>
  <c r="P7" i="7"/>
  <c r="L7" i="7"/>
  <c r="F7" i="7"/>
  <c r="E7" i="7"/>
  <c r="K175" i="7" s="1"/>
  <c r="L175" i="7" s="1"/>
  <c r="P6" i="7"/>
  <c r="L6" i="7"/>
  <c r="F6" i="7"/>
  <c r="E6" i="7"/>
  <c r="K174" i="7" s="1"/>
  <c r="L174" i="7" s="1"/>
  <c r="P5" i="7"/>
  <c r="L5" i="7"/>
  <c r="F5" i="7"/>
  <c r="E5" i="7"/>
  <c r="K173" i="7" s="1"/>
  <c r="L173" i="7" s="1"/>
  <c r="P4" i="7"/>
  <c r="L4" i="7"/>
  <c r="F4" i="7"/>
  <c r="E4" i="7"/>
  <c r="K172" i="7" s="1"/>
  <c r="L172" i="7" s="1"/>
  <c r="P3" i="7"/>
  <c r="L3" i="7"/>
  <c r="F3" i="7"/>
  <c r="P82" i="7" s="1"/>
  <c r="E3" i="7"/>
  <c r="K171" i="7" s="1"/>
  <c r="L171" i="7" s="1"/>
  <c r="J6" i="6"/>
  <c r="J7" i="6"/>
  <c r="J8" i="6"/>
  <c r="J9" i="6"/>
  <c r="J10" i="6"/>
  <c r="J11" i="6"/>
  <c r="J12" i="6"/>
  <c r="M30" i="1" s="1"/>
  <c r="J13" i="6"/>
  <c r="J14" i="6"/>
  <c r="J15" i="6"/>
  <c r="J16" i="6"/>
  <c r="J17" i="6"/>
  <c r="J18" i="6"/>
  <c r="J19" i="6"/>
  <c r="J20" i="6"/>
  <c r="M38" i="1" s="1"/>
  <c r="J21" i="6"/>
  <c r="J22" i="6"/>
  <c r="J23" i="6"/>
  <c r="J24" i="6"/>
  <c r="M42" i="1" s="1"/>
  <c r="J25" i="6"/>
  <c r="J26" i="6"/>
  <c r="J27" i="6"/>
  <c r="J28" i="6"/>
  <c r="M46" i="1" s="1"/>
  <c r="J29" i="6"/>
  <c r="J30" i="6"/>
  <c r="J31" i="6"/>
  <c r="J32" i="6"/>
  <c r="M50" i="1" s="1"/>
  <c r="J33" i="6"/>
  <c r="J34" i="6"/>
  <c r="J35" i="6"/>
  <c r="J36" i="6"/>
  <c r="M54" i="1" s="1"/>
  <c r="J37" i="6"/>
  <c r="J38" i="6"/>
  <c r="J39" i="6"/>
  <c r="J40" i="6"/>
  <c r="M58" i="1" s="1"/>
  <c r="J41" i="6"/>
  <c r="J42" i="6"/>
  <c r="J43" i="6"/>
  <c r="J44" i="6"/>
  <c r="M62" i="1" s="1"/>
  <c r="J45" i="6"/>
  <c r="J46" i="6"/>
  <c r="J47" i="6"/>
  <c r="M65" i="1" s="1"/>
  <c r="J48" i="6"/>
  <c r="M66" i="1" s="1"/>
  <c r="J49" i="6"/>
  <c r="J50" i="6"/>
  <c r="J51" i="6"/>
  <c r="J52" i="6"/>
  <c r="M70" i="1" s="1"/>
  <c r="J53" i="6"/>
  <c r="J54" i="6"/>
  <c r="J55" i="6"/>
  <c r="M73" i="1" s="1"/>
  <c r="J56" i="6"/>
  <c r="M74" i="1" s="1"/>
  <c r="J57" i="6"/>
  <c r="J58" i="6"/>
  <c r="J59" i="6"/>
  <c r="M77" i="1" s="1"/>
  <c r="J60" i="6"/>
  <c r="M78" i="1" s="1"/>
  <c r="J61" i="6"/>
  <c r="J62" i="6"/>
  <c r="J63" i="6"/>
  <c r="M81" i="1" s="1"/>
  <c r="J64" i="6"/>
  <c r="M82" i="1" s="1"/>
  <c r="J65" i="6"/>
  <c r="J66" i="6"/>
  <c r="J67" i="6"/>
  <c r="M85" i="1" s="1"/>
  <c r="J68" i="6"/>
  <c r="M86" i="1" s="1"/>
  <c r="J69" i="6"/>
  <c r="J5" i="6"/>
  <c r="M23" i="1" s="1"/>
  <c r="N5" i="6"/>
  <c r="M24" i="1"/>
  <c r="M25" i="1"/>
  <c r="M26" i="1"/>
  <c r="M27" i="1"/>
  <c r="M28" i="1"/>
  <c r="M29" i="1"/>
  <c r="M31" i="1"/>
  <c r="M32" i="1"/>
  <c r="M33" i="1"/>
  <c r="M34" i="1"/>
  <c r="M35" i="1"/>
  <c r="M36" i="1"/>
  <c r="M37" i="1"/>
  <c r="M39" i="1"/>
  <c r="M40" i="1"/>
  <c r="M41" i="1"/>
  <c r="M43" i="1"/>
  <c r="M44" i="1"/>
  <c r="M45" i="1"/>
  <c r="M47" i="1"/>
  <c r="M48" i="1"/>
  <c r="M49" i="1"/>
  <c r="M51" i="1"/>
  <c r="M52" i="1"/>
  <c r="M53" i="1"/>
  <c r="M55" i="1"/>
  <c r="M56" i="1"/>
  <c r="M57" i="1"/>
  <c r="M59" i="1"/>
  <c r="M60" i="1"/>
  <c r="M61" i="1"/>
  <c r="M63" i="1"/>
  <c r="M64" i="1"/>
  <c r="M67" i="1"/>
  <c r="M68" i="1"/>
  <c r="M69" i="1"/>
  <c r="M71" i="1"/>
  <c r="M72" i="1"/>
  <c r="M75" i="1"/>
  <c r="M76" i="1"/>
  <c r="M79" i="1"/>
  <c r="M80" i="1"/>
  <c r="M83" i="1"/>
  <c r="M84" i="1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F3" i="5"/>
  <c r="F2" i="5" s="1"/>
  <c r="F4" i="5"/>
  <c r="F8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5" i="5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N63" i="4"/>
  <c r="N64" i="4" s="1"/>
  <c r="N65" i="4" s="1"/>
  <c r="N66" i="4" s="1"/>
  <c r="N67" i="4" s="1"/>
  <c r="N68" i="4" s="1"/>
  <c r="N62" i="4"/>
  <c r="N85" i="4"/>
  <c r="N82" i="4"/>
  <c r="N72" i="4"/>
  <c r="N70" i="4"/>
  <c r="N54" i="4"/>
  <c r="N21" i="4"/>
  <c r="N7" i="4"/>
  <c r="N6" i="4" s="1"/>
  <c r="N5" i="4" s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5" i="4"/>
  <c r="N56" i="4"/>
  <c r="N57" i="4"/>
  <c r="N58" i="4"/>
  <c r="N59" i="4"/>
  <c r="N60" i="4"/>
  <c r="N61" i="4"/>
  <c r="N69" i="4"/>
  <c r="N71" i="4"/>
  <c r="N73" i="4"/>
  <c r="N74" i="4"/>
  <c r="N75" i="4"/>
  <c r="N76" i="4"/>
  <c r="N77" i="4"/>
  <c r="N78" i="4"/>
  <c r="N79" i="4"/>
  <c r="N80" i="4"/>
  <c r="N81" i="4"/>
  <c r="N83" i="4"/>
  <c r="N84" i="4"/>
  <c r="N86" i="4"/>
  <c r="N87" i="4"/>
  <c r="N88" i="4"/>
  <c r="N89" i="4"/>
  <c r="G17" i="8" l="1"/>
  <c r="G21" i="8"/>
  <c r="G25" i="8"/>
  <c r="G29" i="8"/>
  <c r="G33" i="8"/>
  <c r="G37" i="8"/>
  <c r="G41" i="8"/>
  <c r="G45" i="8"/>
  <c r="G49" i="8"/>
  <c r="G53" i="8"/>
  <c r="G57" i="8"/>
  <c r="G61" i="8"/>
  <c r="G65" i="8"/>
  <c r="G69" i="8"/>
  <c r="G73" i="8"/>
  <c r="G77" i="8"/>
  <c r="G81" i="8"/>
  <c r="G85" i="8"/>
  <c r="G89" i="8"/>
  <c r="G93" i="8"/>
  <c r="G97" i="8"/>
  <c r="G101" i="8"/>
  <c r="G105" i="8"/>
  <c r="G109" i="8"/>
  <c r="G113" i="8"/>
  <c r="G117" i="8"/>
  <c r="G121" i="8"/>
  <c r="G125" i="8"/>
  <c r="G129" i="8"/>
  <c r="G133" i="8"/>
  <c r="G137" i="8"/>
  <c r="G141" i="8"/>
  <c r="G145" i="8"/>
  <c r="G149" i="8"/>
  <c r="G153" i="8"/>
  <c r="G157" i="8"/>
  <c r="G161" i="8"/>
  <c r="G165" i="8"/>
  <c r="G169" i="8"/>
  <c r="G173" i="8"/>
  <c r="G177" i="8"/>
  <c r="G181" i="8"/>
  <c r="G185" i="8"/>
  <c r="G189" i="8"/>
  <c r="G193" i="8"/>
  <c r="G197" i="8"/>
  <c r="G201" i="8"/>
  <c r="G205" i="8"/>
  <c r="G209" i="8"/>
  <c r="G213" i="8"/>
  <c r="G217" i="8"/>
  <c r="G221" i="8"/>
  <c r="G225" i="8"/>
  <c r="G229" i="8"/>
  <c r="G233" i="8"/>
  <c r="G237" i="8"/>
  <c r="G241" i="8"/>
  <c r="G245" i="8"/>
  <c r="G249" i="8"/>
  <c r="G253" i="8"/>
  <c r="G257" i="8"/>
  <c r="G261" i="8"/>
  <c r="G265" i="8"/>
  <c r="G269" i="8"/>
  <c r="G273" i="8"/>
  <c r="G18" i="8"/>
  <c r="G22" i="8"/>
  <c r="G26" i="8"/>
  <c r="G30" i="8"/>
  <c r="G34" i="8"/>
  <c r="G38" i="8"/>
  <c r="G42" i="8"/>
  <c r="G46" i="8"/>
  <c r="G50" i="8"/>
  <c r="G54" i="8"/>
  <c r="G58" i="8"/>
  <c r="G62" i="8"/>
  <c r="G66" i="8"/>
  <c r="G70" i="8"/>
  <c r="G74" i="8"/>
  <c r="G94" i="8"/>
  <c r="G102" i="8"/>
  <c r="G106" i="8"/>
  <c r="G110" i="8"/>
  <c r="G114" i="8"/>
  <c r="G118" i="8"/>
  <c r="G122" i="8"/>
  <c r="G126" i="8"/>
  <c r="G130" i="8"/>
  <c r="G134" i="8"/>
  <c r="G138" i="8"/>
  <c r="G142" i="8"/>
  <c r="G146" i="8"/>
  <c r="G150" i="8"/>
  <c r="G154" i="8"/>
  <c r="G158" i="8"/>
  <c r="G162" i="8"/>
  <c r="G166" i="8"/>
  <c r="G170" i="8"/>
  <c r="G174" i="8"/>
  <c r="G178" i="8"/>
  <c r="G182" i="8"/>
  <c r="G186" i="8"/>
  <c r="G190" i="8"/>
  <c r="G194" i="8"/>
  <c r="G198" i="8"/>
  <c r="G202" i="8"/>
  <c r="G206" i="8"/>
  <c r="G210" i="8"/>
  <c r="G214" i="8"/>
  <c r="G218" i="8"/>
  <c r="G222" i="8"/>
  <c r="G226" i="8"/>
  <c r="G230" i="8"/>
  <c r="G234" i="8"/>
  <c r="G238" i="8"/>
  <c r="G242" i="8"/>
  <c r="G246" i="8"/>
  <c r="G250" i="8"/>
  <c r="G254" i="8"/>
  <c r="G258" i="8"/>
  <c r="G262" i="8"/>
  <c r="G266" i="8"/>
  <c r="G270" i="8"/>
  <c r="G274" i="8"/>
  <c r="G78" i="8"/>
  <c r="G82" i="8"/>
  <c r="G86" i="8"/>
  <c r="G90" i="8"/>
  <c r="G98" i="8"/>
  <c r="G19" i="8"/>
  <c r="G23" i="8"/>
  <c r="G27" i="8"/>
  <c r="G31" i="8"/>
  <c r="G35" i="8"/>
  <c r="G39" i="8"/>
  <c r="G43" i="8"/>
  <c r="G47" i="8"/>
  <c r="G51" i="8"/>
  <c r="G55" i="8"/>
  <c r="G63" i="8"/>
  <c r="G67" i="8"/>
  <c r="G71" i="8"/>
  <c r="G75" i="8"/>
  <c r="G79" i="8"/>
  <c r="G83" i="8"/>
  <c r="G87" i="8"/>
  <c r="G91" i="8"/>
  <c r="G95" i="8"/>
  <c r="G99" i="8"/>
  <c r="G103" i="8"/>
  <c r="G107" i="8"/>
  <c r="G111" i="8"/>
  <c r="G115" i="8"/>
  <c r="G119" i="8"/>
  <c r="G123" i="8"/>
  <c r="G127" i="8"/>
  <c r="G131" i="8"/>
  <c r="G135" i="8"/>
  <c r="G139" i="8"/>
  <c r="G143" i="8"/>
  <c r="G147" i="8"/>
  <c r="G151" i="8"/>
  <c r="G155" i="8"/>
  <c r="G159" i="8"/>
  <c r="G163" i="8"/>
  <c r="G167" i="8"/>
  <c r="G171" i="8"/>
  <c r="G175" i="8"/>
  <c r="G179" i="8"/>
  <c r="G183" i="8"/>
  <c r="G187" i="8"/>
  <c r="G191" i="8"/>
  <c r="G195" i="8"/>
  <c r="G199" i="8"/>
  <c r="G203" i="8"/>
  <c r="G207" i="8"/>
  <c r="G211" i="8"/>
  <c r="G215" i="8"/>
  <c r="G219" i="8"/>
  <c r="G223" i="8"/>
  <c r="G227" i="8"/>
  <c r="G231" i="8"/>
  <c r="G235" i="8"/>
  <c r="G239" i="8"/>
  <c r="G243" i="8"/>
  <c r="G247" i="8"/>
  <c r="G251" i="8"/>
  <c r="G255" i="8"/>
  <c r="G259" i="8"/>
  <c r="G263" i="8"/>
  <c r="G267" i="8"/>
  <c r="G271" i="8"/>
  <c r="G275" i="8"/>
  <c r="G59" i="8"/>
  <c r="G20" i="8"/>
  <c r="G24" i="8"/>
  <c r="G28" i="8"/>
  <c r="G32" i="8"/>
  <c r="G36" i="8"/>
  <c r="G40" i="8"/>
  <c r="G44" i="8"/>
  <c r="G48" i="8"/>
  <c r="G52" i="8"/>
  <c r="G56" i="8"/>
  <c r="G60" i="8"/>
  <c r="G64" i="8"/>
  <c r="G68" i="8"/>
  <c r="G72" i="8"/>
  <c r="G76" i="8"/>
  <c r="G80" i="8"/>
  <c r="G84" i="8"/>
  <c r="G88" i="8"/>
  <c r="G92" i="8"/>
  <c r="G96" i="8"/>
  <c r="G100" i="8"/>
  <c r="G104" i="8"/>
  <c r="G108" i="8"/>
  <c r="G112" i="8"/>
  <c r="G116" i="8"/>
  <c r="G120" i="8"/>
  <c r="G124" i="8"/>
  <c r="G128" i="8"/>
  <c r="G132" i="8"/>
  <c r="G136" i="8"/>
  <c r="G140" i="8"/>
  <c r="G144" i="8"/>
  <c r="G148" i="8"/>
  <c r="G152" i="8"/>
  <c r="G156" i="8"/>
  <c r="G160" i="8"/>
  <c r="G164" i="8"/>
  <c r="G168" i="8"/>
  <c r="G172" i="8"/>
  <c r="G176" i="8"/>
  <c r="G180" i="8"/>
  <c r="G184" i="8"/>
  <c r="G188" i="8"/>
  <c r="G192" i="8"/>
  <c r="G196" i="8"/>
  <c r="G200" i="8"/>
  <c r="G204" i="8"/>
  <c r="G208" i="8"/>
  <c r="G212" i="8"/>
  <c r="G216" i="8"/>
  <c r="G220" i="8"/>
  <c r="G224" i="8"/>
  <c r="G228" i="8"/>
  <c r="G232" i="8"/>
  <c r="G236" i="8"/>
  <c r="G240" i="8"/>
  <c r="G244" i="8"/>
  <c r="G248" i="8"/>
  <c r="G252" i="8"/>
  <c r="G256" i="8"/>
  <c r="G260" i="8"/>
  <c r="G264" i="8"/>
  <c r="G268" i="8"/>
  <c r="G272" i="8"/>
  <c r="P39" i="7"/>
  <c r="P43" i="7"/>
  <c r="P47" i="7"/>
  <c r="P51" i="7"/>
  <c r="P55" i="7"/>
  <c r="P59" i="7"/>
  <c r="P63" i="7"/>
  <c r="P67" i="7"/>
  <c r="P69" i="7"/>
  <c r="P71" i="7"/>
  <c r="P73" i="7"/>
  <c r="P75" i="7"/>
  <c r="P77" i="7"/>
  <c r="P79" i="7"/>
  <c r="P81" i="7"/>
  <c r="P83" i="7"/>
  <c r="P87" i="7"/>
  <c r="P37" i="7"/>
  <c r="P41" i="7"/>
  <c r="P45" i="7"/>
  <c r="P49" i="7"/>
  <c r="P53" i="7"/>
  <c r="P57" i="7"/>
  <c r="P61" i="7"/>
  <c r="P65" i="7"/>
  <c r="P85" i="7"/>
  <c r="P42" i="7"/>
  <c r="P46" i="7"/>
  <c r="P50" i="7"/>
  <c r="P54" i="7"/>
  <c r="P58" i="7"/>
  <c r="P62" i="7"/>
  <c r="P64" i="7"/>
  <c r="P66" i="7"/>
  <c r="P68" i="7"/>
  <c r="P70" i="7"/>
  <c r="P72" i="7"/>
  <c r="P74" i="7"/>
  <c r="P76" i="7"/>
  <c r="P78" i="7"/>
  <c r="P80" i="7"/>
  <c r="P84" i="7"/>
  <c r="P86" i="7"/>
  <c r="P40" i="7"/>
  <c r="P44" i="7"/>
  <c r="P48" i="7"/>
  <c r="P52" i="7"/>
  <c r="P56" i="7"/>
  <c r="P60" i="7"/>
  <c r="K6" i="4" l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5" i="4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D34" i="1"/>
  <c r="E34" i="1"/>
  <c r="F34" i="1"/>
  <c r="D35" i="1"/>
  <c r="E35" i="1"/>
  <c r="F35" i="1"/>
  <c r="D36" i="1"/>
  <c r="E36" i="1"/>
  <c r="F36" i="1"/>
  <c r="D37" i="1"/>
  <c r="E37" i="1"/>
  <c r="F37" i="1"/>
  <c r="D38" i="1"/>
  <c r="E38" i="1"/>
  <c r="F38" i="1"/>
  <c r="D39" i="1"/>
  <c r="E39" i="1"/>
  <c r="F39" i="1"/>
  <c r="D40" i="1"/>
  <c r="E40" i="1"/>
  <c r="F40" i="1"/>
  <c r="D41" i="1"/>
  <c r="E41" i="1"/>
  <c r="F41" i="1"/>
  <c r="D42" i="1"/>
  <c r="E42" i="1"/>
  <c r="F42" i="1"/>
  <c r="D43" i="1"/>
  <c r="E43" i="1"/>
  <c r="F43" i="1"/>
  <c r="D44" i="1"/>
  <c r="E44" i="1"/>
  <c r="F44" i="1"/>
  <c r="D45" i="1"/>
  <c r="E45" i="1"/>
  <c r="F45" i="1"/>
  <c r="D46" i="1"/>
  <c r="E46" i="1"/>
  <c r="F46" i="1"/>
  <c r="D47" i="1"/>
  <c r="E47" i="1"/>
  <c r="F47" i="1"/>
  <c r="D48" i="1"/>
  <c r="E48" i="1"/>
  <c r="F48" i="1"/>
  <c r="D49" i="1"/>
  <c r="E49" i="1"/>
  <c r="F49" i="1"/>
  <c r="D50" i="1"/>
  <c r="E50" i="1"/>
  <c r="F50" i="1"/>
  <c r="D51" i="1"/>
  <c r="E51" i="1"/>
  <c r="F51" i="1"/>
  <c r="D52" i="1"/>
  <c r="E52" i="1"/>
  <c r="F52" i="1"/>
  <c r="D53" i="1"/>
  <c r="E53" i="1"/>
  <c r="F53" i="1"/>
  <c r="D54" i="1"/>
  <c r="E54" i="1"/>
  <c r="F54" i="1"/>
  <c r="D55" i="1"/>
  <c r="E55" i="1"/>
  <c r="F55" i="1"/>
  <c r="D56" i="1"/>
  <c r="E56" i="1"/>
  <c r="F56" i="1"/>
  <c r="D57" i="1"/>
  <c r="E57" i="1"/>
  <c r="F57" i="1"/>
  <c r="D58" i="1"/>
  <c r="E58" i="1"/>
  <c r="F58" i="1"/>
  <c r="D59" i="1"/>
  <c r="E59" i="1"/>
  <c r="F59" i="1"/>
  <c r="D60" i="1"/>
  <c r="E60" i="1"/>
  <c r="F60" i="1"/>
  <c r="D61" i="1"/>
  <c r="E61" i="1"/>
  <c r="F61" i="1"/>
  <c r="D62" i="1"/>
  <c r="E62" i="1"/>
  <c r="F62" i="1"/>
  <c r="D63" i="1"/>
  <c r="E63" i="1"/>
  <c r="F63" i="1"/>
  <c r="D64" i="1"/>
  <c r="E64" i="1"/>
  <c r="F64" i="1"/>
  <c r="D65" i="1"/>
  <c r="E65" i="1"/>
  <c r="F65" i="1"/>
  <c r="D66" i="1"/>
  <c r="E66" i="1"/>
  <c r="F66" i="1"/>
  <c r="D67" i="1"/>
  <c r="E67" i="1"/>
  <c r="F67" i="1"/>
  <c r="D68" i="1"/>
  <c r="E68" i="1"/>
  <c r="F68" i="1"/>
  <c r="D69" i="1"/>
  <c r="E69" i="1"/>
  <c r="F69" i="1"/>
  <c r="D70" i="1"/>
  <c r="E70" i="1"/>
  <c r="F70" i="1"/>
  <c r="D71" i="1"/>
  <c r="E71" i="1"/>
  <c r="F71" i="1"/>
  <c r="D72" i="1"/>
  <c r="E72" i="1"/>
  <c r="F72" i="1"/>
  <c r="D73" i="1"/>
  <c r="E73" i="1"/>
  <c r="F73" i="1"/>
  <c r="D74" i="1"/>
  <c r="E74" i="1"/>
  <c r="F74" i="1"/>
  <c r="D75" i="1"/>
  <c r="E75" i="1"/>
  <c r="F75" i="1"/>
  <c r="D76" i="1"/>
  <c r="E76" i="1"/>
  <c r="F76" i="1"/>
  <c r="D77" i="1"/>
  <c r="E77" i="1"/>
  <c r="F77" i="1"/>
  <c r="D78" i="1"/>
  <c r="E78" i="1"/>
  <c r="F78" i="1"/>
  <c r="D79" i="1"/>
  <c r="E79" i="1"/>
  <c r="F79" i="1"/>
  <c r="D80" i="1"/>
  <c r="E80" i="1"/>
  <c r="F80" i="1"/>
  <c r="D81" i="1"/>
  <c r="E81" i="1"/>
  <c r="F81" i="1"/>
  <c r="D82" i="1"/>
  <c r="E82" i="1"/>
  <c r="F82" i="1"/>
  <c r="D83" i="1"/>
  <c r="E83" i="1"/>
  <c r="F83" i="1"/>
  <c r="D84" i="1"/>
  <c r="E84" i="1"/>
  <c r="F84" i="1"/>
  <c r="D85" i="1"/>
  <c r="E85" i="1"/>
  <c r="F85" i="1"/>
  <c r="D86" i="1"/>
  <c r="E86" i="1"/>
  <c r="F86" i="1"/>
  <c r="F2" i="1"/>
  <c r="E2" i="1"/>
  <c r="D2" i="1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24" i="3"/>
  <c r="R41" i="3"/>
  <c r="R45" i="3"/>
  <c r="R49" i="3"/>
  <c r="R97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R24" i="3"/>
  <c r="P25" i="3"/>
  <c r="Q25" i="3"/>
  <c r="R25" i="3"/>
  <c r="P26" i="3"/>
  <c r="Q26" i="3"/>
  <c r="R26" i="3"/>
  <c r="P27" i="3"/>
  <c r="Q27" i="3"/>
  <c r="R27" i="3"/>
  <c r="P28" i="3"/>
  <c r="Q28" i="3"/>
  <c r="R28" i="3"/>
  <c r="P29" i="3"/>
  <c r="Q29" i="3"/>
  <c r="R29" i="3"/>
  <c r="P30" i="3"/>
  <c r="Q30" i="3"/>
  <c r="R30" i="3"/>
  <c r="P31" i="3"/>
  <c r="Q31" i="3"/>
  <c r="R31" i="3"/>
  <c r="P32" i="3"/>
  <c r="Q32" i="3"/>
  <c r="R32" i="3"/>
  <c r="P33" i="3"/>
  <c r="Q33" i="3"/>
  <c r="R33" i="3"/>
  <c r="P34" i="3"/>
  <c r="Q34" i="3"/>
  <c r="R34" i="3"/>
  <c r="P35" i="3"/>
  <c r="Q35" i="3"/>
  <c r="R35" i="3"/>
  <c r="P36" i="3"/>
  <c r="Q36" i="3"/>
  <c r="R36" i="3"/>
  <c r="P37" i="3"/>
  <c r="Q37" i="3"/>
  <c r="R37" i="3"/>
  <c r="P38" i="3"/>
  <c r="Q38" i="3"/>
  <c r="R38" i="3"/>
  <c r="P39" i="3"/>
  <c r="Q39" i="3"/>
  <c r="R39" i="3"/>
  <c r="P40" i="3"/>
  <c r="Q40" i="3"/>
  <c r="R40" i="3"/>
  <c r="P41" i="3"/>
  <c r="Q41" i="3"/>
  <c r="P42" i="3"/>
  <c r="Q42" i="3"/>
  <c r="R42" i="3"/>
  <c r="P43" i="3"/>
  <c r="Q43" i="3"/>
  <c r="R43" i="3"/>
  <c r="P44" i="3"/>
  <c r="Q44" i="3"/>
  <c r="R44" i="3"/>
  <c r="P45" i="3"/>
  <c r="Q45" i="3"/>
  <c r="P46" i="3"/>
  <c r="Q46" i="3"/>
  <c r="R46" i="3"/>
  <c r="P47" i="3"/>
  <c r="Q47" i="3"/>
  <c r="R47" i="3"/>
  <c r="P48" i="3"/>
  <c r="Q48" i="3"/>
  <c r="R48" i="3"/>
  <c r="P49" i="3"/>
  <c r="Q49" i="3"/>
  <c r="P50" i="3"/>
  <c r="Q50" i="3"/>
  <c r="R50" i="3"/>
  <c r="P51" i="3"/>
  <c r="Q51" i="3"/>
  <c r="R51" i="3"/>
  <c r="P52" i="3"/>
  <c r="Q52" i="3"/>
  <c r="R52" i="3"/>
  <c r="P53" i="3"/>
  <c r="Q53" i="3"/>
  <c r="R53" i="3"/>
  <c r="P54" i="3"/>
  <c r="Q54" i="3"/>
  <c r="R54" i="3"/>
  <c r="P55" i="3"/>
  <c r="Q55" i="3"/>
  <c r="R55" i="3"/>
  <c r="P56" i="3"/>
  <c r="Q56" i="3"/>
  <c r="R56" i="3"/>
  <c r="P57" i="3"/>
  <c r="Q57" i="3"/>
  <c r="R57" i="3"/>
  <c r="P58" i="3"/>
  <c r="Q58" i="3"/>
  <c r="R58" i="3"/>
  <c r="P59" i="3"/>
  <c r="Q59" i="3"/>
  <c r="R59" i="3"/>
  <c r="P60" i="3"/>
  <c r="Q60" i="3"/>
  <c r="R60" i="3"/>
  <c r="P61" i="3"/>
  <c r="Q61" i="3"/>
  <c r="R61" i="3"/>
  <c r="P62" i="3"/>
  <c r="Q62" i="3"/>
  <c r="R62" i="3"/>
  <c r="P63" i="3"/>
  <c r="Q63" i="3"/>
  <c r="R63" i="3"/>
  <c r="P64" i="3"/>
  <c r="Q64" i="3"/>
  <c r="R64" i="3"/>
  <c r="P65" i="3"/>
  <c r="Q65" i="3"/>
  <c r="R65" i="3"/>
  <c r="P66" i="3"/>
  <c r="Q66" i="3"/>
  <c r="R66" i="3"/>
  <c r="P67" i="3"/>
  <c r="Q67" i="3"/>
  <c r="R67" i="3"/>
  <c r="P68" i="3"/>
  <c r="Q68" i="3"/>
  <c r="R68" i="3"/>
  <c r="P69" i="3"/>
  <c r="Q69" i="3"/>
  <c r="R69" i="3"/>
  <c r="P70" i="3"/>
  <c r="Q70" i="3"/>
  <c r="R70" i="3"/>
  <c r="P71" i="3"/>
  <c r="Q71" i="3"/>
  <c r="R71" i="3"/>
  <c r="P72" i="3"/>
  <c r="Q72" i="3"/>
  <c r="R72" i="3"/>
  <c r="P73" i="3"/>
  <c r="Q73" i="3"/>
  <c r="R73" i="3"/>
  <c r="P74" i="3"/>
  <c r="Q74" i="3"/>
  <c r="R74" i="3"/>
  <c r="P75" i="3"/>
  <c r="Q75" i="3"/>
  <c r="R75" i="3"/>
  <c r="P76" i="3"/>
  <c r="Q76" i="3"/>
  <c r="R76" i="3"/>
  <c r="P77" i="3"/>
  <c r="Q77" i="3"/>
  <c r="R77" i="3"/>
  <c r="P78" i="3"/>
  <c r="Q78" i="3"/>
  <c r="R78" i="3"/>
  <c r="P79" i="3"/>
  <c r="Q79" i="3"/>
  <c r="R79" i="3"/>
  <c r="P80" i="3"/>
  <c r="Q80" i="3"/>
  <c r="R80" i="3"/>
  <c r="P81" i="3"/>
  <c r="Q81" i="3"/>
  <c r="R81" i="3"/>
  <c r="P82" i="3"/>
  <c r="Q82" i="3"/>
  <c r="R82" i="3"/>
  <c r="P83" i="3"/>
  <c r="Q83" i="3"/>
  <c r="R83" i="3"/>
  <c r="P84" i="3"/>
  <c r="Q84" i="3"/>
  <c r="R84" i="3"/>
  <c r="P85" i="3"/>
  <c r="Q85" i="3"/>
  <c r="R85" i="3"/>
  <c r="P86" i="3"/>
  <c r="Q86" i="3"/>
  <c r="R86" i="3"/>
  <c r="P87" i="3"/>
  <c r="Q87" i="3"/>
  <c r="R87" i="3"/>
  <c r="P88" i="3"/>
  <c r="Q88" i="3"/>
  <c r="R88" i="3"/>
  <c r="P89" i="3"/>
  <c r="Q89" i="3"/>
  <c r="R89" i="3"/>
  <c r="P90" i="3"/>
  <c r="Q90" i="3"/>
  <c r="R90" i="3"/>
  <c r="P91" i="3"/>
  <c r="Q91" i="3"/>
  <c r="R91" i="3"/>
  <c r="P92" i="3"/>
  <c r="Q92" i="3"/>
  <c r="R92" i="3"/>
  <c r="P93" i="3"/>
  <c r="Q93" i="3"/>
  <c r="R93" i="3"/>
  <c r="P94" i="3"/>
  <c r="Q94" i="3"/>
  <c r="R94" i="3"/>
  <c r="P95" i="3"/>
  <c r="Q95" i="3"/>
  <c r="R95" i="3"/>
  <c r="P96" i="3"/>
  <c r="Q96" i="3"/>
  <c r="R96" i="3"/>
  <c r="P97" i="3"/>
  <c r="Q97" i="3"/>
  <c r="P98" i="3"/>
  <c r="Q98" i="3"/>
  <c r="R98" i="3"/>
  <c r="P99" i="3"/>
  <c r="Q99" i="3"/>
  <c r="R99" i="3"/>
  <c r="P100" i="3"/>
  <c r="Q100" i="3"/>
  <c r="R100" i="3"/>
  <c r="P101" i="3"/>
  <c r="Q101" i="3"/>
  <c r="R101" i="3"/>
  <c r="P102" i="3"/>
  <c r="Q102" i="3"/>
  <c r="R102" i="3"/>
  <c r="P103" i="3"/>
  <c r="Q103" i="3"/>
  <c r="R103" i="3"/>
  <c r="Q6" i="3"/>
  <c r="P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M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M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M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M6" i="3"/>
  <c r="L6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6" i="3"/>
  <c r="A203" i="3"/>
  <c r="A215" i="3" s="1"/>
  <c r="A227" i="3" s="1"/>
  <c r="A239" i="3" s="1"/>
  <c r="A251" i="3" s="1"/>
  <c r="A263" i="3" s="1"/>
  <c r="A275" i="3" s="1"/>
  <c r="A287" i="3" s="1"/>
  <c r="A199" i="3"/>
  <c r="A211" i="3" s="1"/>
  <c r="A223" i="3" s="1"/>
  <c r="A235" i="3" s="1"/>
  <c r="A247" i="3" s="1"/>
  <c r="A259" i="3" s="1"/>
  <c r="A271" i="3" s="1"/>
  <c r="A283" i="3" s="1"/>
  <c r="A295" i="3" s="1"/>
  <c r="A197" i="3"/>
  <c r="A209" i="3" s="1"/>
  <c r="A221" i="3" s="1"/>
  <c r="A233" i="3" s="1"/>
  <c r="A245" i="3" s="1"/>
  <c r="A257" i="3" s="1"/>
  <c r="A269" i="3" s="1"/>
  <c r="A281" i="3" s="1"/>
  <c r="A293" i="3" s="1"/>
  <c r="A195" i="3"/>
  <c r="A207" i="3" s="1"/>
  <c r="A219" i="3" s="1"/>
  <c r="A231" i="3" s="1"/>
  <c r="A243" i="3" s="1"/>
  <c r="A255" i="3" s="1"/>
  <c r="A267" i="3" s="1"/>
  <c r="A279" i="3" s="1"/>
  <c r="A291" i="3" s="1"/>
  <c r="A194" i="3"/>
  <c r="A206" i="3" s="1"/>
  <c r="A218" i="3" s="1"/>
  <c r="A230" i="3" s="1"/>
  <c r="A242" i="3" s="1"/>
  <c r="A254" i="3" s="1"/>
  <c r="A266" i="3" s="1"/>
  <c r="A278" i="3" s="1"/>
  <c r="A290" i="3" s="1"/>
  <c r="A193" i="3"/>
  <c r="A205" i="3" s="1"/>
  <c r="A217" i="3" s="1"/>
  <c r="A229" i="3" s="1"/>
  <c r="A241" i="3" s="1"/>
  <c r="A253" i="3" s="1"/>
  <c r="A265" i="3" s="1"/>
  <c r="A277" i="3" s="1"/>
  <c r="A289" i="3" s="1"/>
  <c r="A192" i="3"/>
  <c r="A204" i="3" s="1"/>
  <c r="A216" i="3" s="1"/>
  <c r="A228" i="3" s="1"/>
  <c r="A240" i="3" s="1"/>
  <c r="A252" i="3" s="1"/>
  <c r="A264" i="3" s="1"/>
  <c r="A276" i="3" s="1"/>
  <c r="A288" i="3" s="1"/>
  <c r="A191" i="3"/>
  <c r="A178" i="3"/>
  <c r="A190" i="3" s="1"/>
  <c r="A202" i="3" s="1"/>
  <c r="A214" i="3" s="1"/>
  <c r="A226" i="3" s="1"/>
  <c r="A238" i="3" s="1"/>
  <c r="A250" i="3" s="1"/>
  <c r="A262" i="3" s="1"/>
  <c r="A274" i="3" s="1"/>
  <c r="A286" i="3" s="1"/>
  <c r="A177" i="3"/>
  <c r="A189" i="3" s="1"/>
  <c r="A201" i="3" s="1"/>
  <c r="A213" i="3" s="1"/>
  <c r="A225" i="3" s="1"/>
  <c r="A237" i="3" s="1"/>
  <c r="A249" i="3" s="1"/>
  <c r="A261" i="3" s="1"/>
  <c r="A273" i="3" s="1"/>
  <c r="A285" i="3" s="1"/>
  <c r="A297" i="3" s="1"/>
  <c r="A176" i="3"/>
  <c r="A188" i="3" s="1"/>
  <c r="A200" i="3" s="1"/>
  <c r="A212" i="3" s="1"/>
  <c r="A224" i="3" s="1"/>
  <c r="A236" i="3" s="1"/>
  <c r="A248" i="3" s="1"/>
  <c r="A260" i="3" s="1"/>
  <c r="A272" i="3" s="1"/>
  <c r="A284" i="3" s="1"/>
  <c r="A296" i="3" s="1"/>
  <c r="A172" i="3"/>
  <c r="A184" i="3" s="1"/>
  <c r="A196" i="3" s="1"/>
  <c r="A208" i="3" s="1"/>
  <c r="A220" i="3" s="1"/>
  <c r="A232" i="3" s="1"/>
  <c r="A244" i="3" s="1"/>
  <c r="A256" i="3" s="1"/>
  <c r="A268" i="3" s="1"/>
  <c r="A280" i="3" s="1"/>
  <c r="A292" i="3" s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Արթուր Գրիգորյան</author>
  </authors>
  <commentList>
    <comment ref="Q1" authorId="0" shapeId="0" xr:uid="{6C987509-964A-40EA-93DB-4939C0860830}">
      <text>
        <r>
          <rPr>
            <b/>
            <sz val="9"/>
            <color indexed="81"/>
            <rFont val="Tahoma"/>
            <family val="2"/>
          </rPr>
          <t>Արթուր Գրիգորյան:</t>
        </r>
        <r>
          <rPr>
            <sz val="9"/>
            <color indexed="81"/>
            <rFont val="Tahoma"/>
            <family val="2"/>
          </rPr>
          <t xml:space="preserve">
Տարեկանացված, մլն ԱՄՆ դոլար</t>
        </r>
      </text>
    </comment>
  </commentList>
</comments>
</file>

<file path=xl/sharedStrings.xml><?xml version="1.0" encoding="utf-8"?>
<sst xmlns="http://schemas.openxmlformats.org/spreadsheetml/2006/main" count="1259" uniqueCount="608">
  <si>
    <t>Date</t>
  </si>
  <si>
    <t>Financial Cycle Index</t>
  </si>
  <si>
    <t xml:space="preserve">Հաշվարկի                     ամսաթիվը/ Date  </t>
  </si>
  <si>
    <t>1 օր/day</t>
  </si>
  <si>
    <t>1 ամիս/month</t>
  </si>
  <si>
    <t>3 ամիս/month</t>
  </si>
  <si>
    <t>6 ամիս/month</t>
  </si>
  <si>
    <t>9 ամիս/month</t>
  </si>
  <si>
    <t>1 տարի/year</t>
  </si>
  <si>
    <t>2 տարի/year</t>
  </si>
  <si>
    <t>3 տարի/year</t>
  </si>
  <si>
    <t>4 տարի/year</t>
  </si>
  <si>
    <t>5 տարի/year</t>
  </si>
  <si>
    <t>7 տարի/year</t>
  </si>
  <si>
    <t>10 տարի/year</t>
  </si>
  <si>
    <t>15 տարի/year</t>
  </si>
  <si>
    <t>20 տարի/year</t>
  </si>
  <si>
    <t>30 տարի/year</t>
  </si>
  <si>
    <t>Quarter</t>
  </si>
  <si>
    <r>
      <t xml:space="preserve">Առաջնային շուկայում պետական պարտատոմսերի եկամտաբերություն </t>
    </r>
    <r>
      <rPr>
        <b/>
        <vertAlign val="superscript"/>
        <sz val="12"/>
        <rFont val="GHEA Grapalat"/>
        <family val="3"/>
      </rPr>
      <t>1</t>
    </r>
  </si>
  <si>
    <t>(%)</t>
  </si>
  <si>
    <t>Պետական կարճաժամկետ պարտատոմսերի եկամտաբերություն</t>
  </si>
  <si>
    <t>Միջինժամկետ  մասնակի մարումներով արժեկտրոնային  ՊՊ եկամտաբերություն</t>
  </si>
  <si>
    <t>Միջինժամկետ     ՊՊ միջին եկամտաբերություն</t>
  </si>
  <si>
    <t xml:space="preserve">Երկարաժամկետ   ՊՊ միջին եկամտաբերություն   </t>
  </si>
  <si>
    <r>
      <t>91-</t>
    </r>
    <r>
      <rPr>
        <b/>
        <sz val="9"/>
        <rFont val="GHEA Grapalat"/>
        <family val="3"/>
      </rPr>
      <t>օրյա</t>
    </r>
  </si>
  <si>
    <r>
      <t>182-</t>
    </r>
    <r>
      <rPr>
        <b/>
        <sz val="9"/>
        <rFont val="GHEA Grapalat"/>
        <family val="3"/>
      </rPr>
      <t>օրյա</t>
    </r>
  </si>
  <si>
    <r>
      <t>273-</t>
    </r>
    <r>
      <rPr>
        <b/>
        <sz val="9"/>
        <rFont val="GHEA Grapalat"/>
        <family val="3"/>
      </rPr>
      <t>օրյա</t>
    </r>
  </si>
  <si>
    <r>
      <t>364-</t>
    </r>
    <r>
      <rPr>
        <b/>
        <sz val="9"/>
        <rFont val="GHEA Grapalat"/>
        <family val="3"/>
      </rPr>
      <t>օրյա</t>
    </r>
  </si>
  <si>
    <t>Հունվար 2000</t>
  </si>
  <si>
    <t xml:space="preserve">Փետրվար </t>
  </si>
  <si>
    <t xml:space="preserve">Մարտ </t>
  </si>
  <si>
    <t>Ապրիլ</t>
  </si>
  <si>
    <t>Մայիս</t>
  </si>
  <si>
    <t>Հունիս</t>
  </si>
  <si>
    <t>Հուլիս</t>
  </si>
  <si>
    <t>Օգոստոս</t>
  </si>
  <si>
    <t>Սեպտեմբեր</t>
  </si>
  <si>
    <t>Հոկտեմբեր</t>
  </si>
  <si>
    <t>Նոյեմբեր</t>
  </si>
  <si>
    <t>Դեկտեմբեր</t>
  </si>
  <si>
    <t>Հունվար 2001</t>
  </si>
  <si>
    <t>Հունվար 2002</t>
  </si>
  <si>
    <t>Հունվար 2003</t>
  </si>
  <si>
    <t>Հունվար 2004</t>
  </si>
  <si>
    <t>Հունվար 2005</t>
  </si>
  <si>
    <t>Հունվար 2006</t>
  </si>
  <si>
    <t>Հունվար 2007</t>
  </si>
  <si>
    <t>Հունվար 2008</t>
  </si>
  <si>
    <t>Հունվար 2009</t>
  </si>
  <si>
    <t>Հունվար 2010</t>
  </si>
  <si>
    <t>Փետրվար</t>
  </si>
  <si>
    <t>Հունվար 2011</t>
  </si>
  <si>
    <t>Հունվար 2012</t>
  </si>
  <si>
    <t>Հունվար 2013</t>
  </si>
  <si>
    <t>Հունվար 2014</t>
  </si>
  <si>
    <t>Հունվար 2015</t>
  </si>
  <si>
    <t>Հունվար 2016</t>
  </si>
  <si>
    <r>
      <t xml:space="preserve">Հունվար </t>
    </r>
    <r>
      <rPr>
        <b/>
        <sz val="11"/>
        <rFont val="GHEA Grapalat"/>
        <family val="3"/>
      </rPr>
      <t>2017</t>
    </r>
  </si>
  <si>
    <t>Հունվար 2018</t>
  </si>
  <si>
    <t>Հունվար 2019</t>
  </si>
  <si>
    <t>Հունվար 2020</t>
  </si>
  <si>
    <t>Հունվար 2021</t>
  </si>
  <si>
    <t>Հունվար 2022</t>
  </si>
  <si>
    <t>Հունվար 2023</t>
  </si>
  <si>
    <t>Հունվար 2024</t>
  </si>
  <si>
    <r>
      <t xml:space="preserve">1 </t>
    </r>
    <r>
      <rPr>
        <sz val="10"/>
        <rFont val="GHEA Grapalat"/>
        <family val="3"/>
      </rPr>
      <t>Ներկայացված են առաջնային շուկայում տեղաբաշխված տվյալ ժամկետայնության արժեթղթերի միջին կշռված եկամտաբերությունները:</t>
    </r>
  </si>
  <si>
    <t>Short term</t>
  </si>
  <si>
    <t>Mid Term</t>
  </si>
  <si>
    <t>Long term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</si>
  <si>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</si>
  <si>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</si>
  <si>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</si>
  <si>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</si>
  <si>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</si>
  <si>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</si>
  <si>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</si>
  <si>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</si>
  <si>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</si>
  <si>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</si>
  <si>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</si>
  <si>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</si>
  <si>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</si>
  <si>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</si>
  <si>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</si>
  <si>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</si>
  <si>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</si>
  <si>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</si>
  <si>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</si>
  <si>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</si>
  <si>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</si>
  <si>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</si>
  <si>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</si>
  <si>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</si>
  <si>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</si>
  <si>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</si>
  <si>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</si>
  <si>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</si>
  <si>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</si>
  <si>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</si>
  <si>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</si>
  <si>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</si>
  <si>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</si>
  <si>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</si>
  <si>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</si>
  <si>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</si>
  <si>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</si>
  <si>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</si>
  <si>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</si>
  <si>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</si>
  <si>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</si>
  <si>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</si>
  <si>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</si>
  <si>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</si>
  <si>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</si>
  <si>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</si>
  <si>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</si>
  <si>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</si>
  <si>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</si>
  <si>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</si>
  <si>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</si>
  <si>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</si>
  <si>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</si>
  <si>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</si>
  <si>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</si>
  <si>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</si>
  <si>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</si>
  <si>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</si>
  <si>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</si>
  <si>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</si>
  <si>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</si>
  <si>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</si>
  <si>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</si>
  <si>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</si>
  <si>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</si>
  <si>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</si>
  <si>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</si>
  <si>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</si>
  <si>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</si>
  <si>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</si>
  <si>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</si>
  <si>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</si>
  <si>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</si>
  <si>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</si>
  <si>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</si>
  <si>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</si>
  <si>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</si>
  <si>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</si>
  <si>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</si>
  <si>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</si>
  <si>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</si>
  <si>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</si>
  <si>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</si>
  <si>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</si>
  <si>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</si>
  <si>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</si>
  <si>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</si>
  <si>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</si>
  <si>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</si>
  <si>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</si>
  <si>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</si>
  <si>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</si>
  <si>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</si>
  <si>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</si>
  <si>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</si>
  <si>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</si>
  <si>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</si>
  <si>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</si>
  <si>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Level</t>
  </si>
  <si>
    <t>Steepness</t>
  </si>
  <si>
    <t>Curvature</t>
  </si>
  <si>
    <t>Policy rate</t>
  </si>
  <si>
    <t>Ֆինանսական շուկայում ՀՀ ԿԲ գործառնությունների տոկոսադրույքները (%)</t>
  </si>
  <si>
    <t>Գործողության ժամկետը</t>
  </si>
  <si>
    <t>Վեռաֆինանսավորման տոկոսադրույք</t>
  </si>
  <si>
    <t>Ներգրաված միջոցներ</t>
  </si>
  <si>
    <r>
      <t xml:space="preserve">Լոմբարդային ռեպո </t>
    </r>
    <r>
      <rPr>
        <vertAlign val="superscript"/>
        <sz val="10"/>
        <rFont val="Arial Unicode"/>
        <family val="2"/>
      </rPr>
      <t>1</t>
    </r>
  </si>
  <si>
    <t>27.12.2003-08.03.2004</t>
  </si>
  <si>
    <t>09.03.2004-06.04.2004</t>
  </si>
  <si>
    <t>07.04.2004-13.07.2004</t>
  </si>
  <si>
    <t>14.07.2004-22.08.2004</t>
  </si>
  <si>
    <t>23.08.2004-17.10.2004</t>
  </si>
  <si>
    <t>18.10.2004-09.01.2005</t>
  </si>
  <si>
    <t>10.01.2005-13.06.2005</t>
  </si>
  <si>
    <t>14.06.2005-09.08.2005</t>
  </si>
  <si>
    <t>10.08.2005-25.12.2005</t>
  </si>
  <si>
    <t>26.12.2005-05.02.2006</t>
  </si>
  <si>
    <t>06.02.2006-15.03.2006</t>
  </si>
  <si>
    <t>16.03.2006-02.04.2006</t>
  </si>
  <si>
    <t>03.04.2006-03.05.2006</t>
  </si>
  <si>
    <t>04.05.2006-31.07.2006</t>
  </si>
  <si>
    <t>01.08.2006-31.08.2006</t>
  </si>
  <si>
    <t>01.09.2006-02.10.2006</t>
  </si>
  <si>
    <t>03.10.2006-02.04.2007</t>
  </si>
  <si>
    <t xml:space="preserve">    03.04.2007-02.07.2007                </t>
  </si>
  <si>
    <t>03.07.2007-02.10.2007</t>
  </si>
  <si>
    <t>03.10.2007-04.11.2007</t>
  </si>
  <si>
    <t>05.11.2007-04.12.2007</t>
  </si>
  <si>
    <t>05.12.2007-04.02.2008</t>
  </si>
  <si>
    <t>05.02.2008-04.03.2008</t>
  </si>
  <si>
    <t>04.03.2008-02.04.2008</t>
  </si>
  <si>
    <t>03.04.2008-05.05.2008</t>
  </si>
  <si>
    <t xml:space="preserve"> 06.05.2008-03.06.2008</t>
  </si>
  <si>
    <t>04.06.2008-02.07.2008</t>
  </si>
  <si>
    <t>03.07.2008-04.08.2008</t>
  </si>
  <si>
    <t>05.08.2008-02.09.2008</t>
  </si>
  <si>
    <t>03.09.2008-02.12.2008</t>
  </si>
  <si>
    <t>03.12.2008-13.01.2009</t>
  </si>
  <si>
    <t>14.01.2009-10.02.2009</t>
  </si>
  <si>
    <t>11.02.2009-03.03.2009</t>
  </si>
  <si>
    <t>04.03.2009-07.04.2009</t>
  </si>
  <si>
    <t>08.04.2009-12.05.2009</t>
  </si>
  <si>
    <t>13.05.2009-22.05.2009</t>
  </si>
  <si>
    <t>23.05.2009-09.06.2009</t>
  </si>
  <si>
    <t>10.06.2009-07.07.2009</t>
  </si>
  <si>
    <t>08.07.2009-11.08.2009</t>
  </si>
  <si>
    <t>12.08.2009-08.09.2009</t>
  </si>
  <si>
    <t>09.09.2009-06.10.2009</t>
  </si>
  <si>
    <t>07.10.2009-10.11.2009</t>
  </si>
  <si>
    <t>11.11.2009-20.01.2010</t>
  </si>
  <si>
    <t>21.01.2010-16.02.2010</t>
  </si>
  <si>
    <t>17.02.2010-09.03.2010</t>
  </si>
  <si>
    <t>10.03.2010-18.03.2010</t>
  </si>
  <si>
    <t>19.03.2010-13.04.2010</t>
  </si>
  <si>
    <t>14.04.2010-11.05.2010</t>
  </si>
  <si>
    <t>12.05.2010-08.06.2010</t>
  </si>
  <si>
    <t>09.06.2010-13.07.2010</t>
  </si>
  <si>
    <t>14.07.2010-10.08.2010</t>
  </si>
  <si>
    <t>11.08.2010-07.09.2010</t>
  </si>
  <si>
    <t>08.09.2010-12.10.2010</t>
  </si>
  <si>
    <t>13.10.2010-09.11.2010</t>
  </si>
  <si>
    <t>10.11.2010-07.12.2010</t>
  </si>
  <si>
    <t>08.12.2010-11.01.2011</t>
  </si>
  <si>
    <t>12.01.2011-08.02.2011</t>
  </si>
  <si>
    <t>09.02.2011-04.03.2011</t>
  </si>
  <si>
    <t>05.03.2011-12.04.2011</t>
  </si>
  <si>
    <t>13.04.2011-10.05.2011</t>
  </si>
  <si>
    <t>11.05.2011-07.06.2011</t>
  </si>
  <si>
    <t>08.06.2011-12.07.2011</t>
  </si>
  <si>
    <t>13.07.2011-09.08.2011</t>
  </si>
  <si>
    <t>10.08.2011-06.09.2011</t>
  </si>
  <si>
    <t>07.09.2011-11.10.2011</t>
  </si>
  <si>
    <t>12.10.2011-08.11.2011</t>
  </si>
  <si>
    <t>09.11.2011-06.12.2011</t>
  </si>
  <si>
    <t>07.12.2011-10.01.2012</t>
  </si>
  <si>
    <t>11.01.2012-07.02.2012</t>
  </si>
  <si>
    <t>08.02.2012-06.03.2012</t>
  </si>
  <si>
    <t>07.03.2012-10.04.2012</t>
  </si>
  <si>
    <t>11.04.2012-08.05.2012</t>
  </si>
  <si>
    <t>09.05.2012-05.06.2012</t>
  </si>
  <si>
    <t>06.06.2012-10.07.2012</t>
  </si>
  <si>
    <t>11.07.2012-07.08.2012</t>
  </si>
  <si>
    <t>08.08.2012-04.09.2012</t>
  </si>
  <si>
    <t>05.09.2012-09.10.2012</t>
  </si>
  <si>
    <t>10.10.2012-06.11.2012</t>
  </si>
  <si>
    <t>07.11.2012-11.12.2012</t>
  </si>
  <si>
    <t>12.12.2012-12.02.2013</t>
  </si>
  <si>
    <t>13.02.2013-26.03.2013</t>
  </si>
  <si>
    <t>27.03.2013-14.05.2013</t>
  </si>
  <si>
    <t>15.05.2013-25.06.2013</t>
  </si>
  <si>
    <t>26.06.2013-13.08.2013</t>
  </si>
  <si>
    <t>14.08.2013-24.09.2013</t>
  </si>
  <si>
    <t>25.09.2013-12.11.2013</t>
  </si>
  <si>
    <t>13.11.2013-24.12.2013</t>
  </si>
  <si>
    <t>25.12.2013-11.02.2014</t>
  </si>
  <si>
    <t>12.02.2014-24.03.2014</t>
  </si>
  <si>
    <t>25.03.2014-13.05.2014</t>
  </si>
  <si>
    <t>14.05.2014-24.06.2014</t>
  </si>
  <si>
    <t>25.06.2014-12.08.2014</t>
  </si>
  <si>
    <t>13.08.2014-23.09.2014</t>
  </si>
  <si>
    <t>24.09.2014-24.11.2014</t>
  </si>
  <si>
    <t>25.11.2014-02.12.2014</t>
  </si>
  <si>
    <t>03.12.2014-23.12.2014</t>
  </si>
  <si>
    <t>24.12.2014-21.01.2015</t>
  </si>
  <si>
    <t>22.01.2015-10.02.2015</t>
  </si>
  <si>
    <t>11.02.2015-12.03.2015</t>
  </si>
  <si>
    <t>13.03.2015-24.03.2015</t>
  </si>
  <si>
    <t>25.03.2015-11.08.2015</t>
  </si>
  <si>
    <t>12.08.2015-10.11.2015</t>
  </si>
  <si>
    <t>11.11.2015-22.12.2015</t>
  </si>
  <si>
    <t>23.12.2015-16.02.2016</t>
  </si>
  <si>
    <t>17.02.2016- 29.03.2016</t>
  </si>
  <si>
    <t>30.03.2016 - 17.05.2016</t>
  </si>
  <si>
    <t>18.05.2016-28.06.2016</t>
  </si>
  <si>
    <t>29.06.2016-16.08.2016</t>
  </si>
  <si>
    <t>17.08.2016-27.09.2016</t>
  </si>
  <si>
    <t>28.09.2016-15.11.2016</t>
  </si>
  <si>
    <t>16.11.2016-27.12.2016</t>
  </si>
  <si>
    <t>28.12.2016-14.02.2017</t>
  </si>
  <si>
    <t>15.02.2017-29.01.2019</t>
  </si>
  <si>
    <t>30.01.2019-10.09.2019</t>
  </si>
  <si>
    <t>11.09.2019-17.03.2020</t>
  </si>
  <si>
    <t>18.03.2020-28.04.2020</t>
  </si>
  <si>
    <t>29.04.2020-16.06.2020</t>
  </si>
  <si>
    <t>17.06.2020-15.09.2020</t>
  </si>
  <si>
    <t>16.09.2020-15.12.2020</t>
  </si>
  <si>
    <t>16.12.2020-02.02.2021</t>
  </si>
  <si>
    <t>03.02.2021-16.03.2021</t>
  </si>
  <si>
    <t>17.03.2021-04.05.2021</t>
  </si>
  <si>
    <t>05.05.2021-15.06.2021</t>
  </si>
  <si>
    <t>16.06.2021-03.08.2021</t>
  </si>
  <si>
    <t>04.08.2021-14.09.2021</t>
  </si>
  <si>
    <t>15.09.2021-14.12.2021</t>
  </si>
  <si>
    <t>15.12.2021-01.02.22</t>
  </si>
  <si>
    <t>02.02.2022-15.03.2022</t>
  </si>
  <si>
    <t>16.03.2022-02.08.2022</t>
  </si>
  <si>
    <t>03.08.2022-13.09.2022</t>
  </si>
  <si>
    <t>14.09.2022-01.11.2022</t>
  </si>
  <si>
    <t>02.11.2022-13.12.2022</t>
  </si>
  <si>
    <t>14.12.2022-13.06.2023</t>
  </si>
  <si>
    <t>14.06.2023-01.08.2023</t>
  </si>
  <si>
    <t>02.08.2023-12.09.2023</t>
  </si>
  <si>
    <t>13.09.2023-31.10.2023</t>
  </si>
  <si>
    <t>01.11.2023-12.12.2023</t>
  </si>
  <si>
    <t>13.12.2023-30.01.2024</t>
  </si>
  <si>
    <t>31.01.2024-12.03.2024</t>
  </si>
  <si>
    <t>13.03.2024-30.04.2024</t>
  </si>
  <si>
    <t>01.05.2024-</t>
  </si>
  <si>
    <r>
      <rPr>
        <vertAlign val="superscript"/>
        <sz val="10"/>
        <rFont val="Arial Armenian"/>
        <family val="2"/>
      </rPr>
      <t>1</t>
    </r>
    <r>
      <rPr>
        <sz val="10"/>
        <rFont val="Arial Armenian"/>
        <family val="2"/>
      </rPr>
      <t xml:space="preserve"> ØÇÝã¨ 2010Ã. ÷»ïñí³ñÁ ³Ûë ·áñÍ³éÝáõÃÛáõÝÁ Ïáãí»É ¿ ÉáÙµ³ñ¹³ÛÇÝ í³ñÏ:</t>
    </r>
  </si>
  <si>
    <t>Trimmed date</t>
  </si>
  <si>
    <t>Repo rate</t>
  </si>
  <si>
    <t>Average repo rate</t>
  </si>
  <si>
    <t>RoE</t>
  </si>
  <si>
    <t>CAR</t>
  </si>
  <si>
    <t>Liquidity ratio (HLA/Assets)</t>
  </si>
  <si>
    <t>Mortgage stock</t>
  </si>
  <si>
    <t>Mortgage Q flows</t>
  </si>
  <si>
    <t>Report 1</t>
  </si>
  <si>
    <t>Ամսաթիվ</t>
  </si>
  <si>
    <t>Տոկոսադրույք*Գումար դրամով</t>
  </si>
  <si>
    <t>Գումար դրամով</t>
  </si>
  <si>
    <t>Q</t>
  </si>
  <si>
    <t>Mortgage interest rate</t>
  </si>
  <si>
    <t>FROM ADICS</t>
  </si>
  <si>
    <t>FROM MAIN INDICATORS</t>
  </si>
  <si>
    <t>02.03.01.01.04~Շինարարության ոլորտում դրամով ռեզիդենտներին տրված վարկեր, ավանդներ, ֆակտորինգ, լիզինգ ռեպո</t>
  </si>
  <si>
    <t>02.03.02.01.04~Շինարարության ոլորտում արտարժութով ռեզիդենտներին տրված վարկեր, ավանդներ, ֆակտորինգ, լիզինգ ռեպո</t>
  </si>
  <si>
    <t>Construction loans</t>
  </si>
  <si>
    <t>02.03.01.01.03~Շինարարության ոլորտում դրամով ռեզիդենտներին տրված վարկեր, ավանդներ, ֆակտորինգ, լիզինգ ռեպո</t>
  </si>
  <si>
    <t>02.03.02.01.03~Շինարարության ոլորտում արտարժութով ռեզիդենտներին տրված վարկեր, ավանդներ, ֆակտորինգ, լիզինգ ռեպո</t>
  </si>
  <si>
    <t>Main indicators</t>
  </si>
  <si>
    <t>Adics</t>
  </si>
  <si>
    <t>Final</t>
  </si>
  <si>
    <t>Real estate prices</t>
  </si>
  <si>
    <t>Exchange rate</t>
  </si>
  <si>
    <t>Trade balance</t>
  </si>
  <si>
    <t>Macrotrends Data Download</t>
  </si>
  <si>
    <t>Copper Prices - 45 Year Historical Chart</t>
  </si>
  <si>
    <t>DISCLAIMER AND TERMS OF USE: HISTORICAL DATA IS PROVIDED "AS IS" AND SOLELY</t>
  </si>
  <si>
    <t>FOR INFORMATIONAL PURPOSES - NOT FOR TRADING PURPOSES OR ADVICE.</t>
  </si>
  <si>
    <t>NEITHER MACROTRENDS LLC NOR ANY OF OUR INFORMATION PROVIDERS WILL BE LIABLE</t>
  </si>
  <si>
    <t>FOR ANY DAMAGES RELATING TO YOUR USE OF THE DATA PROVIDED.</t>
  </si>
  <si>
    <t>ATTRIBUTION: Proper attribution requires clear indication of the data source as "www.macrotrends.net".</t>
  </si>
  <si>
    <t>A "dofollow" backlink to the originating page is also required if the data is displayed on a web page.</t>
  </si>
  <si>
    <t>date</t>
  </si>
  <si>
    <t xml:space="preserve"> value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</si>
  <si>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</si>
  <si>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</si>
  <si>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</si>
  <si>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</si>
  <si>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</si>
  <si>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</si>
  <si>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</si>
  <si>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</si>
  <si>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</si>
  <si>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</si>
  <si>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</si>
  <si>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</si>
  <si>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</si>
  <si>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</si>
  <si>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</si>
  <si>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</si>
  <si>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</si>
  <si>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</si>
  <si>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</si>
  <si>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</si>
  <si>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</si>
  <si>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</si>
  <si>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</si>
  <si>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</si>
  <si>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</si>
  <si>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</si>
  <si>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</si>
  <si>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</si>
  <si>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</si>
  <si>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</si>
  <si>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</si>
  <si>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</si>
  <si>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</si>
  <si>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</si>
  <si>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</si>
  <si>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</si>
  <si>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</si>
  <si>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</si>
  <si>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</si>
  <si>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</si>
  <si>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</si>
  <si>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</si>
  <si>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</si>
  <si>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</si>
  <si>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</si>
  <si>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</si>
  <si>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</si>
  <si>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</si>
  <si>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</si>
  <si>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</si>
  <si>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</si>
  <si>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</si>
  <si>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</si>
  <si>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</si>
  <si>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</si>
  <si>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</si>
  <si>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</si>
  <si>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</si>
  <si>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</si>
  <si>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</si>
  <si>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</si>
  <si>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</si>
  <si>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</si>
  <si>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</si>
  <si>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</si>
  <si>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</si>
  <si>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</si>
  <si>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</si>
  <si>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</si>
  <si>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</si>
  <si>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</si>
  <si>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</si>
  <si>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</si>
  <si>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</si>
  <si>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</si>
  <si>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</si>
  <si>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</si>
  <si>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</si>
  <si>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</si>
  <si>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</si>
  <si>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</si>
  <si>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</si>
  <si>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</si>
  <si>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</si>
  <si>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</si>
  <si>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</si>
  <si>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</si>
  <si>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</si>
  <si>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</si>
  <si>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</si>
  <si>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</si>
  <si>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</si>
  <si>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</si>
  <si>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</si>
  <si>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</si>
  <si>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</si>
  <si>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</si>
  <si>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</si>
  <si>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</si>
  <si>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</si>
  <si>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</si>
  <si>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</si>
  <si>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</si>
  <si>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</si>
  <si>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</si>
  <si>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</si>
  <si>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</si>
  <si>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</si>
  <si>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</si>
  <si>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</si>
  <si>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</si>
  <si>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</si>
  <si>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</si>
  <si>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</si>
  <si>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</si>
  <si>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</si>
  <si>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</si>
  <si>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</si>
  <si>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</si>
  <si>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</si>
  <si>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</si>
  <si>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</si>
  <si>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</si>
  <si>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</si>
  <si>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</si>
  <si>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</si>
  <si>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</si>
  <si>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</si>
  <si>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</si>
  <si>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</si>
  <si>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</si>
  <si>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</si>
  <si>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</si>
  <si>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</si>
  <si>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</si>
  <si>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</si>
  <si>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</si>
  <si>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</si>
  <si>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</si>
  <si>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</si>
  <si>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</si>
  <si>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</si>
  <si>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</si>
  <si>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</si>
  <si>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</si>
  <si>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</si>
  <si>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</si>
  <si>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</si>
  <si>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</si>
  <si>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</si>
  <si>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</si>
  <si>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</si>
  <si>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</si>
  <si>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</si>
  <si>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</si>
  <si>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</si>
  <si>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</si>
  <si>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</si>
  <si>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</si>
  <si>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</si>
  <si>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</si>
  <si>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</si>
  <si>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Copper prices</t>
  </si>
  <si>
    <t>US dollar per pound</t>
  </si>
  <si>
    <t>Real_GDP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</si>
  <si>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</si>
  <si>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</si>
  <si>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</si>
  <si>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</si>
  <si>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</si>
  <si>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</si>
  <si>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</si>
  <si>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</si>
  <si>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</si>
  <si>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</si>
  <si>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</si>
  <si>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</si>
  <si>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</si>
  <si>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</si>
  <si>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</si>
  <si>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</si>
  <si>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</si>
  <si>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</si>
  <si>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</si>
  <si>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</si>
  <si>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</si>
  <si>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</si>
  <si>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</si>
  <si>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</si>
  <si>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</si>
  <si>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</si>
  <si>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</si>
  <si>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</si>
  <si>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</si>
  <si>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</si>
  <si>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</si>
  <si>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</si>
  <si>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</si>
  <si>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</si>
  <si>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</si>
  <si>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</si>
  <si>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</si>
  <si>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</si>
  <si>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</si>
  <si>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</si>
  <si>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</si>
  <si>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</si>
  <si>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</si>
  <si>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</si>
  <si>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</si>
  <si>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</si>
  <si>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</si>
  <si>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</si>
  <si>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</si>
  <si>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</si>
  <si>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</si>
  <si>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</si>
  <si>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</si>
  <si>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</si>
  <si>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</si>
  <si>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</si>
  <si>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</si>
  <si>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</si>
  <si>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</si>
  <si>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</si>
  <si>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</si>
  <si>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</si>
  <si>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</si>
  <si>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</si>
  <si>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</si>
  <si>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</si>
  <si>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</si>
  <si>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</si>
  <si>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</si>
  <si>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</si>
  <si>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</si>
  <si>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</si>
  <si>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</si>
  <si>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</si>
  <si>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</si>
  <si>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</si>
  <si>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</si>
  <si>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</si>
  <si>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</si>
  <si>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</si>
  <si>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</si>
  <si>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</si>
  <si>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</si>
  <si>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From Karapetyan Hayk</t>
  </si>
  <si>
    <t>Real GDP Q flows FINAL</t>
  </si>
  <si>
    <t>Yearly flows</t>
  </si>
  <si>
    <t>Real GDP Q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</si>
</sst>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/mm\/yyyy"/>
    <numFmt numFmtId="165" formatCode="[$-409]mmm\-yy;@"/>
    <numFmt numFmtId="166" formatCode="_-* #,##0.00\ _ _-;\-* #,##0.00\ _ _-;_-* &quot;-&quot;??\ _ _-;_-@_-"/>
    <numFmt numFmtId="167" formatCode="0.0"/>
  </numFmts>
  <fonts count="33">
    <font>
      <sz val="11"/>
      <color theme="1"/>
      <name val="Calibri"/>
      <family val="2"/>
      <scheme val="minor"/>
    </font>
    <font>
      <sz val="11"/>
      <color theme="1"/>
      <name val="GHEA Grapalat"/>
      <family val="3"/>
    </font>
    <font>
      <b/>
      <i/>
      <sz val="9"/>
      <color indexed="63"/>
      <name val="GHEA Grapalat"/>
      <family val="3"/>
    </font>
    <font>
      <b/>
      <i/>
      <sz val="9"/>
      <color indexed="8"/>
      <name val="GHEA Grapalat"/>
      <family val="3"/>
    </font>
    <font>
      <sz val="9"/>
      <color indexed="8"/>
      <name val="GHEA Grapalat"/>
      <family val="3"/>
    </font>
    <font>
      <sz val="10"/>
      <name val="GHEA Grapalat"/>
      <family val="3"/>
    </font>
    <font>
      <sz val="10"/>
      <name val="Arial"/>
      <family val="2"/>
    </font>
    <font>
      <b/>
      <i/>
      <sz val="9"/>
      <name val="GHEA Grapalat"/>
      <family val="3"/>
    </font>
    <font>
      <b/>
      <sz val="9"/>
      <name val="GHEA Grapalat"/>
      <family val="3"/>
    </font>
    <font>
      <sz val="10"/>
      <name val="Times Armenian"/>
      <family val="1"/>
    </font>
    <font>
      <b/>
      <sz val="12"/>
      <name val="GHEA Grapalat"/>
      <family val="3"/>
    </font>
    <font>
      <b/>
      <vertAlign val="superscript"/>
      <sz val="12"/>
      <name val="GHEA Grapalat"/>
      <family val="3"/>
    </font>
    <font>
      <b/>
      <sz val="12"/>
      <name val="Times Armenian"/>
      <family val="1"/>
    </font>
    <font>
      <b/>
      <sz val="10"/>
      <name val="Times Armenian"/>
      <family val="1"/>
    </font>
    <font>
      <b/>
      <sz val="10"/>
      <name val="GHEA Grapalat"/>
      <family val="3"/>
    </font>
    <font>
      <b/>
      <sz val="9"/>
      <name val="Times Armenian"/>
      <family val="1"/>
    </font>
    <font>
      <b/>
      <sz val="11"/>
      <name val="GHEA Grapalat"/>
      <family val="3"/>
    </font>
    <font>
      <vertAlign val="superscript"/>
      <sz val="10"/>
      <name val="Times Armenian"/>
      <family val="1"/>
    </font>
    <font>
      <b/>
      <sz val="10"/>
      <name val="Arial Unicode"/>
      <family val="2"/>
    </font>
    <font>
      <sz val="10"/>
      <name val="Arial Armenian"/>
      <family val="2"/>
    </font>
    <font>
      <b/>
      <sz val="10"/>
      <name val="Arial Armenian"/>
      <family val="2"/>
    </font>
    <font>
      <sz val="10"/>
      <name val="Arial Unicode"/>
      <family val="2"/>
    </font>
    <font>
      <vertAlign val="superscript"/>
      <sz val="10"/>
      <name val="Arial Unicode"/>
      <family val="2"/>
    </font>
    <font>
      <vertAlign val="superscript"/>
      <sz val="10"/>
      <name val="Arial Armenian"/>
      <family val="2"/>
    </font>
    <font>
      <sz val="10"/>
      <color rgb="FF000000"/>
      <name val="Arial"/>
      <family val="2"/>
    </font>
    <font>
      <sz val="9"/>
      <color rgb="FF333333"/>
      <name val="GHEA Grapalat"/>
      <family val="3"/>
    </font>
    <font>
      <u/>
      <sz val="16"/>
      <color rgb="FF333333"/>
      <name val="GHEA Grapalat"/>
      <family val="3"/>
    </font>
    <font>
      <sz val="11"/>
      <color theme="1"/>
      <name val="GHEA Grapala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HEA Grapalat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9">
    <xf numFmtId="0" fontId="0" fillId="0" borderId="0"/>
    <xf numFmtId="0" fontId="6" fillId="0" borderId="0"/>
    <xf numFmtId="0" fontId="9" fillId="0" borderId="0"/>
    <xf numFmtId="166" fontId="9" fillId="0" borderId="0" applyFont="0" applyFill="0" applyBorder="0" applyAlignment="0" applyProtection="0"/>
    <xf numFmtId="0" fontId="6" fillId="0" borderId="0"/>
    <xf numFmtId="0" fontId="24" fillId="0" borderId="0"/>
    <xf numFmtId="0" fontId="27" fillId="0" borderId="0"/>
    <xf numFmtId="0" fontId="32" fillId="0" borderId="0"/>
    <xf numFmtId="0" fontId="31" fillId="0" borderId="0"/>
  </cellStyleXfs>
  <cellXfs count="76">
    <xf numFmtId="0" fontId="0" fillId="0" borderId="0" xfId="0"/>
    <xf numFmtId="0" fontId="1" fillId="0" borderId="0" xfId="0" applyFont="1"/>
    <xf numFmtId="165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 shrinkToFit="1"/>
    </xf>
    <xf numFmtId="14" fontId="3" fillId="2" borderId="1" xfId="0" applyNumberFormat="1" applyFont="1" applyFill="1" applyBorder="1" applyAlignment="1">
      <alignment horizontal="right" shrinkToFit="1"/>
    </xf>
    <xf numFmtId="0" fontId="4" fillId="2" borderId="1" xfId="0" applyFont="1" applyFill="1" applyBorder="1" applyAlignment="1">
      <alignment horizontal="right"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right" shrinkToFit="1"/>
    </xf>
    <xf numFmtId="14" fontId="7" fillId="0" borderId="0" xfId="1" applyNumberFormat="1" applyFont="1"/>
    <xf numFmtId="14" fontId="8" fillId="0" borderId="0" xfId="1" applyNumberFormat="1" applyFont="1"/>
    <xf numFmtId="0" fontId="10" fillId="0" borderId="0" xfId="2" applyFont="1"/>
    <xf numFmtId="4" fontId="9" fillId="0" borderId="0" xfId="2" applyNumberFormat="1"/>
    <xf numFmtId="0" fontId="9" fillId="0" borderId="0" xfId="2"/>
    <xf numFmtId="0" fontId="12" fillId="0" borderId="0" xfId="2" applyFont="1"/>
    <xf numFmtId="165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right"/>
    </xf>
    <xf numFmtId="165" fontId="13" fillId="0" borderId="2" xfId="2" applyNumberFormat="1" applyFont="1" applyBorder="1" applyAlignment="1">
      <alignment horizontal="center"/>
    </xf>
    <xf numFmtId="4" fontId="14" fillId="0" borderId="3" xfId="2" applyNumberFormat="1" applyFont="1" applyBorder="1"/>
    <xf numFmtId="4" fontId="9" fillId="0" borderId="4" xfId="2" applyNumberFormat="1" applyBorder="1"/>
    <xf numFmtId="4" fontId="9" fillId="0" borderId="5" xfId="2" applyNumberFormat="1" applyBorder="1"/>
    <xf numFmtId="165" fontId="9" fillId="0" borderId="2" xfId="2" applyNumberFormat="1" applyBorder="1"/>
    <xf numFmtId="49" fontId="15" fillId="0" borderId="2" xfId="2" applyNumberFormat="1" applyFont="1" applyBorder="1" applyAlignment="1">
      <alignment horizontal="center" vertical="center" wrapText="1"/>
    </xf>
    <xf numFmtId="165" fontId="14" fillId="0" borderId="2" xfId="2" applyNumberFormat="1" applyFont="1" applyBorder="1" applyAlignment="1">
      <alignment horizontal="left"/>
    </xf>
    <xf numFmtId="4" fontId="9" fillId="0" borderId="2" xfId="3" applyNumberFormat="1" applyFont="1" applyFill="1" applyBorder="1" applyAlignment="1">
      <alignment horizontal="right"/>
    </xf>
    <xf numFmtId="4" fontId="9" fillId="0" borderId="2" xfId="2" applyNumberFormat="1" applyBorder="1"/>
    <xf numFmtId="165" fontId="17" fillId="0" borderId="0" xfId="4" applyNumberFormat="1" applyFont="1"/>
    <xf numFmtId="17" fontId="9" fillId="0" borderId="0" xfId="2" applyNumberFormat="1"/>
    <xf numFmtId="0" fontId="9" fillId="3" borderId="0" xfId="2" applyFill="1"/>
    <xf numFmtId="0" fontId="18" fillId="0" borderId="0" xfId="4" applyFont="1"/>
    <xf numFmtId="0" fontId="19" fillId="0" borderId="0" xfId="4" applyFont="1"/>
    <xf numFmtId="0" fontId="20" fillId="0" borderId="0" xfId="4" applyFont="1"/>
    <xf numFmtId="0" fontId="19" fillId="0" borderId="0" xfId="4" applyFont="1" applyAlignment="1">
      <alignment horizontal="right"/>
    </xf>
    <xf numFmtId="0" fontId="21" fillId="0" borderId="6" xfId="4" applyFont="1" applyBorder="1" applyAlignment="1">
      <alignment horizontal="center" vertical="center" wrapText="1"/>
    </xf>
    <xf numFmtId="0" fontId="21" fillId="0" borderId="2" xfId="4" applyFont="1" applyBorder="1" applyAlignment="1">
      <alignment horizontal="center" wrapText="1"/>
    </xf>
    <xf numFmtId="0" fontId="19" fillId="0" borderId="0" xfId="4" applyFont="1" applyAlignment="1">
      <alignment horizontal="center" wrapText="1"/>
    </xf>
    <xf numFmtId="0" fontId="19" fillId="0" borderId="2" xfId="4" applyFont="1" applyBorder="1" applyAlignment="1">
      <alignment horizontal="center" vertical="center" wrapText="1"/>
    </xf>
    <xf numFmtId="2" fontId="19" fillId="0" borderId="2" xfId="4" applyNumberFormat="1" applyFont="1" applyBorder="1" applyAlignment="1">
      <alignment horizontal="center" wrapText="1"/>
    </xf>
    <xf numFmtId="0" fontId="19" fillId="0" borderId="2" xfId="4" applyFont="1" applyBorder="1" applyAlignment="1">
      <alignment horizontal="center"/>
    </xf>
    <xf numFmtId="2" fontId="19" fillId="0" borderId="2" xfId="4" applyNumberFormat="1" applyFont="1" applyBorder="1" applyAlignment="1">
      <alignment horizontal="center"/>
    </xf>
    <xf numFmtId="167" fontId="20" fillId="0" borderId="2" xfId="4" applyNumberFormat="1" applyFont="1" applyBorder="1" applyAlignment="1">
      <alignment horizontal="center"/>
    </xf>
    <xf numFmtId="0" fontId="19" fillId="0" borderId="2" xfId="4" applyFont="1" applyBorder="1"/>
    <xf numFmtId="0" fontId="19" fillId="0" borderId="2" xfId="2" applyFont="1" applyBorder="1" applyAlignment="1">
      <alignment horizontal="center"/>
    </xf>
    <xf numFmtId="2" fontId="19" fillId="0" borderId="2" xfId="2" applyNumberFormat="1" applyFont="1" applyBorder="1" applyAlignment="1">
      <alignment horizontal="center"/>
    </xf>
    <xf numFmtId="167" fontId="20" fillId="0" borderId="2" xfId="2" applyNumberFormat="1" applyFont="1" applyBorder="1" applyAlignment="1">
      <alignment horizontal="center"/>
    </xf>
    <xf numFmtId="2" fontId="19" fillId="0" borderId="0" xfId="4" applyNumberFormat="1" applyFont="1"/>
    <xf numFmtId="167" fontId="19" fillId="0" borderId="2" xfId="2" applyNumberFormat="1" applyFont="1" applyBorder="1" applyAlignment="1">
      <alignment horizontal="center"/>
    </xf>
    <xf numFmtId="0" fontId="19" fillId="0" borderId="10" xfId="2" applyFont="1" applyBorder="1" applyAlignment="1">
      <alignment horizontal="center"/>
    </xf>
    <xf numFmtId="0" fontId="19" fillId="3" borderId="0" xfId="4" applyFont="1" applyFill="1"/>
    <xf numFmtId="164" fontId="25" fillId="4" borderId="11" xfId="5" applyNumberFormat="1" applyFont="1" applyFill="1" applyBorder="1" applyAlignment="1">
      <alignment horizontal="left"/>
    </xf>
    <xf numFmtId="164" fontId="25" fillId="5" borderId="11" xfId="5" applyNumberFormat="1" applyFont="1" applyFill="1" applyBorder="1" applyAlignment="1">
      <alignment horizontal="left"/>
    </xf>
    <xf numFmtId="0" fontId="25" fillId="4" borderId="0" xfId="5" applyFont="1" applyFill="1" applyAlignment="1">
      <alignment horizontal="left"/>
    </xf>
    <xf numFmtId="0" fontId="25" fillId="5" borderId="0" xfId="5" applyFont="1" applyFill="1" applyAlignment="1">
      <alignment horizontal="left"/>
    </xf>
    <xf numFmtId="0" fontId="0" fillId="3" borderId="0" xfId="0" applyFill="1"/>
    <xf numFmtId="3" fontId="1" fillId="0" borderId="0" xfId="0" applyNumberFormat="1" applyFont="1"/>
    <xf numFmtId="3" fontId="1" fillId="3" borderId="0" xfId="0" applyNumberFormat="1" applyFont="1" applyFill="1"/>
    <xf numFmtId="49" fontId="26" fillId="4" borderId="0" xfId="5" applyNumberFormat="1" applyFont="1" applyFill="1" applyAlignment="1">
      <alignment horizontal="left" vertical="center"/>
    </xf>
    <xf numFmtId="49" fontId="25" fillId="6" borderId="11" xfId="5" applyNumberFormat="1" applyFont="1" applyFill="1" applyBorder="1" applyAlignment="1">
      <alignment horizontal="left"/>
    </xf>
    <xf numFmtId="0" fontId="25" fillId="4" borderId="11" xfId="5" applyFont="1" applyFill="1" applyBorder="1" applyAlignment="1">
      <alignment horizontal="right"/>
    </xf>
    <xf numFmtId="0" fontId="24" fillId="0" borderId="0" xfId="5"/>
    <xf numFmtId="3" fontId="25" fillId="4" borderId="0" xfId="5" applyNumberFormat="1" applyFont="1" applyFill="1" applyAlignment="1">
      <alignment horizontal="left"/>
    </xf>
    <xf numFmtId="3" fontId="24" fillId="0" borderId="0" xfId="5" applyNumberFormat="1"/>
    <xf numFmtId="14" fontId="0" fillId="0" borderId="0" xfId="0" applyNumberFormat="1"/>
    <xf numFmtId="0" fontId="30" fillId="0" borderId="0" xfId="0" applyFont="1"/>
    <xf numFmtId="0" fontId="1" fillId="3" borderId="0" xfId="0" applyFont="1" applyFill="1"/>
    <xf numFmtId="0" fontId="27" fillId="0" borderId="0" xfId="7" applyFont="1"/>
    <xf numFmtId="3" fontId="1" fillId="0" borderId="0" xfId="7" applyNumberFormat="1" applyFont="1"/>
    <xf numFmtId="3" fontId="1" fillId="0" borderId="0" xfId="8" applyNumberFormat="1" applyFont="1"/>
    <xf numFmtId="0" fontId="27" fillId="3" borderId="0" xfId="7" applyFont="1" applyFill="1"/>
    <xf numFmtId="3" fontId="1" fillId="3" borderId="0" xfId="7" applyNumberFormat="1" applyFont="1" applyFill="1"/>
    <xf numFmtId="3" fontId="1" fillId="7" borderId="0" xfId="8" applyNumberFormat="1" applyFont="1" applyFill="1"/>
    <xf numFmtId="3" fontId="27" fillId="0" borderId="0" xfId="7" applyNumberFormat="1" applyFont="1"/>
    <xf numFmtId="49" fontId="14" fillId="0" borderId="6" xfId="2" applyNumberFormat="1" applyFont="1" applyBorder="1" applyAlignment="1">
      <alignment horizontal="center" vertical="center" wrapText="1"/>
    </xf>
    <xf numFmtId="49" fontId="13" fillId="0" borderId="8" xfId="2" applyNumberFormat="1" applyFont="1" applyBorder="1" applyAlignment="1">
      <alignment horizontal="center" vertical="center" wrapText="1"/>
    </xf>
    <xf numFmtId="49" fontId="14" fillId="0" borderId="7" xfId="2" applyNumberFormat="1" applyFont="1" applyBorder="1" applyAlignment="1">
      <alignment horizontal="center" vertical="center" wrapText="1"/>
    </xf>
    <xf numFmtId="49" fontId="13" fillId="0" borderId="9" xfId="2" applyNumberFormat="1" applyFont="1" applyBorder="1" applyAlignment="1">
      <alignment horizontal="center" vertical="center" wrapText="1"/>
    </xf>
  </cellXfs>
  <cellStyles count="9">
    <cellStyle name="Comma 2" xfId="3" xr:uid="{45C72D8E-A9B6-4A6D-8C9A-BD54D9633227}"/>
    <cellStyle name="Normal" xfId="0" builtinId="0"/>
    <cellStyle name="Normal 10" xfId="8" xr:uid="{DCDFEFAC-BA7B-4551-8AA3-E3CA3F8C9978}"/>
    <cellStyle name="Normal 2" xfId="2" xr:uid="{742A1FF2-CFC5-43EE-8F7B-08BA35BEF79C}"/>
    <cellStyle name="Normal 2 2" xfId="1" xr:uid="{D1412E3C-1184-4602-8E6D-E4048E626EFF}"/>
    <cellStyle name="Normal 2 3" xfId="5" xr:uid="{6513299E-BFC9-48B8-BC59-7D00E92172AD}"/>
    <cellStyle name="Normal 3" xfId="7" xr:uid="{A5923263-7CB7-41D2-BD90-76307B0E1EBC}"/>
    <cellStyle name="Normal 4" xfId="6" xr:uid="{AD9096D5-ECCD-4525-97A3-732660DDB031}"/>
    <cellStyle name="Normal_January_2010_Bullettin" xfId="4" xr:uid="{D4B581A9-381E-4565-BB52-7A6A8074CA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mail/AUCTION/W_02_09/24100_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CTION/W_07_14/24100_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Lusineh/buletin/Documents%20and%20Settings/Rate2004/Rate_04/10_12_0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»ñ·ñ³íí³Í"/>
      <sheetName val="î»Õ³µ³ßËí³Í"/>
    </sheetNames>
    <sheetDataSet>
      <sheetData sheetId="0">
        <row r="5">
          <cell r="E5">
            <v>37900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R86"/>
  <sheetViews>
    <sheetView tabSelected="1" workbookViewId="0">
      <selection activeCell="C2" sqref="C2"/>
    </sheetView>
  </sheetViews>
  <sheetFormatPr baseColWidth="10" defaultColWidth="9.1640625" defaultRowHeight="15"/>
  <cols>
    <col min="1" max="1" width="7.1640625" style="1" bestFit="1" customWidth="1"/>
    <col min="2" max="2" width="16" style="1" bestFit="1" customWidth="1"/>
    <col min="3" max="3" width="18.6640625" style="1" bestFit="1" customWidth="1"/>
    <col min="4" max="5" width="12.1640625" style="1" bestFit="1" customWidth="1"/>
    <col min="6" max="6" width="13" style="1" bestFit="1" customWidth="1"/>
    <col min="7" max="7" width="12.1640625" style="1" bestFit="1" customWidth="1"/>
    <col min="8" max="8" width="12.83203125" style="1" bestFit="1" customWidth="1"/>
    <col min="9" max="9" width="23.5" style="1" bestFit="1" customWidth="1"/>
    <col min="10" max="10" width="12.1640625" style="1" bestFit="1" customWidth="1"/>
    <col min="11" max="11" width="13.83203125" style="1" bestFit="1" customWidth="1"/>
    <col min="12" max="12" width="15.5" style="1" bestFit="1" customWidth="1"/>
    <col min="13" max="13" width="19.1640625" style="1" bestFit="1" customWidth="1"/>
    <col min="14" max="14" width="16.5" style="1" bestFit="1" customWidth="1"/>
    <col min="15" max="15" width="15.83203125" style="1" bestFit="1" customWidth="1"/>
    <col min="16" max="16" width="13" style="1" bestFit="1" customWidth="1"/>
    <col min="17" max="17" width="12.83203125" style="1" bestFit="1" customWidth="1"/>
    <col min="18" max="18" width="12.6640625" style="1" bestFit="1" customWidth="1"/>
    <col min="19" max="16384" width="9.1640625" style="1"/>
  </cols>
  <sheetData>
    <row r="1" spans="1:18">
      <c r="A1" s="1" t="s">
        <v>0</v>
      </c>
      <c r="B1" s="1" t="s">
        <v>607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322</v>
      </c>
      <c r="I1" s="1" t="s">
        <v>324</v>
      </c>
      <c r="J1" s="1" t="s">
        <v>323</v>
      </c>
      <c r="K1" s="1" t="s">
        <v>325</v>
      </c>
      <c r="L1" s="1" t="s">
        <v>326</v>
      </c>
      <c r="M1" s="1" t="s">
        <v>332</v>
      </c>
      <c r="N1" s="1" t="s">
        <v>337</v>
      </c>
      <c r="O1" s="1" t="s">
        <v>343</v>
      </c>
      <c r="P1" s="1" t="s">
        <v>344</v>
      </c>
      <c r="Q1" s="1" t="s">
        <v>345</v>
      </c>
      <c r="R1" s="1" t="s">
        <v>518</v>
      </c>
    </row>
    <row r="2" spans="1:18">
      <c r="A2" s="2">
        <v>37711</v>
      </c>
      <c r="B2" s="54">
        <f>GDP!D18</f>
        <v>279363.28360000002</v>
      </c>
      <c r="C2" s="1">
        <v>3.3258725129877001E-2</v>
      </c>
      <c r="D2" s="1">
        <f>AVERAGE('tb %'!P18:R18)</f>
        <v>0.15999452602941258</v>
      </c>
      <c r="E2" s="1">
        <f>'tb %'!R18-'tb %'!P18</f>
        <v>4.5436377233536884E-2</v>
      </c>
      <c r="F2" s="1">
        <f>'tb %'!P18+'tb %'!R18-2*'tb %'!Q18</f>
        <v>-4.4069219117622294E-3</v>
      </c>
      <c r="G2" s="64"/>
      <c r="H2" s="64"/>
      <c r="I2" s="1">
        <v>0.4447840767455335</v>
      </c>
      <c r="J2" s="1">
        <v>0.15691012431624302</v>
      </c>
      <c r="K2" s="55"/>
      <c r="L2" s="55"/>
      <c r="N2" s="54">
        <f>'Construction loans'!P3</f>
        <v>3442836.6666666665</v>
      </c>
      <c r="O2" s="54">
        <v>93932.64</v>
      </c>
      <c r="P2" s="54">
        <v>586.58333333333337</v>
      </c>
      <c r="Q2" s="54">
        <v>-481.77380402093956</v>
      </c>
      <c r="R2" s="1">
        <f>'Copper prices'!G191</f>
        <v>0.76300000000000023</v>
      </c>
    </row>
    <row r="3" spans="1:18">
      <c r="A3" s="2">
        <v>37802</v>
      </c>
      <c r="B3" s="54">
        <f>GDP!D19</f>
        <v>375920.39069999999</v>
      </c>
      <c r="C3" s="1">
        <v>3.1645416474579503E-2</v>
      </c>
      <c r="D3" s="1">
        <f>AVERAGE('tb %'!P19:R19)</f>
        <v>0.16183983405689709</v>
      </c>
      <c r="E3" s="1">
        <f>'tb %'!R19-'tb %'!P19</f>
        <v>5.1851953151083402E-2</v>
      </c>
      <c r="F3" s="1">
        <f>'tb %'!P19+'tb %'!R19-2*'tb %'!Q19</f>
        <v>-1.0822497829308775E-2</v>
      </c>
      <c r="G3" s="64"/>
      <c r="H3" s="64"/>
      <c r="I3" s="1">
        <v>0.477701584649592</v>
      </c>
      <c r="J3" s="1">
        <v>0.2062094716359946</v>
      </c>
      <c r="K3" s="55"/>
      <c r="L3" s="55"/>
      <c r="N3" s="54">
        <f>'Construction loans'!P4</f>
        <v>3781467.6666666665</v>
      </c>
      <c r="O3" s="54">
        <v>100010.68000000001</v>
      </c>
      <c r="P3" s="54">
        <v>586.4233333333334</v>
      </c>
      <c r="Q3" s="54">
        <v>-534.93150447515131</v>
      </c>
      <c r="R3" s="1">
        <f>'Copper prices'!G192</f>
        <v>0.74962539682539708</v>
      </c>
    </row>
    <row r="4" spans="1:18">
      <c r="A4" s="2">
        <v>37894</v>
      </c>
      <c r="B4" s="54">
        <f>GDP!D20</f>
        <v>554155.57750000001</v>
      </c>
      <c r="C4" s="1">
        <v>2.9565293559527899E-2</v>
      </c>
      <c r="D4" s="1">
        <f>AVERAGE('tb %'!P20:R20)</f>
        <v>0.14765832924360642</v>
      </c>
      <c r="E4" s="1">
        <f>'tb %'!R20-'tb %'!P20</f>
        <v>7.3915324733812612E-2</v>
      </c>
      <c r="F4" s="1">
        <f>'tb %'!P20+'tb %'!R20-2*'tb %'!Q20</f>
        <v>-3.2885869412037971E-2</v>
      </c>
      <c r="G4" s="64"/>
      <c r="H4" s="64"/>
      <c r="I4" s="1">
        <v>0.47634937625658447</v>
      </c>
      <c r="J4" s="1">
        <v>0.21124956615972898</v>
      </c>
      <c r="K4" s="55"/>
      <c r="L4" s="55"/>
      <c r="N4" s="54">
        <f>'Construction loans'!P5</f>
        <v>4388627.666666667</v>
      </c>
      <c r="O4" s="54">
        <v>107539.46699999999</v>
      </c>
      <c r="P4" s="54">
        <v>577.48666666666668</v>
      </c>
      <c r="Q4" s="54">
        <v>-534.99369432077776</v>
      </c>
      <c r="R4" s="1">
        <f>'Copper prices'!G193</f>
        <v>0.80331718750000025</v>
      </c>
    </row>
    <row r="5" spans="1:18">
      <c r="A5" s="2">
        <v>37986</v>
      </c>
      <c r="B5" s="54">
        <f>GDP!D21</f>
        <v>573667.67319999996</v>
      </c>
      <c r="C5" s="1">
        <v>2.7746709175809299E-2</v>
      </c>
      <c r="D5" s="1">
        <f>AVERAGE('tb %'!P21:R21)</f>
        <v>8.7761168479555021E-2</v>
      </c>
      <c r="E5" s="1">
        <f>'tb %'!R21-'tb %'!P21</f>
        <v>-7.8095501168904402E-3</v>
      </c>
      <c r="F5" s="1">
        <f>'tb %'!P21+'tb %'!R21-2*'tb %'!Q21</f>
        <v>4.8839005438665095E-2</v>
      </c>
      <c r="G5" s="1">
        <f>'policy tool rates'!N8</f>
        <v>0.09</v>
      </c>
      <c r="H5" s="1">
        <f>RoE!F5</f>
        <v>0.17759127794953314</v>
      </c>
      <c r="I5" s="1">
        <v>0.47553712012701693</v>
      </c>
      <c r="J5" s="1">
        <v>0.2939225114268742</v>
      </c>
      <c r="K5" s="55"/>
      <c r="L5" s="55"/>
      <c r="N5" s="54">
        <f>'Construction loans'!P6</f>
        <v>4986759.333333333</v>
      </c>
      <c r="O5" s="54">
        <v>111243.16800000001</v>
      </c>
      <c r="P5" s="54">
        <v>564.55666666666662</v>
      </c>
      <c r="Q5" s="54">
        <v>-547.92715123174628</v>
      </c>
      <c r="R5" s="1">
        <f>'Copper prices'!G194</f>
        <v>0.93481935483870982</v>
      </c>
    </row>
    <row r="6" spans="1:18">
      <c r="A6" s="2">
        <v>38077</v>
      </c>
      <c r="B6" s="54">
        <f>GDP!D22</f>
        <v>301698.00449999998</v>
      </c>
      <c r="C6" s="1">
        <v>2.79838929954545E-2</v>
      </c>
      <c r="D6" s="1">
        <f>AVERAGE('tb %'!P22:R22)</f>
        <v>9.3703594405480969E-2</v>
      </c>
      <c r="E6" s="1">
        <f>'tb %'!R22-'tb %'!P22</f>
        <v>5.1533672105331788E-2</v>
      </c>
      <c r="F6" s="1">
        <f>'tb %'!P22+'tb %'!R22-2*'tb %'!Q22</f>
        <v>-1.0504216783557091E-2</v>
      </c>
      <c r="G6" s="1">
        <f>'policy tool rates'!N9</f>
        <v>0.09</v>
      </c>
      <c r="H6" s="1">
        <f>RoE!F6</f>
        <v>0.25097346217906935</v>
      </c>
      <c r="I6" s="1">
        <v>0.46411757499232958</v>
      </c>
      <c r="J6" s="1">
        <v>0.313539828975611</v>
      </c>
      <c r="K6" s="55"/>
      <c r="L6" s="55"/>
      <c r="N6" s="54">
        <f>'Construction loans'!P7</f>
        <v>5024665</v>
      </c>
      <c r="O6" s="54">
        <v>118544.63399999999</v>
      </c>
      <c r="P6" s="54">
        <v>565.22666666666657</v>
      </c>
      <c r="Q6" s="54">
        <v>-585.92759211427926</v>
      </c>
      <c r="R6" s="1">
        <f>'Copper prices'!G195</f>
        <v>1.2404278688524586</v>
      </c>
    </row>
    <row r="7" spans="1:18">
      <c r="A7" s="2">
        <v>38168</v>
      </c>
      <c r="B7" s="54">
        <f>GDP!D23</f>
        <v>414986.10590000002</v>
      </c>
      <c r="C7" s="1">
        <v>3.1176494338875999E-2</v>
      </c>
      <c r="D7" s="1">
        <f>AVERAGE('tb %'!P23:R23)</f>
        <v>8.6521575886962451E-2</v>
      </c>
      <c r="E7" s="1">
        <f>'tb %'!R23-'tb %'!P23</f>
        <v>5.5620727660887347E-2</v>
      </c>
      <c r="F7" s="1">
        <f>'tb %'!P23+'tb %'!R23-2*'tb %'!Q23</f>
        <v>-1.4591272339112671E-2</v>
      </c>
      <c r="G7" s="1">
        <f>'policy tool rates'!N10</f>
        <v>0.06</v>
      </c>
      <c r="H7" s="1">
        <f>RoE!F7</f>
        <v>0.25399792181736131</v>
      </c>
      <c r="I7" s="1">
        <v>0.44506219554680826</v>
      </c>
      <c r="J7" s="1">
        <v>0.30447544243407615</v>
      </c>
      <c r="K7" s="55"/>
      <c r="L7" s="55"/>
      <c r="N7" s="54">
        <f>'Construction loans'!P8</f>
        <v>5275383.1095500002</v>
      </c>
      <c r="O7" s="54">
        <v>124009.2</v>
      </c>
      <c r="P7" s="54">
        <v>551.14</v>
      </c>
      <c r="Q7" s="54">
        <v>-598.87975055420611</v>
      </c>
      <c r="R7" s="1">
        <f>'Copper prices'!G196</f>
        <v>1.2323499999999994</v>
      </c>
    </row>
    <row r="8" spans="1:18">
      <c r="A8" s="2">
        <v>38260</v>
      </c>
      <c r="B8" s="54">
        <f>GDP!D24</f>
        <v>625249.12639999995</v>
      </c>
      <c r="C8" s="1">
        <v>3.6945180535576702E-2</v>
      </c>
      <c r="D8" s="1">
        <f>AVERAGE('tb %'!P24:R24)</f>
        <v>7.1845569465779149E-2</v>
      </c>
      <c r="E8" s="1">
        <f>'tb %'!R24-'tb %'!P24</f>
        <v>4.2520611111111106E-2</v>
      </c>
      <c r="F8" s="1">
        <f>'tb %'!P24+'tb %'!R24-2*'tb %'!Q24</f>
        <v>-3.9592501280082126E-3</v>
      </c>
      <c r="G8" s="1">
        <f>'policy tool rates'!N11</f>
        <v>5.5E-2</v>
      </c>
      <c r="H8" s="1">
        <f>RoE!F8</f>
        <v>0.21843329087894975</v>
      </c>
      <c r="I8" s="1">
        <v>0.47552559577607323</v>
      </c>
      <c r="J8" s="1">
        <v>0.30183716570854124</v>
      </c>
      <c r="K8" s="55"/>
      <c r="L8" s="55"/>
      <c r="N8" s="54">
        <f>'Construction loans'!P9</f>
        <v>5653119.7767233327</v>
      </c>
      <c r="O8" s="54">
        <v>123600</v>
      </c>
      <c r="P8" s="54">
        <v>518.98666666666668</v>
      </c>
      <c r="Q8" s="54">
        <v>-655.444989722017</v>
      </c>
      <c r="R8" s="1">
        <f>'Copper prices'!G197</f>
        <v>1.2847843750000005</v>
      </c>
    </row>
    <row r="9" spans="1:18">
      <c r="A9" s="2">
        <v>38352</v>
      </c>
      <c r="B9" s="54">
        <f>GDP!D25</f>
        <v>627826.47</v>
      </c>
      <c r="C9" s="1">
        <v>4.1911984237307999E-2</v>
      </c>
      <c r="D9" s="1">
        <f>AVERAGE('tb %'!P25:R25)</f>
        <v>6.6344069444444445E-2</v>
      </c>
      <c r="E9" s="1">
        <f>'tb %'!R25-'tb %'!P25</f>
        <v>5.2695791666666672E-2</v>
      </c>
      <c r="F9" s="1">
        <f>'tb %'!P25+'tb %'!R25-2*'tb %'!Q25</f>
        <v>-5.3791666666663795E-5</v>
      </c>
      <c r="G9" s="1">
        <f>'policy tool rates'!N12</f>
        <v>0.04</v>
      </c>
      <c r="H9" s="1">
        <f>RoE!F9</f>
        <v>0.32586859079788028</v>
      </c>
      <c r="I9" s="1">
        <v>0.4707593620982341</v>
      </c>
      <c r="J9" s="1">
        <v>0.32355024052958631</v>
      </c>
      <c r="K9" s="55"/>
      <c r="L9" s="55"/>
      <c r="N9" s="54">
        <f>'Construction loans'!P10</f>
        <v>5419070.3145866664</v>
      </c>
      <c r="O9" s="54">
        <v>126200</v>
      </c>
      <c r="P9" s="54">
        <v>498.45333333333332</v>
      </c>
      <c r="Q9" s="54">
        <v>-645.18630679190528</v>
      </c>
      <c r="R9" s="1">
        <f>'Copper prices'!G198</f>
        <v>1.3831822580645161</v>
      </c>
    </row>
    <row r="10" spans="1:18">
      <c r="A10" s="2">
        <v>38442</v>
      </c>
      <c r="B10" s="54">
        <f>GDP!D26</f>
        <v>327135.60000000003</v>
      </c>
      <c r="C10" s="1">
        <v>4.3873531024667303E-2</v>
      </c>
      <c r="D10" s="1">
        <f>AVERAGE('tb %'!P26:R26)</f>
        <v>5.4354407407407407E-2</v>
      </c>
      <c r="E10" s="1">
        <f>'tb %'!R26-'tb %'!P26</f>
        <v>2.8075444444444438E-2</v>
      </c>
      <c r="F10" s="1">
        <f>'tb %'!P26+'tb %'!R26-2*'tb %'!Q26</f>
        <v>5.447222222222256E-3</v>
      </c>
      <c r="G10" s="1">
        <f>'policy tool rates'!N13</f>
        <v>3.7499999999999999E-2</v>
      </c>
      <c r="H10" s="1">
        <f>RoE!F10</f>
        <v>0.30676663788423375</v>
      </c>
      <c r="I10" s="1">
        <v>0.46280625373657963</v>
      </c>
      <c r="J10" s="1">
        <v>0.36380199390288154</v>
      </c>
      <c r="K10" s="55"/>
      <c r="L10" s="55"/>
      <c r="N10" s="54">
        <f>'Construction loans'!P11</f>
        <v>5559564.6039800001</v>
      </c>
      <c r="O10" s="54">
        <v>135500</v>
      </c>
      <c r="P10" s="54">
        <v>477.02666666666664</v>
      </c>
      <c r="Q10" s="54">
        <v>-669.06435762906813</v>
      </c>
      <c r="R10" s="1">
        <f>'Copper prices'!G199</f>
        <v>1.4456278688524591</v>
      </c>
    </row>
    <row r="11" spans="1:18">
      <c r="A11" s="2">
        <v>38533</v>
      </c>
      <c r="B11" s="54">
        <f>GDP!D27</f>
        <v>474747.6</v>
      </c>
      <c r="C11" s="1">
        <v>4.7258442003636297E-2</v>
      </c>
      <c r="D11" s="1">
        <f>AVERAGE('tb %'!P27:R27)</f>
        <v>5.7678143330804281E-2</v>
      </c>
      <c r="E11" s="1">
        <f>'tb %'!R27-'tb %'!P27</f>
        <v>2.7834403340920494E-2</v>
      </c>
      <c r="F11" s="1">
        <f>'tb %'!P27+'tb %'!R27-2*'tb %'!Q27</f>
        <v>1.2636929992412865E-2</v>
      </c>
      <c r="G11" s="1">
        <f>'policy tool rates'!N14</f>
        <v>4.4999999999999998E-2</v>
      </c>
      <c r="H11" s="1">
        <f>RoE!F11</f>
        <v>0.27623123575249658</v>
      </c>
      <c r="I11" s="1">
        <v>0.4512040734070305</v>
      </c>
      <c r="J11" s="1">
        <v>0.31670004272954833</v>
      </c>
      <c r="K11" s="54">
        <v>6454380</v>
      </c>
      <c r="L11" s="54">
        <v>1078386.2373368053</v>
      </c>
      <c r="N11" s="54">
        <f>'Construction loans'!P12</f>
        <v>6289087.333333333</v>
      </c>
      <c r="O11" s="54">
        <v>151000</v>
      </c>
      <c r="P11" s="54">
        <v>448.69666666666666</v>
      </c>
      <c r="Q11" s="54">
        <v>-699.09406288579316</v>
      </c>
      <c r="R11" s="1">
        <f>'Copper prices'!G200</f>
        <v>1.4847750000000002</v>
      </c>
    </row>
    <row r="12" spans="1:18">
      <c r="A12" s="2">
        <v>38625</v>
      </c>
      <c r="B12" s="54">
        <f>GDP!D28</f>
        <v>705065.9</v>
      </c>
      <c r="C12" s="1">
        <v>5.2827964230861703E-2</v>
      </c>
      <c r="D12" s="1">
        <f>AVERAGE('tb %'!P28:R28)</f>
        <v>4.7665148148148151E-2</v>
      </c>
      <c r="E12" s="1">
        <f>'tb %'!R28-'tb %'!P28</f>
        <v>1.6494555555555561E-2</v>
      </c>
      <c r="F12" s="1">
        <f>'tb %'!P28+'tb %'!R28-2*'tb %'!Q28</f>
        <v>-1.2731555555555552E-2</v>
      </c>
      <c r="G12" s="1">
        <f>'policy tool rates'!N15</f>
        <v>3.7499999999999999E-2</v>
      </c>
      <c r="H12" s="1">
        <f>RoE!F12</f>
        <v>0.25989058616729399</v>
      </c>
      <c r="I12" s="1">
        <v>0.45571906619517122</v>
      </c>
      <c r="J12" s="1">
        <v>0.3359329904402964</v>
      </c>
      <c r="K12" s="54">
        <v>8537812</v>
      </c>
      <c r="L12" s="54">
        <v>1426482.3201870706</v>
      </c>
      <c r="N12" s="54">
        <f>'Construction loans'!P13</f>
        <v>7141805.3898500009</v>
      </c>
      <c r="O12" s="54">
        <v>163600</v>
      </c>
      <c r="P12" s="54">
        <v>452.68</v>
      </c>
      <c r="Q12" s="54">
        <v>-695.86462631623726</v>
      </c>
      <c r="R12" s="1">
        <f>'Copper prices'!G201</f>
        <v>1.6361890625000008</v>
      </c>
    </row>
    <row r="13" spans="1:18">
      <c r="A13" s="2">
        <v>38717</v>
      </c>
      <c r="B13" s="54">
        <f>GDP!D29</f>
        <v>735931.8</v>
      </c>
      <c r="C13" s="1">
        <v>6.1105606755717801E-2</v>
      </c>
      <c r="D13" s="1">
        <f>AVERAGE('tb %'!P29:R29)</f>
        <v>5.9226250000000001E-2</v>
      </c>
      <c r="E13" s="1">
        <f>'tb %'!R29-'tb %'!P29</f>
        <v>5.0641749999999999E-2</v>
      </c>
      <c r="F13" s="1">
        <f>'tb %'!P29+'tb %'!R29-2*'tb %'!Q29</f>
        <v>2.2073250000000016E-2</v>
      </c>
      <c r="G13" s="1">
        <f>'policy tool rates'!N16</f>
        <v>0.03</v>
      </c>
      <c r="H13" s="1">
        <f>RoE!F13</f>
        <v>0.15247996028981378</v>
      </c>
      <c r="I13" s="1">
        <v>0.441778018398919</v>
      </c>
      <c r="J13" s="1">
        <v>0.33670812857015547</v>
      </c>
      <c r="K13" s="54">
        <v>11105554</v>
      </c>
      <c r="L13" s="54">
        <v>1855496.0494425038</v>
      </c>
      <c r="N13" s="54">
        <f>'Construction loans'!P14</f>
        <v>7744711.1258233329</v>
      </c>
      <c r="O13" s="54">
        <v>173700</v>
      </c>
      <c r="P13" s="54">
        <v>452.34666666666664</v>
      </c>
      <c r="Q13" s="54">
        <v>-782.59364247268263</v>
      </c>
      <c r="R13" s="1">
        <f>'Copper prices'!G202</f>
        <v>1.9362596774193548</v>
      </c>
    </row>
    <row r="14" spans="1:18">
      <c r="A14" s="2">
        <v>38807</v>
      </c>
      <c r="B14" s="54">
        <f>GDP!D30</f>
        <v>370000.4</v>
      </c>
      <c r="C14" s="1">
        <v>6.8417244165855207E-2</v>
      </c>
      <c r="D14" s="1">
        <f>AVERAGE('tb %'!P30:R30)</f>
        <v>5.8996931159420285E-2</v>
      </c>
      <c r="E14" s="1">
        <f>'tb %'!R30-'tb %'!P30</f>
        <v>4.3767293478260867E-2</v>
      </c>
      <c r="F14" s="1">
        <f>'tb %'!P30+'tb %'!R30-2*'tb %'!Q30</f>
        <v>2.9669793478260861E-2</v>
      </c>
      <c r="G14" s="1">
        <f>'policy tool rates'!N17</f>
        <v>3.7499999999999999E-2</v>
      </c>
      <c r="H14" s="1">
        <f>RoE!F14</f>
        <v>0.15518107544896279</v>
      </c>
      <c r="I14" s="1">
        <v>0.44724372290781311</v>
      </c>
      <c r="J14" s="1">
        <v>0.33826987186466773</v>
      </c>
      <c r="K14" s="54">
        <v>13261886</v>
      </c>
      <c r="L14" s="54">
        <v>2215772.1335790046</v>
      </c>
      <c r="N14" s="54">
        <f>'Construction loans'!P15</f>
        <v>7750122.6534033334</v>
      </c>
      <c r="O14" s="54">
        <v>184700</v>
      </c>
      <c r="P14" s="54">
        <v>450.94666666666672</v>
      </c>
      <c r="Q14" s="54">
        <v>-823.10026676522648</v>
      </c>
      <c r="R14" s="1">
        <f>'Copper prices'!G203</f>
        <v>2.2317274193548391</v>
      </c>
    </row>
    <row r="15" spans="1:18">
      <c r="A15" s="2">
        <v>38898</v>
      </c>
      <c r="B15" s="54">
        <f>GDP!D31</f>
        <v>565444.79999999993</v>
      </c>
      <c r="C15" s="1">
        <v>7.3056263537488494E-2</v>
      </c>
      <c r="D15" s="1">
        <f>AVERAGE('tb %'!P31:R31)</f>
        <v>7.0539310822090695E-2</v>
      </c>
      <c r="E15" s="1">
        <f>'tb %'!R31-'tb %'!P31</f>
        <v>5.0502400867061287E-2</v>
      </c>
      <c r="F15" s="1">
        <f>'tb %'!P31+'tb %'!R31-2*'tb %'!Q31</f>
        <v>1.7936932466272038E-2</v>
      </c>
      <c r="G15" s="1">
        <f>'policy tool rates'!N18</f>
        <v>0.04</v>
      </c>
      <c r="H15" s="1">
        <f>RoE!F15</f>
        <v>0.16243634607201302</v>
      </c>
      <c r="I15" s="1">
        <v>0.408322037445843</v>
      </c>
      <c r="J15" s="1">
        <v>0.33680469125109064</v>
      </c>
      <c r="K15" s="54">
        <v>17026009</v>
      </c>
      <c r="L15" s="54">
        <v>2844675.0551366019</v>
      </c>
      <c r="N15" s="54">
        <f>'Construction loans'!P16</f>
        <v>8884002.6660600007</v>
      </c>
      <c r="O15" s="54">
        <v>189100</v>
      </c>
      <c r="P15" s="54">
        <v>436.7833333333333</v>
      </c>
      <c r="Q15" s="54">
        <v>-869.22431435004842</v>
      </c>
      <c r="R15" s="1">
        <f>'Copper prices'!G204</f>
        <v>3.2993354838709674</v>
      </c>
    </row>
    <row r="16" spans="1:18">
      <c r="A16" s="2">
        <v>38990</v>
      </c>
      <c r="B16" s="54">
        <f>GDP!D32</f>
        <v>790806.10000000009</v>
      </c>
      <c r="C16" s="1">
        <v>7.8102745615122399E-2</v>
      </c>
      <c r="D16" s="1">
        <f>AVERAGE('tb %'!P32:R32)</f>
        <v>6.9952676926859095E-2</v>
      </c>
      <c r="E16" s="1">
        <f>'tb %'!R32-'tb %'!P32</f>
        <v>4.6423825756632217E-2</v>
      </c>
      <c r="F16" s="1">
        <f>'tb %'!P32+'tb %'!R32-2*'tb %'!Q32</f>
        <v>1.5549434141921809E-2</v>
      </c>
      <c r="G16" s="1">
        <f>'policy tool rates'!N19</f>
        <v>4.1250000000000002E-2</v>
      </c>
      <c r="H16" s="1">
        <f>RoE!F16</f>
        <v>0.16067327859888769</v>
      </c>
      <c r="I16" s="1">
        <v>0.42274397110432299</v>
      </c>
      <c r="J16" s="1">
        <v>0.35308266512879377</v>
      </c>
      <c r="K16" s="54">
        <v>19907567</v>
      </c>
      <c r="L16" s="54">
        <v>3326120.598982451</v>
      </c>
      <c r="N16" s="54">
        <f>'Construction loans'!P17</f>
        <v>9057415.0504100006</v>
      </c>
      <c r="O16" s="54">
        <v>207000</v>
      </c>
      <c r="P16" s="54">
        <v>402.3866666666666</v>
      </c>
      <c r="Q16" s="54">
        <v>-961.70852424728537</v>
      </c>
      <c r="R16" s="1">
        <f>'Copper prices'!G205</f>
        <v>3.5010435483870963</v>
      </c>
    </row>
    <row r="17" spans="1:18">
      <c r="A17" s="2">
        <v>39082</v>
      </c>
      <c r="B17" s="54">
        <f>GDP!D33</f>
        <v>812645.09999999986</v>
      </c>
      <c r="C17" s="1">
        <v>8.5940502068284005E-2</v>
      </c>
      <c r="D17" s="1">
        <f>AVERAGE('tb %'!P33:R33)</f>
        <v>7.1795702968822372E-2</v>
      </c>
      <c r="E17" s="1">
        <f>'tb %'!R33-'tb %'!P33</f>
        <v>3.8857891093532888E-2</v>
      </c>
      <c r="F17" s="1">
        <f>'tb %'!P33+'tb %'!R33-2*'tb %'!Q33</f>
        <v>1.4804108906467106E-2</v>
      </c>
      <c r="G17" s="1">
        <f>'policy tool rates'!N20</f>
        <v>4.4999999999999998E-2</v>
      </c>
      <c r="H17" s="1">
        <f>RoE!F17</f>
        <v>0.15848486526393649</v>
      </c>
      <c r="I17" s="1">
        <v>0.4124113866891686</v>
      </c>
      <c r="J17" s="1">
        <v>0.34870914966216943</v>
      </c>
      <c r="K17" s="54">
        <v>23770050</v>
      </c>
      <c r="L17" s="54">
        <v>3971457.3329750849</v>
      </c>
      <c r="N17" s="54">
        <f>'Construction loans'!P18</f>
        <v>10629354.400736667</v>
      </c>
      <c r="O17" s="54">
        <v>221900</v>
      </c>
      <c r="P17" s="54">
        <v>374.03999999999996</v>
      </c>
      <c r="Q17" s="54">
        <v>-1035.2545693281702</v>
      </c>
      <c r="R17" s="1">
        <f>'Copper prices'!G206</f>
        <v>3.2066032258064521</v>
      </c>
    </row>
    <row r="18" spans="1:18">
      <c r="A18" s="2">
        <v>39172</v>
      </c>
      <c r="B18" s="54">
        <f>GDP!D34</f>
        <v>414861.39999999997</v>
      </c>
      <c r="C18" s="1">
        <v>0.103092637336255</v>
      </c>
      <c r="D18" s="1">
        <f>AVERAGE('tb %'!P34:R34)</f>
        <v>6.9200111111111115E-2</v>
      </c>
      <c r="E18" s="1">
        <f>'tb %'!R34-'tb %'!P34</f>
        <v>2.0956000000000009E-2</v>
      </c>
      <c r="F18" s="1">
        <f>'tb %'!P34+'tb %'!R34-2*'tb %'!Q34</f>
        <v>1.3073333333333548E-3</v>
      </c>
      <c r="G18" s="1">
        <f>'policy tool rates'!N21</f>
        <v>4.6249999999999999E-2</v>
      </c>
      <c r="H18" s="1">
        <f>RoE!F18</f>
        <v>0.15490720192448618</v>
      </c>
      <c r="I18" s="1">
        <v>0.4102627128522186</v>
      </c>
      <c r="J18" s="1">
        <v>0.3525240186018988</v>
      </c>
      <c r="K18" s="54">
        <v>27713815.48</v>
      </c>
      <c r="L18" s="54">
        <v>4630374.5979821002</v>
      </c>
      <c r="N18" s="54">
        <f>'Construction loans'!P19</f>
        <v>12296063.466666667</v>
      </c>
      <c r="O18" s="54">
        <v>236300</v>
      </c>
      <c r="P18" s="54">
        <v>359.44000000000005</v>
      </c>
      <c r="Q18" s="54">
        <v>-1198.450532040348</v>
      </c>
      <c r="R18" s="1">
        <f>'Copper prices'!G207</f>
        <v>2.7150098360655743</v>
      </c>
    </row>
    <row r="19" spans="1:18">
      <c r="A19" s="2">
        <v>39263</v>
      </c>
      <c r="B19" s="54">
        <f>GDP!D35</f>
        <v>622876.50000000012</v>
      </c>
      <c r="C19" s="1">
        <v>0.12882531772175099</v>
      </c>
      <c r="D19" s="1">
        <f>AVERAGE('tb %'!P35:R35)</f>
        <v>6.4360777777777781E-2</v>
      </c>
      <c r="E19" s="1">
        <f>'tb %'!R35-'tb %'!P35</f>
        <v>7.5079999999999938E-3</v>
      </c>
      <c r="F19" s="1">
        <f>'tb %'!P35+'tb %'!R35-2*'tb %'!Q35</f>
        <v>-4.4926666666666726E-3</v>
      </c>
      <c r="G19" s="1">
        <f>'policy tool rates'!N22</f>
        <v>4.7500000000000001E-2</v>
      </c>
      <c r="H19" s="1">
        <f>RoE!F19</f>
        <v>0.15357268988713688</v>
      </c>
      <c r="I19" s="1">
        <v>0.36749867984896306</v>
      </c>
      <c r="J19" s="1">
        <v>0.32701137988880913</v>
      </c>
      <c r="K19" s="54">
        <v>35158958</v>
      </c>
      <c r="L19" s="54">
        <v>5874295.6606680686</v>
      </c>
      <c r="N19" s="54">
        <f>'Construction loans'!P20</f>
        <v>14477815.066666668</v>
      </c>
      <c r="O19" s="54">
        <v>258800</v>
      </c>
      <c r="P19" s="54">
        <v>353.96666666666664</v>
      </c>
      <c r="Q19" s="54">
        <v>-1347.4560891444939</v>
      </c>
      <c r="R19" s="1">
        <f>'Copper prices'!G208</f>
        <v>3.4612777777777772</v>
      </c>
    </row>
    <row r="20" spans="1:18">
      <c r="A20" s="2">
        <v>39355</v>
      </c>
      <c r="B20" s="54">
        <f>GDP!D36</f>
        <v>915268.79999999993</v>
      </c>
      <c r="C20" s="1">
        <v>0.163844622854974</v>
      </c>
      <c r="D20" s="1">
        <f>AVERAGE('tb %'!P36:R36)</f>
        <v>6.3946055555555562E-2</v>
      </c>
      <c r="E20" s="1">
        <f>'tb %'!R36-'tb %'!P36</f>
        <v>7.7536666666666657E-3</v>
      </c>
      <c r="F20" s="1">
        <f>'tb %'!P36+'tb %'!R36-2*'tb %'!Q36</f>
        <v>-3.8093333333333312E-3</v>
      </c>
      <c r="G20" s="1">
        <f>'policy tool rates'!N23</f>
        <v>4.4999999999999998E-2</v>
      </c>
      <c r="H20" s="1">
        <f>RoE!F20</f>
        <v>0.15467611484212099</v>
      </c>
      <c r="I20" s="1">
        <v>0.34709983126411026</v>
      </c>
      <c r="J20" s="1">
        <v>0.31364639229322394</v>
      </c>
      <c r="K20" s="54">
        <v>45981845</v>
      </c>
      <c r="L20" s="54">
        <v>7682564.2145882631</v>
      </c>
      <c r="N20" s="54">
        <f>'Construction loans'!P21</f>
        <v>15949385.266666666</v>
      </c>
      <c r="O20" s="54">
        <v>270300</v>
      </c>
      <c r="P20" s="54">
        <v>337.83</v>
      </c>
      <c r="Q20" s="54">
        <v>-1541.1550669729836</v>
      </c>
      <c r="R20" s="1">
        <f>'Copper prices'!G209</f>
        <v>3.4640682539682546</v>
      </c>
    </row>
    <row r="21" spans="1:18">
      <c r="A21" s="2">
        <v>39447</v>
      </c>
      <c r="B21" s="54">
        <f>GDP!D37</f>
        <v>934967.70000000007</v>
      </c>
      <c r="C21" s="1">
        <v>0.20036083692262299</v>
      </c>
      <c r="D21" s="1">
        <f>AVERAGE('tb %'!P37:R37)</f>
        <v>7.7068944444444454E-2</v>
      </c>
      <c r="E21" s="1">
        <f>'tb %'!R37-'tb %'!P37</f>
        <v>2.9162999999999994E-2</v>
      </c>
      <c r="F21" s="1">
        <f>'tb %'!P37+'tb %'!R37-2*'tb %'!Q37</f>
        <v>1.6839333333333345E-2</v>
      </c>
      <c r="G21" s="1">
        <f>'policy tool rates'!N24</f>
        <v>0.05</v>
      </c>
      <c r="H21" s="1">
        <f>RoE!F21</f>
        <v>0.14769787716889807</v>
      </c>
      <c r="I21" s="1">
        <v>0.336595073134143</v>
      </c>
      <c r="J21" s="1">
        <v>0.30052348567268722</v>
      </c>
      <c r="K21" s="54">
        <v>53582564.879999995</v>
      </c>
      <c r="L21" s="54">
        <v>8952478.8636241499</v>
      </c>
      <c r="N21" s="54">
        <f>'Construction loans'!P22</f>
        <v>20214524.666666668</v>
      </c>
      <c r="O21" s="54">
        <v>282600</v>
      </c>
      <c r="P21" s="54">
        <v>317.07666666666665</v>
      </c>
      <c r="Q21" s="54">
        <v>-1906.8454033353701</v>
      </c>
      <c r="R21" s="1">
        <f>'Copper prices'!G210</f>
        <v>3.2696312499999984</v>
      </c>
    </row>
    <row r="22" spans="1:18">
      <c r="A22" s="2">
        <v>39538</v>
      </c>
      <c r="B22" s="54">
        <f>GDP!D38</f>
        <v>469131</v>
      </c>
      <c r="C22" s="1">
        <v>0.247337966401452</v>
      </c>
      <c r="D22" s="1">
        <f>AVERAGE('tb %'!P38:R38)</f>
        <v>8.5225345126633059E-2</v>
      </c>
      <c r="E22" s="1">
        <f>'tb %'!R38-'tb %'!P38</f>
        <v>3.5318191439261293E-2</v>
      </c>
      <c r="F22" s="1">
        <f>'tb %'!P38+'tb %'!R38-2*'tb %'!Q38</f>
        <v>8.1117065655043064E-3</v>
      </c>
      <c r="G22" s="1">
        <f>'policy tool rates'!N25</f>
        <v>5.8749999999999997E-2</v>
      </c>
      <c r="H22" s="1">
        <f>RoE!F22</f>
        <v>0.14185165697340996</v>
      </c>
      <c r="I22" s="1">
        <v>0.30459944805255867</v>
      </c>
      <c r="J22" s="1">
        <v>0.27152321302854765</v>
      </c>
      <c r="K22" s="54">
        <v>59327163.198510006</v>
      </c>
      <c r="L22" s="54">
        <v>9912276.0502957348</v>
      </c>
      <c r="N22" s="54">
        <f>'Construction loans'!P23</f>
        <v>23640639.933333334</v>
      </c>
      <c r="O22" s="54">
        <v>286700</v>
      </c>
      <c r="P22" s="54">
        <v>308.05333333333334</v>
      </c>
      <c r="Q22" s="54">
        <v>-2099.3634023829045</v>
      </c>
      <c r="R22" s="1">
        <f>'Copper prices'!G211</f>
        <v>3.5233216666666669</v>
      </c>
    </row>
    <row r="23" spans="1:18">
      <c r="A23" s="2">
        <v>39629</v>
      </c>
      <c r="B23" s="54">
        <f>GDP!D39</f>
        <v>683115.2</v>
      </c>
      <c r="C23" s="1">
        <v>0.29499947792296199</v>
      </c>
      <c r="D23" s="1">
        <f>AVERAGE('tb %'!P39:R39)</f>
        <v>8.3571414617936213E-2</v>
      </c>
      <c r="E23" s="1">
        <f>'tb %'!R39-'tb %'!P39</f>
        <v>3.2653280890845668E-2</v>
      </c>
      <c r="F23" s="1">
        <f>'tb %'!P39+'tb %'!R39-2*'tb %'!Q39</f>
        <v>2.0317354964919765E-2</v>
      </c>
      <c r="G23" s="1">
        <f>'policy tool rates'!N26</f>
        <v>6.5000000000000002E-2</v>
      </c>
      <c r="H23" s="1">
        <f>RoE!F23</f>
        <v>0.13166143877212952</v>
      </c>
      <c r="I23" s="1">
        <v>0.27106157251455193</v>
      </c>
      <c r="J23" s="1">
        <v>0.2627484049374485</v>
      </c>
      <c r="K23" s="54">
        <v>71722894.810000002</v>
      </c>
      <c r="L23" s="54">
        <v>11983332.661705596</v>
      </c>
      <c r="M23" s="1">
        <f>'Mortgage rate'!J5</f>
        <v>0.1953407821787948</v>
      </c>
      <c r="N23" s="54">
        <f>'Construction loans'!P24</f>
        <v>29692297.828173667</v>
      </c>
      <c r="O23" s="54">
        <v>303300</v>
      </c>
      <c r="P23" s="54">
        <v>307.11000000000007</v>
      </c>
      <c r="Q23" s="54">
        <v>-2416.3129166434346</v>
      </c>
      <c r="R23" s="1">
        <f>'Copper prices'!G212</f>
        <v>3.7874435483870967</v>
      </c>
    </row>
    <row r="24" spans="1:18">
      <c r="A24" s="2">
        <v>39721</v>
      </c>
      <c r="B24" s="54">
        <f>GDP!D40</f>
        <v>1056298.5</v>
      </c>
      <c r="C24" s="1">
        <v>0.31648703331575301</v>
      </c>
      <c r="D24" s="1">
        <f>AVERAGE('tb %'!P40:R40)</f>
        <v>8.8830780638193052E-2</v>
      </c>
      <c r="E24" s="1">
        <f>'tb %'!R40-'tb %'!P40</f>
        <v>2.6018264184397177E-2</v>
      </c>
      <c r="F24" s="1">
        <f>'tb %'!P40+'tb %'!R40-2*'tb %'!Q40</f>
        <v>2.3428608724033267E-2</v>
      </c>
      <c r="G24" s="1">
        <f>'policy tool rates'!N27</f>
        <v>7.2499999999999995E-2</v>
      </c>
      <c r="H24" s="1">
        <f>RoE!F24</f>
        <v>0.12499891477318313</v>
      </c>
      <c r="I24" s="1">
        <v>0.25487923600957663</v>
      </c>
      <c r="J24" s="1">
        <v>0.27246066983665257</v>
      </c>
      <c r="K24" s="54">
        <v>81031249</v>
      </c>
      <c r="L24" s="54">
        <v>13538555.789372761</v>
      </c>
      <c r="M24" s="1">
        <f>'Mortgage rate'!J6</f>
        <v>0.14502906224692663</v>
      </c>
      <c r="N24" s="54">
        <f>'Construction loans'!P25</f>
        <v>36330940.272799999</v>
      </c>
      <c r="O24" s="54">
        <v>301000</v>
      </c>
      <c r="P24" s="54">
        <v>302.30333333333328</v>
      </c>
      <c r="Q24" s="54">
        <v>-2824.1361874507365</v>
      </c>
      <c r="R24" s="1">
        <f>'Copper prices'!G213</f>
        <v>3.4150888888888895</v>
      </c>
    </row>
    <row r="25" spans="1:18">
      <c r="A25" s="2">
        <v>39813</v>
      </c>
      <c r="B25" s="54">
        <f>GDP!D41</f>
        <v>880076.1</v>
      </c>
      <c r="C25" s="1">
        <v>0.28248119456250098</v>
      </c>
      <c r="D25" s="1">
        <f>AVERAGE('tb %'!P41:R41)</f>
        <v>9.9770585999742686E-2</v>
      </c>
      <c r="E25" s="1">
        <f>'tb %'!R41-'tb %'!P41</f>
        <v>2.9384579314420817E-2</v>
      </c>
      <c r="F25" s="1">
        <f>'tb %'!P41+'tb %'!R41-2*'tb %'!Q41</f>
        <v>1.685978861147297E-2</v>
      </c>
      <c r="G25" s="1">
        <f>'policy tool rates'!N28</f>
        <v>7.7499999999999999E-2</v>
      </c>
      <c r="H25" s="1">
        <f>RoE!F25</f>
        <v>0.13391005086213895</v>
      </c>
      <c r="I25" s="1">
        <v>0.23830184006715766</v>
      </c>
      <c r="J25" s="1">
        <v>0.27487576706224992</v>
      </c>
      <c r="K25" s="54">
        <v>83620888</v>
      </c>
      <c r="L25" s="54">
        <v>6914117.6539500002</v>
      </c>
      <c r="M25" s="1">
        <f>'Mortgage rate'!J7</f>
        <v>0.14221443107827214</v>
      </c>
      <c r="N25" s="54">
        <f>'Construction loans'!P26</f>
        <v>40211510.942999996</v>
      </c>
      <c r="O25" s="54">
        <v>292000</v>
      </c>
      <c r="P25" s="54">
        <v>306.41000000000003</v>
      </c>
      <c r="Q25" s="54">
        <v>-3127.4858959152575</v>
      </c>
      <c r="R25" s="1">
        <f>'Copper prices'!G214</f>
        <v>1.7621793650793653</v>
      </c>
    </row>
    <row r="26" spans="1:18">
      <c r="A26" s="2">
        <v>39903</v>
      </c>
      <c r="B26" s="54">
        <f>GDP!D42</f>
        <v>439029.19999999995</v>
      </c>
      <c r="C26" s="1">
        <v>0.20012739301437399</v>
      </c>
      <c r="D26" s="1">
        <f>AVERAGE('tb %'!P42:R42)</f>
        <v>0.11109523531169278</v>
      </c>
      <c r="E26" s="1">
        <f>'tb %'!R42-'tb %'!P42</f>
        <v>2.9181794064921676E-2</v>
      </c>
      <c r="F26" s="1">
        <f>'tb %'!P42+'tb %'!R42-2*'tb %'!Q42</f>
        <v>1.8689205935078335E-2</v>
      </c>
      <c r="G26" s="1">
        <f>'policy tool rates'!N29</f>
        <v>7.0000000000000007E-2</v>
      </c>
      <c r="H26" s="1">
        <f>RoE!F26</f>
        <v>9.5964303081786287E-2</v>
      </c>
      <c r="I26" s="1">
        <v>0.29054773940726936</v>
      </c>
      <c r="J26" s="1">
        <v>0.26145860889999567</v>
      </c>
      <c r="K26" s="54">
        <v>86367095</v>
      </c>
      <c r="L26" s="54">
        <v>3074293.7035999997</v>
      </c>
      <c r="M26" s="1">
        <f>'Mortgage rate'!J8</f>
        <v>0.16803473198376426</v>
      </c>
      <c r="N26" s="54">
        <f>'Construction loans'!P27</f>
        <v>39875377.633333333</v>
      </c>
      <c r="O26" s="54">
        <v>289800</v>
      </c>
      <c r="P26" s="54">
        <v>325.56</v>
      </c>
      <c r="Q26" s="54">
        <v>-3046.1682165549128</v>
      </c>
      <c r="R26" s="1">
        <f>'Copper prices'!G215</f>
        <v>1.5832650000000001</v>
      </c>
    </row>
    <row r="27" spans="1:18">
      <c r="A27" s="2">
        <v>39994</v>
      </c>
      <c r="B27" s="54">
        <f>GDP!D43</f>
        <v>555120.5</v>
      </c>
      <c r="C27" s="1">
        <v>0.111799372897535</v>
      </c>
      <c r="D27" s="1">
        <f>AVERAGE('tb %'!P43:R43)</f>
        <v>0.13300998868755201</v>
      </c>
      <c r="E27" s="1">
        <f>'tb %'!R43-'tb %'!P43</f>
        <v>4.5577599452337469E-2</v>
      </c>
      <c r="F27" s="1">
        <f>'tb %'!P43+'tb %'!R43-2*'tb %'!Q43</f>
        <v>-3.8627304823244946E-3</v>
      </c>
      <c r="G27" s="1">
        <f>'policy tool rates'!N30</f>
        <v>7.1874999999999994E-2</v>
      </c>
      <c r="H27" s="1">
        <f>RoE!F27</f>
        <v>6.6188056579607038E-2</v>
      </c>
      <c r="I27" s="1">
        <v>0.31981528776969753</v>
      </c>
      <c r="J27" s="1">
        <v>0.27961930963169435</v>
      </c>
      <c r="K27" s="54">
        <v>83108252.40959999</v>
      </c>
      <c r="L27" s="54">
        <v>2768462.4918500003</v>
      </c>
      <c r="M27" s="1">
        <f>'Mortgage rate'!J9</f>
        <v>0.1627851525152802</v>
      </c>
      <c r="N27" s="54">
        <f>'Construction loans'!P28</f>
        <v>43410653.793900006</v>
      </c>
      <c r="O27" s="54">
        <v>259300</v>
      </c>
      <c r="P27" s="54">
        <v>370.53</v>
      </c>
      <c r="Q27" s="54">
        <v>-2834.8227278604813</v>
      </c>
      <c r="R27" s="1">
        <f>'Copper prices'!G216</f>
        <v>2.1462063492063499</v>
      </c>
    </row>
    <row r="28" spans="1:18">
      <c r="A28" s="2">
        <v>40086</v>
      </c>
      <c r="B28" s="54">
        <f>GDP!D44</f>
        <v>847261.5</v>
      </c>
      <c r="C28" s="1">
        <v>7.4922158409400294E-2</v>
      </c>
      <c r="D28" s="1">
        <f>AVERAGE('tb %'!P44:R44)</f>
        <v>0.10539537991452992</v>
      </c>
      <c r="E28" s="1">
        <f>'tb %'!R44-'tb %'!P44</f>
        <v>5.7307555555555584E-2</v>
      </c>
      <c r="F28" s="1">
        <f>'tb %'!P44+'tb %'!R44-2*'tb %'!Q44</f>
        <v>-4.2369461538461495E-3</v>
      </c>
      <c r="G28" s="1">
        <f>'policy tool rates'!N31</f>
        <v>5.5833333333333332E-2</v>
      </c>
      <c r="H28" s="1">
        <f>RoE!F28</f>
        <v>3.4273531284577427E-2</v>
      </c>
      <c r="I28" s="1">
        <v>0.35226607766761758</v>
      </c>
      <c r="J28" s="1">
        <v>0.28278231503616563</v>
      </c>
      <c r="K28" s="54">
        <v>83370314.168200001</v>
      </c>
      <c r="L28" s="54">
        <v>4998103.105455</v>
      </c>
      <c r="M28" s="1">
        <f>'Mortgage rate'!J10</f>
        <v>0.15403407286467694</v>
      </c>
      <c r="N28" s="54">
        <f>'Construction loans'!P29</f>
        <v>47915408.616400003</v>
      </c>
      <c r="O28" s="54">
        <v>255000</v>
      </c>
      <c r="P28" s="54">
        <v>372.64333333333326</v>
      </c>
      <c r="Q28" s="54">
        <v>-2541.9245044414693</v>
      </c>
      <c r="R28" s="1">
        <f>'Copper prices'!G217</f>
        <v>2.6759406249999986</v>
      </c>
    </row>
    <row r="29" spans="1:18">
      <c r="A29" s="2">
        <v>40178</v>
      </c>
      <c r="B29" s="54">
        <f>GDP!D45</f>
        <v>810170.09999999986</v>
      </c>
      <c r="C29" s="1">
        <v>6.9551833952314193E-2</v>
      </c>
      <c r="D29" s="1">
        <f>AVERAGE('tb %'!P45:R45)</f>
        <v>0.1192180859487051</v>
      </c>
      <c r="E29" s="1">
        <f>'tb %'!R45-'tb %'!P45</f>
        <v>6.3267681106404808E-2</v>
      </c>
      <c r="F29" s="1">
        <f>'tb %'!P45+'tb %'!R45-2*'tb %'!Q45</f>
        <v>-2.760637033219987E-2</v>
      </c>
      <c r="G29" s="1">
        <f>'policy tool rates'!N32</f>
        <v>0.05</v>
      </c>
      <c r="H29" s="1">
        <f>RoE!F29</f>
        <v>3.3640082087581354E-2</v>
      </c>
      <c r="I29" s="1">
        <v>0.34441429774305315</v>
      </c>
      <c r="J29" s="1">
        <v>0.28431055313999093</v>
      </c>
      <c r="K29" s="54">
        <v>83959875.960799992</v>
      </c>
      <c r="L29" s="54">
        <v>7369728.3242422007</v>
      </c>
      <c r="M29" s="1">
        <f>'Mortgage rate'!J11</f>
        <v>0.14499949219527036</v>
      </c>
      <c r="N29" s="54">
        <f>'Construction loans'!P30</f>
        <v>51940096.040466666</v>
      </c>
      <c r="O29" s="54">
        <v>268500</v>
      </c>
      <c r="P29" s="54">
        <v>384.40000000000003</v>
      </c>
      <c r="Q29" s="54">
        <v>-2366.2822624661371</v>
      </c>
      <c r="R29" s="1">
        <f>'Copper prices'!G218</f>
        <v>3.0407904761904767</v>
      </c>
    </row>
    <row r="30" spans="1:18">
      <c r="A30" s="2">
        <v>40268</v>
      </c>
      <c r="B30" s="54">
        <f>GDP!D46</f>
        <v>470555.80000000005</v>
      </c>
      <c r="C30" s="1">
        <v>7.9725921109821393E-2</v>
      </c>
      <c r="D30" s="1">
        <f>AVERAGE('tb %'!P46:R46)</f>
        <v>0.12721754157893492</v>
      </c>
      <c r="E30" s="1">
        <f>'tb %'!R46-'tb %'!P46</f>
        <v>7.1142967708323138E-2</v>
      </c>
      <c r="F30" s="1">
        <f>'tb %'!P46+'tb %'!R46-2*'tb %'!Q46</f>
        <v>-2.1781775240088452E-2</v>
      </c>
      <c r="G30" s="1">
        <f>'policy tool rates'!N33</f>
        <v>5.7500000000000002E-2</v>
      </c>
      <c r="H30" s="1">
        <f>RoE!F30</f>
        <v>5.0094177665145456E-2</v>
      </c>
      <c r="I30" s="1">
        <v>0.3391991415477148</v>
      </c>
      <c r="J30" s="1">
        <v>0.28550298401699864</v>
      </c>
      <c r="K30" s="54">
        <v>85140165.825599998</v>
      </c>
      <c r="L30" s="54">
        <v>4967865.8682699995</v>
      </c>
      <c r="M30" s="1">
        <f>'Mortgage rate'!J12</f>
        <v>0.14000675329776199</v>
      </c>
      <c r="N30" s="54">
        <f>'Construction loans'!P31</f>
        <v>54654652.115500003</v>
      </c>
      <c r="O30" s="54">
        <v>274100</v>
      </c>
      <c r="P30" s="54">
        <v>384.07666666666665</v>
      </c>
      <c r="Q30" s="54">
        <v>-2417.4730639501249</v>
      </c>
      <c r="R30" s="1">
        <f>'Copper prices'!G219</f>
        <v>3.2999033898305088</v>
      </c>
    </row>
    <row r="31" spans="1:18">
      <c r="A31" s="2">
        <v>40359</v>
      </c>
      <c r="B31" s="54">
        <f>GDP!D47</f>
        <v>606073.69999999995</v>
      </c>
      <c r="C31" s="1">
        <v>0.101076705560838</v>
      </c>
      <c r="D31" s="1">
        <f>AVERAGE('tb %'!P47:R47)</f>
        <v>0.13658662482594963</v>
      </c>
      <c r="E31" s="1">
        <f>'tb %'!R47-'tb %'!P47</f>
        <v>3.757725710109848E-2</v>
      </c>
      <c r="F31" s="1">
        <f>'tb %'!P47+'tb %'!R47-2*'tb %'!Q47</f>
        <v>-2.5043520258993202E-2</v>
      </c>
      <c r="G31" s="1">
        <f>'policy tool rates'!N34</f>
        <v>6.9166666666666668E-2</v>
      </c>
      <c r="H31" s="1">
        <f>RoE!F31</f>
        <v>7.6372994185889206E-2</v>
      </c>
      <c r="I31" s="1">
        <v>0.30089696624531054</v>
      </c>
      <c r="J31" s="1">
        <v>0.28855471312719772</v>
      </c>
      <c r="K31" s="54">
        <v>83483241.338699996</v>
      </c>
      <c r="L31" s="54">
        <v>7158954.5246881517</v>
      </c>
      <c r="M31" s="1">
        <f>'Mortgage rate'!J13</f>
        <v>0.13882833859428362</v>
      </c>
      <c r="N31" s="54">
        <f>'Construction loans'!P32</f>
        <v>59235868.923966669</v>
      </c>
      <c r="O31" s="54">
        <v>283000</v>
      </c>
      <c r="P31" s="54">
        <v>384.32969696969695</v>
      </c>
      <c r="Q31" s="54">
        <v>-2461.7697313190847</v>
      </c>
      <c r="R31" s="1">
        <f>'Copper prices'!G220</f>
        <v>3.191720634920634</v>
      </c>
    </row>
    <row r="32" spans="1:18">
      <c r="A32" s="2">
        <v>40451</v>
      </c>
      <c r="B32" s="54">
        <f>GDP!D48</f>
        <v>798927.7</v>
      </c>
      <c r="C32" s="1">
        <v>0.133066338764636</v>
      </c>
      <c r="D32" s="1">
        <f>AVERAGE('tb %'!P48:R48)</f>
        <v>0.13084849131639453</v>
      </c>
      <c r="E32" s="1">
        <f>'tb %'!R48-'tb %'!P48</f>
        <v>6.1320035672538506E-2</v>
      </c>
      <c r="F32" s="1">
        <f>'tb %'!P48+'tb %'!R48-2*'tb %'!Q48</f>
        <v>-1.2018526050816492E-2</v>
      </c>
      <c r="G32" s="1">
        <f>'policy tool rates'!N35</f>
        <v>7.2499999999999995E-2</v>
      </c>
      <c r="H32" s="1">
        <f>RoE!F32</f>
        <v>0.10173047090703255</v>
      </c>
      <c r="I32" s="1">
        <v>0.30145124982338289</v>
      </c>
      <c r="J32" s="1">
        <v>0.26714554885924108</v>
      </c>
      <c r="K32" s="54">
        <v>85202143.955699995</v>
      </c>
      <c r="L32" s="54">
        <v>6544487.4846739992</v>
      </c>
      <c r="M32" s="1">
        <f>'Mortgage rate'!J14</f>
        <v>0.13754828659968063</v>
      </c>
      <c r="N32" s="54">
        <f>'Construction loans'!P33</f>
        <v>62626793.129666664</v>
      </c>
      <c r="O32" s="54">
        <v>270200</v>
      </c>
      <c r="P32" s="54">
        <v>365.5107142857143</v>
      </c>
      <c r="Q32" s="54">
        <v>-2454.0357442912314</v>
      </c>
      <c r="R32" s="1">
        <f>'Copper prices'!G221</f>
        <v>3.2979419354838706</v>
      </c>
    </row>
    <row r="33" spans="1:18">
      <c r="A33" s="2">
        <v>40543</v>
      </c>
      <c r="B33" s="54">
        <f>GDP!D49</f>
        <v>834358.9</v>
      </c>
      <c r="C33" s="1">
        <v>0.167423479058814</v>
      </c>
      <c r="D33" s="1">
        <f>AVERAGE('tb %'!P49:R49)</f>
        <v>0.13109405701874138</v>
      </c>
      <c r="E33" s="1">
        <f>'tb %'!R49-'tb %'!P49</f>
        <v>6.3589667087970189E-2</v>
      </c>
      <c r="F33" s="1">
        <f>'tb %'!P49+'tb %'!R49-2*'tb %'!Q49</f>
        <v>-3.7999828943775904E-2</v>
      </c>
      <c r="G33" s="1">
        <f>'policy tool rates'!N36</f>
        <v>7.2499999999999995E-2</v>
      </c>
      <c r="H33" s="1">
        <f>RoE!F33</f>
        <v>0.10225910994504409</v>
      </c>
      <c r="I33" s="1">
        <v>0.29472548162600126</v>
      </c>
      <c r="J33" s="1">
        <v>0.22239052844050891</v>
      </c>
      <c r="K33" s="54">
        <v>88114469.745900005</v>
      </c>
      <c r="L33" s="54">
        <v>15714435.994599901</v>
      </c>
      <c r="M33" s="1">
        <f>'Mortgage rate'!J15</f>
        <v>0.12821950869819385</v>
      </c>
      <c r="N33" s="54">
        <f>'Construction loans'!P34</f>
        <v>71189810.748400003</v>
      </c>
      <c r="O33" s="54">
        <v>260700</v>
      </c>
      <c r="P33" s="54">
        <v>360.72632575757581</v>
      </c>
      <c r="Q33" s="54">
        <v>-2326.4898461714793</v>
      </c>
      <c r="R33" s="1">
        <f>'Copper prices'!G222</f>
        <v>3.9360328124999988</v>
      </c>
    </row>
    <row r="34" spans="1:18">
      <c r="A34" s="2">
        <v>40633</v>
      </c>
      <c r="B34" s="54">
        <f>GDP!D50</f>
        <v>479643.2</v>
      </c>
      <c r="C34" s="1">
        <v>0.19897625125169399</v>
      </c>
      <c r="D34" s="1">
        <f>AVERAGE('tb %'!P50:R50)</f>
        <v>0.12376231728395061</v>
      </c>
      <c r="E34" s="1">
        <f>'tb %'!R50-'tb %'!P50</f>
        <v>7.2743548148148138E-2</v>
      </c>
      <c r="F34" s="1">
        <f>'tb %'!P50+'tb %'!R50-2*'tb %'!Q50</f>
        <v>-3.9170048148148173E-2</v>
      </c>
      <c r="G34" s="1">
        <f>'policy tool rates'!N37</f>
        <v>7.4166666666666672E-2</v>
      </c>
      <c r="H34" s="1">
        <f>RoE!F34</f>
        <v>0.11098567446543135</v>
      </c>
      <c r="I34" s="1">
        <v>0.28880720405212856</v>
      </c>
      <c r="J34" s="1">
        <v>0.21303481197396748</v>
      </c>
      <c r="K34" s="54">
        <v>90637383.586300001</v>
      </c>
      <c r="L34" s="54">
        <v>7444247.1907253992</v>
      </c>
      <c r="M34" s="1">
        <f>'Mortgage rate'!J16</f>
        <v>0.12678788758045292</v>
      </c>
      <c r="N34" s="54">
        <f>'Construction loans'!P35</f>
        <v>76454416.581133336</v>
      </c>
      <c r="O34" s="54">
        <v>257700</v>
      </c>
      <c r="P34" s="54">
        <v>366.14318037518041</v>
      </c>
      <c r="Q34" s="54">
        <v>-2279.7152120719902</v>
      </c>
      <c r="R34" s="1">
        <f>'Copper prices'!G223</f>
        <v>4.3905606557377039</v>
      </c>
    </row>
    <row r="35" spans="1:18">
      <c r="A35" s="2">
        <v>40724</v>
      </c>
      <c r="B35" s="54">
        <f>GDP!D51</f>
        <v>626872.19999999995</v>
      </c>
      <c r="C35" s="1">
        <v>0.22371336803397299</v>
      </c>
      <c r="D35" s="1">
        <f>AVERAGE('tb %'!P51:R51)</f>
        <v>0.12872358680177717</v>
      </c>
      <c r="E35" s="1">
        <f>'tb %'!R51-'tb %'!P51</f>
        <v>6.1631763788216901E-2</v>
      </c>
      <c r="F35" s="1">
        <f>'tb %'!P51+'tb %'!R51-2*'tb %'!Q51</f>
        <v>-2.9940489594668551E-2</v>
      </c>
      <c r="G35" s="1">
        <f>'policy tool rates'!N38</f>
        <v>8.4166666666666667E-2</v>
      </c>
      <c r="H35" s="1">
        <f>RoE!F35</f>
        <v>0.11750300481065996</v>
      </c>
      <c r="I35" s="1">
        <v>0.26765319166425855</v>
      </c>
      <c r="J35" s="1">
        <v>0.20027624879702252</v>
      </c>
      <c r="K35" s="54">
        <v>94927817.748199999</v>
      </c>
      <c r="L35" s="54">
        <v>10381346.601891078</v>
      </c>
      <c r="M35" s="1">
        <f>'Mortgage rate'!J17</f>
        <v>0.12478768998388362</v>
      </c>
      <c r="N35" s="54">
        <f>'Construction loans'!P36</f>
        <v>84079148.988533333</v>
      </c>
      <c r="O35" s="54">
        <v>256800</v>
      </c>
      <c r="P35" s="54">
        <v>374.17992063492062</v>
      </c>
      <c r="Q35" s="54">
        <v>-2275.4974173243068</v>
      </c>
      <c r="R35" s="1">
        <f>'Copper prices'!G224</f>
        <v>4.1538854838709671</v>
      </c>
    </row>
    <row r="36" spans="1:18">
      <c r="A36" s="2">
        <v>40816</v>
      </c>
      <c r="B36" s="54">
        <f>GDP!D52</f>
        <v>851917.79999999993</v>
      </c>
      <c r="C36" s="1">
        <v>0.234758871592957</v>
      </c>
      <c r="D36" s="1">
        <f>AVERAGE('tb %'!P52:R52)</f>
        <v>0.1247563986181613</v>
      </c>
      <c r="E36" s="1">
        <f>'tb %'!R52-'tb %'!P52</f>
        <v>7.3929916666666665E-2</v>
      </c>
      <c r="F36" s="1">
        <f>'tb %'!P52+'tb %'!R52-2*'tb %'!Q52</f>
        <v>-3.9294641708967792E-2</v>
      </c>
      <c r="G36" s="1">
        <f>'policy tool rates'!N39</f>
        <v>8.5000000000000006E-2</v>
      </c>
      <c r="H36" s="1">
        <f>RoE!F36</f>
        <v>0.10326304365541177</v>
      </c>
      <c r="I36" s="1">
        <v>0.28299856251327882</v>
      </c>
      <c r="J36" s="1">
        <v>0.19640564612876676</v>
      </c>
      <c r="K36" s="54">
        <v>103288573.66350001</v>
      </c>
      <c r="L36" s="54">
        <v>9716181.7925991211</v>
      </c>
      <c r="M36" s="1">
        <f>'Mortgage rate'!J18</f>
        <v>0.12703977562664651</v>
      </c>
      <c r="N36" s="54">
        <f>'Construction loans'!P37</f>
        <v>87640417.429733321</v>
      </c>
      <c r="O36" s="54">
        <v>256500</v>
      </c>
      <c r="P36" s="54">
        <v>368.78280193236714</v>
      </c>
      <c r="Q36" s="54">
        <v>-2207.112681362305</v>
      </c>
      <c r="R36" s="1">
        <f>'Copper prices'!G225</f>
        <v>4.0752968749999994</v>
      </c>
    </row>
    <row r="37" spans="1:18">
      <c r="A37" s="2">
        <v>40908</v>
      </c>
      <c r="B37" s="54">
        <f>GDP!D53</f>
        <v>878849</v>
      </c>
      <c r="C37" s="1">
        <v>0.22230394804800399</v>
      </c>
      <c r="D37" s="1">
        <f>AVERAGE('tb %'!P53:R53)</f>
        <v>0.1297437292358804</v>
      </c>
      <c r="E37" s="1">
        <f>'tb %'!R53-'tb %'!P53</f>
        <v>6.5877562292358804E-2</v>
      </c>
      <c r="F37" s="1">
        <f>'tb %'!P53+'tb %'!R53-2*'tb %'!Q53</f>
        <v>-2.6400062292358806E-2</v>
      </c>
      <c r="G37" s="1">
        <f>'policy tool rates'!N40</f>
        <v>0.08</v>
      </c>
      <c r="H37" s="1">
        <f>RoE!F37</f>
        <v>8.7227464773119143E-2</v>
      </c>
      <c r="I37" s="1">
        <v>0.27939689967528175</v>
      </c>
      <c r="J37" s="1">
        <v>0.18280392612739793</v>
      </c>
      <c r="K37" s="54">
        <v>109998731.46360001</v>
      </c>
      <c r="L37" s="54">
        <v>11159416.599020002</v>
      </c>
      <c r="M37" s="1">
        <f>'Mortgage rate'!J19</f>
        <v>0.12756199341132657</v>
      </c>
      <c r="N37" s="54">
        <f>'Construction loans'!P38</f>
        <v>89825472.321600005</v>
      </c>
      <c r="O37" s="54">
        <v>256400</v>
      </c>
      <c r="P37" s="54">
        <v>381.74681818181813</v>
      </c>
      <c r="Q37" s="54">
        <v>-2175.6299876852472</v>
      </c>
      <c r="R37" s="1">
        <f>'Copper prices'!G226</f>
        <v>3.4093555555555555</v>
      </c>
    </row>
    <row r="38" spans="1:18">
      <c r="A38" s="2">
        <v>40999</v>
      </c>
      <c r="B38" s="54">
        <f>GDP!D54</f>
        <v>504522.8967508038</v>
      </c>
      <c r="C38" s="1">
        <v>0.212722802332558</v>
      </c>
      <c r="D38" s="1">
        <f>AVERAGE('tb %'!P54:R54)</f>
        <v>0.13037410231740118</v>
      </c>
      <c r="E38" s="1">
        <f>'tb %'!R54-'tb %'!P54</f>
        <v>6.3789194444444461E-2</v>
      </c>
      <c r="F38" s="1">
        <f>'tb %'!P54+'tb %'!R54-2*'tb %'!Q54</f>
        <v>-2.8444197237740554E-2</v>
      </c>
      <c r="G38" s="1">
        <f>'policy tool rates'!N41</f>
        <v>0.08</v>
      </c>
      <c r="H38" s="1">
        <f>RoE!F38</f>
        <v>8.4224522268673455E-2</v>
      </c>
      <c r="I38" s="1">
        <v>0.26574663649186664</v>
      </c>
      <c r="J38" s="1">
        <v>0.17781604462769837</v>
      </c>
      <c r="K38" s="54">
        <v>112386164.855</v>
      </c>
      <c r="L38" s="54">
        <v>7660103.6780285798</v>
      </c>
      <c r="M38" s="1">
        <f>'Mortgage rate'!J20</f>
        <v>0.12440065570715003</v>
      </c>
      <c r="N38" s="54">
        <f>'Construction loans'!P39</f>
        <v>96923816.547000006</v>
      </c>
      <c r="O38" s="54">
        <v>249900</v>
      </c>
      <c r="P38" s="54">
        <v>388.429564553094</v>
      </c>
      <c r="Q38" s="54">
        <v>-2199.5930305693728</v>
      </c>
      <c r="R38" s="1">
        <f>'Copper prices'!G227</f>
        <v>3.7895032786885245</v>
      </c>
    </row>
    <row r="39" spans="1:18">
      <c r="A39" s="2">
        <v>41090</v>
      </c>
      <c r="B39" s="54">
        <f>GDP!D55</f>
        <v>671932.19212171983</v>
      </c>
      <c r="C39" s="1">
        <v>0.22508848328405601</v>
      </c>
      <c r="D39" s="1">
        <f>AVERAGE('tb %'!P55:R55)</f>
        <v>0.12898206989080827</v>
      </c>
      <c r="E39" s="1">
        <f>'tb %'!R55-'tb %'!P55</f>
        <v>7.0046197046162231E-2</v>
      </c>
      <c r="F39" s="1">
        <f>'tb %'!P55+'tb %'!R55-2*'tb %'!Q55</f>
        <v>-3.67379948730297E-2</v>
      </c>
      <c r="G39" s="1">
        <f>'policy tool rates'!N42</f>
        <v>0.08</v>
      </c>
      <c r="H39" s="1">
        <f>RoE!F39</f>
        <v>7.2419329300456622E-2</v>
      </c>
      <c r="I39" s="1">
        <v>0.2435416515323256</v>
      </c>
      <c r="J39" s="1">
        <v>0.16867914708994128</v>
      </c>
      <c r="K39" s="54">
        <v>120677964.398</v>
      </c>
      <c r="L39" s="54">
        <v>12396000.825300002</v>
      </c>
      <c r="M39" s="1">
        <f>'Mortgage rate'!J21</f>
        <v>0.12466524042124659</v>
      </c>
      <c r="N39" s="54">
        <f>'Construction loans'!P40</f>
        <v>99590323.074333325</v>
      </c>
      <c r="O39" s="54">
        <v>257400</v>
      </c>
      <c r="P39" s="54">
        <v>418.01</v>
      </c>
      <c r="Q39" s="54">
        <v>-2223.6738512374586</v>
      </c>
      <c r="R39" s="1">
        <f>'Copper prices'!G228</f>
        <v>3.5440904761904748</v>
      </c>
    </row>
    <row r="40" spans="1:18">
      <c r="A40" s="2">
        <v>41182</v>
      </c>
      <c r="B40" s="54">
        <f>GDP!D56</f>
        <v>929599.33511717664</v>
      </c>
      <c r="C40" s="1">
        <v>0.24820289107481799</v>
      </c>
      <c r="D40" s="1">
        <f>AVERAGE('tb %'!P56:R56)</f>
        <v>0.13222006950456952</v>
      </c>
      <c r="E40" s="1">
        <f>'tb %'!R56-'tb %'!P56</f>
        <v>6.6036531746031746E-2</v>
      </c>
      <c r="F40" s="1">
        <f>'tb %'!P56+'tb %'!R56-2*'tb %'!Q56</f>
        <v>-4.0084155122655174E-2</v>
      </c>
      <c r="G40" s="1">
        <f>'policy tool rates'!N43</f>
        <v>0.08</v>
      </c>
      <c r="H40" s="1">
        <f>RoE!F40</f>
        <v>9.9890512201085066E-2</v>
      </c>
      <c r="I40" s="1">
        <v>0.253173333898705</v>
      </c>
      <c r="J40" s="1">
        <v>0.17161705223902193</v>
      </c>
      <c r="K40" s="54">
        <v>123352763.743</v>
      </c>
      <c r="L40" s="54">
        <v>14950689.624057001</v>
      </c>
      <c r="M40" s="1">
        <f>'Mortgage rate'!J22</f>
        <v>0.12684638632498088</v>
      </c>
      <c r="N40" s="54">
        <f>'Construction loans'!P41</f>
        <v>101443510.12433334</v>
      </c>
      <c r="O40" s="54">
        <v>261600</v>
      </c>
      <c r="P40" s="54">
        <v>410.66063637354256</v>
      </c>
      <c r="Q40" s="54">
        <v>-2153.0564289591657</v>
      </c>
      <c r="R40" s="1">
        <f>'Copper prices'!G229</f>
        <v>3.5110190476190475</v>
      </c>
    </row>
    <row r="41" spans="1:18">
      <c r="A41" s="2">
        <v>41274</v>
      </c>
      <c r="B41" s="54">
        <f>GDP!D57</f>
        <v>933888.30000097689</v>
      </c>
      <c r="C41" s="1">
        <v>0.27573167930904902</v>
      </c>
      <c r="D41" s="1">
        <f>AVERAGE('tb %'!P57:R57)</f>
        <v>0.13457886974262398</v>
      </c>
      <c r="E41" s="1">
        <f>'tb %'!R57-'tb %'!P57</f>
        <v>5.9254109227871915E-2</v>
      </c>
      <c r="F41" s="1">
        <f>'tb %'!P57+'tb %'!R57-2*'tb %'!Q57</f>
        <v>-3.2292890772128102E-2</v>
      </c>
      <c r="G41" s="1">
        <f>'policy tool rates'!N44</f>
        <v>0.08</v>
      </c>
      <c r="H41" s="1">
        <f>RoE!F41</f>
        <v>0.11412462286381429</v>
      </c>
      <c r="I41" s="1">
        <v>0.2557685930653904</v>
      </c>
      <c r="J41" s="1">
        <v>0.16759874207975425</v>
      </c>
      <c r="K41" s="54">
        <v>127384007.49599999</v>
      </c>
      <c r="L41" s="54">
        <v>13826111.423064958</v>
      </c>
      <c r="M41" s="1">
        <f>'Mortgage rate'!J23</f>
        <v>0.12487274205924079</v>
      </c>
      <c r="N41" s="54">
        <f>'Construction loans'!P42</f>
        <v>101165523.82270665</v>
      </c>
      <c r="O41" s="54">
        <v>265300</v>
      </c>
      <c r="P41" s="54">
        <v>404.78999999999996</v>
      </c>
      <c r="Q41" s="54">
        <v>-2214.0070637740882</v>
      </c>
      <c r="R41" s="1">
        <f>'Copper prices'!G230</f>
        <v>3.6013666666666673</v>
      </c>
    </row>
    <row r="42" spans="1:18">
      <c r="A42" s="2">
        <v>41364</v>
      </c>
      <c r="B42" s="54">
        <f>GDP!D58</f>
        <v>541106.81666383147</v>
      </c>
      <c r="C42" s="1">
        <v>0.28027335544131898</v>
      </c>
      <c r="D42" s="1">
        <f>AVERAGE('tb %'!P58:R58)</f>
        <v>0.13502305555555558</v>
      </c>
      <c r="E42" s="1">
        <f>'tb %'!R58-'tb %'!P58</f>
        <v>6.670050000000001E-2</v>
      </c>
      <c r="F42" s="1">
        <f>'tb %'!P58+'tb %'!R58-2*'tb %'!Q58</f>
        <v>-3.8251833333333318E-2</v>
      </c>
      <c r="G42" s="1">
        <f>'policy tool rates'!N45</f>
        <v>0.08</v>
      </c>
      <c r="H42" s="1">
        <f>RoE!F42</f>
        <v>0.10154677368245342</v>
      </c>
      <c r="I42" s="1">
        <v>0.2609779281816641</v>
      </c>
      <c r="J42" s="1">
        <v>0.16374308768925369</v>
      </c>
      <c r="K42" s="54">
        <v>130419817.942</v>
      </c>
      <c r="L42" s="54">
        <v>8205928.9067504015</v>
      </c>
      <c r="M42" s="1">
        <f>'Mortgage rate'!J24</f>
        <v>0.12233967060610153</v>
      </c>
      <c r="N42" s="54">
        <f>'Construction loans'!P43</f>
        <v>101554331.63700001</v>
      </c>
      <c r="O42" s="54">
        <v>269800</v>
      </c>
      <c r="P42" s="54">
        <v>411.48</v>
      </c>
      <c r="Q42" s="54">
        <v>-2210.908942760751</v>
      </c>
      <c r="R42" s="1">
        <f>'Copper prices'!G231</f>
        <v>3.6117983333333319</v>
      </c>
    </row>
    <row r="43" spans="1:18">
      <c r="A43" s="2">
        <v>41455</v>
      </c>
      <c r="B43" s="54">
        <f>GDP!D59</f>
        <v>677786.47554050933</v>
      </c>
      <c r="C43" s="1">
        <v>0.24602504430809899</v>
      </c>
      <c r="D43" s="1">
        <f>AVERAGE('tb %'!P59:R59)</f>
        <v>0.12806613240740741</v>
      </c>
      <c r="E43" s="1">
        <f>'tb %'!R59-'tb %'!P59</f>
        <v>6.5386069444444445E-2</v>
      </c>
      <c r="F43" s="1">
        <f>'tb %'!P59+'tb %'!R59-2*'tb %'!Q59</f>
        <v>-2.6575002777777773E-2</v>
      </c>
      <c r="G43" s="1">
        <f>'policy tool rates'!N46</f>
        <v>0.08</v>
      </c>
      <c r="H43" s="1">
        <f>RoE!F43</f>
        <v>0.10058717827577628</v>
      </c>
      <c r="I43" s="1">
        <v>0.2610385769610914</v>
      </c>
      <c r="J43" s="1">
        <v>0.16216823849638931</v>
      </c>
      <c r="K43" s="54">
        <v>132772555.96199998</v>
      </c>
      <c r="L43" s="54">
        <v>12216382.45787942</v>
      </c>
      <c r="M43" s="1">
        <f>'Mortgage rate'!J25</f>
        <v>0.12406865440520976</v>
      </c>
      <c r="N43" s="54">
        <f>'Construction loans'!P44</f>
        <v>103723650.87366666</v>
      </c>
      <c r="O43" s="54">
        <v>272000</v>
      </c>
      <c r="P43" s="54">
        <v>412.7</v>
      </c>
      <c r="Q43" s="54">
        <v>-2152.3845894365472</v>
      </c>
      <c r="R43" s="1">
        <f>'Copper prices'!G232</f>
        <v>3.2554781249999989</v>
      </c>
    </row>
    <row r="44" spans="1:18">
      <c r="A44" s="2">
        <v>41547</v>
      </c>
      <c r="B44" s="54">
        <f>GDP!D60</f>
        <v>945311.0450897686</v>
      </c>
      <c r="C44" s="1">
        <v>0.194316345863221</v>
      </c>
      <c r="D44" s="1">
        <f>AVERAGE('tb %'!P60:R60)</f>
        <v>0.12390633333333334</v>
      </c>
      <c r="E44" s="1">
        <f>'tb %'!R60-'tb %'!P60</f>
        <v>6.0274500000000009E-2</v>
      </c>
      <c r="F44" s="1">
        <f>'tb %'!P60+'tb %'!R60-2*'tb %'!Q60</f>
        <v>-2.6478500000000016E-2</v>
      </c>
      <c r="G44" s="1">
        <f>'policy tool rates'!N47</f>
        <v>8.2500000000000004E-2</v>
      </c>
      <c r="H44" s="1">
        <f>RoE!F44</f>
        <v>8.9023360046126279E-2</v>
      </c>
      <c r="I44" s="1">
        <v>0.2629091061548342</v>
      </c>
      <c r="J44" s="1">
        <v>0.16535055294685025</v>
      </c>
      <c r="K44" s="54">
        <v>138830377.27399999</v>
      </c>
      <c r="L44" s="54">
        <v>14094096.825591441</v>
      </c>
      <c r="M44" s="1">
        <f>'Mortgage rate'!J26</f>
        <v>0.12502121250646789</v>
      </c>
      <c r="N44" s="54">
        <f>'Construction loans'!P45</f>
        <v>101610077.51366667</v>
      </c>
      <c r="O44" s="54">
        <v>272563.63636363635</v>
      </c>
      <c r="P44" s="54">
        <v>407.09333333333331</v>
      </c>
      <c r="Q44" s="54">
        <v>-2196.8915305079563</v>
      </c>
      <c r="R44" s="1">
        <f>'Copper prices'!G233</f>
        <v>3.2281796875</v>
      </c>
    </row>
    <row r="45" spans="1:18">
      <c r="A45" s="2">
        <v>41639</v>
      </c>
      <c r="B45" s="54">
        <f>GDP!D61</f>
        <v>981780.54323192115</v>
      </c>
      <c r="C45" s="1">
        <v>0.14186895944431899</v>
      </c>
      <c r="D45" s="1">
        <f>AVERAGE('tb %'!P61:R61)</f>
        <v>0.10425734251086921</v>
      </c>
      <c r="E45" s="1">
        <f>'tb %'!R61-'tb %'!P61</f>
        <v>3.0704027777777781E-2</v>
      </c>
      <c r="F45" s="1">
        <f>'tb %'!P61+'tb %'!R61-2*'tb %'!Q61</f>
        <v>-1.9346138398548623E-2</v>
      </c>
      <c r="G45" s="1">
        <f>'policy tool rates'!N48</f>
        <v>8.2500000000000004E-2</v>
      </c>
      <c r="H45" s="1">
        <f>RoE!F45</f>
        <v>9.234967497547375E-2</v>
      </c>
      <c r="I45" s="1">
        <v>0.29116334103515845</v>
      </c>
      <c r="J45" s="1">
        <v>0.16687073890042761</v>
      </c>
      <c r="K45" s="54">
        <v>143197247.102</v>
      </c>
      <c r="L45" s="54">
        <v>13305543.768025</v>
      </c>
      <c r="M45" s="1">
        <f>'Mortgage rate'!J27</f>
        <v>0.12397034396429951</v>
      </c>
      <c r="N45" s="54">
        <f>'Construction loans'!P46</f>
        <v>104397386.95433332</v>
      </c>
      <c r="O45" s="54">
        <v>273327.27272727271</v>
      </c>
      <c r="P45" s="54">
        <v>404.19333333333333</v>
      </c>
      <c r="Q45" s="54">
        <v>-2319.6419688038068</v>
      </c>
      <c r="R45" s="1">
        <f>'Copper prices'!G234</f>
        <v>3.2756703124999991</v>
      </c>
    </row>
    <row r="46" spans="1:18">
      <c r="A46" s="2">
        <v>41729</v>
      </c>
      <c r="B46" s="54">
        <f>GDP!D62</f>
        <v>557390.90729522391</v>
      </c>
      <c r="C46" s="1">
        <v>0.101400014662583</v>
      </c>
      <c r="D46" s="1">
        <f>AVERAGE('tb %'!P62:R62)</f>
        <v>9.5148203703703693E-2</v>
      </c>
      <c r="E46" s="1">
        <f>'tb %'!R62-'tb %'!P62</f>
        <v>3.0334888888888883E-2</v>
      </c>
      <c r="F46" s="1">
        <f>'tb %'!P62+'tb %'!R62-2*'tb %'!Q62</f>
        <v>-2.3018888888888811E-3</v>
      </c>
      <c r="G46" s="1">
        <f>'policy tool rates'!N49</f>
        <v>7.6249999999999998E-2</v>
      </c>
      <c r="H46" s="1">
        <f>RoE!F46</f>
        <v>9.7674156834319736E-2</v>
      </c>
      <c r="I46" s="1">
        <v>0.29560665911408207</v>
      </c>
      <c r="J46" s="1">
        <v>0.16350005136318024</v>
      </c>
      <c r="K46" s="54">
        <v>145136071.521</v>
      </c>
      <c r="L46" s="54">
        <v>8496263.1967468001</v>
      </c>
      <c r="M46" s="1">
        <f>'Mortgage rate'!J28</f>
        <v>0.12046133923970455</v>
      </c>
      <c r="N46" s="54">
        <f>'Construction loans'!P47</f>
        <v>111763322.98033333</v>
      </c>
      <c r="O46" s="54">
        <v>273404.54545454547</v>
      </c>
      <c r="P46" s="54">
        <v>411.52333333333331</v>
      </c>
      <c r="Q46" s="54">
        <v>-2307.2161608282036</v>
      </c>
      <c r="R46" s="1">
        <f>'Copper prices'!G235</f>
        <v>3.1897833333333336</v>
      </c>
    </row>
    <row r="47" spans="1:18">
      <c r="A47" s="2">
        <v>41820</v>
      </c>
      <c r="B47" s="54">
        <f>GDP!D63</f>
        <v>691821.28778468212</v>
      </c>
      <c r="C47" s="1">
        <v>0.107596638240562</v>
      </c>
      <c r="D47" s="1">
        <f>AVERAGE('tb %'!P63:R63)</f>
        <v>9.7713620370370388E-2</v>
      </c>
      <c r="E47" s="1">
        <f>'tb %'!R63-'tb %'!P63</f>
        <v>3.7037805555555567E-2</v>
      </c>
      <c r="F47" s="1">
        <f>'tb %'!P63+'tb %'!R63-2*'tb %'!Q63</f>
        <v>-4.9171388888888667E-3</v>
      </c>
      <c r="G47" s="1">
        <f>'policy tool rates'!N50</f>
        <v>7.3749999999999996E-2</v>
      </c>
      <c r="H47" s="1">
        <f>RoE!F47</f>
        <v>0.10027590381586721</v>
      </c>
      <c r="I47" s="1">
        <v>0.27492064038362574</v>
      </c>
      <c r="J47" s="1">
        <v>0.16172236375496529</v>
      </c>
      <c r="K47" s="54">
        <v>150774738.766</v>
      </c>
      <c r="L47" s="54">
        <v>15065433.222110281</v>
      </c>
      <c r="M47" s="1">
        <f>'Mortgage rate'!J29</f>
        <v>0.12496089451196156</v>
      </c>
      <c r="N47" s="54">
        <f>'Construction loans'!P48</f>
        <v>111236048.32599999</v>
      </c>
      <c r="O47" s="54">
        <v>273590.90909090912</v>
      </c>
      <c r="P47" s="54">
        <v>411.38333333333327</v>
      </c>
      <c r="Q47" s="54">
        <v>-2318.6026340747044</v>
      </c>
      <c r="R47" s="1">
        <f>'Copper prices'!G236</f>
        <v>3.0891793650793651</v>
      </c>
    </row>
    <row r="48" spans="1:18">
      <c r="A48" s="2">
        <v>41912</v>
      </c>
      <c r="B48" s="54">
        <f>GDP!D64</f>
        <v>995988.56229056756</v>
      </c>
      <c r="C48" s="1">
        <v>0.14378264957564199</v>
      </c>
      <c r="D48" s="1">
        <f>AVERAGE('tb %'!P64:R64)</f>
        <v>9.6303753086419752E-2</v>
      </c>
      <c r="E48" s="1">
        <f>'tb %'!R64-'tb %'!P64</f>
        <v>4.1561574074074084E-2</v>
      </c>
      <c r="F48" s="1">
        <f>'tb %'!P64+'tb %'!R64-2*'tb %'!Q64</f>
        <v>-6.6482407407406907E-3</v>
      </c>
      <c r="G48" s="1">
        <f>'policy tool rates'!N51</f>
        <v>6.8750000000000006E-2</v>
      </c>
      <c r="H48" s="1">
        <f>RoE!F48</f>
        <v>8.4830942226742465E-2</v>
      </c>
      <c r="I48" s="1">
        <v>0.2669410164524168</v>
      </c>
      <c r="J48" s="1">
        <v>0.16254894907035125</v>
      </c>
      <c r="K48" s="54">
        <v>154621599.079</v>
      </c>
      <c r="L48" s="54">
        <v>13993260.520315476</v>
      </c>
      <c r="M48" s="1">
        <f>'Mortgage rate'!J30</f>
        <v>0.1191524068196147</v>
      </c>
      <c r="N48" s="54">
        <f>'Construction loans'!P49</f>
        <v>113441164.07866667</v>
      </c>
      <c r="O48" s="54">
        <v>273718.18181818182</v>
      </c>
      <c r="P48" s="54">
        <v>408.28000000000003</v>
      </c>
      <c r="Q48" s="54">
        <v>-2379.20962641602</v>
      </c>
      <c r="R48" s="1">
        <f>'Copper prices'!G237</f>
        <v>3.1672546875000003</v>
      </c>
    </row>
    <row r="49" spans="1:18">
      <c r="A49" s="2">
        <v>42004</v>
      </c>
      <c r="B49" s="54">
        <f>GDP!D65</f>
        <v>1015148.0594768589</v>
      </c>
      <c r="C49" s="1">
        <v>0.155543089584081</v>
      </c>
      <c r="D49" s="1">
        <f>AVERAGE('tb %'!P65:R65)</f>
        <v>9.718191666666666E-2</v>
      </c>
      <c r="E49" s="1">
        <f>'tb %'!R65-'tb %'!P65</f>
        <v>5.0557249999999998E-2</v>
      </c>
      <c r="F49" s="1">
        <f>'tb %'!P65+'tb %'!R65-2*'tb %'!Q65</f>
        <v>-5.7932500000000275E-3</v>
      </c>
      <c r="G49" s="1">
        <f>'policy tool rates'!N52</f>
        <v>6.7500000000000004E-2</v>
      </c>
      <c r="H49" s="1">
        <f>RoE!F49</f>
        <v>4.5512099582099584E-2</v>
      </c>
      <c r="I49" s="1">
        <v>0.25119524170601021</v>
      </c>
      <c r="J49" s="1">
        <v>0.14499379224570233</v>
      </c>
      <c r="K49" s="54">
        <v>172432350.072</v>
      </c>
      <c r="L49" s="54">
        <v>15520379.368011963</v>
      </c>
      <c r="M49" s="1">
        <f>'Mortgage rate'!J31</f>
        <v>0.11986832817180997</v>
      </c>
      <c r="N49" s="54">
        <f>'Construction loans'!P50</f>
        <v>119850154.02066667</v>
      </c>
      <c r="O49" s="54">
        <v>273809.09090909088</v>
      </c>
      <c r="P49" s="54">
        <v>474.97</v>
      </c>
      <c r="Q49" s="54">
        <v>-2166.8882319279564</v>
      </c>
      <c r="R49" s="1">
        <f>'Copper prices'!G238</f>
        <v>2.9799333333333329</v>
      </c>
    </row>
    <row r="50" spans="1:18">
      <c r="A50" s="2">
        <v>42094</v>
      </c>
      <c r="B50" s="54">
        <f>GDP!D66</f>
        <v>576298.0637185605</v>
      </c>
      <c r="C50" s="1">
        <v>0.12497623003085299</v>
      </c>
      <c r="D50" s="1">
        <f>AVERAGE('tb %'!P66:R66)</f>
        <v>0.14826759126984126</v>
      </c>
      <c r="E50" s="1">
        <f>'tb %'!R66-'tb %'!P66</f>
        <v>1.5869226190476204E-2</v>
      </c>
      <c r="F50" s="1">
        <f>'tb %'!P66+'tb %'!R66-2*'tb %'!Q66</f>
        <v>2.3404773809523771E-2</v>
      </c>
      <c r="G50" s="1">
        <f>'policy tool rates'!N53</f>
        <v>9.7500000000000003E-2</v>
      </c>
      <c r="H50" s="1">
        <f>RoE!F50</f>
        <v>2.025463037827931E-2</v>
      </c>
      <c r="I50" s="1">
        <v>0.24107947348513689</v>
      </c>
      <c r="J50" s="1">
        <v>0.14998505218983668</v>
      </c>
      <c r="K50" s="54">
        <v>169431212.57999998</v>
      </c>
      <c r="L50" s="54">
        <v>8046786.8119199993</v>
      </c>
      <c r="M50" s="1">
        <f>'Mortgage rate'!J32</f>
        <v>0.12304003725716131</v>
      </c>
      <c r="N50" s="54">
        <f>'Construction loans'!P51</f>
        <v>117885187.112</v>
      </c>
      <c r="O50" s="54">
        <v>274081.818181818</v>
      </c>
      <c r="P50" s="54">
        <v>471.13</v>
      </c>
      <c r="Q50" s="54">
        <v>-1996.109443063873</v>
      </c>
      <c r="R50" s="1">
        <f>'Copper prices'!G239</f>
        <v>2.6436916666666672</v>
      </c>
    </row>
    <row r="51" spans="1:18">
      <c r="A51" s="2">
        <v>42185</v>
      </c>
      <c r="B51" s="54">
        <f>GDP!D67</f>
        <v>722954.78099273657</v>
      </c>
      <c r="C51" s="1">
        <v>6.5590771512770096E-2</v>
      </c>
      <c r="D51" s="1">
        <f>AVERAGE('tb %'!P67:R67)</f>
        <v>0.14292336215805904</v>
      </c>
      <c r="E51" s="1">
        <f>'tb %'!R67-'tb %'!P67</f>
        <v>3.3921196296296335E-2</v>
      </c>
      <c r="F51" s="1">
        <f>'tb %'!P67+'tb %'!R67-2*'tb %'!Q67</f>
        <v>-1.3115840594654649E-3</v>
      </c>
      <c r="G51" s="1">
        <f>'policy tool rates'!N54</f>
        <v>0.10125000000000001</v>
      </c>
      <c r="H51" s="1">
        <f>RoE!F51</f>
        <v>-9.2958897728411729E-3</v>
      </c>
      <c r="I51" s="1">
        <v>0.2522250381979978</v>
      </c>
      <c r="J51" s="1">
        <v>0.15421113217299715</v>
      </c>
      <c r="K51" s="54">
        <v>170842460.23952299</v>
      </c>
      <c r="L51" s="54">
        <v>11234642.244119</v>
      </c>
      <c r="M51" s="1">
        <f>'Mortgage rate'!J33</f>
        <v>0.12802418444504041</v>
      </c>
      <c r="N51" s="54">
        <f>'Construction loans'!P52</f>
        <v>116363911.09104998</v>
      </c>
      <c r="O51" s="54">
        <v>274250</v>
      </c>
      <c r="P51" s="54">
        <v>472.53</v>
      </c>
      <c r="Q51" s="54">
        <v>-1719.2849411339976</v>
      </c>
      <c r="R51" s="1">
        <f>'Copper prices'!G240</f>
        <v>2.7536476190476198</v>
      </c>
    </row>
    <row r="52" spans="1:18">
      <c r="A52" s="2">
        <v>42277</v>
      </c>
      <c r="B52" s="54">
        <f>GDP!D68</f>
        <v>1038388.5766074489</v>
      </c>
      <c r="C52" s="1">
        <v>2.4356620564936801E-2</v>
      </c>
      <c r="D52" s="1">
        <f>AVERAGE('tb %'!P68:R68)</f>
        <v>0.1409377777777778</v>
      </c>
      <c r="E52" s="1">
        <f>'tb %'!R68-'tb %'!P68</f>
        <v>4.0460666666666659E-2</v>
      </c>
      <c r="F52" s="1">
        <f>'tb %'!P68+'tb %'!R68-2*'tb %'!Q68</f>
        <v>-1.0047666666666621E-2</v>
      </c>
      <c r="G52" s="1">
        <f>'policy tool rates'!N55</f>
        <v>0.105</v>
      </c>
      <c r="H52" s="1">
        <f>RoE!F52</f>
        <v>-3.4410987826986358E-2</v>
      </c>
      <c r="I52" s="1">
        <v>0.27168549129358804</v>
      </c>
      <c r="J52" s="1">
        <v>0.156719829057784</v>
      </c>
      <c r="K52" s="54">
        <v>173884328.445995</v>
      </c>
      <c r="L52" s="54">
        <v>12619603.996999998</v>
      </c>
      <c r="M52" s="1">
        <f>'Mortgage rate'!J34</f>
        <v>0.12474740931942467</v>
      </c>
      <c r="N52" s="54">
        <f>'Construction loans'!P53</f>
        <v>118205664.87813832</v>
      </c>
      <c r="O52" s="54">
        <v>274350</v>
      </c>
      <c r="P52" s="54">
        <v>473.71</v>
      </c>
      <c r="Q52" s="54">
        <v>-1448.3446378218987</v>
      </c>
      <c r="R52" s="1">
        <f>'Copper prices'!G241</f>
        <v>2.3905703125000004</v>
      </c>
    </row>
    <row r="53" spans="1:18">
      <c r="A53" s="2">
        <v>42369</v>
      </c>
      <c r="B53" s="54">
        <f>GDP!D69</f>
        <v>1028269.9789664835</v>
      </c>
      <c r="C53" s="1">
        <v>9.1988026969183206E-3</v>
      </c>
      <c r="D53" s="1">
        <f>AVERAGE('tb %'!P69:R69)</f>
        <v>0.14382312838398936</v>
      </c>
      <c r="E53" s="1">
        <f>'tb %'!R69-'tb %'!P69</f>
        <v>4.5095274040857017E-2</v>
      </c>
      <c r="F53" s="1">
        <f>'tb %'!P69+'tb %'!R69-2*'tb %'!Q69</f>
        <v>-1.3395614848031867E-2</v>
      </c>
      <c r="G53" s="1">
        <f>'policy tool rates'!N56</f>
        <v>0.1</v>
      </c>
      <c r="H53" s="1">
        <f>RoE!F53</f>
        <v>-4.4456505789214916E-2</v>
      </c>
      <c r="I53" s="1">
        <v>0.28006142440132248</v>
      </c>
      <c r="J53" s="1">
        <v>0.16176737196717153</v>
      </c>
      <c r="K53" s="54">
        <v>178967009.637274</v>
      </c>
      <c r="L53" s="54">
        <v>12721139.879280001</v>
      </c>
      <c r="M53" s="1">
        <f>'Mortgage rate'!J35</f>
        <v>0.12493189693274333</v>
      </c>
      <c r="N53" s="54">
        <f>'Construction loans'!P54</f>
        <v>109235156.108096</v>
      </c>
      <c r="O53" s="54">
        <v>274490.90909090912</v>
      </c>
      <c r="P53" s="54">
        <v>483.75</v>
      </c>
      <c r="Q53" s="54">
        <v>-1281.4948510473682</v>
      </c>
      <c r="R53" s="1">
        <f>'Copper prices'!G242</f>
        <v>2.2043171874999996</v>
      </c>
    </row>
    <row r="54" spans="1:18">
      <c r="A54" s="2">
        <v>42460</v>
      </c>
      <c r="B54" s="54">
        <f>GDP!D70</f>
        <v>601664.20340878842</v>
      </c>
      <c r="C54" s="1">
        <v>8.9355522884056408E-3</v>
      </c>
      <c r="D54" s="1">
        <f>AVERAGE('tb %'!P70:R70)</f>
        <v>0.13961539841269843</v>
      </c>
      <c r="E54" s="1">
        <f>'tb %'!R70-'tb %'!P70</f>
        <v>5.2748400000000015E-2</v>
      </c>
      <c r="F54" s="1">
        <f>'tb %'!P70+'tb %'!R70-2*'tb %'!Q70</f>
        <v>-1.6311590476190463E-2</v>
      </c>
      <c r="G54" s="1">
        <f>'policy tool rates'!N57</f>
        <v>8.6249999999999993E-2</v>
      </c>
      <c r="H54" s="1">
        <f>RoE!F54</f>
        <v>-2.9144732418363555E-2</v>
      </c>
      <c r="I54" s="1">
        <v>0.29227529386431678</v>
      </c>
      <c r="J54" s="1">
        <v>0.17300466298408756</v>
      </c>
      <c r="K54" s="54">
        <v>177334796.89263901</v>
      </c>
      <c r="L54" s="54">
        <v>7818008.4795950009</v>
      </c>
      <c r="M54" s="1">
        <f>'Mortgage rate'!J36</f>
        <v>0.12600211356697824</v>
      </c>
      <c r="N54" s="54">
        <f>'Construction loans'!P55</f>
        <v>111346592.68880701</v>
      </c>
      <c r="O54" s="54">
        <v>274718.18181818182</v>
      </c>
      <c r="P54" s="54">
        <v>480.79</v>
      </c>
      <c r="Q54" s="54">
        <v>-1105.615363495376</v>
      </c>
      <c r="R54" s="1">
        <f>'Copper prices'!G243</f>
        <v>2.1145491803278689</v>
      </c>
    </row>
    <row r="55" spans="1:18">
      <c r="A55" s="2">
        <v>42551</v>
      </c>
      <c r="B55" s="54">
        <f>GDP!D71</f>
        <v>740539.45434080844</v>
      </c>
      <c r="C55" s="1">
        <v>1.6876706325253201E-2</v>
      </c>
      <c r="D55" s="1">
        <f>AVERAGE('tb %'!P71:R71)</f>
        <v>0.13348077923021059</v>
      </c>
      <c r="E55" s="1">
        <f>'tb %'!R71-'tb %'!P71</f>
        <v>6.4359611111111117E-2</v>
      </c>
      <c r="F55" s="1">
        <f>'tb %'!P71+'tb %'!R71-2*'tb %'!Q71</f>
        <v>-1.2939175381263601E-2</v>
      </c>
      <c r="G55" s="1">
        <f>'policy tool rates'!N58</f>
        <v>0.08</v>
      </c>
      <c r="H55" s="1">
        <f>RoE!F55</f>
        <v>-1.6489194707310188E-2</v>
      </c>
      <c r="I55" s="1">
        <v>0.28040473577466563</v>
      </c>
      <c r="J55" s="1">
        <v>0.17445995574583761</v>
      </c>
      <c r="K55" s="54">
        <v>178560785</v>
      </c>
      <c r="L55" s="54">
        <v>12523664.27672</v>
      </c>
      <c r="M55" s="1">
        <f>'Mortgage rate'!J37</f>
        <v>0.12494918207356465</v>
      </c>
      <c r="N55" s="54">
        <f>'Construction loans'!P56</f>
        <v>114217933.09319</v>
      </c>
      <c r="O55" s="54">
        <v>274890.90909090912</v>
      </c>
      <c r="P55" s="54">
        <v>478.88</v>
      </c>
      <c r="Q55" s="54">
        <v>-1055.0083633568718</v>
      </c>
      <c r="R55" s="1">
        <f>'Copper prices'!G244</f>
        <v>2.1299593750000003</v>
      </c>
    </row>
    <row r="56" spans="1:18">
      <c r="A56" s="2">
        <v>42643</v>
      </c>
      <c r="B56" s="54">
        <f>GDP!D72</f>
        <v>1012200.0878027271</v>
      </c>
      <c r="C56" s="1">
        <v>3.3295167216504398E-2</v>
      </c>
      <c r="D56" s="1">
        <f>AVERAGE('tb %'!P72:R72)</f>
        <v>0.11033870277777776</v>
      </c>
      <c r="E56" s="1">
        <f>'tb %'!R72-'tb %'!P72</f>
        <v>5.206562499999999E-2</v>
      </c>
      <c r="F56" s="1">
        <f>'tb %'!P72+'tb %'!R72-2*'tb %'!Q72</f>
        <v>-2.1180916666666827E-3</v>
      </c>
      <c r="G56" s="1">
        <f>'policy tool rates'!N59</f>
        <v>7.3749999999999996E-2</v>
      </c>
      <c r="H56" s="1">
        <f>RoE!F56</f>
        <v>4.412192900197656E-4</v>
      </c>
      <c r="I56" s="1">
        <v>0.29913900098307988</v>
      </c>
      <c r="J56" s="1">
        <v>0.18386364381929626</v>
      </c>
      <c r="K56" s="54">
        <v>181094144</v>
      </c>
      <c r="L56" s="54">
        <v>14837691.796534998</v>
      </c>
      <c r="M56" s="1">
        <f>'Mortgage rate'!J38</f>
        <v>0.11822907898239078</v>
      </c>
      <c r="N56" s="54">
        <f>'Construction loans'!P57</f>
        <v>113748983.66666667</v>
      </c>
      <c r="O56" s="54">
        <v>274968.18181818182</v>
      </c>
      <c r="P56" s="54">
        <v>474.46</v>
      </c>
      <c r="Q56" s="54">
        <v>-957.08531897729085</v>
      </c>
      <c r="R56" s="1">
        <f>'Copper prices'!G245</f>
        <v>2.1639515624999994</v>
      </c>
    </row>
    <row r="57" spans="1:18">
      <c r="A57" s="2">
        <v>42735</v>
      </c>
      <c r="B57" s="54">
        <f>GDP!D73</f>
        <v>1018100.9009395519</v>
      </c>
      <c r="C57" s="1">
        <v>5.5024220720695599E-2</v>
      </c>
      <c r="D57" s="1">
        <f>AVERAGE('tb %'!P73:R73)</f>
        <v>0.10026045067607359</v>
      </c>
      <c r="E57" s="1">
        <f>'tb %'!R73-'tb %'!P73</f>
        <v>5.66493146384459E-2</v>
      </c>
      <c r="F57" s="1">
        <f>'tb %'!P73+'tb %'!R73-2*'tb %'!Q73</f>
        <v>-1.3346479717792625E-3</v>
      </c>
      <c r="G57" s="1">
        <f>'policy tool rates'!N60</f>
        <v>6.6250000000000003E-2</v>
      </c>
      <c r="H57" s="1">
        <f>RoE!F57</f>
        <v>5.7258056325245416E-2</v>
      </c>
      <c r="I57" s="1">
        <v>0.32455619688592269</v>
      </c>
      <c r="J57" s="1">
        <v>0.19954084437477859</v>
      </c>
      <c r="K57" s="54">
        <v>183688781</v>
      </c>
      <c r="L57" s="54">
        <v>14635211.577960001</v>
      </c>
      <c r="M57" s="1">
        <f>'Mortgage rate'!J39</f>
        <v>0.11801157859208657</v>
      </c>
      <c r="N57" s="54">
        <f>'Construction loans'!P58</f>
        <v>107006178.33333333</v>
      </c>
      <c r="O57" s="54">
        <v>275218.18181818182</v>
      </c>
      <c r="P57" s="54">
        <v>483.94</v>
      </c>
      <c r="Q57" s="54">
        <v>-905.84556190366959</v>
      </c>
      <c r="R57" s="1">
        <f>'Copper prices'!G246</f>
        <v>2.3944730158730159</v>
      </c>
    </row>
    <row r="58" spans="1:18">
      <c r="A58" s="2">
        <v>42825</v>
      </c>
      <c r="B58" s="54">
        <f>GDP!D74</f>
        <v>645159.50369605841</v>
      </c>
      <c r="C58" s="1">
        <v>6.9169390163354605E-2</v>
      </c>
      <c r="D58" s="1">
        <f>AVERAGE('tb %'!P74:R74)</f>
        <v>9.8180370370370362E-2</v>
      </c>
      <c r="E58" s="1">
        <f>'tb %'!R74-'tb %'!P74</f>
        <v>5.5759055555555548E-2</v>
      </c>
      <c r="F58" s="1">
        <f>'tb %'!P74+'tb %'!R74-2*'tb %'!Q74</f>
        <v>-4.2983888888888655E-3</v>
      </c>
      <c r="G58" s="1">
        <f>'policy tool rates'!N61</f>
        <v>6.25E-2</v>
      </c>
      <c r="H58" s="1">
        <f>RoE!F58</f>
        <v>6.3766308862242729E-2</v>
      </c>
      <c r="I58" s="1">
        <v>0.32031851908459147</v>
      </c>
      <c r="J58" s="1">
        <v>0.20023263536901389</v>
      </c>
      <c r="K58" s="54">
        <v>182395275</v>
      </c>
      <c r="L58" s="54">
        <v>11408549.35132</v>
      </c>
      <c r="M58" s="1">
        <f>'Mortgage rate'!J40</f>
        <v>0.11747842326812695</v>
      </c>
      <c r="N58" s="54">
        <f>'Construction loans'!P59</f>
        <v>111333026.395</v>
      </c>
      <c r="O58" s="54">
        <v>270050</v>
      </c>
      <c r="P58" s="54">
        <v>483.45</v>
      </c>
      <c r="Q58" s="54">
        <v>-911.91169033148446</v>
      </c>
      <c r="R58" s="1">
        <f>'Copper prices'!G247</f>
        <v>2.6578032258064521</v>
      </c>
    </row>
    <row r="59" spans="1:18">
      <c r="A59" s="2">
        <v>42916</v>
      </c>
      <c r="B59" s="54">
        <f>GDP!D75</f>
        <v>790112.97079817101</v>
      </c>
      <c r="C59" s="1">
        <v>8.4757561428617803E-2</v>
      </c>
      <c r="D59" s="1">
        <f>AVERAGE('tb %'!P75:R75)</f>
        <v>9.1232046828437621E-2</v>
      </c>
      <c r="E59" s="1">
        <f>'tb %'!R75-'tb %'!P75</f>
        <v>5.6666333333333332E-2</v>
      </c>
      <c r="F59" s="1">
        <f>'tb %'!P75+'tb %'!R75-2*'tb %'!Q75</f>
        <v>9.4487190293741918E-3</v>
      </c>
      <c r="G59" s="1">
        <f>'policy tool rates'!N62</f>
        <v>6.25E-2</v>
      </c>
      <c r="H59" s="1">
        <f>RoE!F59</f>
        <v>7.5102161701220235E-2</v>
      </c>
      <c r="I59" s="1">
        <v>0.32189364003393645</v>
      </c>
      <c r="J59" s="1">
        <v>0.19478809673600697</v>
      </c>
      <c r="K59" s="54">
        <v>186205632</v>
      </c>
      <c r="L59" s="54">
        <v>17221028.824435003</v>
      </c>
      <c r="M59" s="1">
        <f>'Mortgage rate'!J41</f>
        <v>0.11249156601934385</v>
      </c>
      <c r="N59" s="54">
        <f>'Construction loans'!P60</f>
        <v>119477670.84420002</v>
      </c>
      <c r="O59" s="54">
        <v>261618.18181818182</v>
      </c>
      <c r="P59" s="54">
        <v>480.47</v>
      </c>
      <c r="Q59" s="54">
        <v>-945.63896037079519</v>
      </c>
      <c r="R59" s="1">
        <f>'Copper prices'!G248</f>
        <v>2.5828269841269833</v>
      </c>
    </row>
    <row r="60" spans="1:18">
      <c r="A60" s="2">
        <v>43008</v>
      </c>
      <c r="B60" s="54">
        <f>GDP!D76</f>
        <v>1057220.9669880925</v>
      </c>
      <c r="C60" s="1">
        <v>0.106168184073912</v>
      </c>
      <c r="D60" s="1">
        <f>AVERAGE('tb %'!P76:R76)</f>
        <v>8.1949204929055289E-2</v>
      </c>
      <c r="E60" s="1">
        <f>'tb %'!R76-'tb %'!P76</f>
        <v>3.8914555555555556E-2</v>
      </c>
      <c r="F60" s="1">
        <f>'tb %'!P76+'tb %'!R76-2*'tb %'!Q76</f>
        <v>-6.6448962409983714E-3</v>
      </c>
      <c r="G60" s="1">
        <f>'policy tool rates'!N63</f>
        <v>6.25E-2</v>
      </c>
      <c r="H60" s="1">
        <f>RoE!F60</f>
        <v>8.2335317679168074E-2</v>
      </c>
      <c r="I60" s="1">
        <v>0.32217331786358872</v>
      </c>
      <c r="J60" s="1">
        <v>0.19214307432790206</v>
      </c>
      <c r="K60" s="54">
        <v>191267483</v>
      </c>
      <c r="L60" s="54">
        <v>18534152.931174997</v>
      </c>
      <c r="M60" s="1">
        <f>'Mortgage rate'!J42</f>
        <v>0.11210796615125208</v>
      </c>
      <c r="N60" s="54">
        <f>'Construction loans'!P61</f>
        <v>125109872.84133333</v>
      </c>
      <c r="O60" s="54">
        <v>262190.90909090912</v>
      </c>
      <c r="P60" s="54">
        <v>478.41</v>
      </c>
      <c r="Q60" s="54">
        <v>-998.47420905621937</v>
      </c>
      <c r="R60" s="1">
        <f>'Copper prices'!G249</f>
        <v>2.9029380952380959</v>
      </c>
    </row>
    <row r="61" spans="1:18">
      <c r="A61" s="2">
        <v>43100</v>
      </c>
      <c r="B61" s="54">
        <f>GDP!D77</f>
        <v>1133913.2784622076</v>
      </c>
      <c r="C61" s="1">
        <v>0.136758722799428</v>
      </c>
      <c r="D61" s="1">
        <f>AVERAGE('tb %'!P77:R77)</f>
        <v>7.9118580568720384E-2</v>
      </c>
      <c r="E61" s="1">
        <f>'tb %'!R77-'tb %'!P77</f>
        <v>3.9655833333333335E-2</v>
      </c>
      <c r="F61" s="1">
        <f>'tb %'!P77+'tb %'!R77-2*'tb %'!Q77</f>
        <v>3.150165876777411E-4</v>
      </c>
      <c r="G61" s="1">
        <f>'policy tool rates'!N64</f>
        <v>6.25E-2</v>
      </c>
      <c r="H61" s="1">
        <f>RoE!F61</f>
        <v>6.0574400527880906E-2</v>
      </c>
      <c r="I61" s="1">
        <v>0.32145788246843376</v>
      </c>
      <c r="J61" s="1">
        <v>0.18677588273800774</v>
      </c>
      <c r="K61" s="54">
        <v>209037192</v>
      </c>
      <c r="L61" s="54">
        <v>35913316.171320006</v>
      </c>
      <c r="M61" s="1">
        <f>'Mortgage rate'!J43</f>
        <v>0.10644724669427845</v>
      </c>
      <c r="N61" s="54">
        <f>'Construction loans'!P62</f>
        <v>142000733.54266667</v>
      </c>
      <c r="O61" s="54">
        <v>267181.81818181818</v>
      </c>
      <c r="P61" s="54">
        <v>484.14</v>
      </c>
      <c r="Q61" s="54">
        <v>-1243.550763880824</v>
      </c>
      <c r="R61" s="1">
        <f>'Copper prices'!G250</f>
        <v>3.105068253968255</v>
      </c>
    </row>
    <row r="62" spans="1:18">
      <c r="A62" s="2">
        <v>43190</v>
      </c>
      <c r="B62" s="54">
        <f>GDP!D78</f>
        <v>709158.29571383446</v>
      </c>
      <c r="C62" s="1">
        <v>0.160800978157534</v>
      </c>
      <c r="D62" s="1">
        <f>AVERAGE('tb %'!P78:R78)</f>
        <v>8.6505611111111103E-2</v>
      </c>
      <c r="E62" s="1">
        <f>'tb %'!R78-'tb %'!P78</f>
        <v>6.2441166666666666E-2</v>
      </c>
      <c r="F62" s="1">
        <f>'tb %'!P78+'tb %'!R78-2*'tb %'!Q78</f>
        <v>3.0988833333333354E-2</v>
      </c>
      <c r="G62" s="1">
        <f>'policy tool rates'!N65</f>
        <v>6.25E-2</v>
      </c>
      <c r="H62" s="1">
        <f>RoE!F62</f>
        <v>6.4386394122461887E-2</v>
      </c>
      <c r="I62" s="1">
        <v>0.30784219409004804</v>
      </c>
      <c r="J62" s="1">
        <v>0.18692900187348246</v>
      </c>
      <c r="K62" s="54">
        <v>199533571.463</v>
      </c>
      <c r="L62" s="54">
        <v>12412884.824062001</v>
      </c>
      <c r="M62" s="1">
        <f>'Mortgage rate'!J44</f>
        <v>0.10601663189674337</v>
      </c>
      <c r="N62" s="54">
        <f>'Construction loans'!P63</f>
        <v>145273573.03366667</v>
      </c>
      <c r="O62" s="54">
        <v>277177.27272727271</v>
      </c>
      <c r="P62" s="54">
        <v>480.06</v>
      </c>
      <c r="Q62" s="54">
        <v>-1402.8828042308733</v>
      </c>
      <c r="R62" s="1">
        <f>'Copper prices'!G251</f>
        <v>3.1569885245901634</v>
      </c>
    </row>
    <row r="63" spans="1:18">
      <c r="A63" s="2">
        <v>43281</v>
      </c>
      <c r="B63" s="54">
        <f>GDP!D79</f>
        <v>848382.5442807572</v>
      </c>
      <c r="C63" s="1">
        <v>0.17644548910173899</v>
      </c>
      <c r="D63" s="1">
        <f>AVERAGE('tb %'!P79:R79)</f>
        <v>7.9334777777777768E-2</v>
      </c>
      <c r="E63" s="1">
        <f>'tb %'!R79-'tb %'!P79</f>
        <v>3.1720666666666668E-2</v>
      </c>
      <c r="F63" s="1">
        <f>'tb %'!P79+'tb %'!R79-2*'tb %'!Q79</f>
        <v>-1.2924666666666668E-2</v>
      </c>
      <c r="G63" s="1">
        <f>'policy tool rates'!N66</f>
        <v>6.25E-2</v>
      </c>
      <c r="H63" s="1">
        <f>RoE!F63</f>
        <v>6.7184031785082435E-2</v>
      </c>
      <c r="I63" s="1">
        <v>0.27037197228065768</v>
      </c>
      <c r="J63" s="1">
        <v>0.18136237980205533</v>
      </c>
      <c r="K63" s="54">
        <v>208945996.21300077</v>
      </c>
      <c r="L63" s="54">
        <v>20404625.824954998</v>
      </c>
      <c r="M63" s="1">
        <f>'Mortgage rate'!J45</f>
        <v>0.10741846111628719</v>
      </c>
      <c r="N63" s="54">
        <f>'Construction loans'!P64</f>
        <v>151308787.99966666</v>
      </c>
      <c r="O63" s="54">
        <v>283827.27272727271</v>
      </c>
      <c r="P63" s="54">
        <v>482.24</v>
      </c>
      <c r="Q63" s="54">
        <v>-1571.4801597299775</v>
      </c>
      <c r="R63" s="1">
        <f>'Copper prices'!G252</f>
        <v>3.0975421875000007</v>
      </c>
    </row>
    <row r="64" spans="1:18">
      <c r="A64" s="2">
        <v>43373</v>
      </c>
      <c r="B64" s="54">
        <f>GDP!D80</f>
        <v>1086483.8072694307</v>
      </c>
      <c r="C64" s="1">
        <v>0.18322839027048399</v>
      </c>
      <c r="D64" s="1">
        <f>AVERAGE('tb %'!P80:R80)</f>
        <v>8.6003462962962962E-2</v>
      </c>
      <c r="E64" s="1">
        <f>'tb %'!R80-'tb %'!P80</f>
        <v>5.1867611111111107E-2</v>
      </c>
      <c r="F64" s="1">
        <f>'tb %'!P80+'tb %'!R80-2*'tb %'!Q80</f>
        <v>1.083438888888888E-2</v>
      </c>
      <c r="G64" s="1">
        <f>'policy tool rates'!N67</f>
        <v>6.25E-2</v>
      </c>
      <c r="H64" s="1">
        <f>RoE!F64</f>
        <v>7.0496927152521774E-2</v>
      </c>
      <c r="I64" s="1">
        <v>0.28138659420545226</v>
      </c>
      <c r="J64" s="1">
        <v>0.17879106425659155</v>
      </c>
      <c r="K64" s="54">
        <v>231743910.014</v>
      </c>
      <c r="L64" s="54">
        <v>29169114.914639998</v>
      </c>
      <c r="M64" s="1">
        <f>'Mortgage rate'!J46</f>
        <v>0.10581201233985253</v>
      </c>
      <c r="N64" s="54">
        <f>'Construction loans'!P65</f>
        <v>161331718.05000001</v>
      </c>
      <c r="O64" s="54">
        <v>289968.18181818182</v>
      </c>
      <c r="P64" s="54">
        <v>482.71</v>
      </c>
      <c r="Q64" s="54">
        <v>-1739.6843977124258</v>
      </c>
      <c r="R64" s="1">
        <f>'Copper prices'!G253</f>
        <v>2.7379666666666669</v>
      </c>
    </row>
    <row r="65" spans="1:18">
      <c r="A65" s="2">
        <v>43465</v>
      </c>
      <c r="B65" s="54">
        <f>GDP!D81</f>
        <v>1171045.5147681329</v>
      </c>
      <c r="C65" s="1">
        <v>0.17910541209873199</v>
      </c>
      <c r="D65" s="1">
        <f>AVERAGE('tb %'!P81:R81)</f>
        <v>7.8652546296296297E-2</v>
      </c>
      <c r="E65" s="1">
        <f>'tb %'!R81-'tb %'!P81</f>
        <v>3.0781361111111107E-2</v>
      </c>
      <c r="F65" s="1">
        <f>'tb %'!P81+'tb %'!R81-2*'tb %'!Q81</f>
        <v>-9.4093611111110975E-3</v>
      </c>
      <c r="G65" s="1">
        <f>'policy tool rates'!N68</f>
        <v>6.25E-2</v>
      </c>
      <c r="H65" s="1">
        <f>RoE!F65</f>
        <v>5.3079388727209659E-2</v>
      </c>
      <c r="I65" s="1">
        <v>0.27276251170034743</v>
      </c>
      <c r="J65" s="1">
        <v>0.17658951170764414</v>
      </c>
      <c r="K65" s="54">
        <v>256087082.00099999</v>
      </c>
      <c r="L65" s="54">
        <v>38954179.140953004</v>
      </c>
      <c r="M65" s="1">
        <f>'Mortgage rate'!J47</f>
        <v>0.10355423917781666</v>
      </c>
      <c r="N65" s="54">
        <f>'Construction loans'!P66</f>
        <v>173196211.69766665</v>
      </c>
      <c r="O65" s="54">
        <v>295559.09090909088</v>
      </c>
      <c r="P65" s="54">
        <v>483.75</v>
      </c>
      <c r="Q65" s="54">
        <v>-1752.7423821650621</v>
      </c>
      <c r="R65" s="1">
        <f>'Copper prices'!G254</f>
        <v>2.748275</v>
      </c>
    </row>
    <row r="66" spans="1:18">
      <c r="A66" s="2">
        <v>43555</v>
      </c>
      <c r="B66" s="54">
        <f>GDP!D82</f>
        <v>763088.22561306565</v>
      </c>
      <c r="C66" s="1">
        <v>0.18742698648047701</v>
      </c>
      <c r="D66" s="1">
        <f>AVERAGE('tb %'!P82:R82)</f>
        <v>8.0802592592592593E-2</v>
      </c>
      <c r="E66" s="1">
        <f>'tb %'!R82-'tb %'!P82</f>
        <v>3.5843222222222214E-2</v>
      </c>
      <c r="F66" s="1">
        <f>'tb %'!P82+'tb %'!R82-2*'tb %'!Q82</f>
        <v>-7.8372222222222454E-3</v>
      </c>
      <c r="G66" s="1">
        <f>'policy tool rates'!N69</f>
        <v>0.06</v>
      </c>
      <c r="H66" s="1">
        <f>RoE!F66</f>
        <v>5.7026139658703241E-2</v>
      </c>
      <c r="I66" s="1">
        <v>0.27228117817518704</v>
      </c>
      <c r="J66" s="1">
        <v>0.17926397447606604</v>
      </c>
      <c r="K66" s="54">
        <v>271110177.71500003</v>
      </c>
      <c r="L66" s="54">
        <v>29224681.442110002</v>
      </c>
      <c r="M66" s="1">
        <f>'Mortgage rate'!J48</f>
        <v>0.10777433212153398</v>
      </c>
      <c r="N66" s="54">
        <f>'Construction loans'!P67</f>
        <v>178417299.20699999</v>
      </c>
      <c r="O66" s="54">
        <v>303909.09090909088</v>
      </c>
      <c r="P66" s="54">
        <v>486.44</v>
      </c>
      <c r="Q66" s="54">
        <v>-1763.538431494992</v>
      </c>
      <c r="R66" s="1">
        <f>'Copper prices'!G255</f>
        <v>2.807057377049182</v>
      </c>
    </row>
    <row r="67" spans="1:18">
      <c r="A67" s="2">
        <v>43646</v>
      </c>
      <c r="B67" s="54">
        <f>GDP!D83</f>
        <v>908183.48451621027</v>
      </c>
      <c r="C67" s="1">
        <v>0.200033959112249</v>
      </c>
      <c r="D67" s="1">
        <f>AVERAGE('tb %'!P83:R83)</f>
        <v>8.4757581450094155E-2</v>
      </c>
      <c r="E67" s="1">
        <f>'tb %'!R83-'tb %'!P83</f>
        <v>5.6965255649717515E-2</v>
      </c>
      <c r="F67" s="1">
        <f>'tb %'!P83+'tb %'!R83-2*'tb %'!Q83</f>
        <v>1.9210744350282444E-2</v>
      </c>
      <c r="G67" s="1">
        <f>'policy tool rates'!N70</f>
        <v>5.8749999999999997E-2</v>
      </c>
      <c r="H67" s="1">
        <f>RoE!F67</f>
        <v>5.4340693020132905E-2</v>
      </c>
      <c r="I67" s="1">
        <v>0.27153536378165155</v>
      </c>
      <c r="J67" s="1">
        <v>0.17432985487126593</v>
      </c>
      <c r="K67" s="54">
        <v>296074782.01599902</v>
      </c>
      <c r="L67" s="54">
        <v>43355211.698354997</v>
      </c>
      <c r="M67" s="1">
        <f>'Mortgage rate'!J49</f>
        <v>0.10306841242845609</v>
      </c>
      <c r="N67" s="54">
        <f>'Construction loans'!P68</f>
        <v>181057069.34566674</v>
      </c>
      <c r="O67" s="54">
        <v>311600</v>
      </c>
      <c r="P67" s="54">
        <v>477.1</v>
      </c>
      <c r="Q67" s="54">
        <v>-1695.9819972023397</v>
      </c>
      <c r="R67" s="1">
        <f>'Copper prices'!G256</f>
        <v>2.7762047619047614</v>
      </c>
    </row>
    <row r="68" spans="1:18">
      <c r="A68" s="2">
        <v>43738</v>
      </c>
      <c r="B68" s="54">
        <f>GDP!D84</f>
        <v>1175036.0164806037</v>
      </c>
      <c r="C68" s="1">
        <v>0.207857618729621</v>
      </c>
      <c r="D68" s="1">
        <f>AVERAGE('tb %'!P84:R84)</f>
        <v>7.7152694444444447E-2</v>
      </c>
      <c r="E68" s="1">
        <f>'tb %'!R84-'tb %'!P84</f>
        <v>3.7660916666666648E-2</v>
      </c>
      <c r="F68" s="1">
        <f>'tb %'!P84+'tb %'!R84-2*'tb %'!Q84</f>
        <v>4.595083333333333E-3</v>
      </c>
      <c r="G68" s="1">
        <f>'policy tool rates'!N71</f>
        <v>5.7500000000000002E-2</v>
      </c>
      <c r="H68" s="1">
        <f>RoE!F68</f>
        <v>6.1469517991040445E-2</v>
      </c>
      <c r="I68" s="1">
        <v>0.27574580276846666</v>
      </c>
      <c r="J68" s="1">
        <v>0.17487890009000687</v>
      </c>
      <c r="K68" s="54">
        <v>322819590.31300002</v>
      </c>
      <c r="L68" s="54">
        <v>40581653.129009999</v>
      </c>
      <c r="M68" s="1">
        <f>'Mortgage rate'!J50</f>
        <v>0.10311627208180935</v>
      </c>
      <c r="N68" s="54">
        <f>'Construction loans'!P69</f>
        <v>189624993.01200005</v>
      </c>
      <c r="O68" s="54">
        <v>321381.81818181818</v>
      </c>
      <c r="P68" s="54">
        <v>475.97</v>
      </c>
      <c r="Q68" s="54">
        <v>-1627.1112787348266</v>
      </c>
      <c r="R68" s="1">
        <f>'Copper prices'!G257</f>
        <v>2.6287718749999995</v>
      </c>
    </row>
    <row r="69" spans="1:18">
      <c r="A69" s="2">
        <v>43830</v>
      </c>
      <c r="B69" s="54">
        <f>GDP!D85</f>
        <v>1259863.2667899788</v>
      </c>
      <c r="C69" s="1">
        <v>0.21072923784366801</v>
      </c>
      <c r="D69" s="1">
        <f>AVERAGE('tb %'!P85:R85)</f>
        <v>7.7999333333333337E-2</v>
      </c>
      <c r="E69" s="1">
        <f>'tb %'!R85-'tb %'!P85</f>
        <v>5.2302500000000009E-2</v>
      </c>
      <c r="F69" s="1">
        <f>'tb %'!P85+'tb %'!R85-2*'tb %'!Q85</f>
        <v>2.9222500000000012E-2</v>
      </c>
      <c r="G69" s="1">
        <f>'policy tool rates'!N72</f>
        <v>5.6250000000000001E-2</v>
      </c>
      <c r="H69" s="1">
        <f>RoE!F69</f>
        <v>7.9374438002283998E-2</v>
      </c>
      <c r="I69" s="1">
        <v>0.27074507272794263</v>
      </c>
      <c r="J69" s="1">
        <v>0.17578617828959001</v>
      </c>
      <c r="K69" s="54">
        <v>360543385.98299998</v>
      </c>
      <c r="L69" s="54">
        <v>51958678.578140005</v>
      </c>
      <c r="M69" s="1">
        <f>'Mortgage rate'!J51</f>
        <v>0.10420943748748077</v>
      </c>
      <c r="N69" s="54">
        <f>'Construction loans'!P70</f>
        <v>196127467.39099994</v>
      </c>
      <c r="O69" s="54">
        <v>341450</v>
      </c>
      <c r="P69" s="54">
        <v>479.7</v>
      </c>
      <c r="Q69" s="54">
        <v>-1808.9837588633482</v>
      </c>
      <c r="R69" s="1">
        <f>'Copper prices'!G258</f>
        <v>2.6802046875000012</v>
      </c>
    </row>
    <row r="70" spans="1:18">
      <c r="A70" s="2">
        <v>43921</v>
      </c>
      <c r="B70" s="54">
        <f>GDP!D86</f>
        <v>795320.43263324944</v>
      </c>
      <c r="C70" s="1">
        <v>0.181418533506221</v>
      </c>
      <c r="D70" s="1">
        <f>AVERAGE('tb %'!P86:R86)</f>
        <v>6.7161806666666671E-2</v>
      </c>
      <c r="E70" s="1">
        <f>'tb %'!R86-'tb %'!P86</f>
        <v>2.5142080000000004E-2</v>
      </c>
      <c r="F70" s="1">
        <f>'tb %'!P86+'tb %'!R86-2*'tb %'!Q86</f>
        <v>7.6689199999999957E-3</v>
      </c>
      <c r="G70" s="1">
        <f>'policy tool rates'!N73</f>
        <v>5.5E-2</v>
      </c>
      <c r="H70" s="1">
        <f>RoE!F70</f>
        <v>8.0086060138007481E-2</v>
      </c>
      <c r="I70" s="1">
        <v>0.27032341130308896</v>
      </c>
      <c r="J70" s="1">
        <v>0.16941979751614561</v>
      </c>
      <c r="K70" s="54">
        <v>396099118.01800096</v>
      </c>
      <c r="L70" s="54">
        <v>43084209.652975</v>
      </c>
      <c r="M70" s="1">
        <f>'Mortgage rate'!J52</f>
        <v>0.10171823035957347</v>
      </c>
      <c r="N70" s="54">
        <f>'Construction loans'!P71</f>
        <v>211525284.66633332</v>
      </c>
      <c r="O70" s="54">
        <v>349190.90909090912</v>
      </c>
      <c r="P70" s="54">
        <v>504.47</v>
      </c>
      <c r="Q70" s="54">
        <v>-1778.3871425924422</v>
      </c>
      <c r="R70" s="1">
        <f>'Copper prices'!G259</f>
        <v>2.5549741935483876</v>
      </c>
    </row>
    <row r="71" spans="1:18">
      <c r="A71" s="2">
        <v>44012</v>
      </c>
      <c r="B71" s="54">
        <f>GDP!D87</f>
        <v>784214.8491972842</v>
      </c>
      <c r="C71" s="1">
        <v>0.12649686908177701</v>
      </c>
      <c r="D71" s="1">
        <f>AVERAGE('tb %'!P87:R87)</f>
        <v>7.3258010424187378E-2</v>
      </c>
      <c r="E71" s="1">
        <f>'tb %'!R87-'tb %'!P87</f>
        <v>3.6523142332443213E-2</v>
      </c>
      <c r="F71" s="1">
        <f>'tb %'!P87+'tb %'!R87-2*'tb %'!Q87</f>
        <v>1.299282052876044E-2</v>
      </c>
      <c r="G71" s="1">
        <f>'policy tool rates'!N74</f>
        <v>5.1249999999999997E-2</v>
      </c>
      <c r="H71" s="1">
        <f>RoE!F71</f>
        <v>9.2115139438403285E-2</v>
      </c>
      <c r="I71" s="1">
        <v>0.26899333739955628</v>
      </c>
      <c r="J71" s="1">
        <v>0.17355664137158391</v>
      </c>
      <c r="K71" s="54">
        <v>405705053.54200006</v>
      </c>
      <c r="L71" s="54">
        <v>26112951.157091003</v>
      </c>
      <c r="M71" s="1">
        <f>'Mortgage rate'!J53</f>
        <v>0.10410070331561887</v>
      </c>
      <c r="N71" s="54">
        <f>'Construction loans'!P72</f>
        <v>231089915.70366666</v>
      </c>
      <c r="O71" s="54">
        <v>342109.09090909088</v>
      </c>
      <c r="P71" s="54">
        <v>482.36</v>
      </c>
      <c r="Q71" s="54">
        <v>-1707.5357465797297</v>
      </c>
      <c r="R71" s="1">
        <f>'Copper prices'!G260</f>
        <v>2.4250857142857138</v>
      </c>
    </row>
    <row r="72" spans="1:18">
      <c r="A72" s="2">
        <v>44104</v>
      </c>
      <c r="B72" s="54">
        <f>GDP!D88</f>
        <v>1072123.1410417086</v>
      </c>
      <c r="C72" s="1">
        <v>7.7441034922389296E-2</v>
      </c>
      <c r="D72" s="1">
        <f>AVERAGE('tb %'!P88:R88)</f>
        <v>6.7194446330014646E-2</v>
      </c>
      <c r="E72" s="1">
        <f>'tb %'!R88-'tb %'!P88</f>
        <v>2.3595558569307527E-2</v>
      </c>
      <c r="F72" s="1">
        <f>'tb %'!P88+'tb %'!R88-2*'tb %'!Q88</f>
        <v>1.5334549900439254E-3</v>
      </c>
      <c r="G72" s="1">
        <f>'policy tool rates'!N75</f>
        <v>4.4999999999999998E-2</v>
      </c>
      <c r="H72" s="1">
        <f>RoE!F72</f>
        <v>8.6052026305604781E-2</v>
      </c>
      <c r="I72" s="1">
        <v>0.27682079976351776</v>
      </c>
      <c r="J72" s="1">
        <v>0.17120876543466973</v>
      </c>
      <c r="K72" s="54">
        <v>432572084.543001</v>
      </c>
      <c r="L72" s="54">
        <v>47300118.073079996</v>
      </c>
      <c r="M72" s="1">
        <f>'Mortgage rate'!J54</f>
        <v>0.10443773086289126</v>
      </c>
      <c r="N72" s="54">
        <f>'Construction loans'!P73</f>
        <v>239412705.51566669</v>
      </c>
      <c r="O72" s="54">
        <v>332027.27272727271</v>
      </c>
      <c r="P72" s="54">
        <v>488.41</v>
      </c>
      <c r="Q72" s="54">
        <v>-1720.6040472050202</v>
      </c>
      <c r="R72" s="1">
        <f>'Copper prices'!G261</f>
        <v>2.9427546875000012</v>
      </c>
    </row>
    <row r="73" spans="1:18">
      <c r="A73" s="2">
        <v>44196</v>
      </c>
      <c r="B73" s="54">
        <f>GDP!D89</f>
        <v>1150682.5955860275</v>
      </c>
      <c r="C73" s="1">
        <v>3.3241169216556198E-2</v>
      </c>
      <c r="D73" s="1">
        <f>AVERAGE('tb %'!P89:R89)</f>
        <v>7.4604286489332206E-2</v>
      </c>
      <c r="E73" s="1">
        <f>'tb %'!R89-'tb %'!P89</f>
        <v>3.1035762217046264E-2</v>
      </c>
      <c r="F73" s="1">
        <f>'tb %'!P89+'tb %'!R89-2*'tb %'!Q89</f>
        <v>3.3376280006542081E-3</v>
      </c>
      <c r="G73" s="1">
        <f>'policy tool rates'!N76</f>
        <v>4.2500000000000003E-2</v>
      </c>
      <c r="H73" s="1">
        <f>RoE!F73</f>
        <v>7.2034031437200455E-2</v>
      </c>
      <c r="I73" s="1">
        <v>0.25620969799528803</v>
      </c>
      <c r="J73" s="1">
        <v>0.16933843001688959</v>
      </c>
      <c r="K73" s="54">
        <v>480736904.76499999</v>
      </c>
      <c r="L73" s="54">
        <v>44416376.178819999</v>
      </c>
      <c r="M73" s="1">
        <f>'Mortgage rate'!J55</f>
        <v>0.10243611764099722</v>
      </c>
      <c r="N73" s="54">
        <f>'Construction loans'!P74</f>
        <v>274633058.97066671</v>
      </c>
      <c r="O73" s="54">
        <v>328104.54545454547</v>
      </c>
      <c r="P73" s="54">
        <v>522.59</v>
      </c>
      <c r="Q73" s="54">
        <v>-1264.1062130236471</v>
      </c>
      <c r="R73" s="1">
        <f>'Copper prices'!G262</f>
        <v>3.2687531250000008</v>
      </c>
    </row>
    <row r="74" spans="1:18">
      <c r="A74" s="2">
        <v>44286</v>
      </c>
      <c r="B74" s="54">
        <f>GDP!D90</f>
        <v>782063.96260531142</v>
      </c>
      <c r="C74" s="1">
        <v>2.0649976307997999E-2</v>
      </c>
      <c r="D74" s="1">
        <f>AVERAGE('tb %'!P90:R90)</f>
        <v>8.1484242036272372E-2</v>
      </c>
      <c r="E74" s="1">
        <f>'tb %'!R90-'tb %'!P90</f>
        <v>2.9495404403390782E-2</v>
      </c>
      <c r="F74" s="1">
        <f>'tb %'!P90+'tb %'!R90-2*'tb %'!Q90</f>
        <v>3.4942261088171389E-3</v>
      </c>
      <c r="G74" s="1">
        <f>'policy tool rates'!N77</f>
        <v>5.3749999999999999E-2</v>
      </c>
      <c r="H74" s="1">
        <f>RoE!F74</f>
        <v>6.889306335440519E-2</v>
      </c>
      <c r="I74" s="1">
        <v>0.28105016413734063</v>
      </c>
      <c r="J74" s="1">
        <v>0.16897674074747973</v>
      </c>
      <c r="K74" s="54">
        <v>515884190.99599898</v>
      </c>
      <c r="L74" s="54">
        <v>51177758.862815</v>
      </c>
      <c r="M74" s="1">
        <f>'Mortgage rate'!J56</f>
        <v>0.10230886696225144</v>
      </c>
      <c r="N74" s="54">
        <f>'Construction loans'!P75</f>
        <v>289627372.62233335</v>
      </c>
      <c r="O74" s="54">
        <v>325827.27272727271</v>
      </c>
      <c r="P74" s="54">
        <v>531.16999999999996</v>
      </c>
      <c r="Q74" s="54">
        <v>-1138.7100755681952</v>
      </c>
      <c r="R74" s="1">
        <f>'Copper prices'!G263</f>
        <v>3.8644180327868858</v>
      </c>
    </row>
    <row r="75" spans="1:18">
      <c r="A75" s="2">
        <v>44377</v>
      </c>
      <c r="B75" s="54">
        <f>GDP!D91</f>
        <v>857161.48175893317</v>
      </c>
      <c r="C75" s="1">
        <v>3.7841718107322501E-2</v>
      </c>
      <c r="D75" s="1">
        <f>AVERAGE('tb %'!P91:R91)</f>
        <v>8.490951428843363E-2</v>
      </c>
      <c r="E75" s="1">
        <f>'tb %'!R91-'tb %'!P91</f>
        <v>2.8111542865300876E-2</v>
      </c>
      <c r="F75" s="1">
        <f>'tb %'!P91+'tb %'!R91-2*'tb %'!Q91</f>
        <v>-1.5644571346991321E-3</v>
      </c>
      <c r="G75" s="1">
        <f>'policy tool rates'!N78</f>
        <v>5.7500000000000002E-2</v>
      </c>
      <c r="H75" s="1">
        <f>RoE!F75</f>
        <v>4.7667597419988807E-2</v>
      </c>
      <c r="I75" s="1">
        <v>0.30842181526062851</v>
      </c>
      <c r="J75" s="1">
        <v>0.17028816557401671</v>
      </c>
      <c r="K75" s="54">
        <v>549562691.23399699</v>
      </c>
      <c r="L75" s="54">
        <v>65272908.353595003</v>
      </c>
      <c r="M75" s="1">
        <f>'Mortgage rate'!J57</f>
        <v>0.10442720460331603</v>
      </c>
      <c r="N75" s="54">
        <f>'Construction loans'!P76</f>
        <v>295403872.88833338</v>
      </c>
      <c r="O75" s="54">
        <v>334631.81818181818</v>
      </c>
      <c r="P75" s="54">
        <v>520.61</v>
      </c>
      <c r="Q75" s="54">
        <v>-1051.2634911589935</v>
      </c>
      <c r="R75" s="1">
        <f>'Copper prices'!G264</f>
        <v>4.4096761904761905</v>
      </c>
    </row>
    <row r="76" spans="1:18">
      <c r="A76" s="2">
        <v>44469</v>
      </c>
      <c r="B76" s="54">
        <f>GDP!D92</f>
        <v>1096694.3100259504</v>
      </c>
      <c r="C76" s="1">
        <v>5.7869741909141001E-2</v>
      </c>
      <c r="D76" s="1">
        <f>AVERAGE('tb %'!P92:R92)</f>
        <v>9.1754109722222213E-2</v>
      </c>
      <c r="E76" s="1">
        <f>'tb %'!R92-'tb %'!P92</f>
        <v>1.778967083333334E-2</v>
      </c>
      <c r="F76" s="1">
        <f>'tb %'!P92+'tb %'!R92-2*'tb %'!Q92</f>
        <v>-9.1076708333333312E-3</v>
      </c>
      <c r="G76" s="1">
        <f>'policy tool rates'!N79</f>
        <v>6.7500000000000004E-2</v>
      </c>
      <c r="H76" s="1">
        <f>RoE!F76</f>
        <v>4.3088834070157588E-2</v>
      </c>
      <c r="I76" s="1">
        <v>0.31669619311368657</v>
      </c>
      <c r="J76" s="1">
        <v>0.17239497250850702</v>
      </c>
      <c r="K76" s="54">
        <v>584206340.778</v>
      </c>
      <c r="L76" s="54">
        <v>59717817.496375002</v>
      </c>
      <c r="M76" s="1">
        <f>'Mortgage rate'!J58</f>
        <v>0.10475146667635409</v>
      </c>
      <c r="N76" s="54">
        <f>'Construction loans'!P77</f>
        <v>341712770.66000003</v>
      </c>
      <c r="O76" s="54">
        <v>345845.45454545453</v>
      </c>
      <c r="P76" s="54">
        <v>493.12</v>
      </c>
      <c r="Q76" s="54">
        <v>-933.38566558954938</v>
      </c>
      <c r="R76" s="1">
        <f>'Copper prices'!G265</f>
        <v>4.3046076923076937</v>
      </c>
    </row>
    <row r="77" spans="1:18">
      <c r="A77" s="2">
        <v>44561</v>
      </c>
      <c r="B77" s="54">
        <f>GDP!D93</f>
        <v>1282998.2586016869</v>
      </c>
      <c r="C77" s="1">
        <v>8.1083770793420301E-2</v>
      </c>
      <c r="D77" s="1">
        <f>AVERAGE('tb %'!P93:R93)</f>
        <v>9.5603359523343756E-2</v>
      </c>
      <c r="E77" s="1">
        <f>'tb %'!R93-'tb %'!P93</f>
        <v>1.6081745236697961E-2</v>
      </c>
      <c r="F77" s="1">
        <f>'tb %'!P93+'tb %'!R93-2*'tb %'!Q93</f>
        <v>-4.4729214299687181E-3</v>
      </c>
      <c r="G77" s="1">
        <f>'policy tool rates'!N80</f>
        <v>7.2499999999999995E-2</v>
      </c>
      <c r="H77" s="1">
        <f>RoE!F77</f>
        <v>7.0657556369185623E-2</v>
      </c>
      <c r="I77" s="1">
        <v>0.32034675658911255</v>
      </c>
      <c r="J77" s="1">
        <v>0.17203186224379455</v>
      </c>
      <c r="K77" s="54">
        <v>642957315.02000201</v>
      </c>
      <c r="L77" s="54">
        <v>86757150.441160008</v>
      </c>
      <c r="M77" s="1">
        <f>'Mortgage rate'!J59</f>
        <v>0.10394659520430118</v>
      </c>
      <c r="N77" s="54">
        <f>'Construction loans'!P78</f>
        <v>342499852.73400003</v>
      </c>
      <c r="O77" s="54">
        <v>359986.36363636365</v>
      </c>
      <c r="P77" s="54">
        <v>481.11</v>
      </c>
      <c r="Q77" s="54">
        <v>-1107.8624132939574</v>
      </c>
      <c r="R77" s="1">
        <f>'Copper prices'!G266</f>
        <v>4.3790757575757562</v>
      </c>
    </row>
    <row r="78" spans="1:18">
      <c r="A78" s="2">
        <v>44651</v>
      </c>
      <c r="B78" s="54">
        <f>GDP!D94</f>
        <v>850030.59410472796</v>
      </c>
      <c r="C78" s="1">
        <v>0.102205696021844</v>
      </c>
      <c r="D78" s="1">
        <f>AVERAGE('tb %'!P94:R94)</f>
        <v>0.10024950925925925</v>
      </c>
      <c r="E78" s="1">
        <f>'tb %'!R94-'tb %'!P94</f>
        <v>1.3102972222222231E-2</v>
      </c>
      <c r="F78" s="1">
        <f>'tb %'!P94+'tb %'!R94-2*'tb %'!Q94</f>
        <v>-4.6199722222222406E-3</v>
      </c>
      <c r="G78" s="1">
        <f>'policy tool rates'!N81</f>
        <v>0.08</v>
      </c>
      <c r="H78" s="1">
        <f>RoE!F78</f>
        <v>8.8492255616325607E-2</v>
      </c>
      <c r="I78" s="1">
        <v>0.31065300668055562</v>
      </c>
      <c r="J78" s="1">
        <v>0.17194439376210591</v>
      </c>
      <c r="K78" s="54">
        <v>692676387.75299895</v>
      </c>
      <c r="L78" s="54">
        <v>65600407.566914991</v>
      </c>
      <c r="M78" s="1">
        <f>'Mortgage rate'!J60</f>
        <v>0.10428392898853414</v>
      </c>
      <c r="N78" s="54">
        <f>'Construction loans'!P79</f>
        <v>347828298.009</v>
      </c>
      <c r="O78" s="54">
        <v>374086.36363636365</v>
      </c>
      <c r="P78" s="54">
        <v>488.6</v>
      </c>
      <c r="Q78" s="54">
        <v>-1137.7387523098514</v>
      </c>
      <c r="R78" s="1">
        <f>'Copper prices'!G267</f>
        <v>4.5528999999999993</v>
      </c>
    </row>
    <row r="79" spans="1:18">
      <c r="A79" s="2">
        <v>44742</v>
      </c>
      <c r="B79" s="54">
        <f>GDP!D95</f>
        <v>970379.82249358157</v>
      </c>
      <c r="C79" s="1">
        <v>0.112400465269257</v>
      </c>
      <c r="D79" s="1">
        <f>AVERAGE('tb %'!P95:R95)</f>
        <v>0.11045127671992368</v>
      </c>
      <c r="E79" s="1">
        <f>'tb %'!R95-'tb %'!P95</f>
        <v>1.3387312753218999E-2</v>
      </c>
      <c r="F79" s="1">
        <f>'tb %'!P95+'tb %'!R95-2*'tb %'!Q95</f>
        <v>-1.3056698402289513E-3</v>
      </c>
      <c r="G79" s="1">
        <f>'policy tool rates'!N82</f>
        <v>8.6875000000000008E-2</v>
      </c>
      <c r="H79" s="1">
        <f>RoE!F79</f>
        <v>0.15641015192663987</v>
      </c>
      <c r="I79" s="1">
        <v>0.32622468594919102</v>
      </c>
      <c r="J79" s="1">
        <v>0.18598565597412514</v>
      </c>
      <c r="K79" s="54">
        <v>715153898.09399796</v>
      </c>
      <c r="L79" s="54">
        <v>75473765.281230003</v>
      </c>
      <c r="M79" s="1">
        <f>'Mortgage rate'!J61</f>
        <v>0.10987604875163852</v>
      </c>
      <c r="N79" s="54">
        <f>'Construction loans'!P80</f>
        <v>357933160.53266668</v>
      </c>
      <c r="O79" s="54">
        <v>390213.63636363635</v>
      </c>
      <c r="P79" s="54">
        <v>419.63</v>
      </c>
      <c r="Q79" s="54">
        <v>-1070.4959934081935</v>
      </c>
      <c r="R79" s="1">
        <f>'Copper prices'!G268</f>
        <v>4.3333953124999987</v>
      </c>
    </row>
    <row r="80" spans="1:18">
      <c r="A80" s="2">
        <v>44834</v>
      </c>
      <c r="B80" s="54">
        <f>GDP!D96</f>
        <v>1258662.1209480118</v>
      </c>
      <c r="C80" s="1">
        <v>0.119151712166813</v>
      </c>
      <c r="D80" s="1">
        <f>AVERAGE('tb %'!P96:R96)</f>
        <v>0.11272308811746611</v>
      </c>
      <c r="E80" s="1">
        <f>'tb %'!R96-'tb %'!P96</f>
        <v>1.238750000000001E-2</v>
      </c>
      <c r="F80" s="1">
        <f>'tb %'!P96+'tb %'!R96-2*'tb %'!Q96</f>
        <v>-8.3028704796678232E-5</v>
      </c>
      <c r="G80" s="1">
        <f>'policy tool rates'!N83</f>
        <v>9.375E-2</v>
      </c>
      <c r="H80" s="1">
        <f>RoE!F80</f>
        <v>0.19076582477536089</v>
      </c>
      <c r="I80" s="1">
        <v>0.3481828877549778</v>
      </c>
      <c r="J80" s="1">
        <v>0.19646197224180714</v>
      </c>
      <c r="K80" s="54">
        <v>772567274.59899998</v>
      </c>
      <c r="L80" s="54">
        <v>78206672.928720012</v>
      </c>
      <c r="M80" s="1">
        <f>'Mortgage rate'!J62</f>
        <v>0.11452545726343498</v>
      </c>
      <c r="N80" s="54">
        <f>'Construction loans'!P81</f>
        <v>356244509.477</v>
      </c>
      <c r="O80" s="54">
        <v>393509.09090909088</v>
      </c>
      <c r="P80" s="54">
        <v>416.27</v>
      </c>
      <c r="Q80" s="54">
        <v>-701.15905205501622</v>
      </c>
      <c r="R80" s="1">
        <f>'Copper prices'!G269</f>
        <v>3.4950303030303034</v>
      </c>
    </row>
    <row r="81" spans="1:18">
      <c r="A81" s="2">
        <v>44926</v>
      </c>
      <c r="B81" s="54">
        <f>GDP!D97</f>
        <v>1445891.1308306085</v>
      </c>
      <c r="C81" s="1">
        <v>0.113316473807151</v>
      </c>
      <c r="D81" s="1">
        <f>AVERAGE('tb %'!P97:R97)</f>
        <v>0.11731006325361615</v>
      </c>
      <c r="E81" s="1">
        <f>'tb %'!R97-'tb %'!P97</f>
        <v>4.3938102391515854E-3</v>
      </c>
      <c r="F81" s="1">
        <f>'tb %'!P97+'tb %'!R97-2*'tb %'!Q97</f>
        <v>-9.2981023915159056E-4</v>
      </c>
      <c r="G81" s="1">
        <f>'policy tool rates'!N84</f>
        <v>0.10249999999999999</v>
      </c>
      <c r="H81" s="1">
        <f>RoE!F81</f>
        <v>0.21627664195756763</v>
      </c>
      <c r="I81" s="1">
        <v>0.37009850140860701</v>
      </c>
      <c r="J81" s="1">
        <v>0.20322167805213628</v>
      </c>
      <c r="K81" s="54">
        <v>834371381.12900198</v>
      </c>
      <c r="L81" s="54">
        <v>84504674.682879999</v>
      </c>
      <c r="M81" s="1">
        <f>'Mortgage rate'!J63</f>
        <v>0.11410164842376908</v>
      </c>
      <c r="N81" s="54">
        <f>'Construction loans'!P82</f>
        <v>353862619.08499998</v>
      </c>
      <c r="O81" s="54">
        <v>400072.72727272729</v>
      </c>
      <c r="P81" s="54">
        <v>393.57</v>
      </c>
      <c r="Q81" s="54">
        <v>-148.20216456642993</v>
      </c>
      <c r="R81" s="1">
        <f>'Copper prices'!G270</f>
        <v>3.6360861538461551</v>
      </c>
    </row>
    <row r="82" spans="1:18">
      <c r="A82" s="2">
        <v>45016</v>
      </c>
      <c r="B82" s="54">
        <f>GDP!D98</f>
        <v>952888.12877983029</v>
      </c>
      <c r="C82" s="1">
        <v>0.10851553894928199</v>
      </c>
      <c r="D82" s="1">
        <f>AVERAGE('tb %'!P98:R98)</f>
        <v>0.1178413217827653</v>
      </c>
      <c r="E82" s="1">
        <f>'tb %'!R98-'tb %'!P98</f>
        <v>5.3775346517041245E-3</v>
      </c>
      <c r="F82" s="1">
        <f>'tb %'!P98+'tb %'!R98-2*'tb %'!Q98</f>
        <v>-4.3745346517041206E-3</v>
      </c>
      <c r="G82" s="1">
        <f>'policy tool rates'!N85</f>
        <v>0.105</v>
      </c>
      <c r="H82" s="1">
        <f>RoE!F82</f>
        <v>0.22973242955444512</v>
      </c>
      <c r="I82" s="1">
        <v>0.38225708755040461</v>
      </c>
      <c r="J82" s="1">
        <v>0.20069660410976603</v>
      </c>
      <c r="K82" s="54">
        <v>880351406.96000099</v>
      </c>
      <c r="L82" s="54">
        <v>71758237.098533005</v>
      </c>
      <c r="M82" s="1">
        <f>'Mortgage rate'!J64</f>
        <v>0.11971579017794513</v>
      </c>
      <c r="N82" s="54">
        <f>'Construction loans'!P83</f>
        <v>370517943.3326667</v>
      </c>
      <c r="O82" s="54">
        <v>408972.72727272729</v>
      </c>
      <c r="P82" s="54">
        <v>388.35</v>
      </c>
      <c r="Q82" s="54">
        <v>-136.40436667983477</v>
      </c>
      <c r="R82" s="1">
        <f>'Copper prices'!G271</f>
        <v>4.0764061538461531</v>
      </c>
    </row>
    <row r="83" spans="1:18">
      <c r="A83" s="2">
        <v>45107</v>
      </c>
      <c r="B83" s="54">
        <f>GDP!D99</f>
        <v>1056102.8232816337</v>
      </c>
      <c r="C83" s="1">
        <v>0.11126608873791299</v>
      </c>
      <c r="D83" s="1">
        <f>AVERAGE('tb %'!P99:R99)</f>
        <v>0.11538453830527956</v>
      </c>
      <c r="E83" s="1">
        <f>'tb %'!R99-'tb %'!P99</f>
        <v>4.0715395718251141E-3</v>
      </c>
      <c r="F83" s="1">
        <f>'tb %'!P99+'tb %'!R99-2*'tb %'!Q99</f>
        <v>2.5968297809619012E-3</v>
      </c>
      <c r="G83" s="1">
        <f>'policy tool rates'!N86</f>
        <v>0.1075</v>
      </c>
      <c r="H83" s="1">
        <f>RoE!F83</f>
        <v>0.18042605636980041</v>
      </c>
      <c r="I83" s="1">
        <v>0.3546163019550278</v>
      </c>
      <c r="J83" s="1">
        <v>0.20577972471994052</v>
      </c>
      <c r="K83" s="54">
        <v>937692699.23399794</v>
      </c>
      <c r="L83" s="54">
        <v>83699174.924695</v>
      </c>
      <c r="M83" s="1">
        <f>'Mortgage rate'!J65</f>
        <v>0.12241932933642388</v>
      </c>
      <c r="N83" s="54">
        <f>'Construction loans'!P84</f>
        <v>404710957.30099994</v>
      </c>
      <c r="O83" s="54">
        <v>420863.63636363635</v>
      </c>
      <c r="P83" s="54">
        <v>386.06</v>
      </c>
      <c r="Q83" s="54">
        <v>-275.44659152057056</v>
      </c>
      <c r="R83" s="1">
        <f>'Copper prices'!G272</f>
        <v>3.8476800000000009</v>
      </c>
    </row>
    <row r="84" spans="1:18">
      <c r="A84" s="2">
        <v>45199</v>
      </c>
      <c r="B84" s="54">
        <f>GDP!D100</f>
        <v>1327078.8619655874</v>
      </c>
      <c r="C84" s="1">
        <v>0.11426276441918699</v>
      </c>
      <c r="D84" s="1">
        <f>AVERAGE('tb %'!P100:R100)</f>
        <v>0.10783468939393941</v>
      </c>
      <c r="E84" s="1">
        <f>'tb %'!R100-'tb %'!P100</f>
        <v>5.3204318181818283E-3</v>
      </c>
      <c r="F84" s="1">
        <f>'tb %'!P100+'tb %'!R100-2*'tb %'!Q100</f>
        <v>4.0085681818182173E-3</v>
      </c>
      <c r="G84" s="1">
        <f>'policy tool rates'!N87</f>
        <v>0.10375</v>
      </c>
      <c r="H84" s="1">
        <f>RoE!F84</f>
        <v>0.18457617453809194</v>
      </c>
      <c r="I84" s="1">
        <v>0.35714096739654222</v>
      </c>
      <c r="J84" s="1">
        <v>0.205509545333072</v>
      </c>
      <c r="K84" s="54">
        <v>997197800.95799804</v>
      </c>
      <c r="L84" s="54">
        <v>77231558.665519997</v>
      </c>
      <c r="M84" s="1">
        <f>'Mortgage rate'!J66</f>
        <v>0.12437264824386908</v>
      </c>
      <c r="N84" s="54">
        <f>'Construction loans'!P85</f>
        <v>446201911.33768672</v>
      </c>
      <c r="O84" s="54">
        <v>434190.90909090912</v>
      </c>
      <c r="P84" s="54">
        <v>391</v>
      </c>
      <c r="Q84" s="54">
        <v>-413.34214768313768</v>
      </c>
      <c r="R84" s="1">
        <f>'Copper prices'!G273</f>
        <v>3.802018461538462</v>
      </c>
    </row>
    <row r="85" spans="1:18">
      <c r="A85" s="2">
        <v>45291</v>
      </c>
      <c r="B85" s="54">
        <f>GDP!D101</f>
        <v>1513437.8685472999</v>
      </c>
      <c r="C85" s="1">
        <v>0.12758113776341901</v>
      </c>
      <c r="D85" s="1">
        <f>AVERAGE('tb %'!P101:R101)</f>
        <v>0.10747484812321011</v>
      </c>
      <c r="E85" s="1">
        <f>'tb %'!R101-'tb %'!P101</f>
        <v>3.1097453550311127E-3</v>
      </c>
      <c r="F85" s="1">
        <f>'tb %'!P101+'tb %'!R101-2*'tb %'!Q101</f>
        <v>-2.8754556303696721E-3</v>
      </c>
      <c r="G85" s="1">
        <f>'policy tool rates'!N88</f>
        <v>9.6250000000000002E-2</v>
      </c>
      <c r="H85" s="1">
        <f>RoE!F85</f>
        <v>0.13100080441951434</v>
      </c>
      <c r="I85" s="1">
        <v>0.33139742543755946</v>
      </c>
      <c r="J85" s="1">
        <v>0.19918741441706683</v>
      </c>
      <c r="K85" s="54">
        <v>1046833856.895992</v>
      </c>
      <c r="L85" s="54">
        <v>109576970.53332001</v>
      </c>
      <c r="M85" s="1">
        <f>'Mortgage rate'!J67</f>
        <v>0.12549545333927889</v>
      </c>
      <c r="N85" s="54">
        <f>'Construction loans'!P86</f>
        <v>494491629.06066662</v>
      </c>
      <c r="O85" s="54">
        <v>453418.18181818182</v>
      </c>
      <c r="P85" s="54">
        <v>405</v>
      </c>
      <c r="Q85" s="54">
        <v>-413.34214768313768</v>
      </c>
      <c r="R85" s="1">
        <f>'Copper prices'!G274</f>
        <v>3.7326370967741935</v>
      </c>
    </row>
    <row r="86" spans="1:18">
      <c r="A86" s="2">
        <v>45382</v>
      </c>
      <c r="B86" s="54">
        <f>GDP!D102</f>
        <v>1007112.6749870629</v>
      </c>
      <c r="C86" s="1">
        <v>0.13502650970255001</v>
      </c>
      <c r="D86" s="1">
        <f>AVERAGE('tb %'!P102:R102)</f>
        <v>0.10325052812422636</v>
      </c>
      <c r="E86" s="1">
        <f>'tb %'!R102-'tb %'!P102</f>
        <v>9.8299156273209537E-3</v>
      </c>
      <c r="F86" s="1">
        <f>'tb %'!P102+'tb %'!R102-2*'tb %'!Q102</f>
        <v>8.1510843726790849E-3</v>
      </c>
      <c r="G86" s="1">
        <f>'policy tool rates'!N89</f>
        <v>0.09</v>
      </c>
      <c r="H86" s="1">
        <f>RoE!F86</f>
        <v>0.13868405159420749</v>
      </c>
      <c r="I86" s="1">
        <v>0.34227062138906916</v>
      </c>
      <c r="J86" s="1">
        <v>0.19206155443414405</v>
      </c>
      <c r="K86" s="54">
        <v>1078741000</v>
      </c>
      <c r="L86" s="54">
        <v>64048874.287749395</v>
      </c>
      <c r="M86" s="1">
        <f>'Mortgage rate'!J68</f>
        <v>0.12569002206994001</v>
      </c>
      <c r="N86" s="54">
        <f>'Construction loans'!P87</f>
        <v>528725279.05443364</v>
      </c>
      <c r="O86" s="54">
        <v>455672.72727272729</v>
      </c>
      <c r="P86" s="54">
        <v>404.27</v>
      </c>
      <c r="Q86" s="54">
        <v>-413.34214768313768</v>
      </c>
      <c r="R86" s="1">
        <f>'Copper prices'!G275</f>
        <v>3.8675199999999994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FFAE-BAB7-429C-80A2-C0F1A96F70EA}">
  <dimension ref="A1:E102"/>
  <sheetViews>
    <sheetView workbookViewId="0">
      <selection activeCell="E7" sqref="E7"/>
    </sheetView>
  </sheetViews>
  <sheetFormatPr baseColWidth="10" defaultColWidth="9.1640625" defaultRowHeight="15"/>
  <cols>
    <col min="1" max="1" width="15.5" style="65" bestFit="1" customWidth="1"/>
    <col min="2" max="2" width="11.33203125" style="65" bestFit="1" customWidth="1"/>
    <col min="3" max="3" width="22.83203125" style="65" bestFit="1" customWidth="1"/>
    <col min="4" max="4" width="24.83203125" style="65" bestFit="1" customWidth="1"/>
    <col min="5" max="5" width="10.5" style="65" bestFit="1" customWidth="1"/>
    <col min="6" max="16384" width="9.1640625" style="65"/>
  </cols>
  <sheetData>
    <row r="1" spans="1:5">
      <c r="A1" s="65" t="s">
        <v>0</v>
      </c>
      <c r="B1" s="65" t="s">
        <v>520</v>
      </c>
      <c r="C1" s="65" t="s">
        <v>604</v>
      </c>
      <c r="D1" s="65" t="s">
        <v>605</v>
      </c>
      <c r="E1" s="65" t="s">
        <v>606</v>
      </c>
    </row>
    <row r="2" spans="1:5">
      <c r="A2" s="65" t="s">
        <v>521</v>
      </c>
      <c r="B2" s="66">
        <v>199447.85125908151</v>
      </c>
      <c r="C2" s="66"/>
      <c r="D2" s="71">
        <f>B2</f>
        <v>199447.85125908151</v>
      </c>
    </row>
    <row r="3" spans="1:5">
      <c r="A3" s="65" t="s">
        <v>522</v>
      </c>
      <c r="B3" s="66">
        <v>264207.5852991697</v>
      </c>
      <c r="C3" s="66"/>
      <c r="D3" s="71">
        <f t="shared" ref="D3:D25" si="0">B3</f>
        <v>264207.5852991697</v>
      </c>
    </row>
    <row r="4" spans="1:5">
      <c r="A4" s="65" t="s">
        <v>523</v>
      </c>
      <c r="B4" s="66">
        <v>349324.02805441612</v>
      </c>
      <c r="C4" s="66"/>
      <c r="D4" s="71">
        <f t="shared" si="0"/>
        <v>349324.02805441612</v>
      </c>
    </row>
    <row r="5" spans="1:5">
      <c r="A5" s="65" t="s">
        <v>524</v>
      </c>
      <c r="B5" s="66">
        <v>399625.00493594032</v>
      </c>
      <c r="C5" s="66"/>
      <c r="D5" s="71">
        <f t="shared" si="0"/>
        <v>399625.00493594032</v>
      </c>
      <c r="E5" s="71">
        <f>SUM(D2:D5)</f>
        <v>1212604.4695486077</v>
      </c>
    </row>
    <row r="6" spans="1:5">
      <c r="A6" s="65" t="s">
        <v>525</v>
      </c>
      <c r="B6" s="66">
        <v>208525.1073</v>
      </c>
      <c r="C6" s="66"/>
      <c r="D6" s="71">
        <f t="shared" si="0"/>
        <v>208525.1073</v>
      </c>
      <c r="E6" s="71">
        <f t="shared" ref="E6:E69" si="1">SUM(D3:D6)</f>
        <v>1221681.7255895261</v>
      </c>
    </row>
    <row r="7" spans="1:5">
      <c r="A7" s="65" t="s">
        <v>526</v>
      </c>
      <c r="B7" s="66">
        <v>279056.48489999998</v>
      </c>
      <c r="C7" s="66"/>
      <c r="D7" s="71">
        <f t="shared" si="0"/>
        <v>279056.48489999998</v>
      </c>
      <c r="E7" s="71">
        <f t="shared" si="1"/>
        <v>1236530.6251903565</v>
      </c>
    </row>
    <row r="8" spans="1:5">
      <c r="A8" s="65" t="s">
        <v>527</v>
      </c>
      <c r="B8" s="66">
        <v>372232.77490000002</v>
      </c>
      <c r="C8" s="66"/>
      <c r="D8" s="71">
        <f t="shared" si="0"/>
        <v>372232.77490000002</v>
      </c>
      <c r="E8" s="71">
        <f t="shared" si="1"/>
        <v>1259439.3720359404</v>
      </c>
    </row>
    <row r="9" spans="1:5">
      <c r="A9" s="65" t="s">
        <v>528</v>
      </c>
      <c r="B9" s="66">
        <v>401097.01400000002</v>
      </c>
      <c r="C9" s="66"/>
      <c r="D9" s="71">
        <f t="shared" si="0"/>
        <v>401097.01400000002</v>
      </c>
      <c r="E9" s="71">
        <f t="shared" si="1"/>
        <v>1260911.3810999999</v>
      </c>
    </row>
    <row r="10" spans="1:5">
      <c r="A10" s="65" t="s">
        <v>529</v>
      </c>
      <c r="B10" s="66">
        <v>232482.62280000001</v>
      </c>
      <c r="C10" s="66"/>
      <c r="D10" s="71">
        <f t="shared" si="0"/>
        <v>232482.62280000001</v>
      </c>
      <c r="E10" s="71">
        <f t="shared" si="1"/>
        <v>1284868.8966000001</v>
      </c>
    </row>
    <row r="11" spans="1:5">
      <c r="A11" s="65" t="s">
        <v>530</v>
      </c>
      <c r="B11" s="66">
        <v>294822.87199999997</v>
      </c>
      <c r="C11" s="66"/>
      <c r="D11" s="71">
        <f t="shared" si="0"/>
        <v>294822.87199999997</v>
      </c>
      <c r="E11" s="71">
        <f t="shared" si="1"/>
        <v>1300635.2837</v>
      </c>
    </row>
    <row r="12" spans="1:5">
      <c r="A12" s="65" t="s">
        <v>531</v>
      </c>
      <c r="B12" s="66">
        <v>428508.8273</v>
      </c>
      <c r="C12" s="66"/>
      <c r="D12" s="71">
        <f t="shared" si="0"/>
        <v>428508.8273</v>
      </c>
      <c r="E12" s="71">
        <f t="shared" si="1"/>
        <v>1356911.3361</v>
      </c>
    </row>
    <row r="13" spans="1:5">
      <c r="A13" s="65" t="s">
        <v>532</v>
      </c>
      <c r="B13" s="66">
        <v>425597.83439999999</v>
      </c>
      <c r="C13" s="66"/>
      <c r="D13" s="71">
        <f t="shared" si="0"/>
        <v>425597.83439999999</v>
      </c>
      <c r="E13" s="71">
        <f t="shared" si="1"/>
        <v>1381412.1565</v>
      </c>
    </row>
    <row r="14" spans="1:5">
      <c r="A14" s="65" t="s">
        <v>533</v>
      </c>
      <c r="B14" s="66">
        <v>251947.3904</v>
      </c>
      <c r="C14" s="66"/>
      <c r="D14" s="71">
        <f t="shared" si="0"/>
        <v>251947.3904</v>
      </c>
      <c r="E14" s="71">
        <f t="shared" si="1"/>
        <v>1400876.9240999999</v>
      </c>
    </row>
    <row r="15" spans="1:5">
      <c r="A15" s="65" t="s">
        <v>534</v>
      </c>
      <c r="B15" s="66">
        <v>323479.06849999999</v>
      </c>
      <c r="C15" s="66"/>
      <c r="D15" s="71">
        <f t="shared" si="0"/>
        <v>323479.06849999999</v>
      </c>
      <c r="E15" s="71">
        <f t="shared" si="1"/>
        <v>1429533.1206</v>
      </c>
    </row>
    <row r="16" spans="1:5">
      <c r="A16" s="65" t="s">
        <v>535</v>
      </c>
      <c r="B16" s="66">
        <v>484926.234</v>
      </c>
      <c r="C16" s="66"/>
      <c r="D16" s="71">
        <f t="shared" si="0"/>
        <v>484926.234</v>
      </c>
      <c r="E16" s="71">
        <f t="shared" si="1"/>
        <v>1485950.5273</v>
      </c>
    </row>
    <row r="17" spans="1:5">
      <c r="A17" s="65" t="s">
        <v>536</v>
      </c>
      <c r="B17" s="66">
        <v>503216.62209999998</v>
      </c>
      <c r="C17" s="66"/>
      <c r="D17" s="71">
        <f t="shared" si="0"/>
        <v>503216.62209999998</v>
      </c>
      <c r="E17" s="71">
        <f t="shared" si="1"/>
        <v>1563569.3149999999</v>
      </c>
    </row>
    <row r="18" spans="1:5">
      <c r="A18" s="65" t="s">
        <v>537</v>
      </c>
      <c r="B18" s="66">
        <v>279363.28360000002</v>
      </c>
      <c r="C18" s="66"/>
      <c r="D18" s="71">
        <f t="shared" si="0"/>
        <v>279363.28360000002</v>
      </c>
      <c r="E18" s="71">
        <f t="shared" si="1"/>
        <v>1590985.2082</v>
      </c>
    </row>
    <row r="19" spans="1:5">
      <c r="A19" s="65" t="s">
        <v>538</v>
      </c>
      <c r="B19" s="66">
        <v>375920.39069999999</v>
      </c>
      <c r="C19" s="66"/>
      <c r="D19" s="71">
        <f t="shared" si="0"/>
        <v>375920.39069999999</v>
      </c>
      <c r="E19" s="71">
        <f t="shared" si="1"/>
        <v>1643426.5304</v>
      </c>
    </row>
    <row r="20" spans="1:5">
      <c r="A20" s="65" t="s">
        <v>539</v>
      </c>
      <c r="B20" s="66">
        <v>554155.57750000001</v>
      </c>
      <c r="C20" s="66"/>
      <c r="D20" s="71">
        <f t="shared" si="0"/>
        <v>554155.57750000001</v>
      </c>
      <c r="E20" s="71">
        <f t="shared" si="1"/>
        <v>1712655.8739</v>
      </c>
    </row>
    <row r="21" spans="1:5">
      <c r="A21" s="65" t="s">
        <v>540</v>
      </c>
      <c r="B21" s="66">
        <v>573667.67319999996</v>
      </c>
      <c r="C21" s="66"/>
      <c r="D21" s="71">
        <f t="shared" si="0"/>
        <v>573667.67319999996</v>
      </c>
      <c r="E21" s="71">
        <f t="shared" si="1"/>
        <v>1783106.9250000003</v>
      </c>
    </row>
    <row r="22" spans="1:5">
      <c r="A22" s="65" t="s">
        <v>541</v>
      </c>
      <c r="B22" s="66">
        <v>301698.00449999998</v>
      </c>
      <c r="C22" s="66"/>
      <c r="D22" s="71">
        <f t="shared" si="0"/>
        <v>301698.00449999998</v>
      </c>
      <c r="E22" s="71">
        <f t="shared" si="1"/>
        <v>1805441.6459000001</v>
      </c>
    </row>
    <row r="23" spans="1:5">
      <c r="A23" s="65" t="s">
        <v>542</v>
      </c>
      <c r="B23" s="66">
        <v>414986.10590000002</v>
      </c>
      <c r="C23" s="66"/>
      <c r="D23" s="71">
        <f t="shared" si="0"/>
        <v>414986.10590000002</v>
      </c>
      <c r="E23" s="71">
        <f t="shared" si="1"/>
        <v>1844507.3611000001</v>
      </c>
    </row>
    <row r="24" spans="1:5">
      <c r="A24" s="65" t="s">
        <v>543</v>
      </c>
      <c r="B24" s="66">
        <v>625249.12639999995</v>
      </c>
      <c r="C24" s="66"/>
      <c r="D24" s="71">
        <f t="shared" si="0"/>
        <v>625249.12639999995</v>
      </c>
      <c r="E24" s="71">
        <f t="shared" si="1"/>
        <v>1915600.91</v>
      </c>
    </row>
    <row r="25" spans="1:5">
      <c r="A25" s="65" t="s">
        <v>544</v>
      </c>
      <c r="B25" s="66">
        <v>627826.47</v>
      </c>
      <c r="C25" s="66"/>
      <c r="D25" s="71">
        <f t="shared" si="0"/>
        <v>627826.47</v>
      </c>
      <c r="E25" s="71">
        <f t="shared" si="1"/>
        <v>1969759.7068</v>
      </c>
    </row>
    <row r="26" spans="1:5">
      <c r="A26" s="65" t="s">
        <v>545</v>
      </c>
      <c r="B26" s="66">
        <v>327135.59999999998</v>
      </c>
      <c r="C26" s="67">
        <v>327135.60000000003</v>
      </c>
      <c r="D26" s="71">
        <f>C26</f>
        <v>327135.60000000003</v>
      </c>
      <c r="E26" s="71">
        <f t="shared" si="1"/>
        <v>1995197.3023000001</v>
      </c>
    </row>
    <row r="27" spans="1:5">
      <c r="A27" s="65" t="s">
        <v>546</v>
      </c>
      <c r="B27" s="66">
        <v>474747.6</v>
      </c>
      <c r="C27" s="67">
        <v>474747.6</v>
      </c>
      <c r="D27" s="71">
        <f t="shared" ref="D27:D90" si="2">C27</f>
        <v>474747.6</v>
      </c>
      <c r="E27" s="71">
        <f t="shared" si="1"/>
        <v>2054958.7963999999</v>
      </c>
    </row>
    <row r="28" spans="1:5">
      <c r="A28" s="65" t="s">
        <v>547</v>
      </c>
      <c r="B28" s="66">
        <v>705065.9</v>
      </c>
      <c r="C28" s="67">
        <v>705065.9</v>
      </c>
      <c r="D28" s="71">
        <f t="shared" si="2"/>
        <v>705065.9</v>
      </c>
      <c r="E28" s="71">
        <f t="shared" si="1"/>
        <v>2134775.5699999998</v>
      </c>
    </row>
    <row r="29" spans="1:5">
      <c r="A29" s="65" t="s">
        <v>548</v>
      </c>
      <c r="B29" s="66">
        <v>735931.8</v>
      </c>
      <c r="C29" s="67">
        <v>735931.8</v>
      </c>
      <c r="D29" s="71">
        <f t="shared" si="2"/>
        <v>735931.8</v>
      </c>
      <c r="E29" s="71">
        <f t="shared" si="1"/>
        <v>2242880.9000000004</v>
      </c>
    </row>
    <row r="30" spans="1:5">
      <c r="A30" s="65" t="s">
        <v>549</v>
      </c>
      <c r="B30" s="66">
        <v>370000.4</v>
      </c>
      <c r="C30" s="67">
        <v>370000.4</v>
      </c>
      <c r="D30" s="71">
        <f t="shared" si="2"/>
        <v>370000.4</v>
      </c>
      <c r="E30" s="71">
        <f t="shared" si="1"/>
        <v>2285745.7000000002</v>
      </c>
    </row>
    <row r="31" spans="1:5">
      <c r="A31" s="65" t="s">
        <v>550</v>
      </c>
      <c r="B31" s="66">
        <v>565444.80000000005</v>
      </c>
      <c r="C31" s="67">
        <v>565444.79999999993</v>
      </c>
      <c r="D31" s="71">
        <f t="shared" si="2"/>
        <v>565444.79999999993</v>
      </c>
      <c r="E31" s="71">
        <f t="shared" si="1"/>
        <v>2376442.9</v>
      </c>
    </row>
    <row r="32" spans="1:5">
      <c r="A32" s="65" t="s">
        <v>551</v>
      </c>
      <c r="B32" s="66">
        <v>790806.1</v>
      </c>
      <c r="C32" s="67">
        <v>790806.10000000009</v>
      </c>
      <c r="D32" s="71">
        <f t="shared" si="2"/>
        <v>790806.10000000009</v>
      </c>
      <c r="E32" s="71">
        <f t="shared" si="1"/>
        <v>2462183.1</v>
      </c>
    </row>
    <row r="33" spans="1:5">
      <c r="A33" s="65" t="s">
        <v>552</v>
      </c>
      <c r="B33" s="66">
        <v>812645.1</v>
      </c>
      <c r="C33" s="67">
        <v>812645.09999999986</v>
      </c>
      <c r="D33" s="71">
        <f t="shared" si="2"/>
        <v>812645.09999999986</v>
      </c>
      <c r="E33" s="71">
        <f t="shared" si="1"/>
        <v>2538896.4</v>
      </c>
    </row>
    <row r="34" spans="1:5">
      <c r="A34" s="65" t="s">
        <v>553</v>
      </c>
      <c r="B34" s="66">
        <v>414861.4</v>
      </c>
      <c r="C34" s="67">
        <v>414861.39999999997</v>
      </c>
      <c r="D34" s="71">
        <f t="shared" si="2"/>
        <v>414861.39999999997</v>
      </c>
      <c r="E34" s="71">
        <f t="shared" si="1"/>
        <v>2583757.4</v>
      </c>
    </row>
    <row r="35" spans="1:5">
      <c r="A35" s="65" t="s">
        <v>554</v>
      </c>
      <c r="B35" s="66">
        <v>622876.5</v>
      </c>
      <c r="C35" s="67">
        <v>622876.50000000012</v>
      </c>
      <c r="D35" s="71">
        <f t="shared" si="2"/>
        <v>622876.50000000012</v>
      </c>
      <c r="E35" s="71">
        <f t="shared" si="1"/>
        <v>2641189.1</v>
      </c>
    </row>
    <row r="36" spans="1:5">
      <c r="A36" s="65" t="s">
        <v>555</v>
      </c>
      <c r="B36" s="66">
        <v>915268.8</v>
      </c>
      <c r="C36" s="67">
        <v>915268.79999999993</v>
      </c>
      <c r="D36" s="71">
        <f t="shared" si="2"/>
        <v>915268.79999999993</v>
      </c>
      <c r="E36" s="71">
        <f t="shared" si="1"/>
        <v>2765651.8</v>
      </c>
    </row>
    <row r="37" spans="1:5">
      <c r="A37" s="65" t="s">
        <v>556</v>
      </c>
      <c r="B37" s="66">
        <v>934967.7</v>
      </c>
      <c r="C37" s="67">
        <v>934967.70000000007</v>
      </c>
      <c r="D37" s="71">
        <f t="shared" si="2"/>
        <v>934967.70000000007</v>
      </c>
      <c r="E37" s="71">
        <f t="shared" si="1"/>
        <v>2887974.4000000004</v>
      </c>
    </row>
    <row r="38" spans="1:5">
      <c r="A38" s="65" t="s">
        <v>557</v>
      </c>
      <c r="B38" s="66">
        <v>469131</v>
      </c>
      <c r="C38" s="67">
        <v>469131</v>
      </c>
      <c r="D38" s="71">
        <f t="shared" si="2"/>
        <v>469131</v>
      </c>
      <c r="E38" s="71">
        <f t="shared" si="1"/>
        <v>2942244</v>
      </c>
    </row>
    <row r="39" spans="1:5">
      <c r="A39" s="65" t="s">
        <v>558</v>
      </c>
      <c r="B39" s="66">
        <v>683115.2</v>
      </c>
      <c r="C39" s="67">
        <v>683115.2</v>
      </c>
      <c r="D39" s="71">
        <f t="shared" si="2"/>
        <v>683115.2</v>
      </c>
      <c r="E39" s="71">
        <f t="shared" si="1"/>
        <v>3002482.7</v>
      </c>
    </row>
    <row r="40" spans="1:5">
      <c r="A40" s="65" t="s">
        <v>559</v>
      </c>
      <c r="B40" s="66">
        <v>1056298.5</v>
      </c>
      <c r="C40" s="67">
        <v>1056298.5</v>
      </c>
      <c r="D40" s="71">
        <f t="shared" si="2"/>
        <v>1056298.5</v>
      </c>
      <c r="E40" s="71">
        <f t="shared" si="1"/>
        <v>3143512.4000000004</v>
      </c>
    </row>
    <row r="41" spans="1:5">
      <c r="A41" s="65" t="s">
        <v>560</v>
      </c>
      <c r="B41" s="66">
        <v>880076.1</v>
      </c>
      <c r="C41" s="67">
        <v>880076.1</v>
      </c>
      <c r="D41" s="71">
        <f t="shared" si="2"/>
        <v>880076.1</v>
      </c>
      <c r="E41" s="71">
        <f t="shared" si="1"/>
        <v>3088620.8000000003</v>
      </c>
    </row>
    <row r="42" spans="1:5">
      <c r="A42" s="65" t="s">
        <v>561</v>
      </c>
      <c r="B42" s="66">
        <v>439029.19999999995</v>
      </c>
      <c r="C42" s="67">
        <v>439029.19999999995</v>
      </c>
      <c r="D42" s="71">
        <f t="shared" si="2"/>
        <v>439029.19999999995</v>
      </c>
      <c r="E42" s="71">
        <f t="shared" si="1"/>
        <v>3058519</v>
      </c>
    </row>
    <row r="43" spans="1:5">
      <c r="A43" s="65" t="s">
        <v>562</v>
      </c>
      <c r="B43" s="66">
        <v>555120.5</v>
      </c>
      <c r="C43" s="67">
        <v>555120.5</v>
      </c>
      <c r="D43" s="71">
        <f t="shared" si="2"/>
        <v>555120.5</v>
      </c>
      <c r="E43" s="71">
        <f t="shared" si="1"/>
        <v>2930524.3</v>
      </c>
    </row>
    <row r="44" spans="1:5">
      <c r="A44" s="65" t="s">
        <v>563</v>
      </c>
      <c r="B44" s="66">
        <v>847261.5</v>
      </c>
      <c r="C44" s="67">
        <v>847261.5</v>
      </c>
      <c r="D44" s="71">
        <f t="shared" si="2"/>
        <v>847261.5</v>
      </c>
      <c r="E44" s="71">
        <f t="shared" si="1"/>
        <v>2721487.3</v>
      </c>
    </row>
    <row r="45" spans="1:5">
      <c r="A45" s="65" t="s">
        <v>564</v>
      </c>
      <c r="B45" s="66">
        <v>810170.09999999986</v>
      </c>
      <c r="C45" s="67">
        <v>810170.09999999986</v>
      </c>
      <c r="D45" s="71">
        <f t="shared" si="2"/>
        <v>810170.09999999986</v>
      </c>
      <c r="E45" s="71">
        <f t="shared" si="1"/>
        <v>2651581.2999999998</v>
      </c>
    </row>
    <row r="46" spans="1:5">
      <c r="A46" s="65" t="s">
        <v>565</v>
      </c>
      <c r="B46" s="66">
        <v>470555.80000000005</v>
      </c>
      <c r="C46" s="67">
        <v>470555.80000000005</v>
      </c>
      <c r="D46" s="71">
        <f t="shared" si="2"/>
        <v>470555.80000000005</v>
      </c>
      <c r="E46" s="71">
        <f t="shared" si="1"/>
        <v>2683107.8999999994</v>
      </c>
    </row>
    <row r="47" spans="1:5">
      <c r="A47" s="65" t="s">
        <v>566</v>
      </c>
      <c r="B47" s="66">
        <v>606073.69999999995</v>
      </c>
      <c r="C47" s="67">
        <v>606073.69999999995</v>
      </c>
      <c r="D47" s="71">
        <f t="shared" si="2"/>
        <v>606073.69999999995</v>
      </c>
      <c r="E47" s="71">
        <f t="shared" si="1"/>
        <v>2734061.0999999996</v>
      </c>
    </row>
    <row r="48" spans="1:5">
      <c r="A48" s="65" t="s">
        <v>567</v>
      </c>
      <c r="B48" s="66">
        <v>798927.7</v>
      </c>
      <c r="C48" s="67">
        <v>798927.7</v>
      </c>
      <c r="D48" s="71">
        <f t="shared" si="2"/>
        <v>798927.7</v>
      </c>
      <c r="E48" s="71">
        <f t="shared" si="1"/>
        <v>2685727.3</v>
      </c>
    </row>
    <row r="49" spans="1:5">
      <c r="A49" s="65" t="s">
        <v>568</v>
      </c>
      <c r="B49" s="66">
        <v>834358.9</v>
      </c>
      <c r="C49" s="67">
        <v>834358.9</v>
      </c>
      <c r="D49" s="71">
        <f t="shared" si="2"/>
        <v>834358.9</v>
      </c>
      <c r="E49" s="71">
        <f t="shared" si="1"/>
        <v>2709916.1</v>
      </c>
    </row>
    <row r="50" spans="1:5">
      <c r="A50" s="65" t="s">
        <v>569</v>
      </c>
      <c r="B50" s="66">
        <v>479643.2</v>
      </c>
      <c r="C50" s="67">
        <v>479643.2</v>
      </c>
      <c r="D50" s="71">
        <f t="shared" si="2"/>
        <v>479643.2</v>
      </c>
      <c r="E50" s="71">
        <f t="shared" si="1"/>
        <v>2719003.5</v>
      </c>
    </row>
    <row r="51" spans="1:5">
      <c r="A51" s="65" t="s">
        <v>570</v>
      </c>
      <c r="B51" s="66">
        <v>626872.19999999995</v>
      </c>
      <c r="C51" s="67">
        <v>626872.19999999995</v>
      </c>
      <c r="D51" s="71">
        <f t="shared" si="2"/>
        <v>626872.19999999995</v>
      </c>
      <c r="E51" s="71">
        <f t="shared" si="1"/>
        <v>2739802</v>
      </c>
    </row>
    <row r="52" spans="1:5">
      <c r="A52" s="65" t="s">
        <v>571</v>
      </c>
      <c r="B52" s="66">
        <v>851917.79999999993</v>
      </c>
      <c r="C52" s="67">
        <v>851917.79999999993</v>
      </c>
      <c r="D52" s="71">
        <f t="shared" si="2"/>
        <v>851917.79999999993</v>
      </c>
      <c r="E52" s="71">
        <f t="shared" si="1"/>
        <v>2792792.1</v>
      </c>
    </row>
    <row r="53" spans="1:5">
      <c r="A53" s="65" t="s">
        <v>572</v>
      </c>
      <c r="B53" s="66">
        <v>878849</v>
      </c>
      <c r="C53" s="67">
        <v>878849</v>
      </c>
      <c r="D53" s="71">
        <f t="shared" si="2"/>
        <v>878849</v>
      </c>
      <c r="E53" s="71">
        <f t="shared" si="1"/>
        <v>2837282.1999999997</v>
      </c>
    </row>
    <row r="54" spans="1:5">
      <c r="A54" s="65" t="s">
        <v>573</v>
      </c>
      <c r="B54" s="66">
        <v>504522.8967508038</v>
      </c>
      <c r="C54" s="67">
        <v>504522.8967508038</v>
      </c>
      <c r="D54" s="71">
        <f t="shared" si="2"/>
        <v>504522.8967508038</v>
      </c>
      <c r="E54" s="71">
        <f t="shared" si="1"/>
        <v>2862161.896750804</v>
      </c>
    </row>
    <row r="55" spans="1:5">
      <c r="A55" s="65" t="s">
        <v>574</v>
      </c>
      <c r="B55" s="66">
        <v>671932.19212171983</v>
      </c>
      <c r="C55" s="67">
        <v>671932.19212171983</v>
      </c>
      <c r="D55" s="71">
        <f t="shared" si="2"/>
        <v>671932.19212171983</v>
      </c>
      <c r="E55" s="71">
        <f t="shared" si="1"/>
        <v>2907221.8888725238</v>
      </c>
    </row>
    <row r="56" spans="1:5">
      <c r="A56" s="65" t="s">
        <v>575</v>
      </c>
      <c r="B56" s="66">
        <v>929599.33511717664</v>
      </c>
      <c r="C56" s="67">
        <v>929599.33511717664</v>
      </c>
      <c r="D56" s="71">
        <f t="shared" si="2"/>
        <v>929599.33511717664</v>
      </c>
      <c r="E56" s="71">
        <f t="shared" si="1"/>
        <v>2984903.4239897002</v>
      </c>
    </row>
    <row r="57" spans="1:5">
      <c r="A57" s="65" t="s">
        <v>576</v>
      </c>
      <c r="B57" s="66">
        <v>933888.30000097689</v>
      </c>
      <c r="C57" s="67">
        <v>933888.30000097689</v>
      </c>
      <c r="D57" s="71">
        <f t="shared" si="2"/>
        <v>933888.30000097689</v>
      </c>
      <c r="E57" s="71">
        <f t="shared" si="1"/>
        <v>3039942.7239906769</v>
      </c>
    </row>
    <row r="58" spans="1:5">
      <c r="A58" s="65" t="s">
        <v>577</v>
      </c>
      <c r="B58" s="66">
        <v>541106.81666383147</v>
      </c>
      <c r="C58" s="67">
        <v>541106.81666383147</v>
      </c>
      <c r="D58" s="71">
        <f t="shared" si="2"/>
        <v>541106.81666383147</v>
      </c>
      <c r="E58" s="71">
        <f t="shared" si="1"/>
        <v>3076526.6439037048</v>
      </c>
    </row>
    <row r="59" spans="1:5">
      <c r="A59" s="65" t="s">
        <v>578</v>
      </c>
      <c r="B59" s="66">
        <v>677786.47554050933</v>
      </c>
      <c r="C59" s="67">
        <v>677786.47554050933</v>
      </c>
      <c r="D59" s="71">
        <f t="shared" si="2"/>
        <v>677786.47554050933</v>
      </c>
      <c r="E59" s="71">
        <f t="shared" si="1"/>
        <v>3082380.9273224943</v>
      </c>
    </row>
    <row r="60" spans="1:5">
      <c r="A60" s="65" t="s">
        <v>579</v>
      </c>
      <c r="B60" s="66">
        <v>945311.0450897686</v>
      </c>
      <c r="C60" s="67">
        <v>945311.0450897686</v>
      </c>
      <c r="D60" s="71">
        <f t="shared" si="2"/>
        <v>945311.0450897686</v>
      </c>
      <c r="E60" s="71">
        <f t="shared" si="1"/>
        <v>3098092.6372950864</v>
      </c>
    </row>
    <row r="61" spans="1:5">
      <c r="A61" s="65" t="s">
        <v>580</v>
      </c>
      <c r="B61" s="66">
        <v>981780.54323192115</v>
      </c>
      <c r="C61" s="67">
        <v>981780.54323192115</v>
      </c>
      <c r="D61" s="71">
        <f t="shared" si="2"/>
        <v>981780.54323192115</v>
      </c>
      <c r="E61" s="71">
        <f t="shared" si="1"/>
        <v>3145984.8805260309</v>
      </c>
    </row>
    <row r="62" spans="1:5">
      <c r="A62" s="65" t="s">
        <v>581</v>
      </c>
      <c r="B62" s="66">
        <v>557390.90729522391</v>
      </c>
      <c r="C62" s="67">
        <v>557390.90729522391</v>
      </c>
      <c r="D62" s="71">
        <f t="shared" si="2"/>
        <v>557390.90729522391</v>
      </c>
      <c r="E62" s="71">
        <f t="shared" si="1"/>
        <v>3162268.9711574228</v>
      </c>
    </row>
    <row r="63" spans="1:5">
      <c r="A63" s="65" t="s">
        <v>582</v>
      </c>
      <c r="B63" s="66">
        <v>691821.28778468212</v>
      </c>
      <c r="C63" s="67">
        <v>691821.28778468212</v>
      </c>
      <c r="D63" s="71">
        <f t="shared" si="2"/>
        <v>691821.28778468212</v>
      </c>
      <c r="E63" s="71">
        <f t="shared" si="1"/>
        <v>3176303.7834015959</v>
      </c>
    </row>
    <row r="64" spans="1:5">
      <c r="A64" s="65" t="s">
        <v>583</v>
      </c>
      <c r="B64" s="66">
        <v>995988.56229056756</v>
      </c>
      <c r="C64" s="67">
        <v>995988.56229056756</v>
      </c>
      <c r="D64" s="71">
        <f t="shared" si="2"/>
        <v>995988.56229056756</v>
      </c>
      <c r="E64" s="71">
        <f t="shared" si="1"/>
        <v>3226981.3006023946</v>
      </c>
    </row>
    <row r="65" spans="1:5">
      <c r="A65" s="65" t="s">
        <v>584</v>
      </c>
      <c r="B65" s="66">
        <v>1015148.0594768589</v>
      </c>
      <c r="C65" s="67">
        <v>1015148.0594768589</v>
      </c>
      <c r="D65" s="71">
        <f t="shared" si="2"/>
        <v>1015148.0594768589</v>
      </c>
      <c r="E65" s="71">
        <f t="shared" si="1"/>
        <v>3260348.8168473323</v>
      </c>
    </row>
    <row r="66" spans="1:5">
      <c r="A66" s="65" t="s">
        <v>585</v>
      </c>
      <c r="B66" s="66">
        <v>576298.0637185605</v>
      </c>
      <c r="C66" s="67">
        <v>576298.0637185605</v>
      </c>
      <c r="D66" s="71">
        <f t="shared" si="2"/>
        <v>576298.0637185605</v>
      </c>
      <c r="E66" s="71">
        <f t="shared" si="1"/>
        <v>3279255.9732706691</v>
      </c>
    </row>
    <row r="67" spans="1:5">
      <c r="A67" s="65" t="s">
        <v>586</v>
      </c>
      <c r="B67" s="66">
        <v>722954.78099273657</v>
      </c>
      <c r="C67" s="67">
        <v>722954.78099273657</v>
      </c>
      <c r="D67" s="71">
        <f t="shared" si="2"/>
        <v>722954.78099273657</v>
      </c>
      <c r="E67" s="71">
        <f t="shared" si="1"/>
        <v>3310389.4664787236</v>
      </c>
    </row>
    <row r="68" spans="1:5">
      <c r="A68" s="65" t="s">
        <v>587</v>
      </c>
      <c r="B68" s="66">
        <v>1038388.5766074489</v>
      </c>
      <c r="C68" s="67">
        <v>1038388.5766074489</v>
      </c>
      <c r="D68" s="71">
        <f t="shared" si="2"/>
        <v>1038388.5766074489</v>
      </c>
      <c r="E68" s="71">
        <f t="shared" si="1"/>
        <v>3352789.4807956051</v>
      </c>
    </row>
    <row r="69" spans="1:5">
      <c r="A69" s="65" t="s">
        <v>588</v>
      </c>
      <c r="B69" s="66">
        <v>1028269.9789664835</v>
      </c>
      <c r="C69" s="67">
        <v>1028269.9789664835</v>
      </c>
      <c r="D69" s="71">
        <f t="shared" si="2"/>
        <v>1028269.9789664835</v>
      </c>
      <c r="E69" s="71">
        <f t="shared" si="1"/>
        <v>3365911.4002852296</v>
      </c>
    </row>
    <row r="70" spans="1:5">
      <c r="A70" s="65" t="s">
        <v>589</v>
      </c>
      <c r="B70" s="66">
        <v>601664.20340878842</v>
      </c>
      <c r="C70" s="67">
        <v>601664.20340878842</v>
      </c>
      <c r="D70" s="71">
        <f t="shared" si="2"/>
        <v>601664.20340878842</v>
      </c>
      <c r="E70" s="71">
        <f t="shared" ref="E70:E102" si="3">SUM(D67:D70)</f>
        <v>3391277.5399754574</v>
      </c>
    </row>
    <row r="71" spans="1:5">
      <c r="A71" s="65" t="s">
        <v>590</v>
      </c>
      <c r="B71" s="66">
        <v>740539.45434080844</v>
      </c>
      <c r="C71" s="67">
        <v>740539.45434080844</v>
      </c>
      <c r="D71" s="71">
        <f t="shared" si="2"/>
        <v>740539.45434080844</v>
      </c>
      <c r="E71" s="71">
        <f t="shared" si="3"/>
        <v>3408862.2133235293</v>
      </c>
    </row>
    <row r="72" spans="1:5">
      <c r="A72" s="65" t="s">
        <v>591</v>
      </c>
      <c r="B72" s="66">
        <v>1012200.0878027271</v>
      </c>
      <c r="C72" s="67">
        <v>1012200.0878027271</v>
      </c>
      <c r="D72" s="71">
        <f t="shared" si="2"/>
        <v>1012200.0878027271</v>
      </c>
      <c r="E72" s="71">
        <f t="shared" si="3"/>
        <v>3382673.7245188076</v>
      </c>
    </row>
    <row r="73" spans="1:5">
      <c r="A73" s="65" t="s">
        <v>592</v>
      </c>
      <c r="B73" s="66">
        <v>1018100.9009395519</v>
      </c>
      <c r="C73" s="67">
        <v>1018100.9009395519</v>
      </c>
      <c r="D73" s="71">
        <f t="shared" si="2"/>
        <v>1018100.9009395519</v>
      </c>
      <c r="E73" s="71">
        <f t="shared" si="3"/>
        <v>3372504.6464918759</v>
      </c>
    </row>
    <row r="74" spans="1:5">
      <c r="A74" s="65" t="s">
        <v>593</v>
      </c>
      <c r="B74" s="66">
        <v>645159.50369605841</v>
      </c>
      <c r="C74" s="67">
        <v>645159.50369605841</v>
      </c>
      <c r="D74" s="71">
        <f t="shared" si="2"/>
        <v>645159.50369605841</v>
      </c>
      <c r="E74" s="71">
        <f t="shared" si="3"/>
        <v>3415999.9467791459</v>
      </c>
    </row>
    <row r="75" spans="1:5">
      <c r="A75" s="65" t="s">
        <v>594</v>
      </c>
      <c r="B75" s="66">
        <v>790112.97079817101</v>
      </c>
      <c r="C75" s="67">
        <v>790112.97079817101</v>
      </c>
      <c r="D75" s="71">
        <f t="shared" si="2"/>
        <v>790112.97079817101</v>
      </c>
      <c r="E75" s="71">
        <f t="shared" si="3"/>
        <v>3465573.4632365084</v>
      </c>
    </row>
    <row r="76" spans="1:5">
      <c r="A76" s="65" t="s">
        <v>595</v>
      </c>
      <c r="B76" s="66">
        <v>1057220.9669880925</v>
      </c>
      <c r="C76" s="67">
        <v>1057220.9669880925</v>
      </c>
      <c r="D76" s="71">
        <f t="shared" si="2"/>
        <v>1057220.9669880925</v>
      </c>
      <c r="E76" s="71">
        <f t="shared" si="3"/>
        <v>3510594.3424218735</v>
      </c>
    </row>
    <row r="77" spans="1:5">
      <c r="A77" s="65" t="s">
        <v>596</v>
      </c>
      <c r="B77" s="66">
        <v>1133913.2784622076</v>
      </c>
      <c r="C77" s="67">
        <v>1133913.2784622076</v>
      </c>
      <c r="D77" s="71">
        <f t="shared" si="2"/>
        <v>1133913.2784622076</v>
      </c>
      <c r="E77" s="71">
        <f t="shared" si="3"/>
        <v>3626406.7199445302</v>
      </c>
    </row>
    <row r="78" spans="1:5">
      <c r="A78" s="65" t="s">
        <v>597</v>
      </c>
      <c r="B78" s="66">
        <v>711149.94463565061</v>
      </c>
      <c r="C78" s="67">
        <v>709158.29571383446</v>
      </c>
      <c r="D78" s="71">
        <f t="shared" si="2"/>
        <v>709158.29571383446</v>
      </c>
      <c r="E78" s="71">
        <f t="shared" si="3"/>
        <v>3690405.5119623058</v>
      </c>
    </row>
    <row r="79" spans="1:5">
      <c r="A79" s="65" t="s">
        <v>598</v>
      </c>
      <c r="B79" s="66">
        <v>849738.98768667737</v>
      </c>
      <c r="C79" s="67">
        <v>848382.5442807572</v>
      </c>
      <c r="D79" s="71">
        <f t="shared" si="2"/>
        <v>848382.5442807572</v>
      </c>
      <c r="E79" s="71">
        <f t="shared" si="3"/>
        <v>3748675.0854448918</v>
      </c>
    </row>
    <row r="80" spans="1:5">
      <c r="A80" s="65" t="s">
        <v>599</v>
      </c>
      <c r="B80" s="66">
        <v>1087262.025760486</v>
      </c>
      <c r="C80" s="67">
        <v>1086483.8072694307</v>
      </c>
      <c r="D80" s="71">
        <f t="shared" si="2"/>
        <v>1086483.8072694307</v>
      </c>
      <c r="E80" s="71">
        <f t="shared" si="3"/>
        <v>3777937.9257262303</v>
      </c>
    </row>
    <row r="81" spans="1:5">
      <c r="A81" s="65" t="s">
        <v>600</v>
      </c>
      <c r="B81" s="66">
        <v>1169178.5163766267</v>
      </c>
      <c r="C81" s="67">
        <v>1171045.5147681329</v>
      </c>
      <c r="D81" s="71">
        <f t="shared" si="2"/>
        <v>1171045.5147681329</v>
      </c>
      <c r="E81" s="71">
        <f t="shared" si="3"/>
        <v>3815070.1620321553</v>
      </c>
    </row>
    <row r="82" spans="1:5">
      <c r="A82" s="65" t="s">
        <v>601</v>
      </c>
      <c r="B82" s="66">
        <v>762287.15508995322</v>
      </c>
      <c r="C82" s="67">
        <v>763088.22561306565</v>
      </c>
      <c r="D82" s="71">
        <f t="shared" si="2"/>
        <v>763088.22561306565</v>
      </c>
      <c r="E82" s="71">
        <f t="shared" si="3"/>
        <v>3869000.0919313864</v>
      </c>
    </row>
    <row r="83" spans="1:5">
      <c r="A83" s="65" t="s">
        <v>602</v>
      </c>
      <c r="B83" s="66">
        <v>904816.60503726231</v>
      </c>
      <c r="C83" s="67">
        <v>908183.48451621027</v>
      </c>
      <c r="D83" s="71">
        <f t="shared" si="2"/>
        <v>908183.48451621027</v>
      </c>
      <c r="E83" s="71">
        <f t="shared" si="3"/>
        <v>3928801.0321668396</v>
      </c>
    </row>
    <row r="84" spans="1:5">
      <c r="A84" s="68" t="s">
        <v>603</v>
      </c>
      <c r="B84" s="69">
        <v>1166417.7650213956</v>
      </c>
      <c r="C84" s="67">
        <v>1175036.0164806037</v>
      </c>
      <c r="D84" s="71">
        <f t="shared" si="2"/>
        <v>1175036.0164806037</v>
      </c>
      <c r="E84" s="71">
        <f t="shared" si="3"/>
        <v>4017353.2413780126</v>
      </c>
    </row>
    <row r="85" spans="1:5">
      <c r="B85" s="66"/>
      <c r="C85" s="67">
        <v>1259863.2667899788</v>
      </c>
      <c r="D85" s="71">
        <f t="shared" si="2"/>
        <v>1259863.2667899788</v>
      </c>
      <c r="E85" s="71">
        <f t="shared" si="3"/>
        <v>4106170.9933998585</v>
      </c>
    </row>
    <row r="86" spans="1:5">
      <c r="B86" s="66"/>
      <c r="C86" s="67">
        <v>795320.43263324944</v>
      </c>
      <c r="D86" s="71">
        <f t="shared" si="2"/>
        <v>795320.43263324944</v>
      </c>
      <c r="E86" s="71">
        <f t="shared" si="3"/>
        <v>4138403.2004200425</v>
      </c>
    </row>
    <row r="87" spans="1:5">
      <c r="B87" s="66"/>
      <c r="C87" s="67">
        <v>784214.8491972842</v>
      </c>
      <c r="D87" s="71">
        <f t="shared" si="2"/>
        <v>784214.8491972842</v>
      </c>
      <c r="E87" s="71">
        <f t="shared" si="3"/>
        <v>4014434.5651011164</v>
      </c>
    </row>
    <row r="88" spans="1:5">
      <c r="B88" s="66"/>
      <c r="C88" s="67">
        <v>1072123.1410417086</v>
      </c>
      <c r="D88" s="71">
        <f t="shared" si="2"/>
        <v>1072123.1410417086</v>
      </c>
      <c r="E88" s="71">
        <f t="shared" si="3"/>
        <v>3911521.6896622214</v>
      </c>
    </row>
    <row r="89" spans="1:5">
      <c r="B89" s="66"/>
      <c r="C89" s="67">
        <v>1150682.5955860275</v>
      </c>
      <c r="D89" s="71">
        <f t="shared" si="2"/>
        <v>1150682.5955860275</v>
      </c>
      <c r="E89" s="71">
        <f t="shared" si="3"/>
        <v>3802341.01845827</v>
      </c>
    </row>
    <row r="90" spans="1:5">
      <c r="B90" s="66"/>
      <c r="C90" s="67">
        <v>782063.96260531142</v>
      </c>
      <c r="D90" s="71">
        <f t="shared" si="2"/>
        <v>782063.96260531142</v>
      </c>
      <c r="E90" s="71">
        <f t="shared" si="3"/>
        <v>3789084.548430332</v>
      </c>
    </row>
    <row r="91" spans="1:5">
      <c r="B91" s="66"/>
      <c r="C91" s="67">
        <v>857161.48175893317</v>
      </c>
      <c r="D91" s="71">
        <f t="shared" ref="D91:D102" si="4">C91</f>
        <v>857161.48175893317</v>
      </c>
      <c r="E91" s="71">
        <f t="shared" si="3"/>
        <v>3862031.1809919807</v>
      </c>
    </row>
    <row r="92" spans="1:5">
      <c r="B92" s="66"/>
      <c r="C92" s="67">
        <v>1096694.3100259504</v>
      </c>
      <c r="D92" s="71">
        <f t="shared" si="4"/>
        <v>1096694.3100259504</v>
      </c>
      <c r="E92" s="71">
        <f t="shared" si="3"/>
        <v>3886602.3499762225</v>
      </c>
    </row>
    <row r="93" spans="1:5">
      <c r="B93" s="66"/>
      <c r="C93" s="67">
        <v>1282998.2586016869</v>
      </c>
      <c r="D93" s="71">
        <f t="shared" si="4"/>
        <v>1282998.2586016869</v>
      </c>
      <c r="E93" s="71">
        <f t="shared" si="3"/>
        <v>4018918.0129918819</v>
      </c>
    </row>
    <row r="94" spans="1:5">
      <c r="B94" s="66"/>
      <c r="C94" s="67">
        <v>850030.59410472796</v>
      </c>
      <c r="D94" s="71">
        <f t="shared" si="4"/>
        <v>850030.59410472796</v>
      </c>
      <c r="E94" s="71">
        <f t="shared" si="3"/>
        <v>4086884.6444912981</v>
      </c>
    </row>
    <row r="95" spans="1:5">
      <c r="B95" s="66"/>
      <c r="C95" s="67">
        <v>970379.82249358157</v>
      </c>
      <c r="D95" s="71">
        <f t="shared" si="4"/>
        <v>970379.82249358157</v>
      </c>
      <c r="E95" s="71">
        <f t="shared" si="3"/>
        <v>4200102.9852259476</v>
      </c>
    </row>
    <row r="96" spans="1:5">
      <c r="B96" s="66"/>
      <c r="C96" s="67">
        <v>1258662.1209480118</v>
      </c>
      <c r="D96" s="71">
        <f t="shared" si="4"/>
        <v>1258662.1209480118</v>
      </c>
      <c r="E96" s="71">
        <f t="shared" si="3"/>
        <v>4362070.7961480077</v>
      </c>
    </row>
    <row r="97" spans="2:5">
      <c r="B97" s="66"/>
      <c r="C97" s="67">
        <v>1445891.1308306085</v>
      </c>
      <c r="D97" s="71">
        <f t="shared" si="4"/>
        <v>1445891.1308306085</v>
      </c>
      <c r="E97" s="71">
        <f t="shared" si="3"/>
        <v>4524963.6683769301</v>
      </c>
    </row>
    <row r="98" spans="2:5">
      <c r="B98" s="66"/>
      <c r="C98" s="67">
        <v>952888.12877983029</v>
      </c>
      <c r="D98" s="71">
        <f t="shared" si="4"/>
        <v>952888.12877983029</v>
      </c>
      <c r="E98" s="71">
        <f t="shared" si="3"/>
        <v>4627821.2030520318</v>
      </c>
    </row>
    <row r="99" spans="2:5">
      <c r="B99" s="66"/>
      <c r="C99" s="67">
        <v>1056102.8232816337</v>
      </c>
      <c r="D99" s="71">
        <f t="shared" si="4"/>
        <v>1056102.8232816337</v>
      </c>
      <c r="E99" s="71">
        <f t="shared" si="3"/>
        <v>4713544.2038400844</v>
      </c>
    </row>
    <row r="100" spans="2:5">
      <c r="B100" s="66"/>
      <c r="C100" s="70">
        <v>1327078.8619655874</v>
      </c>
      <c r="D100" s="71">
        <f t="shared" si="4"/>
        <v>1327078.8619655874</v>
      </c>
      <c r="E100" s="71">
        <f t="shared" si="3"/>
        <v>4781960.9448576597</v>
      </c>
    </row>
    <row r="101" spans="2:5">
      <c r="B101" s="66"/>
      <c r="C101" s="70">
        <v>1513437.8685472999</v>
      </c>
      <c r="D101" s="71">
        <f t="shared" si="4"/>
        <v>1513437.8685472999</v>
      </c>
      <c r="E101" s="71">
        <f t="shared" si="3"/>
        <v>4849507.6825743513</v>
      </c>
    </row>
    <row r="102" spans="2:5">
      <c r="B102" s="66"/>
      <c r="C102" s="70">
        <v>1007112.6749870629</v>
      </c>
      <c r="D102" s="71">
        <f t="shared" si="4"/>
        <v>1007112.6749870629</v>
      </c>
      <c r="E102" s="71">
        <f t="shared" si="3"/>
        <v>4903732.2287815837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BF1-C9CA-40A6-B584-243B1260FA54}">
  <dimension ref="A1:F244"/>
  <sheetViews>
    <sheetView workbookViewId="0">
      <selection activeCell="F4" sqref="F2:F4"/>
    </sheetView>
  </sheetViews>
  <sheetFormatPr baseColWidth="10" defaultColWidth="8.83203125" defaultRowHeight="15"/>
  <cols>
    <col min="1" max="1" width="10" bestFit="1" customWidth="1"/>
    <col min="2" max="2" width="12.5" bestFit="1" customWidth="1"/>
    <col min="5" max="5" width="10" bestFit="1" customWidth="1"/>
  </cols>
  <sheetData>
    <row r="1" spans="1:6">
      <c r="A1" t="s">
        <v>0</v>
      </c>
      <c r="B1" t="s">
        <v>322</v>
      </c>
      <c r="E1" t="s">
        <v>0</v>
      </c>
      <c r="F1" t="s">
        <v>322</v>
      </c>
    </row>
    <row r="2" spans="1:6">
      <c r="A2" s="49">
        <v>37986</v>
      </c>
      <c r="B2" s="51">
        <v>0.17759127794953314</v>
      </c>
      <c r="E2" s="49">
        <v>37711</v>
      </c>
      <c r="F2" s="53">
        <f t="shared" ref="F2:F3" si="0">F3</f>
        <v>0.17759127794953314</v>
      </c>
    </row>
    <row r="3" spans="1:6">
      <c r="A3" s="49">
        <v>38017</v>
      </c>
      <c r="B3" s="51">
        <v>0.19277690566336653</v>
      </c>
      <c r="E3" s="49">
        <v>37802</v>
      </c>
      <c r="F3" s="53">
        <f t="shared" si="0"/>
        <v>0.17759127794953314</v>
      </c>
    </row>
    <row r="4" spans="1:6">
      <c r="A4" s="49">
        <v>38046</v>
      </c>
      <c r="B4" s="51">
        <v>0.23901323072840983</v>
      </c>
      <c r="E4" s="49">
        <v>37894</v>
      </c>
      <c r="F4" s="53">
        <f>F5</f>
        <v>0.17759127794953314</v>
      </c>
    </row>
    <row r="5" spans="1:6">
      <c r="A5" s="49">
        <v>38077</v>
      </c>
      <c r="B5" s="51">
        <v>0.25097346217906935</v>
      </c>
      <c r="E5" s="49">
        <v>37986</v>
      </c>
      <c r="F5">
        <f>VLOOKUP(E5,$A$2:$B$244,2,FALSE)</f>
        <v>0.17759127794953314</v>
      </c>
    </row>
    <row r="6" spans="1:6">
      <c r="A6" s="49">
        <v>38107</v>
      </c>
      <c r="B6" s="51">
        <v>0.25107097148233082</v>
      </c>
      <c r="E6" s="49">
        <v>38077</v>
      </c>
      <c r="F6">
        <f t="shared" ref="F6:F69" si="1">VLOOKUP(E6,$A$2:$B$244,2,FALSE)</f>
        <v>0.25097346217906935</v>
      </c>
    </row>
    <row r="7" spans="1:6">
      <c r="A7" s="49">
        <v>38138</v>
      </c>
      <c r="B7" s="51">
        <v>0.2864601630307842</v>
      </c>
      <c r="E7" s="49">
        <v>38168</v>
      </c>
      <c r="F7">
        <f t="shared" si="1"/>
        <v>0.25399792181736131</v>
      </c>
    </row>
    <row r="8" spans="1:6">
      <c r="A8" s="49">
        <v>38168</v>
      </c>
      <c r="B8" s="51">
        <v>0.25399792181736131</v>
      </c>
      <c r="E8" s="49">
        <v>38260</v>
      </c>
      <c r="F8">
        <f t="shared" si="1"/>
        <v>0.21843329087894975</v>
      </c>
    </row>
    <row r="9" spans="1:6">
      <c r="A9" s="49">
        <v>38199</v>
      </c>
      <c r="B9" s="51">
        <v>0.20987312614240961</v>
      </c>
      <c r="E9" s="49">
        <v>38352</v>
      </c>
      <c r="F9">
        <f t="shared" si="1"/>
        <v>0.32586859079788028</v>
      </c>
    </row>
    <row r="10" spans="1:6">
      <c r="A10" s="49">
        <v>38230</v>
      </c>
      <c r="B10" s="51">
        <v>0.20075484194384799</v>
      </c>
      <c r="E10" s="49">
        <v>38442</v>
      </c>
      <c r="F10">
        <f t="shared" si="1"/>
        <v>0.30676663788423375</v>
      </c>
    </row>
    <row r="11" spans="1:6">
      <c r="A11" s="49">
        <v>38260</v>
      </c>
      <c r="B11" s="51">
        <v>0.21843329087894975</v>
      </c>
      <c r="E11" s="49">
        <v>38533</v>
      </c>
      <c r="F11">
        <f t="shared" si="1"/>
        <v>0.27623123575249658</v>
      </c>
    </row>
    <row r="12" spans="1:6">
      <c r="A12" s="49">
        <v>38291</v>
      </c>
      <c r="B12" s="51">
        <v>0.35307261306005511</v>
      </c>
      <c r="E12" s="49">
        <v>38625</v>
      </c>
      <c r="F12">
        <f t="shared" si="1"/>
        <v>0.25989058616729399</v>
      </c>
    </row>
    <row r="13" spans="1:6">
      <c r="A13" s="49">
        <v>38321</v>
      </c>
      <c r="B13" s="51">
        <v>0.35254778212582255</v>
      </c>
      <c r="E13" s="49">
        <v>38717</v>
      </c>
      <c r="F13">
        <f t="shared" si="1"/>
        <v>0.15247996028981378</v>
      </c>
    </row>
    <row r="14" spans="1:6">
      <c r="A14" s="49">
        <v>38352</v>
      </c>
      <c r="B14" s="51">
        <v>0.32586859079788028</v>
      </c>
      <c r="E14" s="49">
        <v>38807</v>
      </c>
      <c r="F14">
        <f t="shared" si="1"/>
        <v>0.15518107544896279</v>
      </c>
    </row>
    <row r="15" spans="1:6">
      <c r="A15" s="49">
        <v>38383</v>
      </c>
      <c r="B15" s="51">
        <v>0.32212597104856738</v>
      </c>
      <c r="E15" s="49">
        <v>38898</v>
      </c>
      <c r="F15">
        <f t="shared" si="1"/>
        <v>0.16243634607201302</v>
      </c>
    </row>
    <row r="16" spans="1:6">
      <c r="A16" s="49">
        <v>38411</v>
      </c>
      <c r="B16" s="51">
        <v>0.32326388049199706</v>
      </c>
      <c r="E16" s="49">
        <v>38990</v>
      </c>
      <c r="F16">
        <f t="shared" si="1"/>
        <v>0.16067327859888769</v>
      </c>
    </row>
    <row r="17" spans="1:6">
      <c r="A17" s="49">
        <v>38442</v>
      </c>
      <c r="B17" s="51">
        <v>0.30676663788423375</v>
      </c>
      <c r="E17" s="49">
        <v>39082</v>
      </c>
      <c r="F17">
        <f t="shared" si="1"/>
        <v>0.15848486526393649</v>
      </c>
    </row>
    <row r="18" spans="1:6">
      <c r="A18" s="49">
        <v>38472</v>
      </c>
      <c r="B18" s="51">
        <v>0.33534710706939502</v>
      </c>
      <c r="E18" s="49">
        <v>39172</v>
      </c>
      <c r="F18">
        <f t="shared" si="1"/>
        <v>0.15490720192448618</v>
      </c>
    </row>
    <row r="19" spans="1:6">
      <c r="A19" s="49">
        <v>38503</v>
      </c>
      <c r="B19" s="51">
        <v>0.32964956097215503</v>
      </c>
      <c r="E19" s="49">
        <v>39263</v>
      </c>
      <c r="F19">
        <f t="shared" si="1"/>
        <v>0.15357268988713688</v>
      </c>
    </row>
    <row r="20" spans="1:6">
      <c r="A20" s="49">
        <v>38533</v>
      </c>
      <c r="B20" s="51">
        <v>0.27623123575249658</v>
      </c>
      <c r="E20" s="49">
        <v>39355</v>
      </c>
      <c r="F20">
        <f t="shared" si="1"/>
        <v>0.15467611484212099</v>
      </c>
    </row>
    <row r="21" spans="1:6">
      <c r="A21" s="49">
        <v>38564</v>
      </c>
      <c r="B21" s="51">
        <v>0.27235932886491843</v>
      </c>
      <c r="E21" s="49">
        <v>39447</v>
      </c>
      <c r="F21">
        <f t="shared" si="1"/>
        <v>0.14769787716889807</v>
      </c>
    </row>
    <row r="22" spans="1:6">
      <c r="A22" s="49">
        <v>38595</v>
      </c>
      <c r="B22" s="51">
        <v>0.27172298191187488</v>
      </c>
      <c r="E22" s="49">
        <v>39538</v>
      </c>
      <c r="F22">
        <f t="shared" si="1"/>
        <v>0.14185165697340996</v>
      </c>
    </row>
    <row r="23" spans="1:6">
      <c r="A23" s="49">
        <v>38625</v>
      </c>
      <c r="B23" s="51">
        <v>0.25989058616729399</v>
      </c>
      <c r="E23" s="49">
        <v>39629</v>
      </c>
      <c r="F23">
        <f t="shared" si="1"/>
        <v>0.13166143877212952</v>
      </c>
    </row>
    <row r="24" spans="1:6">
      <c r="A24" s="49">
        <v>38656</v>
      </c>
      <c r="B24" s="51">
        <v>0.1507486792482915</v>
      </c>
      <c r="E24" s="49">
        <v>39721</v>
      </c>
      <c r="F24">
        <f t="shared" si="1"/>
        <v>0.12499891477318313</v>
      </c>
    </row>
    <row r="25" spans="1:6">
      <c r="A25" s="49">
        <v>38686</v>
      </c>
      <c r="B25" s="51">
        <v>0.15417784125027548</v>
      </c>
      <c r="E25" s="49">
        <v>39813</v>
      </c>
      <c r="F25">
        <f t="shared" si="1"/>
        <v>0.13391005086213895</v>
      </c>
    </row>
    <row r="26" spans="1:6">
      <c r="A26" s="49">
        <v>38717</v>
      </c>
      <c r="B26" s="51">
        <v>0.15247996028981378</v>
      </c>
      <c r="E26" s="49">
        <v>39903</v>
      </c>
      <c r="F26">
        <f t="shared" si="1"/>
        <v>9.5964303081786287E-2</v>
      </c>
    </row>
    <row r="27" spans="1:6">
      <c r="A27" s="49">
        <v>38748</v>
      </c>
      <c r="B27" s="51">
        <v>0.14415088139237814</v>
      </c>
      <c r="E27" s="49">
        <v>39994</v>
      </c>
      <c r="F27">
        <f t="shared" si="1"/>
        <v>6.6188056579607038E-2</v>
      </c>
    </row>
    <row r="28" spans="1:6">
      <c r="A28" s="49">
        <v>38776</v>
      </c>
      <c r="B28" s="51">
        <v>0.14591014670057506</v>
      </c>
      <c r="E28" s="49">
        <v>40086</v>
      </c>
      <c r="F28">
        <f t="shared" si="1"/>
        <v>3.4273531284577427E-2</v>
      </c>
    </row>
    <row r="29" spans="1:6">
      <c r="A29" s="49">
        <v>38807</v>
      </c>
      <c r="B29" s="51">
        <v>0.15518107544896279</v>
      </c>
      <c r="E29" s="49">
        <v>40178</v>
      </c>
      <c r="F29">
        <f t="shared" si="1"/>
        <v>3.3640082087581354E-2</v>
      </c>
    </row>
    <row r="30" spans="1:6">
      <c r="A30" s="49">
        <v>38837</v>
      </c>
      <c r="B30" s="51">
        <v>0.1297318774952233</v>
      </c>
      <c r="E30" s="49">
        <v>40268</v>
      </c>
      <c r="F30">
        <f t="shared" si="1"/>
        <v>5.0094177665145456E-2</v>
      </c>
    </row>
    <row r="31" spans="1:6">
      <c r="A31" s="49">
        <v>38868</v>
      </c>
      <c r="B31" s="51">
        <v>0.13278937707223212</v>
      </c>
      <c r="E31" s="49">
        <v>40359</v>
      </c>
      <c r="F31">
        <f t="shared" si="1"/>
        <v>7.6372994185889206E-2</v>
      </c>
    </row>
    <row r="32" spans="1:6">
      <c r="A32" s="49">
        <v>38898</v>
      </c>
      <c r="B32" s="51">
        <v>0.16243634607201302</v>
      </c>
      <c r="E32" s="49">
        <v>40451</v>
      </c>
      <c r="F32">
        <f t="shared" si="1"/>
        <v>0.10173047090703255</v>
      </c>
    </row>
    <row r="33" spans="1:6">
      <c r="A33" s="49">
        <v>38929</v>
      </c>
      <c r="B33" s="51">
        <v>0.16609007860265759</v>
      </c>
      <c r="E33" s="49">
        <v>40543</v>
      </c>
      <c r="F33">
        <f t="shared" si="1"/>
        <v>0.10225910994504409</v>
      </c>
    </row>
    <row r="34" spans="1:6">
      <c r="A34" s="49">
        <v>38960</v>
      </c>
      <c r="B34" s="51">
        <v>0.1627911639617034</v>
      </c>
      <c r="E34" s="49">
        <v>40633</v>
      </c>
      <c r="F34">
        <f t="shared" si="1"/>
        <v>0.11098567446543135</v>
      </c>
    </row>
    <row r="35" spans="1:6">
      <c r="A35" s="49">
        <v>38990</v>
      </c>
      <c r="B35" s="51">
        <v>0.16067327859888769</v>
      </c>
      <c r="E35" s="49">
        <v>40724</v>
      </c>
      <c r="F35">
        <f t="shared" si="1"/>
        <v>0.11750300481065996</v>
      </c>
    </row>
    <row r="36" spans="1:6">
      <c r="A36" s="49">
        <v>39021</v>
      </c>
      <c r="B36" s="51">
        <v>0.15888756961001166</v>
      </c>
      <c r="E36" s="49">
        <v>40816</v>
      </c>
      <c r="F36">
        <f t="shared" si="1"/>
        <v>0.10326304365541177</v>
      </c>
    </row>
    <row r="37" spans="1:6">
      <c r="A37" s="49">
        <v>39051</v>
      </c>
      <c r="B37" s="51">
        <v>0.1476559124294213</v>
      </c>
      <c r="E37" s="49">
        <v>40908</v>
      </c>
      <c r="F37">
        <f t="shared" si="1"/>
        <v>8.7227464773119143E-2</v>
      </c>
    </row>
    <row r="38" spans="1:6">
      <c r="A38" s="49">
        <v>39082</v>
      </c>
      <c r="B38" s="51">
        <v>0.15848486526393649</v>
      </c>
      <c r="E38" s="49">
        <v>40999</v>
      </c>
      <c r="F38">
        <f t="shared" si="1"/>
        <v>8.4224522268673455E-2</v>
      </c>
    </row>
    <row r="39" spans="1:6">
      <c r="A39" s="49">
        <v>39113</v>
      </c>
      <c r="B39" s="51">
        <v>0.15829620749845572</v>
      </c>
      <c r="E39" s="49">
        <v>41090</v>
      </c>
      <c r="F39">
        <f t="shared" si="1"/>
        <v>7.2419329300456622E-2</v>
      </c>
    </row>
    <row r="40" spans="1:6">
      <c r="A40" s="49">
        <v>39141</v>
      </c>
      <c r="B40" s="51">
        <v>0.15032265221620841</v>
      </c>
      <c r="E40" s="49">
        <v>41182</v>
      </c>
      <c r="F40">
        <f t="shared" si="1"/>
        <v>9.9890512201085066E-2</v>
      </c>
    </row>
    <row r="41" spans="1:6">
      <c r="A41" s="49">
        <v>39172</v>
      </c>
      <c r="B41" s="51">
        <v>0.15490720192448618</v>
      </c>
      <c r="E41" s="49">
        <v>41274</v>
      </c>
      <c r="F41">
        <f t="shared" si="1"/>
        <v>0.11412462286381429</v>
      </c>
    </row>
    <row r="42" spans="1:6">
      <c r="A42" s="49">
        <v>39202</v>
      </c>
      <c r="B42" s="51">
        <v>0.15104745734556901</v>
      </c>
      <c r="E42" s="49">
        <v>41364</v>
      </c>
      <c r="F42">
        <f t="shared" si="1"/>
        <v>0.10154677368245342</v>
      </c>
    </row>
    <row r="43" spans="1:6">
      <c r="A43" s="49">
        <v>39233</v>
      </c>
      <c r="B43" s="51">
        <v>0.1511970246636086</v>
      </c>
      <c r="E43" s="49">
        <v>41455</v>
      </c>
      <c r="F43">
        <f t="shared" si="1"/>
        <v>0.10058717827577628</v>
      </c>
    </row>
    <row r="44" spans="1:6">
      <c r="A44" s="49">
        <v>39263</v>
      </c>
      <c r="B44" s="51">
        <v>0.15357268988713688</v>
      </c>
      <c r="E44" s="49">
        <v>41547</v>
      </c>
      <c r="F44">
        <f t="shared" si="1"/>
        <v>8.9023360046126279E-2</v>
      </c>
    </row>
    <row r="45" spans="1:6">
      <c r="A45" s="49">
        <v>39294</v>
      </c>
      <c r="B45" s="51">
        <v>0.15026448098489356</v>
      </c>
      <c r="E45" s="49">
        <v>41639</v>
      </c>
      <c r="F45">
        <f t="shared" si="1"/>
        <v>9.234967497547375E-2</v>
      </c>
    </row>
    <row r="46" spans="1:6">
      <c r="A46" s="49">
        <v>39325</v>
      </c>
      <c r="B46" s="51">
        <v>0.15392174152869806</v>
      </c>
      <c r="E46" s="49">
        <v>41729</v>
      </c>
      <c r="F46">
        <f t="shared" si="1"/>
        <v>9.7674156834319736E-2</v>
      </c>
    </row>
    <row r="47" spans="1:6">
      <c r="A47" s="49">
        <v>39355</v>
      </c>
      <c r="B47" s="51">
        <v>0.15467611484212099</v>
      </c>
      <c r="E47" s="49">
        <v>41820</v>
      </c>
      <c r="F47">
        <f t="shared" si="1"/>
        <v>0.10027590381586721</v>
      </c>
    </row>
    <row r="48" spans="1:6">
      <c r="A48" s="49">
        <v>39386</v>
      </c>
      <c r="B48" s="51">
        <v>0.16455926767987383</v>
      </c>
      <c r="E48" s="49">
        <v>41912</v>
      </c>
      <c r="F48">
        <f t="shared" si="1"/>
        <v>8.4830942226742465E-2</v>
      </c>
    </row>
    <row r="49" spans="1:6">
      <c r="A49" s="49">
        <v>39416</v>
      </c>
      <c r="B49" s="51">
        <v>0.17278184217172474</v>
      </c>
      <c r="E49" s="49">
        <v>42004</v>
      </c>
      <c r="F49">
        <f t="shared" si="1"/>
        <v>4.5512099582099584E-2</v>
      </c>
    </row>
    <row r="50" spans="1:6">
      <c r="A50" s="49">
        <v>39447</v>
      </c>
      <c r="B50" s="51">
        <v>0.14769787716889807</v>
      </c>
      <c r="E50" s="49">
        <v>42094</v>
      </c>
      <c r="F50">
        <f t="shared" si="1"/>
        <v>2.025463037827931E-2</v>
      </c>
    </row>
    <row r="51" spans="1:6">
      <c r="A51" s="49">
        <v>39478</v>
      </c>
      <c r="B51" s="51">
        <v>0.15144145240050047</v>
      </c>
      <c r="E51" s="49">
        <v>42185</v>
      </c>
      <c r="F51">
        <f t="shared" si="1"/>
        <v>-9.2958897728411729E-3</v>
      </c>
    </row>
    <row r="52" spans="1:6">
      <c r="A52" s="49">
        <v>39507</v>
      </c>
      <c r="B52" s="51">
        <v>0.15565213938146508</v>
      </c>
      <c r="E52" s="49">
        <v>42277</v>
      </c>
      <c r="F52">
        <f t="shared" si="1"/>
        <v>-3.4410987826986358E-2</v>
      </c>
    </row>
    <row r="53" spans="1:6">
      <c r="A53" s="49">
        <v>39538</v>
      </c>
      <c r="B53" s="51">
        <v>0.14185165697340996</v>
      </c>
      <c r="E53" s="49">
        <v>42369</v>
      </c>
      <c r="F53">
        <f t="shared" si="1"/>
        <v>-4.4456505789214916E-2</v>
      </c>
    </row>
    <row r="54" spans="1:6">
      <c r="A54" s="49">
        <v>39568</v>
      </c>
      <c r="B54" s="51">
        <v>0.13588896371300352</v>
      </c>
      <c r="E54" s="49">
        <v>42460</v>
      </c>
      <c r="F54">
        <f t="shared" si="1"/>
        <v>-2.9144732418363555E-2</v>
      </c>
    </row>
    <row r="55" spans="1:6">
      <c r="A55" s="49">
        <v>39599</v>
      </c>
      <c r="B55" s="51">
        <v>0.13748562152650964</v>
      </c>
      <c r="E55" s="49">
        <v>42551</v>
      </c>
      <c r="F55">
        <f t="shared" si="1"/>
        <v>-1.6489194707310188E-2</v>
      </c>
    </row>
    <row r="56" spans="1:6">
      <c r="A56" s="49">
        <v>39629</v>
      </c>
      <c r="B56" s="51">
        <v>0.13166143877212952</v>
      </c>
      <c r="E56" s="49">
        <v>42643</v>
      </c>
      <c r="F56">
        <f t="shared" si="1"/>
        <v>4.412192900197656E-4</v>
      </c>
    </row>
    <row r="57" spans="1:6">
      <c r="A57" s="49">
        <v>39660</v>
      </c>
      <c r="B57" s="51">
        <v>0.13330512449491244</v>
      </c>
      <c r="E57" s="49">
        <v>42735</v>
      </c>
      <c r="F57">
        <f t="shared" si="1"/>
        <v>5.7258056325245416E-2</v>
      </c>
    </row>
    <row r="58" spans="1:6">
      <c r="A58" s="49">
        <v>39691</v>
      </c>
      <c r="B58" s="51">
        <v>0.12985403137153606</v>
      </c>
      <c r="E58" s="49">
        <v>42825</v>
      </c>
      <c r="F58">
        <f t="shared" si="1"/>
        <v>6.3766308862242729E-2</v>
      </c>
    </row>
    <row r="59" spans="1:6">
      <c r="A59" s="49">
        <v>39721</v>
      </c>
      <c r="B59" s="51">
        <v>0.12499891477318313</v>
      </c>
      <c r="E59" s="49">
        <v>42916</v>
      </c>
      <c r="F59">
        <f t="shared" si="1"/>
        <v>7.5102161701220235E-2</v>
      </c>
    </row>
    <row r="60" spans="1:6">
      <c r="A60" s="49">
        <v>39752</v>
      </c>
      <c r="B60" s="51">
        <v>0.12734294606400892</v>
      </c>
      <c r="E60" s="49">
        <v>43008</v>
      </c>
      <c r="F60">
        <f t="shared" si="1"/>
        <v>8.2335317679168074E-2</v>
      </c>
    </row>
    <row r="61" spans="1:6">
      <c r="A61" s="49">
        <v>39782</v>
      </c>
      <c r="B61" s="51">
        <v>0.11262584009892142</v>
      </c>
      <c r="E61" s="49">
        <v>43100</v>
      </c>
      <c r="F61">
        <f t="shared" si="1"/>
        <v>6.0574400527880906E-2</v>
      </c>
    </row>
    <row r="62" spans="1:6">
      <c r="A62" s="49">
        <v>39813</v>
      </c>
      <c r="B62" s="51">
        <v>0.13391005086213895</v>
      </c>
      <c r="E62" s="49">
        <v>43190</v>
      </c>
      <c r="F62">
        <f t="shared" si="1"/>
        <v>6.4386394122461887E-2</v>
      </c>
    </row>
    <row r="63" spans="1:6">
      <c r="A63" s="49">
        <v>39844</v>
      </c>
      <c r="B63" s="51">
        <v>0.11973588517542642</v>
      </c>
      <c r="E63" s="49">
        <v>43281</v>
      </c>
      <c r="F63">
        <f t="shared" si="1"/>
        <v>6.7184031785082435E-2</v>
      </c>
    </row>
    <row r="64" spans="1:6">
      <c r="A64" s="49">
        <v>39872</v>
      </c>
      <c r="B64" s="51">
        <v>0.11131435017640734</v>
      </c>
      <c r="E64" s="49">
        <v>43373</v>
      </c>
      <c r="F64">
        <f t="shared" si="1"/>
        <v>7.0496927152521774E-2</v>
      </c>
    </row>
    <row r="65" spans="1:6">
      <c r="A65" s="49">
        <v>39903</v>
      </c>
      <c r="B65" s="51">
        <v>9.5964303081786287E-2</v>
      </c>
      <c r="E65" s="49">
        <v>43465</v>
      </c>
      <c r="F65">
        <f t="shared" si="1"/>
        <v>5.3079388727209659E-2</v>
      </c>
    </row>
    <row r="66" spans="1:6">
      <c r="A66" s="49">
        <v>39933</v>
      </c>
      <c r="B66" s="51">
        <v>7.7979919232675277E-2</v>
      </c>
      <c r="E66" s="49">
        <v>43555</v>
      </c>
      <c r="F66">
        <f t="shared" si="1"/>
        <v>5.7026139658703241E-2</v>
      </c>
    </row>
    <row r="67" spans="1:6">
      <c r="A67" s="49">
        <v>39964</v>
      </c>
      <c r="B67" s="51">
        <v>6.3942411830177195E-2</v>
      </c>
      <c r="E67" s="49">
        <v>43646</v>
      </c>
      <c r="F67">
        <f t="shared" si="1"/>
        <v>5.4340693020132905E-2</v>
      </c>
    </row>
    <row r="68" spans="1:6">
      <c r="A68" s="49">
        <v>39994</v>
      </c>
      <c r="B68" s="51">
        <v>6.6188056579607038E-2</v>
      </c>
      <c r="E68" s="49">
        <v>43738</v>
      </c>
      <c r="F68">
        <f t="shared" si="1"/>
        <v>6.1469517991040445E-2</v>
      </c>
    </row>
    <row r="69" spans="1:6">
      <c r="A69" s="49">
        <v>40025</v>
      </c>
      <c r="B69" s="51">
        <v>5.0954400461232556E-2</v>
      </c>
      <c r="E69" s="49">
        <v>43830</v>
      </c>
      <c r="F69">
        <f t="shared" si="1"/>
        <v>7.9374438002283998E-2</v>
      </c>
    </row>
    <row r="70" spans="1:6">
      <c r="A70" s="49">
        <v>40056</v>
      </c>
      <c r="B70" s="51">
        <v>3.0616293370229596E-2</v>
      </c>
      <c r="E70" s="49">
        <v>43921</v>
      </c>
      <c r="F70">
        <f t="shared" ref="F70:F85" si="2">VLOOKUP(E70,$A$2:$B$244,2,FALSE)</f>
        <v>8.0086060138007481E-2</v>
      </c>
    </row>
    <row r="71" spans="1:6">
      <c r="A71" s="49">
        <v>40086</v>
      </c>
      <c r="B71" s="51">
        <v>3.4273531284577427E-2</v>
      </c>
      <c r="E71" s="49">
        <v>44012</v>
      </c>
      <c r="F71">
        <f t="shared" si="2"/>
        <v>9.2115139438403285E-2</v>
      </c>
    </row>
    <row r="72" spans="1:6">
      <c r="A72" s="49">
        <v>40117</v>
      </c>
      <c r="B72" s="51">
        <v>2.4282142862577075E-2</v>
      </c>
      <c r="E72" s="49">
        <v>44104</v>
      </c>
      <c r="F72">
        <f t="shared" si="2"/>
        <v>8.6052026305604781E-2</v>
      </c>
    </row>
    <row r="73" spans="1:6">
      <c r="A73" s="49">
        <v>40147</v>
      </c>
      <c r="B73" s="51">
        <v>2.3150644978573404E-2</v>
      </c>
      <c r="E73" s="49">
        <v>44196</v>
      </c>
      <c r="F73">
        <f t="shared" si="2"/>
        <v>7.2034031437200455E-2</v>
      </c>
    </row>
    <row r="74" spans="1:6">
      <c r="A74" s="49">
        <v>40178</v>
      </c>
      <c r="B74" s="51">
        <v>3.3640082087581354E-2</v>
      </c>
      <c r="E74" s="49">
        <v>44286</v>
      </c>
      <c r="F74">
        <f t="shared" si="2"/>
        <v>6.889306335440519E-2</v>
      </c>
    </row>
    <row r="75" spans="1:6">
      <c r="A75" s="49">
        <v>40209</v>
      </c>
      <c r="B75" s="51">
        <v>2.6214243117875156E-2</v>
      </c>
      <c r="E75" s="49">
        <v>44377</v>
      </c>
      <c r="F75">
        <f t="shared" si="2"/>
        <v>4.7667597419988807E-2</v>
      </c>
    </row>
    <row r="76" spans="1:6">
      <c r="A76" s="49">
        <v>40237</v>
      </c>
      <c r="B76" s="51">
        <v>3.0538145319125538E-2</v>
      </c>
      <c r="E76" s="49">
        <v>44469</v>
      </c>
      <c r="F76">
        <f t="shared" si="2"/>
        <v>4.3088834070157588E-2</v>
      </c>
    </row>
    <row r="77" spans="1:6">
      <c r="A77" s="49">
        <v>40268</v>
      </c>
      <c r="B77" s="51">
        <v>5.0094177665145456E-2</v>
      </c>
      <c r="E77" s="49">
        <v>44561</v>
      </c>
      <c r="F77">
        <f t="shared" si="2"/>
        <v>7.0657556369185623E-2</v>
      </c>
    </row>
    <row r="78" spans="1:6">
      <c r="A78" s="49">
        <v>40298</v>
      </c>
      <c r="B78" s="51">
        <v>6.357463206712613E-2</v>
      </c>
      <c r="E78" s="49">
        <v>44651</v>
      </c>
      <c r="F78">
        <f t="shared" si="2"/>
        <v>8.8492255616325607E-2</v>
      </c>
    </row>
    <row r="79" spans="1:6">
      <c r="A79" s="49">
        <v>40329</v>
      </c>
      <c r="B79" s="51">
        <v>7.1020933879144946E-2</v>
      </c>
      <c r="E79" s="49">
        <v>44742</v>
      </c>
      <c r="F79">
        <f t="shared" si="2"/>
        <v>0.15641015192663987</v>
      </c>
    </row>
    <row r="80" spans="1:6">
      <c r="A80" s="49">
        <v>40359</v>
      </c>
      <c r="B80" s="51">
        <v>7.6372994185889206E-2</v>
      </c>
      <c r="E80" s="49">
        <v>44834</v>
      </c>
      <c r="F80">
        <f t="shared" si="2"/>
        <v>0.19076582477536089</v>
      </c>
    </row>
    <row r="81" spans="1:6">
      <c r="A81" s="49">
        <v>40390</v>
      </c>
      <c r="B81" s="51">
        <v>8.3769873801030847E-2</v>
      </c>
      <c r="E81" s="49">
        <v>44926</v>
      </c>
      <c r="F81">
        <f t="shared" si="2"/>
        <v>0.21627664195756763</v>
      </c>
    </row>
    <row r="82" spans="1:6">
      <c r="A82" s="49">
        <v>40421</v>
      </c>
      <c r="B82" s="51">
        <v>9.6410699771943581E-2</v>
      </c>
      <c r="E82" s="49">
        <v>45016</v>
      </c>
      <c r="F82">
        <f t="shared" si="2"/>
        <v>0.22973242955444512</v>
      </c>
    </row>
    <row r="83" spans="1:6">
      <c r="A83" s="49">
        <v>40451</v>
      </c>
      <c r="B83" s="51">
        <v>0.10173047090703255</v>
      </c>
      <c r="E83" s="49">
        <v>45107</v>
      </c>
      <c r="F83">
        <f t="shared" si="2"/>
        <v>0.18042605636980041</v>
      </c>
    </row>
    <row r="84" spans="1:6">
      <c r="A84" s="49">
        <v>40482</v>
      </c>
      <c r="B84" s="51">
        <v>0.10378004723507972</v>
      </c>
      <c r="E84" s="49">
        <v>45199</v>
      </c>
      <c r="F84">
        <f t="shared" si="2"/>
        <v>0.18457617453809194</v>
      </c>
    </row>
    <row r="85" spans="1:6">
      <c r="A85" s="49">
        <v>40512</v>
      </c>
      <c r="B85" s="51">
        <v>0.11293182180358291</v>
      </c>
      <c r="E85" s="49">
        <v>45291</v>
      </c>
      <c r="F85">
        <f t="shared" si="2"/>
        <v>0.13100080441951434</v>
      </c>
    </row>
    <row r="86" spans="1:6">
      <c r="A86" s="49">
        <v>40543</v>
      </c>
      <c r="B86" s="51">
        <v>0.10225910994504409</v>
      </c>
      <c r="E86" s="49">
        <v>45382</v>
      </c>
      <c r="F86">
        <f>B244</f>
        <v>0.13868405159420749</v>
      </c>
    </row>
    <row r="87" spans="1:6">
      <c r="A87" s="49">
        <v>40574</v>
      </c>
      <c r="B87" s="51">
        <v>0.10543306055151659</v>
      </c>
      <c r="E87" s="49"/>
    </row>
    <row r="88" spans="1:6">
      <c r="A88" s="49">
        <v>40602</v>
      </c>
      <c r="B88" s="51">
        <v>0.10690029824118079</v>
      </c>
    </row>
    <row r="89" spans="1:6">
      <c r="A89" s="49">
        <v>40633</v>
      </c>
      <c r="B89" s="51">
        <v>0.11098567446543135</v>
      </c>
    </row>
    <row r="90" spans="1:6">
      <c r="A90" s="49">
        <v>40663</v>
      </c>
      <c r="B90" s="51">
        <v>0.11249519129747616</v>
      </c>
    </row>
    <row r="91" spans="1:6">
      <c r="A91" s="49">
        <v>40694</v>
      </c>
      <c r="B91" s="51">
        <v>0.11462130392677829</v>
      </c>
    </row>
    <row r="92" spans="1:6">
      <c r="A92" s="49">
        <v>40724</v>
      </c>
      <c r="B92" s="51">
        <v>0.11750300481065996</v>
      </c>
    </row>
    <row r="93" spans="1:6">
      <c r="A93" s="49">
        <v>40755</v>
      </c>
      <c r="B93" s="51">
        <v>0.110613175716529</v>
      </c>
    </row>
    <row r="94" spans="1:6">
      <c r="A94" s="49">
        <v>40786</v>
      </c>
      <c r="B94" s="51">
        <v>0.11108552467703406</v>
      </c>
    </row>
    <row r="95" spans="1:6">
      <c r="A95" s="49">
        <v>40816</v>
      </c>
      <c r="B95" s="51">
        <v>0.10326304365541177</v>
      </c>
    </row>
    <row r="96" spans="1:6">
      <c r="A96" s="49">
        <v>40847</v>
      </c>
      <c r="B96" s="51">
        <v>9.6847719796805426E-2</v>
      </c>
    </row>
    <row r="97" spans="1:2">
      <c r="A97" s="49">
        <v>40877</v>
      </c>
      <c r="B97" s="51">
        <v>9.7524248850733436E-2</v>
      </c>
    </row>
    <row r="98" spans="1:2">
      <c r="A98" s="49">
        <v>40908</v>
      </c>
      <c r="B98" s="51">
        <v>8.7227464773119143E-2</v>
      </c>
    </row>
    <row r="99" spans="1:2">
      <c r="A99" s="49">
        <v>40939</v>
      </c>
      <c r="B99" s="51">
        <v>9.0679674395218263E-2</v>
      </c>
    </row>
    <row r="100" spans="1:2">
      <c r="A100" s="49">
        <v>40968</v>
      </c>
      <c r="B100" s="51">
        <v>8.8660190314586995E-2</v>
      </c>
    </row>
    <row r="101" spans="1:2">
      <c r="A101" s="49">
        <v>40999</v>
      </c>
      <c r="B101" s="51">
        <v>8.4224522268673455E-2</v>
      </c>
    </row>
    <row r="102" spans="1:2">
      <c r="A102" s="49">
        <v>41029</v>
      </c>
      <c r="B102" s="51">
        <v>7.8739745866439059E-2</v>
      </c>
    </row>
    <row r="103" spans="1:2">
      <c r="A103" s="49">
        <v>41060</v>
      </c>
      <c r="B103" s="51">
        <v>7.7035099874508906E-2</v>
      </c>
    </row>
    <row r="104" spans="1:2">
      <c r="A104" s="49">
        <v>41090</v>
      </c>
      <c r="B104" s="51">
        <v>7.2419329300456622E-2</v>
      </c>
    </row>
    <row r="105" spans="1:2">
      <c r="A105" s="49">
        <v>41121</v>
      </c>
      <c r="B105" s="51">
        <v>8.6427827513589336E-2</v>
      </c>
    </row>
    <row r="106" spans="1:2">
      <c r="A106" s="49">
        <v>41152</v>
      </c>
      <c r="B106" s="51">
        <v>8.7242512137119158E-2</v>
      </c>
    </row>
    <row r="107" spans="1:2">
      <c r="A107" s="49">
        <v>41182</v>
      </c>
      <c r="B107" s="51">
        <v>9.9890512201085066E-2</v>
      </c>
    </row>
    <row r="108" spans="1:2">
      <c r="A108" s="49">
        <v>41213</v>
      </c>
      <c r="B108" s="51">
        <v>0.10490078155114746</v>
      </c>
    </row>
    <row r="109" spans="1:2">
      <c r="A109" s="49">
        <v>41243</v>
      </c>
      <c r="B109" s="51">
        <v>9.3925865633525826E-2</v>
      </c>
    </row>
    <row r="110" spans="1:2">
      <c r="A110" s="49">
        <v>41274</v>
      </c>
      <c r="B110" s="51">
        <v>0.11412462286381429</v>
      </c>
    </row>
    <row r="111" spans="1:2">
      <c r="A111" s="49">
        <v>41305</v>
      </c>
      <c r="B111" s="51">
        <v>0.10892148034841524</v>
      </c>
    </row>
    <row r="112" spans="1:2">
      <c r="A112" s="49">
        <v>41333</v>
      </c>
      <c r="B112" s="51">
        <v>0.10044405547450154</v>
      </c>
    </row>
    <row r="113" spans="1:2">
      <c r="A113" s="49">
        <v>41364</v>
      </c>
      <c r="B113" s="51">
        <v>0.10154677368245342</v>
      </c>
    </row>
    <row r="114" spans="1:2">
      <c r="A114" s="49">
        <v>41394</v>
      </c>
      <c r="B114" s="51">
        <v>0.10360613616183036</v>
      </c>
    </row>
    <row r="115" spans="1:2">
      <c r="A115" s="49">
        <v>41425</v>
      </c>
      <c r="B115" s="51">
        <v>0.10024399569784001</v>
      </c>
    </row>
    <row r="116" spans="1:2">
      <c r="A116" s="49">
        <v>41455</v>
      </c>
      <c r="B116" s="51">
        <v>0.10058717827577628</v>
      </c>
    </row>
    <row r="117" spans="1:2">
      <c r="A117" s="49">
        <v>41486</v>
      </c>
      <c r="B117" s="51">
        <v>0.10021974854426863</v>
      </c>
    </row>
    <row r="118" spans="1:2">
      <c r="A118" s="49">
        <v>41517</v>
      </c>
      <c r="B118" s="51">
        <v>0.10221621472713421</v>
      </c>
    </row>
    <row r="119" spans="1:2">
      <c r="A119" s="49">
        <v>41547</v>
      </c>
      <c r="B119" s="51">
        <v>8.9023360046126279E-2</v>
      </c>
    </row>
    <row r="120" spans="1:2">
      <c r="A120" s="49">
        <v>41578</v>
      </c>
      <c r="B120" s="51">
        <v>9.2178180421782913E-2</v>
      </c>
    </row>
    <row r="121" spans="1:2">
      <c r="A121" s="49">
        <v>41608</v>
      </c>
      <c r="B121" s="51">
        <v>9.9138958876901606E-2</v>
      </c>
    </row>
    <row r="122" spans="1:2">
      <c r="A122" s="49">
        <v>41639</v>
      </c>
      <c r="B122" s="51">
        <v>9.234967497547375E-2</v>
      </c>
    </row>
    <row r="123" spans="1:2">
      <c r="A123" s="49">
        <v>41670</v>
      </c>
      <c r="B123" s="51">
        <v>9.202201482789861E-2</v>
      </c>
    </row>
    <row r="124" spans="1:2">
      <c r="A124" s="49">
        <v>41698</v>
      </c>
      <c r="B124" s="51">
        <v>9.8989834742988086E-2</v>
      </c>
    </row>
    <row r="125" spans="1:2">
      <c r="A125" s="49">
        <v>41729</v>
      </c>
      <c r="B125" s="51">
        <v>9.7674156834319736E-2</v>
      </c>
    </row>
    <row r="126" spans="1:2">
      <c r="A126" s="49">
        <v>41759</v>
      </c>
      <c r="B126" s="51">
        <v>9.6104065282506007E-2</v>
      </c>
    </row>
    <row r="127" spans="1:2">
      <c r="A127" s="49">
        <v>41790</v>
      </c>
      <c r="B127" s="51">
        <v>9.7122393351975894E-2</v>
      </c>
    </row>
    <row r="128" spans="1:2">
      <c r="A128" s="49">
        <v>41820</v>
      </c>
      <c r="B128" s="51">
        <v>0.10027590381586721</v>
      </c>
    </row>
    <row r="129" spans="1:2">
      <c r="A129" s="49">
        <v>41851</v>
      </c>
      <c r="B129" s="51">
        <v>8.7893877822790387E-2</v>
      </c>
    </row>
    <row r="130" spans="1:2">
      <c r="A130" s="49">
        <v>41882</v>
      </c>
      <c r="B130" s="51">
        <v>8.4545563571784818E-2</v>
      </c>
    </row>
    <row r="131" spans="1:2">
      <c r="A131" s="49">
        <v>41912</v>
      </c>
      <c r="B131" s="51">
        <v>8.4830942226742465E-2</v>
      </c>
    </row>
    <row r="132" spans="1:2">
      <c r="A132" s="49">
        <v>41943</v>
      </c>
      <c r="B132" s="51">
        <v>7.3181729186669917E-2</v>
      </c>
    </row>
    <row r="133" spans="1:2">
      <c r="A133" s="49">
        <v>41973</v>
      </c>
      <c r="B133" s="51">
        <v>5.7958880329660872E-2</v>
      </c>
    </row>
    <row r="134" spans="1:2">
      <c r="A134" s="49">
        <v>42004</v>
      </c>
      <c r="B134" s="51">
        <v>4.5512099582099584E-2</v>
      </c>
    </row>
    <row r="135" spans="1:2">
      <c r="A135" s="49">
        <v>42035</v>
      </c>
      <c r="B135" s="51">
        <v>4.0680130769952763E-2</v>
      </c>
    </row>
    <row r="136" spans="1:2">
      <c r="A136" s="49">
        <v>42063</v>
      </c>
      <c r="B136" s="51">
        <v>3.3919216049666301E-2</v>
      </c>
    </row>
    <row r="137" spans="1:2">
      <c r="A137" s="49">
        <v>42094</v>
      </c>
      <c r="B137" s="51">
        <v>2.025463037827931E-2</v>
      </c>
    </row>
    <row r="138" spans="1:2">
      <c r="A138" s="49">
        <v>42124</v>
      </c>
      <c r="B138" s="51">
        <v>5.9655739570444524E-3</v>
      </c>
    </row>
    <row r="139" spans="1:2">
      <c r="A139" s="49">
        <v>42155</v>
      </c>
      <c r="B139" s="51">
        <v>2.8322796478045787E-3</v>
      </c>
    </row>
    <row r="140" spans="1:2">
      <c r="A140" s="49">
        <v>42185</v>
      </c>
      <c r="B140" s="51">
        <v>-9.2958897728411729E-3</v>
      </c>
    </row>
    <row r="141" spans="1:2">
      <c r="A141" s="49">
        <v>42216</v>
      </c>
      <c r="B141" s="51">
        <v>-2.3278297967540454E-2</v>
      </c>
    </row>
    <row r="142" spans="1:2">
      <c r="A142" s="49">
        <v>42247</v>
      </c>
      <c r="B142" s="51">
        <v>-2.4031801425282294E-2</v>
      </c>
    </row>
    <row r="143" spans="1:2">
      <c r="A143" s="49">
        <v>42277</v>
      </c>
      <c r="B143" s="51">
        <v>-3.4410987826986358E-2</v>
      </c>
    </row>
    <row r="144" spans="1:2">
      <c r="A144" s="49">
        <v>42308</v>
      </c>
      <c r="B144" s="51">
        <v>-7.5748196673804918E-2</v>
      </c>
    </row>
    <row r="145" spans="1:2">
      <c r="A145" s="49">
        <v>42338</v>
      </c>
      <c r="B145" s="51">
        <v>-6.4449422216552629E-2</v>
      </c>
    </row>
    <row r="146" spans="1:2">
      <c r="A146" s="49">
        <v>42369</v>
      </c>
      <c r="B146" s="51">
        <v>-4.4456505789214916E-2</v>
      </c>
    </row>
    <row r="147" spans="1:2">
      <c r="A147" s="49">
        <v>42400</v>
      </c>
      <c r="B147" s="51">
        <v>-4.4073080341138784E-2</v>
      </c>
    </row>
    <row r="148" spans="1:2">
      <c r="A148" s="49">
        <v>42429</v>
      </c>
      <c r="B148" s="51">
        <v>-4.5291675623421547E-2</v>
      </c>
    </row>
    <row r="149" spans="1:2">
      <c r="A149" s="49">
        <v>42460</v>
      </c>
      <c r="B149" s="51">
        <v>-2.9144732418363555E-2</v>
      </c>
    </row>
    <row r="150" spans="1:2">
      <c r="A150" s="49">
        <v>42490</v>
      </c>
      <c r="B150" s="51">
        <v>-2.2511919746430357E-2</v>
      </c>
    </row>
    <row r="151" spans="1:2">
      <c r="A151" s="49">
        <v>42521</v>
      </c>
      <c r="B151" s="51">
        <v>-2.5457007257501149E-2</v>
      </c>
    </row>
    <row r="152" spans="1:2">
      <c r="A152" s="49">
        <v>42551</v>
      </c>
      <c r="B152" s="51">
        <v>-1.6489194707310188E-2</v>
      </c>
    </row>
    <row r="153" spans="1:2">
      <c r="A153" s="49">
        <v>42582</v>
      </c>
      <c r="B153" s="51">
        <v>-1.4569259973047326E-2</v>
      </c>
    </row>
    <row r="154" spans="1:2">
      <c r="A154" s="49">
        <v>42613</v>
      </c>
      <c r="B154" s="51">
        <v>-1.455022914812827E-2</v>
      </c>
    </row>
    <row r="155" spans="1:2">
      <c r="A155" s="49">
        <v>42643</v>
      </c>
      <c r="B155" s="51">
        <v>4.412192900197656E-4</v>
      </c>
    </row>
    <row r="156" spans="1:2">
      <c r="A156" s="49">
        <v>42674</v>
      </c>
      <c r="B156" s="51">
        <v>4.625066739143547E-2</v>
      </c>
    </row>
    <row r="157" spans="1:2">
      <c r="A157" s="49">
        <v>42704</v>
      </c>
      <c r="B157" s="51">
        <v>4.6750853381720844E-2</v>
      </c>
    </row>
    <row r="158" spans="1:2">
      <c r="A158" s="49">
        <v>42735</v>
      </c>
      <c r="B158" s="51">
        <v>5.7258056325245416E-2</v>
      </c>
    </row>
    <row r="159" spans="1:2">
      <c r="A159" s="49">
        <v>42766</v>
      </c>
      <c r="B159" s="51">
        <v>5.8879820607269998E-2</v>
      </c>
    </row>
    <row r="160" spans="1:2">
      <c r="A160" s="49">
        <v>42794</v>
      </c>
      <c r="B160" s="51">
        <v>6.2218541668767273E-2</v>
      </c>
    </row>
    <row r="161" spans="1:2">
      <c r="A161" s="49">
        <v>42825</v>
      </c>
      <c r="B161" s="51">
        <v>6.3766308862242729E-2</v>
      </c>
    </row>
    <row r="162" spans="1:2">
      <c r="A162" s="49">
        <v>42855</v>
      </c>
      <c r="B162" s="51">
        <v>6.6207026234397781E-2</v>
      </c>
    </row>
    <row r="163" spans="1:2">
      <c r="A163" s="49">
        <v>42886</v>
      </c>
      <c r="B163" s="51">
        <v>7.0759373948266854E-2</v>
      </c>
    </row>
    <row r="164" spans="1:2">
      <c r="A164" s="49">
        <v>42916</v>
      </c>
      <c r="B164" s="51">
        <v>7.5102161701220235E-2</v>
      </c>
    </row>
    <row r="165" spans="1:2">
      <c r="A165" s="49">
        <v>42947</v>
      </c>
      <c r="B165" s="51">
        <v>7.948242479972964E-2</v>
      </c>
    </row>
    <row r="166" spans="1:2">
      <c r="A166" s="49">
        <v>42978</v>
      </c>
      <c r="B166" s="51">
        <v>8.1555910908985271E-2</v>
      </c>
    </row>
    <row r="167" spans="1:2">
      <c r="A167" s="49">
        <v>43008</v>
      </c>
      <c r="B167" s="51">
        <v>8.2335317679168074E-2</v>
      </c>
    </row>
    <row r="168" spans="1:2">
      <c r="A168" s="49">
        <v>43039</v>
      </c>
      <c r="B168" s="51">
        <v>7.9523871661698178E-2</v>
      </c>
    </row>
    <row r="169" spans="1:2">
      <c r="A169" s="49">
        <v>43069</v>
      </c>
      <c r="B169" s="51">
        <v>7.6082813462556242E-2</v>
      </c>
    </row>
    <row r="170" spans="1:2">
      <c r="A170" s="49">
        <v>43100</v>
      </c>
      <c r="B170" s="51">
        <v>6.0574400527880906E-2</v>
      </c>
    </row>
    <row r="171" spans="1:2">
      <c r="A171" s="49">
        <v>43131</v>
      </c>
      <c r="B171" s="51">
        <v>6.9898838369802277E-2</v>
      </c>
    </row>
    <row r="172" spans="1:2">
      <c r="A172" s="49">
        <v>43159</v>
      </c>
      <c r="B172" s="51">
        <v>7.2162252298686988E-2</v>
      </c>
    </row>
    <row r="173" spans="1:2">
      <c r="A173" s="49">
        <v>43190</v>
      </c>
      <c r="B173" s="51">
        <v>6.4386394122461887E-2</v>
      </c>
    </row>
    <row r="174" spans="1:2">
      <c r="A174" s="49">
        <v>43220</v>
      </c>
      <c r="B174" s="51">
        <v>6.9513008103620363E-2</v>
      </c>
    </row>
    <row r="175" spans="1:2">
      <c r="A175" s="49">
        <v>43251</v>
      </c>
      <c r="B175" s="51">
        <v>7.2306991426531853E-2</v>
      </c>
    </row>
    <row r="176" spans="1:2">
      <c r="A176" s="49">
        <v>43281</v>
      </c>
      <c r="B176" s="51">
        <v>6.7184031785082435E-2</v>
      </c>
    </row>
    <row r="177" spans="1:2">
      <c r="A177" s="49">
        <v>43312</v>
      </c>
      <c r="B177" s="51">
        <v>7.8598449044304922E-2</v>
      </c>
    </row>
    <row r="178" spans="1:2">
      <c r="A178" s="49">
        <v>43343</v>
      </c>
      <c r="B178" s="51">
        <v>8.0655772514902094E-2</v>
      </c>
    </row>
    <row r="179" spans="1:2">
      <c r="A179" s="49">
        <v>43373</v>
      </c>
      <c r="B179" s="51">
        <v>7.0496927152521774E-2</v>
      </c>
    </row>
    <row r="180" spans="1:2">
      <c r="A180" s="49">
        <v>43404</v>
      </c>
      <c r="B180" s="51">
        <v>7.2158732361956135E-2</v>
      </c>
    </row>
    <row r="181" spans="1:2">
      <c r="A181" s="49">
        <v>43434</v>
      </c>
      <c r="B181" s="51">
        <v>7.8791914455250855E-2</v>
      </c>
    </row>
    <row r="182" spans="1:2">
      <c r="A182" s="49">
        <v>43465</v>
      </c>
      <c r="B182" s="51">
        <v>5.3079388727209659E-2</v>
      </c>
    </row>
    <row r="183" spans="1:2">
      <c r="A183" s="49">
        <v>43496</v>
      </c>
      <c r="B183" s="51">
        <v>5.0268816118133983E-2</v>
      </c>
    </row>
    <row r="184" spans="1:2">
      <c r="A184" s="49">
        <v>43524</v>
      </c>
      <c r="B184" s="51">
        <v>5.3325526754958982E-2</v>
      </c>
    </row>
    <row r="185" spans="1:2">
      <c r="A185" s="49">
        <v>43555</v>
      </c>
      <c r="B185" s="51">
        <v>5.7026139658703241E-2</v>
      </c>
    </row>
    <row r="186" spans="1:2">
      <c r="A186" s="49">
        <v>43585</v>
      </c>
      <c r="B186" s="51">
        <v>5.8904999886953816E-2</v>
      </c>
    </row>
    <row r="187" spans="1:2">
      <c r="A187" s="49">
        <v>43616</v>
      </c>
      <c r="B187" s="51">
        <v>5.4697655420012578E-2</v>
      </c>
    </row>
    <row r="188" spans="1:2">
      <c r="A188" s="49">
        <v>43646</v>
      </c>
      <c r="B188" s="51">
        <v>5.4340693020132905E-2</v>
      </c>
    </row>
    <row r="189" spans="1:2">
      <c r="A189" s="49">
        <v>43677</v>
      </c>
      <c r="B189" s="51">
        <v>5.2285212317325545E-2</v>
      </c>
    </row>
    <row r="190" spans="1:2">
      <c r="A190" s="49">
        <v>43708</v>
      </c>
      <c r="B190" s="51">
        <v>5.3302627231283282E-2</v>
      </c>
    </row>
    <row r="191" spans="1:2">
      <c r="A191" s="49">
        <v>43738</v>
      </c>
      <c r="B191" s="51">
        <v>6.1469517991040445E-2</v>
      </c>
    </row>
    <row r="192" spans="1:2">
      <c r="A192" s="49">
        <v>43769</v>
      </c>
      <c r="B192" s="51">
        <v>6.5686080314060522E-2</v>
      </c>
    </row>
    <row r="193" spans="1:2">
      <c r="A193" s="49">
        <v>43799</v>
      </c>
      <c r="B193" s="51">
        <v>6.4850486768785187E-2</v>
      </c>
    </row>
    <row r="194" spans="1:2">
      <c r="A194" s="49">
        <v>43830</v>
      </c>
      <c r="B194" s="51">
        <v>7.9374438002283998E-2</v>
      </c>
    </row>
    <row r="195" spans="1:2">
      <c r="A195" s="49">
        <v>43861</v>
      </c>
      <c r="B195" s="51">
        <v>8.2252550246260839E-2</v>
      </c>
    </row>
    <row r="196" spans="1:2">
      <c r="A196" s="49">
        <v>43890</v>
      </c>
      <c r="B196" s="51">
        <v>7.9083641409955788E-2</v>
      </c>
    </row>
    <row r="197" spans="1:2">
      <c r="A197" s="49">
        <v>43921</v>
      </c>
      <c r="B197" s="51">
        <v>8.0086060138007481E-2</v>
      </c>
    </row>
    <row r="198" spans="1:2">
      <c r="A198" s="49">
        <v>43951</v>
      </c>
      <c r="B198" s="51">
        <v>8.7031636082125288E-2</v>
      </c>
    </row>
    <row r="199" spans="1:2">
      <c r="A199" s="49">
        <v>43982</v>
      </c>
      <c r="B199" s="51">
        <v>9.2647936923376709E-2</v>
      </c>
    </row>
    <row r="200" spans="1:2">
      <c r="A200" s="49">
        <v>44012</v>
      </c>
      <c r="B200" s="51">
        <v>9.2115139438403285E-2</v>
      </c>
    </row>
    <row r="201" spans="1:2">
      <c r="A201" s="49">
        <v>44043</v>
      </c>
      <c r="B201" s="51">
        <v>8.884116943059954E-2</v>
      </c>
    </row>
    <row r="202" spans="1:2">
      <c r="A202" s="49">
        <v>44074</v>
      </c>
      <c r="B202" s="51">
        <v>8.6721097259210525E-2</v>
      </c>
    </row>
    <row r="203" spans="1:2">
      <c r="A203" s="49">
        <v>44104</v>
      </c>
      <c r="B203" s="51">
        <v>8.6052026305604781E-2</v>
      </c>
    </row>
    <row r="204" spans="1:2">
      <c r="A204" s="49">
        <v>44135</v>
      </c>
      <c r="B204" s="51">
        <v>8.3191144936996572E-2</v>
      </c>
    </row>
    <row r="205" spans="1:2">
      <c r="A205" s="49">
        <v>44165</v>
      </c>
      <c r="B205" s="51">
        <v>8.2674332470978384E-2</v>
      </c>
    </row>
    <row r="206" spans="1:2">
      <c r="A206" s="49">
        <v>44196</v>
      </c>
      <c r="B206" s="52">
        <v>7.2034031437200455E-2</v>
      </c>
    </row>
    <row r="207" spans="1:2">
      <c r="A207" s="49">
        <v>44227</v>
      </c>
      <c r="B207" s="51">
        <v>7.1573896084621613E-2</v>
      </c>
    </row>
    <row r="208" spans="1:2">
      <c r="A208" s="49">
        <v>44255</v>
      </c>
      <c r="B208" s="51">
        <v>7.0950924844379482E-2</v>
      </c>
    </row>
    <row r="209" spans="1:2">
      <c r="A209" s="49">
        <v>44286</v>
      </c>
      <c r="B209" s="51">
        <v>6.889306335440519E-2</v>
      </c>
    </row>
    <row r="210" spans="1:2">
      <c r="A210" s="49">
        <v>44316</v>
      </c>
      <c r="B210" s="51">
        <v>5.1060053557744789E-2</v>
      </c>
    </row>
    <row r="211" spans="1:2">
      <c r="A211" s="49">
        <v>44347</v>
      </c>
      <c r="B211" s="51">
        <v>5.0280183774050302E-2</v>
      </c>
    </row>
    <row r="212" spans="1:2">
      <c r="A212" s="49">
        <v>44377</v>
      </c>
      <c r="B212" s="51">
        <v>4.7667597419988807E-2</v>
      </c>
    </row>
    <row r="213" spans="1:2">
      <c r="A213" s="49">
        <v>44408</v>
      </c>
      <c r="B213" s="51">
        <v>4.5859348964983032E-2</v>
      </c>
    </row>
    <row r="214" spans="1:2">
      <c r="A214" s="49">
        <v>44439</v>
      </c>
      <c r="B214" s="51">
        <v>4.4318834926556944E-2</v>
      </c>
    </row>
    <row r="215" spans="1:2">
      <c r="A215" s="49">
        <v>44469</v>
      </c>
      <c r="B215" s="51">
        <v>4.3088834070157588E-2</v>
      </c>
    </row>
    <row r="216" spans="1:2">
      <c r="A216" s="49">
        <v>44500</v>
      </c>
      <c r="B216" s="51">
        <v>4.7182896419903093E-2</v>
      </c>
    </row>
    <row r="217" spans="1:2">
      <c r="A217" s="49">
        <v>44530</v>
      </c>
      <c r="B217" s="51">
        <v>4.6617295513767081E-2</v>
      </c>
    </row>
    <row r="218" spans="1:2">
      <c r="A218" s="49">
        <v>44561</v>
      </c>
      <c r="B218" s="52">
        <v>7.0657556369185623E-2</v>
      </c>
    </row>
    <row r="219" spans="1:2">
      <c r="A219" s="49">
        <v>44592</v>
      </c>
      <c r="B219" s="51">
        <v>7.6814056842023901E-2</v>
      </c>
    </row>
    <row r="220" spans="1:2">
      <c r="A220" s="49">
        <v>44620</v>
      </c>
      <c r="B220" s="52">
        <v>8.7825261864868859E-2</v>
      </c>
    </row>
    <row r="221" spans="1:2">
      <c r="A221" s="49">
        <v>44651</v>
      </c>
      <c r="B221" s="52">
        <v>8.8492255616325607E-2</v>
      </c>
    </row>
    <row r="222" spans="1:2">
      <c r="A222" s="49">
        <v>44681</v>
      </c>
      <c r="B222" s="52">
        <v>0.1083310476127175</v>
      </c>
    </row>
    <row r="223" spans="1:2">
      <c r="A223" s="49">
        <v>44712</v>
      </c>
      <c r="B223" s="52">
        <v>0.12677017234126825</v>
      </c>
    </row>
    <row r="224" spans="1:2">
      <c r="A224" s="49">
        <v>44742</v>
      </c>
      <c r="B224" s="52">
        <v>0.15641015192663987</v>
      </c>
    </row>
    <row r="225" spans="1:2">
      <c r="A225" s="49">
        <v>44773</v>
      </c>
      <c r="B225" s="52">
        <v>0.18680736038809148</v>
      </c>
    </row>
    <row r="226" spans="1:2">
      <c r="A226" s="49">
        <v>44804</v>
      </c>
      <c r="B226" s="52">
        <v>0.1976370083015489</v>
      </c>
    </row>
    <row r="227" spans="1:2">
      <c r="A227" s="49">
        <v>44834</v>
      </c>
      <c r="B227" s="52">
        <v>0.19076582477536089</v>
      </c>
    </row>
    <row r="228" spans="1:2">
      <c r="A228" s="49">
        <v>44865</v>
      </c>
      <c r="B228" s="52">
        <v>0.20232735752746633</v>
      </c>
    </row>
    <row r="229" spans="1:2">
      <c r="A229" s="49">
        <v>44895</v>
      </c>
      <c r="B229" s="52">
        <v>0.22348444086714087</v>
      </c>
    </row>
    <row r="230" spans="1:2">
      <c r="A230" s="49">
        <v>44926</v>
      </c>
      <c r="B230" s="52">
        <v>0.21627664195756763</v>
      </c>
    </row>
    <row r="231" spans="1:2">
      <c r="A231" s="49">
        <v>44957</v>
      </c>
      <c r="B231" s="52">
        <v>0.21881384127696962</v>
      </c>
    </row>
    <row r="232" spans="1:2">
      <c r="A232" s="49">
        <v>44985</v>
      </c>
      <c r="B232" s="52">
        <v>0.21579238763420872</v>
      </c>
    </row>
    <row r="233" spans="1:2">
      <c r="A233" s="49">
        <v>45016</v>
      </c>
      <c r="B233" s="52">
        <v>0.22973242955444512</v>
      </c>
    </row>
    <row r="234" spans="1:2">
      <c r="A234" s="49">
        <v>45046</v>
      </c>
      <c r="B234" s="52">
        <v>0.20823652203853013</v>
      </c>
    </row>
    <row r="235" spans="1:2">
      <c r="A235" s="49">
        <v>45077</v>
      </c>
      <c r="B235" s="52">
        <v>0.19747003737968957</v>
      </c>
    </row>
    <row r="236" spans="1:2">
      <c r="A236" s="49">
        <v>45107</v>
      </c>
      <c r="B236" s="52">
        <v>0.18042605636980041</v>
      </c>
    </row>
    <row r="237" spans="1:2">
      <c r="A237" s="49">
        <v>45138</v>
      </c>
      <c r="B237" s="52">
        <v>0.17042801139898381</v>
      </c>
    </row>
    <row r="238" spans="1:2">
      <c r="A238" s="49">
        <v>45169</v>
      </c>
      <c r="B238" s="52">
        <v>0.17090370021635801</v>
      </c>
    </row>
    <row r="239" spans="1:2">
      <c r="A239" s="50">
        <v>45199</v>
      </c>
      <c r="B239" s="52">
        <v>0.18457617453809194</v>
      </c>
    </row>
    <row r="240" spans="1:2">
      <c r="A240" s="49">
        <v>45230</v>
      </c>
      <c r="B240" s="52">
        <v>0.18286270933743232</v>
      </c>
    </row>
    <row r="241" spans="1:2">
      <c r="A241" s="49">
        <v>45260</v>
      </c>
      <c r="B241" s="52">
        <v>0.16556113801234887</v>
      </c>
    </row>
    <row r="242" spans="1:2">
      <c r="A242" s="49">
        <v>45291</v>
      </c>
      <c r="B242" s="52">
        <v>0.13100080441951434</v>
      </c>
    </row>
    <row r="243" spans="1:2">
      <c r="A243" s="49">
        <v>45322</v>
      </c>
      <c r="B243" s="52">
        <v>0.13537656292734285</v>
      </c>
    </row>
    <row r="244" spans="1:2">
      <c r="A244" s="49">
        <v>45351</v>
      </c>
      <c r="B244" s="52">
        <v>0.13868405159420749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9A4C-553B-4F05-8382-032C8FAC3BD9}">
  <dimension ref="A1:Q2725"/>
  <sheetViews>
    <sheetView workbookViewId="0">
      <selection activeCell="B2" sqref="B2"/>
    </sheetView>
  </sheetViews>
  <sheetFormatPr baseColWidth="10" defaultColWidth="8.83203125" defaultRowHeight="15"/>
  <cols>
    <col min="1" max="1" width="11.1640625" bestFit="1" customWidth="1"/>
    <col min="2" max="2" width="11.1640625" customWidth="1"/>
  </cols>
  <sheetData>
    <row r="1" spans="1:17" ht="39">
      <c r="A1" s="3" t="s">
        <v>2</v>
      </c>
      <c r="B1" s="3" t="s">
        <v>18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</row>
    <row r="2" spans="1:17">
      <c r="A2" s="5">
        <v>41464</v>
      </c>
      <c r="B2" s="5" t="str">
        <f>YEAR(A2)&amp;" q"&amp;ROUNDUP(MONTH(A2)/3,0)</f>
        <v>2013 q3</v>
      </c>
      <c r="C2" s="6">
        <v>8.2018000000000004</v>
      </c>
      <c r="D2" s="6">
        <v>8.1811000000000007</v>
      </c>
      <c r="E2" s="6">
        <v>8.1384000000000007</v>
      </c>
      <c r="F2" s="6">
        <v>8.3117000000000001</v>
      </c>
      <c r="G2" s="6">
        <v>8.7936999999999994</v>
      </c>
      <c r="H2" s="6">
        <v>9.2774999999999999</v>
      </c>
      <c r="I2" s="6">
        <v>11.360900000000001</v>
      </c>
      <c r="J2" s="6">
        <v>12.8422</v>
      </c>
      <c r="K2" s="6">
        <v>13.649900000000001</v>
      </c>
      <c r="L2" s="6">
        <v>14.306900000000001</v>
      </c>
      <c r="M2" s="6">
        <v>14.922000000000001</v>
      </c>
      <c r="N2" s="6">
        <v>15.303100000000001</v>
      </c>
      <c r="O2" s="6">
        <v>15.7026</v>
      </c>
      <c r="P2" s="6">
        <v>16.102</v>
      </c>
      <c r="Q2" s="6"/>
    </row>
    <row r="3" spans="1:17">
      <c r="A3" s="5">
        <v>41465</v>
      </c>
      <c r="B3" s="5" t="str">
        <f t="shared" ref="B3:B66" si="0">YEAR(A3)&amp;" q"&amp;ROUNDUP(MONTH(A3)/3,0)</f>
        <v>2013 q3</v>
      </c>
      <c r="C3" s="6">
        <v>8.1896000000000004</v>
      </c>
      <c r="D3" s="6">
        <v>8.1795000000000009</v>
      </c>
      <c r="E3" s="6">
        <v>8.1586999999999996</v>
      </c>
      <c r="F3" s="6">
        <v>8.3416999999999994</v>
      </c>
      <c r="G3" s="6">
        <v>8.7484000000000002</v>
      </c>
      <c r="H3" s="6">
        <v>9.1597000000000008</v>
      </c>
      <c r="I3" s="6">
        <v>10.9772</v>
      </c>
      <c r="J3" s="6">
        <v>12.6168</v>
      </c>
      <c r="K3" s="6">
        <v>13.517899999999999</v>
      </c>
      <c r="L3" s="6">
        <v>14.2508</v>
      </c>
      <c r="M3" s="6">
        <v>14.972099999999999</v>
      </c>
      <c r="N3" s="6">
        <v>15.416499999999999</v>
      </c>
      <c r="O3" s="6">
        <v>15.8874</v>
      </c>
      <c r="P3" s="6">
        <v>16.3582</v>
      </c>
      <c r="Q3" s="6"/>
    </row>
    <row r="4" spans="1:17">
      <c r="A4" s="5">
        <v>41466</v>
      </c>
      <c r="B4" s="5" t="str">
        <f t="shared" si="0"/>
        <v>2013 q3</v>
      </c>
      <c r="C4" s="6">
        <v>8.2421000000000006</v>
      </c>
      <c r="D4" s="6">
        <v>8.2105999999999995</v>
      </c>
      <c r="E4" s="6">
        <v>8.1456</v>
      </c>
      <c r="F4" s="6">
        <v>8.3472000000000008</v>
      </c>
      <c r="G4" s="6">
        <v>8.8476999999999997</v>
      </c>
      <c r="H4" s="6">
        <v>9.3510000000000009</v>
      </c>
      <c r="I4" s="6">
        <v>11.451000000000001</v>
      </c>
      <c r="J4" s="6">
        <v>12.8881</v>
      </c>
      <c r="K4" s="6">
        <v>13.6577</v>
      </c>
      <c r="L4" s="6">
        <v>14.2737</v>
      </c>
      <c r="M4" s="6">
        <v>14.850199999999999</v>
      </c>
      <c r="N4" s="6">
        <v>15.2033</v>
      </c>
      <c r="O4" s="6">
        <v>15.5763</v>
      </c>
      <c r="P4" s="6">
        <v>15.949400000000001</v>
      </c>
      <c r="Q4" s="6"/>
    </row>
    <row r="5" spans="1:17">
      <c r="A5" s="5">
        <v>41467</v>
      </c>
      <c r="B5" s="5" t="str">
        <f t="shared" si="0"/>
        <v>2013 q3</v>
      </c>
      <c r="C5" s="6">
        <v>8.1092999999999993</v>
      </c>
      <c r="D5" s="6">
        <v>8.1669999999999998</v>
      </c>
      <c r="E5" s="6">
        <v>8.2860999999999994</v>
      </c>
      <c r="F5" s="6">
        <v>8.5833999999999993</v>
      </c>
      <c r="G5" s="6">
        <v>8.9944000000000006</v>
      </c>
      <c r="H5" s="6">
        <v>9.4210999999999991</v>
      </c>
      <c r="I5" s="6">
        <v>11.1281</v>
      </c>
      <c r="J5" s="6">
        <v>12.6624</v>
      </c>
      <c r="K5" s="6">
        <v>13.5037</v>
      </c>
      <c r="L5" s="6">
        <v>14.1881</v>
      </c>
      <c r="M5" s="6">
        <v>14.874700000000001</v>
      </c>
      <c r="N5" s="6">
        <v>15.2972</v>
      </c>
      <c r="O5" s="6">
        <v>15.747</v>
      </c>
      <c r="P5" s="6">
        <v>16.1968</v>
      </c>
      <c r="Q5" s="6"/>
    </row>
    <row r="6" spans="1:17">
      <c r="A6" s="5">
        <v>41468</v>
      </c>
      <c r="B6" s="5" t="str">
        <f t="shared" si="0"/>
        <v>2013 q3</v>
      </c>
      <c r="C6" s="6">
        <v>8.1402999999999999</v>
      </c>
      <c r="D6" s="6">
        <v>8.173</v>
      </c>
      <c r="E6" s="6">
        <v>8.2403999999999993</v>
      </c>
      <c r="F6" s="6">
        <v>8.5874000000000006</v>
      </c>
      <c r="G6" s="6">
        <v>9.1600999999999999</v>
      </c>
      <c r="H6" s="6">
        <v>9.7475000000000005</v>
      </c>
      <c r="I6" s="6">
        <v>11.9003</v>
      </c>
      <c r="J6" s="6">
        <v>13.1288</v>
      </c>
      <c r="K6" s="6">
        <v>13.771699999999999</v>
      </c>
      <c r="L6" s="6">
        <v>14.2812</v>
      </c>
      <c r="M6" s="6">
        <v>14.7508</v>
      </c>
      <c r="N6" s="6">
        <v>15.037100000000001</v>
      </c>
      <c r="O6" s="6">
        <v>15.340199999999999</v>
      </c>
      <c r="P6" s="6">
        <v>15.6433</v>
      </c>
      <c r="Q6" s="6"/>
    </row>
    <row r="7" spans="1:17">
      <c r="A7" s="5">
        <v>41470</v>
      </c>
      <c r="B7" s="5" t="str">
        <f t="shared" si="0"/>
        <v>2013 q3</v>
      </c>
      <c r="C7" s="6">
        <v>8.1110000000000007</v>
      </c>
      <c r="D7" s="6">
        <v>8.1702999999999992</v>
      </c>
      <c r="E7" s="6">
        <v>8.2927</v>
      </c>
      <c r="F7" s="6">
        <v>8.5977999999999994</v>
      </c>
      <c r="G7" s="6">
        <v>9.01</v>
      </c>
      <c r="H7" s="6">
        <v>9.4359000000000002</v>
      </c>
      <c r="I7" s="6">
        <v>11.1396</v>
      </c>
      <c r="J7" s="6">
        <v>12.666499999999999</v>
      </c>
      <c r="K7" s="6">
        <v>13.507199999999999</v>
      </c>
      <c r="L7" s="6">
        <v>14.1883</v>
      </c>
      <c r="M7" s="6">
        <v>14.8748</v>
      </c>
      <c r="N7" s="6">
        <v>15.2957</v>
      </c>
      <c r="O7" s="6">
        <v>15.7453</v>
      </c>
      <c r="P7" s="6">
        <v>16.194800000000001</v>
      </c>
      <c r="Q7" s="6"/>
    </row>
    <row r="8" spans="1:17">
      <c r="A8" s="5">
        <v>41471</v>
      </c>
      <c r="B8" s="5" t="str">
        <f t="shared" si="0"/>
        <v>2013 q3</v>
      </c>
      <c r="C8" s="6">
        <v>8.1237999999999992</v>
      </c>
      <c r="D8" s="6">
        <v>8.2157999999999998</v>
      </c>
      <c r="E8" s="6">
        <v>8.4059000000000008</v>
      </c>
      <c r="F8" s="6">
        <v>8.6991999999999994</v>
      </c>
      <c r="G8" s="6">
        <v>9.3545999999999996</v>
      </c>
      <c r="H8" s="6">
        <v>9.9404000000000003</v>
      </c>
      <c r="I8" s="6">
        <v>12.0625</v>
      </c>
      <c r="J8" s="6">
        <v>13.2315</v>
      </c>
      <c r="K8" s="6">
        <v>13.8804</v>
      </c>
      <c r="L8" s="6">
        <v>14.226900000000001</v>
      </c>
      <c r="M8" s="6">
        <v>14.6717</v>
      </c>
      <c r="N8" s="6">
        <v>14.934699999999999</v>
      </c>
      <c r="O8" s="6">
        <v>15.2079</v>
      </c>
      <c r="P8" s="6">
        <v>15.4811</v>
      </c>
      <c r="Q8" s="6"/>
    </row>
    <row r="9" spans="1:17">
      <c r="A9" s="5">
        <v>41472</v>
      </c>
      <c r="B9" s="5" t="str">
        <f t="shared" si="0"/>
        <v>2013 q3</v>
      </c>
      <c r="C9" s="6">
        <v>8.1283999999999992</v>
      </c>
      <c r="D9" s="6">
        <v>8.2172000000000001</v>
      </c>
      <c r="E9" s="6">
        <v>8.4004999999999992</v>
      </c>
      <c r="F9" s="6">
        <v>8.6850000000000005</v>
      </c>
      <c r="G9" s="6">
        <v>9.2448999999999995</v>
      </c>
      <c r="H9" s="6">
        <v>9.7941000000000003</v>
      </c>
      <c r="I9" s="6">
        <v>11.821099999999999</v>
      </c>
      <c r="J9" s="6">
        <v>13.098000000000001</v>
      </c>
      <c r="K9" s="6">
        <v>13.8605</v>
      </c>
      <c r="L9" s="6">
        <v>14.28</v>
      </c>
      <c r="M9" s="6">
        <v>14.8246</v>
      </c>
      <c r="N9" s="6">
        <v>15.146599999999999</v>
      </c>
      <c r="O9" s="6">
        <v>15.481999999999999</v>
      </c>
      <c r="P9" s="6">
        <v>15.817399999999999</v>
      </c>
      <c r="Q9" s="6"/>
    </row>
    <row r="10" spans="1:17">
      <c r="A10" s="5">
        <v>41473</v>
      </c>
      <c r="B10" s="5" t="str">
        <f t="shared" si="0"/>
        <v>2013 q3</v>
      </c>
      <c r="C10" s="6">
        <v>8.1227999999999998</v>
      </c>
      <c r="D10" s="6">
        <v>8.2103999999999999</v>
      </c>
      <c r="E10" s="6">
        <v>8.3912999999999993</v>
      </c>
      <c r="F10" s="6">
        <v>8.6753999999999998</v>
      </c>
      <c r="G10" s="6">
        <v>9.2364999999999995</v>
      </c>
      <c r="H10" s="6">
        <v>9.7881</v>
      </c>
      <c r="I10" s="6">
        <v>11.821300000000001</v>
      </c>
      <c r="J10" s="6">
        <v>13.1013</v>
      </c>
      <c r="K10" s="6">
        <v>13.8653</v>
      </c>
      <c r="L10" s="6">
        <v>14.289099999999999</v>
      </c>
      <c r="M10" s="6">
        <v>14.8316</v>
      </c>
      <c r="N10" s="6">
        <v>15.1526</v>
      </c>
      <c r="O10" s="6">
        <v>15.4885</v>
      </c>
      <c r="P10" s="6">
        <v>15.824400000000001</v>
      </c>
      <c r="Q10" s="6"/>
    </row>
    <row r="11" spans="1:17">
      <c r="A11" s="5">
        <v>41474</v>
      </c>
      <c r="B11" s="5" t="str">
        <f t="shared" si="0"/>
        <v>2013 q3</v>
      </c>
      <c r="C11" s="6">
        <v>8.1064000000000007</v>
      </c>
      <c r="D11" s="6">
        <v>8.2050999999999998</v>
      </c>
      <c r="E11" s="6">
        <v>8.4087999999999994</v>
      </c>
      <c r="F11" s="6">
        <v>8.7260000000000009</v>
      </c>
      <c r="G11" s="6">
        <v>9.2428000000000008</v>
      </c>
      <c r="H11" s="6">
        <v>9.7584</v>
      </c>
      <c r="I11" s="6">
        <v>11.6774</v>
      </c>
      <c r="J11" s="6">
        <v>12.9665</v>
      </c>
      <c r="K11" s="6">
        <v>13.7736</v>
      </c>
      <c r="L11" s="6">
        <v>14.228400000000001</v>
      </c>
      <c r="M11" s="6">
        <v>14.8271</v>
      </c>
      <c r="N11" s="6">
        <v>15.1806</v>
      </c>
      <c r="O11" s="6">
        <v>15.550700000000001</v>
      </c>
      <c r="P11" s="6">
        <v>15.9208</v>
      </c>
      <c r="Q11" s="6"/>
    </row>
    <row r="12" spans="1:17">
      <c r="A12" s="5">
        <v>41477</v>
      </c>
      <c r="B12" s="5" t="str">
        <f t="shared" si="0"/>
        <v>2013 q3</v>
      </c>
      <c r="C12" s="6">
        <v>8.0359999999999996</v>
      </c>
      <c r="D12" s="6">
        <v>8.1448999999999998</v>
      </c>
      <c r="E12" s="6">
        <v>8.3696000000000002</v>
      </c>
      <c r="F12" s="6">
        <v>8.7195999999999998</v>
      </c>
      <c r="G12" s="6">
        <v>9.25</v>
      </c>
      <c r="H12" s="6">
        <v>9.7708999999999993</v>
      </c>
      <c r="I12" s="6">
        <v>11.703200000000001</v>
      </c>
      <c r="J12" s="6">
        <v>12.9831</v>
      </c>
      <c r="K12" s="6">
        <v>13.778499999999999</v>
      </c>
      <c r="L12" s="6">
        <v>14.224600000000001</v>
      </c>
      <c r="M12" s="6">
        <v>14.8118</v>
      </c>
      <c r="N12" s="6">
        <v>15.1576</v>
      </c>
      <c r="O12" s="6">
        <v>15.520099999999999</v>
      </c>
      <c r="P12" s="6">
        <v>15.8827</v>
      </c>
      <c r="Q12" s="6"/>
    </row>
    <row r="13" spans="1:17">
      <c r="A13" s="5">
        <v>41478</v>
      </c>
      <c r="B13" s="5" t="str">
        <f t="shared" si="0"/>
        <v>2013 q3</v>
      </c>
      <c r="C13" s="6">
        <v>8.1382999999999992</v>
      </c>
      <c r="D13" s="6">
        <v>8.2716999999999992</v>
      </c>
      <c r="E13" s="6">
        <v>8.5470000000000006</v>
      </c>
      <c r="F13" s="6">
        <v>9.0242000000000004</v>
      </c>
      <c r="G13" s="6">
        <v>9.5038</v>
      </c>
      <c r="H13" s="6">
        <v>9.9595000000000002</v>
      </c>
      <c r="I13" s="6">
        <v>11.6652</v>
      </c>
      <c r="J13" s="6">
        <v>12.8773</v>
      </c>
      <c r="K13" s="6">
        <v>13.6953</v>
      </c>
      <c r="L13" s="6">
        <v>14.1813</v>
      </c>
      <c r="M13" s="6">
        <v>14.8445</v>
      </c>
      <c r="N13" s="6">
        <v>15.237</v>
      </c>
      <c r="O13" s="6">
        <v>15.6546</v>
      </c>
      <c r="P13" s="6">
        <v>16.072099999999999</v>
      </c>
      <c r="Q13" s="6"/>
    </row>
    <row r="14" spans="1:17">
      <c r="A14" s="5">
        <v>41479</v>
      </c>
      <c r="B14" s="5" t="str">
        <f t="shared" si="0"/>
        <v>2013 q3</v>
      </c>
      <c r="C14" s="6">
        <v>8.1710999999999991</v>
      </c>
      <c r="D14" s="6">
        <v>8.2888000000000002</v>
      </c>
      <c r="E14" s="6">
        <v>8.5318000000000005</v>
      </c>
      <c r="F14" s="6">
        <v>9.0039999999999996</v>
      </c>
      <c r="G14" s="6">
        <v>9.4827999999999992</v>
      </c>
      <c r="H14" s="6">
        <v>9.9520999999999997</v>
      </c>
      <c r="I14" s="6">
        <v>11.6988</v>
      </c>
      <c r="J14" s="6">
        <v>12.905900000000001</v>
      </c>
      <c r="K14" s="6">
        <v>13.6942</v>
      </c>
      <c r="L14" s="6">
        <v>14.15</v>
      </c>
      <c r="M14" s="6">
        <v>14.7639</v>
      </c>
      <c r="N14" s="6">
        <v>15.1244</v>
      </c>
      <c r="O14" s="6">
        <v>15.506600000000001</v>
      </c>
      <c r="P14" s="6">
        <v>15.8887</v>
      </c>
      <c r="Q14" s="6"/>
    </row>
    <row r="15" spans="1:17">
      <c r="A15" s="5">
        <v>41480</v>
      </c>
      <c r="B15" s="5" t="str">
        <f t="shared" si="0"/>
        <v>2013 q3</v>
      </c>
      <c r="C15" s="6">
        <v>8.2759</v>
      </c>
      <c r="D15" s="6">
        <v>8.3284000000000002</v>
      </c>
      <c r="E15" s="6">
        <v>8.4367999999999999</v>
      </c>
      <c r="F15" s="6">
        <v>8.8585999999999991</v>
      </c>
      <c r="G15" s="6">
        <v>9.2969000000000008</v>
      </c>
      <c r="H15" s="6">
        <v>9.7469999999999999</v>
      </c>
      <c r="I15" s="6">
        <v>11.562099999999999</v>
      </c>
      <c r="J15" s="6">
        <v>12.8714</v>
      </c>
      <c r="K15" s="6">
        <v>13.724600000000001</v>
      </c>
      <c r="L15" s="6">
        <v>14.2141</v>
      </c>
      <c r="M15" s="6">
        <v>14.8712</v>
      </c>
      <c r="N15" s="6">
        <v>15.255599999999999</v>
      </c>
      <c r="O15" s="6">
        <v>15.6631</v>
      </c>
      <c r="P15" s="6">
        <v>16.070599999999999</v>
      </c>
      <c r="Q15" s="6"/>
    </row>
    <row r="16" spans="1:17">
      <c r="A16" s="5">
        <v>41481</v>
      </c>
      <c r="B16" s="5" t="str">
        <f t="shared" si="0"/>
        <v>2013 q3</v>
      </c>
      <c r="C16" s="6">
        <v>8.2733000000000008</v>
      </c>
      <c r="D16" s="6">
        <v>8.3290000000000006</v>
      </c>
      <c r="E16" s="6">
        <v>8.4440000000000008</v>
      </c>
      <c r="F16" s="6">
        <v>8.8694000000000006</v>
      </c>
      <c r="G16" s="6">
        <v>9.3079999999999998</v>
      </c>
      <c r="H16" s="6">
        <v>9.7584999999999997</v>
      </c>
      <c r="I16" s="6">
        <v>11.5718</v>
      </c>
      <c r="J16" s="6">
        <v>12.887499999999999</v>
      </c>
      <c r="K16" s="6">
        <v>13.75</v>
      </c>
      <c r="L16" s="6">
        <v>14.2463</v>
      </c>
      <c r="M16" s="6">
        <v>14.914999999999999</v>
      </c>
      <c r="N16" s="6">
        <v>15.3057</v>
      </c>
      <c r="O16" s="6">
        <v>15.720700000000001</v>
      </c>
      <c r="P16" s="6">
        <v>16.1357</v>
      </c>
      <c r="Q16" s="6"/>
    </row>
    <row r="17" spans="1:17">
      <c r="A17" s="5">
        <v>41484</v>
      </c>
      <c r="B17" s="5" t="str">
        <f t="shared" si="0"/>
        <v>2013 q3</v>
      </c>
      <c r="C17" s="6">
        <v>8.2759</v>
      </c>
      <c r="D17" s="6">
        <v>8.3313000000000006</v>
      </c>
      <c r="E17" s="6">
        <v>8.4458000000000002</v>
      </c>
      <c r="F17" s="6">
        <v>8.8720999999999997</v>
      </c>
      <c r="G17" s="6">
        <v>9.3086000000000002</v>
      </c>
      <c r="H17" s="6">
        <v>9.7578999999999994</v>
      </c>
      <c r="I17" s="6">
        <v>11.567</v>
      </c>
      <c r="J17" s="6">
        <v>12.882999999999999</v>
      </c>
      <c r="K17" s="6">
        <v>13.7475</v>
      </c>
      <c r="L17" s="6">
        <v>14.2453</v>
      </c>
      <c r="M17" s="6">
        <v>14.9176</v>
      </c>
      <c r="N17" s="6">
        <v>15.3096</v>
      </c>
      <c r="O17" s="6">
        <v>15.726800000000001</v>
      </c>
      <c r="P17" s="6">
        <v>16.144100000000002</v>
      </c>
      <c r="Q17" s="6"/>
    </row>
    <row r="18" spans="1:17">
      <c r="A18" s="5">
        <v>41485</v>
      </c>
      <c r="B18" s="5" t="str">
        <f t="shared" si="0"/>
        <v>2013 q3</v>
      </c>
      <c r="C18" s="6">
        <v>8.2883999999999993</v>
      </c>
      <c r="D18" s="6">
        <v>8.31</v>
      </c>
      <c r="E18" s="6">
        <v>8.3545999999999996</v>
      </c>
      <c r="F18" s="6">
        <v>8.7782999999999998</v>
      </c>
      <c r="G18" s="6">
        <v>9.2039000000000009</v>
      </c>
      <c r="H18" s="6">
        <v>9.6607000000000003</v>
      </c>
      <c r="I18" s="6">
        <v>11.605700000000001</v>
      </c>
      <c r="J18" s="6">
        <v>12.945</v>
      </c>
      <c r="K18" s="6">
        <v>13.7751</v>
      </c>
      <c r="L18" s="6">
        <v>14.233700000000001</v>
      </c>
      <c r="M18" s="6">
        <v>14.844900000000001</v>
      </c>
      <c r="N18" s="6">
        <v>15.1974</v>
      </c>
      <c r="O18" s="6">
        <v>15.5726</v>
      </c>
      <c r="P18" s="6">
        <v>15.947699999999999</v>
      </c>
      <c r="Q18" s="6"/>
    </row>
    <row r="19" spans="1:17">
      <c r="A19" s="5">
        <v>41486</v>
      </c>
      <c r="B19" s="5" t="str">
        <f t="shared" si="0"/>
        <v>2013 q3</v>
      </c>
      <c r="C19" s="6">
        <v>7.8179999999999996</v>
      </c>
      <c r="D19" s="6">
        <v>7.9358000000000004</v>
      </c>
      <c r="E19" s="6">
        <v>8.1790000000000003</v>
      </c>
      <c r="F19" s="6">
        <v>8.5742999999999991</v>
      </c>
      <c r="G19" s="6">
        <v>9.1034000000000006</v>
      </c>
      <c r="H19" s="6">
        <v>9.6289999999999996</v>
      </c>
      <c r="I19" s="6">
        <v>11.5532</v>
      </c>
      <c r="J19" s="6">
        <v>12.8985</v>
      </c>
      <c r="K19" s="6">
        <v>13.757899999999999</v>
      </c>
      <c r="L19" s="6">
        <v>14.2423</v>
      </c>
      <c r="M19" s="6">
        <v>14.895300000000001</v>
      </c>
      <c r="N19" s="6">
        <v>15.2721</v>
      </c>
      <c r="O19" s="6">
        <v>15.674799999999999</v>
      </c>
      <c r="P19" s="6">
        <v>16.077500000000001</v>
      </c>
      <c r="Q19" s="6"/>
    </row>
    <row r="20" spans="1:17">
      <c r="A20" s="5">
        <v>41487</v>
      </c>
      <c r="B20" s="5" t="str">
        <f t="shared" si="0"/>
        <v>2013 q3</v>
      </c>
      <c r="C20" s="6">
        <v>7.8689999999999998</v>
      </c>
      <c r="D20" s="6">
        <v>7.9721000000000002</v>
      </c>
      <c r="E20" s="6">
        <v>8.1847999999999992</v>
      </c>
      <c r="F20" s="6">
        <v>8.5427999999999997</v>
      </c>
      <c r="G20" s="6">
        <v>9.0602</v>
      </c>
      <c r="H20" s="6">
        <v>9.5801999999999996</v>
      </c>
      <c r="I20" s="6">
        <v>11.534800000000001</v>
      </c>
      <c r="J20" s="6">
        <v>12.9163</v>
      </c>
      <c r="K20" s="6">
        <v>13.8012</v>
      </c>
      <c r="L20" s="6">
        <v>14.338900000000001</v>
      </c>
      <c r="M20" s="6">
        <v>14.9815</v>
      </c>
      <c r="N20" s="6">
        <v>15.360900000000001</v>
      </c>
      <c r="O20" s="6">
        <v>15.7758</v>
      </c>
      <c r="P20" s="6">
        <v>16.190799999999999</v>
      </c>
      <c r="Q20" s="6"/>
    </row>
    <row r="21" spans="1:17">
      <c r="A21" s="5">
        <v>41488</v>
      </c>
      <c r="B21" s="5" t="str">
        <f t="shared" si="0"/>
        <v>2013 q3</v>
      </c>
      <c r="C21" s="6">
        <v>7.8163999999999998</v>
      </c>
      <c r="D21" s="6">
        <v>7.9368999999999996</v>
      </c>
      <c r="E21" s="6">
        <v>8.1853999999999996</v>
      </c>
      <c r="F21" s="6">
        <v>8.5915999999999997</v>
      </c>
      <c r="G21" s="6">
        <v>9.1250999999999998</v>
      </c>
      <c r="H21" s="6">
        <v>9.6547999999999998</v>
      </c>
      <c r="I21" s="6">
        <v>11.5947</v>
      </c>
      <c r="J21" s="6">
        <v>12.9579</v>
      </c>
      <c r="K21" s="6">
        <v>13.8332</v>
      </c>
      <c r="L21" s="6">
        <v>14.366</v>
      </c>
      <c r="M21" s="6">
        <v>15.005100000000001</v>
      </c>
      <c r="N21" s="6">
        <v>15.3817</v>
      </c>
      <c r="O21" s="6">
        <v>15.794600000000001</v>
      </c>
      <c r="P21" s="6">
        <v>16.2074</v>
      </c>
      <c r="Q21" s="6"/>
    </row>
    <row r="22" spans="1:17">
      <c r="A22" s="5">
        <v>41491</v>
      </c>
      <c r="B22" s="5" t="str">
        <f t="shared" si="0"/>
        <v>2013 q3</v>
      </c>
      <c r="C22" s="6">
        <v>7.8739999999999997</v>
      </c>
      <c r="D22" s="6">
        <v>7.9770000000000003</v>
      </c>
      <c r="E22" s="6">
        <v>8.1897000000000002</v>
      </c>
      <c r="F22" s="6">
        <v>8.5581999999999994</v>
      </c>
      <c r="G22" s="6">
        <v>9.1049000000000007</v>
      </c>
      <c r="H22" s="6">
        <v>9.6489999999999991</v>
      </c>
      <c r="I22" s="6">
        <v>11.6313</v>
      </c>
      <c r="J22" s="6">
        <v>12.9625</v>
      </c>
      <c r="K22" s="6">
        <v>13.781499999999999</v>
      </c>
      <c r="L22" s="6">
        <v>14.231299999999999</v>
      </c>
      <c r="M22" s="6">
        <v>14.834300000000001</v>
      </c>
      <c r="N22" s="6">
        <v>15.1792</v>
      </c>
      <c r="O22" s="6">
        <v>15.5487</v>
      </c>
      <c r="P22" s="6">
        <v>15.918100000000001</v>
      </c>
      <c r="Q22" s="6"/>
    </row>
    <row r="23" spans="1:17">
      <c r="A23" s="5">
        <v>41492</v>
      </c>
      <c r="B23" s="5" t="str">
        <f t="shared" si="0"/>
        <v>2013 q3</v>
      </c>
      <c r="C23" s="6">
        <v>8.0012000000000008</v>
      </c>
      <c r="D23" s="6">
        <v>8.0609999999999999</v>
      </c>
      <c r="E23" s="6">
        <v>8.1845999999999997</v>
      </c>
      <c r="F23" s="6">
        <v>8.4550999999999998</v>
      </c>
      <c r="G23" s="6">
        <v>8.9811999999999994</v>
      </c>
      <c r="H23" s="6">
        <v>9.5075000000000003</v>
      </c>
      <c r="I23" s="6">
        <v>11.587999999999999</v>
      </c>
      <c r="J23" s="6">
        <v>12.921099999999999</v>
      </c>
      <c r="K23" s="6">
        <v>13.7745</v>
      </c>
      <c r="L23" s="6">
        <v>14.240600000000001</v>
      </c>
      <c r="M23" s="6">
        <v>14.867699999999999</v>
      </c>
      <c r="N23" s="6">
        <v>15.2239</v>
      </c>
      <c r="O23" s="6">
        <v>15.6073</v>
      </c>
      <c r="P23" s="6">
        <v>15.990600000000001</v>
      </c>
      <c r="Q23" s="6"/>
    </row>
    <row r="24" spans="1:17">
      <c r="A24" s="5">
        <v>41493</v>
      </c>
      <c r="B24" s="5" t="str">
        <f t="shared" si="0"/>
        <v>2013 q3</v>
      </c>
      <c r="C24" s="6">
        <v>7.9485999999999999</v>
      </c>
      <c r="D24" s="6">
        <v>8.0274999999999999</v>
      </c>
      <c r="E24" s="6">
        <v>8.1905999999999999</v>
      </c>
      <c r="F24" s="6">
        <v>8.5044000000000004</v>
      </c>
      <c r="G24" s="6">
        <v>9.0143000000000004</v>
      </c>
      <c r="H24" s="6">
        <v>9.5248000000000008</v>
      </c>
      <c r="I24" s="6">
        <v>11.516500000000001</v>
      </c>
      <c r="J24" s="6">
        <v>12.9483</v>
      </c>
      <c r="K24" s="6">
        <v>13.8682</v>
      </c>
      <c r="L24" s="6">
        <v>14.383599999999999</v>
      </c>
      <c r="M24" s="6">
        <v>15.085599999999999</v>
      </c>
      <c r="N24" s="6">
        <v>15.4849</v>
      </c>
      <c r="O24" s="6">
        <v>15.916399999999999</v>
      </c>
      <c r="P24" s="6">
        <v>16.347899999999999</v>
      </c>
      <c r="Q24" s="6"/>
    </row>
    <row r="25" spans="1:17">
      <c r="A25" s="5">
        <v>41494</v>
      </c>
      <c r="B25" s="5" t="str">
        <f t="shared" si="0"/>
        <v>2013 q3</v>
      </c>
      <c r="C25" s="6">
        <v>8.0257000000000005</v>
      </c>
      <c r="D25" s="6">
        <v>8.0772999999999993</v>
      </c>
      <c r="E25" s="6">
        <v>8.1839999999999993</v>
      </c>
      <c r="F25" s="6">
        <v>8.4420000000000002</v>
      </c>
      <c r="G25" s="6">
        <v>8.9623000000000008</v>
      </c>
      <c r="H25" s="6">
        <v>9.4835999999999991</v>
      </c>
      <c r="I25" s="6">
        <v>11.5253</v>
      </c>
      <c r="J25" s="6">
        <v>12.932700000000001</v>
      </c>
      <c r="K25" s="6">
        <v>13.800700000000001</v>
      </c>
      <c r="L25" s="6">
        <v>14.2744</v>
      </c>
      <c r="M25" s="6">
        <v>14.914099999999999</v>
      </c>
      <c r="N25" s="6">
        <v>15.276</v>
      </c>
      <c r="O25" s="6">
        <v>15.6668</v>
      </c>
      <c r="P25" s="6">
        <v>16.057500000000001</v>
      </c>
      <c r="Q25" s="6"/>
    </row>
    <row r="26" spans="1:17">
      <c r="A26" s="5">
        <v>41495</v>
      </c>
      <c r="B26" s="5" t="str">
        <f t="shared" si="0"/>
        <v>2013 q3</v>
      </c>
      <c r="C26" s="6">
        <v>8.0662000000000003</v>
      </c>
      <c r="D26" s="6">
        <v>8.1021000000000001</v>
      </c>
      <c r="E26" s="6">
        <v>8.1760000000000002</v>
      </c>
      <c r="F26" s="6">
        <v>8.4080999999999992</v>
      </c>
      <c r="G26" s="6">
        <v>8.9481000000000002</v>
      </c>
      <c r="H26" s="6">
        <v>9.4893999999999998</v>
      </c>
      <c r="I26" s="6">
        <v>11.577500000000001</v>
      </c>
      <c r="J26" s="6">
        <v>12.9674</v>
      </c>
      <c r="K26" s="6">
        <v>13.8</v>
      </c>
      <c r="L26" s="6">
        <v>14.247199999999999</v>
      </c>
      <c r="M26" s="6">
        <v>14.8485</v>
      </c>
      <c r="N26" s="6">
        <v>15.1876</v>
      </c>
      <c r="O26" s="6">
        <v>15.553900000000001</v>
      </c>
      <c r="P26" s="6">
        <v>15.920299999999999</v>
      </c>
      <c r="Q26" s="6"/>
    </row>
    <row r="27" spans="1:17">
      <c r="A27" s="5">
        <v>41498</v>
      </c>
      <c r="B27" s="5" t="str">
        <f t="shared" si="0"/>
        <v>2013 q3</v>
      </c>
      <c r="C27" s="6">
        <v>8.0401000000000007</v>
      </c>
      <c r="D27" s="6">
        <v>8.0871999999999993</v>
      </c>
      <c r="E27" s="6">
        <v>8.1844999999999999</v>
      </c>
      <c r="F27" s="6">
        <v>8.44</v>
      </c>
      <c r="G27" s="6">
        <v>8.9588999999999999</v>
      </c>
      <c r="H27" s="6">
        <v>9.4799000000000007</v>
      </c>
      <c r="I27" s="6">
        <v>11.5205</v>
      </c>
      <c r="J27" s="6">
        <v>12.9217</v>
      </c>
      <c r="K27" s="6">
        <v>13.7828</v>
      </c>
      <c r="L27" s="6">
        <v>14.251099999999999</v>
      </c>
      <c r="M27" s="6">
        <v>14.8847</v>
      </c>
      <c r="N27" s="6">
        <v>15.2418</v>
      </c>
      <c r="O27" s="6">
        <v>15.628399999999999</v>
      </c>
      <c r="P27" s="6">
        <v>16.0151</v>
      </c>
      <c r="Q27" s="6"/>
    </row>
    <row r="28" spans="1:17">
      <c r="A28" s="5">
        <v>41499</v>
      </c>
      <c r="B28" s="5" t="str">
        <f t="shared" si="0"/>
        <v>2013 q3</v>
      </c>
      <c r="C28" s="6">
        <v>8.0161999999999995</v>
      </c>
      <c r="D28" s="6">
        <v>8.0922999999999998</v>
      </c>
      <c r="E28" s="6">
        <v>8.2493999999999996</v>
      </c>
      <c r="F28" s="6">
        <v>8.5581999999999994</v>
      </c>
      <c r="G28" s="6">
        <v>9.0860000000000003</v>
      </c>
      <c r="H28" s="6">
        <v>9.6479999999999997</v>
      </c>
      <c r="I28" s="6">
        <v>11.6807</v>
      </c>
      <c r="J28" s="6">
        <v>13.0025</v>
      </c>
      <c r="K28" s="6">
        <v>13.7967</v>
      </c>
      <c r="L28" s="6">
        <v>14.222799999999999</v>
      </c>
      <c r="M28" s="6">
        <v>14.8</v>
      </c>
      <c r="N28" s="6">
        <v>15.1229</v>
      </c>
      <c r="O28" s="6">
        <v>15.4741</v>
      </c>
      <c r="P28" s="6">
        <v>15.8253</v>
      </c>
      <c r="Q28" s="6"/>
    </row>
    <row r="29" spans="1:17">
      <c r="A29" s="5">
        <v>41500</v>
      </c>
      <c r="B29" s="5" t="str">
        <f t="shared" si="0"/>
        <v>2013 q3</v>
      </c>
      <c r="C29" s="6">
        <v>8.0098000000000003</v>
      </c>
      <c r="D29" s="6">
        <v>8.0893999999999995</v>
      </c>
      <c r="E29" s="6">
        <v>8.2536000000000005</v>
      </c>
      <c r="F29" s="6">
        <v>8.5719999999999992</v>
      </c>
      <c r="G29" s="6">
        <v>9.0951000000000004</v>
      </c>
      <c r="H29" s="6">
        <v>9.6532999999999998</v>
      </c>
      <c r="I29" s="6">
        <v>11.677</v>
      </c>
      <c r="J29" s="6">
        <v>13.0116</v>
      </c>
      <c r="K29" s="6">
        <v>13.822100000000001</v>
      </c>
      <c r="L29" s="6">
        <v>14.258800000000001</v>
      </c>
      <c r="M29" s="6">
        <v>14.8527</v>
      </c>
      <c r="N29" s="6">
        <v>15.1843</v>
      </c>
      <c r="O29" s="6">
        <v>15.5458</v>
      </c>
      <c r="P29" s="6">
        <v>15.907299999999999</v>
      </c>
      <c r="Q29" s="6"/>
    </row>
    <row r="30" spans="1:17">
      <c r="A30" s="5">
        <v>41501</v>
      </c>
      <c r="B30" s="5" t="str">
        <f t="shared" si="0"/>
        <v>2013 q3</v>
      </c>
      <c r="C30" s="6">
        <v>8.0027000000000008</v>
      </c>
      <c r="D30" s="6">
        <v>8.0860000000000003</v>
      </c>
      <c r="E30" s="6">
        <v>8.2578999999999994</v>
      </c>
      <c r="F30" s="6">
        <v>8.5864999999999991</v>
      </c>
      <c r="G30" s="6">
        <v>9.1050000000000004</v>
      </c>
      <c r="H30" s="6">
        <v>9.6590000000000007</v>
      </c>
      <c r="I30" s="6">
        <v>11.672800000000001</v>
      </c>
      <c r="J30" s="6">
        <v>13.0204</v>
      </c>
      <c r="K30" s="6">
        <v>13.8483</v>
      </c>
      <c r="L30" s="6">
        <v>14.296799999999999</v>
      </c>
      <c r="M30" s="6">
        <v>14.9091</v>
      </c>
      <c r="N30" s="6">
        <v>15.250500000000001</v>
      </c>
      <c r="O30" s="6">
        <v>15.6235</v>
      </c>
      <c r="P30" s="6">
        <v>15.9964</v>
      </c>
      <c r="Q30" s="6"/>
    </row>
    <row r="31" spans="1:17">
      <c r="A31" s="5">
        <v>41502</v>
      </c>
      <c r="B31" s="5" t="str">
        <f t="shared" si="0"/>
        <v>2013 q3</v>
      </c>
      <c r="C31" s="6">
        <v>8.3361999999999998</v>
      </c>
      <c r="D31" s="6">
        <v>8.3454999999999995</v>
      </c>
      <c r="E31" s="6">
        <v>8.3899000000000008</v>
      </c>
      <c r="F31" s="6">
        <v>8.7063000000000006</v>
      </c>
      <c r="G31" s="6">
        <v>9.1654999999999998</v>
      </c>
      <c r="H31" s="6">
        <v>9.66</v>
      </c>
      <c r="I31" s="6">
        <v>11.5382</v>
      </c>
      <c r="J31" s="6">
        <v>12.8973</v>
      </c>
      <c r="K31" s="6">
        <v>13.7767</v>
      </c>
      <c r="L31" s="6">
        <v>14.2668</v>
      </c>
      <c r="M31" s="6">
        <v>14.9451</v>
      </c>
      <c r="N31" s="6">
        <v>15.3238</v>
      </c>
      <c r="O31" s="6">
        <v>15.7394</v>
      </c>
      <c r="P31" s="6">
        <v>16.155000000000001</v>
      </c>
      <c r="Q31" s="6"/>
    </row>
    <row r="32" spans="1:17">
      <c r="A32" s="5">
        <v>41506</v>
      </c>
      <c r="B32" s="5" t="str">
        <f t="shared" si="0"/>
        <v>2013 q3</v>
      </c>
      <c r="C32" s="6">
        <v>9.3984000000000005</v>
      </c>
      <c r="D32" s="6">
        <v>9.2278000000000002</v>
      </c>
      <c r="E32" s="6">
        <v>8.8757999999999999</v>
      </c>
      <c r="F32" s="6">
        <v>8.6611999999999991</v>
      </c>
      <c r="G32" s="6">
        <v>8.9932999999999996</v>
      </c>
      <c r="H32" s="6">
        <v>9.4910999999999994</v>
      </c>
      <c r="I32" s="6">
        <v>11.602399999999999</v>
      </c>
      <c r="J32" s="6">
        <v>13.0159</v>
      </c>
      <c r="K32" s="6">
        <v>13.8378</v>
      </c>
      <c r="L32" s="6">
        <v>14.2722</v>
      </c>
      <c r="M32" s="6">
        <v>14.850899999999999</v>
      </c>
      <c r="N32" s="6">
        <v>15.172499999999999</v>
      </c>
      <c r="O32" s="6">
        <v>15.5251</v>
      </c>
      <c r="P32" s="6">
        <v>15.877700000000001</v>
      </c>
      <c r="Q32" s="6"/>
    </row>
    <row r="33" spans="1:17">
      <c r="A33" s="5">
        <v>41507</v>
      </c>
      <c r="B33" s="5" t="str">
        <f t="shared" si="0"/>
        <v>2013 q3</v>
      </c>
      <c r="C33" s="6">
        <v>9.1498000000000008</v>
      </c>
      <c r="D33" s="6">
        <v>9.0731000000000002</v>
      </c>
      <c r="E33" s="6">
        <v>8.9146999999999998</v>
      </c>
      <c r="F33" s="6">
        <v>8.6865000000000006</v>
      </c>
      <c r="G33" s="6">
        <v>9.0761000000000003</v>
      </c>
      <c r="H33" s="6">
        <v>9.5860000000000003</v>
      </c>
      <c r="I33" s="6">
        <v>11.6861</v>
      </c>
      <c r="J33" s="6">
        <v>13.0878</v>
      </c>
      <c r="K33" s="6">
        <v>13.9046</v>
      </c>
      <c r="L33" s="6">
        <v>14.3307</v>
      </c>
      <c r="M33" s="6">
        <v>14.9116</v>
      </c>
      <c r="N33" s="6">
        <v>15.230700000000001</v>
      </c>
      <c r="O33" s="6">
        <v>15.581899999999999</v>
      </c>
      <c r="P33" s="6">
        <v>15.933199999999999</v>
      </c>
      <c r="Q33" s="6"/>
    </row>
    <row r="34" spans="1:17">
      <c r="A34" s="5">
        <v>41508</v>
      </c>
      <c r="B34" s="5" t="str">
        <f t="shared" si="0"/>
        <v>2013 q3</v>
      </c>
      <c r="C34" s="6">
        <v>9.1447000000000003</v>
      </c>
      <c r="D34" s="6">
        <v>9.0660000000000007</v>
      </c>
      <c r="E34" s="6">
        <v>8.9034999999999993</v>
      </c>
      <c r="F34" s="6">
        <v>8.6739999999999995</v>
      </c>
      <c r="G34" s="6">
        <v>9.0663</v>
      </c>
      <c r="H34" s="6">
        <v>9.5764999999999993</v>
      </c>
      <c r="I34" s="6">
        <v>11.660399999999999</v>
      </c>
      <c r="J34" s="6">
        <v>13.0395</v>
      </c>
      <c r="K34" s="6">
        <v>13.838900000000001</v>
      </c>
      <c r="L34" s="6">
        <v>14.2547</v>
      </c>
      <c r="M34" s="6">
        <v>14.8222</v>
      </c>
      <c r="N34" s="6">
        <v>15.1332</v>
      </c>
      <c r="O34" s="6">
        <v>15.4762</v>
      </c>
      <c r="P34" s="6">
        <v>15.819100000000001</v>
      </c>
      <c r="Q34" s="6"/>
    </row>
    <row r="35" spans="1:17">
      <c r="A35" s="5">
        <v>41509</v>
      </c>
      <c r="B35" s="5" t="str">
        <f t="shared" si="0"/>
        <v>2013 q3</v>
      </c>
      <c r="C35" s="6">
        <v>9.1682000000000006</v>
      </c>
      <c r="D35" s="6">
        <v>9.0798000000000005</v>
      </c>
      <c r="E35" s="6">
        <v>8.8972999999999995</v>
      </c>
      <c r="F35" s="6">
        <v>8.6445000000000007</v>
      </c>
      <c r="G35" s="6">
        <v>9.0602</v>
      </c>
      <c r="H35" s="6">
        <v>9.5914000000000001</v>
      </c>
      <c r="I35" s="6">
        <v>11.7181</v>
      </c>
      <c r="J35" s="6">
        <v>13.085699999999999</v>
      </c>
      <c r="K35" s="6">
        <v>13.865</v>
      </c>
      <c r="L35" s="6">
        <v>14.267300000000001</v>
      </c>
      <c r="M35" s="6">
        <v>14.8164</v>
      </c>
      <c r="N35" s="6">
        <v>15.1165</v>
      </c>
      <c r="O35" s="6">
        <v>15.448</v>
      </c>
      <c r="P35" s="6">
        <v>15.779500000000001</v>
      </c>
      <c r="Q35" s="6"/>
    </row>
    <row r="36" spans="1:17">
      <c r="A36" s="5">
        <v>41510</v>
      </c>
      <c r="B36" s="5" t="str">
        <f t="shared" si="0"/>
        <v>2013 q3</v>
      </c>
      <c r="C36" s="6">
        <v>9.1376000000000008</v>
      </c>
      <c r="D36" s="6">
        <v>9.0566999999999993</v>
      </c>
      <c r="E36" s="6">
        <v>8.8895999999999997</v>
      </c>
      <c r="F36" s="6">
        <v>8.6631999999999998</v>
      </c>
      <c r="G36" s="6">
        <v>9.0618999999999996</v>
      </c>
      <c r="H36" s="6">
        <v>9.5775000000000006</v>
      </c>
      <c r="I36" s="6">
        <v>11.6631</v>
      </c>
      <c r="J36" s="6">
        <v>13.0372</v>
      </c>
      <c r="K36" s="6">
        <v>13.832000000000001</v>
      </c>
      <c r="L36" s="6">
        <v>14.2441</v>
      </c>
      <c r="M36" s="6">
        <v>14.808299999999999</v>
      </c>
      <c r="N36" s="6">
        <v>15.116199999999999</v>
      </c>
      <c r="O36" s="6">
        <v>15.456799999999999</v>
      </c>
      <c r="P36" s="6">
        <v>15.7974</v>
      </c>
      <c r="Q36" s="6"/>
    </row>
    <row r="37" spans="1:17">
      <c r="A37" s="5">
        <v>41512</v>
      </c>
      <c r="B37" s="5" t="str">
        <f t="shared" si="0"/>
        <v>2013 q3</v>
      </c>
      <c r="C37" s="6">
        <v>9.1478999999999999</v>
      </c>
      <c r="D37" s="6">
        <v>9.0635999999999992</v>
      </c>
      <c r="E37" s="6">
        <v>8.8895</v>
      </c>
      <c r="F37" s="6">
        <v>8.6585000000000001</v>
      </c>
      <c r="G37" s="6">
        <v>9.0669000000000004</v>
      </c>
      <c r="H37" s="6">
        <v>9.5917999999999992</v>
      </c>
      <c r="I37" s="6">
        <v>11.6989</v>
      </c>
      <c r="J37" s="6">
        <v>13.076599999999999</v>
      </c>
      <c r="K37" s="6">
        <v>13.87</v>
      </c>
      <c r="L37" s="6">
        <v>14.280200000000001</v>
      </c>
      <c r="M37" s="6">
        <v>14.842499999999999</v>
      </c>
      <c r="N37" s="6">
        <v>15.1487</v>
      </c>
      <c r="O37" s="6">
        <v>15.4879</v>
      </c>
      <c r="P37" s="6">
        <v>15.827199999999999</v>
      </c>
      <c r="Q37" s="6"/>
    </row>
    <row r="38" spans="1:17">
      <c r="A38" s="5">
        <v>41513</v>
      </c>
      <c r="B38" s="5" t="str">
        <f t="shared" si="0"/>
        <v>2013 q3</v>
      </c>
      <c r="C38" s="6">
        <v>9.1388999999999996</v>
      </c>
      <c r="D38" s="6">
        <v>9.0555000000000003</v>
      </c>
      <c r="E38" s="6">
        <v>8.8833000000000002</v>
      </c>
      <c r="F38" s="6">
        <v>8.6648999999999994</v>
      </c>
      <c r="G38" s="6">
        <v>9.0798000000000005</v>
      </c>
      <c r="H38" s="6">
        <v>9.6081000000000003</v>
      </c>
      <c r="I38" s="6">
        <v>11.7073</v>
      </c>
      <c r="J38" s="6">
        <v>13.0754</v>
      </c>
      <c r="K38" s="6">
        <v>13.862299999999999</v>
      </c>
      <c r="L38" s="6">
        <v>14.2682</v>
      </c>
      <c r="M38" s="6">
        <v>14.826499999999999</v>
      </c>
      <c r="N38" s="6">
        <v>15.129099999999999</v>
      </c>
      <c r="O38" s="6">
        <v>15.4655</v>
      </c>
      <c r="P38" s="6">
        <v>15.802</v>
      </c>
      <c r="Q38" s="6"/>
    </row>
    <row r="39" spans="1:17">
      <c r="A39" s="5">
        <v>41514</v>
      </c>
      <c r="B39" s="5" t="str">
        <f t="shared" si="0"/>
        <v>2013 q3</v>
      </c>
      <c r="C39" s="6">
        <v>8.6059999999999999</v>
      </c>
      <c r="D39" s="6">
        <v>8.7262000000000004</v>
      </c>
      <c r="E39" s="6">
        <v>8.9741999999999997</v>
      </c>
      <c r="F39" s="6">
        <v>9.3767999999999994</v>
      </c>
      <c r="G39" s="6">
        <v>9.8021999999999991</v>
      </c>
      <c r="H39" s="6">
        <v>10.225199999999999</v>
      </c>
      <c r="I39" s="6">
        <v>11.782400000000001</v>
      </c>
      <c r="J39" s="6">
        <v>12.9322</v>
      </c>
      <c r="K39" s="6">
        <v>13.728</v>
      </c>
      <c r="L39" s="6">
        <v>14.193199999999999</v>
      </c>
      <c r="M39" s="6">
        <v>14.869300000000001</v>
      </c>
      <c r="N39" s="6">
        <v>15.242800000000001</v>
      </c>
      <c r="O39" s="6">
        <v>15.6655</v>
      </c>
      <c r="P39" s="6">
        <v>16.0883</v>
      </c>
      <c r="Q39" s="6"/>
    </row>
    <row r="40" spans="1:17">
      <c r="A40" s="5">
        <v>41515</v>
      </c>
      <c r="B40" s="5" t="str">
        <f t="shared" si="0"/>
        <v>2013 q3</v>
      </c>
      <c r="C40" s="6">
        <v>8.5925999999999991</v>
      </c>
      <c r="D40" s="6">
        <v>8.7193000000000005</v>
      </c>
      <c r="E40" s="6">
        <v>8.9809000000000001</v>
      </c>
      <c r="F40" s="6">
        <v>9.3956</v>
      </c>
      <c r="G40" s="6">
        <v>9.8199000000000005</v>
      </c>
      <c r="H40" s="6">
        <v>10.2369</v>
      </c>
      <c r="I40" s="6">
        <v>11.771800000000001</v>
      </c>
      <c r="J40" s="6">
        <v>12.909599999999999</v>
      </c>
      <c r="K40" s="6">
        <v>13.7066</v>
      </c>
      <c r="L40" s="6">
        <v>14.178000000000001</v>
      </c>
      <c r="M40" s="6">
        <v>14.8687</v>
      </c>
      <c r="N40" s="6">
        <v>15.251099999999999</v>
      </c>
      <c r="O40" s="6">
        <v>15.686199999999999</v>
      </c>
      <c r="P40" s="6">
        <v>16.121200000000002</v>
      </c>
      <c r="Q40" s="6"/>
    </row>
    <row r="41" spans="1:17">
      <c r="A41" s="5">
        <v>41516</v>
      </c>
      <c r="B41" s="5" t="str">
        <f t="shared" si="0"/>
        <v>2013 q3</v>
      </c>
      <c r="C41" s="6">
        <v>8.4354999999999993</v>
      </c>
      <c r="D41" s="6">
        <v>8.6201000000000008</v>
      </c>
      <c r="E41" s="6">
        <v>9.0009999999999994</v>
      </c>
      <c r="F41" s="6">
        <v>9.5399999999999991</v>
      </c>
      <c r="G41" s="6">
        <v>10.0001</v>
      </c>
      <c r="H41" s="6">
        <v>10.4148</v>
      </c>
      <c r="I41" s="6">
        <v>11.8635</v>
      </c>
      <c r="J41" s="6">
        <v>12.889099999999999</v>
      </c>
      <c r="K41" s="6">
        <v>13.636200000000001</v>
      </c>
      <c r="L41" s="6">
        <v>14.1158</v>
      </c>
      <c r="M41" s="6">
        <v>14.8607</v>
      </c>
      <c r="N41" s="6">
        <v>15.302199999999999</v>
      </c>
      <c r="O41" s="6">
        <v>15.8302</v>
      </c>
      <c r="P41" s="6">
        <v>16.3582</v>
      </c>
      <c r="Q41" s="6"/>
    </row>
    <row r="42" spans="1:17">
      <c r="A42" s="5">
        <v>41519</v>
      </c>
      <c r="B42" s="5" t="str">
        <f t="shared" si="0"/>
        <v>2013 q3</v>
      </c>
      <c r="C42" s="6">
        <v>8.5851000000000006</v>
      </c>
      <c r="D42" s="6">
        <v>8.718</v>
      </c>
      <c r="E42" s="6">
        <v>8.9923000000000002</v>
      </c>
      <c r="F42" s="6">
        <v>9.4178999999999995</v>
      </c>
      <c r="G42" s="6">
        <v>9.8407999999999998</v>
      </c>
      <c r="H42" s="6">
        <v>10.2531</v>
      </c>
      <c r="I42" s="6">
        <v>11.7746</v>
      </c>
      <c r="J42" s="6">
        <v>12.9209</v>
      </c>
      <c r="K42" s="6">
        <v>13.7433</v>
      </c>
      <c r="L42" s="6">
        <v>14.2408</v>
      </c>
      <c r="M42" s="6">
        <v>14.982100000000001</v>
      </c>
      <c r="N42" s="6">
        <v>15.3948</v>
      </c>
      <c r="O42" s="6">
        <v>15.869300000000001</v>
      </c>
      <c r="P42" s="6">
        <v>16.343699999999998</v>
      </c>
      <c r="Q42" s="6"/>
    </row>
    <row r="43" spans="1:17">
      <c r="A43" s="5">
        <v>41520</v>
      </c>
      <c r="B43" s="5" t="str">
        <f t="shared" si="0"/>
        <v>2013 q3</v>
      </c>
      <c r="C43" s="6">
        <v>8.8713999999999995</v>
      </c>
      <c r="D43" s="6">
        <v>8.8568999999999996</v>
      </c>
      <c r="E43" s="6">
        <v>8.8269000000000002</v>
      </c>
      <c r="F43" s="6">
        <v>9.0530000000000008</v>
      </c>
      <c r="G43" s="6">
        <v>9.4533000000000005</v>
      </c>
      <c r="H43" s="6">
        <v>9.8545999999999996</v>
      </c>
      <c r="I43" s="6">
        <v>11.664199999999999</v>
      </c>
      <c r="J43" s="6">
        <v>12.9716</v>
      </c>
      <c r="K43" s="6">
        <v>13.8028</v>
      </c>
      <c r="L43" s="6">
        <v>14.251300000000001</v>
      </c>
      <c r="M43" s="6">
        <v>14.886100000000001</v>
      </c>
      <c r="N43" s="6">
        <v>15.226599999999999</v>
      </c>
      <c r="O43" s="6">
        <v>15.611000000000001</v>
      </c>
      <c r="P43" s="6">
        <v>15.9955</v>
      </c>
      <c r="Q43" s="6"/>
    </row>
    <row r="44" spans="1:17">
      <c r="A44" s="5">
        <v>41521</v>
      </c>
      <c r="B44" s="5" t="str">
        <f t="shared" si="0"/>
        <v>2013 q3</v>
      </c>
      <c r="C44" s="6">
        <v>8.8651</v>
      </c>
      <c r="D44" s="6">
        <v>8.8544</v>
      </c>
      <c r="E44" s="6">
        <v>8.8323999999999998</v>
      </c>
      <c r="F44" s="6">
        <v>9.0641999999999996</v>
      </c>
      <c r="G44" s="6">
        <v>9.4586000000000006</v>
      </c>
      <c r="H44" s="6">
        <v>9.8551000000000002</v>
      </c>
      <c r="I44" s="6">
        <v>11.6465</v>
      </c>
      <c r="J44" s="6">
        <v>12.952199999999999</v>
      </c>
      <c r="K44" s="6">
        <v>13.789300000000001</v>
      </c>
      <c r="L44" s="6">
        <v>14.242699999999999</v>
      </c>
      <c r="M44" s="6">
        <v>14.886900000000001</v>
      </c>
      <c r="N44" s="6">
        <v>15.2319</v>
      </c>
      <c r="O44" s="6">
        <v>15.622199999999999</v>
      </c>
      <c r="P44" s="6">
        <v>16.012599999999999</v>
      </c>
      <c r="Q44" s="6"/>
    </row>
    <row r="45" spans="1:17">
      <c r="A45" s="5">
        <v>41522</v>
      </c>
      <c r="B45" s="5" t="str">
        <f t="shared" si="0"/>
        <v>2013 q3</v>
      </c>
      <c r="C45" s="6">
        <v>8.8559999999999999</v>
      </c>
      <c r="D45" s="6">
        <v>8.8511000000000006</v>
      </c>
      <c r="E45" s="6">
        <v>8.8409999999999993</v>
      </c>
      <c r="F45" s="6">
        <v>9.0785</v>
      </c>
      <c r="G45" s="6">
        <v>9.4641999999999999</v>
      </c>
      <c r="H45" s="6">
        <v>9.8529</v>
      </c>
      <c r="I45" s="6">
        <v>11.6172</v>
      </c>
      <c r="J45" s="6">
        <v>12.9208</v>
      </c>
      <c r="K45" s="6">
        <v>13.7674</v>
      </c>
      <c r="L45" s="6">
        <v>14.2293</v>
      </c>
      <c r="M45" s="6">
        <v>14.8888</v>
      </c>
      <c r="N45" s="6">
        <v>15.2416</v>
      </c>
      <c r="O45" s="6">
        <v>15.6418</v>
      </c>
      <c r="P45" s="6">
        <v>16.042100000000001</v>
      </c>
      <c r="Q45" s="6"/>
    </row>
    <row r="46" spans="1:17">
      <c r="A46" s="5">
        <v>41523</v>
      </c>
      <c r="B46" s="5" t="str">
        <f t="shared" si="0"/>
        <v>2013 q3</v>
      </c>
      <c r="C46" s="6">
        <v>8.8625000000000007</v>
      </c>
      <c r="D46" s="6">
        <v>8.8529999999999998</v>
      </c>
      <c r="E46" s="6">
        <v>8.8331999999999997</v>
      </c>
      <c r="F46" s="6">
        <v>9.0753000000000004</v>
      </c>
      <c r="G46" s="6">
        <v>9.4692000000000007</v>
      </c>
      <c r="H46" s="6">
        <v>9.8673000000000002</v>
      </c>
      <c r="I46" s="6">
        <v>11.652200000000001</v>
      </c>
      <c r="J46" s="6">
        <v>12.9529</v>
      </c>
      <c r="K46" s="6">
        <v>13.7874</v>
      </c>
      <c r="L46" s="6">
        <v>14.2387</v>
      </c>
      <c r="M46" s="6">
        <v>14.882400000000001</v>
      </c>
      <c r="N46" s="6">
        <v>15.2256</v>
      </c>
      <c r="O46" s="6">
        <v>15.615399999999999</v>
      </c>
      <c r="P46" s="6">
        <v>16.005099999999999</v>
      </c>
      <c r="Q46" s="6"/>
    </row>
    <row r="47" spans="1:17">
      <c r="A47" s="5">
        <v>41526</v>
      </c>
      <c r="B47" s="5" t="str">
        <f t="shared" si="0"/>
        <v>2013 q3</v>
      </c>
      <c r="C47" s="6">
        <v>8.8618000000000006</v>
      </c>
      <c r="D47" s="6">
        <v>8.8524999999999991</v>
      </c>
      <c r="E47" s="6">
        <v>8.8332999999999995</v>
      </c>
      <c r="F47" s="6">
        <v>9.0801999999999996</v>
      </c>
      <c r="G47" s="6">
        <v>9.4741</v>
      </c>
      <c r="H47" s="6">
        <v>9.8732000000000006</v>
      </c>
      <c r="I47" s="6">
        <v>11.656499999999999</v>
      </c>
      <c r="J47" s="6">
        <v>12.955399999999999</v>
      </c>
      <c r="K47" s="6">
        <v>13.7889</v>
      </c>
      <c r="L47" s="6">
        <v>14.2393</v>
      </c>
      <c r="M47" s="6">
        <v>14.8828</v>
      </c>
      <c r="N47" s="6">
        <v>15.225099999999999</v>
      </c>
      <c r="O47" s="6">
        <v>15.614599999999999</v>
      </c>
      <c r="P47" s="6">
        <v>16.004000000000001</v>
      </c>
      <c r="Q47" s="6"/>
    </row>
    <row r="48" spans="1:17">
      <c r="A48" s="5">
        <v>41527</v>
      </c>
      <c r="B48" s="5" t="str">
        <f t="shared" si="0"/>
        <v>2013 q3</v>
      </c>
      <c r="C48" s="6">
        <v>8.8023000000000007</v>
      </c>
      <c r="D48" s="6">
        <v>8.8245000000000005</v>
      </c>
      <c r="E48" s="6">
        <v>8.8701000000000008</v>
      </c>
      <c r="F48" s="6">
        <v>9.1560000000000006</v>
      </c>
      <c r="G48" s="6">
        <v>9.5426000000000002</v>
      </c>
      <c r="H48" s="6">
        <v>10.0237</v>
      </c>
      <c r="I48" s="6">
        <v>11.771599999999999</v>
      </c>
      <c r="J48" s="6">
        <v>13.014699999999999</v>
      </c>
      <c r="K48" s="6">
        <v>13.8058</v>
      </c>
      <c r="L48" s="6">
        <v>14.230600000000001</v>
      </c>
      <c r="M48" s="6">
        <v>14.8401</v>
      </c>
      <c r="N48" s="6">
        <v>15.1622</v>
      </c>
      <c r="O48" s="6">
        <v>15.5304</v>
      </c>
      <c r="P48" s="6">
        <v>15.8987</v>
      </c>
      <c r="Q48" s="6"/>
    </row>
    <row r="49" spans="1:17">
      <c r="A49" s="5">
        <v>41528</v>
      </c>
      <c r="B49" s="5" t="str">
        <f t="shared" si="0"/>
        <v>2013 q3</v>
      </c>
      <c r="C49" s="6">
        <v>8.6312999999999995</v>
      </c>
      <c r="D49" s="6">
        <v>8.6685999999999996</v>
      </c>
      <c r="E49" s="6">
        <v>8.7455999999999996</v>
      </c>
      <c r="F49" s="6">
        <v>8.9774999999999991</v>
      </c>
      <c r="G49" s="6">
        <v>9.4390000000000001</v>
      </c>
      <c r="H49" s="6">
        <v>9.9603000000000002</v>
      </c>
      <c r="I49" s="6">
        <v>11.8155</v>
      </c>
      <c r="J49" s="6">
        <v>13.057</v>
      </c>
      <c r="K49" s="6">
        <v>13.8119</v>
      </c>
      <c r="L49" s="6">
        <v>14.2066</v>
      </c>
      <c r="M49" s="6">
        <v>14.768599999999999</v>
      </c>
      <c r="N49" s="6">
        <v>15.0641</v>
      </c>
      <c r="O49" s="6">
        <v>15.4018</v>
      </c>
      <c r="P49" s="6">
        <v>15.7395</v>
      </c>
      <c r="Q49" s="6"/>
    </row>
    <row r="50" spans="1:17">
      <c r="A50" s="5">
        <v>41529</v>
      </c>
      <c r="B50" s="5" t="str">
        <f t="shared" si="0"/>
        <v>2013 q3</v>
      </c>
      <c r="C50" s="6">
        <v>8.6473999999999993</v>
      </c>
      <c r="D50" s="6">
        <v>8.6753</v>
      </c>
      <c r="E50" s="6">
        <v>8.7329000000000008</v>
      </c>
      <c r="F50" s="6">
        <v>8.9588000000000001</v>
      </c>
      <c r="G50" s="6">
        <v>9.4478000000000009</v>
      </c>
      <c r="H50" s="6">
        <v>9.9908999999999999</v>
      </c>
      <c r="I50" s="6">
        <v>11.8977</v>
      </c>
      <c r="J50" s="6">
        <v>13.1227</v>
      </c>
      <c r="K50" s="6">
        <v>13.846299999999999</v>
      </c>
      <c r="L50" s="6">
        <v>14.2187</v>
      </c>
      <c r="M50" s="6">
        <v>14.7475</v>
      </c>
      <c r="N50" s="6">
        <v>15.0246</v>
      </c>
      <c r="O50" s="6">
        <v>15.3415</v>
      </c>
      <c r="P50" s="6">
        <v>15.6585</v>
      </c>
      <c r="Q50" s="6"/>
    </row>
    <row r="51" spans="1:17">
      <c r="A51" s="5">
        <v>41530</v>
      </c>
      <c r="B51" s="5" t="str">
        <f t="shared" si="0"/>
        <v>2013 q3</v>
      </c>
      <c r="C51" s="6">
        <v>8.6301000000000005</v>
      </c>
      <c r="D51" s="6">
        <v>8.6697000000000006</v>
      </c>
      <c r="E51" s="6">
        <v>8.7513000000000005</v>
      </c>
      <c r="F51" s="6">
        <v>8.9934999999999992</v>
      </c>
      <c r="G51" s="6">
        <v>9.4521999999999995</v>
      </c>
      <c r="H51" s="6">
        <v>9.9711999999999996</v>
      </c>
      <c r="I51" s="6">
        <v>11.822100000000001</v>
      </c>
      <c r="J51" s="6">
        <v>13.0741</v>
      </c>
      <c r="K51" s="6">
        <v>13.8422</v>
      </c>
      <c r="L51" s="6">
        <v>14.2448</v>
      </c>
      <c r="M51" s="6">
        <v>14.821</v>
      </c>
      <c r="N51" s="6">
        <v>15.172499999999999</v>
      </c>
      <c r="O51" s="6">
        <v>15.5839</v>
      </c>
      <c r="P51" s="6">
        <v>15.762499999999999</v>
      </c>
      <c r="Q51" s="6"/>
    </row>
    <row r="52" spans="1:17">
      <c r="A52" s="5">
        <v>41534</v>
      </c>
      <c r="B52" s="5" t="str">
        <f t="shared" si="0"/>
        <v>2013 q3</v>
      </c>
      <c r="C52" s="6">
        <v>8.6367999999999991</v>
      </c>
      <c r="D52" s="6">
        <v>8.6730999999999998</v>
      </c>
      <c r="E52" s="6">
        <v>8.7482000000000006</v>
      </c>
      <c r="F52" s="6">
        <v>8.9907000000000004</v>
      </c>
      <c r="G52" s="6">
        <v>9.4580000000000002</v>
      </c>
      <c r="H52" s="6">
        <v>9.9812999999999992</v>
      </c>
      <c r="I52" s="6">
        <v>11.834199999999999</v>
      </c>
      <c r="J52" s="6">
        <v>13.0632</v>
      </c>
      <c r="K52" s="6">
        <v>13.806699999999999</v>
      </c>
      <c r="L52" s="6">
        <v>14.193099999999999</v>
      </c>
      <c r="M52" s="6">
        <v>14.745799999999999</v>
      </c>
      <c r="N52" s="6">
        <v>15.0343</v>
      </c>
      <c r="O52" s="6">
        <v>15.3658</v>
      </c>
      <c r="P52" s="6">
        <v>15.6973</v>
      </c>
      <c r="Q52" s="6"/>
    </row>
    <row r="53" spans="1:17">
      <c r="A53" s="5">
        <v>41535</v>
      </c>
      <c r="B53" s="5" t="str">
        <f t="shared" si="0"/>
        <v>2013 q3</v>
      </c>
      <c r="C53" s="6">
        <v>8.6071000000000009</v>
      </c>
      <c r="D53" s="6">
        <v>8.6659000000000006</v>
      </c>
      <c r="E53" s="6">
        <v>8.7872000000000003</v>
      </c>
      <c r="F53" s="6">
        <v>9.0677000000000003</v>
      </c>
      <c r="G53" s="6">
        <v>9.4931000000000001</v>
      </c>
      <c r="H53" s="6">
        <v>9.9686000000000003</v>
      </c>
      <c r="I53" s="6">
        <v>11.690200000000001</v>
      </c>
      <c r="J53" s="6">
        <v>12.9224</v>
      </c>
      <c r="K53" s="6">
        <v>13.7178</v>
      </c>
      <c r="L53" s="6">
        <v>14.1807</v>
      </c>
      <c r="M53" s="6">
        <v>14.7768</v>
      </c>
      <c r="N53" s="6">
        <v>15.095700000000001</v>
      </c>
      <c r="O53" s="6">
        <v>15.473100000000001</v>
      </c>
      <c r="P53" s="6">
        <v>15.8505</v>
      </c>
      <c r="Q53" s="6"/>
    </row>
    <row r="54" spans="1:17">
      <c r="A54" s="5">
        <v>41536</v>
      </c>
      <c r="B54" s="5" t="str">
        <f t="shared" si="0"/>
        <v>2013 q3</v>
      </c>
      <c r="C54" s="6">
        <v>8.6140000000000008</v>
      </c>
      <c r="D54" s="6">
        <v>8.6701999999999995</v>
      </c>
      <c r="E54" s="6">
        <v>8.7864000000000004</v>
      </c>
      <c r="F54" s="6">
        <v>9.0631000000000004</v>
      </c>
      <c r="G54" s="6">
        <v>9.4855</v>
      </c>
      <c r="H54" s="6">
        <v>9.9627999999999997</v>
      </c>
      <c r="I54" s="6">
        <v>11.695399999999999</v>
      </c>
      <c r="J54" s="6">
        <v>12.9476</v>
      </c>
      <c r="K54" s="6">
        <v>13.761200000000001</v>
      </c>
      <c r="L54" s="6">
        <v>14.2003</v>
      </c>
      <c r="M54" s="6">
        <v>14.8437</v>
      </c>
      <c r="N54" s="6">
        <v>15.1777</v>
      </c>
      <c r="O54" s="6">
        <v>15.5664</v>
      </c>
      <c r="P54" s="6">
        <v>15.9551</v>
      </c>
      <c r="Q54" s="6"/>
    </row>
    <row r="55" spans="1:17">
      <c r="A55" s="5">
        <v>41537</v>
      </c>
      <c r="B55" s="5" t="str">
        <f t="shared" si="0"/>
        <v>2013 q3</v>
      </c>
      <c r="C55" s="6">
        <v>8.6286000000000005</v>
      </c>
      <c r="D55" s="6">
        <v>8.6759000000000004</v>
      </c>
      <c r="E55" s="6">
        <v>8.7735000000000003</v>
      </c>
      <c r="F55" s="6">
        <v>9.0492000000000008</v>
      </c>
      <c r="G55" s="6">
        <v>9.5000999999999998</v>
      </c>
      <c r="H55" s="6">
        <v>10.004300000000001</v>
      </c>
      <c r="I55" s="6">
        <v>11.802899999999999</v>
      </c>
      <c r="J55" s="6">
        <v>13.0404</v>
      </c>
      <c r="K55" s="6">
        <v>13.8127</v>
      </c>
      <c r="L55" s="6">
        <v>14.218400000000001</v>
      </c>
      <c r="M55" s="6">
        <v>14.808299999999999</v>
      </c>
      <c r="N55" s="6">
        <v>15.1128</v>
      </c>
      <c r="O55" s="6">
        <v>15.466799999999999</v>
      </c>
      <c r="P55" s="6">
        <v>15.8209</v>
      </c>
      <c r="Q55" s="6"/>
    </row>
    <row r="56" spans="1:17">
      <c r="A56" s="5">
        <v>41540</v>
      </c>
      <c r="B56" s="5" t="str">
        <f t="shared" si="0"/>
        <v>2013 q3</v>
      </c>
      <c r="C56" s="6">
        <v>8.6367999999999991</v>
      </c>
      <c r="D56" s="6">
        <v>8.6798000000000002</v>
      </c>
      <c r="E56" s="6">
        <v>8.7685999999999993</v>
      </c>
      <c r="F56" s="6">
        <v>9.0434999999999999</v>
      </c>
      <c r="G56" s="6">
        <v>9.5020000000000007</v>
      </c>
      <c r="H56" s="6">
        <v>10.011900000000001</v>
      </c>
      <c r="I56" s="6">
        <v>11.8186</v>
      </c>
      <c r="J56" s="6">
        <v>13.039300000000001</v>
      </c>
      <c r="K56" s="6">
        <v>13.7904</v>
      </c>
      <c r="L56" s="6">
        <v>14.1814</v>
      </c>
      <c r="M56" s="6">
        <v>14.749499999999999</v>
      </c>
      <c r="N56" s="6">
        <v>15.090999999999999</v>
      </c>
      <c r="O56" s="6">
        <v>15.494300000000001</v>
      </c>
      <c r="P56" s="6">
        <v>15.669499999999999</v>
      </c>
      <c r="Q56" s="6"/>
    </row>
    <row r="57" spans="1:17">
      <c r="A57" s="5">
        <v>41541</v>
      </c>
      <c r="B57" s="5" t="str">
        <f t="shared" si="0"/>
        <v>2013 q3</v>
      </c>
      <c r="C57" s="6">
        <v>8.9079999999999995</v>
      </c>
      <c r="D57" s="6">
        <v>8.9147999999999996</v>
      </c>
      <c r="E57" s="6">
        <v>8.9290000000000003</v>
      </c>
      <c r="F57" s="6">
        <v>8.9502000000000006</v>
      </c>
      <c r="G57" s="6">
        <v>9.3556000000000008</v>
      </c>
      <c r="H57" s="6">
        <v>9.7927999999999997</v>
      </c>
      <c r="I57" s="6">
        <v>11.761200000000001</v>
      </c>
      <c r="J57" s="6">
        <v>12.9954</v>
      </c>
      <c r="K57" s="6">
        <v>13.797700000000001</v>
      </c>
      <c r="L57" s="6">
        <v>14.2088</v>
      </c>
      <c r="M57" s="6">
        <v>14.806699999999999</v>
      </c>
      <c r="N57" s="6">
        <v>15.111599999999999</v>
      </c>
      <c r="O57" s="6">
        <v>15.4682</v>
      </c>
      <c r="P57" s="6">
        <v>15.8249</v>
      </c>
      <c r="Q57" s="6"/>
    </row>
    <row r="58" spans="1:17">
      <c r="A58" s="5">
        <v>41542</v>
      </c>
      <c r="B58" s="5" t="str">
        <f t="shared" si="0"/>
        <v>2013 q3</v>
      </c>
      <c r="C58" s="6">
        <v>8.9480000000000004</v>
      </c>
      <c r="D58" s="6">
        <v>8.9453999999999994</v>
      </c>
      <c r="E58" s="6">
        <v>8.94</v>
      </c>
      <c r="F58" s="6">
        <v>8.9320000000000004</v>
      </c>
      <c r="G58" s="6">
        <v>9.3500999999999994</v>
      </c>
      <c r="H58" s="6">
        <v>9.7981999999999996</v>
      </c>
      <c r="I58" s="6">
        <v>11.7135</v>
      </c>
      <c r="J58" s="6">
        <v>13.0268</v>
      </c>
      <c r="K58" s="6">
        <v>13.8134</v>
      </c>
      <c r="L58" s="6">
        <v>14.212899999999999</v>
      </c>
      <c r="M58" s="6">
        <v>14.7935</v>
      </c>
      <c r="N58" s="6">
        <v>15.088699999999999</v>
      </c>
      <c r="O58" s="6">
        <v>15.4345</v>
      </c>
      <c r="P58" s="6">
        <v>15.7803</v>
      </c>
      <c r="Q58" s="6"/>
    </row>
    <row r="59" spans="1:17">
      <c r="A59" s="5">
        <v>41543</v>
      </c>
      <c r="B59" s="5" t="str">
        <f t="shared" si="0"/>
        <v>2013 q3</v>
      </c>
      <c r="C59" s="6">
        <v>9.0045000000000002</v>
      </c>
      <c r="D59" s="6">
        <v>8.9847000000000001</v>
      </c>
      <c r="E59" s="6">
        <v>8.9436999999999998</v>
      </c>
      <c r="F59" s="6">
        <v>8.8873999999999995</v>
      </c>
      <c r="G59" s="6">
        <v>9.2967999999999993</v>
      </c>
      <c r="H59" s="6">
        <v>9.7431000000000001</v>
      </c>
      <c r="I59" s="6">
        <v>11.6754</v>
      </c>
      <c r="J59" s="6">
        <v>12.9941</v>
      </c>
      <c r="K59" s="6">
        <v>13.7781</v>
      </c>
      <c r="L59" s="6">
        <v>14.174300000000001</v>
      </c>
      <c r="M59" s="6">
        <v>14.750500000000001</v>
      </c>
      <c r="N59" s="6">
        <v>15.0427</v>
      </c>
      <c r="O59" s="6">
        <v>15.3856</v>
      </c>
      <c r="P59" s="6">
        <v>15.7285</v>
      </c>
      <c r="Q59" s="6"/>
    </row>
    <row r="60" spans="1:17">
      <c r="A60" s="5">
        <v>41544</v>
      </c>
      <c r="B60" s="5" t="str">
        <f t="shared" si="0"/>
        <v>2013 q3</v>
      </c>
      <c r="C60" s="6">
        <v>8.9684000000000008</v>
      </c>
      <c r="D60" s="6">
        <v>8.9571000000000005</v>
      </c>
      <c r="E60" s="6">
        <v>8.9336000000000002</v>
      </c>
      <c r="F60" s="6">
        <v>8.9085999999999999</v>
      </c>
      <c r="G60" s="6">
        <v>9.3312000000000008</v>
      </c>
      <c r="H60" s="6">
        <v>9.7875999999999994</v>
      </c>
      <c r="I60" s="6">
        <v>11.7239</v>
      </c>
      <c r="J60" s="6">
        <v>13.0337</v>
      </c>
      <c r="K60" s="6">
        <v>13.809900000000001</v>
      </c>
      <c r="L60" s="6">
        <v>14.2012</v>
      </c>
      <c r="M60" s="6">
        <v>14.7712</v>
      </c>
      <c r="N60" s="6">
        <v>15.0596</v>
      </c>
      <c r="O60" s="6">
        <v>15.3987</v>
      </c>
      <c r="P60" s="6">
        <v>15.7377</v>
      </c>
      <c r="Q60" s="6"/>
    </row>
    <row r="61" spans="1:17">
      <c r="A61" s="5">
        <v>41545</v>
      </c>
      <c r="B61" s="5" t="str">
        <f t="shared" si="0"/>
        <v>2013 q3</v>
      </c>
      <c r="C61" s="6">
        <v>9.0138999999999996</v>
      </c>
      <c r="D61" s="6">
        <v>8.9913000000000007</v>
      </c>
      <c r="E61" s="6">
        <v>8.9446999999999992</v>
      </c>
      <c r="F61" s="6">
        <v>8.8910999999999998</v>
      </c>
      <c r="G61" s="6">
        <v>9.3180999999999994</v>
      </c>
      <c r="H61" s="6">
        <v>9.7810000000000006</v>
      </c>
      <c r="I61" s="6">
        <v>11.725899999999999</v>
      </c>
      <c r="J61" s="6">
        <v>13.0151</v>
      </c>
      <c r="K61" s="6">
        <v>13.767099999999999</v>
      </c>
      <c r="L61" s="6">
        <v>14.1432</v>
      </c>
      <c r="M61" s="6">
        <v>14.691000000000001</v>
      </c>
      <c r="N61" s="6">
        <v>14.9674</v>
      </c>
      <c r="O61" s="6">
        <v>15.292899999999999</v>
      </c>
      <c r="P61" s="6">
        <v>15.618399999999999</v>
      </c>
      <c r="Q61" s="6"/>
    </row>
    <row r="62" spans="1:17">
      <c r="A62" s="5">
        <v>41547</v>
      </c>
      <c r="B62" s="5" t="str">
        <f t="shared" si="0"/>
        <v>2013 q3</v>
      </c>
      <c r="C62" s="6">
        <v>8.9372000000000007</v>
      </c>
      <c r="D62" s="6">
        <v>8.9334000000000007</v>
      </c>
      <c r="E62" s="6">
        <v>8.9254999999999995</v>
      </c>
      <c r="F62" s="6">
        <v>8.9327000000000005</v>
      </c>
      <c r="G62" s="6">
        <v>9.3497000000000003</v>
      </c>
      <c r="H62" s="6">
        <v>9.8024000000000004</v>
      </c>
      <c r="I62" s="6">
        <v>11.715999999999999</v>
      </c>
      <c r="J62" s="6">
        <v>13.026899999999999</v>
      </c>
      <c r="K62" s="6">
        <v>13.812799999999999</v>
      </c>
      <c r="L62" s="6">
        <v>14.2103</v>
      </c>
      <c r="M62" s="6">
        <v>14.792199999999999</v>
      </c>
      <c r="N62" s="6">
        <v>15.0854</v>
      </c>
      <c r="O62" s="6">
        <v>15.4315</v>
      </c>
      <c r="P62" s="6">
        <v>15.7776</v>
      </c>
      <c r="Q62" s="6"/>
    </row>
    <row r="63" spans="1:17">
      <c r="A63" s="5">
        <v>41548</v>
      </c>
      <c r="B63" s="5" t="str">
        <f t="shared" si="0"/>
        <v>2013 q4</v>
      </c>
      <c r="C63" s="6">
        <v>8.8917000000000002</v>
      </c>
      <c r="D63" s="6">
        <v>8.8996999999999993</v>
      </c>
      <c r="E63" s="6">
        <v>8.9161999999999999</v>
      </c>
      <c r="F63" s="6">
        <v>8.9647000000000006</v>
      </c>
      <c r="G63" s="6">
        <v>9.3452999999999999</v>
      </c>
      <c r="H63" s="6">
        <v>9.7639999999999993</v>
      </c>
      <c r="I63" s="6">
        <v>11.654999999999999</v>
      </c>
      <c r="J63" s="6">
        <v>12.876099999999999</v>
      </c>
      <c r="K63" s="6">
        <v>13.687900000000001</v>
      </c>
      <c r="L63" s="6">
        <v>14.106</v>
      </c>
      <c r="M63" s="6">
        <v>14.7241</v>
      </c>
      <c r="N63" s="6">
        <v>15.034700000000001</v>
      </c>
      <c r="O63" s="6">
        <v>15.403</v>
      </c>
      <c r="P63" s="6">
        <v>15.7713</v>
      </c>
      <c r="Q63" s="6"/>
    </row>
    <row r="64" spans="1:17">
      <c r="A64" s="5">
        <v>41549</v>
      </c>
      <c r="B64" s="5" t="str">
        <f t="shared" si="0"/>
        <v>2013 q4</v>
      </c>
      <c r="C64" s="6">
        <v>9.2254000000000005</v>
      </c>
      <c r="D64" s="6">
        <v>9.1443999999999992</v>
      </c>
      <c r="E64" s="6">
        <v>8.9770000000000003</v>
      </c>
      <c r="F64" s="6">
        <v>8.7904999999999998</v>
      </c>
      <c r="G64" s="6">
        <v>9.3745999999999992</v>
      </c>
      <c r="H64" s="6">
        <v>9.9809999999999999</v>
      </c>
      <c r="I64" s="6">
        <v>12.250500000000001</v>
      </c>
      <c r="J64" s="6">
        <v>13.307399999999999</v>
      </c>
      <c r="K64" s="6">
        <v>13.9198</v>
      </c>
      <c r="L64" s="6">
        <v>14.254</v>
      </c>
      <c r="M64" s="6">
        <v>14.669</v>
      </c>
      <c r="N64" s="6">
        <v>14.8828</v>
      </c>
      <c r="O64" s="6">
        <v>15.1412</v>
      </c>
      <c r="P64" s="6">
        <v>15.3995</v>
      </c>
      <c r="Q64" s="6"/>
    </row>
    <row r="65" spans="1:17">
      <c r="A65" s="5">
        <v>41550</v>
      </c>
      <c r="B65" s="5" t="str">
        <f t="shared" si="0"/>
        <v>2013 q4</v>
      </c>
      <c r="C65" s="6">
        <v>8.6379000000000001</v>
      </c>
      <c r="D65" s="6">
        <v>8.7151999999999994</v>
      </c>
      <c r="E65" s="6">
        <v>8.8748000000000005</v>
      </c>
      <c r="F65" s="6">
        <v>9.1222999999999992</v>
      </c>
      <c r="G65" s="6">
        <v>9.5447000000000006</v>
      </c>
      <c r="H65" s="6">
        <v>9.9724000000000004</v>
      </c>
      <c r="I65" s="6">
        <v>11.567600000000001</v>
      </c>
      <c r="J65" s="6">
        <v>12.8011</v>
      </c>
      <c r="K65" s="6">
        <v>13.617599999999999</v>
      </c>
      <c r="L65" s="6">
        <v>14.1153</v>
      </c>
      <c r="M65" s="6">
        <v>14.7637</v>
      </c>
      <c r="N65" s="6">
        <v>15.1007</v>
      </c>
      <c r="O65" s="6">
        <v>15.510999999999999</v>
      </c>
      <c r="P65" s="6">
        <v>15.9213</v>
      </c>
      <c r="Q65" s="6"/>
    </row>
    <row r="66" spans="1:17">
      <c r="A66" s="5">
        <v>41551</v>
      </c>
      <c r="B66" s="5" t="str">
        <f t="shared" si="0"/>
        <v>2013 q4</v>
      </c>
      <c r="C66" s="6">
        <v>8.1745000000000001</v>
      </c>
      <c r="D66" s="6">
        <v>8.3574999999999999</v>
      </c>
      <c r="E66" s="6">
        <v>8.7354000000000003</v>
      </c>
      <c r="F66" s="6">
        <v>9.2994000000000003</v>
      </c>
      <c r="G66" s="6">
        <v>9.7443000000000008</v>
      </c>
      <c r="H66" s="6">
        <v>10.185</v>
      </c>
      <c r="I66" s="6">
        <v>11.7148</v>
      </c>
      <c r="J66" s="6">
        <v>12.785299999999999</v>
      </c>
      <c r="K66" s="6">
        <v>13.5565</v>
      </c>
      <c r="L66" s="6">
        <v>14.084199999999999</v>
      </c>
      <c r="M66" s="6">
        <v>14.8482</v>
      </c>
      <c r="N66" s="6">
        <v>15.2818</v>
      </c>
      <c r="O66" s="6">
        <v>15.8363</v>
      </c>
      <c r="P66" s="6">
        <v>16.390699999999999</v>
      </c>
      <c r="Q66" s="6"/>
    </row>
    <row r="67" spans="1:17">
      <c r="A67" s="5">
        <v>41554</v>
      </c>
      <c r="B67" s="5" t="str">
        <f t="shared" ref="B67:B130" si="1">YEAR(A67)&amp;" q"&amp;ROUNDUP(MONTH(A67)/3,0)</f>
        <v>2013 q4</v>
      </c>
      <c r="C67" s="6">
        <v>8.8000000000000007</v>
      </c>
      <c r="D67" s="6">
        <v>8.8035999999999994</v>
      </c>
      <c r="E67" s="6">
        <v>8.8109999999999999</v>
      </c>
      <c r="F67" s="6">
        <v>8.9946000000000002</v>
      </c>
      <c r="G67" s="6">
        <v>9.5122999999999998</v>
      </c>
      <c r="H67" s="6">
        <v>10.0357</v>
      </c>
      <c r="I67" s="6">
        <v>11.864599999999999</v>
      </c>
      <c r="J67" s="6">
        <v>13.131</v>
      </c>
      <c r="K67" s="6">
        <v>13.850899999999999</v>
      </c>
      <c r="L67" s="6">
        <v>14.274699999999999</v>
      </c>
      <c r="M67" s="6">
        <v>14.811400000000001</v>
      </c>
      <c r="N67" s="6">
        <v>15.0868</v>
      </c>
      <c r="O67" s="6">
        <v>15.4216</v>
      </c>
      <c r="P67" s="6">
        <v>15.756500000000001</v>
      </c>
      <c r="Q67" s="6"/>
    </row>
    <row r="68" spans="1:17">
      <c r="A68" s="5">
        <v>41555</v>
      </c>
      <c r="B68" s="5" t="str">
        <f t="shared" si="1"/>
        <v>2013 q4</v>
      </c>
      <c r="C68" s="6">
        <v>8.8221000000000007</v>
      </c>
      <c r="D68" s="6">
        <v>8.7911000000000001</v>
      </c>
      <c r="E68" s="6">
        <v>8.7271000000000001</v>
      </c>
      <c r="F68" s="6">
        <v>8.9097000000000008</v>
      </c>
      <c r="G68" s="6">
        <v>9.3263999999999996</v>
      </c>
      <c r="H68" s="6">
        <v>9.7440999999999995</v>
      </c>
      <c r="I68" s="6">
        <v>11.581300000000001</v>
      </c>
      <c r="J68" s="6">
        <v>12.8766</v>
      </c>
      <c r="K68" s="6">
        <v>13.671099999999999</v>
      </c>
      <c r="L68" s="6">
        <v>14.131500000000001</v>
      </c>
      <c r="M68" s="6">
        <v>14.720800000000001</v>
      </c>
      <c r="N68" s="6">
        <v>15.0214</v>
      </c>
      <c r="O68" s="6">
        <v>15.389200000000001</v>
      </c>
      <c r="P68" s="6">
        <v>15.757</v>
      </c>
      <c r="Q68" s="6"/>
    </row>
    <row r="69" spans="1:17">
      <c r="A69" s="5">
        <v>41556</v>
      </c>
      <c r="B69" s="5" t="str">
        <f t="shared" si="1"/>
        <v>2013 q4</v>
      </c>
      <c r="C69" s="6">
        <v>8.8152000000000008</v>
      </c>
      <c r="D69" s="6">
        <v>8.7883999999999993</v>
      </c>
      <c r="E69" s="6">
        <v>8.7329000000000008</v>
      </c>
      <c r="F69" s="6">
        <v>8.9164999999999992</v>
      </c>
      <c r="G69" s="6">
        <v>9.3147000000000002</v>
      </c>
      <c r="H69" s="6">
        <v>9.7150999999999996</v>
      </c>
      <c r="I69" s="6">
        <v>11.609400000000001</v>
      </c>
      <c r="J69" s="6">
        <v>12.8589</v>
      </c>
      <c r="K69" s="6">
        <v>13.6599</v>
      </c>
      <c r="L69" s="6">
        <v>14.140599999999999</v>
      </c>
      <c r="M69" s="6">
        <v>14.7601</v>
      </c>
      <c r="N69" s="6">
        <v>15.075799999999999</v>
      </c>
      <c r="O69" s="6">
        <v>15.462999999999999</v>
      </c>
      <c r="P69" s="6">
        <v>15.850199999999999</v>
      </c>
      <c r="Q69" s="6"/>
    </row>
    <row r="70" spans="1:17">
      <c r="A70" s="5">
        <v>41557</v>
      </c>
      <c r="B70" s="5" t="str">
        <f t="shared" si="1"/>
        <v>2013 q4</v>
      </c>
      <c r="C70" s="6">
        <v>8.8140000000000001</v>
      </c>
      <c r="D70" s="6">
        <v>8.7865000000000002</v>
      </c>
      <c r="E70" s="6">
        <v>8.7296999999999993</v>
      </c>
      <c r="F70" s="6">
        <v>8.9219000000000008</v>
      </c>
      <c r="G70" s="6">
        <v>9.3274000000000008</v>
      </c>
      <c r="H70" s="6">
        <v>9.7362000000000002</v>
      </c>
      <c r="I70" s="6">
        <v>11.5631</v>
      </c>
      <c r="J70" s="6">
        <v>12.873200000000001</v>
      </c>
      <c r="K70" s="6">
        <v>13.6892</v>
      </c>
      <c r="L70" s="6">
        <v>14.165100000000001</v>
      </c>
      <c r="M70" s="6">
        <v>14.778600000000001</v>
      </c>
      <c r="N70" s="6">
        <v>15.090299999999999</v>
      </c>
      <c r="O70" s="6">
        <v>15.4734</v>
      </c>
      <c r="P70" s="6">
        <v>15.8565</v>
      </c>
      <c r="Q70" s="6"/>
    </row>
    <row r="71" spans="1:17">
      <c r="A71" s="5">
        <v>41558</v>
      </c>
      <c r="B71" s="5" t="str">
        <f t="shared" si="1"/>
        <v>2013 q4</v>
      </c>
      <c r="C71" s="6">
        <v>8.8232999999999997</v>
      </c>
      <c r="D71" s="6">
        <v>8.7890999999999995</v>
      </c>
      <c r="E71" s="6">
        <v>8.7186000000000003</v>
      </c>
      <c r="F71" s="6">
        <v>8.9120000000000008</v>
      </c>
      <c r="G71" s="6">
        <v>9.3255999999999997</v>
      </c>
      <c r="H71" s="6">
        <v>9.7436000000000007</v>
      </c>
      <c r="I71" s="6">
        <v>11.5776</v>
      </c>
      <c r="J71" s="6">
        <v>12.8697</v>
      </c>
      <c r="K71" s="6">
        <v>13.662100000000001</v>
      </c>
      <c r="L71" s="6">
        <v>14.1203</v>
      </c>
      <c r="M71" s="6">
        <v>14.7096</v>
      </c>
      <c r="N71" s="6">
        <v>15.008100000000001</v>
      </c>
      <c r="O71" s="6">
        <v>15.375400000000001</v>
      </c>
      <c r="P71" s="6">
        <v>15.742699999999999</v>
      </c>
      <c r="Q71" s="6"/>
    </row>
    <row r="72" spans="1:17">
      <c r="A72" s="5">
        <v>41561</v>
      </c>
      <c r="B72" s="5" t="str">
        <f t="shared" si="1"/>
        <v>2013 q4</v>
      </c>
      <c r="C72" s="6">
        <v>8.8437000000000001</v>
      </c>
      <c r="D72" s="6">
        <v>8.7971000000000004</v>
      </c>
      <c r="E72" s="6">
        <v>8.7009000000000007</v>
      </c>
      <c r="F72" s="6">
        <v>8.8615999999999993</v>
      </c>
      <c r="G72" s="6">
        <v>9.2370000000000001</v>
      </c>
      <c r="H72" s="6">
        <v>9.6196000000000002</v>
      </c>
      <c r="I72" s="6">
        <v>11.4367</v>
      </c>
      <c r="J72" s="6">
        <v>12.765599999999999</v>
      </c>
      <c r="K72" s="6">
        <v>13.604200000000001</v>
      </c>
      <c r="L72" s="6">
        <v>14.095599999999999</v>
      </c>
      <c r="M72" s="6">
        <v>14.732799999999999</v>
      </c>
      <c r="N72" s="6">
        <v>15.055300000000001</v>
      </c>
      <c r="O72" s="6">
        <v>15.4533</v>
      </c>
      <c r="P72" s="6">
        <v>15.8513</v>
      </c>
      <c r="Q72" s="6"/>
    </row>
    <row r="73" spans="1:17">
      <c r="A73" s="5">
        <v>41562</v>
      </c>
      <c r="B73" s="5" t="str">
        <f t="shared" si="1"/>
        <v>2013 q4</v>
      </c>
      <c r="C73" s="6">
        <v>8.7834000000000003</v>
      </c>
      <c r="D73" s="6">
        <v>8.7667000000000002</v>
      </c>
      <c r="E73" s="6">
        <v>8.7322000000000006</v>
      </c>
      <c r="F73" s="6">
        <v>8.9654000000000007</v>
      </c>
      <c r="G73" s="6">
        <v>9.3734000000000002</v>
      </c>
      <c r="H73" s="6">
        <v>9.8947000000000003</v>
      </c>
      <c r="I73" s="6">
        <v>11.709300000000001</v>
      </c>
      <c r="J73" s="6">
        <v>12.9208</v>
      </c>
      <c r="K73" s="6">
        <v>13.639099999999999</v>
      </c>
      <c r="L73" s="6">
        <v>14.046900000000001</v>
      </c>
      <c r="M73" s="6">
        <v>14.571300000000001</v>
      </c>
      <c r="N73" s="6">
        <v>14.834199999999999</v>
      </c>
      <c r="O73" s="6">
        <v>15.1599</v>
      </c>
      <c r="P73" s="6">
        <v>15.4856</v>
      </c>
      <c r="Q73" s="6"/>
    </row>
    <row r="74" spans="1:17">
      <c r="A74" s="5">
        <v>41563</v>
      </c>
      <c r="B74" s="5" t="str">
        <f t="shared" si="1"/>
        <v>2013 q4</v>
      </c>
      <c r="C74" s="6">
        <v>8.7774999999999999</v>
      </c>
      <c r="D74" s="6">
        <v>8.7650000000000006</v>
      </c>
      <c r="E74" s="6">
        <v>8.7392000000000003</v>
      </c>
      <c r="F74" s="6">
        <v>8.9853000000000005</v>
      </c>
      <c r="G74" s="6">
        <v>9.3996999999999993</v>
      </c>
      <c r="H74" s="6">
        <v>9.9297000000000004</v>
      </c>
      <c r="I74" s="6">
        <v>11.7827</v>
      </c>
      <c r="J74" s="6">
        <v>13.0351</v>
      </c>
      <c r="K74" s="6">
        <v>13.784800000000001</v>
      </c>
      <c r="L74" s="6">
        <v>14.212199999999999</v>
      </c>
      <c r="M74" s="6">
        <v>14.7637</v>
      </c>
      <c r="N74" s="6">
        <v>15.0396</v>
      </c>
      <c r="O74" s="6">
        <v>15.382099999999999</v>
      </c>
      <c r="P74" s="6">
        <v>15.7247</v>
      </c>
      <c r="Q74" s="6"/>
    </row>
    <row r="75" spans="1:17">
      <c r="A75" s="5">
        <v>41564</v>
      </c>
      <c r="B75" s="5" t="str">
        <f t="shared" si="1"/>
        <v>2013 q4</v>
      </c>
      <c r="C75" s="6">
        <v>8.7921999999999993</v>
      </c>
      <c r="D75" s="6">
        <v>8.7733000000000008</v>
      </c>
      <c r="E75" s="6">
        <v>8.7344000000000008</v>
      </c>
      <c r="F75" s="6">
        <v>8.9457000000000004</v>
      </c>
      <c r="G75" s="6">
        <v>9.3109999999999999</v>
      </c>
      <c r="H75" s="6">
        <v>9.8155000000000001</v>
      </c>
      <c r="I75" s="6">
        <v>11.608700000000001</v>
      </c>
      <c r="J75" s="6">
        <v>12.890700000000001</v>
      </c>
      <c r="K75" s="6">
        <v>13.6877</v>
      </c>
      <c r="L75" s="6">
        <v>14.1501</v>
      </c>
      <c r="M75" s="6">
        <v>14.752800000000001</v>
      </c>
      <c r="N75" s="6">
        <v>15.0541</v>
      </c>
      <c r="O75" s="6">
        <v>15.429399999999999</v>
      </c>
      <c r="P75" s="6">
        <v>15.804600000000001</v>
      </c>
      <c r="Q75" s="6"/>
    </row>
    <row r="76" spans="1:17">
      <c r="A76" s="5">
        <v>41565</v>
      </c>
      <c r="B76" s="5" t="str">
        <f t="shared" si="1"/>
        <v>2013 q4</v>
      </c>
      <c r="C76" s="6">
        <v>8.8020999999999994</v>
      </c>
      <c r="D76" s="6">
        <v>8.7654999999999994</v>
      </c>
      <c r="E76" s="6">
        <v>8.69</v>
      </c>
      <c r="F76" s="6">
        <v>8.9185999999999996</v>
      </c>
      <c r="G76" s="6">
        <v>9.3339999999999996</v>
      </c>
      <c r="H76" s="6">
        <v>9.8781999999999996</v>
      </c>
      <c r="I76" s="6">
        <v>11.765700000000001</v>
      </c>
      <c r="J76" s="6">
        <v>13.0184</v>
      </c>
      <c r="K76" s="6">
        <v>13.7561</v>
      </c>
      <c r="L76" s="6">
        <v>14.172700000000001</v>
      </c>
      <c r="M76" s="6">
        <v>14.710100000000001</v>
      </c>
      <c r="N76" s="6">
        <v>14.977499999999999</v>
      </c>
      <c r="O76" s="6">
        <v>15.310600000000001</v>
      </c>
      <c r="P76" s="6">
        <v>15.643700000000001</v>
      </c>
      <c r="Q76" s="6"/>
    </row>
    <row r="77" spans="1:17">
      <c r="A77" s="5">
        <v>41568</v>
      </c>
      <c r="B77" s="5" t="str">
        <f t="shared" si="1"/>
        <v>2013 q4</v>
      </c>
      <c r="C77" s="6">
        <v>8.6359999999999992</v>
      </c>
      <c r="D77" s="6">
        <v>8.6035000000000004</v>
      </c>
      <c r="E77" s="6">
        <v>8.5364000000000004</v>
      </c>
      <c r="F77" s="6">
        <v>8.7757000000000005</v>
      </c>
      <c r="G77" s="6">
        <v>9.1946999999999992</v>
      </c>
      <c r="H77" s="6">
        <v>9.7676999999999996</v>
      </c>
      <c r="I77" s="6">
        <v>11.744400000000001</v>
      </c>
      <c r="J77" s="6">
        <v>13.0396</v>
      </c>
      <c r="K77" s="6">
        <v>13.792299999999999</v>
      </c>
      <c r="L77" s="6">
        <v>14.2143</v>
      </c>
      <c r="M77" s="6">
        <v>14.7582</v>
      </c>
      <c r="N77" s="6">
        <v>15.0281</v>
      </c>
      <c r="O77" s="6">
        <v>15.3649</v>
      </c>
      <c r="P77" s="6">
        <v>15.701700000000001</v>
      </c>
      <c r="Q77" s="6"/>
    </row>
    <row r="78" spans="1:17">
      <c r="A78" s="5">
        <v>41569</v>
      </c>
      <c r="B78" s="5" t="str">
        <f t="shared" si="1"/>
        <v>2013 q4</v>
      </c>
      <c r="C78" s="6">
        <v>8.5482999999999993</v>
      </c>
      <c r="D78" s="6">
        <v>8.5946999999999996</v>
      </c>
      <c r="E78" s="6">
        <v>8.6905000000000001</v>
      </c>
      <c r="F78" s="6">
        <v>8.8343000000000007</v>
      </c>
      <c r="G78" s="6">
        <v>9.3259000000000007</v>
      </c>
      <c r="H78" s="6">
        <v>9.8752999999999993</v>
      </c>
      <c r="I78" s="6">
        <v>11.7791</v>
      </c>
      <c r="J78" s="6">
        <v>13.049200000000001</v>
      </c>
      <c r="K78" s="6">
        <v>13.802199999999999</v>
      </c>
      <c r="L78" s="6">
        <v>14.227600000000001</v>
      </c>
      <c r="M78" s="6">
        <v>14.780799999999999</v>
      </c>
      <c r="N78" s="6">
        <v>15.053599999999999</v>
      </c>
      <c r="O78" s="6">
        <v>15.396000000000001</v>
      </c>
      <c r="P78" s="6">
        <v>15.7385</v>
      </c>
      <c r="Q78" s="6"/>
    </row>
    <row r="79" spans="1:17">
      <c r="A79" s="5">
        <v>41570</v>
      </c>
      <c r="B79" s="5" t="str">
        <f t="shared" si="1"/>
        <v>2013 q4</v>
      </c>
      <c r="C79" s="6">
        <v>8.5469000000000008</v>
      </c>
      <c r="D79" s="6">
        <v>8.5914000000000001</v>
      </c>
      <c r="E79" s="6">
        <v>8.6834000000000007</v>
      </c>
      <c r="F79" s="6">
        <v>8.8241999999999994</v>
      </c>
      <c r="G79" s="6">
        <v>9.2111000000000001</v>
      </c>
      <c r="H79" s="6">
        <v>9.6775000000000002</v>
      </c>
      <c r="I79" s="6">
        <v>11.463100000000001</v>
      </c>
      <c r="J79" s="6">
        <v>12.7089</v>
      </c>
      <c r="K79" s="6">
        <v>13.5745</v>
      </c>
      <c r="L79" s="6">
        <v>14.092499999999999</v>
      </c>
      <c r="M79" s="6">
        <v>14.7865</v>
      </c>
      <c r="N79" s="6">
        <v>15.130699999999999</v>
      </c>
      <c r="O79" s="6">
        <v>15.5655</v>
      </c>
      <c r="P79" s="6">
        <v>16.000299999999999</v>
      </c>
      <c r="Q79" s="6"/>
    </row>
    <row r="80" spans="1:17">
      <c r="A80" s="5">
        <v>41571</v>
      </c>
      <c r="B80" s="5" t="str">
        <f t="shared" si="1"/>
        <v>2013 q4</v>
      </c>
      <c r="C80" s="6">
        <v>8.5568000000000008</v>
      </c>
      <c r="D80" s="6">
        <v>8.5946999999999996</v>
      </c>
      <c r="E80" s="6">
        <v>8.6728000000000005</v>
      </c>
      <c r="F80" s="6">
        <v>8.7954000000000008</v>
      </c>
      <c r="G80" s="6">
        <v>9.1617999999999995</v>
      </c>
      <c r="H80" s="6">
        <v>9.6156000000000006</v>
      </c>
      <c r="I80" s="6">
        <v>11.321300000000001</v>
      </c>
      <c r="J80" s="6">
        <v>12.663</v>
      </c>
      <c r="K80" s="6">
        <v>13.5687</v>
      </c>
      <c r="L80" s="6">
        <v>14.1181</v>
      </c>
      <c r="M80" s="6">
        <v>14.8614</v>
      </c>
      <c r="N80" s="6">
        <v>15.2303</v>
      </c>
      <c r="O80" s="6">
        <v>15.697800000000001</v>
      </c>
      <c r="P80" s="6">
        <v>16.165400000000002</v>
      </c>
      <c r="Q80" s="6"/>
    </row>
    <row r="81" spans="1:17">
      <c r="A81" s="5">
        <v>41572</v>
      </c>
      <c r="B81" s="5" t="str">
        <f t="shared" si="1"/>
        <v>2013 q4</v>
      </c>
      <c r="C81" s="6">
        <v>8.5313999999999997</v>
      </c>
      <c r="D81" s="6">
        <v>8.5799000000000003</v>
      </c>
      <c r="E81" s="6">
        <v>8.6800999999999995</v>
      </c>
      <c r="F81" s="6">
        <v>8.8373000000000008</v>
      </c>
      <c r="G81" s="6">
        <v>9.2062000000000008</v>
      </c>
      <c r="H81" s="6">
        <v>9.6508000000000003</v>
      </c>
      <c r="I81" s="6">
        <v>11.3187</v>
      </c>
      <c r="J81" s="6">
        <v>12.637700000000001</v>
      </c>
      <c r="K81" s="6">
        <v>13.5379</v>
      </c>
      <c r="L81" s="6">
        <v>14.0884</v>
      </c>
      <c r="M81" s="6">
        <v>14.8383</v>
      </c>
      <c r="N81" s="6">
        <v>15.210699999999999</v>
      </c>
      <c r="O81" s="6">
        <v>15.6839</v>
      </c>
      <c r="P81" s="6">
        <v>16.1572</v>
      </c>
      <c r="Q81" s="6"/>
    </row>
    <row r="82" spans="1:17">
      <c r="A82" s="5">
        <v>41575</v>
      </c>
      <c r="B82" s="5" t="str">
        <f t="shared" si="1"/>
        <v>2013 q4</v>
      </c>
      <c r="C82" s="6">
        <v>8.5427999999999997</v>
      </c>
      <c r="D82" s="6">
        <v>8.5879999999999992</v>
      </c>
      <c r="E82" s="6">
        <v>8.6813000000000002</v>
      </c>
      <c r="F82" s="6">
        <v>8.8298000000000005</v>
      </c>
      <c r="G82" s="6">
        <v>9.1760000000000002</v>
      </c>
      <c r="H82" s="6">
        <v>9.5993999999999993</v>
      </c>
      <c r="I82" s="6">
        <v>11.2218</v>
      </c>
      <c r="J82" s="6">
        <v>12.545299999999999</v>
      </c>
      <c r="K82" s="6">
        <v>13.4742</v>
      </c>
      <c r="L82" s="6">
        <v>14.053000000000001</v>
      </c>
      <c r="M82" s="6">
        <v>14.852</v>
      </c>
      <c r="N82" s="6">
        <v>15.25</v>
      </c>
      <c r="O82" s="6">
        <v>15.7583</v>
      </c>
      <c r="P82" s="6">
        <v>16.266500000000001</v>
      </c>
      <c r="Q82" s="6"/>
    </row>
    <row r="83" spans="1:17">
      <c r="A83" s="5">
        <v>41576</v>
      </c>
      <c r="B83" s="5" t="str">
        <f t="shared" si="1"/>
        <v>2013 q4</v>
      </c>
      <c r="C83" s="6">
        <v>8.5832999999999995</v>
      </c>
      <c r="D83" s="6">
        <v>8.6283999999999992</v>
      </c>
      <c r="E83" s="6">
        <v>8.7216000000000005</v>
      </c>
      <c r="F83" s="6">
        <v>8.8747000000000007</v>
      </c>
      <c r="G83" s="6">
        <v>9.2073</v>
      </c>
      <c r="H83" s="6">
        <v>9.6478000000000002</v>
      </c>
      <c r="I83" s="6">
        <v>11.319000000000001</v>
      </c>
      <c r="J83" s="6">
        <v>12.6494</v>
      </c>
      <c r="K83" s="6">
        <v>13.544700000000001</v>
      </c>
      <c r="L83" s="6">
        <v>14.083399999999999</v>
      </c>
      <c r="M83" s="6">
        <v>14.8156</v>
      </c>
      <c r="N83" s="6">
        <v>15.174300000000001</v>
      </c>
      <c r="O83" s="6">
        <v>15.632899999999999</v>
      </c>
      <c r="P83" s="6">
        <v>16.0916</v>
      </c>
      <c r="Q83" s="6"/>
    </row>
    <row r="84" spans="1:17">
      <c r="A84" s="5">
        <v>41577</v>
      </c>
      <c r="B84" s="5" t="str">
        <f t="shared" si="1"/>
        <v>2013 q4</v>
      </c>
      <c r="C84" s="6">
        <v>8.6501999999999999</v>
      </c>
      <c r="D84" s="6">
        <v>8.6809999999999992</v>
      </c>
      <c r="E84" s="6">
        <v>8.7446000000000002</v>
      </c>
      <c r="F84" s="6">
        <v>8.8582999999999998</v>
      </c>
      <c r="G84" s="6">
        <v>9.1864000000000008</v>
      </c>
      <c r="H84" s="6">
        <v>9.6382999999999992</v>
      </c>
      <c r="I84" s="6">
        <v>11.3398</v>
      </c>
      <c r="J84" s="6">
        <v>12.666600000000001</v>
      </c>
      <c r="K84" s="6">
        <v>13.5364</v>
      </c>
      <c r="L84" s="6">
        <v>14.0502</v>
      </c>
      <c r="M84" s="6">
        <v>14.7425</v>
      </c>
      <c r="N84" s="6">
        <v>15.079599999999999</v>
      </c>
      <c r="O84" s="6">
        <v>15.5107</v>
      </c>
      <c r="P84" s="6">
        <v>15.941800000000001</v>
      </c>
      <c r="Q84" s="6"/>
    </row>
    <row r="85" spans="1:17">
      <c r="A85" s="5">
        <v>41578</v>
      </c>
      <c r="B85" s="5" t="str">
        <f t="shared" si="1"/>
        <v>2013 q4</v>
      </c>
      <c r="C85" s="6">
        <v>8.6523000000000003</v>
      </c>
      <c r="D85" s="6">
        <v>8.6828000000000003</v>
      </c>
      <c r="E85" s="6">
        <v>8.7457999999999991</v>
      </c>
      <c r="F85" s="6">
        <v>8.8606999999999996</v>
      </c>
      <c r="G85" s="6">
        <v>9.1861999999999995</v>
      </c>
      <c r="H85" s="6">
        <v>9.6333000000000002</v>
      </c>
      <c r="I85" s="6">
        <v>11.3201</v>
      </c>
      <c r="J85" s="6">
        <v>12.6402</v>
      </c>
      <c r="K85" s="6">
        <v>13.508599999999999</v>
      </c>
      <c r="L85" s="6">
        <v>14.0222</v>
      </c>
      <c r="M85" s="6">
        <v>14.7163</v>
      </c>
      <c r="N85" s="6">
        <v>15.053599999999999</v>
      </c>
      <c r="O85" s="6">
        <v>15.485900000000001</v>
      </c>
      <c r="P85" s="6">
        <v>15.918200000000001</v>
      </c>
      <c r="Q85" s="6"/>
    </row>
    <row r="86" spans="1:17">
      <c r="A86" s="5">
        <v>41579</v>
      </c>
      <c r="B86" s="5" t="str">
        <f t="shared" si="1"/>
        <v>2013 q4</v>
      </c>
      <c r="C86" s="6">
        <v>8.5972000000000008</v>
      </c>
      <c r="D86" s="6">
        <v>8.6404999999999994</v>
      </c>
      <c r="E86" s="6">
        <v>8.7299000000000007</v>
      </c>
      <c r="F86" s="6">
        <v>8.8811999999999998</v>
      </c>
      <c r="G86" s="6">
        <v>9.1945999999999994</v>
      </c>
      <c r="H86" s="6">
        <v>9.6100999999999992</v>
      </c>
      <c r="I86" s="6">
        <v>11.2158</v>
      </c>
      <c r="J86" s="6">
        <v>12.539199999999999</v>
      </c>
      <c r="K86" s="6">
        <v>13.459</v>
      </c>
      <c r="L86" s="6">
        <v>14.0236</v>
      </c>
      <c r="M86" s="6">
        <v>14.804500000000001</v>
      </c>
      <c r="N86" s="6">
        <v>15.1866</v>
      </c>
      <c r="O86" s="6">
        <v>15.6792</v>
      </c>
      <c r="P86" s="6">
        <v>16.171900000000001</v>
      </c>
      <c r="Q86" s="6"/>
    </row>
    <row r="87" spans="1:17">
      <c r="A87" s="5">
        <v>41582</v>
      </c>
      <c r="B87" s="5" t="str">
        <f t="shared" si="1"/>
        <v>2013 q4</v>
      </c>
      <c r="C87" s="6">
        <v>8.6102000000000007</v>
      </c>
      <c r="D87" s="6">
        <v>8.6509999999999998</v>
      </c>
      <c r="E87" s="6">
        <v>8.7352000000000007</v>
      </c>
      <c r="F87" s="6">
        <v>8.8811999999999998</v>
      </c>
      <c r="G87" s="6">
        <v>9.1949000000000005</v>
      </c>
      <c r="H87" s="6">
        <v>9.6125000000000007</v>
      </c>
      <c r="I87" s="6">
        <v>11.2254</v>
      </c>
      <c r="J87" s="6">
        <v>12.5501</v>
      </c>
      <c r="K87" s="6">
        <v>13.466699999999999</v>
      </c>
      <c r="L87" s="6">
        <v>14.0268</v>
      </c>
      <c r="M87" s="6">
        <v>14.8012</v>
      </c>
      <c r="N87" s="6">
        <v>15.178800000000001</v>
      </c>
      <c r="O87" s="6">
        <v>15.666399999999999</v>
      </c>
      <c r="P87" s="6">
        <v>16.1541</v>
      </c>
      <c r="Q87" s="6"/>
    </row>
    <row r="88" spans="1:17">
      <c r="A88" s="5">
        <v>41583</v>
      </c>
      <c r="B88" s="5" t="str">
        <f t="shared" si="1"/>
        <v>2013 q4</v>
      </c>
      <c r="C88" s="6">
        <v>8.7989999999999995</v>
      </c>
      <c r="D88" s="6">
        <v>8.7901000000000007</v>
      </c>
      <c r="E88" s="6">
        <v>8.7715999999999994</v>
      </c>
      <c r="F88" s="6">
        <v>8.7853999999999992</v>
      </c>
      <c r="G88" s="6">
        <v>9.0738000000000003</v>
      </c>
      <c r="H88" s="6">
        <v>9.5175000000000001</v>
      </c>
      <c r="I88" s="6">
        <v>11.2155</v>
      </c>
      <c r="J88" s="6">
        <v>12.555199999999999</v>
      </c>
      <c r="K88" s="6">
        <v>13.4261</v>
      </c>
      <c r="L88" s="6">
        <v>13.934200000000001</v>
      </c>
      <c r="M88" s="6">
        <v>14.6225</v>
      </c>
      <c r="N88" s="6">
        <v>14.952299999999999</v>
      </c>
      <c r="O88" s="6">
        <v>15.3789</v>
      </c>
      <c r="P88" s="6">
        <v>15.805400000000001</v>
      </c>
      <c r="Q88" s="6"/>
    </row>
    <row r="89" spans="1:17">
      <c r="A89" s="5">
        <v>41584</v>
      </c>
      <c r="B89" s="5" t="str">
        <f t="shared" si="1"/>
        <v>2013 q4</v>
      </c>
      <c r="C89" s="6">
        <v>8.7912999999999997</v>
      </c>
      <c r="D89" s="6">
        <v>8.7840000000000007</v>
      </c>
      <c r="E89" s="6">
        <v>8.7690000000000001</v>
      </c>
      <c r="F89" s="6">
        <v>8.7909000000000006</v>
      </c>
      <c r="G89" s="6">
        <v>9.0839999999999996</v>
      </c>
      <c r="H89" s="6">
        <v>9.5238999999999994</v>
      </c>
      <c r="I89" s="6">
        <v>11.1877</v>
      </c>
      <c r="J89" s="6">
        <v>12.4741</v>
      </c>
      <c r="K89" s="6">
        <v>13.298299999999999</v>
      </c>
      <c r="L89" s="6">
        <v>13.775</v>
      </c>
      <c r="M89" s="6">
        <v>14.4194</v>
      </c>
      <c r="N89" s="6">
        <v>14.727</v>
      </c>
      <c r="O89" s="6">
        <v>15.125500000000001</v>
      </c>
      <c r="P89" s="6">
        <v>15.523899999999999</v>
      </c>
      <c r="Q89" s="6"/>
    </row>
    <row r="90" spans="1:17">
      <c r="A90" s="5">
        <v>41585</v>
      </c>
      <c r="B90" s="5" t="str">
        <f t="shared" si="1"/>
        <v>2013 q4</v>
      </c>
      <c r="C90" s="6">
        <v>8.8031000000000006</v>
      </c>
      <c r="D90" s="6">
        <v>8.7934999999999999</v>
      </c>
      <c r="E90" s="6">
        <v>8.7736999999999998</v>
      </c>
      <c r="F90" s="6">
        <v>8.7888000000000002</v>
      </c>
      <c r="G90" s="6">
        <v>9.0626999999999995</v>
      </c>
      <c r="H90" s="6">
        <v>9.4839000000000002</v>
      </c>
      <c r="I90" s="6">
        <v>11.169499999999999</v>
      </c>
      <c r="J90" s="6">
        <v>12.4183</v>
      </c>
      <c r="K90" s="6">
        <v>13.2783</v>
      </c>
      <c r="L90" s="6">
        <v>13.783099999999999</v>
      </c>
      <c r="M90" s="6">
        <v>14.472099999999999</v>
      </c>
      <c r="N90" s="6">
        <v>14.801</v>
      </c>
      <c r="O90" s="6">
        <v>15.228300000000001</v>
      </c>
      <c r="P90" s="6">
        <v>15.6556</v>
      </c>
      <c r="Q90" s="6"/>
    </row>
    <row r="91" spans="1:17">
      <c r="A91" s="5">
        <v>41586</v>
      </c>
      <c r="B91" s="5" t="str">
        <f t="shared" si="1"/>
        <v>2013 q4</v>
      </c>
      <c r="C91" s="6">
        <v>8.6168999999999993</v>
      </c>
      <c r="D91" s="6">
        <v>8.6516000000000002</v>
      </c>
      <c r="E91" s="6">
        <v>8.7233999999999998</v>
      </c>
      <c r="F91" s="6">
        <v>8.8591999999999995</v>
      </c>
      <c r="G91" s="6">
        <v>9.15</v>
      </c>
      <c r="H91" s="6">
        <v>9.5329999999999995</v>
      </c>
      <c r="I91" s="6">
        <v>11.024100000000001</v>
      </c>
      <c r="J91" s="6">
        <v>12.2621</v>
      </c>
      <c r="K91" s="6">
        <v>13.1411</v>
      </c>
      <c r="L91" s="6">
        <v>13.657999999999999</v>
      </c>
      <c r="M91" s="6">
        <v>14.4017</v>
      </c>
      <c r="N91" s="6">
        <v>14.76</v>
      </c>
      <c r="O91" s="6">
        <v>15.2286</v>
      </c>
      <c r="P91" s="6">
        <v>15.6972</v>
      </c>
      <c r="Q91" s="6"/>
    </row>
    <row r="92" spans="1:17">
      <c r="A92" s="5">
        <v>41589</v>
      </c>
      <c r="B92" s="5" t="str">
        <f t="shared" si="1"/>
        <v>2013 q4</v>
      </c>
      <c r="C92" s="6">
        <v>8.8560999999999996</v>
      </c>
      <c r="D92" s="6">
        <v>8.8338999999999999</v>
      </c>
      <c r="E92" s="6">
        <v>8.7881</v>
      </c>
      <c r="F92" s="6">
        <v>8.7721999999999998</v>
      </c>
      <c r="G92" s="6">
        <v>9.0275999999999996</v>
      </c>
      <c r="H92" s="6">
        <v>9.4362999999999992</v>
      </c>
      <c r="I92" s="6">
        <v>11.0329</v>
      </c>
      <c r="J92" s="6">
        <v>12.3253</v>
      </c>
      <c r="K92" s="6">
        <v>13.178599999999999</v>
      </c>
      <c r="L92" s="6">
        <v>13.679</v>
      </c>
      <c r="M92" s="6">
        <v>14.364100000000001</v>
      </c>
      <c r="N92" s="6">
        <v>14.6896</v>
      </c>
      <c r="O92" s="6">
        <v>15.1142</v>
      </c>
      <c r="P92" s="6">
        <v>15.5388</v>
      </c>
      <c r="Q92" s="6"/>
    </row>
    <row r="93" spans="1:17">
      <c r="A93" s="5">
        <v>41590</v>
      </c>
      <c r="B93" s="5" t="str">
        <f t="shared" si="1"/>
        <v>2013 q4</v>
      </c>
      <c r="C93" s="6">
        <v>8.6112000000000002</v>
      </c>
      <c r="D93" s="6">
        <v>8.6138999999999992</v>
      </c>
      <c r="E93" s="6">
        <v>8.6194000000000006</v>
      </c>
      <c r="F93" s="6">
        <v>8.6761999999999997</v>
      </c>
      <c r="G93" s="6">
        <v>8.8949999999999996</v>
      </c>
      <c r="H93" s="6">
        <v>9.2723999999999993</v>
      </c>
      <c r="I93" s="6">
        <v>10.780099999999999</v>
      </c>
      <c r="J93" s="6">
        <v>12.0695</v>
      </c>
      <c r="K93" s="6">
        <v>12.984</v>
      </c>
      <c r="L93" s="6">
        <v>13.546099999999999</v>
      </c>
      <c r="M93" s="6">
        <v>14.341100000000001</v>
      </c>
      <c r="N93" s="6">
        <v>14.720800000000001</v>
      </c>
      <c r="O93" s="6">
        <v>15.2216</v>
      </c>
      <c r="P93" s="6">
        <v>15.7224</v>
      </c>
      <c r="Q93" s="6"/>
    </row>
    <row r="94" spans="1:17">
      <c r="A94" s="5">
        <v>41591</v>
      </c>
      <c r="B94" s="5" t="str">
        <f t="shared" si="1"/>
        <v>2013 q4</v>
      </c>
      <c r="C94" s="6">
        <v>8.5252999999999997</v>
      </c>
      <c r="D94" s="6">
        <v>8.5481999999999996</v>
      </c>
      <c r="E94" s="6">
        <v>8.5954999999999995</v>
      </c>
      <c r="F94" s="6">
        <v>8.6991999999999994</v>
      </c>
      <c r="G94" s="6">
        <v>8.9074000000000009</v>
      </c>
      <c r="H94" s="6">
        <v>9.2314000000000007</v>
      </c>
      <c r="I94" s="6">
        <v>10.5631</v>
      </c>
      <c r="J94" s="6">
        <v>11.777100000000001</v>
      </c>
      <c r="K94" s="6">
        <v>12.7067</v>
      </c>
      <c r="L94" s="6">
        <v>13.3149</v>
      </c>
      <c r="M94" s="6">
        <v>14.211600000000001</v>
      </c>
      <c r="N94" s="6">
        <v>14.650600000000001</v>
      </c>
      <c r="O94" s="6">
        <v>15.237</v>
      </c>
      <c r="P94" s="6">
        <v>15.8233</v>
      </c>
      <c r="Q94" s="6"/>
    </row>
    <row r="95" spans="1:17">
      <c r="A95" s="5">
        <v>41592</v>
      </c>
      <c r="B95" s="5" t="str">
        <f t="shared" si="1"/>
        <v>2013 q4</v>
      </c>
      <c r="C95" s="6">
        <v>8.468</v>
      </c>
      <c r="D95" s="6">
        <v>8.5045000000000002</v>
      </c>
      <c r="E95" s="6">
        <v>8.5799000000000003</v>
      </c>
      <c r="F95" s="6">
        <v>8.7172000000000001</v>
      </c>
      <c r="G95" s="6">
        <v>8.9278999999999993</v>
      </c>
      <c r="H95" s="6">
        <v>9.2250999999999994</v>
      </c>
      <c r="I95" s="6">
        <v>10.454800000000001</v>
      </c>
      <c r="J95" s="6">
        <v>11.608000000000001</v>
      </c>
      <c r="K95" s="6">
        <v>12.5329</v>
      </c>
      <c r="L95" s="6">
        <v>13.1662</v>
      </c>
      <c r="M95" s="6">
        <v>14.1312</v>
      </c>
      <c r="N95" s="6">
        <v>14.718299999999999</v>
      </c>
      <c r="O95" s="6">
        <v>15.483000000000001</v>
      </c>
      <c r="P95" s="6">
        <v>15.8208</v>
      </c>
      <c r="Q95" s="6"/>
    </row>
    <row r="96" spans="1:17">
      <c r="A96" s="5">
        <v>41593</v>
      </c>
      <c r="B96" s="5" t="str">
        <f t="shared" si="1"/>
        <v>2013 q4</v>
      </c>
      <c r="C96" s="6">
        <v>8.4316999999999993</v>
      </c>
      <c r="D96" s="6">
        <v>8.4771000000000001</v>
      </c>
      <c r="E96" s="6">
        <v>8.5709999999999997</v>
      </c>
      <c r="F96" s="6">
        <v>8.7274999999999991</v>
      </c>
      <c r="G96" s="6">
        <v>8.9296000000000006</v>
      </c>
      <c r="H96" s="6">
        <v>9.1872000000000007</v>
      </c>
      <c r="I96" s="6">
        <v>10.2483</v>
      </c>
      <c r="J96" s="6">
        <v>11.2561</v>
      </c>
      <c r="K96" s="6">
        <v>12.1037</v>
      </c>
      <c r="L96" s="6">
        <v>12.692399999999999</v>
      </c>
      <c r="M96" s="6">
        <v>13.6341</v>
      </c>
      <c r="N96" s="6">
        <v>14.126200000000001</v>
      </c>
      <c r="O96" s="6">
        <v>14.8018</v>
      </c>
      <c r="P96" s="6">
        <v>15.477399999999999</v>
      </c>
      <c r="Q96" s="6"/>
    </row>
    <row r="97" spans="1:17">
      <c r="A97" s="5">
        <v>41596</v>
      </c>
      <c r="B97" s="5" t="str">
        <f t="shared" si="1"/>
        <v>2013 q4</v>
      </c>
      <c r="C97" s="6">
        <v>8.6414000000000009</v>
      </c>
      <c r="D97" s="6">
        <v>8.6440000000000001</v>
      </c>
      <c r="E97" s="6">
        <v>8.6495999999999995</v>
      </c>
      <c r="F97" s="6">
        <v>8.6831999999999994</v>
      </c>
      <c r="G97" s="6">
        <v>8.7881</v>
      </c>
      <c r="H97" s="6">
        <v>8.9875000000000007</v>
      </c>
      <c r="I97" s="6">
        <v>9.8941999999999997</v>
      </c>
      <c r="J97" s="6">
        <v>10.8476</v>
      </c>
      <c r="K97" s="6">
        <v>11.6716</v>
      </c>
      <c r="L97" s="6">
        <v>12.268800000000001</v>
      </c>
      <c r="M97" s="6">
        <v>13.215</v>
      </c>
      <c r="N97" s="6">
        <v>13.708600000000001</v>
      </c>
      <c r="O97" s="6">
        <v>14.3879</v>
      </c>
      <c r="P97" s="6">
        <v>15.0671</v>
      </c>
      <c r="Q97" s="6"/>
    </row>
    <row r="98" spans="1:17">
      <c r="A98" s="5">
        <v>41597</v>
      </c>
      <c r="B98" s="5" t="str">
        <f t="shared" si="1"/>
        <v>2013 q4</v>
      </c>
      <c r="C98" s="6">
        <v>8.5494000000000003</v>
      </c>
      <c r="D98" s="6">
        <v>8.5478000000000005</v>
      </c>
      <c r="E98" s="6">
        <v>8.5447000000000006</v>
      </c>
      <c r="F98" s="6">
        <v>8.5398999999999994</v>
      </c>
      <c r="G98" s="6">
        <v>8.6465999999999994</v>
      </c>
      <c r="H98" s="6">
        <v>8.8482000000000003</v>
      </c>
      <c r="I98" s="6">
        <v>9.7850999999999999</v>
      </c>
      <c r="J98" s="6">
        <v>10.7796</v>
      </c>
      <c r="K98" s="6">
        <v>11.6349</v>
      </c>
      <c r="L98" s="6">
        <v>12.2478</v>
      </c>
      <c r="M98" s="6">
        <v>13.2157</v>
      </c>
      <c r="N98" s="6">
        <v>13.7125</v>
      </c>
      <c r="O98" s="6">
        <v>14.397500000000001</v>
      </c>
      <c r="P98" s="6">
        <v>15.0825</v>
      </c>
      <c r="Q98" s="6"/>
    </row>
    <row r="99" spans="1:17">
      <c r="A99" s="5">
        <v>41598</v>
      </c>
      <c r="B99" s="5" t="str">
        <f t="shared" si="1"/>
        <v>2013 q4</v>
      </c>
      <c r="C99" s="6">
        <v>8.4726999999999997</v>
      </c>
      <c r="D99" s="6">
        <v>8.4877000000000002</v>
      </c>
      <c r="E99" s="6">
        <v>8.5184999999999995</v>
      </c>
      <c r="F99" s="6">
        <v>8.5648999999999997</v>
      </c>
      <c r="G99" s="6">
        <v>8.6972000000000005</v>
      </c>
      <c r="H99" s="6">
        <v>8.8980999999999995</v>
      </c>
      <c r="I99" s="6">
        <v>9.7864000000000004</v>
      </c>
      <c r="J99" s="6">
        <v>10.6868</v>
      </c>
      <c r="K99" s="6">
        <v>11.4489</v>
      </c>
      <c r="L99" s="6">
        <v>11.9918</v>
      </c>
      <c r="M99" s="6">
        <v>12.849</v>
      </c>
      <c r="N99" s="6">
        <v>13.2881</v>
      </c>
      <c r="O99" s="6">
        <v>13.8948</v>
      </c>
      <c r="P99" s="6">
        <v>14.5015</v>
      </c>
      <c r="Q99" s="6"/>
    </row>
    <row r="100" spans="1:17">
      <c r="A100" s="5">
        <v>41599</v>
      </c>
      <c r="B100" s="5" t="str">
        <f t="shared" si="1"/>
        <v>2013 q4</v>
      </c>
      <c r="C100" s="6">
        <v>8.3994999999999997</v>
      </c>
      <c r="D100" s="6">
        <v>8.4269999999999996</v>
      </c>
      <c r="E100" s="6">
        <v>8.4837000000000007</v>
      </c>
      <c r="F100" s="6">
        <v>8.5693999999999999</v>
      </c>
      <c r="G100" s="6">
        <v>8.7057000000000002</v>
      </c>
      <c r="H100" s="6">
        <v>8.8835999999999995</v>
      </c>
      <c r="I100" s="6">
        <v>9.6516999999999999</v>
      </c>
      <c r="J100" s="6">
        <v>10.4283</v>
      </c>
      <c r="K100" s="6">
        <v>11.1076</v>
      </c>
      <c r="L100" s="6">
        <v>11.6143</v>
      </c>
      <c r="M100" s="6">
        <v>12.442600000000001</v>
      </c>
      <c r="N100" s="6">
        <v>12.8893</v>
      </c>
      <c r="O100" s="6">
        <v>13.5177</v>
      </c>
      <c r="P100" s="6">
        <v>14.146000000000001</v>
      </c>
      <c r="Q100" s="6"/>
    </row>
    <row r="101" spans="1:17">
      <c r="A101" s="5">
        <v>41600</v>
      </c>
      <c r="B101" s="5" t="str">
        <f t="shared" si="1"/>
        <v>2013 q4</v>
      </c>
      <c r="C101" s="6">
        <v>8.4566999999999997</v>
      </c>
      <c r="D101" s="6">
        <v>8.4724000000000004</v>
      </c>
      <c r="E101" s="6">
        <v>8.5047999999999995</v>
      </c>
      <c r="F101" s="6">
        <v>8.5549999999999997</v>
      </c>
      <c r="G101" s="6">
        <v>8.6797000000000004</v>
      </c>
      <c r="H101" s="6">
        <v>8.8613</v>
      </c>
      <c r="I101" s="6">
        <v>9.6533999999999995</v>
      </c>
      <c r="J101" s="6">
        <v>10.4411</v>
      </c>
      <c r="K101" s="6">
        <v>11.0989</v>
      </c>
      <c r="L101" s="6">
        <v>11.5617</v>
      </c>
      <c r="M101" s="6">
        <v>12.289199999999999</v>
      </c>
      <c r="N101" s="6">
        <v>12.657299999999999</v>
      </c>
      <c r="O101" s="6">
        <v>13.1663</v>
      </c>
      <c r="P101" s="6">
        <v>13.6754</v>
      </c>
      <c r="Q101" s="6"/>
    </row>
    <row r="102" spans="1:17">
      <c r="A102" s="5">
        <v>41603</v>
      </c>
      <c r="B102" s="5" t="str">
        <f t="shared" si="1"/>
        <v>2013 q4</v>
      </c>
      <c r="C102" s="6">
        <v>8.4414999999999996</v>
      </c>
      <c r="D102" s="6">
        <v>8.4609000000000005</v>
      </c>
      <c r="E102" s="6">
        <v>8.5010999999999992</v>
      </c>
      <c r="F102" s="6">
        <v>8.5632999999999999</v>
      </c>
      <c r="G102" s="6">
        <v>8.6908999999999992</v>
      </c>
      <c r="H102" s="6">
        <v>8.8688000000000002</v>
      </c>
      <c r="I102" s="6">
        <v>9.6418999999999997</v>
      </c>
      <c r="J102" s="6">
        <v>10.412699999999999</v>
      </c>
      <c r="K102" s="6">
        <v>11.0642</v>
      </c>
      <c r="L102" s="6">
        <v>11.529299999999999</v>
      </c>
      <c r="M102" s="6">
        <v>12.2691</v>
      </c>
      <c r="N102" s="6">
        <v>12.648099999999999</v>
      </c>
      <c r="O102" s="6">
        <v>13.175800000000001</v>
      </c>
      <c r="P102" s="6">
        <v>13.7034</v>
      </c>
      <c r="Q102" s="6"/>
    </row>
    <row r="103" spans="1:17">
      <c r="A103" s="5">
        <v>41604</v>
      </c>
      <c r="B103" s="5" t="str">
        <f t="shared" si="1"/>
        <v>2013 q4</v>
      </c>
      <c r="C103" s="6">
        <v>8.1911000000000005</v>
      </c>
      <c r="D103" s="6">
        <v>8.2414000000000005</v>
      </c>
      <c r="E103" s="6">
        <v>8.3452999999999999</v>
      </c>
      <c r="F103" s="6">
        <v>8.5024999999999995</v>
      </c>
      <c r="G103" s="6">
        <v>8.6828000000000003</v>
      </c>
      <c r="H103" s="6">
        <v>8.8812999999999995</v>
      </c>
      <c r="I103" s="6">
        <v>9.6791999999999998</v>
      </c>
      <c r="J103" s="6">
        <v>10.4215</v>
      </c>
      <c r="K103" s="6">
        <v>11.0467</v>
      </c>
      <c r="L103" s="6">
        <v>11.5037</v>
      </c>
      <c r="M103" s="6">
        <v>12.2494</v>
      </c>
      <c r="N103" s="6">
        <v>12.6463</v>
      </c>
      <c r="O103" s="6">
        <v>13.2089</v>
      </c>
      <c r="P103" s="6">
        <v>13.7714</v>
      </c>
      <c r="Q103" s="6"/>
    </row>
    <row r="104" spans="1:17">
      <c r="A104" s="5">
        <v>41605</v>
      </c>
      <c r="B104" s="5" t="str">
        <f t="shared" si="1"/>
        <v>2013 q4</v>
      </c>
      <c r="C104" s="6">
        <v>8.1928999999999998</v>
      </c>
      <c r="D104" s="6">
        <v>8.2432999999999996</v>
      </c>
      <c r="E104" s="6">
        <v>8.3470999999999993</v>
      </c>
      <c r="F104" s="6">
        <v>8.5046999999999997</v>
      </c>
      <c r="G104" s="6">
        <v>8.6852999999999998</v>
      </c>
      <c r="H104" s="6">
        <v>8.8840000000000003</v>
      </c>
      <c r="I104" s="6">
        <v>9.6821000000000002</v>
      </c>
      <c r="J104" s="6">
        <v>10.423500000000001</v>
      </c>
      <c r="K104" s="6">
        <v>11.047000000000001</v>
      </c>
      <c r="L104" s="6">
        <v>11.5017</v>
      </c>
      <c r="M104" s="6">
        <v>12.2438</v>
      </c>
      <c r="N104" s="6">
        <v>12.6373</v>
      </c>
      <c r="O104" s="6">
        <v>13.1957</v>
      </c>
      <c r="P104" s="6">
        <v>13.754099999999999</v>
      </c>
      <c r="Q104" s="6"/>
    </row>
    <row r="105" spans="1:17">
      <c r="A105" s="5">
        <v>41606</v>
      </c>
      <c r="B105" s="5" t="str">
        <f t="shared" si="1"/>
        <v>2013 q4</v>
      </c>
      <c r="C105" s="6">
        <v>8.1946999999999992</v>
      </c>
      <c r="D105" s="6">
        <v>8.2449999999999992</v>
      </c>
      <c r="E105" s="6">
        <v>8.3490000000000002</v>
      </c>
      <c r="F105" s="6">
        <v>8.5068999999999999</v>
      </c>
      <c r="G105" s="6">
        <v>8.6877999999999993</v>
      </c>
      <c r="H105" s="6">
        <v>8.8864999999999998</v>
      </c>
      <c r="I105" s="6">
        <v>9.6844000000000001</v>
      </c>
      <c r="J105" s="6">
        <v>10.4253</v>
      </c>
      <c r="K105" s="6">
        <v>11.0482</v>
      </c>
      <c r="L105" s="6">
        <v>11.5023</v>
      </c>
      <c r="M105" s="6">
        <v>12.244300000000001</v>
      </c>
      <c r="N105" s="6">
        <v>12.6372</v>
      </c>
      <c r="O105" s="6">
        <v>13.1957</v>
      </c>
      <c r="P105" s="6">
        <v>13.754200000000001</v>
      </c>
      <c r="Q105" s="6"/>
    </row>
    <row r="106" spans="1:17">
      <c r="A106" s="5">
        <v>41607</v>
      </c>
      <c r="B106" s="5" t="str">
        <f t="shared" si="1"/>
        <v>2013 q4</v>
      </c>
      <c r="C106" s="6">
        <v>8.1963000000000008</v>
      </c>
      <c r="D106" s="6">
        <v>8.2467000000000006</v>
      </c>
      <c r="E106" s="6">
        <v>8.3508999999999993</v>
      </c>
      <c r="F106" s="6">
        <v>8.5091999999999999</v>
      </c>
      <c r="G106" s="6">
        <v>8.6905000000000001</v>
      </c>
      <c r="H106" s="6">
        <v>8.8890999999999991</v>
      </c>
      <c r="I106" s="6">
        <v>9.6868999999999996</v>
      </c>
      <c r="J106" s="6">
        <v>10.427099999999999</v>
      </c>
      <c r="K106" s="6">
        <v>11.0495</v>
      </c>
      <c r="L106" s="6">
        <v>11.503</v>
      </c>
      <c r="M106" s="6">
        <v>12.244899999999999</v>
      </c>
      <c r="N106" s="6">
        <v>12.6371</v>
      </c>
      <c r="O106" s="6">
        <v>13.1957</v>
      </c>
      <c r="P106" s="6">
        <v>13.754200000000001</v>
      </c>
      <c r="Q106" s="6"/>
    </row>
    <row r="107" spans="1:17">
      <c r="A107" s="5">
        <v>41610</v>
      </c>
      <c r="B107" s="5" t="str">
        <f t="shared" si="1"/>
        <v>2013 q4</v>
      </c>
      <c r="C107" s="6">
        <v>8.2150999999999996</v>
      </c>
      <c r="D107" s="6">
        <v>8.2622999999999998</v>
      </c>
      <c r="E107" s="6">
        <v>8.3597000000000001</v>
      </c>
      <c r="F107" s="6">
        <v>8.5088000000000008</v>
      </c>
      <c r="G107" s="6">
        <v>8.6856000000000009</v>
      </c>
      <c r="H107" s="6">
        <v>8.8839000000000006</v>
      </c>
      <c r="I107" s="6">
        <v>9.6884999999999994</v>
      </c>
      <c r="J107" s="6">
        <v>10.4413</v>
      </c>
      <c r="K107" s="6">
        <v>11.073600000000001</v>
      </c>
      <c r="L107" s="6">
        <v>11.5314</v>
      </c>
      <c r="M107" s="6">
        <v>12.277900000000001</v>
      </c>
      <c r="N107" s="6">
        <v>12.667899999999999</v>
      </c>
      <c r="O107" s="6">
        <v>13.222799999999999</v>
      </c>
      <c r="P107" s="6">
        <v>13.7776</v>
      </c>
      <c r="Q107" s="6"/>
    </row>
    <row r="108" spans="1:17">
      <c r="A108" s="5">
        <v>41611</v>
      </c>
      <c r="B108" s="5" t="str">
        <f t="shared" si="1"/>
        <v>2013 q4</v>
      </c>
      <c r="C108" s="6">
        <v>8.0511999999999997</v>
      </c>
      <c r="D108" s="6">
        <v>8.1265999999999998</v>
      </c>
      <c r="E108" s="6">
        <v>8.2821999999999996</v>
      </c>
      <c r="F108" s="6">
        <v>8.5146999999999995</v>
      </c>
      <c r="G108" s="6">
        <v>8.7378999999999998</v>
      </c>
      <c r="H108" s="6">
        <v>8.9503000000000004</v>
      </c>
      <c r="I108" s="6">
        <v>9.7431999999999999</v>
      </c>
      <c r="J108" s="6">
        <v>10.4369</v>
      </c>
      <c r="K108" s="6">
        <v>11.034800000000001</v>
      </c>
      <c r="L108" s="6">
        <v>11.5075</v>
      </c>
      <c r="M108" s="6">
        <v>12.3322</v>
      </c>
      <c r="N108" s="6">
        <v>12.648099999999999</v>
      </c>
      <c r="O108" s="6">
        <v>13.0595</v>
      </c>
      <c r="P108" s="6">
        <v>13.471</v>
      </c>
      <c r="Q108" s="6"/>
    </row>
    <row r="109" spans="1:17">
      <c r="A109" s="5">
        <v>41612</v>
      </c>
      <c r="B109" s="5" t="str">
        <f t="shared" si="1"/>
        <v>2013 q4</v>
      </c>
      <c r="C109" s="6">
        <v>8.1790000000000003</v>
      </c>
      <c r="D109" s="6">
        <v>8.2373999999999992</v>
      </c>
      <c r="E109" s="6">
        <v>8.3580000000000005</v>
      </c>
      <c r="F109" s="6">
        <v>8.5402000000000005</v>
      </c>
      <c r="G109" s="6">
        <v>8.7304999999999993</v>
      </c>
      <c r="H109" s="6">
        <v>8.9252000000000002</v>
      </c>
      <c r="I109" s="6">
        <v>9.6918000000000006</v>
      </c>
      <c r="J109" s="6">
        <v>10.375500000000001</v>
      </c>
      <c r="K109" s="6">
        <v>10.9634</v>
      </c>
      <c r="L109" s="6">
        <v>11.4056</v>
      </c>
      <c r="M109" s="6">
        <v>12.151300000000001</v>
      </c>
      <c r="N109" s="6">
        <v>12.566800000000001</v>
      </c>
      <c r="O109" s="6">
        <v>13.172800000000001</v>
      </c>
      <c r="P109" s="6">
        <v>13.778700000000001</v>
      </c>
      <c r="Q109" s="6"/>
    </row>
    <row r="110" spans="1:17">
      <c r="A110" s="5">
        <v>41613</v>
      </c>
      <c r="B110" s="5" t="str">
        <f t="shared" si="1"/>
        <v>2013 q4</v>
      </c>
      <c r="C110" s="6">
        <v>8.2058</v>
      </c>
      <c r="D110" s="6">
        <v>8.2566000000000006</v>
      </c>
      <c r="E110" s="6">
        <v>8.3613999999999997</v>
      </c>
      <c r="F110" s="6">
        <v>8.5221999999999998</v>
      </c>
      <c r="G110" s="6">
        <v>8.7058</v>
      </c>
      <c r="H110" s="6">
        <v>8.9054000000000002</v>
      </c>
      <c r="I110" s="6">
        <v>9.7063000000000006</v>
      </c>
      <c r="J110" s="6">
        <v>10.446300000000001</v>
      </c>
      <c r="K110" s="6">
        <v>11.066599999999999</v>
      </c>
      <c r="L110" s="6">
        <v>11.516</v>
      </c>
      <c r="M110" s="6">
        <v>12.255699999999999</v>
      </c>
      <c r="N110" s="6">
        <v>12.641400000000001</v>
      </c>
      <c r="O110" s="6">
        <v>13.196300000000001</v>
      </c>
      <c r="P110" s="6">
        <v>13.751099999999999</v>
      </c>
      <c r="Q110" s="6"/>
    </row>
    <row r="111" spans="1:17">
      <c r="A111" s="5">
        <v>41614</v>
      </c>
      <c r="B111" s="5" t="str">
        <f t="shared" si="1"/>
        <v>2013 q4</v>
      </c>
      <c r="C111" s="6">
        <v>8.1326000000000001</v>
      </c>
      <c r="D111" s="6">
        <v>8.1980000000000004</v>
      </c>
      <c r="E111" s="6">
        <v>8.3330000000000002</v>
      </c>
      <c r="F111" s="6">
        <v>8.5370000000000008</v>
      </c>
      <c r="G111" s="6">
        <v>8.7477</v>
      </c>
      <c r="H111" s="6">
        <v>8.9606999999999992</v>
      </c>
      <c r="I111" s="6">
        <v>9.7771000000000008</v>
      </c>
      <c r="J111" s="6">
        <v>10.495699999999999</v>
      </c>
      <c r="K111" s="6">
        <v>11.0883</v>
      </c>
      <c r="L111" s="6">
        <v>11.518000000000001</v>
      </c>
      <c r="M111" s="6">
        <v>12.2288</v>
      </c>
      <c r="N111" s="6">
        <v>12.6053</v>
      </c>
      <c r="O111" s="6">
        <v>13.1503</v>
      </c>
      <c r="P111" s="6">
        <v>13.695399999999999</v>
      </c>
      <c r="Q111" s="6"/>
    </row>
    <row r="112" spans="1:17">
      <c r="A112" s="5">
        <v>41617</v>
      </c>
      <c r="B112" s="5" t="str">
        <f t="shared" si="1"/>
        <v>2013 q4</v>
      </c>
      <c r="C112" s="6">
        <v>8.1644000000000005</v>
      </c>
      <c r="D112" s="6">
        <v>8.2241999999999997</v>
      </c>
      <c r="E112" s="6">
        <v>8.3475999999999999</v>
      </c>
      <c r="F112" s="6">
        <v>8.5352999999999994</v>
      </c>
      <c r="G112" s="6">
        <v>8.7369000000000003</v>
      </c>
      <c r="H112" s="6">
        <v>8.9457000000000004</v>
      </c>
      <c r="I112" s="6">
        <v>9.7510999999999992</v>
      </c>
      <c r="J112" s="6">
        <v>10.4574</v>
      </c>
      <c r="K112" s="6">
        <v>11.0282</v>
      </c>
      <c r="L112" s="6">
        <v>11.4291</v>
      </c>
      <c r="M112" s="6">
        <v>12.079499999999999</v>
      </c>
      <c r="N112" s="6">
        <v>12.4085</v>
      </c>
      <c r="O112" s="6">
        <v>12.880599999999999</v>
      </c>
      <c r="P112" s="6">
        <v>13.3527</v>
      </c>
      <c r="Q112" s="6"/>
    </row>
    <row r="113" spans="1:17">
      <c r="A113" s="5">
        <v>41618</v>
      </c>
      <c r="B113" s="5" t="str">
        <f t="shared" si="1"/>
        <v>2013 q4</v>
      </c>
      <c r="C113" s="6">
        <v>8.0554000000000006</v>
      </c>
      <c r="D113" s="6">
        <v>8.1414000000000009</v>
      </c>
      <c r="E113" s="6">
        <v>8.3188999999999993</v>
      </c>
      <c r="F113" s="6">
        <v>8.5817999999999994</v>
      </c>
      <c r="G113" s="6">
        <v>8.8239000000000001</v>
      </c>
      <c r="H113" s="6">
        <v>9.0460999999999991</v>
      </c>
      <c r="I113" s="6">
        <v>9.8291000000000004</v>
      </c>
      <c r="J113" s="6">
        <v>10.4488</v>
      </c>
      <c r="K113" s="6">
        <v>10.9345</v>
      </c>
      <c r="L113" s="6">
        <v>11.2819</v>
      </c>
      <c r="M113" s="6">
        <v>11.8606</v>
      </c>
      <c r="N113" s="6">
        <v>12.1746</v>
      </c>
      <c r="O113" s="6">
        <v>12.635300000000001</v>
      </c>
      <c r="P113" s="6">
        <v>13.0961</v>
      </c>
      <c r="Q113" s="6"/>
    </row>
    <row r="114" spans="1:17">
      <c r="A114" s="5">
        <v>41619</v>
      </c>
      <c r="B114" s="5" t="str">
        <f t="shared" si="1"/>
        <v>2013 q4</v>
      </c>
      <c r="C114" s="6">
        <v>8.0688999999999993</v>
      </c>
      <c r="D114" s="6">
        <v>8.1408000000000005</v>
      </c>
      <c r="E114" s="6">
        <v>8.2891999999999992</v>
      </c>
      <c r="F114" s="6">
        <v>8.5097000000000005</v>
      </c>
      <c r="G114" s="6">
        <v>8.7215000000000007</v>
      </c>
      <c r="H114" s="6">
        <v>8.9191000000000003</v>
      </c>
      <c r="I114" s="6">
        <v>9.6456</v>
      </c>
      <c r="J114" s="6">
        <v>10.2628</v>
      </c>
      <c r="K114" s="6">
        <v>10.7753</v>
      </c>
      <c r="L114" s="6">
        <v>11.1532</v>
      </c>
      <c r="M114" s="6">
        <v>11.7888</v>
      </c>
      <c r="N114" s="6">
        <v>11.846399999999999</v>
      </c>
      <c r="O114" s="6">
        <v>11.8428</v>
      </c>
      <c r="P114" s="6">
        <v>11.8393</v>
      </c>
      <c r="Q114" s="6"/>
    </row>
    <row r="115" spans="1:17">
      <c r="A115" s="5">
        <v>41620</v>
      </c>
      <c r="B115" s="5" t="str">
        <f t="shared" si="1"/>
        <v>2013 q4</v>
      </c>
      <c r="C115" s="6">
        <v>8.0753000000000004</v>
      </c>
      <c r="D115" s="6">
        <v>8.1462000000000003</v>
      </c>
      <c r="E115" s="6">
        <v>8.2926000000000002</v>
      </c>
      <c r="F115" s="6">
        <v>8.5100999999999996</v>
      </c>
      <c r="G115" s="6">
        <v>8.7192000000000007</v>
      </c>
      <c r="H115" s="6">
        <v>8.9145000000000003</v>
      </c>
      <c r="I115" s="6">
        <v>9.6333000000000002</v>
      </c>
      <c r="J115" s="6">
        <v>10.245699999999999</v>
      </c>
      <c r="K115" s="6">
        <v>10.7559</v>
      </c>
      <c r="L115" s="6">
        <v>11.1342</v>
      </c>
      <c r="M115" s="6">
        <v>11.7738</v>
      </c>
      <c r="N115" s="6">
        <v>11.8467</v>
      </c>
      <c r="O115" s="6">
        <v>11.8711</v>
      </c>
      <c r="P115" s="6">
        <v>11.8955</v>
      </c>
      <c r="Q115" s="6"/>
    </row>
    <row r="116" spans="1:17">
      <c r="A116" s="5">
        <v>41621</v>
      </c>
      <c r="B116" s="5" t="str">
        <f t="shared" si="1"/>
        <v>2013 q4</v>
      </c>
      <c r="C116" s="6">
        <v>8.2283000000000008</v>
      </c>
      <c r="D116" s="6">
        <v>8.2713999999999999</v>
      </c>
      <c r="E116" s="6">
        <v>8.3603000000000005</v>
      </c>
      <c r="F116" s="6">
        <v>8.5007000000000001</v>
      </c>
      <c r="G116" s="6">
        <v>8.6635000000000009</v>
      </c>
      <c r="H116" s="6">
        <v>8.8422000000000001</v>
      </c>
      <c r="I116" s="6">
        <v>9.5268999999999995</v>
      </c>
      <c r="J116" s="6">
        <v>10.1027</v>
      </c>
      <c r="K116" s="6">
        <v>10.5379</v>
      </c>
      <c r="L116" s="6">
        <v>10.8195</v>
      </c>
      <c r="M116" s="6">
        <v>11.258599999999999</v>
      </c>
      <c r="N116" s="6">
        <v>11.4618</v>
      </c>
      <c r="O116" s="6">
        <v>11.7515</v>
      </c>
      <c r="P116" s="6">
        <v>12.0412</v>
      </c>
      <c r="Q116" s="6"/>
    </row>
    <row r="117" spans="1:17">
      <c r="A117" s="5">
        <v>41624</v>
      </c>
      <c r="B117" s="5" t="str">
        <f t="shared" si="1"/>
        <v>2013 q4</v>
      </c>
      <c r="C117" s="6">
        <v>8.1921999999999997</v>
      </c>
      <c r="D117" s="6">
        <v>8.2479999999999993</v>
      </c>
      <c r="E117" s="6">
        <v>8.3630999999999993</v>
      </c>
      <c r="F117" s="6">
        <v>8.5330999999999992</v>
      </c>
      <c r="G117" s="6">
        <v>8.6929999999999996</v>
      </c>
      <c r="H117" s="6">
        <v>8.8379999999999992</v>
      </c>
      <c r="I117" s="6">
        <v>9.3542000000000005</v>
      </c>
      <c r="J117" s="6">
        <v>9.7710000000000008</v>
      </c>
      <c r="K117" s="6">
        <v>10.1045</v>
      </c>
      <c r="L117" s="6">
        <v>10.3497</v>
      </c>
      <c r="M117" s="6">
        <v>10.7674</v>
      </c>
      <c r="N117" s="6">
        <v>11.013</v>
      </c>
      <c r="O117" s="6">
        <v>11.3819</v>
      </c>
      <c r="P117" s="6">
        <v>11.7509</v>
      </c>
      <c r="Q117" s="6"/>
    </row>
    <row r="118" spans="1:17">
      <c r="A118" s="5">
        <v>41625</v>
      </c>
      <c r="B118" s="5" t="str">
        <f t="shared" si="1"/>
        <v>2013 q4</v>
      </c>
      <c r="C118" s="6">
        <v>8.2133000000000003</v>
      </c>
      <c r="D118" s="6">
        <v>8.2568000000000001</v>
      </c>
      <c r="E118" s="6">
        <v>8.3465000000000007</v>
      </c>
      <c r="F118" s="6">
        <v>8.4811999999999994</v>
      </c>
      <c r="G118" s="6">
        <v>8.6083999999999996</v>
      </c>
      <c r="H118" s="6">
        <v>8.7280999999999995</v>
      </c>
      <c r="I118" s="6">
        <v>9.1674000000000007</v>
      </c>
      <c r="J118" s="6">
        <v>9.5440000000000005</v>
      </c>
      <c r="K118" s="6">
        <v>9.8641000000000005</v>
      </c>
      <c r="L118" s="6">
        <v>10.117699999999999</v>
      </c>
      <c r="M118" s="6">
        <v>10.569699999999999</v>
      </c>
      <c r="N118" s="6">
        <v>10.882400000000001</v>
      </c>
      <c r="O118" s="6">
        <v>11.3667</v>
      </c>
      <c r="P118" s="6">
        <v>11.851000000000001</v>
      </c>
      <c r="Q118" s="6"/>
    </row>
    <row r="119" spans="1:17">
      <c r="A119" s="5">
        <v>41626</v>
      </c>
      <c r="B119" s="5" t="str">
        <f t="shared" si="1"/>
        <v>2013 q4</v>
      </c>
      <c r="C119" s="6">
        <v>8.1439000000000004</v>
      </c>
      <c r="D119" s="6">
        <v>8.1887000000000008</v>
      </c>
      <c r="E119" s="6">
        <v>8.2809000000000008</v>
      </c>
      <c r="F119" s="6">
        <v>8.4193999999999996</v>
      </c>
      <c r="G119" s="6">
        <v>8.5534999999999997</v>
      </c>
      <c r="H119" s="6">
        <v>8.6823999999999995</v>
      </c>
      <c r="I119" s="6">
        <v>9.1628000000000007</v>
      </c>
      <c r="J119" s="6">
        <v>9.5797000000000008</v>
      </c>
      <c r="K119" s="6">
        <v>9.9314999999999998</v>
      </c>
      <c r="L119" s="6">
        <v>10.1998</v>
      </c>
      <c r="M119" s="6">
        <v>10.6671</v>
      </c>
      <c r="N119" s="6">
        <v>10.942500000000001</v>
      </c>
      <c r="O119" s="6">
        <v>11.359400000000001</v>
      </c>
      <c r="P119" s="6">
        <v>11.776300000000001</v>
      </c>
      <c r="Q119" s="6"/>
    </row>
    <row r="120" spans="1:17">
      <c r="A120" s="5">
        <v>41627</v>
      </c>
      <c r="B120" s="5" t="str">
        <f t="shared" si="1"/>
        <v>2013 q4</v>
      </c>
      <c r="C120" s="6">
        <v>8.0888000000000009</v>
      </c>
      <c r="D120" s="6">
        <v>8.1469000000000005</v>
      </c>
      <c r="E120" s="6">
        <v>8.2668999999999997</v>
      </c>
      <c r="F120" s="6">
        <v>8.4468999999999994</v>
      </c>
      <c r="G120" s="6">
        <v>8.6171000000000006</v>
      </c>
      <c r="H120" s="6">
        <v>8.7774000000000001</v>
      </c>
      <c r="I120" s="6">
        <v>9.3635999999999999</v>
      </c>
      <c r="J120" s="6">
        <v>9.8582999999999998</v>
      </c>
      <c r="K120" s="6">
        <v>10.2659</v>
      </c>
      <c r="L120" s="6">
        <v>10.5601</v>
      </c>
      <c r="M120" s="6">
        <v>11.053599999999999</v>
      </c>
      <c r="N120" s="6">
        <v>11.040699999999999</v>
      </c>
      <c r="O120" s="6">
        <v>10.9458</v>
      </c>
      <c r="P120" s="6">
        <v>10.8508</v>
      </c>
      <c r="Q120" s="6"/>
    </row>
    <row r="121" spans="1:17">
      <c r="A121" s="5">
        <v>41628</v>
      </c>
      <c r="B121" s="5" t="str">
        <f t="shared" si="1"/>
        <v>2013 q4</v>
      </c>
      <c r="C121" s="6">
        <v>8.1127000000000002</v>
      </c>
      <c r="D121" s="6">
        <v>8.1706000000000003</v>
      </c>
      <c r="E121" s="6">
        <v>8.2899999999999991</v>
      </c>
      <c r="F121" s="6">
        <v>8.4688999999999997</v>
      </c>
      <c r="G121" s="6">
        <v>8.6379999999999999</v>
      </c>
      <c r="H121" s="6">
        <v>8.7972999999999999</v>
      </c>
      <c r="I121" s="6">
        <v>9.3792000000000009</v>
      </c>
      <c r="J121" s="6">
        <v>9.8696000000000002</v>
      </c>
      <c r="K121" s="6">
        <v>10.277699999999999</v>
      </c>
      <c r="L121" s="6">
        <v>10.5626</v>
      </c>
      <c r="M121" s="6">
        <v>11.0482</v>
      </c>
      <c r="N121" s="6">
        <v>11.026</v>
      </c>
      <c r="O121" s="6">
        <v>10.917</v>
      </c>
      <c r="P121" s="6">
        <v>10.8081</v>
      </c>
      <c r="Q121" s="6"/>
    </row>
    <row r="122" spans="1:17">
      <c r="A122" s="5">
        <v>41631</v>
      </c>
      <c r="B122" s="5" t="str">
        <f t="shared" si="1"/>
        <v>2013 q4</v>
      </c>
      <c r="C122" s="6">
        <v>7.9573</v>
      </c>
      <c r="D122" s="6">
        <v>8.0237999999999996</v>
      </c>
      <c r="E122" s="6">
        <v>8.1609999999999996</v>
      </c>
      <c r="F122" s="6">
        <v>8.3562999999999992</v>
      </c>
      <c r="G122" s="6">
        <v>8.5464000000000002</v>
      </c>
      <c r="H122" s="6">
        <v>8.7193000000000005</v>
      </c>
      <c r="I122" s="6">
        <v>9.3364999999999991</v>
      </c>
      <c r="J122" s="6">
        <v>9.8364999999999991</v>
      </c>
      <c r="K122" s="6">
        <v>10.237500000000001</v>
      </c>
      <c r="L122" s="6">
        <v>10.5055</v>
      </c>
      <c r="M122" s="6">
        <v>10.9552</v>
      </c>
      <c r="N122" s="6">
        <v>11.042400000000001</v>
      </c>
      <c r="O122" s="6">
        <v>11.132400000000001</v>
      </c>
      <c r="P122" s="6">
        <v>11.2224</v>
      </c>
      <c r="Q122" s="6"/>
    </row>
    <row r="123" spans="1:17">
      <c r="A123" s="5">
        <v>41632</v>
      </c>
      <c r="B123" s="5" t="str">
        <f t="shared" si="1"/>
        <v>2013 q4</v>
      </c>
      <c r="C123" s="6">
        <v>7.9539999999999997</v>
      </c>
      <c r="D123" s="6">
        <v>8.0126000000000008</v>
      </c>
      <c r="E123" s="6">
        <v>8.1334999999999997</v>
      </c>
      <c r="F123" s="6">
        <v>8.3143999999999991</v>
      </c>
      <c r="G123" s="6">
        <v>8.4868000000000006</v>
      </c>
      <c r="H123" s="6">
        <v>8.6504999999999992</v>
      </c>
      <c r="I123" s="6">
        <v>9.2508999999999997</v>
      </c>
      <c r="J123" s="6">
        <v>9.7631999999999994</v>
      </c>
      <c r="K123" s="6">
        <v>10.1912</v>
      </c>
      <c r="L123" s="6">
        <v>10.5077</v>
      </c>
      <c r="M123" s="6">
        <v>11.051299999999999</v>
      </c>
      <c r="N123" s="6">
        <v>11.245200000000001</v>
      </c>
      <c r="O123" s="6">
        <v>11.3935</v>
      </c>
      <c r="P123" s="6">
        <v>10.979200000000001</v>
      </c>
      <c r="Q123" s="6"/>
    </row>
    <row r="124" spans="1:17">
      <c r="A124" s="5">
        <v>41633</v>
      </c>
      <c r="B124" s="5" t="str">
        <f t="shared" si="1"/>
        <v>2013 q4</v>
      </c>
      <c r="C124" s="6">
        <v>7.9501999999999997</v>
      </c>
      <c r="D124" s="6">
        <v>8.0068999999999999</v>
      </c>
      <c r="E124" s="6">
        <v>8.1240000000000006</v>
      </c>
      <c r="F124" s="6">
        <v>8.2990999999999993</v>
      </c>
      <c r="G124" s="6">
        <v>8.4664000000000001</v>
      </c>
      <c r="H124" s="6">
        <v>8.6256000000000004</v>
      </c>
      <c r="I124" s="6">
        <v>9.2121999999999993</v>
      </c>
      <c r="J124" s="6">
        <v>9.7167999999999992</v>
      </c>
      <c r="K124" s="6">
        <v>10.142799999999999</v>
      </c>
      <c r="L124" s="6">
        <v>10.4634</v>
      </c>
      <c r="M124" s="6">
        <v>11.021100000000001</v>
      </c>
      <c r="N124" s="6">
        <v>11.1168</v>
      </c>
      <c r="O124" s="6">
        <v>11.211499999999999</v>
      </c>
      <c r="P124" s="6">
        <v>11.3062</v>
      </c>
      <c r="Q124" s="6"/>
    </row>
    <row r="125" spans="1:17">
      <c r="A125" s="5">
        <v>41634</v>
      </c>
      <c r="B125" s="5" t="str">
        <f t="shared" si="1"/>
        <v>2013 q4</v>
      </c>
      <c r="C125" s="6">
        <v>7.96</v>
      </c>
      <c r="D125" s="6">
        <v>8.0172000000000008</v>
      </c>
      <c r="E125" s="6">
        <v>8.1355000000000004</v>
      </c>
      <c r="F125" s="6">
        <v>8.3123000000000005</v>
      </c>
      <c r="G125" s="6">
        <v>8.4808000000000003</v>
      </c>
      <c r="H125" s="6">
        <v>8.6409000000000002</v>
      </c>
      <c r="I125" s="6">
        <v>9.2286000000000001</v>
      </c>
      <c r="J125" s="6">
        <v>9.7307000000000006</v>
      </c>
      <c r="K125" s="6">
        <v>10.1509</v>
      </c>
      <c r="L125" s="6">
        <v>10.462199999999999</v>
      </c>
      <c r="M125" s="6">
        <v>10.999000000000001</v>
      </c>
      <c r="N125" s="6">
        <v>11.054</v>
      </c>
      <c r="O125" s="6">
        <v>11.0814</v>
      </c>
      <c r="P125" s="6">
        <v>11.1088</v>
      </c>
      <c r="Q125" s="6"/>
    </row>
    <row r="126" spans="1:17">
      <c r="A126" s="5">
        <v>41635</v>
      </c>
      <c r="B126" s="5" t="str">
        <f t="shared" si="1"/>
        <v>2013 q4</v>
      </c>
      <c r="C126" s="6">
        <v>7.9950000000000001</v>
      </c>
      <c r="D126" s="6">
        <v>8.0479000000000003</v>
      </c>
      <c r="E126" s="6">
        <v>8.1569000000000003</v>
      </c>
      <c r="F126" s="6">
        <v>8.3201000000000001</v>
      </c>
      <c r="G126" s="6">
        <v>8.4764999999999997</v>
      </c>
      <c r="H126" s="6">
        <v>8.6265000000000001</v>
      </c>
      <c r="I126" s="6">
        <v>9.1837</v>
      </c>
      <c r="J126" s="6">
        <v>9.6714000000000002</v>
      </c>
      <c r="K126" s="6">
        <v>10.091799999999999</v>
      </c>
      <c r="L126" s="6">
        <v>10.420199999999999</v>
      </c>
      <c r="M126" s="6">
        <v>11.004899999999999</v>
      </c>
      <c r="N126" s="6">
        <v>11.1951</v>
      </c>
      <c r="O126" s="6">
        <v>11.4542</v>
      </c>
      <c r="P126" s="6">
        <v>11.7134</v>
      </c>
      <c r="Q126" s="6"/>
    </row>
    <row r="127" spans="1:17">
      <c r="A127" s="5">
        <v>41636</v>
      </c>
      <c r="B127" s="5" t="str">
        <f t="shared" si="1"/>
        <v>2013 q4</v>
      </c>
      <c r="C127" s="6">
        <v>7.9587000000000003</v>
      </c>
      <c r="D127" s="6">
        <v>8.0154999999999994</v>
      </c>
      <c r="E127" s="6">
        <v>8.1328999999999994</v>
      </c>
      <c r="F127" s="6">
        <v>8.3084000000000007</v>
      </c>
      <c r="G127" s="6">
        <v>8.4751999999999992</v>
      </c>
      <c r="H127" s="6">
        <v>8.6339000000000006</v>
      </c>
      <c r="I127" s="6">
        <v>9.2144999999999992</v>
      </c>
      <c r="J127" s="6">
        <v>9.7082999999999995</v>
      </c>
      <c r="K127" s="6">
        <v>10.119400000000001</v>
      </c>
      <c r="L127" s="6">
        <v>10.4206</v>
      </c>
      <c r="M127" s="6">
        <v>10.9381</v>
      </c>
      <c r="N127" s="6">
        <v>10.966900000000001</v>
      </c>
      <c r="O127" s="6">
        <v>10.953200000000001</v>
      </c>
      <c r="P127" s="6">
        <v>10.939500000000001</v>
      </c>
      <c r="Q127" s="6"/>
    </row>
    <row r="128" spans="1:17">
      <c r="A128" s="5">
        <v>41647</v>
      </c>
      <c r="B128" s="5" t="str">
        <f t="shared" si="1"/>
        <v>2014 q1</v>
      </c>
      <c r="C128" s="6">
        <v>7.9561999999999999</v>
      </c>
      <c r="D128" s="6">
        <v>8.0130999999999997</v>
      </c>
      <c r="E128" s="6">
        <v>8.1304999999999996</v>
      </c>
      <c r="F128" s="6">
        <v>8.3058999999999994</v>
      </c>
      <c r="G128" s="6">
        <v>8.4731000000000005</v>
      </c>
      <c r="H128" s="6">
        <v>8.6326999999999998</v>
      </c>
      <c r="I128" s="6">
        <v>9.2192000000000007</v>
      </c>
      <c r="J128" s="6">
        <v>9.7230000000000008</v>
      </c>
      <c r="K128" s="6">
        <v>10.152200000000001</v>
      </c>
      <c r="L128" s="6">
        <v>10.4656</v>
      </c>
      <c r="M128" s="6">
        <v>11.020099999999999</v>
      </c>
      <c r="N128" s="6">
        <v>11.1058</v>
      </c>
      <c r="O128" s="6">
        <v>11.188499999999999</v>
      </c>
      <c r="P128" s="6">
        <v>11.2712</v>
      </c>
      <c r="Q128" s="6"/>
    </row>
    <row r="129" spans="1:17">
      <c r="A129" s="5">
        <v>41648</v>
      </c>
      <c r="B129" s="5" t="str">
        <f t="shared" si="1"/>
        <v>2014 q1</v>
      </c>
      <c r="C129" s="6">
        <v>7.9912999999999998</v>
      </c>
      <c r="D129" s="6">
        <v>8.0482999999999993</v>
      </c>
      <c r="E129" s="6">
        <v>8.1660000000000004</v>
      </c>
      <c r="F129" s="6">
        <v>8.3412000000000006</v>
      </c>
      <c r="G129" s="6">
        <v>8.5068999999999999</v>
      </c>
      <c r="H129" s="6">
        <v>8.6659000000000006</v>
      </c>
      <c r="I129" s="6">
        <v>9.2444000000000006</v>
      </c>
      <c r="J129" s="6">
        <v>9.7353000000000005</v>
      </c>
      <c r="K129" s="6">
        <v>10.148300000000001</v>
      </c>
      <c r="L129" s="6">
        <v>10.4389</v>
      </c>
      <c r="M129" s="6">
        <v>10.953200000000001</v>
      </c>
      <c r="N129" s="6">
        <v>10.9665</v>
      </c>
      <c r="O129" s="6">
        <v>10.9411</v>
      </c>
      <c r="P129" s="6">
        <v>10.915699999999999</v>
      </c>
      <c r="Q129" s="6"/>
    </row>
    <row r="130" spans="1:17">
      <c r="A130" s="5">
        <v>41649</v>
      </c>
      <c r="B130" s="5" t="str">
        <f t="shared" si="1"/>
        <v>2014 q1</v>
      </c>
      <c r="C130" s="6">
        <v>7.9923999999999999</v>
      </c>
      <c r="D130" s="6">
        <v>8.0495999999999999</v>
      </c>
      <c r="E130" s="6">
        <v>8.1677</v>
      </c>
      <c r="F130" s="6">
        <v>8.3432999999999993</v>
      </c>
      <c r="G130" s="6">
        <v>8.5092999999999996</v>
      </c>
      <c r="H130" s="6">
        <v>8.6687999999999992</v>
      </c>
      <c r="I130" s="6">
        <v>9.2485999999999997</v>
      </c>
      <c r="J130" s="6">
        <v>9.7402999999999995</v>
      </c>
      <c r="K130" s="6">
        <v>10.1485</v>
      </c>
      <c r="L130" s="6">
        <v>10.443899999999999</v>
      </c>
      <c r="M130" s="6">
        <v>10.958</v>
      </c>
      <c r="N130" s="6">
        <v>10.9681</v>
      </c>
      <c r="O130" s="6">
        <v>10.938599999999999</v>
      </c>
      <c r="P130" s="6">
        <v>10.909000000000001</v>
      </c>
      <c r="Q130" s="6"/>
    </row>
    <row r="131" spans="1:17">
      <c r="A131" s="5">
        <v>41652</v>
      </c>
      <c r="B131" s="5" t="str">
        <f t="shared" ref="B131:B194" si="2">YEAR(A131)&amp;" q"&amp;ROUNDUP(MONTH(A131)/3,0)</f>
        <v>2014 q1</v>
      </c>
      <c r="C131" s="6">
        <v>7.9947999999999997</v>
      </c>
      <c r="D131" s="6">
        <v>8.0519999999999996</v>
      </c>
      <c r="E131" s="6">
        <v>8.1700999999999997</v>
      </c>
      <c r="F131" s="6">
        <v>8.3455999999999992</v>
      </c>
      <c r="G131" s="6">
        <v>8.5114000000000001</v>
      </c>
      <c r="H131" s="6">
        <v>8.6707999999999998</v>
      </c>
      <c r="I131" s="6">
        <v>9.2502999999999993</v>
      </c>
      <c r="J131" s="6">
        <v>9.7416</v>
      </c>
      <c r="K131" s="6">
        <v>10.1495</v>
      </c>
      <c r="L131" s="6">
        <v>10.4445</v>
      </c>
      <c r="M131" s="6">
        <v>10.958500000000001</v>
      </c>
      <c r="N131" s="6">
        <v>10.9679</v>
      </c>
      <c r="O131" s="6">
        <v>10.9384</v>
      </c>
      <c r="P131" s="6">
        <v>10.908899999999999</v>
      </c>
      <c r="Q131" s="6"/>
    </row>
    <row r="132" spans="1:17">
      <c r="A132" s="5">
        <v>41653</v>
      </c>
      <c r="B132" s="5" t="str">
        <f t="shared" si="2"/>
        <v>2014 q1</v>
      </c>
      <c r="C132" s="6">
        <v>7.9244000000000003</v>
      </c>
      <c r="D132" s="6">
        <v>7.9843999999999999</v>
      </c>
      <c r="E132" s="6">
        <v>8.1082999999999998</v>
      </c>
      <c r="F132" s="6">
        <v>8.2922999999999991</v>
      </c>
      <c r="G132" s="6">
        <v>8.4657999999999998</v>
      </c>
      <c r="H132" s="6">
        <v>8.6328999999999994</v>
      </c>
      <c r="I132" s="6">
        <v>9.2456999999999994</v>
      </c>
      <c r="J132" s="6">
        <v>9.7513000000000005</v>
      </c>
      <c r="K132" s="6">
        <v>10.175800000000001</v>
      </c>
      <c r="L132" s="6">
        <v>10.4808</v>
      </c>
      <c r="M132" s="6">
        <v>11.013199999999999</v>
      </c>
      <c r="N132" s="6">
        <v>11.0159</v>
      </c>
      <c r="O132" s="6">
        <v>10.977</v>
      </c>
      <c r="P132" s="6">
        <v>10.9381</v>
      </c>
      <c r="Q132" s="6"/>
    </row>
    <row r="133" spans="1:17">
      <c r="A133" s="5">
        <v>41654</v>
      </c>
      <c r="B133" s="5" t="str">
        <f t="shared" si="2"/>
        <v>2014 q1</v>
      </c>
      <c r="C133" s="6">
        <v>7.9897999999999998</v>
      </c>
      <c r="D133" s="6">
        <v>8.0456000000000003</v>
      </c>
      <c r="E133" s="6">
        <v>8.1607000000000003</v>
      </c>
      <c r="F133" s="6">
        <v>8.3316999999999997</v>
      </c>
      <c r="G133" s="6">
        <v>8.4941999999999993</v>
      </c>
      <c r="H133" s="6">
        <v>8.6518999999999995</v>
      </c>
      <c r="I133" s="6">
        <v>9.2253000000000007</v>
      </c>
      <c r="J133" s="6">
        <v>9.7064000000000004</v>
      </c>
      <c r="K133" s="6">
        <v>10.1149</v>
      </c>
      <c r="L133" s="6">
        <v>10.415699999999999</v>
      </c>
      <c r="M133" s="6">
        <v>10.9476</v>
      </c>
      <c r="N133" s="6">
        <v>10.9994</v>
      </c>
      <c r="O133" s="6">
        <v>11.046099999999999</v>
      </c>
      <c r="P133" s="6">
        <v>11.0928</v>
      </c>
      <c r="Q133" s="6"/>
    </row>
    <row r="134" spans="1:17">
      <c r="A134" s="5">
        <v>41655</v>
      </c>
      <c r="B134" s="5" t="str">
        <f t="shared" si="2"/>
        <v>2014 q1</v>
      </c>
      <c r="C134" s="6">
        <v>8.0053999999999998</v>
      </c>
      <c r="D134" s="6">
        <v>8.0604999999999993</v>
      </c>
      <c r="E134" s="6">
        <v>8.1742000000000008</v>
      </c>
      <c r="F134" s="6">
        <v>8.343</v>
      </c>
      <c r="G134" s="6">
        <v>8.5030000000000001</v>
      </c>
      <c r="H134" s="6">
        <v>8.6577999999999999</v>
      </c>
      <c r="I134" s="6">
        <v>9.2236999999999991</v>
      </c>
      <c r="J134" s="6">
        <v>9.7101000000000006</v>
      </c>
      <c r="K134" s="6">
        <v>10.120799999999999</v>
      </c>
      <c r="L134" s="6">
        <v>10.4269</v>
      </c>
      <c r="M134" s="6">
        <v>10.972099999999999</v>
      </c>
      <c r="N134" s="6">
        <v>11.052899999999999</v>
      </c>
      <c r="O134" s="6">
        <v>11.149800000000001</v>
      </c>
      <c r="P134" s="6">
        <v>11.246600000000001</v>
      </c>
      <c r="Q134" s="6"/>
    </row>
    <row r="135" spans="1:17">
      <c r="A135" s="5">
        <v>41656</v>
      </c>
      <c r="B135" s="5" t="str">
        <f t="shared" si="2"/>
        <v>2014 q1</v>
      </c>
      <c r="C135" s="6">
        <v>8.0234000000000005</v>
      </c>
      <c r="D135" s="6">
        <v>8.0746000000000002</v>
      </c>
      <c r="E135" s="6">
        <v>8.1805000000000003</v>
      </c>
      <c r="F135" s="6">
        <v>8.3376999999999999</v>
      </c>
      <c r="G135" s="6">
        <v>8.4871999999999996</v>
      </c>
      <c r="H135" s="6">
        <v>8.6323000000000008</v>
      </c>
      <c r="I135" s="6">
        <v>9.1661000000000001</v>
      </c>
      <c r="J135" s="6">
        <v>9.6302000000000003</v>
      </c>
      <c r="K135" s="6">
        <v>10.0276</v>
      </c>
      <c r="L135" s="6">
        <v>10.3315</v>
      </c>
      <c r="M135" s="6">
        <v>10.8797</v>
      </c>
      <c r="N135" s="6">
        <v>11.016299999999999</v>
      </c>
      <c r="O135" s="6">
        <v>11.209899999999999</v>
      </c>
      <c r="P135" s="6">
        <v>11.4034</v>
      </c>
      <c r="Q135" s="6"/>
    </row>
    <row r="136" spans="1:17">
      <c r="A136" s="5">
        <v>41659</v>
      </c>
      <c r="B136" s="5" t="str">
        <f t="shared" si="2"/>
        <v>2014 q1</v>
      </c>
      <c r="C136" s="6">
        <v>8.0149000000000008</v>
      </c>
      <c r="D136" s="6">
        <v>8.0710999999999995</v>
      </c>
      <c r="E136" s="6">
        <v>8.1873000000000005</v>
      </c>
      <c r="F136" s="6">
        <v>8.3595000000000006</v>
      </c>
      <c r="G136" s="6">
        <v>8.5221</v>
      </c>
      <c r="H136" s="6">
        <v>8.6792999999999996</v>
      </c>
      <c r="I136" s="6">
        <v>9.2507000000000001</v>
      </c>
      <c r="J136" s="6">
        <v>9.7370000000000001</v>
      </c>
      <c r="K136" s="6">
        <v>10.142799999999999</v>
      </c>
      <c r="L136" s="6">
        <v>10.4382</v>
      </c>
      <c r="M136" s="6">
        <v>10.9598</v>
      </c>
      <c r="N136" s="6">
        <v>10.9872</v>
      </c>
      <c r="O136" s="6">
        <v>10.9963</v>
      </c>
      <c r="P136" s="6">
        <v>11.0055</v>
      </c>
      <c r="Q136" s="6"/>
    </row>
    <row r="137" spans="1:17">
      <c r="A137" s="5">
        <v>41660</v>
      </c>
      <c r="B137" s="5" t="str">
        <f t="shared" si="2"/>
        <v>2014 q1</v>
      </c>
      <c r="C137" s="6">
        <v>8.1884999999999994</v>
      </c>
      <c r="D137" s="6">
        <v>8.1828000000000003</v>
      </c>
      <c r="E137" s="6">
        <v>8.1713000000000005</v>
      </c>
      <c r="F137" s="6">
        <v>8.1539000000000001</v>
      </c>
      <c r="G137" s="6">
        <v>8.2551000000000005</v>
      </c>
      <c r="H137" s="6">
        <v>8.3864000000000001</v>
      </c>
      <c r="I137" s="6">
        <v>9.06</v>
      </c>
      <c r="J137" s="6">
        <v>9.6644000000000005</v>
      </c>
      <c r="K137" s="6">
        <v>10.119400000000001</v>
      </c>
      <c r="L137" s="6">
        <v>10.394299999999999</v>
      </c>
      <c r="M137" s="6">
        <v>10.8422</v>
      </c>
      <c r="N137" s="6">
        <v>11.023199999999999</v>
      </c>
      <c r="O137" s="6">
        <v>11.303699999999999</v>
      </c>
      <c r="P137" s="6">
        <v>11.584099999999999</v>
      </c>
      <c r="Q137" s="6"/>
    </row>
    <row r="138" spans="1:17">
      <c r="A138" s="5">
        <v>41661</v>
      </c>
      <c r="B138" s="5" t="str">
        <f t="shared" si="2"/>
        <v>2014 q1</v>
      </c>
      <c r="C138" s="6">
        <v>7.8651</v>
      </c>
      <c r="D138" s="6">
        <v>7.9294000000000002</v>
      </c>
      <c r="E138" s="6">
        <v>8.0622000000000007</v>
      </c>
      <c r="F138" s="6">
        <v>8.2614000000000001</v>
      </c>
      <c r="G138" s="6">
        <v>8.4466000000000001</v>
      </c>
      <c r="H138" s="6">
        <v>8.6266999999999996</v>
      </c>
      <c r="I138" s="6">
        <v>9.2761999999999993</v>
      </c>
      <c r="J138" s="6">
        <v>9.8232999999999997</v>
      </c>
      <c r="K138" s="6">
        <v>10.281499999999999</v>
      </c>
      <c r="L138" s="6">
        <v>10.595000000000001</v>
      </c>
      <c r="M138" s="6">
        <v>11.157999999999999</v>
      </c>
      <c r="N138" s="6">
        <v>11.1464</v>
      </c>
      <c r="O138" s="6">
        <v>11.0913</v>
      </c>
      <c r="P138" s="6">
        <v>11.036099999999999</v>
      </c>
      <c r="Q138" s="6"/>
    </row>
    <row r="139" spans="1:17">
      <c r="A139" s="5">
        <v>41662</v>
      </c>
      <c r="B139" s="5" t="str">
        <f t="shared" si="2"/>
        <v>2014 q1</v>
      </c>
      <c r="C139" s="6">
        <v>7.8784999999999998</v>
      </c>
      <c r="D139" s="6">
        <v>7.9382000000000001</v>
      </c>
      <c r="E139" s="6">
        <v>8.0611999999999995</v>
      </c>
      <c r="F139" s="6">
        <v>8.2459000000000007</v>
      </c>
      <c r="G139" s="6">
        <v>8.4183000000000003</v>
      </c>
      <c r="H139" s="6">
        <v>8.5863999999999994</v>
      </c>
      <c r="I139" s="6">
        <v>9.2024000000000008</v>
      </c>
      <c r="J139" s="6">
        <v>9.7162000000000006</v>
      </c>
      <c r="K139" s="6">
        <v>10.1511</v>
      </c>
      <c r="L139" s="6">
        <v>10.468400000000001</v>
      </c>
      <c r="M139" s="6">
        <v>11.0334</v>
      </c>
      <c r="N139" s="6">
        <v>11.0792</v>
      </c>
      <c r="O139" s="6">
        <v>11.1233</v>
      </c>
      <c r="P139" s="6">
        <v>11.167400000000001</v>
      </c>
      <c r="Q139" s="6"/>
    </row>
    <row r="140" spans="1:17">
      <c r="A140" s="5">
        <v>41663</v>
      </c>
      <c r="B140" s="5" t="str">
        <f t="shared" si="2"/>
        <v>2014 q1</v>
      </c>
      <c r="C140" s="6">
        <v>7.8836000000000004</v>
      </c>
      <c r="D140" s="6">
        <v>7.944</v>
      </c>
      <c r="E140" s="6">
        <v>8.0686999999999998</v>
      </c>
      <c r="F140" s="6">
        <v>8.2556999999999992</v>
      </c>
      <c r="G140" s="6">
        <v>8.4303000000000008</v>
      </c>
      <c r="H140" s="6">
        <v>8.6005000000000003</v>
      </c>
      <c r="I140" s="6">
        <v>9.2245000000000008</v>
      </c>
      <c r="J140" s="6">
        <v>9.7451000000000008</v>
      </c>
      <c r="K140" s="6">
        <v>10.1859</v>
      </c>
      <c r="L140" s="6">
        <v>10.5075</v>
      </c>
      <c r="M140" s="6">
        <v>11.081200000000001</v>
      </c>
      <c r="N140" s="6">
        <v>11.281499999999999</v>
      </c>
      <c r="O140" s="6">
        <v>11.454499999999999</v>
      </c>
      <c r="P140" s="6">
        <v>11.0571</v>
      </c>
      <c r="Q140" s="6"/>
    </row>
    <row r="141" spans="1:17">
      <c r="A141" s="5">
        <v>41668</v>
      </c>
      <c r="B141" s="5" t="str">
        <f t="shared" si="2"/>
        <v>2014 q1</v>
      </c>
      <c r="C141" s="6">
        <v>7.9223999999999997</v>
      </c>
      <c r="D141" s="6">
        <v>7.9763999999999999</v>
      </c>
      <c r="E141" s="6">
        <v>8.0878999999999994</v>
      </c>
      <c r="F141" s="6">
        <v>8.2550000000000008</v>
      </c>
      <c r="G141" s="6">
        <v>8.4129000000000005</v>
      </c>
      <c r="H141" s="6">
        <v>8.5678000000000001</v>
      </c>
      <c r="I141" s="6">
        <v>9.1288999999999998</v>
      </c>
      <c r="J141" s="6">
        <v>9.6172000000000004</v>
      </c>
      <c r="K141" s="6">
        <v>10.0397</v>
      </c>
      <c r="L141" s="6">
        <v>10.3506</v>
      </c>
      <c r="M141" s="6">
        <v>10.924899999999999</v>
      </c>
      <c r="N141" s="6">
        <v>11.0578</v>
      </c>
      <c r="O141" s="6">
        <v>11.2522</v>
      </c>
      <c r="P141" s="6">
        <v>11.4467</v>
      </c>
      <c r="Q141" s="6"/>
    </row>
    <row r="142" spans="1:17">
      <c r="A142" s="5">
        <v>41669</v>
      </c>
      <c r="B142" s="5" t="str">
        <f t="shared" si="2"/>
        <v>2014 q1</v>
      </c>
      <c r="C142" s="6">
        <v>7.9074999999999998</v>
      </c>
      <c r="D142" s="6">
        <v>7.9706000000000001</v>
      </c>
      <c r="E142" s="6">
        <v>8.1007999999999996</v>
      </c>
      <c r="F142" s="6">
        <v>8.2957000000000001</v>
      </c>
      <c r="G142" s="6">
        <v>8.4768000000000008</v>
      </c>
      <c r="H142" s="6">
        <v>8.6540999999999997</v>
      </c>
      <c r="I142" s="6">
        <v>9.2934999999999999</v>
      </c>
      <c r="J142" s="6">
        <v>9.8346</v>
      </c>
      <c r="K142" s="6">
        <v>10.283899999999999</v>
      </c>
      <c r="L142" s="6">
        <v>10.6058</v>
      </c>
      <c r="M142" s="6">
        <v>11.180400000000001</v>
      </c>
      <c r="N142" s="6">
        <v>11.193199999999999</v>
      </c>
      <c r="O142" s="6">
        <v>11.1897</v>
      </c>
      <c r="P142" s="6">
        <v>11.186199999999999</v>
      </c>
      <c r="Q142" s="6"/>
    </row>
    <row r="143" spans="1:17">
      <c r="A143" s="5">
        <v>41670</v>
      </c>
      <c r="B143" s="5" t="str">
        <f t="shared" si="2"/>
        <v>2014 q1</v>
      </c>
      <c r="C143" s="6">
        <v>7.8005000000000004</v>
      </c>
      <c r="D143" s="6">
        <v>7.8647999999999998</v>
      </c>
      <c r="E143" s="6">
        <v>7.9974999999999996</v>
      </c>
      <c r="F143" s="6">
        <v>8.1959999999999997</v>
      </c>
      <c r="G143" s="6">
        <v>8.3804999999999996</v>
      </c>
      <c r="H143" s="6">
        <v>8.5611999999999995</v>
      </c>
      <c r="I143" s="6">
        <v>9.2132000000000005</v>
      </c>
      <c r="J143" s="6">
        <v>9.7655999999999992</v>
      </c>
      <c r="K143" s="6">
        <v>10.225</v>
      </c>
      <c r="L143" s="6">
        <v>10.555</v>
      </c>
      <c r="M143" s="6">
        <v>11.1455</v>
      </c>
      <c r="N143" s="6">
        <v>11.168699999999999</v>
      </c>
      <c r="O143" s="6">
        <v>11.183400000000001</v>
      </c>
      <c r="P143" s="6">
        <v>11.1982</v>
      </c>
      <c r="Q143" s="6"/>
    </row>
    <row r="144" spans="1:17">
      <c r="A144" s="5">
        <v>41671</v>
      </c>
      <c r="B144" s="5" t="str">
        <f t="shared" si="2"/>
        <v>2014 q1</v>
      </c>
      <c r="C144" s="6">
        <v>7.6561000000000003</v>
      </c>
      <c r="D144" s="6">
        <v>7.7297000000000002</v>
      </c>
      <c r="E144" s="6">
        <v>7.8817000000000004</v>
      </c>
      <c r="F144" s="6">
        <v>8.1088000000000005</v>
      </c>
      <c r="G144" s="6">
        <v>8.3171999999999997</v>
      </c>
      <c r="H144" s="6">
        <v>8.5206999999999997</v>
      </c>
      <c r="I144" s="6">
        <v>9.2425999999999995</v>
      </c>
      <c r="J144" s="6">
        <v>9.8383000000000003</v>
      </c>
      <c r="K144" s="6">
        <v>10.3201</v>
      </c>
      <c r="L144" s="6">
        <v>10.651999999999999</v>
      </c>
      <c r="M144" s="6">
        <v>11.237299999999999</v>
      </c>
      <c r="N144" s="6">
        <v>11.2669</v>
      </c>
      <c r="O144" s="6">
        <v>11.2942</v>
      </c>
      <c r="P144" s="6">
        <v>11.3215</v>
      </c>
      <c r="Q144" s="6"/>
    </row>
    <row r="145" spans="1:17">
      <c r="A145" s="5">
        <v>41673</v>
      </c>
      <c r="B145" s="5" t="str">
        <f t="shared" si="2"/>
        <v>2014 q1</v>
      </c>
      <c r="C145" s="6">
        <v>7.6675000000000004</v>
      </c>
      <c r="D145" s="6">
        <v>7.7397999999999998</v>
      </c>
      <c r="E145" s="6">
        <v>7.8890000000000002</v>
      </c>
      <c r="F145" s="6">
        <v>8.1119000000000003</v>
      </c>
      <c r="G145" s="6">
        <v>8.3172999999999995</v>
      </c>
      <c r="H145" s="6">
        <v>8.5183</v>
      </c>
      <c r="I145" s="6">
        <v>9.2347999999999999</v>
      </c>
      <c r="J145" s="6">
        <v>9.8303999999999991</v>
      </c>
      <c r="K145" s="6">
        <v>10.315300000000001</v>
      </c>
      <c r="L145" s="6">
        <v>10.649800000000001</v>
      </c>
      <c r="M145" s="6">
        <v>11.240600000000001</v>
      </c>
      <c r="N145" s="6">
        <v>11.2066</v>
      </c>
      <c r="O145" s="6">
        <v>11.127599999999999</v>
      </c>
      <c r="P145" s="6">
        <v>11.048500000000001</v>
      </c>
      <c r="Q145" s="6"/>
    </row>
    <row r="146" spans="1:17">
      <c r="A146" s="5">
        <v>41674</v>
      </c>
      <c r="B146" s="5" t="str">
        <f t="shared" si="2"/>
        <v>2014 q1</v>
      </c>
      <c r="C146" s="6">
        <v>7.6017999999999999</v>
      </c>
      <c r="D146" s="6">
        <v>7.6744000000000003</v>
      </c>
      <c r="E146" s="6">
        <v>7.8242000000000003</v>
      </c>
      <c r="F146" s="6">
        <v>8.0466999999999995</v>
      </c>
      <c r="G146" s="6">
        <v>8.2554999999999996</v>
      </c>
      <c r="H146" s="6">
        <v>8.4641000000000002</v>
      </c>
      <c r="I146" s="6">
        <v>9.1885999999999992</v>
      </c>
      <c r="J146" s="6">
        <v>9.7879000000000005</v>
      </c>
      <c r="K146" s="6">
        <v>10.284700000000001</v>
      </c>
      <c r="L146" s="6">
        <v>10.6309</v>
      </c>
      <c r="M146" s="6">
        <v>11.246600000000001</v>
      </c>
      <c r="N146" s="6">
        <v>11.212300000000001</v>
      </c>
      <c r="O146" s="6">
        <v>11.1347</v>
      </c>
      <c r="P146" s="6">
        <v>11.057</v>
      </c>
      <c r="Q146" s="6"/>
    </row>
    <row r="147" spans="1:17">
      <c r="A147" s="5">
        <v>41675</v>
      </c>
      <c r="B147" s="5" t="str">
        <f t="shared" si="2"/>
        <v>2014 q1</v>
      </c>
      <c r="C147" s="6">
        <v>7.6243999999999996</v>
      </c>
      <c r="D147" s="6">
        <v>7.6970999999999998</v>
      </c>
      <c r="E147" s="6">
        <v>7.8472</v>
      </c>
      <c r="F147" s="6">
        <v>8.0698000000000008</v>
      </c>
      <c r="G147" s="6">
        <v>8.2788000000000004</v>
      </c>
      <c r="H147" s="6">
        <v>8.4875000000000007</v>
      </c>
      <c r="I147" s="6">
        <v>9.2047000000000008</v>
      </c>
      <c r="J147" s="6">
        <v>9.8094999999999999</v>
      </c>
      <c r="K147" s="6">
        <v>10.3043</v>
      </c>
      <c r="L147" s="6">
        <v>10.647500000000001</v>
      </c>
      <c r="M147" s="6">
        <v>11.2576</v>
      </c>
      <c r="N147" s="6">
        <v>11.213100000000001</v>
      </c>
      <c r="O147" s="6">
        <v>11.119899999999999</v>
      </c>
      <c r="P147" s="6">
        <v>11.0267</v>
      </c>
      <c r="Q147" s="6"/>
    </row>
    <row r="148" spans="1:17">
      <c r="A148" s="5">
        <v>41676</v>
      </c>
      <c r="B148" s="5" t="str">
        <f t="shared" si="2"/>
        <v>2014 q1</v>
      </c>
      <c r="C148" s="6">
        <v>7.6035000000000004</v>
      </c>
      <c r="D148" s="6">
        <v>7.6779000000000002</v>
      </c>
      <c r="E148" s="6">
        <v>7.8314000000000004</v>
      </c>
      <c r="F148" s="6">
        <v>8.0588999999999995</v>
      </c>
      <c r="G148" s="6">
        <v>8.2721999999999998</v>
      </c>
      <c r="H148" s="6">
        <v>8.4849999999999994</v>
      </c>
      <c r="I148" s="6">
        <v>9.2136999999999993</v>
      </c>
      <c r="J148" s="6">
        <v>9.8249999999999993</v>
      </c>
      <c r="K148" s="6">
        <v>10.3217</v>
      </c>
      <c r="L148" s="6">
        <v>10.6614</v>
      </c>
      <c r="M148" s="6">
        <v>11.2628</v>
      </c>
      <c r="N148" s="6">
        <v>11.354799999999999</v>
      </c>
      <c r="O148" s="6">
        <v>11.3409</v>
      </c>
      <c r="P148" s="6">
        <v>10.713200000000001</v>
      </c>
      <c r="Q148" s="6"/>
    </row>
    <row r="149" spans="1:17">
      <c r="A149" s="5">
        <v>41677</v>
      </c>
      <c r="B149" s="5" t="str">
        <f t="shared" si="2"/>
        <v>2014 q1</v>
      </c>
      <c r="C149" s="6">
        <v>7.6037999999999997</v>
      </c>
      <c r="D149" s="6">
        <v>7.6790000000000003</v>
      </c>
      <c r="E149" s="6">
        <v>7.8342999999999998</v>
      </c>
      <c r="F149" s="6">
        <v>8.0640999999999998</v>
      </c>
      <c r="G149" s="6">
        <v>8.2796000000000003</v>
      </c>
      <c r="H149" s="6">
        <v>8.4943000000000008</v>
      </c>
      <c r="I149" s="6">
        <v>9.2280999999999995</v>
      </c>
      <c r="J149" s="6">
        <v>9.8414999999999999</v>
      </c>
      <c r="K149" s="6">
        <v>10.337899999999999</v>
      </c>
      <c r="L149" s="6">
        <v>10.674099999999999</v>
      </c>
      <c r="M149" s="6">
        <v>11.2681</v>
      </c>
      <c r="N149" s="6">
        <v>11.1744</v>
      </c>
      <c r="O149" s="6">
        <v>11.0017</v>
      </c>
      <c r="P149" s="6">
        <v>10.828900000000001</v>
      </c>
      <c r="Q149" s="6"/>
    </row>
    <row r="150" spans="1:17">
      <c r="A150" s="5">
        <v>41680</v>
      </c>
      <c r="B150" s="5" t="str">
        <f t="shared" si="2"/>
        <v>2014 q1</v>
      </c>
      <c r="C150" s="6">
        <v>7.6143000000000001</v>
      </c>
      <c r="D150" s="6">
        <v>7.6886000000000001</v>
      </c>
      <c r="E150" s="6">
        <v>7.8422000000000001</v>
      </c>
      <c r="F150" s="6">
        <v>8.0693999999999999</v>
      </c>
      <c r="G150" s="6">
        <v>8.2828999999999997</v>
      </c>
      <c r="H150" s="6">
        <v>8.4956999999999994</v>
      </c>
      <c r="I150" s="6">
        <v>9.2256999999999998</v>
      </c>
      <c r="J150" s="6">
        <v>9.8388000000000009</v>
      </c>
      <c r="K150" s="6">
        <v>10.338200000000001</v>
      </c>
      <c r="L150" s="6">
        <v>10.6808</v>
      </c>
      <c r="M150" s="6">
        <v>11.2904</v>
      </c>
      <c r="N150" s="6">
        <v>11.2249</v>
      </c>
      <c r="O150" s="6">
        <v>11.100899999999999</v>
      </c>
      <c r="P150" s="6">
        <v>10.976900000000001</v>
      </c>
      <c r="Q150" s="6"/>
    </row>
    <row r="151" spans="1:17">
      <c r="A151" s="5">
        <v>41681</v>
      </c>
      <c r="B151" s="5" t="str">
        <f t="shared" si="2"/>
        <v>2014 q1</v>
      </c>
      <c r="C151" s="6">
        <v>7.8586</v>
      </c>
      <c r="D151" s="6">
        <v>7.8692000000000002</v>
      </c>
      <c r="E151" s="6">
        <v>7.8909000000000002</v>
      </c>
      <c r="F151" s="6">
        <v>7.9596</v>
      </c>
      <c r="G151" s="6">
        <v>8.1549999999999994</v>
      </c>
      <c r="H151" s="6">
        <v>8.3545999999999996</v>
      </c>
      <c r="I151" s="6">
        <v>9.2721999999999998</v>
      </c>
      <c r="J151" s="6">
        <v>9.9631000000000007</v>
      </c>
      <c r="K151" s="6">
        <v>10.4229</v>
      </c>
      <c r="L151" s="6">
        <v>10.673999999999999</v>
      </c>
      <c r="M151" s="6">
        <v>11.088200000000001</v>
      </c>
      <c r="N151" s="6">
        <v>11.2399</v>
      </c>
      <c r="O151" s="6">
        <v>11.4877</v>
      </c>
      <c r="P151" s="6">
        <v>11.7355</v>
      </c>
      <c r="Q151" s="6"/>
    </row>
    <row r="152" spans="1:17">
      <c r="A152" s="5">
        <v>41682</v>
      </c>
      <c r="B152" s="5" t="str">
        <f t="shared" si="2"/>
        <v>2014 q1</v>
      </c>
      <c r="C152" s="6">
        <v>7.6337000000000002</v>
      </c>
      <c r="D152" s="6">
        <v>7.7110000000000003</v>
      </c>
      <c r="E152" s="6">
        <v>7.8708</v>
      </c>
      <c r="F152" s="6">
        <v>8.1062999999999992</v>
      </c>
      <c r="G152" s="6">
        <v>8.3277000000000001</v>
      </c>
      <c r="H152" s="6">
        <v>8.5474999999999994</v>
      </c>
      <c r="I152" s="6">
        <v>9.2974999999999994</v>
      </c>
      <c r="J152" s="6">
        <v>9.9209999999999994</v>
      </c>
      <c r="K152" s="6">
        <v>10.422700000000001</v>
      </c>
      <c r="L152" s="6">
        <v>10.757199999999999</v>
      </c>
      <c r="M152" s="6">
        <v>11.350099999999999</v>
      </c>
      <c r="N152" s="6">
        <v>11.228</v>
      </c>
      <c r="O152" s="6">
        <v>11.0152</v>
      </c>
      <c r="P152" s="6">
        <v>10.8025</v>
      </c>
      <c r="Q152" s="6"/>
    </row>
    <row r="153" spans="1:17">
      <c r="A153" s="5">
        <v>41683</v>
      </c>
      <c r="B153" s="5" t="str">
        <f t="shared" si="2"/>
        <v>2014 q1</v>
      </c>
      <c r="C153" s="6">
        <v>7.5843999999999996</v>
      </c>
      <c r="D153" s="6">
        <v>7.6626000000000003</v>
      </c>
      <c r="E153" s="6">
        <v>7.8239000000000001</v>
      </c>
      <c r="F153" s="6">
        <v>8.0615000000000006</v>
      </c>
      <c r="G153" s="6">
        <v>8.2849000000000004</v>
      </c>
      <c r="H153" s="6">
        <v>8.5065000000000008</v>
      </c>
      <c r="I153" s="6">
        <v>9.2615999999999996</v>
      </c>
      <c r="J153" s="6">
        <v>9.8879999999999999</v>
      </c>
      <c r="K153" s="6">
        <v>10.390499999999999</v>
      </c>
      <c r="L153" s="6">
        <v>10.723599999999999</v>
      </c>
      <c r="M153" s="6">
        <v>11.3133</v>
      </c>
      <c r="N153" s="6">
        <v>11.1797</v>
      </c>
      <c r="O153" s="6">
        <v>10.949400000000001</v>
      </c>
      <c r="P153" s="6">
        <v>10.718999999999999</v>
      </c>
      <c r="Q153" s="6"/>
    </row>
    <row r="154" spans="1:17">
      <c r="A154" s="5">
        <v>41684</v>
      </c>
      <c r="B154" s="5" t="str">
        <f t="shared" si="2"/>
        <v>2014 q1</v>
      </c>
      <c r="C154" s="6">
        <v>7.8052000000000001</v>
      </c>
      <c r="D154" s="6">
        <v>7.8372999999999999</v>
      </c>
      <c r="E154" s="6">
        <v>7.9038000000000004</v>
      </c>
      <c r="F154" s="6">
        <v>8.0317000000000007</v>
      </c>
      <c r="G154" s="6">
        <v>8.2423999999999999</v>
      </c>
      <c r="H154" s="6">
        <v>8.4564000000000004</v>
      </c>
      <c r="I154" s="6">
        <v>9.3260000000000005</v>
      </c>
      <c r="J154" s="6">
        <v>9.9659999999999993</v>
      </c>
      <c r="K154" s="6">
        <v>10.389699999999999</v>
      </c>
      <c r="L154" s="6">
        <v>10.620699999999999</v>
      </c>
      <c r="M154" s="6">
        <v>11.0046</v>
      </c>
      <c r="N154" s="6">
        <v>11.2462</v>
      </c>
      <c r="O154" s="6">
        <v>11.4123</v>
      </c>
      <c r="P154" s="6">
        <v>11.5784</v>
      </c>
      <c r="Q154" s="6"/>
    </row>
    <row r="155" spans="1:17">
      <c r="A155" s="5">
        <v>41687</v>
      </c>
      <c r="B155" s="5" t="str">
        <f t="shared" si="2"/>
        <v>2014 q1</v>
      </c>
      <c r="C155" s="6">
        <v>7.6233000000000004</v>
      </c>
      <c r="D155" s="6">
        <v>7.6980000000000004</v>
      </c>
      <c r="E155" s="6">
        <v>7.8521999999999998</v>
      </c>
      <c r="F155" s="6">
        <v>8.0791000000000004</v>
      </c>
      <c r="G155" s="6">
        <v>8.2936999999999994</v>
      </c>
      <c r="H155" s="6">
        <v>8.5062999999999995</v>
      </c>
      <c r="I155" s="6">
        <v>9.2390000000000008</v>
      </c>
      <c r="J155" s="6">
        <v>9.8543000000000003</v>
      </c>
      <c r="K155" s="6">
        <v>10.3561</v>
      </c>
      <c r="L155" s="6">
        <v>10.7</v>
      </c>
      <c r="M155" s="6">
        <v>11.3185</v>
      </c>
      <c r="N155" s="6">
        <v>11.255800000000001</v>
      </c>
      <c r="O155" s="6">
        <v>11.1469</v>
      </c>
      <c r="P155" s="6">
        <v>11.038</v>
      </c>
      <c r="Q155" s="6"/>
    </row>
    <row r="156" spans="1:17">
      <c r="A156" s="5">
        <v>41688</v>
      </c>
      <c r="B156" s="5" t="str">
        <f t="shared" si="2"/>
        <v>2014 q1</v>
      </c>
      <c r="C156" s="6">
        <v>7.8937999999999997</v>
      </c>
      <c r="D156" s="6">
        <v>7.8935000000000004</v>
      </c>
      <c r="E156" s="6">
        <v>7.8929</v>
      </c>
      <c r="F156" s="6">
        <v>7.9286000000000003</v>
      </c>
      <c r="G156" s="6">
        <v>8.1422000000000008</v>
      </c>
      <c r="H156" s="6">
        <v>8.3579000000000008</v>
      </c>
      <c r="I156" s="6">
        <v>9.2620000000000005</v>
      </c>
      <c r="J156" s="6">
        <v>9.9521999999999995</v>
      </c>
      <c r="K156" s="6">
        <v>10.4061</v>
      </c>
      <c r="L156" s="6">
        <v>10.65</v>
      </c>
      <c r="M156" s="6">
        <v>11.057399999999999</v>
      </c>
      <c r="N156" s="6">
        <v>11.2027</v>
      </c>
      <c r="O156" s="6">
        <v>11.444900000000001</v>
      </c>
      <c r="P156" s="6">
        <v>11.687099999999999</v>
      </c>
      <c r="Q156" s="6"/>
    </row>
    <row r="157" spans="1:17">
      <c r="A157" s="5">
        <v>41689</v>
      </c>
      <c r="B157" s="5" t="str">
        <f t="shared" si="2"/>
        <v>2014 q1</v>
      </c>
      <c r="C157" s="6">
        <v>7.8897000000000004</v>
      </c>
      <c r="D157" s="6">
        <v>7.8939000000000004</v>
      </c>
      <c r="E157" s="6">
        <v>7.9024999999999999</v>
      </c>
      <c r="F157" s="6">
        <v>7.9153000000000002</v>
      </c>
      <c r="G157" s="6">
        <v>8.0982000000000003</v>
      </c>
      <c r="H157" s="6">
        <v>8.2914999999999992</v>
      </c>
      <c r="I157" s="6">
        <v>9.1941000000000006</v>
      </c>
      <c r="J157" s="6">
        <v>9.8879999999999999</v>
      </c>
      <c r="K157" s="6">
        <v>10.3559</v>
      </c>
      <c r="L157" s="6">
        <v>10.6113</v>
      </c>
      <c r="M157" s="6">
        <v>11.0405</v>
      </c>
      <c r="N157" s="6">
        <v>11.194599999999999</v>
      </c>
      <c r="O157" s="6">
        <v>11.451499999999999</v>
      </c>
      <c r="P157" s="6">
        <v>11.708299999999999</v>
      </c>
      <c r="Q157" s="6"/>
    </row>
    <row r="158" spans="1:17">
      <c r="A158" s="5">
        <v>41690</v>
      </c>
      <c r="B158" s="5" t="str">
        <f t="shared" si="2"/>
        <v>2014 q1</v>
      </c>
      <c r="C158" s="6">
        <v>7.9004000000000003</v>
      </c>
      <c r="D158" s="6">
        <v>7.9001999999999999</v>
      </c>
      <c r="E158" s="6">
        <v>7.8998999999999997</v>
      </c>
      <c r="F158" s="6">
        <v>7.8993000000000002</v>
      </c>
      <c r="G158" s="6">
        <v>8.0899000000000001</v>
      </c>
      <c r="H158" s="6">
        <v>8.2901000000000007</v>
      </c>
      <c r="I158" s="6">
        <v>9.2167999999999992</v>
      </c>
      <c r="J158" s="6">
        <v>9.9138999999999999</v>
      </c>
      <c r="K158" s="6">
        <v>10.3749</v>
      </c>
      <c r="L158" s="6">
        <v>10.6227</v>
      </c>
      <c r="M158" s="6">
        <v>11.0381</v>
      </c>
      <c r="N158" s="6">
        <v>11.229200000000001</v>
      </c>
      <c r="O158" s="6">
        <v>11.5076</v>
      </c>
      <c r="P158" s="6">
        <v>11.631500000000001</v>
      </c>
      <c r="Q158" s="6"/>
    </row>
    <row r="159" spans="1:17">
      <c r="A159" s="5">
        <v>41691</v>
      </c>
      <c r="B159" s="5" t="str">
        <f t="shared" si="2"/>
        <v>2014 q1</v>
      </c>
      <c r="C159" s="6">
        <v>7.8975</v>
      </c>
      <c r="D159" s="6">
        <v>7.8944000000000001</v>
      </c>
      <c r="E159" s="6">
        <v>7.8879000000000001</v>
      </c>
      <c r="F159" s="6">
        <v>7.8803999999999998</v>
      </c>
      <c r="G159" s="6">
        <v>8.0732999999999997</v>
      </c>
      <c r="H159" s="6">
        <v>8.2767999999999997</v>
      </c>
      <c r="I159" s="6">
        <v>9.2172999999999998</v>
      </c>
      <c r="J159" s="6">
        <v>9.9183000000000003</v>
      </c>
      <c r="K159" s="6">
        <v>10.3781</v>
      </c>
      <c r="L159" s="6">
        <v>10.6235</v>
      </c>
      <c r="M159" s="6">
        <v>11.0345</v>
      </c>
      <c r="N159" s="6">
        <v>11.1812</v>
      </c>
      <c r="O159" s="6">
        <v>11.425599999999999</v>
      </c>
      <c r="P159" s="6">
        <v>11.6701</v>
      </c>
      <c r="Q159" s="6"/>
    </row>
    <row r="160" spans="1:17">
      <c r="A160" s="5">
        <v>41694</v>
      </c>
      <c r="B160" s="5" t="str">
        <f t="shared" si="2"/>
        <v>2014 q1</v>
      </c>
      <c r="C160" s="6">
        <v>7.8956</v>
      </c>
      <c r="D160" s="6">
        <v>7.8930999999999996</v>
      </c>
      <c r="E160" s="6">
        <v>7.8879000000000001</v>
      </c>
      <c r="F160" s="6">
        <v>7.8846999999999996</v>
      </c>
      <c r="G160" s="6">
        <v>8.0818999999999992</v>
      </c>
      <c r="H160" s="6">
        <v>8.2902000000000005</v>
      </c>
      <c r="I160" s="6">
        <v>9.2365999999999993</v>
      </c>
      <c r="J160" s="6">
        <v>9.9341000000000008</v>
      </c>
      <c r="K160" s="6">
        <v>10.3878</v>
      </c>
      <c r="L160" s="6">
        <v>10.6286</v>
      </c>
      <c r="M160" s="6">
        <v>11.031700000000001</v>
      </c>
      <c r="N160" s="6">
        <v>11.1754</v>
      </c>
      <c r="O160" s="6">
        <v>11.414999999999999</v>
      </c>
      <c r="P160" s="6">
        <v>11.654500000000001</v>
      </c>
      <c r="Q160" s="6"/>
    </row>
    <row r="161" spans="1:17">
      <c r="A161" s="5">
        <v>41695</v>
      </c>
      <c r="B161" s="5" t="str">
        <f t="shared" si="2"/>
        <v>2014 q1</v>
      </c>
      <c r="C161" s="6">
        <v>7.8493000000000004</v>
      </c>
      <c r="D161" s="6">
        <v>7.8506</v>
      </c>
      <c r="E161" s="6">
        <v>7.8531000000000004</v>
      </c>
      <c r="F161" s="6">
        <v>7.8680000000000003</v>
      </c>
      <c r="G161" s="6">
        <v>8.0715000000000003</v>
      </c>
      <c r="H161" s="6">
        <v>8.2920999999999996</v>
      </c>
      <c r="I161" s="6">
        <v>9.3068000000000008</v>
      </c>
      <c r="J161" s="6">
        <v>10.012499999999999</v>
      </c>
      <c r="K161" s="6">
        <v>10.4481</v>
      </c>
      <c r="L161" s="6">
        <v>10.671099999999999</v>
      </c>
      <c r="M161" s="6">
        <v>11.0426</v>
      </c>
      <c r="N161" s="6">
        <v>11.2119</v>
      </c>
      <c r="O161" s="6">
        <v>11.4579</v>
      </c>
      <c r="P161" s="6">
        <v>11.567399999999999</v>
      </c>
      <c r="Q161" s="6"/>
    </row>
    <row r="162" spans="1:17">
      <c r="A162" s="5">
        <v>41696</v>
      </c>
      <c r="B162" s="5" t="str">
        <f t="shared" si="2"/>
        <v>2014 q1</v>
      </c>
      <c r="C162" s="6">
        <v>7.4452999999999996</v>
      </c>
      <c r="D162" s="6">
        <v>7.5274999999999999</v>
      </c>
      <c r="E162" s="6">
        <v>7.6970999999999998</v>
      </c>
      <c r="F162" s="6">
        <v>7.9504999999999999</v>
      </c>
      <c r="G162" s="6">
        <v>8.1890999999999998</v>
      </c>
      <c r="H162" s="6">
        <v>8.4238</v>
      </c>
      <c r="I162" s="6">
        <v>9.2335999999999991</v>
      </c>
      <c r="J162" s="6">
        <v>9.9036000000000008</v>
      </c>
      <c r="K162" s="6">
        <v>10.4419</v>
      </c>
      <c r="L162" s="6">
        <v>10.7966</v>
      </c>
      <c r="M162" s="6">
        <v>11.4305</v>
      </c>
      <c r="N162" s="6">
        <v>11.305199999999999</v>
      </c>
      <c r="O162" s="6">
        <v>11.0962</v>
      </c>
      <c r="P162" s="6">
        <v>10.8873</v>
      </c>
      <c r="Q162" s="6"/>
    </row>
    <row r="163" spans="1:17">
      <c r="A163" s="5">
        <v>41697</v>
      </c>
      <c r="B163" s="5" t="str">
        <f t="shared" si="2"/>
        <v>2014 q1</v>
      </c>
      <c r="C163" s="6">
        <v>7.8452999999999999</v>
      </c>
      <c r="D163" s="6">
        <v>7.8475000000000001</v>
      </c>
      <c r="E163" s="6">
        <v>7.8521999999999998</v>
      </c>
      <c r="F163" s="6">
        <v>7.8745000000000003</v>
      </c>
      <c r="G163" s="6">
        <v>8.0777000000000001</v>
      </c>
      <c r="H163" s="6">
        <v>8.2994000000000003</v>
      </c>
      <c r="I163" s="6">
        <v>9.3156999999999996</v>
      </c>
      <c r="J163" s="6">
        <v>10.0252</v>
      </c>
      <c r="K163" s="6">
        <v>10.465299999999999</v>
      </c>
      <c r="L163" s="6">
        <v>10.6906</v>
      </c>
      <c r="M163" s="6">
        <v>11.0671</v>
      </c>
      <c r="N163" s="6">
        <v>11.2006</v>
      </c>
      <c r="O163" s="6">
        <v>11.423</v>
      </c>
      <c r="P163" s="6">
        <v>11.6455</v>
      </c>
      <c r="Q163" s="6"/>
    </row>
    <row r="164" spans="1:17">
      <c r="A164" s="5">
        <v>41698</v>
      </c>
      <c r="B164" s="5" t="str">
        <f t="shared" si="2"/>
        <v>2014 q1</v>
      </c>
      <c r="C164" s="6">
        <v>7.8476999999999997</v>
      </c>
      <c r="D164" s="6">
        <v>7.8494000000000002</v>
      </c>
      <c r="E164" s="6">
        <v>7.8529</v>
      </c>
      <c r="F164" s="6">
        <v>7.8757000000000001</v>
      </c>
      <c r="G164" s="6">
        <v>8.0790000000000006</v>
      </c>
      <c r="H164" s="6">
        <v>8.3025000000000002</v>
      </c>
      <c r="I164" s="6">
        <v>9.3391999999999999</v>
      </c>
      <c r="J164" s="6">
        <v>10.071199999999999</v>
      </c>
      <c r="K164" s="6">
        <v>10.529</v>
      </c>
      <c r="L164" s="6">
        <v>10.7643</v>
      </c>
      <c r="M164" s="6">
        <v>11.1584</v>
      </c>
      <c r="N164" s="6">
        <v>11.298400000000001</v>
      </c>
      <c r="O164" s="6">
        <v>11.531700000000001</v>
      </c>
      <c r="P164" s="6">
        <v>11.764900000000001</v>
      </c>
      <c r="Q164" s="6"/>
    </row>
    <row r="165" spans="1:17">
      <c r="A165" s="5">
        <v>41701</v>
      </c>
      <c r="B165" s="5" t="str">
        <f t="shared" si="2"/>
        <v>2014 q1</v>
      </c>
      <c r="C165" s="6">
        <v>7.8996000000000004</v>
      </c>
      <c r="D165" s="6">
        <v>7.8882000000000003</v>
      </c>
      <c r="E165" s="6">
        <v>7.8647999999999998</v>
      </c>
      <c r="F165" s="6">
        <v>7.8543000000000003</v>
      </c>
      <c r="G165" s="6">
        <v>8.0673999999999992</v>
      </c>
      <c r="H165" s="6">
        <v>8.3048000000000002</v>
      </c>
      <c r="I165" s="6">
        <v>9.3978999999999999</v>
      </c>
      <c r="J165" s="6">
        <v>10.137</v>
      </c>
      <c r="K165" s="6">
        <v>10.595499999999999</v>
      </c>
      <c r="L165" s="6">
        <v>10.8081</v>
      </c>
      <c r="M165" s="6">
        <v>11.183199999999999</v>
      </c>
      <c r="N165" s="6">
        <v>11.316000000000001</v>
      </c>
      <c r="O165" s="6">
        <v>11.5372</v>
      </c>
      <c r="P165" s="6">
        <v>11.7585</v>
      </c>
      <c r="Q165" s="6"/>
    </row>
    <row r="166" spans="1:17">
      <c r="A166" s="5">
        <v>41702</v>
      </c>
      <c r="B166" s="5" t="str">
        <f t="shared" si="2"/>
        <v>2014 q1</v>
      </c>
      <c r="C166" s="6">
        <v>7.9450000000000003</v>
      </c>
      <c r="D166" s="6">
        <v>7.9301000000000004</v>
      </c>
      <c r="E166" s="6">
        <v>7.8993000000000002</v>
      </c>
      <c r="F166" s="6">
        <v>7.8587999999999996</v>
      </c>
      <c r="G166" s="6">
        <v>8.0760000000000005</v>
      </c>
      <c r="H166" s="6">
        <v>8.2941000000000003</v>
      </c>
      <c r="I166" s="6">
        <v>9.3821999999999992</v>
      </c>
      <c r="J166" s="6">
        <v>10.1265</v>
      </c>
      <c r="K166" s="6">
        <v>10.579800000000001</v>
      </c>
      <c r="L166" s="6">
        <v>10.808199999999999</v>
      </c>
      <c r="M166" s="6">
        <v>11.1913</v>
      </c>
      <c r="N166" s="6">
        <v>11.327199999999999</v>
      </c>
      <c r="O166" s="6">
        <v>11.553800000000001</v>
      </c>
      <c r="P166" s="6">
        <v>11.7803</v>
      </c>
      <c r="Q166" s="6"/>
    </row>
    <row r="167" spans="1:17">
      <c r="A167" s="5">
        <v>41703</v>
      </c>
      <c r="B167" s="5" t="str">
        <f t="shared" si="2"/>
        <v>2014 q1</v>
      </c>
      <c r="C167" s="6">
        <v>7.9469000000000003</v>
      </c>
      <c r="D167" s="6">
        <v>7.9278000000000004</v>
      </c>
      <c r="E167" s="6">
        <v>7.8883000000000001</v>
      </c>
      <c r="F167" s="6">
        <v>7.8381999999999996</v>
      </c>
      <c r="G167" s="6">
        <v>8.0586000000000002</v>
      </c>
      <c r="H167" s="6">
        <v>8.2809000000000008</v>
      </c>
      <c r="I167" s="6">
        <v>9.4300999999999995</v>
      </c>
      <c r="J167" s="6">
        <v>10.202299999999999</v>
      </c>
      <c r="K167" s="6">
        <v>10.683</v>
      </c>
      <c r="L167" s="6">
        <v>10.9254</v>
      </c>
      <c r="M167" s="6">
        <v>11.3331</v>
      </c>
      <c r="N167" s="6">
        <v>11.4778</v>
      </c>
      <c r="O167" s="6">
        <v>11.719099999999999</v>
      </c>
      <c r="P167" s="6">
        <v>11.9604</v>
      </c>
      <c r="Q167" s="6"/>
    </row>
    <row r="168" spans="1:17">
      <c r="A168" s="5">
        <v>41704</v>
      </c>
      <c r="B168" s="5" t="str">
        <f t="shared" si="2"/>
        <v>2014 q1</v>
      </c>
      <c r="C168" s="6">
        <v>7.9691000000000001</v>
      </c>
      <c r="D168" s="6">
        <v>7.9404000000000003</v>
      </c>
      <c r="E168" s="6">
        <v>7.8811999999999998</v>
      </c>
      <c r="F168" s="6">
        <v>7.8059000000000003</v>
      </c>
      <c r="G168" s="6">
        <v>8.0310000000000006</v>
      </c>
      <c r="H168" s="6">
        <v>8.2590000000000003</v>
      </c>
      <c r="I168" s="6">
        <v>9.4205000000000005</v>
      </c>
      <c r="J168" s="6">
        <v>10.201700000000001</v>
      </c>
      <c r="K168" s="6">
        <v>10.671099999999999</v>
      </c>
      <c r="L168" s="6">
        <v>10.905200000000001</v>
      </c>
      <c r="M168" s="6">
        <v>11.298500000000001</v>
      </c>
      <c r="N168" s="6">
        <v>11.438000000000001</v>
      </c>
      <c r="O168" s="6">
        <v>11.670500000000001</v>
      </c>
      <c r="P168" s="6">
        <v>11.903</v>
      </c>
      <c r="Q168" s="6"/>
    </row>
    <row r="169" spans="1:17">
      <c r="A169" s="5">
        <v>41705</v>
      </c>
      <c r="B169" s="5" t="str">
        <f t="shared" si="2"/>
        <v>2014 q1</v>
      </c>
      <c r="C169" s="6">
        <v>7.9673999999999996</v>
      </c>
      <c r="D169" s="6">
        <v>7.9387999999999996</v>
      </c>
      <c r="E169" s="6">
        <v>7.8796999999999997</v>
      </c>
      <c r="F169" s="6">
        <v>7.8079000000000001</v>
      </c>
      <c r="G169" s="6">
        <v>8.0289000000000001</v>
      </c>
      <c r="H169" s="6">
        <v>8.2538999999999998</v>
      </c>
      <c r="I169" s="6">
        <v>9.4276</v>
      </c>
      <c r="J169" s="6">
        <v>10.231999999999999</v>
      </c>
      <c r="K169" s="6">
        <v>10.7216</v>
      </c>
      <c r="L169" s="6">
        <v>10.9672</v>
      </c>
      <c r="M169" s="6">
        <v>11.3809</v>
      </c>
      <c r="N169" s="6">
        <v>11.527900000000001</v>
      </c>
      <c r="O169" s="6">
        <v>11.7729</v>
      </c>
      <c r="P169" s="6">
        <v>12.017899999999999</v>
      </c>
      <c r="Q169" s="6"/>
    </row>
    <row r="170" spans="1:17">
      <c r="A170" s="5">
        <v>41708</v>
      </c>
      <c r="B170" s="5" t="str">
        <f t="shared" si="2"/>
        <v>2014 q1</v>
      </c>
      <c r="C170" s="6">
        <v>7.9920999999999998</v>
      </c>
      <c r="D170" s="6">
        <v>7.9565000000000001</v>
      </c>
      <c r="E170" s="6">
        <v>7.883</v>
      </c>
      <c r="F170" s="6">
        <v>7.7942999999999998</v>
      </c>
      <c r="G170" s="6">
        <v>8.0147999999999993</v>
      </c>
      <c r="H170" s="6">
        <v>8.2407000000000004</v>
      </c>
      <c r="I170" s="6">
        <v>9.4415999999999993</v>
      </c>
      <c r="J170" s="6">
        <v>10.2631</v>
      </c>
      <c r="K170" s="6">
        <v>10.762</v>
      </c>
      <c r="L170" s="6">
        <v>11.0115</v>
      </c>
      <c r="M170" s="6">
        <v>11.432499999999999</v>
      </c>
      <c r="N170" s="6">
        <v>11.582000000000001</v>
      </c>
      <c r="O170" s="6">
        <v>11.8314</v>
      </c>
      <c r="P170" s="6">
        <v>12.0807</v>
      </c>
      <c r="Q170" s="6"/>
    </row>
    <row r="171" spans="1:17">
      <c r="A171" s="5">
        <v>41709</v>
      </c>
      <c r="B171" s="5" t="str">
        <f t="shared" si="2"/>
        <v>2014 q1</v>
      </c>
      <c r="C171" s="6">
        <v>7.9170999999999996</v>
      </c>
      <c r="D171" s="6">
        <v>7.9016999999999999</v>
      </c>
      <c r="E171" s="6">
        <v>7.8700999999999999</v>
      </c>
      <c r="F171" s="6">
        <v>7.8460000000000001</v>
      </c>
      <c r="G171" s="6">
        <v>8.0360999999999994</v>
      </c>
      <c r="H171" s="6">
        <v>8.234</v>
      </c>
      <c r="I171" s="6">
        <v>9.3745999999999992</v>
      </c>
      <c r="J171" s="6">
        <v>10.260199999999999</v>
      </c>
      <c r="K171" s="6">
        <v>10.8531</v>
      </c>
      <c r="L171" s="6">
        <v>11.1668</v>
      </c>
      <c r="M171" s="6">
        <v>11.7057</v>
      </c>
      <c r="N171" s="6">
        <v>11.9008</v>
      </c>
      <c r="O171" s="6">
        <v>12.226000000000001</v>
      </c>
      <c r="P171" s="6">
        <v>12.551299999999999</v>
      </c>
      <c r="Q171" s="6"/>
    </row>
    <row r="172" spans="1:17">
      <c r="A172" s="5">
        <v>41710</v>
      </c>
      <c r="B172" s="5" t="str">
        <f t="shared" si="2"/>
        <v>2014 q1</v>
      </c>
      <c r="C172" s="6">
        <v>7.9901</v>
      </c>
      <c r="D172" s="6">
        <v>7.9541000000000004</v>
      </c>
      <c r="E172" s="6">
        <v>7.88</v>
      </c>
      <c r="F172" s="6">
        <v>7.8042999999999996</v>
      </c>
      <c r="G172" s="6">
        <v>8.0205000000000002</v>
      </c>
      <c r="H172" s="6">
        <v>8.2475000000000005</v>
      </c>
      <c r="I172" s="6">
        <v>9.51</v>
      </c>
      <c r="J172" s="6">
        <v>10.4122</v>
      </c>
      <c r="K172" s="6">
        <v>10.9901</v>
      </c>
      <c r="L172" s="6">
        <v>11.2638</v>
      </c>
      <c r="M172" s="6">
        <v>11.7515</v>
      </c>
      <c r="N172" s="6">
        <v>11.9259</v>
      </c>
      <c r="O172" s="6">
        <v>12.2165</v>
      </c>
      <c r="P172" s="6">
        <v>12.507099999999999</v>
      </c>
      <c r="Q172" s="6"/>
    </row>
    <row r="173" spans="1:17">
      <c r="A173" s="5">
        <v>41711</v>
      </c>
      <c r="B173" s="5" t="str">
        <f t="shared" si="2"/>
        <v>2014 q1</v>
      </c>
      <c r="C173" s="6">
        <v>7.9333</v>
      </c>
      <c r="D173" s="6">
        <v>7.9124999999999996</v>
      </c>
      <c r="E173" s="6">
        <v>7.8695000000000004</v>
      </c>
      <c r="F173" s="6">
        <v>7.8372000000000002</v>
      </c>
      <c r="G173" s="6">
        <v>8.0413999999999994</v>
      </c>
      <c r="H173" s="6">
        <v>8.2560000000000002</v>
      </c>
      <c r="I173" s="6">
        <v>9.4451000000000001</v>
      </c>
      <c r="J173" s="6">
        <v>10.3299</v>
      </c>
      <c r="K173" s="6">
        <v>10.9032</v>
      </c>
      <c r="L173" s="6">
        <v>11.199199999999999</v>
      </c>
      <c r="M173" s="6">
        <v>11.7067</v>
      </c>
      <c r="N173" s="6">
        <v>11.8894</v>
      </c>
      <c r="O173" s="6">
        <v>12.1938</v>
      </c>
      <c r="P173" s="6">
        <v>12.498200000000001</v>
      </c>
      <c r="Q173" s="6"/>
    </row>
    <row r="174" spans="1:17">
      <c r="A174" s="5">
        <v>41712</v>
      </c>
      <c r="B174" s="5" t="str">
        <f t="shared" si="2"/>
        <v>2014 q1</v>
      </c>
      <c r="C174" s="6">
        <v>7.8741000000000003</v>
      </c>
      <c r="D174" s="6">
        <v>7.8684000000000003</v>
      </c>
      <c r="E174" s="6">
        <v>7.8566000000000003</v>
      </c>
      <c r="F174" s="6">
        <v>7.8654000000000002</v>
      </c>
      <c r="G174" s="6">
        <v>8.0513999999999992</v>
      </c>
      <c r="H174" s="6">
        <v>8.2469000000000001</v>
      </c>
      <c r="I174" s="6">
        <v>9.3291000000000004</v>
      </c>
      <c r="J174" s="6">
        <v>10.180300000000001</v>
      </c>
      <c r="K174" s="6">
        <v>10.758800000000001</v>
      </c>
      <c r="L174" s="6">
        <v>11.067600000000001</v>
      </c>
      <c r="M174" s="6">
        <v>11.602</v>
      </c>
      <c r="N174" s="6">
        <v>11.796900000000001</v>
      </c>
      <c r="O174" s="6">
        <v>12.1218</v>
      </c>
      <c r="P174" s="6">
        <v>12.4466</v>
      </c>
      <c r="Q174" s="6"/>
    </row>
    <row r="175" spans="1:17">
      <c r="A175" s="5">
        <v>41715</v>
      </c>
      <c r="B175" s="5" t="str">
        <f t="shared" si="2"/>
        <v>2014 q1</v>
      </c>
      <c r="C175" s="6">
        <v>7.9763000000000002</v>
      </c>
      <c r="D175" s="6">
        <v>7.9424999999999999</v>
      </c>
      <c r="E175" s="6">
        <v>7.8727</v>
      </c>
      <c r="F175" s="6">
        <v>7.8098000000000001</v>
      </c>
      <c r="G175" s="6">
        <v>8.0015000000000001</v>
      </c>
      <c r="H175" s="6">
        <v>8.2058</v>
      </c>
      <c r="I175" s="6">
        <v>9.3147000000000002</v>
      </c>
      <c r="J175" s="6">
        <v>10.0938</v>
      </c>
      <c r="K175" s="6">
        <v>10.5768</v>
      </c>
      <c r="L175" s="6">
        <v>10.819100000000001</v>
      </c>
      <c r="M175" s="6">
        <v>11.2332</v>
      </c>
      <c r="N175" s="6">
        <v>11.381399999999999</v>
      </c>
      <c r="O175" s="6">
        <v>11.628299999999999</v>
      </c>
      <c r="P175" s="6">
        <v>11.8752</v>
      </c>
      <c r="Q175" s="6"/>
    </row>
    <row r="176" spans="1:17">
      <c r="A176" s="5">
        <v>41716</v>
      </c>
      <c r="B176" s="5" t="str">
        <f t="shared" si="2"/>
        <v>2014 q1</v>
      </c>
      <c r="C176" s="6">
        <v>7.9245999999999999</v>
      </c>
      <c r="D176" s="6">
        <v>7.9096000000000002</v>
      </c>
      <c r="E176" s="6">
        <v>7.8784999999999998</v>
      </c>
      <c r="F176" s="6">
        <v>7.8570000000000002</v>
      </c>
      <c r="G176" s="6">
        <v>8.0854999999999997</v>
      </c>
      <c r="H176" s="6">
        <v>8.3140000000000001</v>
      </c>
      <c r="I176" s="6">
        <v>9.4116999999999997</v>
      </c>
      <c r="J176" s="6">
        <v>10.2401</v>
      </c>
      <c r="K176" s="6">
        <v>10.7746</v>
      </c>
      <c r="L176" s="6">
        <v>11.0488</v>
      </c>
      <c r="M176" s="6">
        <v>11.522</v>
      </c>
      <c r="N176" s="6">
        <v>11.6928</v>
      </c>
      <c r="O176" s="6">
        <v>11.977600000000001</v>
      </c>
      <c r="P176" s="6">
        <v>12.2624</v>
      </c>
      <c r="Q176" s="6"/>
    </row>
    <row r="177" spans="1:17">
      <c r="A177" s="5">
        <v>41717</v>
      </c>
      <c r="B177" s="5" t="str">
        <f t="shared" si="2"/>
        <v>2014 q1</v>
      </c>
      <c r="C177" s="6">
        <v>8.0436999999999994</v>
      </c>
      <c r="D177" s="6">
        <v>7.9950000000000001</v>
      </c>
      <c r="E177" s="6">
        <v>7.8944999999999999</v>
      </c>
      <c r="F177" s="6">
        <v>7.7839999999999998</v>
      </c>
      <c r="G177" s="6">
        <v>8.0005000000000006</v>
      </c>
      <c r="H177" s="6">
        <v>8.2348999999999997</v>
      </c>
      <c r="I177" s="6">
        <v>9.4842999999999993</v>
      </c>
      <c r="J177" s="6">
        <v>10.3658</v>
      </c>
      <c r="K177" s="6">
        <v>10.9236</v>
      </c>
      <c r="L177" s="6">
        <v>11.186400000000001</v>
      </c>
      <c r="M177" s="6">
        <v>11.6564</v>
      </c>
      <c r="N177" s="6">
        <v>11.825100000000001</v>
      </c>
      <c r="O177" s="6">
        <v>12.1061</v>
      </c>
      <c r="P177" s="6">
        <v>12.3872</v>
      </c>
      <c r="Q177" s="6"/>
    </row>
    <row r="178" spans="1:17">
      <c r="A178" s="5">
        <v>41718</v>
      </c>
      <c r="B178" s="5" t="str">
        <f t="shared" si="2"/>
        <v>2014 q1</v>
      </c>
      <c r="C178" s="6">
        <v>7.9987000000000004</v>
      </c>
      <c r="D178" s="6">
        <v>7.9589999999999996</v>
      </c>
      <c r="E178" s="6">
        <v>7.8769999999999998</v>
      </c>
      <c r="F178" s="6">
        <v>7.7933000000000003</v>
      </c>
      <c r="G178" s="6">
        <v>7.9983000000000004</v>
      </c>
      <c r="H178" s="6">
        <v>8.2216000000000005</v>
      </c>
      <c r="I178" s="6">
        <v>9.4319000000000006</v>
      </c>
      <c r="J178" s="6">
        <v>10.315</v>
      </c>
      <c r="K178" s="6">
        <v>10.877000000000001</v>
      </c>
      <c r="L178" s="6">
        <v>11.1616</v>
      </c>
      <c r="M178" s="6">
        <v>11.6531</v>
      </c>
      <c r="N178" s="6">
        <v>11.8302</v>
      </c>
      <c r="O178" s="6">
        <v>12.125400000000001</v>
      </c>
      <c r="P178" s="6">
        <v>12.4206</v>
      </c>
      <c r="Q178" s="6"/>
    </row>
    <row r="179" spans="1:17">
      <c r="A179" s="5">
        <v>41719</v>
      </c>
      <c r="B179" s="5" t="str">
        <f t="shared" si="2"/>
        <v>2014 q1</v>
      </c>
      <c r="C179" s="6">
        <v>8.0053000000000001</v>
      </c>
      <c r="D179" s="6">
        <v>7.9611999999999998</v>
      </c>
      <c r="E179" s="6">
        <v>7.8703000000000003</v>
      </c>
      <c r="F179" s="6">
        <v>7.7788000000000004</v>
      </c>
      <c r="G179" s="6">
        <v>7.9863</v>
      </c>
      <c r="H179" s="6">
        <v>8.2134999999999998</v>
      </c>
      <c r="I179" s="6">
        <v>9.4298999999999999</v>
      </c>
      <c r="J179" s="6">
        <v>10.302099999999999</v>
      </c>
      <c r="K179" s="6">
        <v>10.850199999999999</v>
      </c>
      <c r="L179" s="6">
        <v>11.125299999999999</v>
      </c>
      <c r="M179" s="6">
        <v>11.6006</v>
      </c>
      <c r="N179" s="6">
        <v>11.771699999999999</v>
      </c>
      <c r="O179" s="6">
        <v>12.056699999999999</v>
      </c>
      <c r="P179" s="6">
        <v>12.341799999999999</v>
      </c>
      <c r="Q179" s="6"/>
    </row>
    <row r="180" spans="1:17">
      <c r="A180" s="5">
        <v>41722</v>
      </c>
      <c r="B180" s="5" t="str">
        <f t="shared" si="2"/>
        <v>2014 q1</v>
      </c>
      <c r="C180" s="6">
        <v>8.0038999999999998</v>
      </c>
      <c r="D180" s="6">
        <v>7.9596</v>
      </c>
      <c r="E180" s="6">
        <v>7.8682999999999996</v>
      </c>
      <c r="F180" s="6">
        <v>7.7805</v>
      </c>
      <c r="G180" s="6">
        <v>7.9908999999999999</v>
      </c>
      <c r="H180" s="6">
        <v>8.2220999999999993</v>
      </c>
      <c r="I180" s="6">
        <v>9.4469999999999992</v>
      </c>
      <c r="J180" s="6">
        <v>10.3207</v>
      </c>
      <c r="K180" s="6">
        <v>10.8681</v>
      </c>
      <c r="L180" s="6">
        <v>11.141999999999999</v>
      </c>
      <c r="M180" s="6">
        <v>11.6159</v>
      </c>
      <c r="N180" s="6">
        <v>11.7864</v>
      </c>
      <c r="O180" s="6">
        <v>12.0707</v>
      </c>
      <c r="P180" s="6">
        <v>12.355</v>
      </c>
      <c r="Q180" s="6"/>
    </row>
    <row r="181" spans="1:17">
      <c r="A181" s="5">
        <v>41723</v>
      </c>
      <c r="B181" s="5" t="str">
        <f t="shared" si="2"/>
        <v>2014 q1</v>
      </c>
      <c r="C181" s="6">
        <v>8.0580999999999996</v>
      </c>
      <c r="D181" s="6">
        <v>7.9988000000000001</v>
      </c>
      <c r="E181" s="6">
        <v>7.8762999999999996</v>
      </c>
      <c r="F181" s="6">
        <v>7.7267000000000001</v>
      </c>
      <c r="G181" s="6">
        <v>7.9355000000000002</v>
      </c>
      <c r="H181" s="6">
        <v>8.1760000000000002</v>
      </c>
      <c r="I181" s="6">
        <v>9.4723000000000006</v>
      </c>
      <c r="J181" s="6">
        <v>10.3241</v>
      </c>
      <c r="K181" s="6">
        <v>10.8264</v>
      </c>
      <c r="L181" s="6">
        <v>11.068899999999999</v>
      </c>
      <c r="M181" s="6">
        <v>11.488</v>
      </c>
      <c r="N181" s="6">
        <v>11.6381</v>
      </c>
      <c r="O181" s="6">
        <v>11.888299999999999</v>
      </c>
      <c r="P181" s="6">
        <v>12.138500000000001</v>
      </c>
      <c r="Q181" s="6"/>
    </row>
    <row r="182" spans="1:17">
      <c r="A182" s="5">
        <v>41724</v>
      </c>
      <c r="B182" s="5" t="str">
        <f t="shared" si="2"/>
        <v>2014 q1</v>
      </c>
      <c r="C182" s="6">
        <v>8.0139999999999993</v>
      </c>
      <c r="D182" s="6">
        <v>7.9659000000000004</v>
      </c>
      <c r="E182" s="6">
        <v>7.8666999999999998</v>
      </c>
      <c r="F182" s="6">
        <v>7.7507000000000001</v>
      </c>
      <c r="G182" s="6">
        <v>7.9378000000000002</v>
      </c>
      <c r="H182" s="6">
        <v>8.1571999999999996</v>
      </c>
      <c r="I182" s="6">
        <v>9.4420999999999999</v>
      </c>
      <c r="J182" s="6">
        <v>10.3627</v>
      </c>
      <c r="K182" s="6">
        <v>10.9367</v>
      </c>
      <c r="L182" s="6">
        <v>11.221500000000001</v>
      </c>
      <c r="M182" s="6">
        <v>11.7248</v>
      </c>
      <c r="N182" s="6">
        <v>11.9011</v>
      </c>
      <c r="O182" s="6">
        <v>12.194800000000001</v>
      </c>
      <c r="P182" s="6">
        <v>12.4885</v>
      </c>
      <c r="Q182" s="6"/>
    </row>
    <row r="183" spans="1:17">
      <c r="A183" s="5">
        <v>41725</v>
      </c>
      <c r="B183" s="5" t="str">
        <f t="shared" si="2"/>
        <v>2014 q1</v>
      </c>
      <c r="C183" s="6">
        <v>8.0454000000000008</v>
      </c>
      <c r="D183" s="6">
        <v>7.9884000000000004</v>
      </c>
      <c r="E183" s="6">
        <v>7.8705999999999996</v>
      </c>
      <c r="F183" s="6">
        <v>7.7355999999999998</v>
      </c>
      <c r="G183" s="6">
        <v>7.9413999999999998</v>
      </c>
      <c r="H183" s="6">
        <v>8.1807999999999996</v>
      </c>
      <c r="I183" s="6">
        <v>9.4458000000000002</v>
      </c>
      <c r="J183" s="6">
        <v>10.272</v>
      </c>
      <c r="K183" s="6">
        <v>10.757899999999999</v>
      </c>
      <c r="L183" s="6">
        <v>10.9917</v>
      </c>
      <c r="M183" s="6">
        <v>11.3972</v>
      </c>
      <c r="N183" s="6">
        <v>11.5425</v>
      </c>
      <c r="O183" s="6">
        <v>11.784800000000001</v>
      </c>
      <c r="P183" s="6">
        <v>12.027100000000001</v>
      </c>
      <c r="Q183" s="6"/>
    </row>
    <row r="184" spans="1:17">
      <c r="A184" s="5">
        <v>41726</v>
      </c>
      <c r="B184" s="5" t="str">
        <f t="shared" si="2"/>
        <v>2014 q1</v>
      </c>
      <c r="C184" s="6">
        <v>8.1187000000000005</v>
      </c>
      <c r="D184" s="6">
        <v>8.0404</v>
      </c>
      <c r="E184" s="6">
        <v>7.8788999999999998</v>
      </c>
      <c r="F184" s="6">
        <v>7.6882999999999999</v>
      </c>
      <c r="G184" s="6">
        <v>7.8792999999999997</v>
      </c>
      <c r="H184" s="6">
        <v>8.1103000000000005</v>
      </c>
      <c r="I184" s="6">
        <v>9.4091000000000005</v>
      </c>
      <c r="J184" s="6">
        <v>10.257899999999999</v>
      </c>
      <c r="K184" s="6">
        <v>10.755699999999999</v>
      </c>
      <c r="L184" s="6">
        <v>10.9945</v>
      </c>
      <c r="M184" s="6">
        <v>11.4091</v>
      </c>
      <c r="N184" s="6">
        <v>11.5578</v>
      </c>
      <c r="O184" s="6">
        <v>11.8056</v>
      </c>
      <c r="P184" s="6">
        <v>12.0534</v>
      </c>
      <c r="Q184" s="6"/>
    </row>
    <row r="185" spans="1:17">
      <c r="A185" s="5">
        <v>41729</v>
      </c>
      <c r="B185" s="5" t="str">
        <f t="shared" si="2"/>
        <v>2014 q1</v>
      </c>
      <c r="C185" s="6">
        <v>8.1089000000000002</v>
      </c>
      <c r="D185" s="6">
        <v>8.0325000000000006</v>
      </c>
      <c r="E185" s="6">
        <v>7.8746</v>
      </c>
      <c r="F185" s="6">
        <v>7.6962000000000002</v>
      </c>
      <c r="G185" s="6">
        <v>7.9067999999999996</v>
      </c>
      <c r="H185" s="6">
        <v>8.1577000000000002</v>
      </c>
      <c r="I185" s="6">
        <v>9.4679000000000002</v>
      </c>
      <c r="J185" s="6">
        <v>10.2919</v>
      </c>
      <c r="K185" s="6">
        <v>10.765499999999999</v>
      </c>
      <c r="L185" s="6">
        <v>10.990600000000001</v>
      </c>
      <c r="M185" s="6">
        <v>11.3817</v>
      </c>
      <c r="N185" s="6">
        <v>11.5219</v>
      </c>
      <c r="O185" s="6">
        <v>11.7555</v>
      </c>
      <c r="P185" s="6">
        <v>11.9892</v>
      </c>
      <c r="Q185" s="6"/>
    </row>
    <row r="186" spans="1:17">
      <c r="A186" s="5">
        <v>41730</v>
      </c>
      <c r="B186" s="5" t="str">
        <f t="shared" si="2"/>
        <v>2014 q2</v>
      </c>
      <c r="C186" s="6">
        <v>7.9034000000000004</v>
      </c>
      <c r="D186" s="6">
        <v>7.8784999999999998</v>
      </c>
      <c r="E186" s="6">
        <v>7.8272000000000004</v>
      </c>
      <c r="F186" s="6">
        <v>7.7900999999999998</v>
      </c>
      <c r="G186" s="6">
        <v>7.9581</v>
      </c>
      <c r="H186" s="6">
        <v>8.1576000000000004</v>
      </c>
      <c r="I186" s="6">
        <v>9.2637</v>
      </c>
      <c r="J186" s="6">
        <v>10.0845</v>
      </c>
      <c r="K186" s="6">
        <v>10.6191</v>
      </c>
      <c r="L186" s="6">
        <v>10.8774</v>
      </c>
      <c r="M186" s="6">
        <v>11.3446</v>
      </c>
      <c r="N186" s="6">
        <v>11.514699999999999</v>
      </c>
      <c r="O186" s="6">
        <v>11.7982</v>
      </c>
      <c r="P186" s="6">
        <v>12.0817</v>
      </c>
      <c r="Q186" s="6"/>
    </row>
    <row r="187" spans="1:17">
      <c r="A187" s="5">
        <v>41731</v>
      </c>
      <c r="B187" s="5" t="str">
        <f t="shared" si="2"/>
        <v>2014 q2</v>
      </c>
      <c r="C187" s="6">
        <v>7.9782000000000002</v>
      </c>
      <c r="D187" s="6">
        <v>7.9352</v>
      </c>
      <c r="E187" s="6">
        <v>7.8464</v>
      </c>
      <c r="F187" s="6">
        <v>7.7670000000000003</v>
      </c>
      <c r="G187" s="6">
        <v>7.9433999999999996</v>
      </c>
      <c r="H187" s="6">
        <v>8.1583000000000006</v>
      </c>
      <c r="I187" s="6">
        <v>9.3444000000000003</v>
      </c>
      <c r="J187" s="6">
        <v>10.1799</v>
      </c>
      <c r="K187" s="6">
        <v>10.6965</v>
      </c>
      <c r="L187" s="6">
        <v>10.9496</v>
      </c>
      <c r="M187" s="6">
        <v>11.3965</v>
      </c>
      <c r="N187" s="6">
        <v>11.6043</v>
      </c>
      <c r="O187" s="6">
        <v>11.901899999999999</v>
      </c>
      <c r="P187" s="6">
        <v>12.0352</v>
      </c>
      <c r="Q187" s="6"/>
    </row>
    <row r="188" spans="1:17">
      <c r="A188" s="5">
        <v>41732</v>
      </c>
      <c r="B188" s="5" t="str">
        <f t="shared" si="2"/>
        <v>2014 q2</v>
      </c>
      <c r="C188" s="6">
        <v>7.9272999999999998</v>
      </c>
      <c r="D188" s="6">
        <v>7.8968999999999996</v>
      </c>
      <c r="E188" s="6">
        <v>7.8342000000000001</v>
      </c>
      <c r="F188" s="6">
        <v>7.7976000000000001</v>
      </c>
      <c r="G188" s="6">
        <v>8.0144000000000002</v>
      </c>
      <c r="H188" s="6">
        <v>8.2619000000000007</v>
      </c>
      <c r="I188" s="6">
        <v>9.4930000000000003</v>
      </c>
      <c r="J188" s="6">
        <v>10.3057</v>
      </c>
      <c r="K188" s="6">
        <v>10.7912</v>
      </c>
      <c r="L188" s="6">
        <v>11.025</v>
      </c>
      <c r="M188" s="6">
        <v>11.4376</v>
      </c>
      <c r="N188" s="6">
        <v>11.629</v>
      </c>
      <c r="O188" s="6">
        <v>11.902799999999999</v>
      </c>
      <c r="P188" s="6">
        <v>12.025499999999999</v>
      </c>
      <c r="Q188" s="6"/>
    </row>
    <row r="189" spans="1:17">
      <c r="A189" s="5">
        <v>41733</v>
      </c>
      <c r="B189" s="5" t="str">
        <f t="shared" si="2"/>
        <v>2014 q2</v>
      </c>
      <c r="C189" s="6">
        <v>7.9321999999999999</v>
      </c>
      <c r="D189" s="6">
        <v>7.9</v>
      </c>
      <c r="E189" s="6">
        <v>7.8337000000000003</v>
      </c>
      <c r="F189" s="6">
        <v>7.7973999999999997</v>
      </c>
      <c r="G189" s="6">
        <v>8.0215999999999994</v>
      </c>
      <c r="H189" s="6">
        <v>8.2764000000000006</v>
      </c>
      <c r="I189" s="6">
        <v>9.5249000000000006</v>
      </c>
      <c r="J189" s="6">
        <v>10.333299999999999</v>
      </c>
      <c r="K189" s="6">
        <v>10.8108</v>
      </c>
      <c r="L189" s="6">
        <v>11.039300000000001</v>
      </c>
      <c r="M189" s="6">
        <v>11.443</v>
      </c>
      <c r="N189" s="6">
        <v>11.630100000000001</v>
      </c>
      <c r="O189" s="6">
        <v>11.8978</v>
      </c>
      <c r="P189" s="6">
        <v>12.017799999999999</v>
      </c>
      <c r="Q189" s="6"/>
    </row>
    <row r="190" spans="1:17">
      <c r="A190" s="5">
        <v>41736</v>
      </c>
      <c r="B190" s="5" t="str">
        <f t="shared" si="2"/>
        <v>2014 q2</v>
      </c>
      <c r="C190" s="6">
        <v>7.9301000000000004</v>
      </c>
      <c r="D190" s="6">
        <v>7.8982000000000001</v>
      </c>
      <c r="E190" s="6">
        <v>7.8323999999999998</v>
      </c>
      <c r="F190" s="6">
        <v>7.8003999999999998</v>
      </c>
      <c r="G190" s="6">
        <v>8.0245999999999995</v>
      </c>
      <c r="H190" s="6">
        <v>8.2803000000000004</v>
      </c>
      <c r="I190" s="6">
        <v>9.5282999999999998</v>
      </c>
      <c r="J190" s="6">
        <v>10.3353</v>
      </c>
      <c r="K190" s="6">
        <v>10.8119</v>
      </c>
      <c r="L190" s="6">
        <v>11.0397</v>
      </c>
      <c r="M190" s="6">
        <v>11.4429</v>
      </c>
      <c r="N190" s="6">
        <v>11.629899999999999</v>
      </c>
      <c r="O190" s="6">
        <v>11.8973</v>
      </c>
      <c r="P190" s="6">
        <v>12.017200000000001</v>
      </c>
      <c r="Q190" s="6"/>
    </row>
    <row r="191" spans="1:17">
      <c r="A191" s="5">
        <v>41737</v>
      </c>
      <c r="B191" s="5" t="str">
        <f t="shared" si="2"/>
        <v>2014 q2</v>
      </c>
      <c r="C191" s="6">
        <v>7.9524999999999997</v>
      </c>
      <c r="D191" s="6">
        <v>7.9211999999999998</v>
      </c>
      <c r="E191" s="6">
        <v>7.8566000000000003</v>
      </c>
      <c r="F191" s="6">
        <v>7.8367000000000004</v>
      </c>
      <c r="G191" s="6">
        <v>8.0617999999999999</v>
      </c>
      <c r="H191" s="6">
        <v>8.2876999999999992</v>
      </c>
      <c r="I191" s="6">
        <v>9.4954999999999998</v>
      </c>
      <c r="J191" s="6">
        <v>10.299899999999999</v>
      </c>
      <c r="K191" s="6">
        <v>10.783300000000001</v>
      </c>
      <c r="L191" s="6">
        <v>11.0153</v>
      </c>
      <c r="M191" s="6">
        <v>11.428599999999999</v>
      </c>
      <c r="N191" s="6">
        <v>11.621</v>
      </c>
      <c r="O191" s="6">
        <v>11.895799999999999</v>
      </c>
      <c r="P191" s="6">
        <v>12.019</v>
      </c>
      <c r="Q191" s="6"/>
    </row>
    <row r="192" spans="1:17">
      <c r="A192" s="5">
        <v>41738</v>
      </c>
      <c r="B192" s="5" t="str">
        <f t="shared" si="2"/>
        <v>2014 q2</v>
      </c>
      <c r="C192" s="6">
        <v>7.9676</v>
      </c>
      <c r="D192" s="6">
        <v>7.9317000000000002</v>
      </c>
      <c r="E192" s="6">
        <v>7.8574000000000002</v>
      </c>
      <c r="F192" s="6">
        <v>7.8295000000000003</v>
      </c>
      <c r="G192" s="6">
        <v>8.0520999999999994</v>
      </c>
      <c r="H192" s="6">
        <v>8.2765000000000004</v>
      </c>
      <c r="I192" s="6">
        <v>9.4922000000000004</v>
      </c>
      <c r="J192" s="6">
        <v>10.3</v>
      </c>
      <c r="K192" s="6">
        <v>10.7842</v>
      </c>
      <c r="L192" s="6">
        <v>11.0161</v>
      </c>
      <c r="M192" s="6">
        <v>11.4299</v>
      </c>
      <c r="N192" s="6">
        <v>11.6226</v>
      </c>
      <c r="O192" s="6">
        <v>11.897600000000001</v>
      </c>
      <c r="P192" s="6">
        <v>12.021000000000001</v>
      </c>
      <c r="Q192" s="6"/>
    </row>
    <row r="193" spans="1:17">
      <c r="A193" s="5">
        <v>41739</v>
      </c>
      <c r="B193" s="5" t="str">
        <f t="shared" si="2"/>
        <v>2014 q2</v>
      </c>
      <c r="C193" s="6">
        <v>7.9664999999999999</v>
      </c>
      <c r="D193" s="6">
        <v>7.9303999999999997</v>
      </c>
      <c r="E193" s="6">
        <v>7.8558000000000003</v>
      </c>
      <c r="F193" s="6">
        <v>7.8293999999999997</v>
      </c>
      <c r="G193" s="6">
        <v>8.0449999999999999</v>
      </c>
      <c r="H193" s="6">
        <v>8.2635000000000005</v>
      </c>
      <c r="I193" s="6">
        <v>9.4702000000000002</v>
      </c>
      <c r="J193" s="6">
        <v>10.283300000000001</v>
      </c>
      <c r="K193" s="6">
        <v>10.775</v>
      </c>
      <c r="L193" s="6">
        <v>11.011100000000001</v>
      </c>
      <c r="M193" s="6">
        <v>11.4336</v>
      </c>
      <c r="N193" s="6">
        <v>11.630699999999999</v>
      </c>
      <c r="O193" s="6">
        <v>11.911799999999999</v>
      </c>
      <c r="P193" s="6">
        <v>12.0379</v>
      </c>
      <c r="Q193" s="6"/>
    </row>
    <row r="194" spans="1:17">
      <c r="A194" s="5">
        <v>41740</v>
      </c>
      <c r="B194" s="5" t="str">
        <f t="shared" si="2"/>
        <v>2014 q2</v>
      </c>
      <c r="C194" s="6">
        <v>7.5277000000000003</v>
      </c>
      <c r="D194" s="6">
        <v>7.5617000000000001</v>
      </c>
      <c r="E194" s="6">
        <v>7.6318999999999999</v>
      </c>
      <c r="F194" s="6">
        <v>7.7862</v>
      </c>
      <c r="G194" s="6">
        <v>8.0718999999999994</v>
      </c>
      <c r="H194" s="6">
        <v>8.3574999999999999</v>
      </c>
      <c r="I194" s="6">
        <v>9.5014000000000003</v>
      </c>
      <c r="J194" s="6">
        <v>10.276199999999999</v>
      </c>
      <c r="K194" s="6">
        <v>10.760899999999999</v>
      </c>
      <c r="L194" s="6">
        <v>10.9999</v>
      </c>
      <c r="M194" s="6">
        <v>11.429600000000001</v>
      </c>
      <c r="N194" s="6">
        <v>11.6318</v>
      </c>
      <c r="O194" s="6">
        <v>11.920299999999999</v>
      </c>
      <c r="P194" s="6">
        <v>12.0497</v>
      </c>
      <c r="Q194" s="6"/>
    </row>
    <row r="195" spans="1:17">
      <c r="A195" s="5">
        <v>41743</v>
      </c>
      <c r="B195" s="5" t="str">
        <f t="shared" ref="B195:B258" si="3">YEAR(A195)&amp;" q"&amp;ROUNDUP(MONTH(A195)/3,0)</f>
        <v>2014 q2</v>
      </c>
      <c r="C195" s="6">
        <v>7.5286999999999997</v>
      </c>
      <c r="D195" s="6">
        <v>7.5628000000000002</v>
      </c>
      <c r="E195" s="6">
        <v>7.6332000000000004</v>
      </c>
      <c r="F195" s="6">
        <v>7.7897999999999996</v>
      </c>
      <c r="G195" s="6">
        <v>8.0754000000000001</v>
      </c>
      <c r="H195" s="6">
        <v>8.3610000000000007</v>
      </c>
      <c r="I195" s="6">
        <v>9.5045999999999999</v>
      </c>
      <c r="J195" s="6">
        <v>10.2782</v>
      </c>
      <c r="K195" s="6">
        <v>10.7621</v>
      </c>
      <c r="L195" s="6">
        <v>11.000400000000001</v>
      </c>
      <c r="M195" s="6">
        <v>11.429500000000001</v>
      </c>
      <c r="N195" s="6">
        <v>11.6317</v>
      </c>
      <c r="O195" s="6">
        <v>11.9198</v>
      </c>
      <c r="P195" s="6">
        <v>12.049200000000001</v>
      </c>
      <c r="Q195" s="6"/>
    </row>
    <row r="196" spans="1:17">
      <c r="A196" s="5">
        <v>41744</v>
      </c>
      <c r="B196" s="5" t="str">
        <f t="shared" si="3"/>
        <v>2014 q2</v>
      </c>
      <c r="C196" s="6">
        <v>7.5449999999999999</v>
      </c>
      <c r="D196" s="6">
        <v>7.5726000000000004</v>
      </c>
      <c r="E196" s="6">
        <v>7.6295000000000002</v>
      </c>
      <c r="F196" s="6">
        <v>7.7643000000000004</v>
      </c>
      <c r="G196" s="6">
        <v>8.0071999999999992</v>
      </c>
      <c r="H196" s="6">
        <v>8.2982999999999993</v>
      </c>
      <c r="I196" s="6">
        <v>9.3895999999999997</v>
      </c>
      <c r="J196" s="6">
        <v>10.1487</v>
      </c>
      <c r="K196" s="6">
        <v>10.6355</v>
      </c>
      <c r="L196" s="6">
        <v>10.872</v>
      </c>
      <c r="M196" s="6">
        <v>11.306699999999999</v>
      </c>
      <c r="N196" s="6">
        <v>11.512600000000001</v>
      </c>
      <c r="O196" s="6">
        <v>11.8058</v>
      </c>
      <c r="P196" s="6">
        <v>11.9376</v>
      </c>
      <c r="Q196" s="6"/>
    </row>
    <row r="197" spans="1:17">
      <c r="A197" s="5">
        <v>41745</v>
      </c>
      <c r="B197" s="5" t="str">
        <f t="shared" si="3"/>
        <v>2014 q2</v>
      </c>
      <c r="C197" s="6">
        <v>7.4722</v>
      </c>
      <c r="D197" s="6">
        <v>7.5376000000000003</v>
      </c>
      <c r="E197" s="6">
        <v>7.6723999999999997</v>
      </c>
      <c r="F197" s="6">
        <v>7.9055</v>
      </c>
      <c r="G197" s="6">
        <v>8.2017000000000007</v>
      </c>
      <c r="H197" s="6">
        <v>8.4812999999999992</v>
      </c>
      <c r="I197" s="6">
        <v>9.5998999999999999</v>
      </c>
      <c r="J197" s="6">
        <v>10.318199999999999</v>
      </c>
      <c r="K197" s="6">
        <v>10.7662</v>
      </c>
      <c r="L197" s="6">
        <v>10.9864</v>
      </c>
      <c r="M197" s="6">
        <v>11.386100000000001</v>
      </c>
      <c r="N197" s="6">
        <v>11.575200000000001</v>
      </c>
      <c r="O197" s="6">
        <v>11.8444</v>
      </c>
      <c r="P197" s="6">
        <v>11.965299999999999</v>
      </c>
      <c r="Q197" s="6"/>
    </row>
    <row r="198" spans="1:17">
      <c r="A198" s="5">
        <v>41746</v>
      </c>
      <c r="B198" s="5" t="str">
        <f t="shared" si="3"/>
        <v>2014 q2</v>
      </c>
      <c r="C198" s="6">
        <v>7.5682</v>
      </c>
      <c r="D198" s="6">
        <v>7.5899000000000001</v>
      </c>
      <c r="E198" s="6">
        <v>7.6345999999999998</v>
      </c>
      <c r="F198" s="6">
        <v>7.7580999999999998</v>
      </c>
      <c r="G198" s="6">
        <v>7.9946999999999999</v>
      </c>
      <c r="H198" s="6">
        <v>8.2848000000000006</v>
      </c>
      <c r="I198" s="6">
        <v>9.3994</v>
      </c>
      <c r="J198" s="6">
        <v>10.1844</v>
      </c>
      <c r="K198" s="6">
        <v>10.6907</v>
      </c>
      <c r="L198" s="6">
        <v>10.9427</v>
      </c>
      <c r="M198" s="6">
        <v>11.4015</v>
      </c>
      <c r="N198" s="6">
        <v>11.6196</v>
      </c>
      <c r="O198" s="6">
        <v>11.9299</v>
      </c>
      <c r="P198" s="6">
        <v>12.0693</v>
      </c>
      <c r="Q198" s="6"/>
    </row>
    <row r="199" spans="1:17">
      <c r="A199" s="5">
        <v>41747</v>
      </c>
      <c r="B199" s="5" t="str">
        <f t="shared" si="3"/>
        <v>2014 q2</v>
      </c>
      <c r="C199" s="6">
        <v>7.4817</v>
      </c>
      <c r="D199" s="6">
        <v>7.5457000000000001</v>
      </c>
      <c r="E199" s="6">
        <v>7.6776</v>
      </c>
      <c r="F199" s="6">
        <v>7.9063999999999997</v>
      </c>
      <c r="G199" s="6">
        <v>8.1922999999999995</v>
      </c>
      <c r="H199" s="6">
        <v>8.4661000000000008</v>
      </c>
      <c r="I199" s="6">
        <v>9.5610999999999997</v>
      </c>
      <c r="J199" s="6">
        <v>10.277699999999999</v>
      </c>
      <c r="K199" s="6">
        <v>10.7311</v>
      </c>
      <c r="L199" s="6">
        <v>10.9556</v>
      </c>
      <c r="M199" s="6">
        <v>11.364699999999999</v>
      </c>
      <c r="N199" s="6">
        <v>11.5593</v>
      </c>
      <c r="O199" s="6">
        <v>11.836</v>
      </c>
      <c r="P199" s="6">
        <v>11.9604</v>
      </c>
      <c r="Q199" s="6"/>
    </row>
    <row r="200" spans="1:17">
      <c r="A200" s="5">
        <v>41751</v>
      </c>
      <c r="B200" s="5" t="str">
        <f t="shared" si="3"/>
        <v>2014 q2</v>
      </c>
      <c r="C200" s="6">
        <v>7.5469999999999997</v>
      </c>
      <c r="D200" s="6">
        <v>7.5762</v>
      </c>
      <c r="E200" s="6">
        <v>7.6364000000000001</v>
      </c>
      <c r="F200" s="6">
        <v>7.7872000000000003</v>
      </c>
      <c r="G200" s="6">
        <v>8.0489999999999995</v>
      </c>
      <c r="H200" s="6">
        <v>8.3573000000000004</v>
      </c>
      <c r="I200" s="6">
        <v>9.4894999999999996</v>
      </c>
      <c r="J200" s="6">
        <v>10.253500000000001</v>
      </c>
      <c r="K200" s="6">
        <v>10.7308</v>
      </c>
      <c r="L200" s="6">
        <v>10.9634</v>
      </c>
      <c r="M200" s="6">
        <v>11.387600000000001</v>
      </c>
      <c r="N200" s="6">
        <v>11.588200000000001</v>
      </c>
      <c r="O200" s="6">
        <v>11.8735</v>
      </c>
      <c r="P200" s="6">
        <v>12.0017</v>
      </c>
      <c r="Q200" s="6"/>
    </row>
    <row r="201" spans="1:17">
      <c r="A201" s="5">
        <v>41752</v>
      </c>
      <c r="B201" s="5" t="str">
        <f t="shared" si="3"/>
        <v>2014 q2</v>
      </c>
      <c r="C201" s="6">
        <v>7.4886999999999997</v>
      </c>
      <c r="D201" s="6">
        <v>7.5547000000000004</v>
      </c>
      <c r="E201" s="6">
        <v>7.6909999999999998</v>
      </c>
      <c r="F201" s="6">
        <v>7.9292999999999996</v>
      </c>
      <c r="G201" s="6">
        <v>8.2161000000000008</v>
      </c>
      <c r="H201" s="6">
        <v>8.49</v>
      </c>
      <c r="I201" s="6">
        <v>9.5855999999999995</v>
      </c>
      <c r="J201" s="6">
        <v>10.298999999999999</v>
      </c>
      <c r="K201" s="6">
        <v>10.7515</v>
      </c>
      <c r="L201" s="6">
        <v>10.974500000000001</v>
      </c>
      <c r="M201" s="6">
        <v>11.3848</v>
      </c>
      <c r="N201" s="6">
        <v>11.5807</v>
      </c>
      <c r="O201" s="6">
        <v>11.858700000000001</v>
      </c>
      <c r="P201" s="6">
        <v>11.9838</v>
      </c>
      <c r="Q201" s="6"/>
    </row>
    <row r="202" spans="1:17">
      <c r="A202" s="5">
        <v>41754</v>
      </c>
      <c r="B202" s="5" t="str">
        <f t="shared" si="3"/>
        <v>2014 q2</v>
      </c>
      <c r="C202" s="6">
        <v>7.4721000000000002</v>
      </c>
      <c r="D202" s="6">
        <v>7.5477999999999996</v>
      </c>
      <c r="E202" s="6">
        <v>7.7039</v>
      </c>
      <c r="F202" s="6">
        <v>7.9561000000000002</v>
      </c>
      <c r="G202" s="6">
        <v>8.2311999999999994</v>
      </c>
      <c r="H202" s="6">
        <v>8.4869000000000003</v>
      </c>
      <c r="I202" s="6">
        <v>9.5099</v>
      </c>
      <c r="J202" s="6">
        <v>10.2103</v>
      </c>
      <c r="K202" s="6">
        <v>10.6768</v>
      </c>
      <c r="L202" s="6">
        <v>10.916700000000001</v>
      </c>
      <c r="M202" s="6">
        <v>11.3596</v>
      </c>
      <c r="N202" s="6">
        <v>11.575699999999999</v>
      </c>
      <c r="O202" s="6">
        <v>11.882300000000001</v>
      </c>
      <c r="P202" s="6">
        <v>12.0204</v>
      </c>
      <c r="Q202" s="6"/>
    </row>
    <row r="203" spans="1:17">
      <c r="A203" s="5">
        <v>41755</v>
      </c>
      <c r="B203" s="5" t="str">
        <f t="shared" si="3"/>
        <v>2014 q2</v>
      </c>
      <c r="C203" s="6">
        <v>7.4890999999999996</v>
      </c>
      <c r="D203" s="6">
        <v>7.5583999999999998</v>
      </c>
      <c r="E203" s="6">
        <v>7.7016</v>
      </c>
      <c r="F203" s="6">
        <v>7.9486999999999997</v>
      </c>
      <c r="G203" s="6">
        <v>8.2353000000000005</v>
      </c>
      <c r="H203" s="6">
        <v>8.5061999999999998</v>
      </c>
      <c r="I203" s="6">
        <v>9.5897000000000006</v>
      </c>
      <c r="J203" s="6">
        <v>10.2944</v>
      </c>
      <c r="K203" s="6">
        <v>10.743499999999999</v>
      </c>
      <c r="L203" s="6">
        <v>10.9649</v>
      </c>
      <c r="M203" s="6">
        <v>11.3744</v>
      </c>
      <c r="N203" s="6">
        <v>11.5707</v>
      </c>
      <c r="O203" s="6">
        <v>11.849</v>
      </c>
      <c r="P203" s="6">
        <v>11.974299999999999</v>
      </c>
      <c r="Q203" s="6"/>
    </row>
    <row r="204" spans="1:17">
      <c r="A204" s="5">
        <v>41757</v>
      </c>
      <c r="B204" s="5" t="str">
        <f t="shared" si="3"/>
        <v>2014 q2</v>
      </c>
      <c r="C204" s="6">
        <v>7.3567999999999998</v>
      </c>
      <c r="D204" s="6">
        <v>7.4523999999999999</v>
      </c>
      <c r="E204" s="6">
        <v>7.6496000000000004</v>
      </c>
      <c r="F204" s="6">
        <v>7.9364999999999997</v>
      </c>
      <c r="G204" s="6">
        <v>8.2073999999999998</v>
      </c>
      <c r="H204" s="6">
        <v>8.4522999999999993</v>
      </c>
      <c r="I204" s="6">
        <v>9.3607999999999993</v>
      </c>
      <c r="J204" s="6">
        <v>10.0688</v>
      </c>
      <c r="K204" s="6">
        <v>10.6213</v>
      </c>
      <c r="L204" s="6">
        <v>10.951000000000001</v>
      </c>
      <c r="M204" s="6">
        <v>11.5489</v>
      </c>
      <c r="N204" s="6">
        <v>11.6088</v>
      </c>
      <c r="O204" s="6">
        <v>11.545299999999999</v>
      </c>
      <c r="P204" s="6">
        <v>10.9735</v>
      </c>
      <c r="Q204" s="6"/>
    </row>
    <row r="205" spans="1:17">
      <c r="A205" s="5">
        <v>41758</v>
      </c>
      <c r="B205" s="5" t="str">
        <f t="shared" si="3"/>
        <v>2014 q2</v>
      </c>
      <c r="C205" s="6">
        <v>7.4427000000000003</v>
      </c>
      <c r="D205" s="6">
        <v>7.4907000000000004</v>
      </c>
      <c r="E205" s="6">
        <v>7.5898000000000003</v>
      </c>
      <c r="F205" s="6">
        <v>7.8609999999999998</v>
      </c>
      <c r="G205" s="6">
        <v>8.1361000000000008</v>
      </c>
      <c r="H205" s="6">
        <v>8.42</v>
      </c>
      <c r="I205" s="6">
        <v>9.5554000000000006</v>
      </c>
      <c r="J205" s="6">
        <v>10.2738</v>
      </c>
      <c r="K205" s="6">
        <v>10.719900000000001</v>
      </c>
      <c r="L205" s="6">
        <v>10.9344</v>
      </c>
      <c r="M205" s="6">
        <v>11.333</v>
      </c>
      <c r="N205" s="6">
        <v>11.5229</v>
      </c>
      <c r="O205" s="6">
        <v>11.791700000000001</v>
      </c>
      <c r="P205" s="6">
        <v>11.912800000000001</v>
      </c>
      <c r="Q205" s="6"/>
    </row>
    <row r="206" spans="1:17">
      <c r="A206" s="5">
        <v>41759</v>
      </c>
      <c r="B206" s="5" t="str">
        <f t="shared" si="3"/>
        <v>2014 q2</v>
      </c>
      <c r="C206" s="6">
        <v>7.2367999999999997</v>
      </c>
      <c r="D206" s="6">
        <v>7.3517999999999999</v>
      </c>
      <c r="E206" s="6">
        <v>7.5891999999999999</v>
      </c>
      <c r="F206" s="6">
        <v>7.9333</v>
      </c>
      <c r="G206" s="6">
        <v>8.2502999999999993</v>
      </c>
      <c r="H206" s="6">
        <v>8.5051000000000005</v>
      </c>
      <c r="I206" s="6">
        <v>9.5243000000000002</v>
      </c>
      <c r="J206" s="6">
        <v>10.2141</v>
      </c>
      <c r="K206" s="6">
        <v>10.701599999999999</v>
      </c>
      <c r="L206" s="6">
        <v>10.9533</v>
      </c>
      <c r="M206" s="6">
        <v>11.4137</v>
      </c>
      <c r="N206" s="6">
        <v>11.5114</v>
      </c>
      <c r="O206" s="6">
        <v>11.612</v>
      </c>
      <c r="P206" s="6">
        <v>11.5207</v>
      </c>
      <c r="Q206" s="6"/>
    </row>
    <row r="207" spans="1:17">
      <c r="A207" s="5">
        <v>41764</v>
      </c>
      <c r="B207" s="5" t="str">
        <f t="shared" si="3"/>
        <v>2014 q2</v>
      </c>
      <c r="C207" s="6">
        <v>7.2625000000000002</v>
      </c>
      <c r="D207" s="6">
        <v>7.3715999999999999</v>
      </c>
      <c r="E207" s="6">
        <v>7.5968999999999998</v>
      </c>
      <c r="F207" s="6">
        <v>7.9237000000000002</v>
      </c>
      <c r="G207" s="6">
        <v>8.2255000000000003</v>
      </c>
      <c r="H207" s="6">
        <v>8.4716000000000005</v>
      </c>
      <c r="I207" s="6">
        <v>9.4551999999999996</v>
      </c>
      <c r="J207" s="6">
        <v>10.1364</v>
      </c>
      <c r="K207" s="6">
        <v>10.6287</v>
      </c>
      <c r="L207" s="6">
        <v>10.8964</v>
      </c>
      <c r="M207" s="6">
        <v>11.3881</v>
      </c>
      <c r="N207" s="6">
        <v>11.531499999999999</v>
      </c>
      <c r="O207" s="6">
        <v>11.6997</v>
      </c>
      <c r="P207" s="6">
        <v>11.649900000000001</v>
      </c>
      <c r="Q207" s="6"/>
    </row>
    <row r="208" spans="1:17">
      <c r="A208" s="5">
        <v>41765</v>
      </c>
      <c r="B208" s="5" t="str">
        <f t="shared" si="3"/>
        <v>2014 q2</v>
      </c>
      <c r="C208" s="6">
        <v>7.7272999999999996</v>
      </c>
      <c r="D208" s="6">
        <v>7.7117000000000004</v>
      </c>
      <c r="E208" s="6">
        <v>7.6795</v>
      </c>
      <c r="F208" s="6">
        <v>7.7736000000000001</v>
      </c>
      <c r="G208" s="6">
        <v>7.9875999999999996</v>
      </c>
      <c r="H208" s="6">
        <v>8.2024000000000008</v>
      </c>
      <c r="I208" s="6">
        <v>9.3812999999999995</v>
      </c>
      <c r="J208" s="6">
        <v>10.1769</v>
      </c>
      <c r="K208" s="6">
        <v>10.6587</v>
      </c>
      <c r="L208" s="6">
        <v>10.8865</v>
      </c>
      <c r="M208" s="6">
        <v>11.3079</v>
      </c>
      <c r="N208" s="6">
        <v>11.507899999999999</v>
      </c>
      <c r="O208" s="6">
        <v>11.7902</v>
      </c>
      <c r="P208" s="6">
        <v>11.917400000000001</v>
      </c>
      <c r="Q208" s="6"/>
    </row>
    <row r="209" spans="1:17">
      <c r="A209" s="5">
        <v>41766</v>
      </c>
      <c r="B209" s="5" t="str">
        <f t="shared" si="3"/>
        <v>2014 q2</v>
      </c>
      <c r="C209" s="6">
        <v>7.6772999999999998</v>
      </c>
      <c r="D209" s="6">
        <v>7.6756000000000002</v>
      </c>
      <c r="E209" s="6">
        <v>7.6719999999999997</v>
      </c>
      <c r="F209" s="6">
        <v>7.782</v>
      </c>
      <c r="G209" s="6">
        <v>7.9847000000000001</v>
      </c>
      <c r="H209" s="6">
        <v>8.1890000000000001</v>
      </c>
      <c r="I209" s="6">
        <v>9.2948000000000004</v>
      </c>
      <c r="J209" s="6">
        <v>10.0823</v>
      </c>
      <c r="K209" s="6">
        <v>10.5778</v>
      </c>
      <c r="L209" s="6">
        <v>10.818199999999999</v>
      </c>
      <c r="M209" s="6">
        <v>11.2624</v>
      </c>
      <c r="N209" s="6">
        <v>11.475</v>
      </c>
      <c r="O209" s="6">
        <v>11.774900000000001</v>
      </c>
      <c r="P209" s="6">
        <v>11.9101</v>
      </c>
      <c r="Q209" s="6"/>
    </row>
    <row r="210" spans="1:17">
      <c r="A210" s="5">
        <v>41767</v>
      </c>
      <c r="B210" s="5" t="str">
        <f t="shared" si="3"/>
        <v>2014 q2</v>
      </c>
      <c r="C210" s="6">
        <v>7.6677999999999997</v>
      </c>
      <c r="D210" s="6">
        <v>7.6689999999999996</v>
      </c>
      <c r="E210" s="6">
        <v>7.6714000000000002</v>
      </c>
      <c r="F210" s="6">
        <v>7.78</v>
      </c>
      <c r="G210" s="6">
        <v>7.9694000000000003</v>
      </c>
      <c r="H210" s="6">
        <v>8.1613000000000007</v>
      </c>
      <c r="I210" s="6">
        <v>9.2249999999999996</v>
      </c>
      <c r="J210" s="6">
        <v>10.017899999999999</v>
      </c>
      <c r="K210" s="6">
        <v>10.5328</v>
      </c>
      <c r="L210" s="6">
        <v>10.788500000000001</v>
      </c>
      <c r="M210" s="6">
        <v>11.2608</v>
      </c>
      <c r="N210" s="6">
        <v>11.488899999999999</v>
      </c>
      <c r="O210" s="6">
        <v>11.810499999999999</v>
      </c>
      <c r="P210" s="6">
        <v>11.9556</v>
      </c>
      <c r="Q210" s="6"/>
    </row>
    <row r="211" spans="1:17">
      <c r="A211" s="5">
        <v>41771</v>
      </c>
      <c r="B211" s="5" t="str">
        <f t="shared" si="3"/>
        <v>2014 q2</v>
      </c>
      <c r="C211" s="6">
        <v>7.6557000000000004</v>
      </c>
      <c r="D211" s="6">
        <v>7.6595000000000004</v>
      </c>
      <c r="E211" s="6">
        <v>7.6673999999999998</v>
      </c>
      <c r="F211" s="6">
        <v>7.7831000000000001</v>
      </c>
      <c r="G211" s="6">
        <v>7.9752999999999998</v>
      </c>
      <c r="H211" s="6">
        <v>8.1706000000000003</v>
      </c>
      <c r="I211" s="6">
        <v>9.2210999999999999</v>
      </c>
      <c r="J211" s="6">
        <v>9.9963999999999995</v>
      </c>
      <c r="K211" s="6">
        <v>10.495799999999999</v>
      </c>
      <c r="L211" s="6">
        <v>10.743499999999999</v>
      </c>
      <c r="M211" s="6">
        <v>11.207800000000001</v>
      </c>
      <c r="N211" s="6">
        <v>11.4994</v>
      </c>
      <c r="O211" s="6">
        <v>11.7318</v>
      </c>
      <c r="P211" s="6">
        <v>11.872</v>
      </c>
      <c r="Q211" s="6"/>
    </row>
    <row r="212" spans="1:17">
      <c r="A212" s="5">
        <v>41772</v>
      </c>
      <c r="B212" s="5" t="str">
        <f t="shared" si="3"/>
        <v>2014 q2</v>
      </c>
      <c r="C212" s="6">
        <v>7.3131000000000004</v>
      </c>
      <c r="D212" s="6">
        <v>7.4009999999999998</v>
      </c>
      <c r="E212" s="6">
        <v>7.5823999999999998</v>
      </c>
      <c r="F212" s="6">
        <v>7.8460999999999999</v>
      </c>
      <c r="G212" s="6">
        <v>8.1041000000000007</v>
      </c>
      <c r="H212" s="6">
        <v>8.3359000000000005</v>
      </c>
      <c r="I212" s="6">
        <v>9.1954999999999991</v>
      </c>
      <c r="J212" s="6">
        <v>9.8841999999999999</v>
      </c>
      <c r="K212" s="6">
        <v>10.4306</v>
      </c>
      <c r="L212" s="6">
        <v>10.778499999999999</v>
      </c>
      <c r="M212" s="6">
        <v>11.404999999999999</v>
      </c>
      <c r="N212" s="6">
        <v>11.5528</v>
      </c>
      <c r="O212" s="6">
        <v>11.6182</v>
      </c>
      <c r="P212" s="6">
        <v>11.146100000000001</v>
      </c>
      <c r="Q212" s="6"/>
    </row>
    <row r="213" spans="1:17">
      <c r="A213" s="5">
        <v>41773</v>
      </c>
      <c r="B213" s="5" t="str">
        <f t="shared" si="3"/>
        <v>2014 q2</v>
      </c>
      <c r="C213" s="6">
        <v>7.3526999999999996</v>
      </c>
      <c r="D213" s="6">
        <v>7.4401999999999999</v>
      </c>
      <c r="E213" s="6">
        <v>7.6208999999999998</v>
      </c>
      <c r="F213" s="6">
        <v>7.8829000000000002</v>
      </c>
      <c r="G213" s="6">
        <v>8.1384000000000007</v>
      </c>
      <c r="H213" s="6">
        <v>8.3550000000000004</v>
      </c>
      <c r="I213" s="6">
        <v>9.2141999999999999</v>
      </c>
      <c r="J213" s="6">
        <v>9.8870000000000005</v>
      </c>
      <c r="K213" s="6">
        <v>10.417400000000001</v>
      </c>
      <c r="L213" s="6">
        <v>10.754899999999999</v>
      </c>
      <c r="M213" s="6">
        <v>11.364800000000001</v>
      </c>
      <c r="N213" s="6">
        <v>11.546099999999999</v>
      </c>
      <c r="O213" s="6">
        <v>11.692299999999999</v>
      </c>
      <c r="P213" s="6">
        <v>11.376799999999999</v>
      </c>
      <c r="Q213" s="6"/>
    </row>
    <row r="214" spans="1:17">
      <c r="A214" s="5">
        <v>41774</v>
      </c>
      <c r="B214" s="5" t="str">
        <f t="shared" si="3"/>
        <v>2014 q2</v>
      </c>
      <c r="C214" s="6">
        <v>7.5815000000000001</v>
      </c>
      <c r="D214" s="6">
        <v>7.6116999999999999</v>
      </c>
      <c r="E214" s="6">
        <v>7.6741000000000001</v>
      </c>
      <c r="F214" s="6">
        <v>7.8207000000000004</v>
      </c>
      <c r="G214" s="6">
        <v>7.9995000000000003</v>
      </c>
      <c r="H214" s="6">
        <v>8.24</v>
      </c>
      <c r="I214" s="6">
        <v>9.1823999999999995</v>
      </c>
      <c r="J214" s="6">
        <v>9.9316999999999993</v>
      </c>
      <c r="K214" s="6">
        <v>10.448700000000001</v>
      </c>
      <c r="L214" s="6">
        <v>10.7235</v>
      </c>
      <c r="M214" s="6">
        <v>11.2279</v>
      </c>
      <c r="N214" s="6">
        <v>11.479799999999999</v>
      </c>
      <c r="O214" s="6">
        <v>11.834</v>
      </c>
      <c r="P214" s="6">
        <v>11.994199999999999</v>
      </c>
      <c r="Q214" s="6"/>
    </row>
    <row r="215" spans="1:17">
      <c r="A215" s="5">
        <v>41775</v>
      </c>
      <c r="B215" s="5" t="str">
        <f t="shared" si="3"/>
        <v>2014 q2</v>
      </c>
      <c r="C215" s="6">
        <v>7.3348000000000004</v>
      </c>
      <c r="D215" s="6">
        <v>7.4273999999999996</v>
      </c>
      <c r="E215" s="6">
        <v>7.6184000000000003</v>
      </c>
      <c r="F215" s="6">
        <v>7.8943000000000003</v>
      </c>
      <c r="G215" s="6">
        <v>8.1621000000000006</v>
      </c>
      <c r="H215" s="6">
        <v>8.3865999999999996</v>
      </c>
      <c r="I215" s="6">
        <v>9.2756000000000007</v>
      </c>
      <c r="J215" s="6">
        <v>9.9565999999999999</v>
      </c>
      <c r="K215" s="6">
        <v>10.4819</v>
      </c>
      <c r="L215" s="6">
        <v>10.803699999999999</v>
      </c>
      <c r="M215" s="6">
        <v>11.3812</v>
      </c>
      <c r="N215" s="6">
        <v>11.520899999999999</v>
      </c>
      <c r="O215" s="6">
        <v>11.615</v>
      </c>
      <c r="P215" s="6">
        <v>11.3002</v>
      </c>
      <c r="Q215" s="6"/>
    </row>
    <row r="216" spans="1:17">
      <c r="A216" s="5">
        <v>41778</v>
      </c>
      <c r="B216" s="5" t="str">
        <f t="shared" si="3"/>
        <v>2014 q2</v>
      </c>
      <c r="C216" s="6">
        <v>7.3441000000000001</v>
      </c>
      <c r="D216" s="6">
        <v>7.4358000000000004</v>
      </c>
      <c r="E216" s="6">
        <v>7.6252000000000004</v>
      </c>
      <c r="F216" s="6">
        <v>7.8986999999999998</v>
      </c>
      <c r="G216" s="6">
        <v>8.1640999999999995</v>
      </c>
      <c r="H216" s="6">
        <v>8.3879999999999999</v>
      </c>
      <c r="I216" s="6">
        <v>9.2744</v>
      </c>
      <c r="J216" s="6">
        <v>9.9580000000000002</v>
      </c>
      <c r="K216" s="6">
        <v>10.488200000000001</v>
      </c>
      <c r="L216" s="6">
        <v>10.8163</v>
      </c>
      <c r="M216" s="6">
        <v>11.404299999999999</v>
      </c>
      <c r="N216" s="6">
        <v>11.5466</v>
      </c>
      <c r="O216" s="6">
        <v>11.636100000000001</v>
      </c>
      <c r="P216" s="6">
        <v>11.292</v>
      </c>
      <c r="Q216" s="6"/>
    </row>
    <row r="217" spans="1:17">
      <c r="A217" s="5">
        <v>41779</v>
      </c>
      <c r="B217" s="5" t="str">
        <f t="shared" si="3"/>
        <v>2014 q2</v>
      </c>
      <c r="C217" s="6">
        <v>7.2751999999999999</v>
      </c>
      <c r="D217" s="6">
        <v>7.3655999999999997</v>
      </c>
      <c r="E217" s="6">
        <v>7.5519999999999996</v>
      </c>
      <c r="F217" s="6">
        <v>7.8314000000000004</v>
      </c>
      <c r="G217" s="6">
        <v>8.0914999999999999</v>
      </c>
      <c r="H217" s="6">
        <v>8.3160000000000007</v>
      </c>
      <c r="I217" s="6">
        <v>9.2026000000000003</v>
      </c>
      <c r="J217" s="6">
        <v>9.8864000000000001</v>
      </c>
      <c r="K217" s="6">
        <v>10.416600000000001</v>
      </c>
      <c r="L217" s="6">
        <v>10.748100000000001</v>
      </c>
      <c r="M217" s="6">
        <v>11.3416</v>
      </c>
      <c r="N217" s="6">
        <v>11.5082</v>
      </c>
      <c r="O217" s="6">
        <v>11.641299999999999</v>
      </c>
      <c r="P217" s="6">
        <v>11.353899999999999</v>
      </c>
      <c r="Q217" s="6"/>
    </row>
    <row r="218" spans="1:17">
      <c r="A218" s="5">
        <v>41780</v>
      </c>
      <c r="B218" s="5" t="str">
        <f t="shared" si="3"/>
        <v>2014 q2</v>
      </c>
      <c r="C218" s="6">
        <v>7.2767999999999997</v>
      </c>
      <c r="D218" s="6">
        <v>7.3670999999999998</v>
      </c>
      <c r="E218" s="6">
        <v>7.5533999999999999</v>
      </c>
      <c r="F218" s="6">
        <v>7.8323999999999998</v>
      </c>
      <c r="G218" s="6">
        <v>8.0882000000000005</v>
      </c>
      <c r="H218" s="6">
        <v>8.3040000000000003</v>
      </c>
      <c r="I218" s="6">
        <v>9.1542999999999992</v>
      </c>
      <c r="J218" s="6">
        <v>9.7870000000000008</v>
      </c>
      <c r="K218" s="6">
        <v>10.2674</v>
      </c>
      <c r="L218" s="6">
        <v>10.5686</v>
      </c>
      <c r="M218" s="6">
        <v>11.1175</v>
      </c>
      <c r="N218" s="6">
        <v>11.388299999999999</v>
      </c>
      <c r="O218" s="6">
        <v>11.745799999999999</v>
      </c>
      <c r="P218" s="6">
        <v>11.8317</v>
      </c>
      <c r="Q218" s="6"/>
    </row>
    <row r="219" spans="1:17">
      <c r="A219" s="5">
        <v>41781</v>
      </c>
      <c r="B219" s="5" t="str">
        <f t="shared" si="3"/>
        <v>2014 q2</v>
      </c>
      <c r="C219" s="6">
        <v>7.2991999999999999</v>
      </c>
      <c r="D219" s="6">
        <v>7.3841999999999999</v>
      </c>
      <c r="E219" s="6">
        <v>7.5594999999999999</v>
      </c>
      <c r="F219" s="6">
        <v>7.8219000000000003</v>
      </c>
      <c r="G219" s="6">
        <v>8.0630000000000006</v>
      </c>
      <c r="H219" s="6">
        <v>8.2681000000000004</v>
      </c>
      <c r="I219" s="6">
        <v>9.0762999999999998</v>
      </c>
      <c r="J219" s="6">
        <v>9.6870999999999992</v>
      </c>
      <c r="K219" s="6">
        <v>10.1568</v>
      </c>
      <c r="L219" s="6">
        <v>10.4625</v>
      </c>
      <c r="M219" s="6">
        <v>11.022500000000001</v>
      </c>
      <c r="N219" s="6">
        <v>11.3399</v>
      </c>
      <c r="O219" s="6">
        <v>11.773300000000001</v>
      </c>
      <c r="P219" s="6">
        <v>11.930199999999999</v>
      </c>
      <c r="Q219" s="6"/>
    </row>
    <row r="220" spans="1:17">
      <c r="A220" s="5">
        <v>41782</v>
      </c>
      <c r="B220" s="5" t="str">
        <f t="shared" si="3"/>
        <v>2014 q2</v>
      </c>
      <c r="C220" s="6">
        <v>7.3105000000000002</v>
      </c>
      <c r="D220" s="6">
        <v>7.3930999999999996</v>
      </c>
      <c r="E220" s="6">
        <v>7.5637999999999996</v>
      </c>
      <c r="F220" s="6">
        <v>7.8192000000000004</v>
      </c>
      <c r="G220" s="6">
        <v>8.0569000000000006</v>
      </c>
      <c r="H220" s="6">
        <v>8.2645999999999997</v>
      </c>
      <c r="I220" s="6">
        <v>9.0841999999999992</v>
      </c>
      <c r="J220" s="6">
        <v>9.7262000000000004</v>
      </c>
      <c r="K220" s="6">
        <v>10.2326</v>
      </c>
      <c r="L220" s="6">
        <v>10.5647</v>
      </c>
      <c r="M220" s="6">
        <v>11.164300000000001</v>
      </c>
      <c r="N220" s="6">
        <v>11.4154</v>
      </c>
      <c r="O220" s="6">
        <v>11.696099999999999</v>
      </c>
      <c r="P220" s="6">
        <v>11.579599999999999</v>
      </c>
      <c r="Q220" s="6"/>
    </row>
    <row r="221" spans="1:17">
      <c r="A221" s="5">
        <v>41785</v>
      </c>
      <c r="B221" s="5" t="str">
        <f t="shared" si="3"/>
        <v>2014 q2</v>
      </c>
      <c r="C221" s="6">
        <v>7.319</v>
      </c>
      <c r="D221" s="6">
        <v>7.4039000000000001</v>
      </c>
      <c r="E221" s="6">
        <v>7.5791000000000004</v>
      </c>
      <c r="F221" s="6">
        <v>7.8407999999999998</v>
      </c>
      <c r="G221" s="6">
        <v>8.0807000000000002</v>
      </c>
      <c r="H221" s="6">
        <v>8.2885000000000009</v>
      </c>
      <c r="I221" s="6">
        <v>9.1073000000000004</v>
      </c>
      <c r="J221" s="6">
        <v>9.7385999999999999</v>
      </c>
      <c r="K221" s="6">
        <v>10.230700000000001</v>
      </c>
      <c r="L221" s="6">
        <v>10.551299999999999</v>
      </c>
      <c r="M221" s="6">
        <v>11.1326</v>
      </c>
      <c r="N221" s="6">
        <v>11.409700000000001</v>
      </c>
      <c r="O221" s="6">
        <v>11.7555</v>
      </c>
      <c r="P221" s="6">
        <v>11.7674</v>
      </c>
      <c r="Q221" s="6"/>
    </row>
    <row r="222" spans="1:17">
      <c r="A222" s="5">
        <v>41786</v>
      </c>
      <c r="B222" s="5" t="str">
        <f t="shared" si="3"/>
        <v>2014 q2</v>
      </c>
      <c r="C222" s="6">
        <v>7.2835999999999999</v>
      </c>
      <c r="D222" s="6">
        <v>7.3663999999999996</v>
      </c>
      <c r="E222" s="6">
        <v>7.5373999999999999</v>
      </c>
      <c r="F222" s="6">
        <v>7.7927999999999997</v>
      </c>
      <c r="G222" s="6">
        <v>8.0310000000000006</v>
      </c>
      <c r="H222" s="6">
        <v>8.2401999999999997</v>
      </c>
      <c r="I222" s="6">
        <v>9.0632000000000001</v>
      </c>
      <c r="J222" s="6">
        <v>9.7066999999999997</v>
      </c>
      <c r="K222" s="6">
        <v>10.212999999999999</v>
      </c>
      <c r="L222" s="6">
        <v>10.547599999999999</v>
      </c>
      <c r="M222" s="6">
        <v>11.151199999999999</v>
      </c>
      <c r="N222" s="6">
        <v>11.426500000000001</v>
      </c>
      <c r="O222" s="6">
        <v>11.7523</v>
      </c>
      <c r="P222" s="6">
        <v>11.6988</v>
      </c>
      <c r="Q222" s="6"/>
    </row>
    <row r="223" spans="1:17">
      <c r="A223" s="5">
        <v>41788</v>
      </c>
      <c r="B223" s="5" t="str">
        <f t="shared" si="3"/>
        <v>2014 q2</v>
      </c>
      <c r="C223" s="6">
        <v>7.2765000000000004</v>
      </c>
      <c r="D223" s="6">
        <v>7.3582999999999998</v>
      </c>
      <c r="E223" s="6">
        <v>7.5273000000000003</v>
      </c>
      <c r="F223" s="6">
        <v>7.7796000000000003</v>
      </c>
      <c r="G223" s="6">
        <v>8.0172000000000008</v>
      </c>
      <c r="H223" s="6">
        <v>8.2368000000000006</v>
      </c>
      <c r="I223" s="6">
        <v>9.0394000000000005</v>
      </c>
      <c r="J223" s="6">
        <v>9.6812000000000005</v>
      </c>
      <c r="K223" s="6">
        <v>10.1884</v>
      </c>
      <c r="L223" s="6">
        <v>10.526400000000001</v>
      </c>
      <c r="M223" s="6">
        <v>11.1355</v>
      </c>
      <c r="N223" s="6">
        <v>11.416700000000001</v>
      </c>
      <c r="O223" s="6">
        <v>11.7477</v>
      </c>
      <c r="P223" s="6">
        <v>11.6876</v>
      </c>
      <c r="Q223" s="6"/>
    </row>
    <row r="224" spans="1:17">
      <c r="A224" s="5">
        <v>41789</v>
      </c>
      <c r="B224" s="5" t="str">
        <f t="shared" si="3"/>
        <v>2014 q2</v>
      </c>
      <c r="C224" s="6">
        <v>7.2611999999999997</v>
      </c>
      <c r="D224" s="6">
        <v>7.3494999999999999</v>
      </c>
      <c r="E224" s="6">
        <v>7.5316000000000001</v>
      </c>
      <c r="F224" s="6">
        <v>7.8029999999999999</v>
      </c>
      <c r="G224" s="6">
        <v>8.0525000000000002</v>
      </c>
      <c r="H224" s="6">
        <v>8.2683999999999997</v>
      </c>
      <c r="I224" s="6">
        <v>9.1142000000000003</v>
      </c>
      <c r="J224" s="6">
        <v>9.7527000000000008</v>
      </c>
      <c r="K224" s="6">
        <v>10.240600000000001</v>
      </c>
      <c r="L224" s="6">
        <v>10.5533</v>
      </c>
      <c r="M224" s="6">
        <v>11.117100000000001</v>
      </c>
      <c r="N224" s="6">
        <v>11.3919</v>
      </c>
      <c r="O224" s="6">
        <v>11.7454</v>
      </c>
      <c r="P224" s="6">
        <v>11.8035</v>
      </c>
      <c r="Q224" s="6"/>
    </row>
    <row r="225" spans="1:17">
      <c r="A225" s="5">
        <v>41790</v>
      </c>
      <c r="B225" s="5" t="str">
        <f t="shared" si="3"/>
        <v>2014 q2</v>
      </c>
      <c r="C225" s="6">
        <v>7.2645999999999997</v>
      </c>
      <c r="D225" s="6">
        <v>7.3528000000000002</v>
      </c>
      <c r="E225" s="6">
        <v>7.5350000000000001</v>
      </c>
      <c r="F225" s="6">
        <v>7.8061999999999996</v>
      </c>
      <c r="G225" s="6">
        <v>8.0553000000000008</v>
      </c>
      <c r="H225" s="6">
        <v>8.2710000000000008</v>
      </c>
      <c r="I225" s="6">
        <v>9.1160999999999994</v>
      </c>
      <c r="J225" s="6">
        <v>9.7540999999999993</v>
      </c>
      <c r="K225" s="6">
        <v>10.241300000000001</v>
      </c>
      <c r="L225" s="6">
        <v>10.553900000000001</v>
      </c>
      <c r="M225" s="6">
        <v>11.116899999999999</v>
      </c>
      <c r="N225" s="6">
        <v>11.3917</v>
      </c>
      <c r="O225" s="6">
        <v>11.745200000000001</v>
      </c>
      <c r="P225" s="6">
        <v>11.803699999999999</v>
      </c>
      <c r="Q225" s="6"/>
    </row>
    <row r="226" spans="1:17">
      <c r="A226" s="5">
        <v>41792</v>
      </c>
      <c r="B226" s="5" t="str">
        <f t="shared" si="3"/>
        <v>2014 q2</v>
      </c>
      <c r="C226" s="6">
        <v>7.2598000000000003</v>
      </c>
      <c r="D226" s="6">
        <v>7.3494999999999999</v>
      </c>
      <c r="E226" s="6">
        <v>7.5347999999999997</v>
      </c>
      <c r="F226" s="6">
        <v>7.8102999999999998</v>
      </c>
      <c r="G226" s="6">
        <v>8.0607000000000006</v>
      </c>
      <c r="H226" s="6">
        <v>8.2751000000000001</v>
      </c>
      <c r="I226" s="6">
        <v>9.1130999999999993</v>
      </c>
      <c r="J226" s="6">
        <v>9.7323000000000004</v>
      </c>
      <c r="K226" s="6">
        <v>10.1996</v>
      </c>
      <c r="L226" s="6">
        <v>10.5002</v>
      </c>
      <c r="M226" s="6">
        <v>11.045299999999999</v>
      </c>
      <c r="N226" s="6">
        <v>11.356999999999999</v>
      </c>
      <c r="O226" s="6">
        <v>11.785299999999999</v>
      </c>
      <c r="P226" s="6">
        <v>11.957000000000001</v>
      </c>
      <c r="Q226" s="6"/>
    </row>
    <row r="227" spans="1:17">
      <c r="A227" s="5">
        <v>41793</v>
      </c>
      <c r="B227" s="5" t="str">
        <f t="shared" si="3"/>
        <v>2014 q2</v>
      </c>
      <c r="C227" s="6">
        <v>7.3574000000000002</v>
      </c>
      <c r="D227" s="6">
        <v>7.4164000000000003</v>
      </c>
      <c r="E227" s="6">
        <v>7.5381999999999998</v>
      </c>
      <c r="F227" s="6">
        <v>7.7271000000000001</v>
      </c>
      <c r="G227" s="6">
        <v>7.9455</v>
      </c>
      <c r="H227" s="6">
        <v>8.1638000000000002</v>
      </c>
      <c r="I227" s="6">
        <v>9.0340000000000007</v>
      </c>
      <c r="J227" s="6">
        <v>9.7370000000000001</v>
      </c>
      <c r="K227" s="6">
        <v>10.244400000000001</v>
      </c>
      <c r="L227" s="6">
        <v>10.539099999999999</v>
      </c>
      <c r="M227" s="6">
        <v>11.070399999999999</v>
      </c>
      <c r="N227" s="6">
        <v>11.352600000000001</v>
      </c>
      <c r="O227" s="6">
        <v>11.7463</v>
      </c>
      <c r="P227" s="6">
        <v>11.9259</v>
      </c>
      <c r="Q227" s="6"/>
    </row>
    <row r="228" spans="1:17">
      <c r="A228" s="5">
        <v>41794</v>
      </c>
      <c r="B228" s="5" t="str">
        <f t="shared" si="3"/>
        <v>2014 q2</v>
      </c>
      <c r="C228" s="6">
        <v>7.3895</v>
      </c>
      <c r="D228" s="6">
        <v>7.4414999999999996</v>
      </c>
      <c r="E228" s="6">
        <v>7.5490000000000004</v>
      </c>
      <c r="F228" s="6">
        <v>7.7167000000000003</v>
      </c>
      <c r="G228" s="6">
        <v>7.9124999999999996</v>
      </c>
      <c r="H228" s="6">
        <v>8.1085999999999991</v>
      </c>
      <c r="I228" s="6">
        <v>8.9245000000000001</v>
      </c>
      <c r="J228" s="6">
        <v>9.6188000000000002</v>
      </c>
      <c r="K228" s="6">
        <v>10.143800000000001</v>
      </c>
      <c r="L228" s="6">
        <v>10.465299999999999</v>
      </c>
      <c r="M228" s="6">
        <v>11.0457</v>
      </c>
      <c r="N228" s="6">
        <v>11.367800000000001</v>
      </c>
      <c r="O228" s="6">
        <v>11.8172</v>
      </c>
      <c r="P228" s="6">
        <v>12.0235</v>
      </c>
      <c r="Q228" s="6"/>
    </row>
    <row r="229" spans="1:17">
      <c r="A229" s="5">
        <v>41795</v>
      </c>
      <c r="B229" s="5" t="str">
        <f t="shared" si="3"/>
        <v>2014 q2</v>
      </c>
      <c r="C229" s="6">
        <v>7.4420000000000002</v>
      </c>
      <c r="D229" s="6">
        <v>7.4817</v>
      </c>
      <c r="E229" s="6">
        <v>7.5636000000000001</v>
      </c>
      <c r="F229" s="6">
        <v>7.6988000000000003</v>
      </c>
      <c r="G229" s="6">
        <v>7.8844000000000003</v>
      </c>
      <c r="H229" s="6">
        <v>8.0709</v>
      </c>
      <c r="I229" s="6">
        <v>8.9221000000000004</v>
      </c>
      <c r="J229" s="6">
        <v>9.6515000000000004</v>
      </c>
      <c r="K229" s="6">
        <v>10.191599999999999</v>
      </c>
      <c r="L229" s="6">
        <v>10.5114</v>
      </c>
      <c r="M229" s="6">
        <v>11.087</v>
      </c>
      <c r="N229" s="6">
        <v>11.395899999999999</v>
      </c>
      <c r="O229" s="6">
        <v>11.826499999999999</v>
      </c>
      <c r="P229" s="6">
        <v>12.023099999999999</v>
      </c>
      <c r="Q229" s="6"/>
    </row>
    <row r="230" spans="1:17">
      <c r="A230" s="5">
        <v>41796</v>
      </c>
      <c r="B230" s="5" t="str">
        <f t="shared" si="3"/>
        <v>2014 q2</v>
      </c>
      <c r="C230" s="6">
        <v>7.4401999999999999</v>
      </c>
      <c r="D230" s="6">
        <v>7.4816000000000003</v>
      </c>
      <c r="E230" s="6">
        <v>7.5670000000000002</v>
      </c>
      <c r="F230" s="6">
        <v>7.7053000000000003</v>
      </c>
      <c r="G230" s="6">
        <v>7.8821000000000003</v>
      </c>
      <c r="H230" s="6">
        <v>8.0601000000000003</v>
      </c>
      <c r="I230" s="6">
        <v>8.8621999999999996</v>
      </c>
      <c r="J230" s="6">
        <v>9.5703999999999994</v>
      </c>
      <c r="K230" s="6">
        <v>10.114599999999999</v>
      </c>
      <c r="L230" s="6">
        <v>10.4526</v>
      </c>
      <c r="M230" s="6">
        <v>11.0616</v>
      </c>
      <c r="N230" s="6">
        <v>11.4023</v>
      </c>
      <c r="O230" s="6">
        <v>11.8774</v>
      </c>
      <c r="P230" s="6">
        <v>12.095700000000001</v>
      </c>
      <c r="Q230" s="6"/>
    </row>
    <row r="231" spans="1:17">
      <c r="A231" s="5">
        <v>41799</v>
      </c>
      <c r="B231" s="5" t="str">
        <f t="shared" si="3"/>
        <v>2014 q2</v>
      </c>
      <c r="C231" s="6">
        <v>7.3720999999999997</v>
      </c>
      <c r="D231" s="6">
        <v>7.4292999999999996</v>
      </c>
      <c r="E231" s="6">
        <v>7.5473999999999997</v>
      </c>
      <c r="F231" s="6">
        <v>7.7290000000000001</v>
      </c>
      <c r="G231" s="6">
        <v>7.9260999999999999</v>
      </c>
      <c r="H231" s="6">
        <v>8.1233000000000004</v>
      </c>
      <c r="I231" s="6">
        <v>8.9093</v>
      </c>
      <c r="J231" s="6">
        <v>9.5830000000000002</v>
      </c>
      <c r="K231" s="6">
        <v>10.1053</v>
      </c>
      <c r="L231" s="6">
        <v>10.439500000000001</v>
      </c>
      <c r="M231" s="6">
        <v>11.0426</v>
      </c>
      <c r="N231" s="6">
        <v>11.3934</v>
      </c>
      <c r="O231" s="6">
        <v>11.882999999999999</v>
      </c>
      <c r="P231" s="6">
        <v>12.11</v>
      </c>
      <c r="Q231" s="6"/>
    </row>
    <row r="232" spans="1:17">
      <c r="A232" s="5">
        <v>41800</v>
      </c>
      <c r="B232" s="5" t="str">
        <f t="shared" si="3"/>
        <v>2014 q2</v>
      </c>
      <c r="C232" s="6">
        <v>7.2061000000000002</v>
      </c>
      <c r="D232" s="6">
        <v>7.2857000000000003</v>
      </c>
      <c r="E232" s="6">
        <v>7.4501999999999997</v>
      </c>
      <c r="F232" s="6">
        <v>7.6939000000000002</v>
      </c>
      <c r="G232" s="6">
        <v>7.9284999999999997</v>
      </c>
      <c r="H232" s="6">
        <v>8.1331000000000007</v>
      </c>
      <c r="I232" s="6">
        <v>8.9338999999999995</v>
      </c>
      <c r="J232" s="6">
        <v>9.5835000000000008</v>
      </c>
      <c r="K232" s="6">
        <v>10.1052</v>
      </c>
      <c r="L232" s="6">
        <v>10.4693</v>
      </c>
      <c r="M232" s="6">
        <v>11.1183</v>
      </c>
      <c r="N232" s="6">
        <v>11.442</v>
      </c>
      <c r="O232" s="6">
        <v>11.8142</v>
      </c>
      <c r="P232" s="6">
        <v>11.727499999999999</v>
      </c>
      <c r="Q232" s="6"/>
    </row>
    <row r="233" spans="1:17">
      <c r="A233" s="5">
        <v>41801</v>
      </c>
      <c r="B233" s="5" t="str">
        <f t="shared" si="3"/>
        <v>2014 q2</v>
      </c>
      <c r="C233" s="6">
        <v>7.2152000000000003</v>
      </c>
      <c r="D233" s="6">
        <v>7.2938000000000001</v>
      </c>
      <c r="E233" s="6">
        <v>7.4560000000000004</v>
      </c>
      <c r="F233" s="6">
        <v>7.6962999999999999</v>
      </c>
      <c r="G233" s="6">
        <v>7.9278000000000004</v>
      </c>
      <c r="H233" s="6">
        <v>8.1309000000000005</v>
      </c>
      <c r="I233" s="6">
        <v>8.9260999999999999</v>
      </c>
      <c r="J233" s="6">
        <v>9.5757999999999992</v>
      </c>
      <c r="K233" s="6">
        <v>10.1007</v>
      </c>
      <c r="L233" s="6">
        <v>10.470599999999999</v>
      </c>
      <c r="M233" s="6">
        <v>11.129099999999999</v>
      </c>
      <c r="N233" s="6">
        <v>11.4572</v>
      </c>
      <c r="O233" s="6">
        <v>11.825699999999999</v>
      </c>
      <c r="P233" s="6">
        <v>11.706799999999999</v>
      </c>
      <c r="Q233" s="6"/>
    </row>
    <row r="234" spans="1:17">
      <c r="A234" s="5">
        <v>41802</v>
      </c>
      <c r="B234" s="5" t="str">
        <f t="shared" si="3"/>
        <v>2014 q2</v>
      </c>
      <c r="C234" s="6">
        <v>7.2096999999999998</v>
      </c>
      <c r="D234" s="6">
        <v>7.2907999999999999</v>
      </c>
      <c r="E234" s="6">
        <v>7.4581</v>
      </c>
      <c r="F234" s="6">
        <v>7.7043999999999997</v>
      </c>
      <c r="G234" s="6">
        <v>7.9375</v>
      </c>
      <c r="H234" s="6">
        <v>8.1671999999999993</v>
      </c>
      <c r="I234" s="6">
        <v>8.9586000000000006</v>
      </c>
      <c r="J234" s="6">
        <v>9.6097999999999999</v>
      </c>
      <c r="K234" s="6">
        <v>10.1288</v>
      </c>
      <c r="L234" s="6">
        <v>10.4878</v>
      </c>
      <c r="M234" s="6">
        <v>11.1252</v>
      </c>
      <c r="N234" s="6">
        <v>11.435499999999999</v>
      </c>
      <c r="O234" s="6">
        <v>11.790800000000001</v>
      </c>
      <c r="P234" s="6">
        <v>11.705399999999999</v>
      </c>
      <c r="Q234" s="6"/>
    </row>
    <row r="235" spans="1:17">
      <c r="A235" s="5">
        <v>41803</v>
      </c>
      <c r="B235" s="5" t="str">
        <f t="shared" si="3"/>
        <v>2014 q2</v>
      </c>
      <c r="C235" s="6">
        <v>7.3464</v>
      </c>
      <c r="D235" s="6">
        <v>7.3939000000000004</v>
      </c>
      <c r="E235" s="6">
        <v>7.4919000000000002</v>
      </c>
      <c r="F235" s="6">
        <v>7.649</v>
      </c>
      <c r="G235" s="6">
        <v>7.8315999999999999</v>
      </c>
      <c r="H235" s="6">
        <v>8.0166000000000004</v>
      </c>
      <c r="I235" s="6">
        <v>8.8293999999999997</v>
      </c>
      <c r="J235" s="6">
        <v>9.5783000000000005</v>
      </c>
      <c r="K235" s="6">
        <v>10.1882</v>
      </c>
      <c r="L235" s="6">
        <v>10.602499999999999</v>
      </c>
      <c r="M235" s="6">
        <v>11.3482</v>
      </c>
      <c r="N235" s="6">
        <v>11.8072</v>
      </c>
      <c r="O235" s="6">
        <v>12.4473</v>
      </c>
      <c r="P235" s="6">
        <v>12.747999999999999</v>
      </c>
      <c r="Q235" s="6"/>
    </row>
    <row r="236" spans="1:17">
      <c r="A236" s="5">
        <v>41806</v>
      </c>
      <c r="B236" s="5" t="str">
        <f t="shared" si="3"/>
        <v>2014 q2</v>
      </c>
      <c r="C236" s="6">
        <v>7.2770999999999999</v>
      </c>
      <c r="D236" s="6">
        <v>7.3430999999999997</v>
      </c>
      <c r="E236" s="6">
        <v>7.4794999999999998</v>
      </c>
      <c r="F236" s="6">
        <v>7.6829999999999998</v>
      </c>
      <c r="G236" s="6">
        <v>7.8837999999999999</v>
      </c>
      <c r="H236" s="6">
        <v>8.0838000000000001</v>
      </c>
      <c r="I236" s="6">
        <v>8.8261000000000003</v>
      </c>
      <c r="J236" s="6">
        <v>9.4825999999999997</v>
      </c>
      <c r="K236" s="6">
        <v>10.0329</v>
      </c>
      <c r="L236" s="6">
        <v>10.4457</v>
      </c>
      <c r="M236" s="6">
        <v>11.1983</v>
      </c>
      <c r="N236" s="6">
        <v>11.7546</v>
      </c>
      <c r="O236" s="6">
        <v>12.5402</v>
      </c>
      <c r="P236" s="6">
        <v>12.9421</v>
      </c>
      <c r="Q236" s="6"/>
    </row>
    <row r="237" spans="1:17">
      <c r="A237" s="5">
        <v>41807</v>
      </c>
      <c r="B237" s="5" t="str">
        <f t="shared" si="3"/>
        <v>2014 q2</v>
      </c>
      <c r="C237" s="6">
        <v>7.1905000000000001</v>
      </c>
      <c r="D237" s="6">
        <v>7.2705000000000002</v>
      </c>
      <c r="E237" s="6">
        <v>7.4356999999999998</v>
      </c>
      <c r="F237" s="6">
        <v>7.6833999999999998</v>
      </c>
      <c r="G237" s="6">
        <v>7.9119000000000002</v>
      </c>
      <c r="H237" s="6">
        <v>8.1355000000000004</v>
      </c>
      <c r="I237" s="6">
        <v>8.9100999999999999</v>
      </c>
      <c r="J237" s="6">
        <v>9.5473999999999997</v>
      </c>
      <c r="K237" s="6">
        <v>10.062099999999999</v>
      </c>
      <c r="L237" s="6">
        <v>10.440300000000001</v>
      </c>
      <c r="M237" s="6">
        <v>11.1303</v>
      </c>
      <c r="N237" s="6">
        <v>11.6584</v>
      </c>
      <c r="O237" s="6">
        <v>12.409800000000001</v>
      </c>
      <c r="P237" s="6">
        <v>12.815</v>
      </c>
      <c r="Q237" s="6"/>
    </row>
    <row r="238" spans="1:17">
      <c r="A238" s="5">
        <v>41808</v>
      </c>
      <c r="B238" s="5" t="str">
        <f t="shared" si="3"/>
        <v>2014 q2</v>
      </c>
      <c r="C238" s="6">
        <v>7.2225000000000001</v>
      </c>
      <c r="D238" s="6">
        <v>7.2916999999999996</v>
      </c>
      <c r="E238" s="6">
        <v>7.4347000000000003</v>
      </c>
      <c r="F238" s="6">
        <v>7.6493000000000002</v>
      </c>
      <c r="G238" s="6">
        <v>7.8666999999999998</v>
      </c>
      <c r="H238" s="6">
        <v>8.0823999999999998</v>
      </c>
      <c r="I238" s="6">
        <v>8.8978000000000002</v>
      </c>
      <c r="J238" s="6">
        <v>9.6006999999999998</v>
      </c>
      <c r="K238" s="6">
        <v>10.1751</v>
      </c>
      <c r="L238" s="6">
        <v>10.6305</v>
      </c>
      <c r="M238" s="6">
        <v>11.255100000000001</v>
      </c>
      <c r="N238" s="6">
        <v>11.707000000000001</v>
      </c>
      <c r="O238" s="6">
        <v>12.337400000000001</v>
      </c>
      <c r="P238" s="6">
        <v>12.639099999999999</v>
      </c>
      <c r="Q238" s="6"/>
    </row>
    <row r="239" spans="1:17">
      <c r="A239" s="5">
        <v>41809</v>
      </c>
      <c r="B239" s="5" t="str">
        <f t="shared" si="3"/>
        <v>2014 q2</v>
      </c>
      <c r="C239" s="6">
        <v>7.1776</v>
      </c>
      <c r="D239" s="6">
        <v>7.2542</v>
      </c>
      <c r="E239" s="6">
        <v>7.4122000000000003</v>
      </c>
      <c r="F239" s="6">
        <v>7.6490999999999998</v>
      </c>
      <c r="G239" s="6">
        <v>7.8757000000000001</v>
      </c>
      <c r="H239" s="6">
        <v>8.0983000000000001</v>
      </c>
      <c r="I239" s="6">
        <v>8.9003999999999994</v>
      </c>
      <c r="J239" s="6">
        <v>9.5777999999999999</v>
      </c>
      <c r="K239" s="6">
        <v>10.131500000000001</v>
      </c>
      <c r="L239" s="6">
        <v>10.579800000000001</v>
      </c>
      <c r="M239" s="6">
        <v>11.2149</v>
      </c>
      <c r="N239" s="6">
        <v>11.7019</v>
      </c>
      <c r="O239" s="6">
        <v>12.3848</v>
      </c>
      <c r="P239" s="6">
        <v>12.7233</v>
      </c>
      <c r="Q239" s="6"/>
    </row>
    <row r="240" spans="1:17">
      <c r="A240" s="5">
        <v>41810</v>
      </c>
      <c r="B240" s="5" t="str">
        <f t="shared" si="3"/>
        <v>2014 q2</v>
      </c>
      <c r="C240" s="6">
        <v>7.2295999999999996</v>
      </c>
      <c r="D240" s="6">
        <v>7.2949999999999999</v>
      </c>
      <c r="E240" s="6">
        <v>7.4301000000000004</v>
      </c>
      <c r="F240" s="6">
        <v>7.6334</v>
      </c>
      <c r="G240" s="6">
        <v>7.8484999999999996</v>
      </c>
      <c r="H240" s="6">
        <v>8.0629000000000008</v>
      </c>
      <c r="I240" s="6">
        <v>8.8968000000000007</v>
      </c>
      <c r="J240" s="6">
        <v>9.6193000000000008</v>
      </c>
      <c r="K240" s="6">
        <v>10.1906</v>
      </c>
      <c r="L240" s="6">
        <v>10.5764</v>
      </c>
      <c r="M240" s="6">
        <v>11.266</v>
      </c>
      <c r="N240" s="6">
        <v>11.692399999999999</v>
      </c>
      <c r="O240" s="6">
        <v>12.285399999999999</v>
      </c>
      <c r="P240" s="6">
        <v>12.5649</v>
      </c>
      <c r="Q240" s="6"/>
    </row>
    <row r="241" spans="1:17">
      <c r="A241" s="5">
        <v>41813</v>
      </c>
      <c r="B241" s="5" t="str">
        <f t="shared" si="3"/>
        <v>2014 q2</v>
      </c>
      <c r="C241" s="6">
        <v>7.1673999999999998</v>
      </c>
      <c r="D241" s="6">
        <v>7.2458</v>
      </c>
      <c r="E241" s="6">
        <v>7.4077000000000002</v>
      </c>
      <c r="F241" s="6">
        <v>7.6501999999999999</v>
      </c>
      <c r="G241" s="6">
        <v>7.8853</v>
      </c>
      <c r="H241" s="6">
        <v>8.1020000000000003</v>
      </c>
      <c r="I241" s="6">
        <v>8.9469999999999992</v>
      </c>
      <c r="J241" s="6">
        <v>9.6404999999999994</v>
      </c>
      <c r="K241" s="6">
        <v>10.1874</v>
      </c>
      <c r="L241" s="6">
        <v>10.565200000000001</v>
      </c>
      <c r="M241" s="6">
        <v>11.242100000000001</v>
      </c>
      <c r="N241" s="6">
        <v>11.682600000000001</v>
      </c>
      <c r="O241" s="6">
        <v>12.296799999999999</v>
      </c>
      <c r="P241" s="6">
        <v>12.592599999999999</v>
      </c>
      <c r="Q241" s="6"/>
    </row>
    <row r="242" spans="1:17">
      <c r="A242" s="5">
        <v>41814</v>
      </c>
      <c r="B242" s="5" t="str">
        <f t="shared" si="3"/>
        <v>2014 q2</v>
      </c>
      <c r="C242" s="6">
        <v>7.2004999999999999</v>
      </c>
      <c r="D242" s="6">
        <v>7.2736999999999998</v>
      </c>
      <c r="E242" s="6">
        <v>7.4249999999999998</v>
      </c>
      <c r="F242" s="6">
        <v>7.6516999999999999</v>
      </c>
      <c r="G242" s="6">
        <v>7.8753000000000002</v>
      </c>
      <c r="H242" s="6">
        <v>8.0951000000000004</v>
      </c>
      <c r="I242" s="6">
        <v>8.9082000000000008</v>
      </c>
      <c r="J242" s="6">
        <v>9.5995000000000008</v>
      </c>
      <c r="K242" s="6">
        <v>10.1511</v>
      </c>
      <c r="L242" s="6">
        <v>10.537800000000001</v>
      </c>
      <c r="M242" s="6">
        <v>11.2296</v>
      </c>
      <c r="N242" s="6">
        <v>11.685700000000001</v>
      </c>
      <c r="O242" s="6">
        <v>12.321099999999999</v>
      </c>
      <c r="P242" s="6">
        <v>12.6282</v>
      </c>
      <c r="Q242" s="6"/>
    </row>
    <row r="243" spans="1:17">
      <c r="A243" s="5">
        <v>41815</v>
      </c>
      <c r="B243" s="5" t="str">
        <f t="shared" si="3"/>
        <v>2014 q2</v>
      </c>
      <c r="C243" s="6">
        <v>7.1925999999999997</v>
      </c>
      <c r="D243" s="6">
        <v>7.2706999999999997</v>
      </c>
      <c r="E243" s="6">
        <v>7.4318999999999997</v>
      </c>
      <c r="F243" s="6">
        <v>7.6722000000000001</v>
      </c>
      <c r="G243" s="6">
        <v>7.8978999999999999</v>
      </c>
      <c r="H243" s="6">
        <v>8.1164000000000005</v>
      </c>
      <c r="I243" s="6">
        <v>8.8844999999999992</v>
      </c>
      <c r="J243" s="6">
        <v>9.5223999999999993</v>
      </c>
      <c r="K243" s="6">
        <v>10.0509</v>
      </c>
      <c r="L243" s="6">
        <v>10.4876</v>
      </c>
      <c r="M243" s="6">
        <v>11.136900000000001</v>
      </c>
      <c r="N243" s="6">
        <v>11.694599999999999</v>
      </c>
      <c r="O243" s="6">
        <v>12.488099999999999</v>
      </c>
      <c r="P243" s="6">
        <v>12.9246</v>
      </c>
      <c r="Q243" s="6"/>
    </row>
    <row r="244" spans="1:17">
      <c r="A244" s="5">
        <v>41816</v>
      </c>
      <c r="B244" s="5" t="str">
        <f t="shared" si="3"/>
        <v>2014 q2</v>
      </c>
      <c r="C244" s="6">
        <v>7.2064000000000004</v>
      </c>
      <c r="D244" s="6">
        <v>7.2797999999999998</v>
      </c>
      <c r="E244" s="6">
        <v>7.4313000000000002</v>
      </c>
      <c r="F244" s="6">
        <v>7.6584000000000003</v>
      </c>
      <c r="G244" s="6">
        <v>7.8829000000000002</v>
      </c>
      <c r="H244" s="6">
        <v>8.1030999999999995</v>
      </c>
      <c r="I244" s="6">
        <v>8.9170999999999996</v>
      </c>
      <c r="J244" s="6">
        <v>9.6037999999999997</v>
      </c>
      <c r="K244" s="6">
        <v>10.1455</v>
      </c>
      <c r="L244" s="6">
        <v>10.520099999999999</v>
      </c>
      <c r="M244" s="6">
        <v>11.1876</v>
      </c>
      <c r="N244" s="6">
        <v>11.6182</v>
      </c>
      <c r="O244" s="6">
        <v>12.216900000000001</v>
      </c>
      <c r="P244" s="6">
        <v>12.5038</v>
      </c>
      <c r="Q244" s="6"/>
    </row>
    <row r="245" spans="1:17">
      <c r="A245" s="5">
        <v>41817</v>
      </c>
      <c r="B245" s="5" t="str">
        <f t="shared" si="3"/>
        <v>2014 q2</v>
      </c>
      <c r="C245" s="6">
        <v>7.2553000000000001</v>
      </c>
      <c r="D245" s="6">
        <v>7.3193000000000001</v>
      </c>
      <c r="E245" s="6">
        <v>7.4512999999999998</v>
      </c>
      <c r="F245" s="6">
        <v>7.6498999999999997</v>
      </c>
      <c r="G245" s="6">
        <v>7.8516000000000004</v>
      </c>
      <c r="H245" s="6">
        <v>8.0516000000000005</v>
      </c>
      <c r="I245" s="6">
        <v>8.82</v>
      </c>
      <c r="J245" s="6">
        <v>9.4976000000000003</v>
      </c>
      <c r="K245" s="6">
        <v>10.046900000000001</v>
      </c>
      <c r="L245" s="6">
        <v>10.4422</v>
      </c>
      <c r="M245" s="6">
        <v>11.1485</v>
      </c>
      <c r="N245" s="6">
        <v>11.6242</v>
      </c>
      <c r="O245" s="6">
        <v>12.286799999999999</v>
      </c>
      <c r="P245" s="6">
        <v>12.6089</v>
      </c>
      <c r="Q245" s="6"/>
    </row>
    <row r="246" spans="1:17">
      <c r="A246" s="5">
        <v>41820</v>
      </c>
      <c r="B246" s="5" t="str">
        <f t="shared" si="3"/>
        <v>2014 q2</v>
      </c>
      <c r="C246" s="6">
        <v>7.2144000000000004</v>
      </c>
      <c r="D246" s="6">
        <v>7.2876000000000003</v>
      </c>
      <c r="E246" s="6">
        <v>7.4386999999999999</v>
      </c>
      <c r="F246" s="6">
        <v>7.6646999999999998</v>
      </c>
      <c r="G246" s="6">
        <v>7.8852000000000002</v>
      </c>
      <c r="H246" s="6">
        <v>8.1006</v>
      </c>
      <c r="I246" s="6">
        <v>8.8919999999999995</v>
      </c>
      <c r="J246" s="6">
        <v>9.5660000000000007</v>
      </c>
      <c r="K246" s="6">
        <v>10.1043</v>
      </c>
      <c r="L246" s="6">
        <v>10.491</v>
      </c>
      <c r="M246" s="6">
        <v>11.1821</v>
      </c>
      <c r="N246" s="6">
        <v>11.654500000000001</v>
      </c>
      <c r="O246" s="6">
        <v>12.3133</v>
      </c>
      <c r="P246" s="6">
        <v>12.636799999999999</v>
      </c>
      <c r="Q246" s="6"/>
    </row>
    <row r="247" spans="1:17">
      <c r="A247" s="5">
        <v>41821</v>
      </c>
      <c r="B247" s="5" t="str">
        <f t="shared" si="3"/>
        <v>2014 q3</v>
      </c>
      <c r="C247" s="6">
        <v>7.1113</v>
      </c>
      <c r="D247" s="6">
        <v>7.1954000000000002</v>
      </c>
      <c r="E247" s="6">
        <v>7.3688000000000002</v>
      </c>
      <c r="F247" s="6">
        <v>7.6265000000000001</v>
      </c>
      <c r="G247" s="6">
        <v>7.8712</v>
      </c>
      <c r="H247" s="6">
        <v>8.1062999999999992</v>
      </c>
      <c r="I247" s="6">
        <v>8.9400999999999993</v>
      </c>
      <c r="J247" s="6">
        <v>9.6260999999999992</v>
      </c>
      <c r="K247" s="6">
        <v>10.169700000000001</v>
      </c>
      <c r="L247" s="6">
        <v>10.5601</v>
      </c>
      <c r="M247" s="6">
        <v>11.2575</v>
      </c>
      <c r="N247" s="6">
        <v>11.7476</v>
      </c>
      <c r="O247" s="6">
        <v>12.4322</v>
      </c>
      <c r="P247" s="6">
        <v>12.775399999999999</v>
      </c>
      <c r="Q247" s="6"/>
    </row>
    <row r="248" spans="1:17">
      <c r="A248" s="5">
        <v>41822</v>
      </c>
      <c r="B248" s="5" t="str">
        <f t="shared" si="3"/>
        <v>2014 q3</v>
      </c>
      <c r="C248" s="6">
        <v>7.1308999999999996</v>
      </c>
      <c r="D248" s="6">
        <v>7.2122000000000002</v>
      </c>
      <c r="E248" s="6">
        <v>7.3799000000000001</v>
      </c>
      <c r="F248" s="6">
        <v>7.6292</v>
      </c>
      <c r="G248" s="6">
        <v>7.8672000000000004</v>
      </c>
      <c r="H248" s="6">
        <v>8.0963999999999992</v>
      </c>
      <c r="I248" s="6">
        <v>8.9168000000000003</v>
      </c>
      <c r="J248" s="6">
        <v>9.5991</v>
      </c>
      <c r="K248" s="6">
        <v>10.1441</v>
      </c>
      <c r="L248" s="6">
        <v>10.5396</v>
      </c>
      <c r="M248" s="6">
        <v>11.246</v>
      </c>
      <c r="N248" s="6">
        <v>11.748200000000001</v>
      </c>
      <c r="O248" s="6">
        <v>12.45</v>
      </c>
      <c r="P248" s="6">
        <v>12.8034</v>
      </c>
      <c r="Q248" s="6"/>
    </row>
    <row r="249" spans="1:17">
      <c r="A249" s="5">
        <v>41823</v>
      </c>
      <c r="B249" s="5" t="str">
        <f t="shared" si="3"/>
        <v>2014 q3</v>
      </c>
      <c r="C249" s="6">
        <v>7.1238999999999999</v>
      </c>
      <c r="D249" s="6">
        <v>7.2073</v>
      </c>
      <c r="E249" s="6">
        <v>7.3795999999999999</v>
      </c>
      <c r="F249" s="6">
        <v>7.6349999999999998</v>
      </c>
      <c r="G249" s="6">
        <v>7.8766999999999996</v>
      </c>
      <c r="H249" s="6">
        <v>8.1079000000000008</v>
      </c>
      <c r="I249" s="6">
        <v>8.9251000000000005</v>
      </c>
      <c r="J249" s="6">
        <v>9.5954999999999995</v>
      </c>
      <c r="K249" s="6">
        <v>10.1272</v>
      </c>
      <c r="L249" s="6">
        <v>10.5122</v>
      </c>
      <c r="M249" s="6">
        <v>11.200100000000001</v>
      </c>
      <c r="N249" s="6">
        <v>11.6935</v>
      </c>
      <c r="O249" s="6">
        <v>12.383800000000001</v>
      </c>
      <c r="P249" s="6">
        <v>12.734500000000001</v>
      </c>
      <c r="Q249" s="6"/>
    </row>
    <row r="250" spans="1:17">
      <c r="A250" s="5">
        <v>41824</v>
      </c>
      <c r="B250" s="5" t="str">
        <f t="shared" si="3"/>
        <v>2014 q3</v>
      </c>
      <c r="C250" s="6">
        <v>7.1414999999999997</v>
      </c>
      <c r="D250" s="6">
        <v>7.2215999999999996</v>
      </c>
      <c r="E250" s="6">
        <v>7.3872</v>
      </c>
      <c r="F250" s="6">
        <v>7.6337000000000002</v>
      </c>
      <c r="G250" s="6">
        <v>7.8723999999999998</v>
      </c>
      <c r="H250" s="6">
        <v>8.1029</v>
      </c>
      <c r="I250" s="6">
        <v>8.9382999999999999</v>
      </c>
      <c r="J250" s="6">
        <v>9.6325000000000003</v>
      </c>
      <c r="K250" s="6">
        <v>10.1782</v>
      </c>
      <c r="L250" s="6">
        <v>10.5626</v>
      </c>
      <c r="M250" s="6">
        <v>11.2439</v>
      </c>
      <c r="N250" s="6">
        <v>11.698499999999999</v>
      </c>
      <c r="O250" s="6">
        <v>12.329800000000001</v>
      </c>
      <c r="P250" s="6">
        <v>12.636799999999999</v>
      </c>
      <c r="Q250" s="6"/>
    </row>
    <row r="251" spans="1:17">
      <c r="A251" s="5">
        <v>41827</v>
      </c>
      <c r="B251" s="5" t="str">
        <f t="shared" si="3"/>
        <v>2014 q3</v>
      </c>
      <c r="C251" s="6">
        <v>7.1631999999999998</v>
      </c>
      <c r="D251" s="6">
        <v>7.2398999999999996</v>
      </c>
      <c r="E251" s="6">
        <v>7.3982000000000001</v>
      </c>
      <c r="F251" s="6">
        <v>7.6342999999999996</v>
      </c>
      <c r="G251" s="6">
        <v>7.8648999999999996</v>
      </c>
      <c r="H251" s="6">
        <v>8.0884</v>
      </c>
      <c r="I251" s="6">
        <v>8.9085000000000001</v>
      </c>
      <c r="J251" s="6">
        <v>9.5993999999999993</v>
      </c>
      <c r="K251" s="6">
        <v>10.148099999999999</v>
      </c>
      <c r="L251" s="6">
        <v>10.539</v>
      </c>
      <c r="M251" s="6">
        <v>11.231999999999999</v>
      </c>
      <c r="N251" s="6">
        <v>11.7004</v>
      </c>
      <c r="O251" s="6">
        <v>12.3508</v>
      </c>
      <c r="P251" s="6">
        <v>12.6685</v>
      </c>
      <c r="Q251" s="6"/>
    </row>
    <row r="252" spans="1:17">
      <c r="A252" s="5">
        <v>41828</v>
      </c>
      <c r="B252" s="5" t="str">
        <f t="shared" si="3"/>
        <v>2014 q3</v>
      </c>
      <c r="C252" s="6">
        <v>7.1340000000000003</v>
      </c>
      <c r="D252" s="6">
        <v>7.2069000000000001</v>
      </c>
      <c r="E252" s="6">
        <v>7.3575999999999997</v>
      </c>
      <c r="F252" s="6">
        <v>7.5841000000000003</v>
      </c>
      <c r="G252" s="6">
        <v>7.8120000000000003</v>
      </c>
      <c r="H252" s="6">
        <v>8.0397999999999996</v>
      </c>
      <c r="I252" s="6">
        <v>8.8811</v>
      </c>
      <c r="J252" s="6">
        <v>9.6003000000000007</v>
      </c>
      <c r="K252" s="6">
        <v>10.1646</v>
      </c>
      <c r="L252" s="6">
        <v>10.556900000000001</v>
      </c>
      <c r="M252" s="6">
        <v>11.247</v>
      </c>
      <c r="N252" s="6">
        <v>11.69</v>
      </c>
      <c r="O252" s="6">
        <v>12.302300000000001</v>
      </c>
      <c r="P252" s="6">
        <v>12.5945</v>
      </c>
      <c r="Q252" s="6"/>
    </row>
    <row r="253" spans="1:17">
      <c r="A253" s="5">
        <v>41829</v>
      </c>
      <c r="B253" s="5" t="str">
        <f t="shared" si="3"/>
        <v>2014 q3</v>
      </c>
      <c r="C253" s="6">
        <v>7.1378000000000004</v>
      </c>
      <c r="D253" s="6">
        <v>7.21</v>
      </c>
      <c r="E253" s="6">
        <v>7.3590999999999998</v>
      </c>
      <c r="F253" s="6">
        <v>7.5833000000000004</v>
      </c>
      <c r="G253" s="6">
        <v>7.8085000000000004</v>
      </c>
      <c r="H253" s="6">
        <v>8.0335999999999999</v>
      </c>
      <c r="I253" s="6">
        <v>8.8665000000000003</v>
      </c>
      <c r="J253" s="6">
        <v>9.5815000000000001</v>
      </c>
      <c r="K253" s="6">
        <v>10.162000000000001</v>
      </c>
      <c r="L253" s="6">
        <v>10.617699999999999</v>
      </c>
      <c r="M253" s="6">
        <v>11.2379</v>
      </c>
      <c r="N253" s="6">
        <v>11.6906</v>
      </c>
      <c r="O253" s="6">
        <v>12.3162</v>
      </c>
      <c r="P253" s="6">
        <v>12.616199999999999</v>
      </c>
      <c r="Q253" s="6"/>
    </row>
    <row r="254" spans="1:17">
      <c r="A254" s="5">
        <v>41830</v>
      </c>
      <c r="B254" s="5" t="str">
        <f t="shared" si="3"/>
        <v>2014 q3</v>
      </c>
      <c r="C254" s="6">
        <v>7.1341999999999999</v>
      </c>
      <c r="D254" s="6">
        <v>7.2070999999999996</v>
      </c>
      <c r="E254" s="6">
        <v>7.3575999999999997</v>
      </c>
      <c r="F254" s="6">
        <v>7.5833000000000004</v>
      </c>
      <c r="G254" s="6">
        <v>7.8087</v>
      </c>
      <c r="H254" s="6">
        <v>8.0336999999999996</v>
      </c>
      <c r="I254" s="6">
        <v>8.8612000000000002</v>
      </c>
      <c r="J254" s="6">
        <v>9.5716000000000001</v>
      </c>
      <c r="K254" s="6">
        <v>10.1342</v>
      </c>
      <c r="L254" s="6">
        <v>10.5326</v>
      </c>
      <c r="M254" s="6">
        <v>11.233599999999999</v>
      </c>
      <c r="N254" s="6">
        <v>11.696</v>
      </c>
      <c r="O254" s="6">
        <v>12.3355</v>
      </c>
      <c r="P254" s="6">
        <v>12.6439</v>
      </c>
      <c r="Q254" s="6"/>
    </row>
    <row r="255" spans="1:17">
      <c r="A255" s="5">
        <v>41831</v>
      </c>
      <c r="B255" s="5" t="str">
        <f t="shared" si="3"/>
        <v>2014 q3</v>
      </c>
      <c r="C255" s="6">
        <v>7.1635</v>
      </c>
      <c r="D255" s="6">
        <v>7.2304000000000004</v>
      </c>
      <c r="E255" s="6">
        <v>7.3684000000000003</v>
      </c>
      <c r="F255" s="6">
        <v>7.5765000000000002</v>
      </c>
      <c r="G255" s="6">
        <v>7.7870999999999997</v>
      </c>
      <c r="H255" s="6">
        <v>7.9974999999999996</v>
      </c>
      <c r="I255" s="6">
        <v>8.7979000000000003</v>
      </c>
      <c r="J255" s="6">
        <v>9.5079999999999991</v>
      </c>
      <c r="K255" s="6">
        <v>10.089</v>
      </c>
      <c r="L255" s="6">
        <v>10.5168</v>
      </c>
      <c r="M255" s="6">
        <v>11.2728</v>
      </c>
      <c r="N255" s="6">
        <v>11.799099999999999</v>
      </c>
      <c r="O255" s="6">
        <v>12.529</v>
      </c>
      <c r="P255" s="6">
        <v>12.888400000000001</v>
      </c>
      <c r="Q255" s="6"/>
    </row>
    <row r="256" spans="1:17">
      <c r="A256" s="5">
        <v>41834</v>
      </c>
      <c r="B256" s="5" t="str">
        <f t="shared" si="3"/>
        <v>2014 q3</v>
      </c>
      <c r="C256" s="6">
        <v>7.1967999999999996</v>
      </c>
      <c r="D256" s="6">
        <v>7.2553999999999998</v>
      </c>
      <c r="E256" s="6">
        <v>7.3762999999999996</v>
      </c>
      <c r="F256" s="6">
        <v>7.5628000000000002</v>
      </c>
      <c r="G256" s="6">
        <v>7.7619999999999996</v>
      </c>
      <c r="H256" s="6">
        <v>7.9615999999999998</v>
      </c>
      <c r="I256" s="6">
        <v>8.7720000000000002</v>
      </c>
      <c r="J256" s="6">
        <v>9.5091999999999999</v>
      </c>
      <c r="K256" s="6">
        <v>10.1058</v>
      </c>
      <c r="L256" s="6">
        <v>10.538500000000001</v>
      </c>
      <c r="M256" s="6">
        <v>11.2989</v>
      </c>
      <c r="N256" s="6">
        <v>11.804600000000001</v>
      </c>
      <c r="O256" s="6">
        <v>12.503299999999999</v>
      </c>
      <c r="P256" s="6">
        <v>12.8399</v>
      </c>
      <c r="Q256" s="6"/>
    </row>
    <row r="257" spans="1:17">
      <c r="A257" s="5">
        <v>41835</v>
      </c>
      <c r="B257" s="5" t="str">
        <f t="shared" si="3"/>
        <v>2014 q3</v>
      </c>
      <c r="C257" s="6">
        <v>7.2835999999999999</v>
      </c>
      <c r="D257" s="6">
        <v>7.3163999999999998</v>
      </c>
      <c r="E257" s="6">
        <v>7.3841000000000001</v>
      </c>
      <c r="F257" s="6">
        <v>7.5050999999999997</v>
      </c>
      <c r="G257" s="6">
        <v>7.6683000000000003</v>
      </c>
      <c r="H257" s="6">
        <v>7.8723999999999998</v>
      </c>
      <c r="I257" s="6">
        <v>8.7767999999999997</v>
      </c>
      <c r="J257" s="6">
        <v>9.6091999999999995</v>
      </c>
      <c r="K257" s="6">
        <v>10.250999999999999</v>
      </c>
      <c r="L257" s="6">
        <v>10.674200000000001</v>
      </c>
      <c r="M257" s="6">
        <v>11.4064</v>
      </c>
      <c r="N257" s="6">
        <v>11.833399999999999</v>
      </c>
      <c r="O257" s="6">
        <v>12.418699999999999</v>
      </c>
      <c r="P257" s="6">
        <v>12.690300000000001</v>
      </c>
      <c r="Q257" s="6"/>
    </row>
    <row r="258" spans="1:17">
      <c r="A258" s="5">
        <v>41836</v>
      </c>
      <c r="B258" s="5" t="str">
        <f t="shared" si="3"/>
        <v>2014 q3</v>
      </c>
      <c r="C258" s="6">
        <v>7.2416</v>
      </c>
      <c r="D258" s="6">
        <v>7.2840999999999996</v>
      </c>
      <c r="E258" s="6">
        <v>7.3718000000000004</v>
      </c>
      <c r="F258" s="6">
        <v>7.5175999999999998</v>
      </c>
      <c r="G258" s="6">
        <v>7.6924999999999999</v>
      </c>
      <c r="H258" s="6">
        <v>7.8956</v>
      </c>
      <c r="I258" s="6">
        <v>8.7583000000000002</v>
      </c>
      <c r="J258" s="6">
        <v>9.5497999999999994</v>
      </c>
      <c r="K258" s="6">
        <v>10.184100000000001</v>
      </c>
      <c r="L258" s="6">
        <v>10.669600000000001</v>
      </c>
      <c r="M258" s="6">
        <v>11.3011</v>
      </c>
      <c r="N258" s="6">
        <v>11.735200000000001</v>
      </c>
      <c r="O258" s="6">
        <v>12.3307</v>
      </c>
      <c r="P258" s="6">
        <v>12.6088</v>
      </c>
      <c r="Q258" s="6"/>
    </row>
    <row r="259" spans="1:17">
      <c r="A259" s="5">
        <v>41837</v>
      </c>
      <c r="B259" s="5" t="str">
        <f t="shared" ref="B259:B322" si="4">YEAR(A259)&amp;" q"&amp;ROUNDUP(MONTH(A259)/3,0)</f>
        <v>2014 q3</v>
      </c>
      <c r="C259" s="6">
        <v>7.3108000000000004</v>
      </c>
      <c r="D259" s="6">
        <v>7.3375000000000004</v>
      </c>
      <c r="E259" s="6">
        <v>7.3926999999999996</v>
      </c>
      <c r="F259" s="6">
        <v>7.5019999999999998</v>
      </c>
      <c r="G259" s="6">
        <v>7.6641000000000004</v>
      </c>
      <c r="H259" s="6">
        <v>7.8760000000000003</v>
      </c>
      <c r="I259" s="6">
        <v>8.8162000000000003</v>
      </c>
      <c r="J259" s="6">
        <v>9.6599000000000004</v>
      </c>
      <c r="K259" s="6">
        <v>10.286300000000001</v>
      </c>
      <c r="L259" s="6">
        <v>10.6829</v>
      </c>
      <c r="M259" s="6">
        <v>11.365399999999999</v>
      </c>
      <c r="N259" s="6">
        <v>11.7478</v>
      </c>
      <c r="O259" s="6">
        <v>12.2712</v>
      </c>
      <c r="P259" s="6">
        <v>12.5124</v>
      </c>
      <c r="Q259" s="6"/>
    </row>
    <row r="260" spans="1:17">
      <c r="A260" s="5">
        <v>41838</v>
      </c>
      <c r="B260" s="5" t="str">
        <f t="shared" si="4"/>
        <v>2014 q3</v>
      </c>
      <c r="C260" s="6">
        <v>7.3047000000000004</v>
      </c>
      <c r="D260" s="6">
        <v>7.3331</v>
      </c>
      <c r="E260" s="6">
        <v>7.3917000000000002</v>
      </c>
      <c r="F260" s="6">
        <v>7.5061999999999998</v>
      </c>
      <c r="G260" s="6">
        <v>7.6715999999999998</v>
      </c>
      <c r="H260" s="6">
        <v>7.8849999999999998</v>
      </c>
      <c r="I260" s="6">
        <v>8.8242999999999991</v>
      </c>
      <c r="J260" s="6">
        <v>9.6653000000000002</v>
      </c>
      <c r="K260" s="6">
        <v>10.2896</v>
      </c>
      <c r="L260" s="6">
        <v>10.686</v>
      </c>
      <c r="M260" s="6">
        <v>11.3673</v>
      </c>
      <c r="N260" s="6">
        <v>11.7499</v>
      </c>
      <c r="O260" s="6">
        <v>12.2735</v>
      </c>
      <c r="P260" s="6">
        <v>12.514900000000001</v>
      </c>
      <c r="Q260" s="6"/>
    </row>
    <row r="261" spans="1:17">
      <c r="A261" s="5">
        <v>41841</v>
      </c>
      <c r="B261" s="5" t="str">
        <f t="shared" si="4"/>
        <v>2014 q3</v>
      </c>
      <c r="C261" s="6">
        <v>7.3627000000000002</v>
      </c>
      <c r="D261" s="6">
        <v>7.3776000000000002</v>
      </c>
      <c r="E261" s="6">
        <v>7.4084000000000003</v>
      </c>
      <c r="F261" s="6">
        <v>7.4901</v>
      </c>
      <c r="G261" s="6">
        <v>7.6379000000000001</v>
      </c>
      <c r="H261" s="6">
        <v>7.8475000000000001</v>
      </c>
      <c r="I261" s="6">
        <v>8.8021999999999991</v>
      </c>
      <c r="J261" s="6">
        <v>9.6552000000000007</v>
      </c>
      <c r="K261" s="6">
        <v>10.275700000000001</v>
      </c>
      <c r="L261" s="6">
        <v>10.66</v>
      </c>
      <c r="M261" s="6">
        <v>11.3187</v>
      </c>
      <c r="N261" s="6">
        <v>11.680300000000001</v>
      </c>
      <c r="O261" s="6">
        <v>12.1745</v>
      </c>
      <c r="P261" s="6">
        <v>12.4018</v>
      </c>
      <c r="Q261" s="6"/>
    </row>
    <row r="262" spans="1:17">
      <c r="A262" s="5">
        <v>41842</v>
      </c>
      <c r="B262" s="5" t="str">
        <f t="shared" si="4"/>
        <v>2014 q3</v>
      </c>
      <c r="C262" s="6">
        <v>7.2145000000000001</v>
      </c>
      <c r="D262" s="6">
        <v>7.2545000000000002</v>
      </c>
      <c r="E262" s="6">
        <v>7.3372000000000002</v>
      </c>
      <c r="F262" s="6">
        <v>7.4626999999999999</v>
      </c>
      <c r="G262" s="6">
        <v>7.6535000000000002</v>
      </c>
      <c r="H262" s="6">
        <v>7.8768000000000002</v>
      </c>
      <c r="I262" s="6">
        <v>8.8236000000000008</v>
      </c>
      <c r="J262" s="6">
        <v>9.6538000000000004</v>
      </c>
      <c r="K262" s="6">
        <v>10.262700000000001</v>
      </c>
      <c r="L262" s="6">
        <v>10.648899999999999</v>
      </c>
      <c r="M262" s="6">
        <v>11.3095</v>
      </c>
      <c r="N262" s="6">
        <v>11.6806</v>
      </c>
      <c r="O262" s="6">
        <v>12.187200000000001</v>
      </c>
      <c r="P262" s="6">
        <v>12.420999999999999</v>
      </c>
      <c r="Q262" s="6"/>
    </row>
    <row r="263" spans="1:17">
      <c r="A263" s="5">
        <v>41843</v>
      </c>
      <c r="B263" s="5" t="str">
        <f t="shared" si="4"/>
        <v>2014 q3</v>
      </c>
      <c r="C263" s="6">
        <v>7.1844999999999999</v>
      </c>
      <c r="D263" s="6">
        <v>7.2290000000000001</v>
      </c>
      <c r="E263" s="6">
        <v>7.3209999999999997</v>
      </c>
      <c r="F263" s="6">
        <v>7.4607000000000001</v>
      </c>
      <c r="G263" s="6">
        <v>7.6555999999999997</v>
      </c>
      <c r="H263" s="6">
        <v>7.8783000000000003</v>
      </c>
      <c r="I263" s="6">
        <v>8.8145000000000007</v>
      </c>
      <c r="J263" s="6">
        <v>9.6440000000000001</v>
      </c>
      <c r="K263" s="6">
        <v>10.264099999999999</v>
      </c>
      <c r="L263" s="6">
        <v>10.6671</v>
      </c>
      <c r="M263" s="6">
        <v>11.3573</v>
      </c>
      <c r="N263" s="6">
        <v>11.754200000000001</v>
      </c>
      <c r="O263" s="6">
        <v>12.296200000000001</v>
      </c>
      <c r="P263" s="6">
        <v>12.5472</v>
      </c>
      <c r="Q263" s="6"/>
    </row>
    <row r="264" spans="1:17">
      <c r="A264" s="5">
        <v>41844</v>
      </c>
      <c r="B264" s="5" t="str">
        <f t="shared" si="4"/>
        <v>2014 q3</v>
      </c>
      <c r="C264" s="6">
        <v>7.1760999999999999</v>
      </c>
      <c r="D264" s="6">
        <v>7.2202999999999999</v>
      </c>
      <c r="E264" s="6">
        <v>7.3114999999999997</v>
      </c>
      <c r="F264" s="6">
        <v>7.4508999999999999</v>
      </c>
      <c r="G264" s="6">
        <v>7.6467000000000001</v>
      </c>
      <c r="H264" s="6">
        <v>7.8711000000000002</v>
      </c>
      <c r="I264" s="6">
        <v>8.8146000000000004</v>
      </c>
      <c r="J264" s="6">
        <v>9.6492000000000004</v>
      </c>
      <c r="K264" s="6">
        <v>10.2712</v>
      </c>
      <c r="L264" s="6">
        <v>10.6746</v>
      </c>
      <c r="M264" s="6">
        <v>11.3645</v>
      </c>
      <c r="N264" s="6">
        <v>11.760400000000001</v>
      </c>
      <c r="O264" s="6">
        <v>12.300700000000001</v>
      </c>
      <c r="P264" s="6">
        <v>12.550800000000001</v>
      </c>
      <c r="Q264" s="6"/>
    </row>
    <row r="265" spans="1:17">
      <c r="A265" s="5">
        <v>41845</v>
      </c>
      <c r="B265" s="5" t="str">
        <f t="shared" si="4"/>
        <v>2014 q3</v>
      </c>
      <c r="C265" s="6">
        <v>7.1761999999999997</v>
      </c>
      <c r="D265" s="6">
        <v>7.2206000000000001</v>
      </c>
      <c r="E265" s="6">
        <v>7.3122999999999996</v>
      </c>
      <c r="F265" s="6">
        <v>7.4530000000000003</v>
      </c>
      <c r="G265" s="6">
        <v>7.6512000000000002</v>
      </c>
      <c r="H265" s="6">
        <v>7.8773999999999997</v>
      </c>
      <c r="I265" s="6">
        <v>8.8170999999999999</v>
      </c>
      <c r="J265" s="6">
        <v>9.6341999999999999</v>
      </c>
      <c r="K265" s="6">
        <v>10.2324</v>
      </c>
      <c r="L265" s="6">
        <v>10.614000000000001</v>
      </c>
      <c r="M265" s="6">
        <v>11.264900000000001</v>
      </c>
      <c r="N265" s="6">
        <v>11.6327</v>
      </c>
      <c r="O265" s="6">
        <v>12.1343</v>
      </c>
      <c r="P265" s="6">
        <v>12.366</v>
      </c>
      <c r="Q265" s="6"/>
    </row>
    <row r="266" spans="1:17">
      <c r="A266" s="5">
        <v>41849</v>
      </c>
      <c r="B266" s="5" t="str">
        <f t="shared" si="4"/>
        <v>2014 q3</v>
      </c>
      <c r="C266" s="6">
        <v>7.0216000000000003</v>
      </c>
      <c r="D266" s="6">
        <v>7.0991999999999997</v>
      </c>
      <c r="E266" s="6">
        <v>7.2592999999999996</v>
      </c>
      <c r="F266" s="6">
        <v>7.4995000000000003</v>
      </c>
      <c r="G266" s="6">
        <v>7.7370999999999999</v>
      </c>
      <c r="H266" s="6">
        <v>7.9684999999999997</v>
      </c>
      <c r="I266" s="6">
        <v>8.8209999999999997</v>
      </c>
      <c r="J266" s="6">
        <v>9.5479000000000003</v>
      </c>
      <c r="K266" s="6">
        <v>10.14</v>
      </c>
      <c r="L266" s="6">
        <v>10.607100000000001</v>
      </c>
      <c r="M266" s="6">
        <v>11.2494</v>
      </c>
      <c r="N266" s="6">
        <v>11.7341</v>
      </c>
      <c r="O266" s="6">
        <v>12.400399999999999</v>
      </c>
      <c r="P266" s="6">
        <v>12.7248</v>
      </c>
      <c r="Q266" s="6"/>
    </row>
    <row r="267" spans="1:17">
      <c r="A267" s="5">
        <v>41850</v>
      </c>
      <c r="B267" s="5" t="str">
        <f t="shared" si="4"/>
        <v>2014 q3</v>
      </c>
      <c r="C267" s="6">
        <v>7.1801000000000004</v>
      </c>
      <c r="D267" s="6">
        <v>7.2249999999999996</v>
      </c>
      <c r="E267" s="6">
        <v>7.3175999999999997</v>
      </c>
      <c r="F267" s="6">
        <v>7.4630999999999998</v>
      </c>
      <c r="G267" s="6">
        <v>7.6665000000000001</v>
      </c>
      <c r="H267" s="6">
        <v>7.8982999999999999</v>
      </c>
      <c r="I267" s="6">
        <v>8.8559999999999999</v>
      </c>
      <c r="J267" s="6">
        <v>9.6853999999999996</v>
      </c>
      <c r="K267" s="6">
        <v>10.2889</v>
      </c>
      <c r="L267" s="6">
        <v>10.675000000000001</v>
      </c>
      <c r="M267" s="6">
        <v>11.329800000000001</v>
      </c>
      <c r="N267" s="6">
        <v>11.7003</v>
      </c>
      <c r="O267" s="6">
        <v>12.2044</v>
      </c>
      <c r="P267" s="6">
        <v>12.4374</v>
      </c>
      <c r="Q267" s="6"/>
    </row>
    <row r="268" spans="1:17">
      <c r="A268" s="5">
        <v>41851</v>
      </c>
      <c r="B268" s="5" t="str">
        <f t="shared" si="4"/>
        <v>2014 q3</v>
      </c>
      <c r="C268" s="6">
        <v>7.0255000000000001</v>
      </c>
      <c r="D268" s="6">
        <v>7.1059000000000001</v>
      </c>
      <c r="E268" s="6">
        <v>7.2717999999999998</v>
      </c>
      <c r="F268" s="6">
        <v>7.5202999999999998</v>
      </c>
      <c r="G268" s="6">
        <v>7.7638999999999996</v>
      </c>
      <c r="H268" s="6">
        <v>8.0008999999999997</v>
      </c>
      <c r="I268" s="6">
        <v>8.8544</v>
      </c>
      <c r="J268" s="6">
        <v>9.5737000000000005</v>
      </c>
      <c r="K268" s="6">
        <v>10.1531</v>
      </c>
      <c r="L268" s="6">
        <v>10.6058</v>
      </c>
      <c r="M268" s="6">
        <v>11.222799999999999</v>
      </c>
      <c r="N268" s="6">
        <v>11.6858</v>
      </c>
      <c r="O268" s="6">
        <v>12.320399999999999</v>
      </c>
      <c r="P268" s="6">
        <v>12.628299999999999</v>
      </c>
      <c r="Q268" s="6"/>
    </row>
    <row r="269" spans="1:17">
      <c r="A269" s="5">
        <v>41852</v>
      </c>
      <c r="B269" s="5" t="str">
        <f t="shared" si="4"/>
        <v>2014 q3</v>
      </c>
      <c r="C269" s="6">
        <v>7.1577000000000002</v>
      </c>
      <c r="D269" s="6">
        <v>7.2087000000000003</v>
      </c>
      <c r="E269" s="6">
        <v>7.3140000000000001</v>
      </c>
      <c r="F269" s="6">
        <v>7.4782000000000002</v>
      </c>
      <c r="G269" s="6">
        <v>7.6882000000000001</v>
      </c>
      <c r="H269" s="6">
        <v>7.9203000000000001</v>
      </c>
      <c r="I269" s="6">
        <v>8.8641000000000005</v>
      </c>
      <c r="J269" s="6">
        <v>9.6847999999999992</v>
      </c>
      <c r="K269" s="6">
        <v>10.2911</v>
      </c>
      <c r="L269" s="6">
        <v>10.6884</v>
      </c>
      <c r="M269" s="6">
        <v>11.361800000000001</v>
      </c>
      <c r="N269" s="6">
        <v>11.751899999999999</v>
      </c>
      <c r="O269" s="6">
        <v>12.282500000000001</v>
      </c>
      <c r="P269" s="6">
        <v>12.5288</v>
      </c>
      <c r="Q269" s="6"/>
    </row>
    <row r="270" spans="1:17">
      <c r="A270" s="5">
        <v>41853</v>
      </c>
      <c r="B270" s="5" t="str">
        <f t="shared" si="4"/>
        <v>2014 q3</v>
      </c>
      <c r="C270" s="6">
        <v>7.1287000000000003</v>
      </c>
      <c r="D270" s="6">
        <v>7.1867999999999999</v>
      </c>
      <c r="E270" s="6">
        <v>7.3064999999999998</v>
      </c>
      <c r="F270" s="6">
        <v>7.4911000000000003</v>
      </c>
      <c r="G270" s="6">
        <v>7.7081999999999997</v>
      </c>
      <c r="H270" s="6">
        <v>7.9397000000000002</v>
      </c>
      <c r="I270" s="6">
        <v>8.8579000000000008</v>
      </c>
      <c r="J270" s="6">
        <v>9.6511999999999993</v>
      </c>
      <c r="K270" s="6">
        <v>10.2422</v>
      </c>
      <c r="L270" s="6">
        <v>10.635999999999999</v>
      </c>
      <c r="M270" s="6">
        <v>11.3041</v>
      </c>
      <c r="N270" s="6">
        <v>11.6991</v>
      </c>
      <c r="O270" s="6">
        <v>12.2363</v>
      </c>
      <c r="P270" s="6">
        <v>12.486599999999999</v>
      </c>
      <c r="Q270" s="6"/>
    </row>
    <row r="271" spans="1:17">
      <c r="A271" s="5">
        <v>41855</v>
      </c>
      <c r="B271" s="5" t="str">
        <f t="shared" si="4"/>
        <v>2014 q3</v>
      </c>
      <c r="C271" s="6">
        <v>7.0937999999999999</v>
      </c>
      <c r="D271" s="6">
        <v>7.1599000000000004</v>
      </c>
      <c r="E271" s="6">
        <v>7.2962999999999996</v>
      </c>
      <c r="F271" s="6">
        <v>7.5030999999999999</v>
      </c>
      <c r="G271" s="6">
        <v>7.7225000000000001</v>
      </c>
      <c r="H271" s="6">
        <v>7.9451000000000001</v>
      </c>
      <c r="I271" s="6">
        <v>8.8012999999999995</v>
      </c>
      <c r="J271" s="6">
        <v>9.5436999999999994</v>
      </c>
      <c r="K271" s="6">
        <v>10.140499999999999</v>
      </c>
      <c r="L271" s="6">
        <v>10.598100000000001</v>
      </c>
      <c r="M271" s="6">
        <v>11.204000000000001</v>
      </c>
      <c r="N271" s="6">
        <v>11.638999999999999</v>
      </c>
      <c r="O271" s="6">
        <v>12.232100000000001</v>
      </c>
      <c r="P271" s="6">
        <v>12.513500000000001</v>
      </c>
      <c r="Q271" s="6"/>
    </row>
    <row r="272" spans="1:17">
      <c r="A272" s="5">
        <v>41856</v>
      </c>
      <c r="B272" s="5" t="str">
        <f t="shared" si="4"/>
        <v>2014 q3</v>
      </c>
      <c r="C272" s="6">
        <v>7.1589999999999998</v>
      </c>
      <c r="D272" s="6">
        <v>7.2149999999999999</v>
      </c>
      <c r="E272" s="6">
        <v>7.3305999999999996</v>
      </c>
      <c r="F272" s="6">
        <v>7.51</v>
      </c>
      <c r="G272" s="6">
        <v>7.7180999999999997</v>
      </c>
      <c r="H272" s="6">
        <v>7.9264000000000001</v>
      </c>
      <c r="I272" s="6">
        <v>8.7886000000000006</v>
      </c>
      <c r="J272" s="6">
        <v>9.5558999999999994</v>
      </c>
      <c r="K272" s="6">
        <v>10.150399999999999</v>
      </c>
      <c r="L272" s="6">
        <v>10.5669</v>
      </c>
      <c r="M272" s="6">
        <v>11.2752</v>
      </c>
      <c r="N272" s="6">
        <v>11.7188</v>
      </c>
      <c r="O272" s="6">
        <v>12.3226</v>
      </c>
      <c r="P272" s="6">
        <v>12.607699999999999</v>
      </c>
      <c r="Q272" s="6"/>
    </row>
    <row r="273" spans="1:17">
      <c r="A273" s="5">
        <v>41857</v>
      </c>
      <c r="B273" s="5" t="str">
        <f t="shared" si="4"/>
        <v>2014 q3</v>
      </c>
      <c r="C273" s="6">
        <v>7.2135999999999996</v>
      </c>
      <c r="D273" s="6">
        <v>7.2539999999999996</v>
      </c>
      <c r="E273" s="6">
        <v>7.3376000000000001</v>
      </c>
      <c r="F273" s="6">
        <v>7.4763999999999999</v>
      </c>
      <c r="G273" s="6">
        <v>7.6748000000000003</v>
      </c>
      <c r="H273" s="6">
        <v>7.8739999999999997</v>
      </c>
      <c r="I273" s="6">
        <v>8.7880000000000003</v>
      </c>
      <c r="J273" s="6">
        <v>9.6059000000000001</v>
      </c>
      <c r="K273" s="6">
        <v>10.2212</v>
      </c>
      <c r="L273" s="6">
        <v>10.6334</v>
      </c>
      <c r="M273" s="6">
        <v>11.3294</v>
      </c>
      <c r="N273" s="6">
        <v>11.7399</v>
      </c>
      <c r="O273" s="6">
        <v>12.2972</v>
      </c>
      <c r="P273" s="6">
        <v>12.5566</v>
      </c>
      <c r="Q273" s="6"/>
    </row>
    <row r="274" spans="1:17">
      <c r="A274" s="5">
        <v>41858</v>
      </c>
      <c r="B274" s="5" t="str">
        <f t="shared" si="4"/>
        <v>2014 q3</v>
      </c>
      <c r="C274" s="6">
        <v>7.1778000000000004</v>
      </c>
      <c r="D274" s="6">
        <v>7.2294999999999998</v>
      </c>
      <c r="E274" s="6">
        <v>7.3362999999999996</v>
      </c>
      <c r="F274" s="6">
        <v>7.5039999999999996</v>
      </c>
      <c r="G274" s="6">
        <v>7.7016999999999998</v>
      </c>
      <c r="H274" s="6">
        <v>7.9</v>
      </c>
      <c r="I274" s="6">
        <v>8.7443000000000008</v>
      </c>
      <c r="J274" s="6">
        <v>9.5165000000000006</v>
      </c>
      <c r="K274" s="6">
        <v>10.119999999999999</v>
      </c>
      <c r="L274" s="6">
        <v>10.555400000000001</v>
      </c>
      <c r="M274" s="6">
        <v>11.2964</v>
      </c>
      <c r="N274" s="6">
        <v>11.7729</v>
      </c>
      <c r="O274" s="6">
        <v>12.4217</v>
      </c>
      <c r="P274" s="6">
        <v>12.7301</v>
      </c>
      <c r="Q274" s="6"/>
    </row>
    <row r="275" spans="1:17">
      <c r="A275" s="5">
        <v>41859</v>
      </c>
      <c r="B275" s="5" t="str">
        <f t="shared" si="4"/>
        <v>2014 q3</v>
      </c>
      <c r="C275" s="6">
        <v>7.2262000000000004</v>
      </c>
      <c r="D275" s="6">
        <v>7.2624000000000004</v>
      </c>
      <c r="E275" s="6">
        <v>7.3371000000000004</v>
      </c>
      <c r="F275" s="6">
        <v>7.4687999999999999</v>
      </c>
      <c r="G275" s="6">
        <v>7.6755000000000004</v>
      </c>
      <c r="H275" s="6">
        <v>7.8840000000000003</v>
      </c>
      <c r="I275" s="6">
        <v>8.8542000000000005</v>
      </c>
      <c r="J275" s="6">
        <v>9.7036999999999995</v>
      </c>
      <c r="K275" s="6">
        <v>10.321400000000001</v>
      </c>
      <c r="L275" s="6">
        <v>10.721500000000001</v>
      </c>
      <c r="M275" s="6">
        <v>11.392899999999999</v>
      </c>
      <c r="N275" s="6">
        <v>11.7752</v>
      </c>
      <c r="O275" s="6">
        <v>12.293200000000001</v>
      </c>
      <c r="P275" s="6">
        <v>12.533099999999999</v>
      </c>
      <c r="Q275" s="6"/>
    </row>
    <row r="276" spans="1:17">
      <c r="A276" s="5">
        <v>41862</v>
      </c>
      <c r="B276" s="5" t="str">
        <f t="shared" si="4"/>
        <v>2014 q3</v>
      </c>
      <c r="C276" s="6">
        <v>7.2442000000000002</v>
      </c>
      <c r="D276" s="6">
        <v>7.2752999999999997</v>
      </c>
      <c r="E276" s="6">
        <v>7.3396999999999997</v>
      </c>
      <c r="F276" s="6">
        <v>7.4607000000000001</v>
      </c>
      <c r="G276" s="6">
        <v>7.6696999999999997</v>
      </c>
      <c r="H276" s="6">
        <v>7.8811999999999998</v>
      </c>
      <c r="I276" s="6">
        <v>8.8745999999999992</v>
      </c>
      <c r="J276" s="6">
        <v>9.7325999999999997</v>
      </c>
      <c r="K276" s="6">
        <v>10.3286</v>
      </c>
      <c r="L276" s="6">
        <v>10.707599999999999</v>
      </c>
      <c r="M276" s="6">
        <v>11.3414</v>
      </c>
      <c r="N276" s="6">
        <v>11.693300000000001</v>
      </c>
      <c r="O276" s="6">
        <v>12.169600000000001</v>
      </c>
      <c r="P276" s="6">
        <v>12.3895</v>
      </c>
      <c r="Q276" s="6"/>
    </row>
    <row r="277" spans="1:17">
      <c r="A277" s="5">
        <v>41863</v>
      </c>
      <c r="B277" s="5" t="str">
        <f t="shared" si="4"/>
        <v>2014 q3</v>
      </c>
      <c r="C277" s="6">
        <v>7.2228000000000003</v>
      </c>
      <c r="D277" s="6">
        <v>7.2587000000000002</v>
      </c>
      <c r="E277" s="6">
        <v>7.3327</v>
      </c>
      <c r="F277" s="6">
        <v>7.4641000000000002</v>
      </c>
      <c r="G277" s="6">
        <v>7.6563999999999997</v>
      </c>
      <c r="H277" s="6">
        <v>7.8940999999999999</v>
      </c>
      <c r="I277" s="6">
        <v>8.8665000000000003</v>
      </c>
      <c r="J277" s="6">
        <v>9.7185000000000006</v>
      </c>
      <c r="K277" s="6">
        <v>10.3337</v>
      </c>
      <c r="L277" s="6">
        <v>10.7323</v>
      </c>
      <c r="M277" s="6">
        <v>11.398</v>
      </c>
      <c r="N277" s="6">
        <v>11.776899999999999</v>
      </c>
      <c r="O277" s="6">
        <v>12.289199999999999</v>
      </c>
      <c r="P277" s="6">
        <v>12.5265</v>
      </c>
      <c r="Q277" s="6"/>
    </row>
    <row r="278" spans="1:17">
      <c r="A278" s="5">
        <v>41864</v>
      </c>
      <c r="B278" s="5" t="str">
        <f t="shared" si="4"/>
        <v>2014 q3</v>
      </c>
      <c r="C278" s="6">
        <v>7.2438000000000002</v>
      </c>
      <c r="D278" s="6">
        <v>7.2732000000000001</v>
      </c>
      <c r="E278" s="6">
        <v>7.3338999999999999</v>
      </c>
      <c r="F278" s="6">
        <v>7.4507000000000003</v>
      </c>
      <c r="G278" s="6">
        <v>7.6406999999999998</v>
      </c>
      <c r="H278" s="6">
        <v>7.8929</v>
      </c>
      <c r="I278" s="6">
        <v>8.8768999999999991</v>
      </c>
      <c r="J278" s="6">
        <v>9.7388999999999992</v>
      </c>
      <c r="K278" s="6">
        <v>10.334099999999999</v>
      </c>
      <c r="L278" s="6">
        <v>10.713800000000001</v>
      </c>
      <c r="M278" s="6">
        <v>11.345599999999999</v>
      </c>
      <c r="N278" s="6">
        <v>11.6967</v>
      </c>
      <c r="O278" s="6">
        <v>12.171200000000001</v>
      </c>
      <c r="P278" s="6">
        <v>12.3903</v>
      </c>
      <c r="Q278" s="6"/>
    </row>
    <row r="279" spans="1:17">
      <c r="A279" s="5">
        <v>41865</v>
      </c>
      <c r="B279" s="5" t="str">
        <f t="shared" si="4"/>
        <v>2014 q3</v>
      </c>
      <c r="C279" s="6">
        <v>7.2248999999999999</v>
      </c>
      <c r="D279" s="6">
        <v>7.2602000000000002</v>
      </c>
      <c r="E279" s="6">
        <v>7.3331999999999997</v>
      </c>
      <c r="F279" s="6">
        <v>7.4650999999999996</v>
      </c>
      <c r="G279" s="6">
        <v>7.6584000000000003</v>
      </c>
      <c r="H279" s="6">
        <v>7.9055</v>
      </c>
      <c r="I279" s="6">
        <v>8.8727</v>
      </c>
      <c r="J279" s="6">
        <v>9.7270000000000003</v>
      </c>
      <c r="K279" s="6">
        <v>10.3423</v>
      </c>
      <c r="L279" s="6">
        <v>10.7416</v>
      </c>
      <c r="M279" s="6">
        <v>11.406599999999999</v>
      </c>
      <c r="N279" s="6">
        <v>11.785399999999999</v>
      </c>
      <c r="O279" s="6">
        <v>12.297000000000001</v>
      </c>
      <c r="P279" s="6">
        <v>12.5341</v>
      </c>
      <c r="Q279" s="6"/>
    </row>
    <row r="280" spans="1:17">
      <c r="A280" s="5">
        <v>41866</v>
      </c>
      <c r="B280" s="5" t="str">
        <f t="shared" si="4"/>
        <v>2014 q3</v>
      </c>
      <c r="C280" s="6">
        <v>7.3859000000000004</v>
      </c>
      <c r="D280" s="6">
        <v>7.3662000000000001</v>
      </c>
      <c r="E280" s="6">
        <v>7.3257000000000003</v>
      </c>
      <c r="F280" s="6">
        <v>7.3189000000000002</v>
      </c>
      <c r="G280" s="6">
        <v>7.4528999999999996</v>
      </c>
      <c r="H280" s="6">
        <v>7.6908000000000003</v>
      </c>
      <c r="I280" s="6">
        <v>8.7536000000000005</v>
      </c>
      <c r="J280" s="6">
        <v>9.6893999999999991</v>
      </c>
      <c r="K280" s="6">
        <v>10.3287</v>
      </c>
      <c r="L280" s="6">
        <v>10.7188</v>
      </c>
      <c r="M280" s="6">
        <v>11.390599999999999</v>
      </c>
      <c r="N280" s="6">
        <v>11.8302</v>
      </c>
      <c r="O280" s="6">
        <v>12.182499999999999</v>
      </c>
      <c r="P280" s="6">
        <v>12.398899999999999</v>
      </c>
      <c r="Q280" s="6"/>
    </row>
    <row r="281" spans="1:17">
      <c r="A281" s="5">
        <v>41870</v>
      </c>
      <c r="B281" s="5" t="str">
        <f t="shared" si="4"/>
        <v>2014 q3</v>
      </c>
      <c r="C281" s="6">
        <v>7.2666000000000004</v>
      </c>
      <c r="D281" s="6">
        <v>7.2904999999999998</v>
      </c>
      <c r="E281" s="6">
        <v>7.3398000000000003</v>
      </c>
      <c r="F281" s="6">
        <v>7.4394</v>
      </c>
      <c r="G281" s="6">
        <v>7.6031000000000004</v>
      </c>
      <c r="H281" s="6">
        <v>7.8308999999999997</v>
      </c>
      <c r="I281" s="6">
        <v>8.7387999999999995</v>
      </c>
      <c r="J281" s="6">
        <v>9.5848999999999993</v>
      </c>
      <c r="K281" s="6">
        <v>10.216100000000001</v>
      </c>
      <c r="L281" s="6">
        <v>10.639900000000001</v>
      </c>
      <c r="M281" s="6">
        <v>11.3461</v>
      </c>
      <c r="N281" s="6">
        <v>11.7599</v>
      </c>
      <c r="O281" s="6">
        <v>12.3188</v>
      </c>
      <c r="P281" s="6">
        <v>12.578900000000001</v>
      </c>
      <c r="Q281" s="6"/>
    </row>
    <row r="282" spans="1:17">
      <c r="A282" s="5">
        <v>41871</v>
      </c>
      <c r="B282" s="5" t="str">
        <f t="shared" si="4"/>
        <v>2014 q3</v>
      </c>
      <c r="C282" s="6">
        <v>7.1607000000000003</v>
      </c>
      <c r="D282" s="6">
        <v>7.1989000000000001</v>
      </c>
      <c r="E282" s="6">
        <v>7.2777000000000003</v>
      </c>
      <c r="F282" s="6">
        <v>7.4196999999999997</v>
      </c>
      <c r="G282" s="6">
        <v>7.6124999999999998</v>
      </c>
      <c r="H282" s="6">
        <v>7.8502000000000001</v>
      </c>
      <c r="I282" s="6">
        <v>8.7837999999999994</v>
      </c>
      <c r="J282" s="6">
        <v>9.6204000000000001</v>
      </c>
      <c r="K282" s="6">
        <v>10.235300000000001</v>
      </c>
      <c r="L282" s="6">
        <v>10.6478</v>
      </c>
      <c r="M282" s="6">
        <v>11.3322</v>
      </c>
      <c r="N282" s="6">
        <v>11.734</v>
      </c>
      <c r="O282" s="6">
        <v>12.275700000000001</v>
      </c>
      <c r="P282" s="6">
        <v>12.528</v>
      </c>
      <c r="Q282" s="6"/>
    </row>
    <row r="283" spans="1:17">
      <c r="A283" s="5">
        <v>41872</v>
      </c>
      <c r="B283" s="5" t="str">
        <f t="shared" si="4"/>
        <v>2014 q3</v>
      </c>
      <c r="C283" s="6">
        <v>7.1862000000000004</v>
      </c>
      <c r="D283" s="6">
        <v>7.2168000000000001</v>
      </c>
      <c r="E283" s="6">
        <v>7.2798999999999996</v>
      </c>
      <c r="F283" s="6">
        <v>7.4025999999999996</v>
      </c>
      <c r="G283" s="6">
        <v>7.5838000000000001</v>
      </c>
      <c r="H283" s="6">
        <v>7.8181000000000003</v>
      </c>
      <c r="I283" s="6">
        <v>8.7429000000000006</v>
      </c>
      <c r="J283" s="6">
        <v>9.5873000000000008</v>
      </c>
      <c r="K283" s="6">
        <v>10.196300000000001</v>
      </c>
      <c r="L283" s="6">
        <v>10.6074</v>
      </c>
      <c r="M283" s="6">
        <v>11.288</v>
      </c>
      <c r="N283" s="6">
        <v>11.6854</v>
      </c>
      <c r="O283" s="6">
        <v>12.220700000000001</v>
      </c>
      <c r="P283" s="6">
        <v>12.4697</v>
      </c>
      <c r="Q283" s="6"/>
    </row>
    <row r="284" spans="1:17">
      <c r="A284" s="5">
        <v>41873</v>
      </c>
      <c r="B284" s="5" t="str">
        <f t="shared" si="4"/>
        <v>2014 q3</v>
      </c>
      <c r="C284" s="6">
        <v>7.1909000000000001</v>
      </c>
      <c r="D284" s="6">
        <v>7.2201000000000004</v>
      </c>
      <c r="E284" s="6">
        <v>7.2803000000000004</v>
      </c>
      <c r="F284" s="6">
        <v>7.4015000000000004</v>
      </c>
      <c r="G284" s="6">
        <v>7.5843999999999996</v>
      </c>
      <c r="H284" s="6">
        <v>7.8224999999999998</v>
      </c>
      <c r="I284" s="6">
        <v>8.7620000000000005</v>
      </c>
      <c r="J284" s="6">
        <v>9.6106999999999996</v>
      </c>
      <c r="K284" s="6">
        <v>10.228899999999999</v>
      </c>
      <c r="L284" s="6">
        <v>10.639900000000001</v>
      </c>
      <c r="M284" s="6">
        <v>11.319100000000001</v>
      </c>
      <c r="N284" s="6">
        <v>11.713200000000001</v>
      </c>
      <c r="O284" s="6">
        <v>12.2438</v>
      </c>
      <c r="P284" s="6">
        <v>12.490399999999999</v>
      </c>
      <c r="Q284" s="6"/>
    </row>
    <row r="285" spans="1:17">
      <c r="A285" s="5">
        <v>41874</v>
      </c>
      <c r="B285" s="5" t="str">
        <f t="shared" si="4"/>
        <v>2014 q3</v>
      </c>
      <c r="C285" s="6">
        <v>7.1818</v>
      </c>
      <c r="D285" s="6">
        <v>7.2146999999999997</v>
      </c>
      <c r="E285" s="6">
        <v>7.2824999999999998</v>
      </c>
      <c r="F285" s="6">
        <v>7.4116</v>
      </c>
      <c r="G285" s="6">
        <v>7.5938999999999997</v>
      </c>
      <c r="H285" s="6">
        <v>7.8250999999999999</v>
      </c>
      <c r="I285" s="6">
        <v>8.7402999999999995</v>
      </c>
      <c r="J285" s="6">
        <v>9.5780999999999992</v>
      </c>
      <c r="K285" s="6">
        <v>10.201599999999999</v>
      </c>
      <c r="L285" s="6">
        <v>10.6264</v>
      </c>
      <c r="M285" s="6">
        <v>11.329599999999999</v>
      </c>
      <c r="N285" s="6">
        <v>11.747999999999999</v>
      </c>
      <c r="O285" s="6">
        <v>12.311500000000001</v>
      </c>
      <c r="P285" s="6">
        <v>12.5745</v>
      </c>
      <c r="Q285" s="6"/>
    </row>
    <row r="286" spans="1:17">
      <c r="A286" s="5">
        <v>41876</v>
      </c>
      <c r="B286" s="5" t="str">
        <f t="shared" si="4"/>
        <v>2014 q3</v>
      </c>
      <c r="C286" s="6">
        <v>7.1150000000000002</v>
      </c>
      <c r="D286" s="6">
        <v>7.1685999999999996</v>
      </c>
      <c r="E286" s="6">
        <v>7.2790999999999997</v>
      </c>
      <c r="F286" s="6">
        <v>7.4560000000000004</v>
      </c>
      <c r="G286" s="6">
        <v>7.6532</v>
      </c>
      <c r="H286" s="6">
        <v>7.8670999999999998</v>
      </c>
      <c r="I286" s="6">
        <v>8.7065000000000001</v>
      </c>
      <c r="J286" s="6">
        <v>9.4723000000000006</v>
      </c>
      <c r="K286" s="6">
        <v>10.0634</v>
      </c>
      <c r="L286" s="6">
        <v>10.4986</v>
      </c>
      <c r="M286" s="6">
        <v>11.2614</v>
      </c>
      <c r="N286" s="6">
        <v>11.8513</v>
      </c>
      <c r="O286" s="6">
        <v>12.347300000000001</v>
      </c>
      <c r="P286" s="6">
        <v>12.655200000000001</v>
      </c>
      <c r="Q286" s="6"/>
    </row>
    <row r="287" spans="1:17">
      <c r="A287" s="5">
        <v>41877</v>
      </c>
      <c r="B287" s="5" t="str">
        <f t="shared" si="4"/>
        <v>2014 q3</v>
      </c>
      <c r="C287" s="6">
        <v>6.7854000000000001</v>
      </c>
      <c r="D287" s="6">
        <v>6.8747999999999996</v>
      </c>
      <c r="E287" s="6">
        <v>7.0594000000000001</v>
      </c>
      <c r="F287" s="6">
        <v>7.3346</v>
      </c>
      <c r="G287" s="6">
        <v>7.6036999999999999</v>
      </c>
      <c r="H287" s="6">
        <v>7.8541999999999996</v>
      </c>
      <c r="I287" s="6">
        <v>8.8010999999999999</v>
      </c>
      <c r="J287" s="6">
        <v>9.5765999999999991</v>
      </c>
      <c r="K287" s="6">
        <v>10.158799999999999</v>
      </c>
      <c r="L287" s="6">
        <v>10.5785</v>
      </c>
      <c r="M287" s="6">
        <v>11.279500000000001</v>
      </c>
      <c r="N287" s="6">
        <v>11.7431</v>
      </c>
      <c r="O287" s="6">
        <v>12.3698</v>
      </c>
      <c r="P287" s="6">
        <v>12.671799999999999</v>
      </c>
      <c r="Q287" s="6"/>
    </row>
    <row r="288" spans="1:17">
      <c r="A288" s="5">
        <v>41878</v>
      </c>
      <c r="B288" s="5" t="str">
        <f t="shared" si="4"/>
        <v>2014 q3</v>
      </c>
      <c r="C288" s="6">
        <v>6.7965</v>
      </c>
      <c r="D288" s="6">
        <v>6.8844000000000003</v>
      </c>
      <c r="E288" s="6">
        <v>7.0659000000000001</v>
      </c>
      <c r="F288" s="6">
        <v>7.3367000000000004</v>
      </c>
      <c r="G288" s="6">
        <v>7.6021000000000001</v>
      </c>
      <c r="H288" s="6">
        <v>7.8505000000000003</v>
      </c>
      <c r="I288" s="6">
        <v>8.7905999999999995</v>
      </c>
      <c r="J288" s="6">
        <v>9.5648</v>
      </c>
      <c r="K288" s="6">
        <v>10.148</v>
      </c>
      <c r="L288" s="6">
        <v>10.570399999999999</v>
      </c>
      <c r="M288" s="6">
        <v>11.275700000000001</v>
      </c>
      <c r="N288" s="6">
        <v>11.744400000000001</v>
      </c>
      <c r="O288" s="6">
        <v>12.378</v>
      </c>
      <c r="P288" s="6">
        <v>12.6838</v>
      </c>
      <c r="Q288" s="6"/>
    </row>
    <row r="289" spans="1:17">
      <c r="A289" s="5">
        <v>41879</v>
      </c>
      <c r="B289" s="5" t="str">
        <f t="shared" si="4"/>
        <v>2014 q3</v>
      </c>
      <c r="C289" s="6">
        <v>6.8098999999999998</v>
      </c>
      <c r="D289" s="6">
        <v>6.8959999999999999</v>
      </c>
      <c r="E289" s="6">
        <v>7.0735999999999999</v>
      </c>
      <c r="F289" s="6">
        <v>7.3388</v>
      </c>
      <c r="G289" s="6">
        <v>7.5987999999999998</v>
      </c>
      <c r="H289" s="6">
        <v>7.8434999999999997</v>
      </c>
      <c r="I289" s="6">
        <v>8.7712000000000003</v>
      </c>
      <c r="J289" s="6">
        <v>9.5408000000000008</v>
      </c>
      <c r="K289" s="6">
        <v>10.125</v>
      </c>
      <c r="L289" s="6">
        <v>10.552</v>
      </c>
      <c r="M289" s="6">
        <v>11.2654</v>
      </c>
      <c r="N289" s="6">
        <v>11.745699999999999</v>
      </c>
      <c r="O289" s="6">
        <v>12.395200000000001</v>
      </c>
      <c r="P289" s="6">
        <v>12.71</v>
      </c>
      <c r="Q289" s="6"/>
    </row>
    <row r="290" spans="1:17">
      <c r="A290" s="5">
        <v>41880</v>
      </c>
      <c r="B290" s="5" t="str">
        <f t="shared" si="4"/>
        <v>2014 q3</v>
      </c>
      <c r="C290" s="6">
        <v>6.7934000000000001</v>
      </c>
      <c r="D290" s="6">
        <v>6.8837000000000002</v>
      </c>
      <c r="E290" s="6">
        <v>7.0702999999999996</v>
      </c>
      <c r="F290" s="6">
        <v>7.3449</v>
      </c>
      <c r="G290" s="6">
        <v>7.6069000000000004</v>
      </c>
      <c r="H290" s="6">
        <v>7.8437999999999999</v>
      </c>
      <c r="I290" s="6">
        <v>8.7365999999999993</v>
      </c>
      <c r="J290" s="6">
        <v>9.4722000000000008</v>
      </c>
      <c r="K290" s="6">
        <v>10.0471</v>
      </c>
      <c r="L290" s="6">
        <v>10.487500000000001</v>
      </c>
      <c r="M290" s="6">
        <v>11.2195</v>
      </c>
      <c r="N290" s="6">
        <v>11.699199999999999</v>
      </c>
      <c r="O290" s="6">
        <v>12.2911</v>
      </c>
      <c r="P290" s="6">
        <v>12.4244</v>
      </c>
      <c r="Q290" s="6"/>
    </row>
    <row r="291" spans="1:17">
      <c r="A291" s="5">
        <v>41883</v>
      </c>
      <c r="B291" s="5" t="str">
        <f t="shared" si="4"/>
        <v>2014 q3</v>
      </c>
      <c r="C291" s="6">
        <v>6.8030999999999997</v>
      </c>
      <c r="D291" s="6">
        <v>6.8924000000000003</v>
      </c>
      <c r="E291" s="6">
        <v>7.0768000000000004</v>
      </c>
      <c r="F291" s="6">
        <v>7.35</v>
      </c>
      <c r="G291" s="6">
        <v>7.6136999999999997</v>
      </c>
      <c r="H291" s="6">
        <v>7.8567</v>
      </c>
      <c r="I291" s="6">
        <v>8.7733000000000008</v>
      </c>
      <c r="J291" s="6">
        <v>9.5259999999999998</v>
      </c>
      <c r="K291" s="6">
        <v>10.100300000000001</v>
      </c>
      <c r="L291" s="6">
        <v>10.527100000000001</v>
      </c>
      <c r="M291" s="6">
        <v>11.242000000000001</v>
      </c>
      <c r="N291" s="6">
        <v>11.741300000000001</v>
      </c>
      <c r="O291" s="6">
        <v>12.4178</v>
      </c>
      <c r="P291" s="6">
        <v>12.7514</v>
      </c>
      <c r="Q291" s="6"/>
    </row>
    <row r="292" spans="1:17">
      <c r="A292" s="5">
        <v>41884</v>
      </c>
      <c r="B292" s="5" t="str">
        <f t="shared" si="4"/>
        <v>2014 q3</v>
      </c>
      <c r="C292" s="6">
        <v>6.9020999999999999</v>
      </c>
      <c r="D292" s="6">
        <v>6.9591000000000003</v>
      </c>
      <c r="E292" s="6">
        <v>7.0768000000000004</v>
      </c>
      <c r="F292" s="6">
        <v>7.2775999999999996</v>
      </c>
      <c r="G292" s="6">
        <v>7.5048000000000004</v>
      </c>
      <c r="H292" s="6">
        <v>7.7321999999999997</v>
      </c>
      <c r="I292" s="6">
        <v>8.7126999999999999</v>
      </c>
      <c r="J292" s="6">
        <v>9.5664999999999996</v>
      </c>
      <c r="K292" s="6">
        <v>10.192600000000001</v>
      </c>
      <c r="L292" s="6">
        <v>10.624599999999999</v>
      </c>
      <c r="M292" s="6">
        <v>11.332000000000001</v>
      </c>
      <c r="N292" s="6">
        <v>11.759</v>
      </c>
      <c r="O292" s="6">
        <v>12.3317</v>
      </c>
      <c r="P292" s="6">
        <v>12.6</v>
      </c>
      <c r="Q292" s="6"/>
    </row>
    <row r="293" spans="1:17">
      <c r="A293" s="5">
        <v>41885</v>
      </c>
      <c r="B293" s="5" t="str">
        <f t="shared" si="4"/>
        <v>2014 q3</v>
      </c>
      <c r="C293" s="6">
        <v>6.8818999999999999</v>
      </c>
      <c r="D293" s="6">
        <v>6.9438000000000004</v>
      </c>
      <c r="E293" s="6">
        <v>7.0716000000000001</v>
      </c>
      <c r="F293" s="6">
        <v>7.2846000000000002</v>
      </c>
      <c r="G293" s="6">
        <v>7.5198</v>
      </c>
      <c r="H293" s="6">
        <v>7.7553999999999998</v>
      </c>
      <c r="I293" s="6">
        <v>8.7359000000000009</v>
      </c>
      <c r="J293" s="6">
        <v>9.5802999999999994</v>
      </c>
      <c r="K293" s="6">
        <v>10.196</v>
      </c>
      <c r="L293" s="6">
        <v>10.6206</v>
      </c>
      <c r="M293" s="6">
        <v>11.3149</v>
      </c>
      <c r="N293" s="6">
        <v>11.734299999999999</v>
      </c>
      <c r="O293" s="6">
        <v>12.2965</v>
      </c>
      <c r="P293" s="6">
        <v>12.56</v>
      </c>
      <c r="Q293" s="6"/>
    </row>
    <row r="294" spans="1:17">
      <c r="A294" s="5">
        <v>41886</v>
      </c>
      <c r="B294" s="5" t="str">
        <f t="shared" si="4"/>
        <v>2014 q3</v>
      </c>
      <c r="C294" s="6">
        <v>6.8986999999999998</v>
      </c>
      <c r="D294" s="6">
        <v>6.9574999999999996</v>
      </c>
      <c r="E294" s="6">
        <v>7.0789</v>
      </c>
      <c r="F294" s="6">
        <v>7.2843999999999998</v>
      </c>
      <c r="G294" s="6">
        <v>7.5133999999999999</v>
      </c>
      <c r="H294" s="6">
        <v>7.7431000000000001</v>
      </c>
      <c r="I294" s="6">
        <v>8.7184000000000008</v>
      </c>
      <c r="J294" s="6">
        <v>9.5663999999999998</v>
      </c>
      <c r="K294" s="6">
        <v>10.1891</v>
      </c>
      <c r="L294" s="6">
        <v>10.6214</v>
      </c>
      <c r="M294" s="6">
        <v>11.328200000000001</v>
      </c>
      <c r="N294" s="6">
        <v>11.757899999999999</v>
      </c>
      <c r="O294" s="6">
        <v>12.333600000000001</v>
      </c>
      <c r="P294" s="6">
        <v>12.6038</v>
      </c>
      <c r="Q294" s="6"/>
    </row>
    <row r="295" spans="1:17">
      <c r="A295" s="5">
        <v>41887</v>
      </c>
      <c r="B295" s="5" t="str">
        <f t="shared" si="4"/>
        <v>2014 q3</v>
      </c>
      <c r="C295" s="6">
        <v>7.0121000000000002</v>
      </c>
      <c r="D295" s="6">
        <v>7.0427999999999997</v>
      </c>
      <c r="E295" s="6">
        <v>7.1060999999999996</v>
      </c>
      <c r="F295" s="6">
        <v>7.2492000000000001</v>
      </c>
      <c r="G295" s="6">
        <v>7.4383999999999997</v>
      </c>
      <c r="H295" s="6">
        <v>7.6302000000000003</v>
      </c>
      <c r="I295" s="6">
        <v>8.6184999999999992</v>
      </c>
      <c r="J295" s="6">
        <v>9.5097000000000005</v>
      </c>
      <c r="K295" s="6">
        <v>10.1631</v>
      </c>
      <c r="L295" s="6">
        <v>10.6105</v>
      </c>
      <c r="M295" s="6">
        <v>11.3386</v>
      </c>
      <c r="N295" s="6">
        <v>11.770200000000001</v>
      </c>
      <c r="O295" s="6">
        <v>12.347899999999999</v>
      </c>
      <c r="P295" s="6">
        <v>12.6175</v>
      </c>
      <c r="Q295" s="6"/>
    </row>
    <row r="296" spans="1:17">
      <c r="A296" s="5">
        <v>41890</v>
      </c>
      <c r="B296" s="5" t="str">
        <f t="shared" si="4"/>
        <v>2014 q3</v>
      </c>
      <c r="C296" s="6">
        <v>7.1417999999999999</v>
      </c>
      <c r="D296" s="6">
        <v>7.1291000000000002</v>
      </c>
      <c r="E296" s="6">
        <v>7.1029</v>
      </c>
      <c r="F296" s="6">
        <v>7.1532999999999998</v>
      </c>
      <c r="G296" s="6">
        <v>7.2858999999999998</v>
      </c>
      <c r="H296" s="6">
        <v>7.4237000000000002</v>
      </c>
      <c r="I296" s="6">
        <v>8.4431999999999992</v>
      </c>
      <c r="J296" s="6">
        <v>9.3952000000000009</v>
      </c>
      <c r="K296" s="6">
        <v>10.132</v>
      </c>
      <c r="L296" s="6">
        <v>10.6533</v>
      </c>
      <c r="M296" s="6">
        <v>11.2898</v>
      </c>
      <c r="N296" s="6">
        <v>11.718</v>
      </c>
      <c r="O296" s="6">
        <v>12.290100000000001</v>
      </c>
      <c r="P296" s="6">
        <v>12.555999999999999</v>
      </c>
      <c r="Q296" s="6"/>
    </row>
    <row r="297" spans="1:17">
      <c r="A297" s="5">
        <v>41891</v>
      </c>
      <c r="B297" s="5" t="str">
        <f t="shared" si="4"/>
        <v>2014 q3</v>
      </c>
      <c r="C297" s="6">
        <v>6.9440999999999997</v>
      </c>
      <c r="D297" s="6">
        <v>6.9904000000000002</v>
      </c>
      <c r="E297" s="6">
        <v>7.0858999999999996</v>
      </c>
      <c r="F297" s="6">
        <v>7.2556000000000003</v>
      </c>
      <c r="G297" s="6">
        <v>7.4466999999999999</v>
      </c>
      <c r="H297" s="6">
        <v>7.6848999999999998</v>
      </c>
      <c r="I297" s="6">
        <v>8.6264000000000003</v>
      </c>
      <c r="J297" s="6">
        <v>9.4877000000000002</v>
      </c>
      <c r="K297" s="6">
        <v>10.136799999999999</v>
      </c>
      <c r="L297" s="6">
        <v>10.6005</v>
      </c>
      <c r="M297" s="6">
        <v>11.356199999999999</v>
      </c>
      <c r="N297" s="6">
        <v>11.8277</v>
      </c>
      <c r="O297" s="6">
        <v>12.458399999999999</v>
      </c>
      <c r="P297" s="6">
        <v>12.755699999999999</v>
      </c>
      <c r="Q297" s="6"/>
    </row>
    <row r="298" spans="1:17">
      <c r="A298" s="5">
        <v>41892</v>
      </c>
      <c r="B298" s="5" t="str">
        <f t="shared" si="4"/>
        <v>2014 q3</v>
      </c>
      <c r="C298" s="6">
        <v>6.9664000000000001</v>
      </c>
      <c r="D298" s="6">
        <v>7.0076000000000001</v>
      </c>
      <c r="E298" s="6">
        <v>7.0926</v>
      </c>
      <c r="F298" s="6">
        <v>7.2523999999999997</v>
      </c>
      <c r="G298" s="6">
        <v>7.4379</v>
      </c>
      <c r="H298" s="6">
        <v>7.6787999999999998</v>
      </c>
      <c r="I298" s="6">
        <v>8.6319999999999997</v>
      </c>
      <c r="J298" s="6">
        <v>9.5004000000000008</v>
      </c>
      <c r="K298" s="6">
        <v>10.143800000000001</v>
      </c>
      <c r="L298" s="6">
        <v>10.595499999999999</v>
      </c>
      <c r="M298" s="6">
        <v>11.3286</v>
      </c>
      <c r="N298" s="6">
        <v>11.775499999999999</v>
      </c>
      <c r="O298" s="6">
        <v>12.3726</v>
      </c>
      <c r="P298" s="6">
        <v>12.652799999999999</v>
      </c>
      <c r="Q298" s="6"/>
    </row>
    <row r="299" spans="1:17">
      <c r="A299" s="5">
        <v>41893</v>
      </c>
      <c r="B299" s="5" t="str">
        <f t="shared" si="4"/>
        <v>2014 q3</v>
      </c>
      <c r="C299" s="6">
        <v>6.9672999999999998</v>
      </c>
      <c r="D299" s="6">
        <v>7.0086000000000004</v>
      </c>
      <c r="E299" s="6">
        <v>7.0940000000000003</v>
      </c>
      <c r="F299" s="6">
        <v>7.2548000000000004</v>
      </c>
      <c r="G299" s="6">
        <v>7.4410999999999996</v>
      </c>
      <c r="H299" s="6">
        <v>7.6820000000000004</v>
      </c>
      <c r="I299" s="6">
        <v>8.6347000000000005</v>
      </c>
      <c r="J299" s="6">
        <v>9.5022000000000002</v>
      </c>
      <c r="K299" s="6">
        <v>10.1447</v>
      </c>
      <c r="L299" s="6">
        <v>10.596299999999999</v>
      </c>
      <c r="M299" s="6">
        <v>11.3286</v>
      </c>
      <c r="N299" s="6">
        <v>11.775600000000001</v>
      </c>
      <c r="O299" s="6">
        <v>12.3726</v>
      </c>
      <c r="P299" s="6">
        <v>12.652799999999999</v>
      </c>
      <c r="Q299" s="6"/>
    </row>
    <row r="300" spans="1:17">
      <c r="A300" s="5">
        <v>41894</v>
      </c>
      <c r="B300" s="5" t="str">
        <f t="shared" si="4"/>
        <v>2014 q3</v>
      </c>
      <c r="C300" s="6">
        <v>6.9204999999999997</v>
      </c>
      <c r="D300" s="6">
        <v>6.9743000000000004</v>
      </c>
      <c r="E300" s="6">
        <v>7.0853000000000002</v>
      </c>
      <c r="F300" s="6">
        <v>7.2676999999999996</v>
      </c>
      <c r="G300" s="6">
        <v>7.4619999999999997</v>
      </c>
      <c r="H300" s="6">
        <v>7.6818999999999997</v>
      </c>
      <c r="I300" s="6">
        <v>8.5488</v>
      </c>
      <c r="J300" s="6">
        <v>9.3466000000000005</v>
      </c>
      <c r="K300" s="6">
        <v>10.0099</v>
      </c>
      <c r="L300" s="6">
        <v>10.5243</v>
      </c>
      <c r="M300" s="6">
        <v>11.2135</v>
      </c>
      <c r="N300" s="6">
        <v>11.7324</v>
      </c>
      <c r="O300" s="6">
        <v>12.428100000000001</v>
      </c>
      <c r="P300" s="6">
        <v>12.7628</v>
      </c>
      <c r="Q300" s="6"/>
    </row>
    <row r="301" spans="1:17">
      <c r="A301" s="5">
        <v>41898</v>
      </c>
      <c r="B301" s="5" t="str">
        <f t="shared" si="4"/>
        <v>2014 q3</v>
      </c>
      <c r="C301" s="6">
        <v>6.9345999999999997</v>
      </c>
      <c r="D301" s="6">
        <v>6.9847000000000001</v>
      </c>
      <c r="E301" s="6">
        <v>7.0881999999999996</v>
      </c>
      <c r="F301" s="6">
        <v>7.2656000000000001</v>
      </c>
      <c r="G301" s="6">
        <v>7.4596999999999998</v>
      </c>
      <c r="H301" s="6">
        <v>7.6864999999999997</v>
      </c>
      <c r="I301" s="6">
        <v>8.5757999999999992</v>
      </c>
      <c r="J301" s="6">
        <v>9.3747000000000007</v>
      </c>
      <c r="K301" s="6">
        <v>10.0137</v>
      </c>
      <c r="L301" s="6">
        <v>10.489599999999999</v>
      </c>
      <c r="M301" s="6">
        <v>11.139699999999999</v>
      </c>
      <c r="N301" s="6">
        <v>11.682</v>
      </c>
      <c r="O301" s="6">
        <v>12.1294</v>
      </c>
      <c r="P301" s="6">
        <v>12.407</v>
      </c>
      <c r="Q301" s="6"/>
    </row>
    <row r="302" spans="1:17">
      <c r="A302" s="5">
        <v>41899</v>
      </c>
      <c r="B302" s="5" t="str">
        <f t="shared" si="4"/>
        <v>2014 q3</v>
      </c>
      <c r="C302" s="6">
        <v>6.9149000000000003</v>
      </c>
      <c r="D302" s="6">
        <v>6.9614000000000003</v>
      </c>
      <c r="E302" s="6">
        <v>7.0575000000000001</v>
      </c>
      <c r="F302" s="6">
        <v>7.2251000000000003</v>
      </c>
      <c r="G302" s="6">
        <v>7.4093</v>
      </c>
      <c r="H302" s="6">
        <v>7.6281999999999996</v>
      </c>
      <c r="I302" s="6">
        <v>8.4974000000000007</v>
      </c>
      <c r="J302" s="6">
        <v>9.3042999999999996</v>
      </c>
      <c r="K302" s="6">
        <v>9.9699000000000009</v>
      </c>
      <c r="L302" s="6">
        <v>10.478899999999999</v>
      </c>
      <c r="M302" s="6">
        <v>11.1503</v>
      </c>
      <c r="N302" s="6">
        <v>11.6477</v>
      </c>
      <c r="O302" s="6">
        <v>12.312099999999999</v>
      </c>
      <c r="P302" s="6">
        <v>12.6294</v>
      </c>
      <c r="Q302" s="6"/>
    </row>
    <row r="303" spans="1:17">
      <c r="A303" s="5">
        <v>41900</v>
      </c>
      <c r="B303" s="5" t="str">
        <f t="shared" si="4"/>
        <v>2014 q3</v>
      </c>
      <c r="C303" s="6">
        <v>6.9562999999999997</v>
      </c>
      <c r="D303" s="6">
        <v>6.992</v>
      </c>
      <c r="E303" s="6">
        <v>7.0656999999999996</v>
      </c>
      <c r="F303" s="6">
        <v>7.2102000000000004</v>
      </c>
      <c r="G303" s="6">
        <v>7.3784999999999998</v>
      </c>
      <c r="H303" s="6">
        <v>7.5961999999999996</v>
      </c>
      <c r="I303" s="6">
        <v>8.4667999999999992</v>
      </c>
      <c r="J303" s="6">
        <v>9.2791999999999994</v>
      </c>
      <c r="K303" s="6">
        <v>9.8940000000000001</v>
      </c>
      <c r="L303" s="6">
        <v>10.340400000000001</v>
      </c>
      <c r="M303" s="6">
        <v>11.061</v>
      </c>
      <c r="N303" s="6">
        <v>11.5158</v>
      </c>
      <c r="O303" s="6">
        <v>12.1219</v>
      </c>
      <c r="P303" s="6">
        <v>12.4084</v>
      </c>
      <c r="Q303" s="6"/>
    </row>
    <row r="304" spans="1:17">
      <c r="A304" s="5">
        <v>41901</v>
      </c>
      <c r="B304" s="5" t="str">
        <f t="shared" si="4"/>
        <v>2014 q3</v>
      </c>
      <c r="C304" s="6">
        <v>6.9763000000000002</v>
      </c>
      <c r="D304" s="6">
        <v>7.0067000000000004</v>
      </c>
      <c r="E304" s="6">
        <v>7.0693000000000001</v>
      </c>
      <c r="F304" s="6">
        <v>7.2054999999999998</v>
      </c>
      <c r="G304" s="6">
        <v>7.3705999999999996</v>
      </c>
      <c r="H304" s="6">
        <v>7.5944000000000003</v>
      </c>
      <c r="I304" s="6">
        <v>8.49</v>
      </c>
      <c r="J304" s="6">
        <v>9.3216000000000001</v>
      </c>
      <c r="K304" s="6">
        <v>9.9385999999999992</v>
      </c>
      <c r="L304" s="6">
        <v>10.3779</v>
      </c>
      <c r="M304" s="6">
        <v>11.0837</v>
      </c>
      <c r="N304" s="6">
        <v>11.5177</v>
      </c>
      <c r="O304" s="6">
        <v>12.0952</v>
      </c>
      <c r="P304" s="6">
        <v>12.3667</v>
      </c>
      <c r="Q304" s="6"/>
    </row>
    <row r="305" spans="1:17">
      <c r="A305" s="5">
        <v>41904</v>
      </c>
      <c r="B305" s="5" t="str">
        <f t="shared" si="4"/>
        <v>2014 q3</v>
      </c>
      <c r="C305" s="6">
        <v>6.9610000000000003</v>
      </c>
      <c r="D305" s="6">
        <v>6.9960000000000004</v>
      </c>
      <c r="E305" s="6">
        <v>7.0682</v>
      </c>
      <c r="F305" s="6">
        <v>7.2133000000000003</v>
      </c>
      <c r="G305" s="6">
        <v>7.3834</v>
      </c>
      <c r="H305" s="6">
        <v>7.6036999999999999</v>
      </c>
      <c r="I305" s="6">
        <v>8.4838000000000005</v>
      </c>
      <c r="J305" s="6">
        <v>9.3011999999999997</v>
      </c>
      <c r="K305" s="6">
        <v>9.9146000000000001</v>
      </c>
      <c r="L305" s="6">
        <v>10.357900000000001</v>
      </c>
      <c r="M305" s="6">
        <v>11.071</v>
      </c>
      <c r="N305" s="6">
        <v>11.517899999999999</v>
      </c>
      <c r="O305" s="6">
        <v>12.1127</v>
      </c>
      <c r="P305" s="6">
        <v>12.3934</v>
      </c>
      <c r="Q305" s="6"/>
    </row>
    <row r="306" spans="1:17">
      <c r="A306" s="5">
        <v>41905</v>
      </c>
      <c r="B306" s="5" t="str">
        <f t="shared" si="4"/>
        <v>2014 q3</v>
      </c>
      <c r="C306" s="6">
        <v>6.7451999999999996</v>
      </c>
      <c r="D306" s="6">
        <v>6.8169000000000004</v>
      </c>
      <c r="E306" s="6">
        <v>6.9648000000000003</v>
      </c>
      <c r="F306" s="6">
        <v>7.1909999999999998</v>
      </c>
      <c r="G306" s="6">
        <v>7.4188999999999998</v>
      </c>
      <c r="H306" s="6">
        <v>7.6456999999999997</v>
      </c>
      <c r="I306" s="6">
        <v>8.5119000000000007</v>
      </c>
      <c r="J306" s="6">
        <v>9.2579999999999991</v>
      </c>
      <c r="K306" s="6">
        <v>9.8238000000000003</v>
      </c>
      <c r="L306" s="6">
        <v>10.2501</v>
      </c>
      <c r="M306" s="6">
        <v>10.941800000000001</v>
      </c>
      <c r="N306" s="6">
        <v>11.413</v>
      </c>
      <c r="O306" s="6">
        <v>12.0421</v>
      </c>
      <c r="P306" s="6">
        <v>12.3469</v>
      </c>
      <c r="Q306" s="6"/>
    </row>
    <row r="307" spans="1:17">
      <c r="A307" s="5">
        <v>41906</v>
      </c>
      <c r="B307" s="5" t="str">
        <f t="shared" si="4"/>
        <v>2014 q3</v>
      </c>
      <c r="C307" s="6">
        <v>6.843</v>
      </c>
      <c r="D307" s="6">
        <v>6.8925000000000001</v>
      </c>
      <c r="E307" s="6">
        <v>6.9946000000000002</v>
      </c>
      <c r="F307" s="6">
        <v>7.1665999999999999</v>
      </c>
      <c r="G307" s="6">
        <v>7.3517000000000001</v>
      </c>
      <c r="H307" s="6">
        <v>7.5639000000000003</v>
      </c>
      <c r="I307" s="6">
        <v>8.4024000000000001</v>
      </c>
      <c r="J307" s="6">
        <v>9.1783999999999999</v>
      </c>
      <c r="K307" s="6">
        <v>9.7642000000000007</v>
      </c>
      <c r="L307" s="6">
        <v>10.208600000000001</v>
      </c>
      <c r="M307" s="6">
        <v>10.925800000000001</v>
      </c>
      <c r="N307" s="6">
        <v>11.401300000000001</v>
      </c>
      <c r="O307" s="6">
        <v>12.034599999999999</v>
      </c>
      <c r="P307" s="6">
        <v>12.337899999999999</v>
      </c>
      <c r="Q307" s="6"/>
    </row>
    <row r="308" spans="1:17">
      <c r="A308" s="5">
        <v>41907</v>
      </c>
      <c r="B308" s="5" t="str">
        <f t="shared" si="4"/>
        <v>2014 q3</v>
      </c>
      <c r="C308" s="6">
        <v>6.8128000000000002</v>
      </c>
      <c r="D308" s="6">
        <v>6.8700999999999999</v>
      </c>
      <c r="E308" s="6">
        <v>6.9882999999999997</v>
      </c>
      <c r="F308" s="6">
        <v>7.1806000000000001</v>
      </c>
      <c r="G308" s="6">
        <v>7.3825000000000003</v>
      </c>
      <c r="H308" s="6">
        <v>7.6021999999999998</v>
      </c>
      <c r="I308" s="6">
        <v>8.4578000000000007</v>
      </c>
      <c r="J308" s="6">
        <v>9.2204999999999995</v>
      </c>
      <c r="K308" s="6">
        <v>9.7972000000000001</v>
      </c>
      <c r="L308" s="6">
        <v>10.226800000000001</v>
      </c>
      <c r="M308" s="6">
        <v>10.918200000000001</v>
      </c>
      <c r="N308" s="6">
        <v>11.3734</v>
      </c>
      <c r="O308" s="6">
        <v>11.979200000000001</v>
      </c>
      <c r="P308" s="6">
        <v>12.2689</v>
      </c>
      <c r="Q308" s="6"/>
    </row>
    <row r="309" spans="1:17">
      <c r="A309" s="5">
        <v>41908</v>
      </c>
      <c r="B309" s="5" t="str">
        <f t="shared" si="4"/>
        <v>2014 q3</v>
      </c>
      <c r="C309" s="6">
        <v>6.7481999999999998</v>
      </c>
      <c r="D309" s="6">
        <v>6.8204000000000002</v>
      </c>
      <c r="E309" s="6">
        <v>6.9695</v>
      </c>
      <c r="F309" s="6">
        <v>7.1939000000000002</v>
      </c>
      <c r="G309" s="6">
        <v>7.4172000000000002</v>
      </c>
      <c r="H309" s="6">
        <v>7.6346999999999996</v>
      </c>
      <c r="I309" s="6">
        <v>8.4658999999999995</v>
      </c>
      <c r="J309" s="6">
        <v>9.1907999999999994</v>
      </c>
      <c r="K309" s="6">
        <v>9.7599</v>
      </c>
      <c r="L309" s="6">
        <v>10.2081</v>
      </c>
      <c r="M309" s="6">
        <v>10.9429</v>
      </c>
      <c r="N309" s="6">
        <v>11.487</v>
      </c>
      <c r="O309" s="6">
        <v>12.2172</v>
      </c>
      <c r="P309" s="6">
        <v>12.583600000000001</v>
      </c>
      <c r="Q309" s="6"/>
    </row>
    <row r="310" spans="1:17">
      <c r="A310" s="5">
        <v>41909</v>
      </c>
      <c r="B310" s="5" t="str">
        <f t="shared" si="4"/>
        <v>2014 q3</v>
      </c>
      <c r="C310" s="6">
        <v>6.7812000000000001</v>
      </c>
      <c r="D310" s="6">
        <v>6.843</v>
      </c>
      <c r="E310" s="6">
        <v>6.9706999999999999</v>
      </c>
      <c r="F310" s="6">
        <v>7.1740000000000004</v>
      </c>
      <c r="G310" s="6">
        <v>7.3841000000000001</v>
      </c>
      <c r="H310" s="6">
        <v>7.6055999999999999</v>
      </c>
      <c r="I310" s="6">
        <v>8.4623000000000008</v>
      </c>
      <c r="J310" s="6">
        <v>9.2180999999999997</v>
      </c>
      <c r="K310" s="6">
        <v>9.7897999999999996</v>
      </c>
      <c r="L310" s="6">
        <v>10.2188</v>
      </c>
      <c r="M310" s="6">
        <v>10.9093</v>
      </c>
      <c r="N310" s="6">
        <v>11.370200000000001</v>
      </c>
      <c r="O310" s="6">
        <v>11.9834</v>
      </c>
      <c r="P310" s="6">
        <v>12.2781</v>
      </c>
      <c r="Q310" s="6"/>
    </row>
    <row r="311" spans="1:17">
      <c r="A311" s="5">
        <v>41911</v>
      </c>
      <c r="B311" s="5" t="str">
        <f t="shared" si="4"/>
        <v>2014 q3</v>
      </c>
      <c r="C311" s="6">
        <v>6.7839</v>
      </c>
      <c r="D311" s="6">
        <v>6.8457999999999997</v>
      </c>
      <c r="E311" s="6">
        <v>6.9734999999999996</v>
      </c>
      <c r="F311" s="6">
        <v>7.1765999999999996</v>
      </c>
      <c r="G311" s="6">
        <v>7.3863000000000003</v>
      </c>
      <c r="H311" s="6">
        <v>7.6067</v>
      </c>
      <c r="I311" s="6">
        <v>8.4591999999999992</v>
      </c>
      <c r="J311" s="6">
        <v>9.2121999999999993</v>
      </c>
      <c r="K311" s="6">
        <v>9.7832000000000008</v>
      </c>
      <c r="L311" s="6">
        <v>10.2136</v>
      </c>
      <c r="M311" s="6">
        <v>10.9061</v>
      </c>
      <c r="N311" s="6">
        <v>11.3713</v>
      </c>
      <c r="O311" s="6">
        <v>11.9902</v>
      </c>
      <c r="P311" s="6">
        <v>12.2881</v>
      </c>
      <c r="Q311" s="6"/>
    </row>
    <row r="312" spans="1:17">
      <c r="A312" s="5">
        <v>41912</v>
      </c>
      <c r="B312" s="5" t="str">
        <f t="shared" si="4"/>
        <v>2014 q3</v>
      </c>
      <c r="C312" s="6">
        <v>6.6881000000000004</v>
      </c>
      <c r="D312" s="6">
        <v>6.7554999999999996</v>
      </c>
      <c r="E312" s="6">
        <v>6.8944999999999999</v>
      </c>
      <c r="F312" s="6">
        <v>7.1151999999999997</v>
      </c>
      <c r="G312" s="6">
        <v>7.3391000000000002</v>
      </c>
      <c r="H312" s="6">
        <v>7.5629999999999997</v>
      </c>
      <c r="I312" s="6">
        <v>8.4329999999999998</v>
      </c>
      <c r="J312" s="6">
        <v>9.1911000000000005</v>
      </c>
      <c r="K312" s="6">
        <v>9.7620000000000005</v>
      </c>
      <c r="L312" s="6">
        <v>10.192399999999999</v>
      </c>
      <c r="M312" s="6">
        <v>10.8835</v>
      </c>
      <c r="N312" s="6">
        <v>11.3491</v>
      </c>
      <c r="O312" s="6">
        <v>11.9682</v>
      </c>
      <c r="P312" s="6">
        <v>12.2666</v>
      </c>
      <c r="Q312" s="6"/>
    </row>
    <row r="313" spans="1:17">
      <c r="A313" s="5">
        <v>41913</v>
      </c>
      <c r="B313" s="5" t="str">
        <f t="shared" si="4"/>
        <v>2014 q4</v>
      </c>
      <c r="C313" s="6">
        <v>6.6783999999999999</v>
      </c>
      <c r="D313" s="6">
        <v>6.7484000000000002</v>
      </c>
      <c r="E313" s="6">
        <v>6.8929999999999998</v>
      </c>
      <c r="F313" s="6">
        <v>7.1182999999999996</v>
      </c>
      <c r="G313" s="6">
        <v>7.3457999999999997</v>
      </c>
      <c r="H313" s="6">
        <v>7.5731999999999999</v>
      </c>
      <c r="I313" s="6">
        <v>8.4395000000000007</v>
      </c>
      <c r="J313" s="6">
        <v>9.1928000000000001</v>
      </c>
      <c r="K313" s="6">
        <v>9.7627000000000006</v>
      </c>
      <c r="L313" s="6">
        <v>10.196300000000001</v>
      </c>
      <c r="M313" s="6">
        <v>10.8933</v>
      </c>
      <c r="N313" s="6">
        <v>11.370799999999999</v>
      </c>
      <c r="O313" s="6">
        <v>12.006</v>
      </c>
      <c r="P313" s="6">
        <v>12.314</v>
      </c>
      <c r="Q313" s="6"/>
    </row>
    <row r="314" spans="1:17">
      <c r="A314" s="5">
        <v>41914</v>
      </c>
      <c r="B314" s="5" t="str">
        <f t="shared" si="4"/>
        <v>2014 q4</v>
      </c>
      <c r="C314" s="6">
        <v>6.6955</v>
      </c>
      <c r="D314" s="6">
        <v>6.7622</v>
      </c>
      <c r="E314" s="6">
        <v>6.8998999999999997</v>
      </c>
      <c r="F314" s="6">
        <v>7.1113</v>
      </c>
      <c r="G314" s="6">
        <v>7.3236999999999997</v>
      </c>
      <c r="H314" s="6">
        <v>7.5357000000000003</v>
      </c>
      <c r="I314" s="6">
        <v>8.3307000000000002</v>
      </c>
      <c r="J314" s="6">
        <v>9.0402000000000005</v>
      </c>
      <c r="K314" s="6">
        <v>9.6334999999999997</v>
      </c>
      <c r="L314" s="6">
        <v>10.144399999999999</v>
      </c>
      <c r="M314" s="6">
        <v>10.8498</v>
      </c>
      <c r="N314" s="6">
        <v>11.493</v>
      </c>
      <c r="O314" s="6">
        <v>12.057</v>
      </c>
      <c r="P314" s="6">
        <v>12.414400000000001</v>
      </c>
      <c r="Q314" s="6"/>
    </row>
    <row r="315" spans="1:17">
      <c r="A315" s="5">
        <v>41915</v>
      </c>
      <c r="B315" s="5" t="str">
        <f t="shared" si="4"/>
        <v>2014 q4</v>
      </c>
      <c r="C315" s="6">
        <v>6.6277999999999997</v>
      </c>
      <c r="D315" s="6">
        <v>6.7117000000000004</v>
      </c>
      <c r="E315" s="6">
        <v>6.8848000000000003</v>
      </c>
      <c r="F315" s="6">
        <v>7.1285999999999996</v>
      </c>
      <c r="G315" s="6">
        <v>7.3688000000000002</v>
      </c>
      <c r="H315" s="6">
        <v>7.6067999999999998</v>
      </c>
      <c r="I315" s="6">
        <v>8.3726000000000003</v>
      </c>
      <c r="J315" s="6">
        <v>9.0431000000000008</v>
      </c>
      <c r="K315" s="6">
        <v>9.5852000000000004</v>
      </c>
      <c r="L315" s="6">
        <v>10.0593</v>
      </c>
      <c r="M315" s="6">
        <v>10.7493</v>
      </c>
      <c r="N315" s="6">
        <v>11.438599999999999</v>
      </c>
      <c r="O315" s="6">
        <v>12.1126</v>
      </c>
      <c r="P315" s="6">
        <v>12.5678</v>
      </c>
      <c r="Q315" s="6"/>
    </row>
    <row r="316" spans="1:17">
      <c r="A316" s="5">
        <v>41918</v>
      </c>
      <c r="B316" s="5" t="str">
        <f t="shared" si="4"/>
        <v>2014 q4</v>
      </c>
      <c r="C316" s="6">
        <v>6.6890000000000001</v>
      </c>
      <c r="D316" s="6">
        <v>6.7595999999999998</v>
      </c>
      <c r="E316" s="6">
        <v>6.9054000000000002</v>
      </c>
      <c r="F316" s="6">
        <v>7.1264000000000003</v>
      </c>
      <c r="G316" s="6">
        <v>7.3479000000000001</v>
      </c>
      <c r="H316" s="6">
        <v>7.5682</v>
      </c>
      <c r="I316" s="6">
        <v>8.3718000000000004</v>
      </c>
      <c r="J316" s="6">
        <v>9.0801999999999996</v>
      </c>
      <c r="K316" s="6">
        <v>9.6617999999999995</v>
      </c>
      <c r="L316" s="6">
        <v>10.158200000000001</v>
      </c>
      <c r="M316" s="6">
        <v>10.831899999999999</v>
      </c>
      <c r="N316" s="6">
        <v>11.437900000000001</v>
      </c>
      <c r="O316" s="6">
        <v>11.9642</v>
      </c>
      <c r="P316" s="6">
        <v>12.296799999999999</v>
      </c>
      <c r="Q316" s="6"/>
    </row>
    <row r="317" spans="1:17">
      <c r="A317" s="5">
        <v>41919</v>
      </c>
      <c r="B317" s="5" t="str">
        <f t="shared" si="4"/>
        <v>2014 q4</v>
      </c>
      <c r="C317" s="6">
        <v>6.8670999999999998</v>
      </c>
      <c r="D317" s="6">
        <v>6.8830999999999998</v>
      </c>
      <c r="E317" s="6">
        <v>6.9158999999999997</v>
      </c>
      <c r="F317" s="6">
        <v>7.0514000000000001</v>
      </c>
      <c r="G317" s="6">
        <v>7.2011000000000003</v>
      </c>
      <c r="H317" s="6">
        <v>7.3516000000000004</v>
      </c>
      <c r="I317" s="6">
        <v>8.2514000000000003</v>
      </c>
      <c r="J317" s="6">
        <v>9.0443999999999996</v>
      </c>
      <c r="K317" s="6">
        <v>9.6999999999999993</v>
      </c>
      <c r="L317" s="6">
        <v>10.2357</v>
      </c>
      <c r="M317" s="6">
        <v>10.890700000000001</v>
      </c>
      <c r="N317" s="6">
        <v>11.4259</v>
      </c>
      <c r="O317" s="6">
        <v>11.8634</v>
      </c>
      <c r="P317" s="6">
        <v>12.1355</v>
      </c>
      <c r="Q317" s="6"/>
    </row>
    <row r="318" spans="1:17">
      <c r="A318" s="5">
        <v>41920</v>
      </c>
      <c r="B318" s="5" t="str">
        <f t="shared" si="4"/>
        <v>2014 q4</v>
      </c>
      <c r="C318" s="6">
        <v>6.8852000000000002</v>
      </c>
      <c r="D318" s="6">
        <v>6.8952999999999998</v>
      </c>
      <c r="E318" s="6">
        <v>6.9160000000000004</v>
      </c>
      <c r="F318" s="6">
        <v>7.0453000000000001</v>
      </c>
      <c r="G318" s="6">
        <v>7.1891999999999996</v>
      </c>
      <c r="H318" s="6">
        <v>7.3350999999999997</v>
      </c>
      <c r="I318" s="6">
        <v>8.2497000000000007</v>
      </c>
      <c r="J318" s="6">
        <v>9.0524000000000004</v>
      </c>
      <c r="K318" s="6">
        <v>9.7124000000000006</v>
      </c>
      <c r="L318" s="6">
        <v>10.2486</v>
      </c>
      <c r="M318" s="6">
        <v>10.896800000000001</v>
      </c>
      <c r="N318" s="6">
        <v>11.422599999999999</v>
      </c>
      <c r="O318" s="6">
        <v>11.851100000000001</v>
      </c>
      <c r="P318" s="6">
        <v>12.1175</v>
      </c>
      <c r="Q318" s="6"/>
    </row>
    <row r="319" spans="1:17">
      <c r="A319" s="5">
        <v>41921</v>
      </c>
      <c r="B319" s="5" t="str">
        <f t="shared" si="4"/>
        <v>2014 q4</v>
      </c>
      <c r="C319" s="6">
        <v>6.9013</v>
      </c>
      <c r="D319" s="6">
        <v>6.9066000000000001</v>
      </c>
      <c r="E319" s="6">
        <v>6.9176000000000002</v>
      </c>
      <c r="F319" s="6">
        <v>7.0435999999999996</v>
      </c>
      <c r="G319" s="6">
        <v>7.1844999999999999</v>
      </c>
      <c r="H319" s="6">
        <v>7.3282999999999996</v>
      </c>
      <c r="I319" s="6">
        <v>8.2560000000000002</v>
      </c>
      <c r="J319" s="6">
        <v>9.0638000000000005</v>
      </c>
      <c r="K319" s="6">
        <v>9.7204999999999995</v>
      </c>
      <c r="L319" s="6">
        <v>10.2501</v>
      </c>
      <c r="M319" s="6">
        <v>10.8813</v>
      </c>
      <c r="N319" s="6">
        <v>11.3889</v>
      </c>
      <c r="O319" s="6">
        <v>11.8012</v>
      </c>
      <c r="P319" s="6">
        <v>12.057499999999999</v>
      </c>
      <c r="Q319" s="6"/>
    </row>
    <row r="320" spans="1:17">
      <c r="A320" s="5">
        <v>41922</v>
      </c>
      <c r="B320" s="5" t="str">
        <f t="shared" si="4"/>
        <v>2014 q4</v>
      </c>
      <c r="C320" s="6">
        <v>6.8467000000000002</v>
      </c>
      <c r="D320" s="6">
        <v>6.8689</v>
      </c>
      <c r="E320" s="6">
        <v>6.9146000000000001</v>
      </c>
      <c r="F320" s="6">
        <v>7.0572999999999997</v>
      </c>
      <c r="G320" s="6">
        <v>7.2091000000000003</v>
      </c>
      <c r="H320" s="6">
        <v>7.3636999999999997</v>
      </c>
      <c r="I320" s="6">
        <v>8.2213999999999992</v>
      </c>
      <c r="J320" s="6">
        <v>9.0236999999999998</v>
      </c>
      <c r="K320" s="6">
        <v>9.6511999999999993</v>
      </c>
      <c r="L320" s="6">
        <v>10.1348</v>
      </c>
      <c r="M320" s="6">
        <v>10.7835</v>
      </c>
      <c r="N320" s="6">
        <v>11.319699999999999</v>
      </c>
      <c r="O320" s="6">
        <v>11.760400000000001</v>
      </c>
      <c r="P320" s="6">
        <v>12.035</v>
      </c>
      <c r="Q320" s="6"/>
    </row>
    <row r="321" spans="1:17">
      <c r="A321" s="5">
        <v>41925</v>
      </c>
      <c r="B321" s="5" t="str">
        <f t="shared" si="4"/>
        <v>2014 q4</v>
      </c>
      <c r="C321" s="6">
        <v>6.8277999999999999</v>
      </c>
      <c r="D321" s="6">
        <v>6.8555000000000001</v>
      </c>
      <c r="E321" s="6">
        <v>6.9124999999999996</v>
      </c>
      <c r="F321" s="6">
        <v>7.0673000000000004</v>
      </c>
      <c r="G321" s="6">
        <v>7.2295999999999996</v>
      </c>
      <c r="H321" s="6">
        <v>7.3948</v>
      </c>
      <c r="I321" s="6">
        <v>8.2579999999999991</v>
      </c>
      <c r="J321" s="6">
        <v>9.0153999999999996</v>
      </c>
      <c r="K321" s="6">
        <v>9.6425999999999998</v>
      </c>
      <c r="L321" s="6">
        <v>10.1547</v>
      </c>
      <c r="M321" s="6">
        <v>10.790900000000001</v>
      </c>
      <c r="N321" s="6">
        <v>11.315799999999999</v>
      </c>
      <c r="O321" s="6">
        <v>11.747</v>
      </c>
      <c r="P321" s="6">
        <v>12.015599999999999</v>
      </c>
      <c r="Q321" s="6"/>
    </row>
    <row r="322" spans="1:17">
      <c r="A322" s="5">
        <v>41926</v>
      </c>
      <c r="B322" s="5" t="str">
        <f t="shared" si="4"/>
        <v>2014 q4</v>
      </c>
      <c r="C322" s="6">
        <v>6.7134</v>
      </c>
      <c r="D322" s="6">
        <v>6.7652000000000001</v>
      </c>
      <c r="E322" s="6">
        <v>6.8723000000000001</v>
      </c>
      <c r="F322" s="6">
        <v>7.0404999999999998</v>
      </c>
      <c r="G322" s="6">
        <v>7.2214999999999998</v>
      </c>
      <c r="H322" s="6">
        <v>7.4177</v>
      </c>
      <c r="I322" s="6">
        <v>8.2022999999999993</v>
      </c>
      <c r="J322" s="6">
        <v>8.9070999999999998</v>
      </c>
      <c r="K322" s="6">
        <v>9.5168999999999997</v>
      </c>
      <c r="L322" s="6">
        <v>10.032500000000001</v>
      </c>
      <c r="M322" s="6">
        <v>10.737</v>
      </c>
      <c r="N322" s="6">
        <v>11.364000000000001</v>
      </c>
      <c r="O322" s="6">
        <v>11.903</v>
      </c>
      <c r="P322" s="6">
        <v>12.242800000000001</v>
      </c>
      <c r="Q322" s="6"/>
    </row>
    <row r="323" spans="1:17">
      <c r="A323" s="5">
        <v>41927</v>
      </c>
      <c r="B323" s="5" t="str">
        <f t="shared" ref="B323:B386" si="5">YEAR(A323)&amp;" q"&amp;ROUNDUP(MONTH(A323)/3,0)</f>
        <v>2014 q4</v>
      </c>
      <c r="C323" s="6">
        <v>6.7026000000000003</v>
      </c>
      <c r="D323" s="6">
        <v>6.7553999999999998</v>
      </c>
      <c r="E323" s="6">
        <v>6.8643999999999998</v>
      </c>
      <c r="F323" s="6">
        <v>7.0316999999999998</v>
      </c>
      <c r="G323" s="6">
        <v>7.2049000000000003</v>
      </c>
      <c r="H323" s="6">
        <v>7.3864000000000001</v>
      </c>
      <c r="I323" s="6">
        <v>8.1036999999999999</v>
      </c>
      <c r="J323" s="6">
        <v>8.7575000000000003</v>
      </c>
      <c r="K323" s="6">
        <v>9.3483000000000001</v>
      </c>
      <c r="L323" s="6">
        <v>9.8646999999999991</v>
      </c>
      <c r="M323" s="6">
        <v>10.6279</v>
      </c>
      <c r="N323" s="6">
        <v>11.362299999999999</v>
      </c>
      <c r="O323" s="6">
        <v>12.034700000000001</v>
      </c>
      <c r="P323" s="6">
        <v>12.469099999999999</v>
      </c>
      <c r="Q323" s="6"/>
    </row>
    <row r="324" spans="1:17">
      <c r="A324" s="5">
        <v>41928</v>
      </c>
      <c r="B324" s="5" t="str">
        <f t="shared" si="5"/>
        <v>2014 q4</v>
      </c>
      <c r="C324" s="6">
        <v>6.7766999999999999</v>
      </c>
      <c r="D324" s="6">
        <v>6.8154000000000003</v>
      </c>
      <c r="E324" s="6">
        <v>6.8951000000000002</v>
      </c>
      <c r="F324" s="6">
        <v>7.0229999999999997</v>
      </c>
      <c r="G324" s="6">
        <v>7.1638999999999999</v>
      </c>
      <c r="H324" s="6">
        <v>7.3323999999999998</v>
      </c>
      <c r="I324" s="6">
        <v>8.0065000000000008</v>
      </c>
      <c r="J324" s="6">
        <v>8.6448</v>
      </c>
      <c r="K324" s="6">
        <v>9.2413000000000007</v>
      </c>
      <c r="L324" s="6">
        <v>9.7632999999999992</v>
      </c>
      <c r="M324" s="6">
        <v>10.535299999999999</v>
      </c>
      <c r="N324" s="6">
        <v>11.270300000000001</v>
      </c>
      <c r="O324" s="6">
        <v>11.9345</v>
      </c>
      <c r="P324" s="6">
        <v>12.3607</v>
      </c>
      <c r="Q324" s="6"/>
    </row>
    <row r="325" spans="1:17">
      <c r="A325" s="5">
        <v>41929</v>
      </c>
      <c r="B325" s="5" t="str">
        <f t="shared" si="5"/>
        <v>2014 q4</v>
      </c>
      <c r="C325" s="6">
        <v>6.7821999999999996</v>
      </c>
      <c r="D325" s="6">
        <v>6.8198999999999996</v>
      </c>
      <c r="E325" s="6">
        <v>6.8978000000000002</v>
      </c>
      <c r="F325" s="6">
        <v>7.0232999999999999</v>
      </c>
      <c r="G325" s="6">
        <v>7.1623999999999999</v>
      </c>
      <c r="H325" s="6">
        <v>7.3296999999999999</v>
      </c>
      <c r="I325" s="6">
        <v>7.9992000000000001</v>
      </c>
      <c r="J325" s="6">
        <v>8.6334999999999997</v>
      </c>
      <c r="K325" s="6">
        <v>9.2270000000000003</v>
      </c>
      <c r="L325" s="6">
        <v>9.7455999999999996</v>
      </c>
      <c r="M325" s="6">
        <v>10.511699999999999</v>
      </c>
      <c r="N325" s="6">
        <v>11.239599999999999</v>
      </c>
      <c r="O325" s="6">
        <v>11.896000000000001</v>
      </c>
      <c r="P325" s="6">
        <v>12.3171</v>
      </c>
      <c r="Q325" s="6"/>
    </row>
    <row r="326" spans="1:17">
      <c r="A326" s="5">
        <v>41932</v>
      </c>
      <c r="B326" s="5" t="str">
        <f t="shared" si="5"/>
        <v>2014 q4</v>
      </c>
      <c r="C326" s="6">
        <v>6.7958999999999996</v>
      </c>
      <c r="D326" s="6">
        <v>6.8308999999999997</v>
      </c>
      <c r="E326" s="6">
        <v>6.9032</v>
      </c>
      <c r="F326" s="6">
        <v>7.0213999999999999</v>
      </c>
      <c r="G326" s="6">
        <v>7.1546000000000003</v>
      </c>
      <c r="H326" s="6">
        <v>7.32</v>
      </c>
      <c r="I326" s="6">
        <v>7.9814999999999996</v>
      </c>
      <c r="J326" s="6">
        <v>8.6119000000000003</v>
      </c>
      <c r="K326" s="6">
        <v>9.2070000000000007</v>
      </c>
      <c r="L326" s="6">
        <v>9.7268000000000008</v>
      </c>
      <c r="M326" s="6">
        <v>10.495699999999999</v>
      </c>
      <c r="N326" s="6">
        <v>11.2256</v>
      </c>
      <c r="O326" s="6">
        <v>11.8832</v>
      </c>
      <c r="P326" s="6">
        <v>12.3047</v>
      </c>
      <c r="Q326" s="6"/>
    </row>
    <row r="327" spans="1:17">
      <c r="A327" s="5">
        <v>41933</v>
      </c>
      <c r="B327" s="5" t="str">
        <f t="shared" si="5"/>
        <v>2014 q4</v>
      </c>
      <c r="C327" s="6">
        <v>6.8171999999999997</v>
      </c>
      <c r="D327" s="6">
        <v>6.85</v>
      </c>
      <c r="E327" s="6">
        <v>6.9177</v>
      </c>
      <c r="F327" s="6">
        <v>7.0194000000000001</v>
      </c>
      <c r="G327" s="6">
        <v>7.1497000000000002</v>
      </c>
      <c r="H327" s="6">
        <v>7.3131000000000004</v>
      </c>
      <c r="I327" s="6">
        <v>7.9667000000000003</v>
      </c>
      <c r="J327" s="6">
        <v>8.5937999999999999</v>
      </c>
      <c r="K327" s="6">
        <v>9.1917000000000009</v>
      </c>
      <c r="L327" s="6">
        <v>9.7121999999999993</v>
      </c>
      <c r="M327" s="6">
        <v>10.4801</v>
      </c>
      <c r="N327" s="6">
        <v>11.204599999999999</v>
      </c>
      <c r="O327" s="6">
        <v>11.8538</v>
      </c>
      <c r="P327" s="6">
        <v>12.2692</v>
      </c>
      <c r="Q327" s="6"/>
    </row>
    <row r="328" spans="1:17">
      <c r="A328" s="5">
        <v>41934</v>
      </c>
      <c r="B328" s="5" t="str">
        <f t="shared" si="5"/>
        <v>2014 q4</v>
      </c>
      <c r="C328" s="6">
        <v>6.7412000000000001</v>
      </c>
      <c r="D328" s="6">
        <v>6.7877999999999998</v>
      </c>
      <c r="E328" s="6">
        <v>6.8841000000000001</v>
      </c>
      <c r="F328" s="6">
        <v>7.0286</v>
      </c>
      <c r="G328" s="6">
        <v>7.1829000000000001</v>
      </c>
      <c r="H328" s="6">
        <v>7.3451000000000004</v>
      </c>
      <c r="I328" s="6">
        <v>7.9939</v>
      </c>
      <c r="J328" s="6">
        <v>8.6030999999999995</v>
      </c>
      <c r="K328" s="6">
        <v>9.1691000000000003</v>
      </c>
      <c r="L328" s="6">
        <v>9.6704000000000008</v>
      </c>
      <c r="M328" s="6">
        <v>10.442399999999999</v>
      </c>
      <c r="N328" s="6">
        <v>11.214700000000001</v>
      </c>
      <c r="O328" s="6">
        <v>11.9476</v>
      </c>
      <c r="P328" s="6">
        <v>12.429600000000001</v>
      </c>
      <c r="Q328" s="6"/>
    </row>
    <row r="329" spans="1:17">
      <c r="A329" s="5">
        <v>41935</v>
      </c>
      <c r="B329" s="5" t="str">
        <f t="shared" si="5"/>
        <v>2014 q4</v>
      </c>
      <c r="C329" s="6">
        <v>6.7106000000000003</v>
      </c>
      <c r="D329" s="6">
        <v>6.7610999999999999</v>
      </c>
      <c r="E329" s="6">
        <v>6.8651999999999997</v>
      </c>
      <c r="F329" s="6">
        <v>7.0216000000000003</v>
      </c>
      <c r="G329" s="6">
        <v>7.1814999999999998</v>
      </c>
      <c r="H329" s="6">
        <v>7.3409000000000004</v>
      </c>
      <c r="I329" s="6">
        <v>7.9782999999999999</v>
      </c>
      <c r="J329" s="6">
        <v>8.5723000000000003</v>
      </c>
      <c r="K329" s="6">
        <v>9.1196000000000002</v>
      </c>
      <c r="L329" s="6">
        <v>9.6088000000000005</v>
      </c>
      <c r="M329" s="6">
        <v>10.380699999999999</v>
      </c>
      <c r="N329" s="6">
        <v>11.180999999999999</v>
      </c>
      <c r="O329" s="6">
        <v>11.9719</v>
      </c>
      <c r="P329" s="6">
        <v>12.504200000000001</v>
      </c>
      <c r="Q329" s="6"/>
    </row>
    <row r="330" spans="1:17">
      <c r="A330" s="5">
        <v>41936</v>
      </c>
      <c r="B330" s="5" t="str">
        <f t="shared" si="5"/>
        <v>2014 q4</v>
      </c>
      <c r="C330" s="6">
        <v>6.6447000000000003</v>
      </c>
      <c r="D330" s="6">
        <v>6.7022000000000004</v>
      </c>
      <c r="E330" s="6">
        <v>6.8209999999999997</v>
      </c>
      <c r="F330" s="6">
        <v>6.9992000000000001</v>
      </c>
      <c r="G330" s="6">
        <v>7.1744000000000003</v>
      </c>
      <c r="H330" s="6">
        <v>7.3388999999999998</v>
      </c>
      <c r="I330" s="6">
        <v>7.9972000000000003</v>
      </c>
      <c r="J330" s="6">
        <v>8.6168999999999993</v>
      </c>
      <c r="K330" s="6">
        <v>9.1501000000000001</v>
      </c>
      <c r="L330" s="6">
        <v>9.6170000000000009</v>
      </c>
      <c r="M330" s="6">
        <v>10.376899999999999</v>
      </c>
      <c r="N330" s="6">
        <v>11.178000000000001</v>
      </c>
      <c r="O330" s="6">
        <v>11.99</v>
      </c>
      <c r="P330" s="6">
        <v>12.5467</v>
      </c>
      <c r="Q330" s="6"/>
    </row>
    <row r="331" spans="1:17">
      <c r="A331" s="5">
        <v>41939</v>
      </c>
      <c r="B331" s="5" t="str">
        <f t="shared" si="5"/>
        <v>2014 q4</v>
      </c>
      <c r="C331" s="6">
        <v>6.6790000000000003</v>
      </c>
      <c r="D331" s="6">
        <v>6.7298999999999998</v>
      </c>
      <c r="E331" s="6">
        <v>6.8350999999999997</v>
      </c>
      <c r="F331" s="6">
        <v>6.9931999999999999</v>
      </c>
      <c r="G331" s="6">
        <v>7.1566999999999998</v>
      </c>
      <c r="H331" s="6">
        <v>7.3212999999999999</v>
      </c>
      <c r="I331" s="6">
        <v>7.9797000000000002</v>
      </c>
      <c r="J331" s="6">
        <v>8.6105999999999998</v>
      </c>
      <c r="K331" s="6">
        <v>9.1647999999999996</v>
      </c>
      <c r="L331" s="6">
        <v>9.6458999999999993</v>
      </c>
      <c r="M331" s="6">
        <v>10.4124</v>
      </c>
      <c r="N331" s="6">
        <v>11.1869</v>
      </c>
      <c r="O331" s="6">
        <v>11.9316</v>
      </c>
      <c r="P331" s="6">
        <v>12.4253</v>
      </c>
      <c r="Q331" s="6"/>
    </row>
    <row r="332" spans="1:17">
      <c r="A332" s="5">
        <v>41940</v>
      </c>
      <c r="B332" s="5" t="str">
        <f t="shared" si="5"/>
        <v>2014 q4</v>
      </c>
      <c r="C332" s="6">
        <v>6.6094999999999997</v>
      </c>
      <c r="D332" s="6">
        <v>6.6734999999999998</v>
      </c>
      <c r="E332" s="6">
        <v>6.8056000000000001</v>
      </c>
      <c r="F332" s="6">
        <v>7.0033000000000003</v>
      </c>
      <c r="G332" s="6">
        <v>7.1914999999999996</v>
      </c>
      <c r="H332" s="6">
        <v>7.3586</v>
      </c>
      <c r="I332" s="6">
        <v>8.0274000000000001</v>
      </c>
      <c r="J332" s="6">
        <v>8.6420999999999992</v>
      </c>
      <c r="K332" s="6">
        <v>9.1536000000000008</v>
      </c>
      <c r="L332" s="6">
        <v>9.6013999999999999</v>
      </c>
      <c r="M332" s="6">
        <v>10.342599999999999</v>
      </c>
      <c r="N332" s="6">
        <v>11.163</v>
      </c>
      <c r="O332" s="6">
        <v>12.0687</v>
      </c>
      <c r="P332" s="6">
        <v>12.7348</v>
      </c>
      <c r="Q332" s="6"/>
    </row>
    <row r="333" spans="1:17">
      <c r="A333" s="5">
        <v>41941</v>
      </c>
      <c r="B333" s="5" t="str">
        <f t="shared" si="5"/>
        <v>2014 q4</v>
      </c>
      <c r="C333" s="6">
        <v>6.7308000000000003</v>
      </c>
      <c r="D333" s="6">
        <v>6.774</v>
      </c>
      <c r="E333" s="6">
        <v>6.8634000000000004</v>
      </c>
      <c r="F333" s="6">
        <v>6.9983000000000004</v>
      </c>
      <c r="G333" s="6">
        <v>7.1445999999999996</v>
      </c>
      <c r="H333" s="6">
        <v>7.3033000000000001</v>
      </c>
      <c r="I333" s="6">
        <v>7.9382999999999999</v>
      </c>
      <c r="J333" s="6">
        <v>8.5411999999999999</v>
      </c>
      <c r="K333" s="6">
        <v>9.1115999999999993</v>
      </c>
      <c r="L333" s="6">
        <v>9.6159999999999997</v>
      </c>
      <c r="M333" s="6">
        <v>10.3978</v>
      </c>
      <c r="N333" s="6">
        <v>11.1806</v>
      </c>
      <c r="O333" s="6">
        <v>11.923</v>
      </c>
      <c r="P333" s="6">
        <v>12.4115</v>
      </c>
      <c r="Q333" s="6"/>
    </row>
    <row r="334" spans="1:17">
      <c r="A334" s="5">
        <v>41942</v>
      </c>
      <c r="B334" s="5" t="str">
        <f t="shared" si="5"/>
        <v>2014 q4</v>
      </c>
      <c r="C334" s="6">
        <v>6.5946999999999996</v>
      </c>
      <c r="D334" s="6">
        <v>6.6589999999999998</v>
      </c>
      <c r="E334" s="6">
        <v>6.7916999999999996</v>
      </c>
      <c r="F334" s="6">
        <v>6.9903000000000004</v>
      </c>
      <c r="G334" s="6">
        <v>7.1786000000000003</v>
      </c>
      <c r="H334" s="6">
        <v>7.3464</v>
      </c>
      <c r="I334" s="6">
        <v>8.0175999999999998</v>
      </c>
      <c r="J334" s="6">
        <v>8.6336999999999993</v>
      </c>
      <c r="K334" s="6">
        <v>9.1458999999999993</v>
      </c>
      <c r="L334" s="6">
        <v>9.5937999999999999</v>
      </c>
      <c r="M334" s="6">
        <v>10.3347</v>
      </c>
      <c r="N334" s="6">
        <v>11.153700000000001</v>
      </c>
      <c r="O334" s="6">
        <v>12.0564</v>
      </c>
      <c r="P334" s="6">
        <v>12.7197</v>
      </c>
      <c r="Q334" s="6"/>
    </row>
    <row r="335" spans="1:17">
      <c r="A335" s="5">
        <v>41943</v>
      </c>
      <c r="B335" s="5" t="str">
        <f t="shared" si="5"/>
        <v>2014 q4</v>
      </c>
      <c r="C335" s="6">
        <v>6.5926999999999998</v>
      </c>
      <c r="D335" s="6">
        <v>6.6577000000000002</v>
      </c>
      <c r="E335" s="6">
        <v>6.7919999999999998</v>
      </c>
      <c r="F335" s="6">
        <v>6.9927999999999999</v>
      </c>
      <c r="G335" s="6">
        <v>7.1829000000000001</v>
      </c>
      <c r="H335" s="6">
        <v>7.3521999999999998</v>
      </c>
      <c r="I335" s="6">
        <v>8.0294000000000008</v>
      </c>
      <c r="J335" s="6">
        <v>8.6282999999999994</v>
      </c>
      <c r="K335" s="6">
        <v>9.1499000000000006</v>
      </c>
      <c r="L335" s="6">
        <v>9.6128999999999998</v>
      </c>
      <c r="M335" s="6">
        <v>10.353400000000001</v>
      </c>
      <c r="N335" s="6">
        <v>11.168699999999999</v>
      </c>
      <c r="O335" s="6">
        <v>12.062900000000001</v>
      </c>
      <c r="P335" s="6">
        <v>12.7178</v>
      </c>
      <c r="Q335" s="6"/>
    </row>
    <row r="336" spans="1:17">
      <c r="A336" s="5">
        <v>41946</v>
      </c>
      <c r="B336" s="5" t="str">
        <f t="shared" si="5"/>
        <v>2014 q4</v>
      </c>
      <c r="C336" s="6">
        <v>6.5929000000000002</v>
      </c>
      <c r="D336" s="6">
        <v>6.6577000000000002</v>
      </c>
      <c r="E336" s="6">
        <v>6.7912999999999997</v>
      </c>
      <c r="F336" s="6">
        <v>6.9909999999999997</v>
      </c>
      <c r="G336" s="6">
        <v>7.1798000000000002</v>
      </c>
      <c r="H336" s="6">
        <v>7.3480999999999996</v>
      </c>
      <c r="I336" s="6">
        <v>8.0210000000000008</v>
      </c>
      <c r="J336" s="6">
        <v>8.6369000000000007</v>
      </c>
      <c r="K336" s="6">
        <v>9.1469000000000005</v>
      </c>
      <c r="L336" s="6">
        <v>9.5914000000000001</v>
      </c>
      <c r="M336" s="6">
        <v>10.3241</v>
      </c>
      <c r="N336" s="6">
        <v>11.129300000000001</v>
      </c>
      <c r="O336" s="6">
        <v>12.0106</v>
      </c>
      <c r="P336" s="6">
        <v>12.655200000000001</v>
      </c>
      <c r="Q336" s="6"/>
    </row>
    <row r="337" spans="1:17">
      <c r="A337" s="5">
        <v>41947</v>
      </c>
      <c r="B337" s="5" t="str">
        <f t="shared" si="5"/>
        <v>2014 q4</v>
      </c>
      <c r="C337" s="6">
        <v>6.6475999999999997</v>
      </c>
      <c r="D337" s="6">
        <v>6.7008999999999999</v>
      </c>
      <c r="E337" s="6">
        <v>6.8108000000000004</v>
      </c>
      <c r="F337" s="6">
        <v>6.9763000000000002</v>
      </c>
      <c r="G337" s="6">
        <v>7.1441999999999997</v>
      </c>
      <c r="H337" s="6">
        <v>7.3121</v>
      </c>
      <c r="I337" s="6">
        <v>7.9663000000000004</v>
      </c>
      <c r="J337" s="6">
        <v>8.5901999999999994</v>
      </c>
      <c r="K337" s="6">
        <v>9.1370000000000005</v>
      </c>
      <c r="L337" s="6">
        <v>9.6127000000000002</v>
      </c>
      <c r="M337" s="6">
        <v>10.378399999999999</v>
      </c>
      <c r="N337" s="6">
        <v>11.164300000000001</v>
      </c>
      <c r="O337" s="6">
        <v>11.934200000000001</v>
      </c>
      <c r="P337" s="6">
        <v>12.4512</v>
      </c>
      <c r="Q337" s="6"/>
    </row>
    <row r="338" spans="1:17">
      <c r="A338" s="5">
        <v>41948</v>
      </c>
      <c r="B338" s="5" t="str">
        <f t="shared" si="5"/>
        <v>2014 q4</v>
      </c>
      <c r="C338" s="6">
        <v>6.69</v>
      </c>
      <c r="D338" s="6">
        <v>6.7358000000000002</v>
      </c>
      <c r="E338" s="6">
        <v>6.8303000000000003</v>
      </c>
      <c r="F338" s="6">
        <v>6.9737</v>
      </c>
      <c r="G338" s="6">
        <v>7.125</v>
      </c>
      <c r="H338" s="6">
        <v>7.2765000000000004</v>
      </c>
      <c r="I338" s="6">
        <v>7.9071999999999996</v>
      </c>
      <c r="J338" s="6">
        <v>8.5024999999999995</v>
      </c>
      <c r="K338" s="6">
        <v>9.0646000000000004</v>
      </c>
      <c r="L338" s="6">
        <v>9.5642999999999994</v>
      </c>
      <c r="M338" s="6">
        <v>10.357200000000001</v>
      </c>
      <c r="N338" s="6">
        <v>11.1747</v>
      </c>
      <c r="O338" s="6">
        <v>11.9754</v>
      </c>
      <c r="P338" s="6">
        <v>12.5121</v>
      </c>
      <c r="Q338" s="6"/>
    </row>
    <row r="339" spans="1:17">
      <c r="A339" s="5">
        <v>41949</v>
      </c>
      <c r="B339" s="5" t="str">
        <f t="shared" si="5"/>
        <v>2014 q4</v>
      </c>
      <c r="C339" s="6">
        <v>6.7972999999999999</v>
      </c>
      <c r="D339" s="6">
        <v>6.8173000000000004</v>
      </c>
      <c r="E339" s="6">
        <v>6.8587999999999996</v>
      </c>
      <c r="F339" s="6">
        <v>6.9283000000000001</v>
      </c>
      <c r="G339" s="6">
        <v>7.0321999999999996</v>
      </c>
      <c r="H339" s="6">
        <v>7.1372999999999998</v>
      </c>
      <c r="I339" s="6">
        <v>7.7445000000000004</v>
      </c>
      <c r="J339" s="6">
        <v>8.3841000000000001</v>
      </c>
      <c r="K339" s="6">
        <v>9.0136000000000003</v>
      </c>
      <c r="L339" s="6">
        <v>9.5714000000000006</v>
      </c>
      <c r="M339" s="6">
        <v>10.4427</v>
      </c>
      <c r="N339" s="6">
        <v>11.300599999999999</v>
      </c>
      <c r="O339" s="6">
        <v>12.095800000000001</v>
      </c>
      <c r="P339" s="6">
        <v>12.6129</v>
      </c>
      <c r="Q339" s="6"/>
    </row>
    <row r="340" spans="1:17">
      <c r="A340" s="5">
        <v>41950</v>
      </c>
      <c r="B340" s="5" t="str">
        <f t="shared" si="5"/>
        <v>2014 q4</v>
      </c>
      <c r="C340" s="6">
        <v>6.6711999999999998</v>
      </c>
      <c r="D340" s="6">
        <v>6.7211999999999996</v>
      </c>
      <c r="E340" s="6">
        <v>6.8243999999999998</v>
      </c>
      <c r="F340" s="6">
        <v>6.9798999999999998</v>
      </c>
      <c r="G340" s="6">
        <v>7.1379999999999999</v>
      </c>
      <c r="H340" s="6">
        <v>7.2958999999999996</v>
      </c>
      <c r="I340" s="6">
        <v>7.9198000000000004</v>
      </c>
      <c r="J340" s="6">
        <v>8.5025999999999993</v>
      </c>
      <c r="K340" s="6">
        <v>9.0479000000000003</v>
      </c>
      <c r="L340" s="6">
        <v>9.5355000000000008</v>
      </c>
      <c r="M340" s="6">
        <v>10.322699999999999</v>
      </c>
      <c r="N340" s="6">
        <v>11.1592</v>
      </c>
      <c r="O340" s="6">
        <v>12.0098</v>
      </c>
      <c r="P340" s="6">
        <v>12.5937</v>
      </c>
      <c r="Q340" s="6"/>
    </row>
    <row r="341" spans="1:17">
      <c r="A341" s="5">
        <v>41953</v>
      </c>
      <c r="B341" s="5" t="str">
        <f t="shared" si="5"/>
        <v>2014 q4</v>
      </c>
      <c r="C341" s="6">
        <v>6.6153000000000004</v>
      </c>
      <c r="D341" s="6">
        <v>6.6753</v>
      </c>
      <c r="E341" s="6">
        <v>6.7990000000000004</v>
      </c>
      <c r="F341" s="6">
        <v>6.9829999999999997</v>
      </c>
      <c r="G341" s="6">
        <v>7.1599000000000004</v>
      </c>
      <c r="H341" s="6">
        <v>7.3357000000000001</v>
      </c>
      <c r="I341" s="6">
        <v>7.9603999999999999</v>
      </c>
      <c r="J341" s="6">
        <v>8.5227000000000004</v>
      </c>
      <c r="K341" s="6">
        <v>9.0284999999999993</v>
      </c>
      <c r="L341" s="6">
        <v>9.4809999999999999</v>
      </c>
      <c r="M341" s="6">
        <v>10.2241</v>
      </c>
      <c r="N341" s="6">
        <v>11.0677</v>
      </c>
      <c r="O341" s="6">
        <v>12.029500000000001</v>
      </c>
      <c r="P341" s="6">
        <v>12.7545</v>
      </c>
      <c r="Q341" s="6"/>
    </row>
    <row r="342" spans="1:17">
      <c r="A342" s="5">
        <v>41954</v>
      </c>
      <c r="B342" s="5" t="str">
        <f t="shared" si="5"/>
        <v>2014 q4</v>
      </c>
      <c r="C342" s="6">
        <v>6.7049000000000003</v>
      </c>
      <c r="D342" s="6">
        <v>6.7472000000000003</v>
      </c>
      <c r="E342" s="6">
        <v>6.8345000000000002</v>
      </c>
      <c r="F342" s="6">
        <v>6.9673999999999996</v>
      </c>
      <c r="G342" s="6">
        <v>7.1067999999999998</v>
      </c>
      <c r="H342" s="6">
        <v>7.258</v>
      </c>
      <c r="I342" s="6">
        <v>7.8625999999999996</v>
      </c>
      <c r="J342" s="6">
        <v>8.4406999999999996</v>
      </c>
      <c r="K342" s="6">
        <v>8.9955999999999996</v>
      </c>
      <c r="L342" s="6">
        <v>9.4906000000000006</v>
      </c>
      <c r="M342" s="6">
        <v>10.286199999999999</v>
      </c>
      <c r="N342" s="6">
        <v>11.1149</v>
      </c>
      <c r="O342" s="6">
        <v>11.934799999999999</v>
      </c>
      <c r="P342" s="6">
        <v>12.4876</v>
      </c>
      <c r="Q342" s="6"/>
    </row>
    <row r="343" spans="1:17">
      <c r="A343" s="5">
        <v>41955</v>
      </c>
      <c r="B343" s="5" t="str">
        <f t="shared" si="5"/>
        <v>2014 q4</v>
      </c>
      <c r="C343" s="6">
        <v>6.7375999999999996</v>
      </c>
      <c r="D343" s="6">
        <v>6.7736999999999998</v>
      </c>
      <c r="E343" s="6">
        <v>6.8482000000000003</v>
      </c>
      <c r="F343" s="6">
        <v>6.9638</v>
      </c>
      <c r="G343" s="6">
        <v>7.0913000000000004</v>
      </c>
      <c r="H343" s="6">
        <v>7.2431999999999999</v>
      </c>
      <c r="I343" s="6">
        <v>7.8506</v>
      </c>
      <c r="J343" s="6">
        <v>8.4390999999999998</v>
      </c>
      <c r="K343" s="6">
        <v>9.0112000000000005</v>
      </c>
      <c r="L343" s="6">
        <v>9.5152999999999999</v>
      </c>
      <c r="M343" s="6">
        <v>10.3063</v>
      </c>
      <c r="N343" s="6">
        <v>11.100099999999999</v>
      </c>
      <c r="O343" s="6">
        <v>11.8538</v>
      </c>
      <c r="P343" s="6">
        <v>12.3507</v>
      </c>
      <c r="Q343" s="6"/>
    </row>
    <row r="344" spans="1:17">
      <c r="A344" s="5">
        <v>41956</v>
      </c>
      <c r="B344" s="5" t="str">
        <f t="shared" si="5"/>
        <v>2014 q4</v>
      </c>
      <c r="C344" s="6">
        <v>6.7638999999999996</v>
      </c>
      <c r="D344" s="6">
        <v>6.7946999999999997</v>
      </c>
      <c r="E344" s="6">
        <v>6.8583999999999996</v>
      </c>
      <c r="F344" s="6">
        <v>6.9596999999999998</v>
      </c>
      <c r="G344" s="6">
        <v>7.0787000000000004</v>
      </c>
      <c r="H344" s="6">
        <v>7.2329999999999997</v>
      </c>
      <c r="I344" s="6">
        <v>7.8503999999999996</v>
      </c>
      <c r="J344" s="6">
        <v>8.4506999999999994</v>
      </c>
      <c r="K344" s="6">
        <v>9.0363000000000007</v>
      </c>
      <c r="L344" s="6">
        <v>9.5437999999999992</v>
      </c>
      <c r="M344" s="6">
        <v>10.3178</v>
      </c>
      <c r="N344" s="6">
        <v>11.0664</v>
      </c>
      <c r="O344" s="6">
        <v>11.7524</v>
      </c>
      <c r="P344" s="6">
        <v>12.1972</v>
      </c>
      <c r="Q344" s="6"/>
    </row>
    <row r="345" spans="1:17">
      <c r="A345" s="5">
        <v>41957</v>
      </c>
      <c r="B345" s="5" t="str">
        <f t="shared" si="5"/>
        <v>2014 q4</v>
      </c>
      <c r="C345" s="6">
        <v>6.7351000000000001</v>
      </c>
      <c r="D345" s="6">
        <v>6.7723000000000004</v>
      </c>
      <c r="E345" s="6">
        <v>6.8489000000000004</v>
      </c>
      <c r="F345" s="6">
        <v>6.9680999999999997</v>
      </c>
      <c r="G345" s="6">
        <v>7.0994999999999999</v>
      </c>
      <c r="H345" s="6">
        <v>7.2539999999999996</v>
      </c>
      <c r="I345" s="6">
        <v>7.8723000000000001</v>
      </c>
      <c r="J345" s="6">
        <v>8.4878</v>
      </c>
      <c r="K345" s="6">
        <v>9.0555000000000003</v>
      </c>
      <c r="L345" s="6">
        <v>9.5492000000000008</v>
      </c>
      <c r="M345" s="6">
        <v>10.336600000000001</v>
      </c>
      <c r="N345" s="6">
        <v>11.1214</v>
      </c>
      <c r="O345" s="6">
        <v>11.862</v>
      </c>
      <c r="P345" s="6">
        <v>12.3491</v>
      </c>
      <c r="Q345" s="6"/>
    </row>
    <row r="346" spans="1:17">
      <c r="A346" s="5">
        <v>41960</v>
      </c>
      <c r="B346" s="5" t="str">
        <f t="shared" si="5"/>
        <v>2014 q4</v>
      </c>
      <c r="C346" s="6">
        <v>6.7436999999999996</v>
      </c>
      <c r="D346" s="6">
        <v>6.7793000000000001</v>
      </c>
      <c r="E346" s="6">
        <v>6.8529</v>
      </c>
      <c r="F346" s="6">
        <v>6.9678000000000004</v>
      </c>
      <c r="G346" s="6">
        <v>7.0957999999999997</v>
      </c>
      <c r="H346" s="6">
        <v>7.2485999999999997</v>
      </c>
      <c r="I346" s="6">
        <v>7.86</v>
      </c>
      <c r="J346" s="6">
        <v>8.4521999999999995</v>
      </c>
      <c r="K346" s="6">
        <v>9.0282999999999998</v>
      </c>
      <c r="L346" s="6">
        <v>9.5336999999999996</v>
      </c>
      <c r="M346" s="6">
        <v>10.324</v>
      </c>
      <c r="N346" s="6">
        <v>11.1129</v>
      </c>
      <c r="O346" s="6">
        <v>11.8581</v>
      </c>
      <c r="P346" s="6">
        <v>12.3484</v>
      </c>
      <c r="Q346" s="6"/>
    </row>
    <row r="347" spans="1:17">
      <c r="A347" s="5">
        <v>41961</v>
      </c>
      <c r="B347" s="5" t="str">
        <f t="shared" si="5"/>
        <v>2014 q4</v>
      </c>
      <c r="C347" s="6">
        <v>6.7549000000000001</v>
      </c>
      <c r="D347" s="6">
        <v>6.7906000000000004</v>
      </c>
      <c r="E347" s="6">
        <v>6.8642000000000003</v>
      </c>
      <c r="F347" s="6">
        <v>6.9747000000000003</v>
      </c>
      <c r="G347" s="6">
        <v>7.1039000000000003</v>
      </c>
      <c r="H347" s="6">
        <v>7.2568999999999999</v>
      </c>
      <c r="I347" s="6">
        <v>7.8691000000000004</v>
      </c>
      <c r="J347" s="6">
        <v>8.4625000000000004</v>
      </c>
      <c r="K347" s="6">
        <v>9.0409000000000006</v>
      </c>
      <c r="L347" s="6">
        <v>9.5460999999999991</v>
      </c>
      <c r="M347" s="6">
        <v>10.3337</v>
      </c>
      <c r="N347" s="6">
        <v>11.1159</v>
      </c>
      <c r="O347" s="6">
        <v>11.8512</v>
      </c>
      <c r="P347" s="6">
        <v>12.334199999999999</v>
      </c>
      <c r="Q347" s="6"/>
    </row>
    <row r="348" spans="1:17">
      <c r="A348" s="5">
        <v>41962</v>
      </c>
      <c r="B348" s="5" t="str">
        <f t="shared" si="5"/>
        <v>2014 q4</v>
      </c>
      <c r="C348" s="6">
        <v>6.6220999999999997</v>
      </c>
      <c r="D348" s="6">
        <v>6.6833999999999998</v>
      </c>
      <c r="E348" s="6">
        <v>6.8098999999999998</v>
      </c>
      <c r="F348" s="6">
        <v>6.9997999999999996</v>
      </c>
      <c r="G348" s="6">
        <v>7.1809000000000003</v>
      </c>
      <c r="H348" s="6">
        <v>7.3422000000000001</v>
      </c>
      <c r="I348" s="6">
        <v>7.9873000000000003</v>
      </c>
      <c r="J348" s="6">
        <v>8.5558999999999994</v>
      </c>
      <c r="K348" s="6">
        <v>9.0632999999999999</v>
      </c>
      <c r="L348" s="6">
        <v>9.5111000000000008</v>
      </c>
      <c r="M348" s="6">
        <v>10.240500000000001</v>
      </c>
      <c r="N348" s="6">
        <v>11.0566</v>
      </c>
      <c r="O348" s="6">
        <v>11.971</v>
      </c>
      <c r="P348" s="6">
        <v>12.6526</v>
      </c>
      <c r="Q348" s="6"/>
    </row>
    <row r="349" spans="1:17">
      <c r="A349" s="5">
        <v>41963</v>
      </c>
      <c r="B349" s="5" t="str">
        <f t="shared" si="5"/>
        <v>2014 q4</v>
      </c>
      <c r="C349" s="6">
        <v>6.6676000000000002</v>
      </c>
      <c r="D349" s="6">
        <v>6.7191999999999998</v>
      </c>
      <c r="E349" s="6">
        <v>6.8257000000000003</v>
      </c>
      <c r="F349" s="6">
        <v>6.9855</v>
      </c>
      <c r="G349" s="6">
        <v>7.1474000000000002</v>
      </c>
      <c r="H349" s="6">
        <v>7.3075000000000001</v>
      </c>
      <c r="I349" s="6">
        <v>7.9478</v>
      </c>
      <c r="J349" s="6">
        <v>8.5406999999999993</v>
      </c>
      <c r="K349" s="6">
        <v>9.0960999999999999</v>
      </c>
      <c r="L349" s="6">
        <v>9.5876999999999999</v>
      </c>
      <c r="M349" s="6">
        <v>10.380800000000001</v>
      </c>
      <c r="N349" s="6">
        <v>11.2202</v>
      </c>
      <c r="O349" s="6">
        <v>12.0717</v>
      </c>
      <c r="P349" s="6">
        <v>12.656599999999999</v>
      </c>
      <c r="Q349" s="6"/>
    </row>
    <row r="350" spans="1:17">
      <c r="A350" s="5">
        <v>41964</v>
      </c>
      <c r="B350" s="5" t="str">
        <f t="shared" si="5"/>
        <v>2014 q4</v>
      </c>
      <c r="C350" s="6">
        <v>6.7134</v>
      </c>
      <c r="D350" s="6">
        <v>6.7561999999999998</v>
      </c>
      <c r="E350" s="6">
        <v>6.8445</v>
      </c>
      <c r="F350" s="6">
        <v>6.9772999999999996</v>
      </c>
      <c r="G350" s="6">
        <v>7.1260000000000003</v>
      </c>
      <c r="H350" s="6">
        <v>7.2903000000000002</v>
      </c>
      <c r="I350" s="6">
        <v>7.9474</v>
      </c>
      <c r="J350" s="6">
        <v>8.5634999999999994</v>
      </c>
      <c r="K350" s="6">
        <v>9.1472999999999995</v>
      </c>
      <c r="L350" s="6">
        <v>9.6477000000000004</v>
      </c>
      <c r="M350" s="6">
        <v>10.4093</v>
      </c>
      <c r="N350" s="6">
        <v>11.148999999999999</v>
      </c>
      <c r="O350" s="6">
        <v>11.8324</v>
      </c>
      <c r="P350" s="6">
        <v>12.278</v>
      </c>
      <c r="Q350" s="6"/>
    </row>
    <row r="351" spans="1:17">
      <c r="A351" s="5">
        <v>41967</v>
      </c>
      <c r="B351" s="5" t="str">
        <f t="shared" si="5"/>
        <v>2014 q4</v>
      </c>
      <c r="C351" s="6">
        <v>6.5961999999999996</v>
      </c>
      <c r="D351" s="6">
        <v>6.6623999999999999</v>
      </c>
      <c r="E351" s="6">
        <v>6.7990000000000004</v>
      </c>
      <c r="F351" s="6">
        <v>7.0037000000000003</v>
      </c>
      <c r="G351" s="6">
        <v>7.1970999999999998</v>
      </c>
      <c r="H351" s="6">
        <v>7.3670999999999998</v>
      </c>
      <c r="I351" s="6">
        <v>8.0472000000000001</v>
      </c>
      <c r="J351" s="6">
        <v>8.6609999999999996</v>
      </c>
      <c r="K351" s="6">
        <v>9.1659000000000006</v>
      </c>
      <c r="L351" s="6">
        <v>9.6006999999999998</v>
      </c>
      <c r="M351" s="6">
        <v>10.3123</v>
      </c>
      <c r="N351" s="6">
        <v>11.0817</v>
      </c>
      <c r="O351" s="6">
        <v>11.9091</v>
      </c>
      <c r="P351" s="6">
        <v>12.5084</v>
      </c>
      <c r="Q351" s="6"/>
    </row>
    <row r="352" spans="1:17">
      <c r="A352" s="5">
        <v>41968</v>
      </c>
      <c r="B352" s="5" t="str">
        <f t="shared" si="5"/>
        <v>2014 q4</v>
      </c>
      <c r="C352" s="6">
        <v>6.69</v>
      </c>
      <c r="D352" s="6">
        <v>6.7526000000000002</v>
      </c>
      <c r="E352" s="6">
        <v>6.8818000000000001</v>
      </c>
      <c r="F352" s="6">
        <v>7.0753000000000004</v>
      </c>
      <c r="G352" s="6">
        <v>7.2592999999999996</v>
      </c>
      <c r="H352" s="6">
        <v>7.423</v>
      </c>
      <c r="I352" s="6">
        <v>8.0780999999999992</v>
      </c>
      <c r="J352" s="6">
        <v>8.6722000000000001</v>
      </c>
      <c r="K352" s="6">
        <v>9.1672999999999991</v>
      </c>
      <c r="L352" s="6">
        <v>9.5974000000000004</v>
      </c>
      <c r="M352" s="6">
        <v>10.309699999999999</v>
      </c>
      <c r="N352" s="6">
        <v>11.093500000000001</v>
      </c>
      <c r="O352" s="6">
        <v>11.954599999999999</v>
      </c>
      <c r="P352" s="6">
        <v>12.587999999999999</v>
      </c>
      <c r="Q352" s="6"/>
    </row>
    <row r="353" spans="1:17">
      <c r="A353" s="5">
        <v>41969</v>
      </c>
      <c r="B353" s="5" t="str">
        <f t="shared" si="5"/>
        <v>2014 q4</v>
      </c>
      <c r="C353" s="6">
        <v>6.9343000000000004</v>
      </c>
      <c r="D353" s="6">
        <v>6.9526000000000003</v>
      </c>
      <c r="E353" s="6">
        <v>6.9903000000000004</v>
      </c>
      <c r="F353" s="6">
        <v>7.0503999999999998</v>
      </c>
      <c r="G353" s="6">
        <v>7.1650999999999998</v>
      </c>
      <c r="H353" s="6">
        <v>7.3432000000000004</v>
      </c>
      <c r="I353" s="6">
        <v>8.0555000000000003</v>
      </c>
      <c r="J353" s="6">
        <v>8.7391000000000005</v>
      </c>
      <c r="K353" s="6">
        <v>9.4016000000000002</v>
      </c>
      <c r="L353" s="6">
        <v>9.9380000000000006</v>
      </c>
      <c r="M353" s="6">
        <v>10.6875</v>
      </c>
      <c r="N353" s="6">
        <v>11.3454</v>
      </c>
      <c r="O353" s="6">
        <v>11.9055</v>
      </c>
      <c r="P353" s="6">
        <v>12.26</v>
      </c>
      <c r="Q353" s="6"/>
    </row>
    <row r="354" spans="1:17">
      <c r="A354" s="5">
        <v>41970</v>
      </c>
      <c r="B354" s="5" t="str">
        <f t="shared" si="5"/>
        <v>2014 q4</v>
      </c>
      <c r="C354" s="6">
        <v>7.1177000000000001</v>
      </c>
      <c r="D354" s="6">
        <v>7.0987</v>
      </c>
      <c r="E354" s="6">
        <v>7.0595999999999997</v>
      </c>
      <c r="F354" s="6">
        <v>7.0105000000000004</v>
      </c>
      <c r="G354" s="6">
        <v>7.0871000000000004</v>
      </c>
      <c r="H354" s="6">
        <v>7.2942999999999998</v>
      </c>
      <c r="I354" s="6">
        <v>8.1227999999999998</v>
      </c>
      <c r="J354" s="6">
        <v>8.9647000000000006</v>
      </c>
      <c r="K354" s="6">
        <v>9.6715999999999998</v>
      </c>
      <c r="L354" s="6">
        <v>10.202999999999999</v>
      </c>
      <c r="M354" s="6">
        <v>10.919</v>
      </c>
      <c r="N354" s="6">
        <v>11.5016</v>
      </c>
      <c r="O354" s="6">
        <v>11.978300000000001</v>
      </c>
      <c r="P354" s="6">
        <v>12.277699999999999</v>
      </c>
      <c r="Q354" s="6"/>
    </row>
    <row r="355" spans="1:17">
      <c r="A355" s="5">
        <v>41971</v>
      </c>
      <c r="B355" s="5" t="str">
        <f t="shared" si="5"/>
        <v>2014 q4</v>
      </c>
      <c r="C355" s="6">
        <v>7.0175999999999998</v>
      </c>
      <c r="D355" s="6">
        <v>7.0186000000000002</v>
      </c>
      <c r="E355" s="6">
        <v>7.0209000000000001</v>
      </c>
      <c r="F355" s="6">
        <v>7.0338000000000003</v>
      </c>
      <c r="G355" s="6">
        <v>7.1571999999999996</v>
      </c>
      <c r="H355" s="6">
        <v>7.3832000000000004</v>
      </c>
      <c r="I355" s="6">
        <v>8.2871000000000006</v>
      </c>
      <c r="J355" s="6">
        <v>9.0838999999999999</v>
      </c>
      <c r="K355" s="6">
        <v>9.8030000000000008</v>
      </c>
      <c r="L355" s="6">
        <v>10.3401</v>
      </c>
      <c r="M355" s="6">
        <v>11.006</v>
      </c>
      <c r="N355" s="6">
        <v>11.540699999999999</v>
      </c>
      <c r="O355" s="6">
        <v>11.9763</v>
      </c>
      <c r="P355" s="6">
        <v>12.2498</v>
      </c>
      <c r="Q355" s="6"/>
    </row>
    <row r="356" spans="1:17">
      <c r="A356" s="5">
        <v>41974</v>
      </c>
      <c r="B356" s="5" t="str">
        <f t="shared" si="5"/>
        <v>2014 q4</v>
      </c>
      <c r="C356" s="6">
        <v>7.0956000000000001</v>
      </c>
      <c r="D356" s="6">
        <v>7.0799000000000003</v>
      </c>
      <c r="E356" s="6">
        <v>7.0476999999999999</v>
      </c>
      <c r="F356" s="6">
        <v>7.0137999999999998</v>
      </c>
      <c r="G356" s="6">
        <v>7.1276999999999999</v>
      </c>
      <c r="H356" s="6">
        <v>7.3678999999999997</v>
      </c>
      <c r="I356" s="6">
        <v>8.3289000000000009</v>
      </c>
      <c r="J356" s="6">
        <v>9.1491000000000007</v>
      </c>
      <c r="K356" s="6">
        <v>9.8684999999999992</v>
      </c>
      <c r="L356" s="6">
        <v>10.390499999999999</v>
      </c>
      <c r="M356" s="6">
        <v>11.010899999999999</v>
      </c>
      <c r="N356" s="6">
        <v>11.4976</v>
      </c>
      <c r="O356" s="6">
        <v>11.8911</v>
      </c>
      <c r="P356" s="6">
        <v>12.138</v>
      </c>
      <c r="Q356" s="6"/>
    </row>
    <row r="357" spans="1:17">
      <c r="A357" s="5">
        <v>41975</v>
      </c>
      <c r="B357" s="5" t="str">
        <f t="shared" si="5"/>
        <v>2014 q4</v>
      </c>
      <c r="C357" s="6">
        <v>6.9984000000000002</v>
      </c>
      <c r="D357" s="6">
        <v>7.0335000000000001</v>
      </c>
      <c r="E357" s="6">
        <v>7.1060999999999996</v>
      </c>
      <c r="F357" s="6">
        <v>7.2220000000000004</v>
      </c>
      <c r="G357" s="6">
        <v>7.3925000000000001</v>
      </c>
      <c r="H357" s="6">
        <v>7.6082000000000001</v>
      </c>
      <c r="I357" s="6">
        <v>8.4709000000000003</v>
      </c>
      <c r="J357" s="6">
        <v>9.2192000000000007</v>
      </c>
      <c r="K357" s="6">
        <v>9.8880999999999997</v>
      </c>
      <c r="L357" s="6">
        <v>10.398099999999999</v>
      </c>
      <c r="M357" s="6">
        <v>11.0596</v>
      </c>
      <c r="N357" s="6">
        <v>11.6083</v>
      </c>
      <c r="O357" s="6">
        <v>12.0619</v>
      </c>
      <c r="P357" s="6">
        <v>12.3476</v>
      </c>
      <c r="Q357" s="6"/>
    </row>
    <row r="358" spans="1:17">
      <c r="A358" s="5">
        <v>41976</v>
      </c>
      <c r="B358" s="5" t="str">
        <f t="shared" si="5"/>
        <v>2014 q4</v>
      </c>
      <c r="C358" s="6">
        <v>6.9558</v>
      </c>
      <c r="D358" s="6">
        <v>6.9995000000000003</v>
      </c>
      <c r="E358" s="6">
        <v>7.0895999999999999</v>
      </c>
      <c r="F358" s="6">
        <v>7.2333999999999996</v>
      </c>
      <c r="G358" s="6">
        <v>7.4359000000000002</v>
      </c>
      <c r="H358" s="6">
        <v>7.6763000000000003</v>
      </c>
      <c r="I358" s="6">
        <v>8.6378000000000004</v>
      </c>
      <c r="J358" s="6">
        <v>9.4223999999999997</v>
      </c>
      <c r="K358" s="6">
        <v>10.085599999999999</v>
      </c>
      <c r="L358" s="6">
        <v>10.5723</v>
      </c>
      <c r="M358" s="6">
        <v>11.1706</v>
      </c>
      <c r="N358" s="6">
        <v>11.6501</v>
      </c>
      <c r="O358" s="6">
        <v>12.040800000000001</v>
      </c>
      <c r="P358" s="6">
        <v>12.2864</v>
      </c>
      <c r="Q358" s="6"/>
    </row>
    <row r="359" spans="1:17">
      <c r="A359" s="5">
        <v>41977</v>
      </c>
      <c r="B359" s="5" t="str">
        <f t="shared" si="5"/>
        <v>2014 q4</v>
      </c>
      <c r="C359" s="6">
        <v>6.9539999999999997</v>
      </c>
      <c r="D359" s="6">
        <v>6.9974999999999996</v>
      </c>
      <c r="E359" s="6">
        <v>7.0876000000000001</v>
      </c>
      <c r="F359" s="6">
        <v>7.2354000000000003</v>
      </c>
      <c r="G359" s="6">
        <v>7.4634999999999998</v>
      </c>
      <c r="H359" s="6">
        <v>7.7394999999999996</v>
      </c>
      <c r="I359" s="6">
        <v>8.8435000000000006</v>
      </c>
      <c r="J359" s="6">
        <v>9.7181999999999995</v>
      </c>
      <c r="K359" s="6">
        <v>10.4376</v>
      </c>
      <c r="L359" s="6">
        <v>10.952999999999999</v>
      </c>
      <c r="M359" s="6">
        <v>11.5657</v>
      </c>
      <c r="N359" s="6">
        <v>12.047499999999999</v>
      </c>
      <c r="O359" s="6">
        <v>12.4375</v>
      </c>
      <c r="P359" s="6">
        <v>12.682499999999999</v>
      </c>
      <c r="Q359" s="6"/>
    </row>
    <row r="360" spans="1:17">
      <c r="A360" s="5">
        <v>41978</v>
      </c>
      <c r="B360" s="5" t="str">
        <f t="shared" si="5"/>
        <v>2014 q4</v>
      </c>
      <c r="C360" s="6">
        <v>7.1988000000000003</v>
      </c>
      <c r="D360" s="6">
        <v>7.3465999999999996</v>
      </c>
      <c r="E360" s="6">
        <v>7.6515000000000004</v>
      </c>
      <c r="F360" s="6">
        <v>8.1019000000000005</v>
      </c>
      <c r="G360" s="6">
        <v>8.5002999999999993</v>
      </c>
      <c r="H360" s="6">
        <v>8.8469999999999995</v>
      </c>
      <c r="I360" s="6">
        <v>10.004099999999999</v>
      </c>
      <c r="J360" s="6">
        <v>10.7667</v>
      </c>
      <c r="K360" s="6">
        <v>11.368</v>
      </c>
      <c r="L360" s="6">
        <v>11.8073</v>
      </c>
      <c r="M360" s="6">
        <v>12.353300000000001</v>
      </c>
      <c r="N360" s="6">
        <v>12.8071</v>
      </c>
      <c r="O360" s="6">
        <v>13.1868</v>
      </c>
      <c r="P360" s="6">
        <v>13.427199999999999</v>
      </c>
      <c r="Q360" s="6"/>
    </row>
    <row r="361" spans="1:17">
      <c r="A361" s="5">
        <v>41981</v>
      </c>
      <c r="B361" s="5" t="str">
        <f t="shared" si="5"/>
        <v>2014 q4</v>
      </c>
      <c r="C361" s="6">
        <v>8.0342000000000002</v>
      </c>
      <c r="D361" s="6">
        <v>7.9737999999999998</v>
      </c>
      <c r="E361" s="6">
        <v>7.8491999999999997</v>
      </c>
      <c r="F361" s="6">
        <v>7.7401</v>
      </c>
      <c r="G361" s="6">
        <v>8.0282999999999998</v>
      </c>
      <c r="H361" s="6">
        <v>8.4791000000000007</v>
      </c>
      <c r="I361" s="6">
        <v>10.282299999999999</v>
      </c>
      <c r="J361" s="6">
        <v>11.492800000000001</v>
      </c>
      <c r="K361" s="6">
        <v>12.3108</v>
      </c>
      <c r="L361" s="6">
        <v>12.844099999999999</v>
      </c>
      <c r="M361" s="6">
        <v>13.395</v>
      </c>
      <c r="N361" s="6">
        <v>13.8087</v>
      </c>
      <c r="O361" s="6">
        <v>14.140700000000001</v>
      </c>
      <c r="P361" s="6">
        <v>14.3491</v>
      </c>
      <c r="Q361" s="6"/>
    </row>
    <row r="362" spans="1:17">
      <c r="A362" s="5">
        <v>41982</v>
      </c>
      <c r="B362" s="5" t="str">
        <f t="shared" si="5"/>
        <v>2014 q4</v>
      </c>
      <c r="C362" s="6">
        <v>8.9123999999999999</v>
      </c>
      <c r="D362" s="6">
        <v>8.7592999999999996</v>
      </c>
      <c r="E362" s="6">
        <v>8.4431999999999992</v>
      </c>
      <c r="F362" s="6">
        <v>8.0782000000000007</v>
      </c>
      <c r="G362" s="6">
        <v>8.2263999999999999</v>
      </c>
      <c r="H362" s="6">
        <v>8.6668000000000003</v>
      </c>
      <c r="I362" s="6">
        <v>10.4283</v>
      </c>
      <c r="J362" s="6">
        <v>11.7288</v>
      </c>
      <c r="K362" s="6">
        <v>12.734400000000001</v>
      </c>
      <c r="L362" s="6">
        <v>13.398199999999999</v>
      </c>
      <c r="M362" s="6">
        <v>14.1084</v>
      </c>
      <c r="N362" s="6">
        <v>14.6442</v>
      </c>
      <c r="O362" s="6">
        <v>15.074400000000001</v>
      </c>
      <c r="P362" s="6">
        <v>15.3447</v>
      </c>
      <c r="Q362" s="6"/>
    </row>
    <row r="363" spans="1:17">
      <c r="A363" s="5">
        <v>41983</v>
      </c>
      <c r="B363" s="5" t="str">
        <f t="shared" si="5"/>
        <v>2014 q4</v>
      </c>
      <c r="C363" s="6">
        <v>8.8943999999999992</v>
      </c>
      <c r="D363" s="6">
        <v>8.7461000000000002</v>
      </c>
      <c r="E363" s="6">
        <v>8.4398999999999997</v>
      </c>
      <c r="F363" s="6">
        <v>8.0805000000000007</v>
      </c>
      <c r="G363" s="6">
        <v>8.1701999999999995</v>
      </c>
      <c r="H363" s="6">
        <v>8.5153999999999996</v>
      </c>
      <c r="I363" s="6">
        <v>10.1074</v>
      </c>
      <c r="J363" s="6">
        <v>11.399900000000001</v>
      </c>
      <c r="K363" s="6">
        <v>12.4185</v>
      </c>
      <c r="L363" s="6">
        <v>13.1005</v>
      </c>
      <c r="M363" s="6">
        <v>13.85</v>
      </c>
      <c r="N363" s="6">
        <v>14.4186</v>
      </c>
      <c r="O363" s="6">
        <v>14.875400000000001</v>
      </c>
      <c r="P363" s="6">
        <v>15.1625</v>
      </c>
      <c r="Q363" s="6"/>
    </row>
    <row r="364" spans="1:17">
      <c r="A364" s="5">
        <v>41984</v>
      </c>
      <c r="B364" s="5" t="str">
        <f t="shared" si="5"/>
        <v>2014 q4</v>
      </c>
      <c r="C364" s="6">
        <v>8.7140000000000004</v>
      </c>
      <c r="D364" s="6">
        <v>8.6109000000000009</v>
      </c>
      <c r="E364" s="6">
        <v>8.3979999999999997</v>
      </c>
      <c r="F364" s="6">
        <v>8.1456</v>
      </c>
      <c r="G364" s="6">
        <v>8.2147000000000006</v>
      </c>
      <c r="H364" s="6">
        <v>8.5160999999999998</v>
      </c>
      <c r="I364" s="6">
        <v>9.7217000000000002</v>
      </c>
      <c r="J364" s="6">
        <v>10.785299999999999</v>
      </c>
      <c r="K364" s="6">
        <v>11.76</v>
      </c>
      <c r="L364" s="6">
        <v>12.4427</v>
      </c>
      <c r="M364" s="6">
        <v>13.2468</v>
      </c>
      <c r="N364" s="6">
        <v>13.870699999999999</v>
      </c>
      <c r="O364" s="6">
        <v>14.373900000000001</v>
      </c>
      <c r="P364" s="6">
        <v>14.6904</v>
      </c>
      <c r="Q364" s="6"/>
    </row>
    <row r="365" spans="1:17">
      <c r="A365" s="5">
        <v>41985</v>
      </c>
      <c r="B365" s="5" t="str">
        <f t="shared" si="5"/>
        <v>2014 q4</v>
      </c>
      <c r="C365" s="6">
        <v>8.6753999999999998</v>
      </c>
      <c r="D365" s="6">
        <v>8.5825999999999993</v>
      </c>
      <c r="E365" s="6">
        <v>8.3908000000000005</v>
      </c>
      <c r="F365" s="6">
        <v>8.1555999999999997</v>
      </c>
      <c r="G365" s="6">
        <v>8.1769999999999996</v>
      </c>
      <c r="H365" s="6">
        <v>8.4001999999999999</v>
      </c>
      <c r="I365" s="6">
        <v>9.2931000000000008</v>
      </c>
      <c r="J365" s="6">
        <v>10.181100000000001</v>
      </c>
      <c r="K365" s="6">
        <v>11.066000000000001</v>
      </c>
      <c r="L365" s="6">
        <v>11.7118</v>
      </c>
      <c r="M365" s="6">
        <v>12.5192</v>
      </c>
      <c r="N365" s="6">
        <v>13.1629</v>
      </c>
      <c r="O365" s="6">
        <v>13.6861</v>
      </c>
      <c r="P365" s="6">
        <v>14.0153</v>
      </c>
      <c r="Q365" s="6"/>
    </row>
    <row r="366" spans="1:17">
      <c r="A366" s="5">
        <v>41988</v>
      </c>
      <c r="B366" s="5" t="str">
        <f t="shared" si="5"/>
        <v>2014 q4</v>
      </c>
      <c r="C366" s="6">
        <v>8.2963000000000005</v>
      </c>
      <c r="D366" s="6">
        <v>8.2898999999999994</v>
      </c>
      <c r="E366" s="6">
        <v>8.2767999999999997</v>
      </c>
      <c r="F366" s="6">
        <v>8.2727000000000004</v>
      </c>
      <c r="G366" s="6">
        <v>8.3541000000000007</v>
      </c>
      <c r="H366" s="6">
        <v>8.5145999999999997</v>
      </c>
      <c r="I366" s="6">
        <v>9.1569000000000003</v>
      </c>
      <c r="J366" s="6">
        <v>9.8816000000000006</v>
      </c>
      <c r="K366" s="6">
        <v>10.6568</v>
      </c>
      <c r="L366" s="6">
        <v>11.315200000000001</v>
      </c>
      <c r="M366" s="6">
        <v>12.321400000000001</v>
      </c>
      <c r="N366" s="6">
        <v>13.2669</v>
      </c>
      <c r="O366" s="6">
        <v>14.11</v>
      </c>
      <c r="P366" s="6">
        <v>14.652900000000001</v>
      </c>
      <c r="Q366" s="6"/>
    </row>
    <row r="367" spans="1:17">
      <c r="A367" s="5">
        <v>41989</v>
      </c>
      <c r="B367" s="5" t="str">
        <f t="shared" si="5"/>
        <v>2014 q4</v>
      </c>
      <c r="C367" s="6">
        <v>8.6905999999999999</v>
      </c>
      <c r="D367" s="6">
        <v>8.5912000000000006</v>
      </c>
      <c r="E367" s="6">
        <v>8.3862000000000005</v>
      </c>
      <c r="F367" s="6">
        <v>8.1423000000000005</v>
      </c>
      <c r="G367" s="6">
        <v>8.1704000000000008</v>
      </c>
      <c r="H367" s="6">
        <v>8.3965999999999994</v>
      </c>
      <c r="I367" s="6">
        <v>9.3012999999999995</v>
      </c>
      <c r="J367" s="6">
        <v>10.2136</v>
      </c>
      <c r="K367" s="6">
        <v>11.1302</v>
      </c>
      <c r="L367" s="6">
        <v>11.796799999999999</v>
      </c>
      <c r="M367" s="6">
        <v>12.636100000000001</v>
      </c>
      <c r="N367" s="6">
        <v>13.3066</v>
      </c>
      <c r="O367" s="6">
        <v>13.8521</v>
      </c>
      <c r="P367" s="6">
        <v>14.1957</v>
      </c>
      <c r="Q367" s="6"/>
    </row>
    <row r="368" spans="1:17">
      <c r="A368" s="5">
        <v>41990</v>
      </c>
      <c r="B368" s="5" t="str">
        <f t="shared" si="5"/>
        <v>2014 q4</v>
      </c>
      <c r="C368" s="6">
        <v>8.8438999999999997</v>
      </c>
      <c r="D368" s="6">
        <v>8.7019000000000002</v>
      </c>
      <c r="E368" s="6">
        <v>8.4085999999999999</v>
      </c>
      <c r="F368" s="6">
        <v>8.0839999999999996</v>
      </c>
      <c r="G368" s="6">
        <v>8.1757000000000009</v>
      </c>
      <c r="H368" s="6">
        <v>8.5131999999999994</v>
      </c>
      <c r="I368" s="6">
        <v>9.8634000000000004</v>
      </c>
      <c r="J368" s="6">
        <v>10.9636</v>
      </c>
      <c r="K368" s="6">
        <v>11.9183</v>
      </c>
      <c r="L368" s="6">
        <v>12.555999999999999</v>
      </c>
      <c r="M368" s="6">
        <v>13.276199999999999</v>
      </c>
      <c r="N368" s="6">
        <v>13.8255</v>
      </c>
      <c r="O368" s="6">
        <v>14.267300000000001</v>
      </c>
      <c r="P368" s="6">
        <v>14.545400000000001</v>
      </c>
      <c r="Q368" s="6"/>
    </row>
    <row r="369" spans="1:17">
      <c r="A369" s="5">
        <v>41991</v>
      </c>
      <c r="B369" s="5" t="str">
        <f t="shared" si="5"/>
        <v>2014 q4</v>
      </c>
      <c r="C369" s="6">
        <v>8.9097000000000008</v>
      </c>
      <c r="D369" s="6">
        <v>8.7508999999999997</v>
      </c>
      <c r="E369" s="6">
        <v>8.4229000000000003</v>
      </c>
      <c r="F369" s="6">
        <v>8.0528999999999993</v>
      </c>
      <c r="G369" s="6">
        <v>8.1241000000000003</v>
      </c>
      <c r="H369" s="6">
        <v>8.4661000000000008</v>
      </c>
      <c r="I369" s="6">
        <v>9.8339999999999996</v>
      </c>
      <c r="J369" s="6">
        <v>11.0145</v>
      </c>
      <c r="K369" s="6">
        <v>12.087199999999999</v>
      </c>
      <c r="L369" s="6">
        <v>12.8149</v>
      </c>
      <c r="M369" s="6">
        <v>13.6572</v>
      </c>
      <c r="N369" s="6">
        <v>14.304500000000001</v>
      </c>
      <c r="O369" s="6">
        <v>14.825799999999999</v>
      </c>
      <c r="P369" s="6">
        <v>15.154</v>
      </c>
      <c r="Q369" s="6"/>
    </row>
    <row r="370" spans="1:17">
      <c r="A370" s="5">
        <v>41992</v>
      </c>
      <c r="B370" s="5" t="str">
        <f t="shared" si="5"/>
        <v>2014 q4</v>
      </c>
      <c r="C370" s="6">
        <v>8.9037000000000006</v>
      </c>
      <c r="D370" s="6">
        <v>8.7449999999999992</v>
      </c>
      <c r="E370" s="6">
        <v>8.4175000000000004</v>
      </c>
      <c r="F370" s="6">
        <v>8.0521999999999991</v>
      </c>
      <c r="G370" s="6">
        <v>8.1283999999999992</v>
      </c>
      <c r="H370" s="6">
        <v>8.4702999999999999</v>
      </c>
      <c r="I370" s="6">
        <v>9.8377999999999997</v>
      </c>
      <c r="J370" s="6">
        <v>11.0174</v>
      </c>
      <c r="K370" s="6">
        <v>12.0899</v>
      </c>
      <c r="L370" s="6">
        <v>12.816000000000001</v>
      </c>
      <c r="M370" s="6">
        <v>13.657400000000001</v>
      </c>
      <c r="N370" s="6">
        <v>14.304</v>
      </c>
      <c r="O370" s="6">
        <v>14.8249</v>
      </c>
      <c r="P370" s="6">
        <v>15.152799999999999</v>
      </c>
      <c r="Q370" s="6"/>
    </row>
    <row r="371" spans="1:17">
      <c r="A371" s="5">
        <v>41993</v>
      </c>
      <c r="B371" s="5" t="str">
        <f t="shared" si="5"/>
        <v>2014 q4</v>
      </c>
      <c r="C371" s="6">
        <v>8.8977000000000004</v>
      </c>
      <c r="D371" s="6">
        <v>8.7392000000000003</v>
      </c>
      <c r="E371" s="6">
        <v>8.4121000000000006</v>
      </c>
      <c r="F371" s="6">
        <v>8.0513999999999992</v>
      </c>
      <c r="G371" s="6">
        <v>8.1326000000000001</v>
      </c>
      <c r="H371" s="6">
        <v>8.4743999999999993</v>
      </c>
      <c r="I371" s="6">
        <v>9.8416999999999994</v>
      </c>
      <c r="J371" s="6">
        <v>11.020200000000001</v>
      </c>
      <c r="K371" s="6">
        <v>12.092700000000001</v>
      </c>
      <c r="L371" s="6">
        <v>12.8171</v>
      </c>
      <c r="M371" s="6">
        <v>13.6576</v>
      </c>
      <c r="N371" s="6">
        <v>14.303599999999999</v>
      </c>
      <c r="O371" s="6">
        <v>14.8239</v>
      </c>
      <c r="P371" s="6">
        <v>15.1517</v>
      </c>
      <c r="Q371" s="6"/>
    </row>
    <row r="372" spans="1:17">
      <c r="A372" s="5">
        <v>41995</v>
      </c>
      <c r="B372" s="5" t="str">
        <f t="shared" si="5"/>
        <v>2014 q4</v>
      </c>
      <c r="C372" s="6">
        <v>8.8908000000000005</v>
      </c>
      <c r="D372" s="6">
        <v>8.7331000000000003</v>
      </c>
      <c r="E372" s="6">
        <v>8.4075000000000006</v>
      </c>
      <c r="F372" s="6">
        <v>8.0507000000000009</v>
      </c>
      <c r="G372" s="6">
        <v>8.1331000000000007</v>
      </c>
      <c r="H372" s="6">
        <v>8.4732000000000003</v>
      </c>
      <c r="I372" s="6">
        <v>9.8337000000000003</v>
      </c>
      <c r="J372" s="6">
        <v>11.0268</v>
      </c>
      <c r="K372" s="6">
        <v>12.127000000000001</v>
      </c>
      <c r="L372" s="6">
        <v>12.8736</v>
      </c>
      <c r="M372" s="6">
        <v>13.7484</v>
      </c>
      <c r="N372" s="6">
        <v>14.422700000000001</v>
      </c>
      <c r="O372" s="6">
        <v>14.9663</v>
      </c>
      <c r="P372" s="6">
        <v>15.3088</v>
      </c>
      <c r="Q372" s="6"/>
    </row>
    <row r="373" spans="1:17">
      <c r="A373" s="5">
        <v>41996</v>
      </c>
      <c r="B373" s="5" t="str">
        <f t="shared" si="5"/>
        <v>2014 q4</v>
      </c>
      <c r="C373" s="6">
        <v>8.8788999999999998</v>
      </c>
      <c r="D373" s="6">
        <v>8.7215000000000007</v>
      </c>
      <c r="E373" s="6">
        <v>8.3966999999999992</v>
      </c>
      <c r="F373" s="6">
        <v>8.0489999999999995</v>
      </c>
      <c r="G373" s="6">
        <v>8.1415000000000006</v>
      </c>
      <c r="H373" s="6">
        <v>8.4815000000000005</v>
      </c>
      <c r="I373" s="6">
        <v>9.8414000000000001</v>
      </c>
      <c r="J373" s="6">
        <v>11.0327</v>
      </c>
      <c r="K373" s="6">
        <v>12.1326</v>
      </c>
      <c r="L373" s="6">
        <v>12.8759</v>
      </c>
      <c r="M373" s="6">
        <v>13.748799999999999</v>
      </c>
      <c r="N373" s="6">
        <v>14.421799999999999</v>
      </c>
      <c r="O373" s="6">
        <v>14.9643</v>
      </c>
      <c r="P373" s="6">
        <v>15.3063</v>
      </c>
      <c r="Q373" s="6"/>
    </row>
    <row r="374" spans="1:17">
      <c r="A374" s="5">
        <v>41997</v>
      </c>
      <c r="B374" s="5" t="str">
        <f t="shared" si="5"/>
        <v>2014 q4</v>
      </c>
      <c r="C374" s="6">
        <v>8.7847000000000008</v>
      </c>
      <c r="D374" s="6">
        <v>8.65</v>
      </c>
      <c r="E374" s="6">
        <v>8.3719000000000001</v>
      </c>
      <c r="F374" s="6">
        <v>8.0919000000000008</v>
      </c>
      <c r="G374" s="6">
        <v>8.2216000000000005</v>
      </c>
      <c r="H374" s="6">
        <v>8.57</v>
      </c>
      <c r="I374" s="6">
        <v>9.9636999999999993</v>
      </c>
      <c r="J374" s="6">
        <v>11.132099999999999</v>
      </c>
      <c r="K374" s="6">
        <v>12.1797</v>
      </c>
      <c r="L374" s="6">
        <v>12.879300000000001</v>
      </c>
      <c r="M374" s="6">
        <v>13.691700000000001</v>
      </c>
      <c r="N374" s="6">
        <v>14.3156</v>
      </c>
      <c r="O374" s="6">
        <v>14.818199999999999</v>
      </c>
      <c r="P374" s="6">
        <v>15.1351</v>
      </c>
      <c r="Q374" s="6"/>
    </row>
    <row r="375" spans="1:17">
      <c r="A375" s="5">
        <v>41998</v>
      </c>
      <c r="B375" s="5" t="str">
        <f t="shared" si="5"/>
        <v>2014 q4</v>
      </c>
      <c r="C375" s="6">
        <v>8.8065999999999995</v>
      </c>
      <c r="D375" s="6">
        <v>8.6639999999999997</v>
      </c>
      <c r="E375" s="6">
        <v>8.3696000000000002</v>
      </c>
      <c r="F375" s="6">
        <v>8.0813000000000006</v>
      </c>
      <c r="G375" s="6">
        <v>8.2235999999999994</v>
      </c>
      <c r="H375" s="6">
        <v>8.5827000000000009</v>
      </c>
      <c r="I375" s="6">
        <v>10.018700000000001</v>
      </c>
      <c r="J375" s="6">
        <v>11.334899999999999</v>
      </c>
      <c r="K375" s="6">
        <v>12.251099999999999</v>
      </c>
      <c r="L375" s="6">
        <v>12.842499999999999</v>
      </c>
      <c r="M375" s="6">
        <v>13.5959</v>
      </c>
      <c r="N375" s="6">
        <v>14.1707</v>
      </c>
      <c r="O375" s="6">
        <v>14.6333</v>
      </c>
      <c r="P375" s="6">
        <v>14.925000000000001</v>
      </c>
      <c r="Q375" s="6"/>
    </row>
    <row r="376" spans="1:17">
      <c r="A376" s="5">
        <v>41999</v>
      </c>
      <c r="B376" s="5" t="str">
        <f t="shared" si="5"/>
        <v>2014 q4</v>
      </c>
      <c r="C376" s="6">
        <v>8.7777999999999992</v>
      </c>
      <c r="D376" s="6">
        <v>8.6409000000000002</v>
      </c>
      <c r="E376" s="6">
        <v>8.3582999999999998</v>
      </c>
      <c r="F376" s="6">
        <v>8.0957000000000008</v>
      </c>
      <c r="G376" s="6">
        <v>8.266</v>
      </c>
      <c r="H376" s="6">
        <v>8.6443999999999992</v>
      </c>
      <c r="I376" s="6">
        <v>10.158099999999999</v>
      </c>
      <c r="J376" s="6">
        <v>11.3444</v>
      </c>
      <c r="K376" s="6">
        <v>12.359500000000001</v>
      </c>
      <c r="L376" s="6">
        <v>13.0198</v>
      </c>
      <c r="M376" s="6">
        <v>13.7675</v>
      </c>
      <c r="N376" s="6">
        <v>14.336600000000001</v>
      </c>
      <c r="O376" s="6">
        <v>14.794499999999999</v>
      </c>
      <c r="P376" s="6">
        <v>15.083299999999999</v>
      </c>
      <c r="Q376" s="6"/>
    </row>
    <row r="377" spans="1:17">
      <c r="A377" s="5">
        <v>42000</v>
      </c>
      <c r="B377" s="5" t="str">
        <f t="shared" si="5"/>
        <v>2014 q4</v>
      </c>
      <c r="C377" s="6">
        <v>8.7812999999999999</v>
      </c>
      <c r="D377" s="6">
        <v>8.6419999999999995</v>
      </c>
      <c r="E377" s="6">
        <v>8.3545999999999996</v>
      </c>
      <c r="F377" s="6">
        <v>8.0915999999999997</v>
      </c>
      <c r="G377" s="6">
        <v>8.2743000000000002</v>
      </c>
      <c r="H377" s="6">
        <v>8.67</v>
      </c>
      <c r="I377" s="6">
        <v>10.252700000000001</v>
      </c>
      <c r="J377" s="6">
        <v>11.5114</v>
      </c>
      <c r="K377" s="6">
        <v>12.602499999999999</v>
      </c>
      <c r="L377" s="6">
        <v>13.315</v>
      </c>
      <c r="M377" s="6">
        <v>14.129300000000001</v>
      </c>
      <c r="N377" s="6">
        <v>14.7506</v>
      </c>
      <c r="O377" s="6">
        <v>15.2508</v>
      </c>
      <c r="P377" s="6">
        <v>15.5662</v>
      </c>
      <c r="Q377" s="6"/>
    </row>
    <row r="378" spans="1:17">
      <c r="A378" s="5">
        <v>42002</v>
      </c>
      <c r="B378" s="5" t="str">
        <f t="shared" si="5"/>
        <v>2014 q4</v>
      </c>
      <c r="C378" s="6">
        <v>8.8125</v>
      </c>
      <c r="D378" s="6">
        <v>8.6623999999999999</v>
      </c>
      <c r="E378" s="6">
        <v>8.3523999999999994</v>
      </c>
      <c r="F378" s="6">
        <v>8.0761000000000003</v>
      </c>
      <c r="G378" s="6">
        <v>8.2739999999999991</v>
      </c>
      <c r="H378" s="6">
        <v>8.6873000000000005</v>
      </c>
      <c r="I378" s="6">
        <v>10.340400000000001</v>
      </c>
      <c r="J378" s="6">
        <v>11.616300000000001</v>
      </c>
      <c r="K378" s="6">
        <v>12.6996</v>
      </c>
      <c r="L378" s="6">
        <v>13.397600000000001</v>
      </c>
      <c r="M378" s="6">
        <v>14.185600000000001</v>
      </c>
      <c r="N378" s="6">
        <v>14.7843</v>
      </c>
      <c r="O378" s="6">
        <v>15.2661</v>
      </c>
      <c r="P378" s="6">
        <v>15.57</v>
      </c>
      <c r="Q378" s="6"/>
    </row>
    <row r="379" spans="1:17">
      <c r="A379" s="5">
        <v>42003</v>
      </c>
      <c r="B379" s="5" t="str">
        <f t="shared" si="5"/>
        <v>2014 q4</v>
      </c>
      <c r="C379" s="6">
        <v>8.7835000000000001</v>
      </c>
      <c r="D379" s="6">
        <v>8.6397999999999993</v>
      </c>
      <c r="E379" s="6">
        <v>8.343</v>
      </c>
      <c r="F379" s="6">
        <v>8.0821000000000005</v>
      </c>
      <c r="G379" s="6">
        <v>8.2759</v>
      </c>
      <c r="H379" s="6">
        <v>8.6732999999999993</v>
      </c>
      <c r="I379" s="6">
        <v>10.263199999999999</v>
      </c>
      <c r="J379" s="6">
        <v>11.707700000000001</v>
      </c>
      <c r="K379" s="6">
        <v>12.691800000000001</v>
      </c>
      <c r="L379" s="6">
        <v>13.347799999999999</v>
      </c>
      <c r="M379" s="6">
        <v>14.169700000000001</v>
      </c>
      <c r="N379" s="6">
        <v>14.797000000000001</v>
      </c>
      <c r="O379" s="6">
        <v>15.302099999999999</v>
      </c>
      <c r="P379" s="6">
        <v>15.620900000000001</v>
      </c>
      <c r="Q379" s="6"/>
    </row>
    <row r="380" spans="1:17">
      <c r="A380" s="5">
        <v>42016</v>
      </c>
      <c r="B380" s="5" t="str">
        <f t="shared" si="5"/>
        <v>2015 q1</v>
      </c>
      <c r="C380" s="6">
        <v>8.8472000000000008</v>
      </c>
      <c r="D380" s="6">
        <v>8.6837</v>
      </c>
      <c r="E380" s="6">
        <v>8.3460000000000001</v>
      </c>
      <c r="F380" s="6">
        <v>8.0442999999999998</v>
      </c>
      <c r="G380" s="6">
        <v>8.2286999999999999</v>
      </c>
      <c r="H380" s="6">
        <v>8.6224000000000007</v>
      </c>
      <c r="I380" s="6">
        <v>10.197100000000001</v>
      </c>
      <c r="J380" s="6">
        <v>11.4314</v>
      </c>
      <c r="K380" s="6">
        <v>12.4983</v>
      </c>
      <c r="L380" s="6">
        <v>13.182700000000001</v>
      </c>
      <c r="M380" s="6">
        <v>13.960800000000001</v>
      </c>
      <c r="N380" s="6">
        <v>14.5526</v>
      </c>
      <c r="O380" s="6">
        <v>15.0289</v>
      </c>
      <c r="P380" s="6">
        <v>15.329599999999999</v>
      </c>
      <c r="Q380" s="6"/>
    </row>
    <row r="381" spans="1:17">
      <c r="A381" s="5">
        <v>42017</v>
      </c>
      <c r="B381" s="5" t="str">
        <f t="shared" si="5"/>
        <v>2015 q1</v>
      </c>
      <c r="C381" s="6">
        <v>8.7015999999999991</v>
      </c>
      <c r="D381" s="6">
        <v>8.5615000000000006</v>
      </c>
      <c r="E381" s="6">
        <v>8.2722999999999995</v>
      </c>
      <c r="F381" s="6">
        <v>8.0960999999999999</v>
      </c>
      <c r="G381" s="6">
        <v>8.3607999999999993</v>
      </c>
      <c r="H381" s="6">
        <v>8.7520000000000007</v>
      </c>
      <c r="I381" s="6">
        <v>10.316700000000001</v>
      </c>
      <c r="J381" s="6">
        <v>11.460599999999999</v>
      </c>
      <c r="K381" s="6">
        <v>12.4293</v>
      </c>
      <c r="L381" s="6">
        <v>13.022600000000001</v>
      </c>
      <c r="M381" s="6">
        <v>13.6981</v>
      </c>
      <c r="N381" s="6">
        <v>14.21</v>
      </c>
      <c r="O381" s="6">
        <v>14.6221</v>
      </c>
      <c r="P381" s="6">
        <v>14.882999999999999</v>
      </c>
      <c r="Q381" s="6"/>
    </row>
    <row r="382" spans="1:17">
      <c r="A382" s="5">
        <v>42018</v>
      </c>
      <c r="B382" s="5" t="str">
        <f t="shared" si="5"/>
        <v>2015 q1</v>
      </c>
      <c r="C382" s="6">
        <v>8.6963000000000008</v>
      </c>
      <c r="D382" s="6">
        <v>8.5562000000000005</v>
      </c>
      <c r="E382" s="6">
        <v>8.2670999999999992</v>
      </c>
      <c r="F382" s="6">
        <v>8.0975999999999999</v>
      </c>
      <c r="G382" s="6">
        <v>8.3691999999999993</v>
      </c>
      <c r="H382" s="6">
        <v>8.7623999999999995</v>
      </c>
      <c r="I382" s="6">
        <v>10.3353</v>
      </c>
      <c r="J382" s="6">
        <v>11.476699999999999</v>
      </c>
      <c r="K382" s="6">
        <v>12.440799999999999</v>
      </c>
      <c r="L382" s="6">
        <v>13.028600000000001</v>
      </c>
      <c r="M382" s="6">
        <v>13.6976</v>
      </c>
      <c r="N382" s="6">
        <v>14.2042</v>
      </c>
      <c r="O382" s="6">
        <v>14.6122</v>
      </c>
      <c r="P382" s="6">
        <v>14.8704</v>
      </c>
      <c r="Q382" s="6"/>
    </row>
    <row r="383" spans="1:17">
      <c r="A383" s="5">
        <v>42019</v>
      </c>
      <c r="B383" s="5" t="str">
        <f t="shared" si="5"/>
        <v>2015 q1</v>
      </c>
      <c r="C383" s="6">
        <v>8.5396000000000001</v>
      </c>
      <c r="D383" s="6">
        <v>8.4551999999999996</v>
      </c>
      <c r="E383" s="6">
        <v>8.2810000000000006</v>
      </c>
      <c r="F383" s="6">
        <v>8.2248000000000001</v>
      </c>
      <c r="G383" s="6">
        <v>8.4878</v>
      </c>
      <c r="H383" s="6">
        <v>8.8332999999999995</v>
      </c>
      <c r="I383" s="6">
        <v>10.365</v>
      </c>
      <c r="J383" s="6">
        <v>11.633699999999999</v>
      </c>
      <c r="K383" s="6">
        <v>12.491400000000001</v>
      </c>
      <c r="L383" s="6">
        <v>13.0152</v>
      </c>
      <c r="M383" s="6">
        <v>13.6868</v>
      </c>
      <c r="N383" s="6">
        <v>14.197900000000001</v>
      </c>
      <c r="O383" s="6">
        <v>14.6098</v>
      </c>
      <c r="P383" s="6">
        <v>14.8706</v>
      </c>
      <c r="Q383" s="6"/>
    </row>
    <row r="384" spans="1:17">
      <c r="A384" s="5">
        <v>42020</v>
      </c>
      <c r="B384" s="5" t="str">
        <f t="shared" si="5"/>
        <v>2015 q1</v>
      </c>
      <c r="C384" s="6">
        <v>8.6797000000000004</v>
      </c>
      <c r="D384" s="6">
        <v>8.5435999999999996</v>
      </c>
      <c r="E384" s="6">
        <v>8.2626000000000008</v>
      </c>
      <c r="F384" s="6">
        <v>8.0944000000000003</v>
      </c>
      <c r="G384" s="6">
        <v>8.3576999999999995</v>
      </c>
      <c r="H384" s="6">
        <v>8.7349999999999994</v>
      </c>
      <c r="I384" s="6">
        <v>10.244</v>
      </c>
      <c r="J384" s="6">
        <v>11.57</v>
      </c>
      <c r="K384" s="6">
        <v>12.446199999999999</v>
      </c>
      <c r="L384" s="6">
        <v>13.0024</v>
      </c>
      <c r="M384" s="6">
        <v>13.716100000000001</v>
      </c>
      <c r="N384" s="6">
        <v>14.2591</v>
      </c>
      <c r="O384" s="6">
        <v>14.6967</v>
      </c>
      <c r="P384" s="6">
        <v>14.973800000000001</v>
      </c>
      <c r="Q384" s="6"/>
    </row>
    <row r="385" spans="1:17">
      <c r="A385" s="5">
        <v>42023</v>
      </c>
      <c r="B385" s="5" t="str">
        <f t="shared" si="5"/>
        <v>2015 q1</v>
      </c>
      <c r="C385" s="6">
        <v>8.3780999999999999</v>
      </c>
      <c r="D385" s="6">
        <v>8.3507999999999996</v>
      </c>
      <c r="E385" s="6">
        <v>8.2944999999999993</v>
      </c>
      <c r="F385" s="6">
        <v>8.3980999999999995</v>
      </c>
      <c r="G385" s="6">
        <v>8.7539999999999996</v>
      </c>
      <c r="H385" s="6">
        <v>9.1664999999999992</v>
      </c>
      <c r="I385" s="6">
        <v>10.7501</v>
      </c>
      <c r="J385" s="6">
        <v>11.916499999999999</v>
      </c>
      <c r="K385" s="6">
        <v>12.655099999999999</v>
      </c>
      <c r="L385" s="6">
        <v>13.0908</v>
      </c>
      <c r="M385" s="6">
        <v>13.642300000000001</v>
      </c>
      <c r="N385" s="6">
        <v>14.0588</v>
      </c>
      <c r="O385" s="6">
        <v>14.3942</v>
      </c>
      <c r="P385" s="6">
        <v>14.6067</v>
      </c>
      <c r="Q385" s="6"/>
    </row>
    <row r="386" spans="1:17">
      <c r="A386" s="5">
        <v>42024</v>
      </c>
      <c r="B386" s="5" t="str">
        <f t="shared" si="5"/>
        <v>2015 q1</v>
      </c>
      <c r="C386" s="6">
        <v>8.4619</v>
      </c>
      <c r="D386" s="6">
        <v>8.4004999999999992</v>
      </c>
      <c r="E386" s="6">
        <v>8.2736999999999998</v>
      </c>
      <c r="F386" s="6">
        <v>8.3496000000000006</v>
      </c>
      <c r="G386" s="6">
        <v>8.7416999999999998</v>
      </c>
      <c r="H386" s="6">
        <v>9.1946999999999992</v>
      </c>
      <c r="I386" s="6">
        <v>10.871700000000001</v>
      </c>
      <c r="J386" s="6">
        <v>11.892300000000001</v>
      </c>
      <c r="K386" s="6">
        <v>12.6835</v>
      </c>
      <c r="L386" s="6">
        <v>13.140499999999999</v>
      </c>
      <c r="M386" s="6">
        <v>13.646100000000001</v>
      </c>
      <c r="N386" s="6">
        <v>14.0261</v>
      </c>
      <c r="O386" s="6">
        <v>14.331899999999999</v>
      </c>
      <c r="P386" s="6">
        <v>14.5258</v>
      </c>
      <c r="Q386" s="6"/>
    </row>
    <row r="387" spans="1:17">
      <c r="A387" s="5">
        <v>42025</v>
      </c>
      <c r="B387" s="5" t="str">
        <f t="shared" ref="B387:B450" si="6">YEAR(A387)&amp;" q"&amp;ROUNDUP(MONTH(A387)/3,0)</f>
        <v>2015 q1</v>
      </c>
      <c r="C387" s="6">
        <v>8.4788999999999994</v>
      </c>
      <c r="D387" s="6">
        <v>8.4100999999999999</v>
      </c>
      <c r="E387" s="6">
        <v>8.2680000000000007</v>
      </c>
      <c r="F387" s="6">
        <v>8.3196999999999992</v>
      </c>
      <c r="G387" s="6">
        <v>8.6920999999999999</v>
      </c>
      <c r="H387" s="6">
        <v>9.1251999999999995</v>
      </c>
      <c r="I387" s="6">
        <v>10.7844</v>
      </c>
      <c r="J387" s="6">
        <v>11.8271</v>
      </c>
      <c r="K387" s="6">
        <v>12.649699999999999</v>
      </c>
      <c r="L387" s="6">
        <v>13.1274</v>
      </c>
      <c r="M387" s="6">
        <v>13.661</v>
      </c>
      <c r="N387" s="6">
        <v>14.0627</v>
      </c>
      <c r="O387" s="6">
        <v>14.385999999999999</v>
      </c>
      <c r="P387" s="6">
        <v>14.591100000000001</v>
      </c>
      <c r="Q387" s="6"/>
    </row>
    <row r="388" spans="1:17">
      <c r="A388" s="5">
        <v>42026</v>
      </c>
      <c r="B388" s="5" t="str">
        <f t="shared" si="6"/>
        <v>2015 q1</v>
      </c>
      <c r="C388" s="6">
        <v>8.6586999999999996</v>
      </c>
      <c r="D388" s="6">
        <v>8.5195000000000007</v>
      </c>
      <c r="E388" s="6">
        <v>8.2322000000000006</v>
      </c>
      <c r="F388" s="6">
        <v>8.0938999999999997</v>
      </c>
      <c r="G388" s="6">
        <v>8.3931000000000004</v>
      </c>
      <c r="H388" s="6">
        <v>8.7802000000000007</v>
      </c>
      <c r="I388" s="6">
        <v>10.3284</v>
      </c>
      <c r="J388" s="6">
        <v>11.463699999999999</v>
      </c>
      <c r="K388" s="6">
        <v>12.4467</v>
      </c>
      <c r="L388" s="6">
        <v>13.0379</v>
      </c>
      <c r="M388" s="6">
        <v>13.723100000000001</v>
      </c>
      <c r="N388" s="6">
        <v>14.2432</v>
      </c>
      <c r="O388" s="6">
        <v>14.6623</v>
      </c>
      <c r="P388" s="6">
        <v>14.928100000000001</v>
      </c>
      <c r="Q388" s="6"/>
    </row>
    <row r="389" spans="1:17">
      <c r="A389" s="5">
        <v>42027</v>
      </c>
      <c r="B389" s="5" t="str">
        <f t="shared" si="6"/>
        <v>2015 q1</v>
      </c>
      <c r="C389" s="6">
        <v>8.6534999999999993</v>
      </c>
      <c r="D389" s="6">
        <v>8.5145</v>
      </c>
      <c r="E389" s="6">
        <v>8.2277000000000005</v>
      </c>
      <c r="F389" s="6">
        <v>8.0943000000000005</v>
      </c>
      <c r="G389" s="6">
        <v>8.3978999999999999</v>
      </c>
      <c r="H389" s="6">
        <v>8.7849000000000004</v>
      </c>
      <c r="I389" s="6">
        <v>10.332700000000001</v>
      </c>
      <c r="J389" s="6">
        <v>11.466200000000001</v>
      </c>
      <c r="K389" s="6">
        <v>12.449199999999999</v>
      </c>
      <c r="L389" s="6">
        <v>13.0388</v>
      </c>
      <c r="M389" s="6">
        <v>13.7232</v>
      </c>
      <c r="N389" s="6">
        <v>14.242699999999999</v>
      </c>
      <c r="O389" s="6">
        <v>14.6614</v>
      </c>
      <c r="P389" s="6">
        <v>14.927</v>
      </c>
      <c r="Q389" s="6"/>
    </row>
    <row r="390" spans="1:17">
      <c r="A390" s="5">
        <v>42030</v>
      </c>
      <c r="B390" s="5" t="str">
        <f t="shared" si="6"/>
        <v>2015 q1</v>
      </c>
      <c r="C390" s="6">
        <v>8.6481999999999992</v>
      </c>
      <c r="D390" s="6">
        <v>8.5094999999999992</v>
      </c>
      <c r="E390" s="6">
        <v>8.2232000000000003</v>
      </c>
      <c r="F390" s="6">
        <v>8.0947999999999993</v>
      </c>
      <c r="G390" s="6">
        <v>8.4026999999999994</v>
      </c>
      <c r="H390" s="6">
        <v>8.7896000000000001</v>
      </c>
      <c r="I390" s="6">
        <v>10.337</v>
      </c>
      <c r="J390" s="6">
        <v>11.4688</v>
      </c>
      <c r="K390" s="6">
        <v>12.451599999999999</v>
      </c>
      <c r="L390" s="6">
        <v>13.0396</v>
      </c>
      <c r="M390" s="6">
        <v>13.7232</v>
      </c>
      <c r="N390" s="6">
        <v>14.242100000000001</v>
      </c>
      <c r="O390" s="6">
        <v>14.660399999999999</v>
      </c>
      <c r="P390" s="6">
        <v>14.925700000000001</v>
      </c>
      <c r="Q390" s="6"/>
    </row>
    <row r="391" spans="1:17">
      <c r="A391" s="5">
        <v>42031</v>
      </c>
      <c r="B391" s="5" t="str">
        <f t="shared" si="6"/>
        <v>2015 q1</v>
      </c>
      <c r="C391" s="6">
        <v>8.6410999999999998</v>
      </c>
      <c r="D391" s="6">
        <v>8.4989000000000008</v>
      </c>
      <c r="E391" s="6">
        <v>8.2053999999999991</v>
      </c>
      <c r="F391" s="6">
        <v>8.0940999999999992</v>
      </c>
      <c r="G391" s="6">
        <v>8.4206000000000003</v>
      </c>
      <c r="H391" s="6">
        <v>8.8125</v>
      </c>
      <c r="I391" s="6">
        <v>10.379799999999999</v>
      </c>
      <c r="J391" s="6">
        <v>11.4887</v>
      </c>
      <c r="K391" s="6">
        <v>12.440200000000001</v>
      </c>
      <c r="L391" s="6">
        <v>12.9991</v>
      </c>
      <c r="M391" s="6">
        <v>13.645799999999999</v>
      </c>
      <c r="N391" s="6">
        <v>14.135400000000001</v>
      </c>
      <c r="O391" s="6">
        <v>14.53</v>
      </c>
      <c r="P391" s="6">
        <v>14.7805</v>
      </c>
      <c r="Q391" s="6"/>
    </row>
    <row r="392" spans="1:17">
      <c r="A392" s="5">
        <v>42033</v>
      </c>
      <c r="B392" s="5" t="str">
        <f t="shared" si="6"/>
        <v>2015 q1</v>
      </c>
      <c r="C392" s="6">
        <v>8.6341000000000001</v>
      </c>
      <c r="D392" s="6">
        <v>8.4930000000000003</v>
      </c>
      <c r="E392" s="6">
        <v>8.2018000000000004</v>
      </c>
      <c r="F392" s="6">
        <v>8.0950000000000006</v>
      </c>
      <c r="G392" s="6">
        <v>8.4245999999999999</v>
      </c>
      <c r="H392" s="6">
        <v>8.8152000000000008</v>
      </c>
      <c r="I392" s="6">
        <v>10.377800000000001</v>
      </c>
      <c r="J392" s="6">
        <v>11.4887</v>
      </c>
      <c r="K392" s="6">
        <v>12.4468</v>
      </c>
      <c r="L392" s="6">
        <v>13.0093</v>
      </c>
      <c r="M392" s="6">
        <v>13.6625</v>
      </c>
      <c r="N392" s="6">
        <v>14.1572</v>
      </c>
      <c r="O392" s="6">
        <v>14.556100000000001</v>
      </c>
      <c r="P392" s="6">
        <v>14.8094</v>
      </c>
      <c r="Q392" s="6"/>
    </row>
    <row r="393" spans="1:17">
      <c r="A393" s="5">
        <v>42034</v>
      </c>
      <c r="B393" s="5" t="str">
        <f t="shared" si="6"/>
        <v>2015 q1</v>
      </c>
      <c r="C393" s="6">
        <v>8.6234999999999999</v>
      </c>
      <c r="D393" s="6">
        <v>8.4830000000000005</v>
      </c>
      <c r="E393" s="6">
        <v>8.1928000000000001</v>
      </c>
      <c r="F393" s="6">
        <v>8.0960999999999999</v>
      </c>
      <c r="G393" s="6">
        <v>8.4343000000000004</v>
      </c>
      <c r="H393" s="6">
        <v>8.8247</v>
      </c>
      <c r="I393" s="6">
        <v>10.3864</v>
      </c>
      <c r="J393" s="6">
        <v>11.493600000000001</v>
      </c>
      <c r="K393" s="6">
        <v>12.451499999999999</v>
      </c>
      <c r="L393" s="6">
        <v>13.010999999999999</v>
      </c>
      <c r="M393" s="6">
        <v>13.662599999999999</v>
      </c>
      <c r="N393" s="6">
        <v>14.1563</v>
      </c>
      <c r="O393" s="6">
        <v>14.554399999999999</v>
      </c>
      <c r="P393" s="6">
        <v>14.8073</v>
      </c>
      <c r="Q393" s="6"/>
    </row>
    <row r="394" spans="1:17">
      <c r="A394" s="5">
        <v>42037</v>
      </c>
      <c r="B394" s="5" t="str">
        <f t="shared" si="6"/>
        <v>2015 q1</v>
      </c>
      <c r="C394" s="6">
        <v>8.6405999999999992</v>
      </c>
      <c r="D394" s="6">
        <v>8.4863999999999997</v>
      </c>
      <c r="E394" s="6">
        <v>8.1681000000000008</v>
      </c>
      <c r="F394" s="6">
        <v>8.1028000000000002</v>
      </c>
      <c r="G394" s="6">
        <v>8.4666999999999994</v>
      </c>
      <c r="H394" s="6">
        <v>8.8755000000000006</v>
      </c>
      <c r="I394" s="6">
        <v>10.5108</v>
      </c>
      <c r="J394" s="6">
        <v>11.5336</v>
      </c>
      <c r="K394" s="6">
        <v>12.3581</v>
      </c>
      <c r="L394" s="6">
        <v>12.819900000000001</v>
      </c>
      <c r="M394" s="6">
        <v>13.341100000000001</v>
      </c>
      <c r="N394" s="6">
        <v>13.732900000000001</v>
      </c>
      <c r="O394" s="6">
        <v>14.0486</v>
      </c>
      <c r="P394" s="6">
        <v>14.2491</v>
      </c>
      <c r="Q394" s="6"/>
    </row>
    <row r="395" spans="1:17">
      <c r="A395" s="5">
        <v>42038</v>
      </c>
      <c r="B395" s="5" t="str">
        <f t="shared" si="6"/>
        <v>2015 q1</v>
      </c>
      <c r="C395" s="6">
        <v>16.289400000000001</v>
      </c>
      <c r="D395" s="6">
        <v>16.3674</v>
      </c>
      <c r="E395" s="6">
        <v>16.528300000000002</v>
      </c>
      <c r="F395" s="6">
        <v>16.7697</v>
      </c>
      <c r="G395" s="6">
        <v>15.4268</v>
      </c>
      <c r="H395" s="6">
        <v>14.847</v>
      </c>
      <c r="I395" s="6">
        <v>13.7072</v>
      </c>
      <c r="J395" s="6">
        <v>13.3514</v>
      </c>
      <c r="K395" s="6">
        <v>13.1252</v>
      </c>
      <c r="L395" s="6">
        <v>13.0078</v>
      </c>
      <c r="M395" s="6">
        <v>12.8817</v>
      </c>
      <c r="N395" s="6">
        <v>12.7874</v>
      </c>
      <c r="O395" s="6">
        <v>12.711399999999999</v>
      </c>
      <c r="P395" s="6">
        <v>12.6631</v>
      </c>
      <c r="Q395" s="6"/>
    </row>
    <row r="396" spans="1:17">
      <c r="A396" s="5">
        <v>42039</v>
      </c>
      <c r="B396" s="5" t="str">
        <f t="shared" si="6"/>
        <v>2015 q1</v>
      </c>
      <c r="C396" s="6">
        <v>16.331499999999998</v>
      </c>
      <c r="D396" s="6">
        <v>16.4588</v>
      </c>
      <c r="E396" s="6">
        <v>16.721599999999999</v>
      </c>
      <c r="F396" s="6">
        <v>17.1159</v>
      </c>
      <c r="G396" s="6">
        <v>15.875999999999999</v>
      </c>
      <c r="H396" s="6">
        <v>15.514900000000001</v>
      </c>
      <c r="I396" s="6">
        <v>14.070399999999999</v>
      </c>
      <c r="J396" s="6">
        <v>13.5334</v>
      </c>
      <c r="K396" s="6">
        <v>13.2729</v>
      </c>
      <c r="L396" s="6">
        <v>13.138199999999999</v>
      </c>
      <c r="M396" s="6">
        <v>12.9932</v>
      </c>
      <c r="N396" s="6">
        <v>12.8848</v>
      </c>
      <c r="O396" s="6">
        <v>12.7974</v>
      </c>
      <c r="P396" s="6">
        <v>12.7418</v>
      </c>
      <c r="Q396" s="6"/>
    </row>
    <row r="397" spans="1:17">
      <c r="A397" s="5">
        <v>42040</v>
      </c>
      <c r="B397" s="5" t="str">
        <f t="shared" si="6"/>
        <v>2015 q1</v>
      </c>
      <c r="C397" s="6">
        <v>16.349399999999999</v>
      </c>
      <c r="D397" s="6">
        <v>16.463999999999999</v>
      </c>
      <c r="E397" s="6">
        <v>16.700600000000001</v>
      </c>
      <c r="F397" s="6">
        <v>17.0381</v>
      </c>
      <c r="G397" s="6">
        <v>15.840199999999999</v>
      </c>
      <c r="H397" s="6">
        <v>15.480700000000001</v>
      </c>
      <c r="I397" s="6">
        <v>14.042899999999999</v>
      </c>
      <c r="J397" s="6">
        <v>13.511200000000001</v>
      </c>
      <c r="K397" s="6">
        <v>13.251300000000001</v>
      </c>
      <c r="L397" s="6">
        <v>13.1174</v>
      </c>
      <c r="M397" s="6">
        <v>12.973000000000001</v>
      </c>
      <c r="N397" s="6">
        <v>12.865</v>
      </c>
      <c r="O397" s="6">
        <v>12.778</v>
      </c>
      <c r="P397" s="6">
        <v>12.7226</v>
      </c>
      <c r="Q397" s="6"/>
    </row>
    <row r="398" spans="1:17">
      <c r="A398" s="5">
        <v>42041</v>
      </c>
      <c r="B398" s="5" t="str">
        <f t="shared" si="6"/>
        <v>2015 q1</v>
      </c>
      <c r="C398" s="6">
        <v>16.370699999999999</v>
      </c>
      <c r="D398" s="6">
        <v>16.467300000000002</v>
      </c>
      <c r="E398" s="6">
        <v>16.666799999999999</v>
      </c>
      <c r="F398" s="6">
        <v>16.966200000000001</v>
      </c>
      <c r="G398" s="6">
        <v>15.8377</v>
      </c>
      <c r="H398" s="6">
        <v>15.4681</v>
      </c>
      <c r="I398" s="6">
        <v>13.989800000000001</v>
      </c>
      <c r="J398" s="6">
        <v>13.444000000000001</v>
      </c>
      <c r="K398" s="6">
        <v>13.173500000000001</v>
      </c>
      <c r="L398" s="6">
        <v>13.034800000000001</v>
      </c>
      <c r="M398" s="6">
        <v>12.8848</v>
      </c>
      <c r="N398" s="6">
        <v>12.7727</v>
      </c>
      <c r="O398" s="6">
        <v>12.6823</v>
      </c>
      <c r="P398" s="6">
        <v>12.6248</v>
      </c>
      <c r="Q398" s="6"/>
    </row>
    <row r="399" spans="1:17">
      <c r="A399" s="5">
        <v>42044</v>
      </c>
      <c r="B399" s="5" t="str">
        <f t="shared" si="6"/>
        <v>2015 q1</v>
      </c>
      <c r="C399" s="6">
        <v>16.366900000000001</v>
      </c>
      <c r="D399" s="6">
        <v>16.481100000000001</v>
      </c>
      <c r="E399" s="6">
        <v>16.716799999999999</v>
      </c>
      <c r="F399" s="6">
        <v>17.020299999999999</v>
      </c>
      <c r="G399" s="6">
        <v>15.9038</v>
      </c>
      <c r="H399" s="6">
        <v>15.539899999999999</v>
      </c>
      <c r="I399" s="6">
        <v>14.0844</v>
      </c>
      <c r="J399" s="6">
        <v>13.4864</v>
      </c>
      <c r="K399" s="6">
        <v>13.265599999999999</v>
      </c>
      <c r="L399" s="6">
        <v>13.148099999999999</v>
      </c>
      <c r="M399" s="6">
        <v>13.0008</v>
      </c>
      <c r="N399" s="6">
        <v>12.890700000000001</v>
      </c>
      <c r="O399" s="6">
        <v>12.8019</v>
      </c>
      <c r="P399" s="6">
        <v>12.7454</v>
      </c>
      <c r="Q399" s="6"/>
    </row>
    <row r="400" spans="1:17">
      <c r="A400" s="5">
        <v>42045</v>
      </c>
      <c r="B400" s="5" t="str">
        <f t="shared" si="6"/>
        <v>2015 q1</v>
      </c>
      <c r="C400" s="6">
        <v>16.409500000000001</v>
      </c>
      <c r="D400" s="6">
        <v>16.4725</v>
      </c>
      <c r="E400" s="6">
        <v>16.602499999999999</v>
      </c>
      <c r="F400" s="6">
        <v>16.755500000000001</v>
      </c>
      <c r="G400" s="6">
        <v>15.748699999999999</v>
      </c>
      <c r="H400" s="6">
        <v>15.398400000000001</v>
      </c>
      <c r="I400" s="6">
        <v>13.9976</v>
      </c>
      <c r="J400" s="6">
        <v>13.492100000000001</v>
      </c>
      <c r="K400" s="6">
        <v>13.2347</v>
      </c>
      <c r="L400" s="6">
        <v>13.104699999999999</v>
      </c>
      <c r="M400" s="6">
        <v>12.962999999999999</v>
      </c>
      <c r="N400" s="6">
        <v>12.856999999999999</v>
      </c>
      <c r="O400" s="6">
        <v>12.771599999999999</v>
      </c>
      <c r="P400" s="6">
        <v>12.7172</v>
      </c>
      <c r="Q400" s="6"/>
    </row>
    <row r="401" spans="1:17">
      <c r="A401" s="5">
        <v>42046</v>
      </c>
      <c r="B401" s="5" t="str">
        <f t="shared" si="6"/>
        <v>2015 q1</v>
      </c>
      <c r="C401" s="6">
        <v>16.413</v>
      </c>
      <c r="D401" s="6">
        <v>16.476099999999999</v>
      </c>
      <c r="E401" s="6">
        <v>16.606300000000001</v>
      </c>
      <c r="F401" s="6">
        <v>16.7456</v>
      </c>
      <c r="G401" s="6">
        <v>15.7471</v>
      </c>
      <c r="H401" s="6">
        <v>15.3965</v>
      </c>
      <c r="I401" s="6">
        <v>13.994</v>
      </c>
      <c r="J401" s="6">
        <v>13.491300000000001</v>
      </c>
      <c r="K401" s="6">
        <v>13.234</v>
      </c>
      <c r="L401" s="6">
        <v>13.1045</v>
      </c>
      <c r="M401" s="6">
        <v>12.963100000000001</v>
      </c>
      <c r="N401" s="6">
        <v>12.8574</v>
      </c>
      <c r="O401" s="6">
        <v>12.7721</v>
      </c>
      <c r="P401" s="6">
        <v>12.7178</v>
      </c>
      <c r="Q401" s="6"/>
    </row>
    <row r="402" spans="1:17">
      <c r="A402" s="5">
        <v>42047</v>
      </c>
      <c r="B402" s="5" t="str">
        <f t="shared" si="6"/>
        <v>2015 q1</v>
      </c>
      <c r="C402" s="6">
        <v>16.41</v>
      </c>
      <c r="D402" s="6">
        <v>16.488800000000001</v>
      </c>
      <c r="E402" s="6">
        <v>16.651599999999998</v>
      </c>
      <c r="F402" s="6">
        <v>16.820799999999998</v>
      </c>
      <c r="G402" s="6">
        <v>15.795</v>
      </c>
      <c r="H402" s="6">
        <v>15.4291</v>
      </c>
      <c r="I402" s="6">
        <v>13.965400000000001</v>
      </c>
      <c r="J402" s="6">
        <v>13.444100000000001</v>
      </c>
      <c r="K402" s="6">
        <v>13.175599999999999</v>
      </c>
      <c r="L402" s="6">
        <v>13.041</v>
      </c>
      <c r="M402" s="6">
        <v>12.893700000000001</v>
      </c>
      <c r="N402" s="6">
        <v>12.7836</v>
      </c>
      <c r="O402" s="6">
        <v>12.694800000000001</v>
      </c>
      <c r="P402" s="6">
        <v>12.638199999999999</v>
      </c>
      <c r="Q402" s="6"/>
    </row>
    <row r="403" spans="1:17">
      <c r="A403" s="5">
        <v>42048</v>
      </c>
      <c r="B403" s="5" t="str">
        <f t="shared" si="6"/>
        <v>2015 q1</v>
      </c>
      <c r="C403" s="6">
        <v>16.415199999999999</v>
      </c>
      <c r="D403" s="6">
        <v>16.494199999999999</v>
      </c>
      <c r="E403" s="6">
        <v>16.657399999999999</v>
      </c>
      <c r="F403" s="6">
        <v>16.815200000000001</v>
      </c>
      <c r="G403" s="6">
        <v>15.8362</v>
      </c>
      <c r="H403" s="6">
        <v>15.4671</v>
      </c>
      <c r="I403" s="6">
        <v>13.9909</v>
      </c>
      <c r="J403" s="6">
        <v>13.4655</v>
      </c>
      <c r="K403" s="6">
        <v>13.190899999999999</v>
      </c>
      <c r="L403" s="6">
        <v>13.053800000000001</v>
      </c>
      <c r="M403" s="6">
        <v>12.903499999999999</v>
      </c>
      <c r="N403" s="6">
        <v>12.7911</v>
      </c>
      <c r="O403" s="6">
        <v>12.7005</v>
      </c>
      <c r="P403" s="6">
        <v>12.6427</v>
      </c>
      <c r="Q403" s="6"/>
    </row>
    <row r="404" spans="1:17">
      <c r="A404" s="5">
        <v>42051</v>
      </c>
      <c r="B404" s="5" t="str">
        <f t="shared" si="6"/>
        <v>2015 q1</v>
      </c>
      <c r="C404" s="6">
        <v>16.3933</v>
      </c>
      <c r="D404" s="6">
        <v>16.381900000000002</v>
      </c>
      <c r="E404" s="6">
        <v>16.3584</v>
      </c>
      <c r="F404" s="6">
        <v>16.233699999999999</v>
      </c>
      <c r="G404" s="6">
        <v>15.0566</v>
      </c>
      <c r="H404" s="6">
        <v>14.792400000000001</v>
      </c>
      <c r="I404" s="6">
        <v>13.735300000000001</v>
      </c>
      <c r="J404" s="6">
        <v>13.368600000000001</v>
      </c>
      <c r="K404" s="6">
        <v>13.1812</v>
      </c>
      <c r="L404" s="6">
        <v>13.087899999999999</v>
      </c>
      <c r="M404" s="6">
        <v>12.9854</v>
      </c>
      <c r="N404" s="6">
        <v>12.908799999999999</v>
      </c>
      <c r="O404" s="6">
        <v>12.847</v>
      </c>
      <c r="P404" s="6">
        <v>12.807600000000001</v>
      </c>
      <c r="Q404" s="6"/>
    </row>
    <row r="405" spans="1:17">
      <c r="A405" s="5">
        <v>42052</v>
      </c>
      <c r="B405" s="5" t="str">
        <f t="shared" si="6"/>
        <v>2015 q1</v>
      </c>
      <c r="C405" s="6">
        <v>15.0131</v>
      </c>
      <c r="D405" s="6">
        <v>14.917400000000001</v>
      </c>
      <c r="E405" s="6">
        <v>14.719799999999999</v>
      </c>
      <c r="F405" s="6">
        <v>14.4291</v>
      </c>
      <c r="G405" s="6">
        <v>14.189299999999999</v>
      </c>
      <c r="H405" s="6">
        <v>14.036099999999999</v>
      </c>
      <c r="I405" s="6">
        <v>13.423299999999999</v>
      </c>
      <c r="J405" s="6">
        <v>13.150700000000001</v>
      </c>
      <c r="K405" s="6">
        <v>12.9621</v>
      </c>
      <c r="L405" s="6">
        <v>12.932</v>
      </c>
      <c r="M405" s="6">
        <v>13.018700000000001</v>
      </c>
      <c r="N405" s="6">
        <v>13.2567</v>
      </c>
      <c r="O405" s="6">
        <v>13.6149</v>
      </c>
      <c r="P405" s="6">
        <v>13.9024</v>
      </c>
      <c r="Q405" s="6"/>
    </row>
    <row r="406" spans="1:17">
      <c r="A406" s="5">
        <v>42053</v>
      </c>
      <c r="B406" s="5" t="str">
        <f t="shared" si="6"/>
        <v>2015 q1</v>
      </c>
      <c r="C406" s="6">
        <v>14.9405</v>
      </c>
      <c r="D406" s="6">
        <v>14.8307</v>
      </c>
      <c r="E406" s="6">
        <v>14.604200000000001</v>
      </c>
      <c r="F406" s="6">
        <v>14.273</v>
      </c>
      <c r="G406" s="6">
        <v>14.0128</v>
      </c>
      <c r="H406" s="6">
        <v>13.8627</v>
      </c>
      <c r="I406" s="6">
        <v>13.2622</v>
      </c>
      <c r="J406" s="6">
        <v>13.045999999999999</v>
      </c>
      <c r="K406" s="6">
        <v>12.9229</v>
      </c>
      <c r="L406" s="6">
        <v>12.939299999999999</v>
      </c>
      <c r="M406" s="6">
        <v>13.0745</v>
      </c>
      <c r="N406" s="6">
        <v>13.305099999999999</v>
      </c>
      <c r="O406" s="6">
        <v>13.5845</v>
      </c>
      <c r="P406" s="6">
        <v>13.786799999999999</v>
      </c>
      <c r="Q406" s="6"/>
    </row>
    <row r="407" spans="1:17">
      <c r="A407" s="5">
        <v>42054</v>
      </c>
      <c r="B407" s="5" t="str">
        <f t="shared" si="6"/>
        <v>2015 q1</v>
      </c>
      <c r="C407" s="6">
        <v>14.927899999999999</v>
      </c>
      <c r="D407" s="6">
        <v>14.815099999999999</v>
      </c>
      <c r="E407" s="6">
        <v>14.5823</v>
      </c>
      <c r="F407" s="6">
        <v>14.2431</v>
      </c>
      <c r="G407" s="6">
        <v>13.979799999999999</v>
      </c>
      <c r="H407" s="6">
        <v>13.830299999999999</v>
      </c>
      <c r="I407" s="6">
        <v>13.2323</v>
      </c>
      <c r="J407" s="6">
        <v>13.0274</v>
      </c>
      <c r="K407" s="6">
        <v>12.9161</v>
      </c>
      <c r="L407" s="6">
        <v>12.940300000000001</v>
      </c>
      <c r="M407" s="6">
        <v>13.082000000000001</v>
      </c>
      <c r="N407" s="6">
        <v>13.3096</v>
      </c>
      <c r="O407" s="6">
        <v>13.5763</v>
      </c>
      <c r="P407" s="6">
        <v>13.766500000000001</v>
      </c>
      <c r="Q407" s="6"/>
    </row>
    <row r="408" spans="1:17">
      <c r="A408" s="5">
        <v>42055</v>
      </c>
      <c r="B408" s="5" t="str">
        <f t="shared" si="6"/>
        <v>2015 q1</v>
      </c>
      <c r="C408" s="6">
        <v>14.9269</v>
      </c>
      <c r="D408" s="6">
        <v>14.812799999999999</v>
      </c>
      <c r="E408" s="6">
        <v>14.577299999999999</v>
      </c>
      <c r="F408" s="6">
        <v>14.2356</v>
      </c>
      <c r="G408" s="6">
        <v>13.974299999999999</v>
      </c>
      <c r="H408" s="6">
        <v>13.828799999999999</v>
      </c>
      <c r="I408" s="6">
        <v>13.247</v>
      </c>
      <c r="J408" s="6">
        <v>13.0555</v>
      </c>
      <c r="K408" s="6">
        <v>12.9552</v>
      </c>
      <c r="L408" s="6">
        <v>12.9796</v>
      </c>
      <c r="M408" s="6">
        <v>13.1084</v>
      </c>
      <c r="N408" s="6">
        <v>13.305300000000001</v>
      </c>
      <c r="O408" s="6">
        <v>13.526899999999999</v>
      </c>
      <c r="P408" s="6">
        <v>13.682</v>
      </c>
      <c r="Q408" s="6"/>
    </row>
    <row r="409" spans="1:17">
      <c r="A409" s="5">
        <v>42058</v>
      </c>
      <c r="B409" s="5" t="str">
        <f t="shared" si="6"/>
        <v>2015 q1</v>
      </c>
      <c r="C409" s="6">
        <v>15.095000000000001</v>
      </c>
      <c r="D409" s="6">
        <v>14.9551</v>
      </c>
      <c r="E409" s="6">
        <v>14.6662</v>
      </c>
      <c r="F409" s="6">
        <v>14.246499999999999</v>
      </c>
      <c r="G409" s="6">
        <v>13.9201</v>
      </c>
      <c r="H409" s="6">
        <v>13.769</v>
      </c>
      <c r="I409" s="6">
        <v>13.1646</v>
      </c>
      <c r="J409" s="6">
        <v>13.031499999999999</v>
      </c>
      <c r="K409" s="6">
        <v>13.006600000000001</v>
      </c>
      <c r="L409" s="6">
        <v>13.0692</v>
      </c>
      <c r="M409" s="6">
        <v>13.2211</v>
      </c>
      <c r="N409" s="6">
        <v>13.388999999999999</v>
      </c>
      <c r="O409" s="6">
        <v>13.545500000000001</v>
      </c>
      <c r="P409" s="6">
        <v>13.6478</v>
      </c>
      <c r="Q409" s="6"/>
    </row>
    <row r="410" spans="1:17">
      <c r="A410" s="5">
        <v>42059</v>
      </c>
      <c r="B410" s="5" t="str">
        <f t="shared" si="6"/>
        <v>2015 q1</v>
      </c>
      <c r="C410" s="6">
        <v>15.080299999999999</v>
      </c>
      <c r="D410" s="6">
        <v>14.940799999999999</v>
      </c>
      <c r="E410" s="6">
        <v>14.652699999999999</v>
      </c>
      <c r="F410" s="6">
        <v>14.2372</v>
      </c>
      <c r="G410" s="6">
        <v>13.918699999999999</v>
      </c>
      <c r="H410" s="6">
        <v>13.768599999999999</v>
      </c>
      <c r="I410" s="6">
        <v>13.168200000000001</v>
      </c>
      <c r="J410" s="6">
        <v>13.0374</v>
      </c>
      <c r="K410" s="6">
        <v>13.008599999999999</v>
      </c>
      <c r="L410" s="6">
        <v>13.0657</v>
      </c>
      <c r="M410" s="6">
        <v>13.204599999999999</v>
      </c>
      <c r="N410" s="6">
        <v>13.357699999999999</v>
      </c>
      <c r="O410" s="6">
        <v>13.499599999999999</v>
      </c>
      <c r="P410" s="6">
        <v>13.5924</v>
      </c>
      <c r="Q410" s="6"/>
    </row>
    <row r="411" spans="1:17">
      <c r="A411" s="5">
        <v>42060</v>
      </c>
      <c r="B411" s="5" t="str">
        <f t="shared" si="6"/>
        <v>2015 q1</v>
      </c>
      <c r="C411" s="6">
        <v>15.0746</v>
      </c>
      <c r="D411" s="6">
        <v>14.935499999999999</v>
      </c>
      <c r="E411" s="6">
        <v>14.648199999999999</v>
      </c>
      <c r="F411" s="6">
        <v>14.2348</v>
      </c>
      <c r="G411" s="6">
        <v>13.918699999999999</v>
      </c>
      <c r="H411" s="6">
        <v>13.768000000000001</v>
      </c>
      <c r="I411" s="6">
        <v>13.1653</v>
      </c>
      <c r="J411" s="6">
        <v>13.0344</v>
      </c>
      <c r="K411" s="6">
        <v>13.004300000000001</v>
      </c>
      <c r="L411" s="6">
        <v>13.0617</v>
      </c>
      <c r="M411" s="6">
        <v>13.2021</v>
      </c>
      <c r="N411" s="6">
        <v>13.3576</v>
      </c>
      <c r="O411" s="6">
        <v>13.5023</v>
      </c>
      <c r="P411" s="6">
        <v>13.597</v>
      </c>
      <c r="Q411" s="6"/>
    </row>
    <row r="412" spans="1:17">
      <c r="A412" s="5">
        <v>42061</v>
      </c>
      <c r="B412" s="5" t="str">
        <f t="shared" si="6"/>
        <v>2015 q1</v>
      </c>
      <c r="C412" s="6">
        <v>15.069100000000001</v>
      </c>
      <c r="D412" s="6">
        <v>14.930400000000001</v>
      </c>
      <c r="E412" s="6">
        <v>14.6441</v>
      </c>
      <c r="F412" s="6">
        <v>14.232699999999999</v>
      </c>
      <c r="G412" s="6">
        <v>13.9185</v>
      </c>
      <c r="H412" s="6">
        <v>13.7666</v>
      </c>
      <c r="I412" s="6">
        <v>13.158799999999999</v>
      </c>
      <c r="J412" s="6">
        <v>13.029500000000001</v>
      </c>
      <c r="K412" s="6">
        <v>13.000400000000001</v>
      </c>
      <c r="L412" s="6">
        <v>13.063000000000001</v>
      </c>
      <c r="M412" s="6">
        <v>13.214700000000001</v>
      </c>
      <c r="N412" s="6">
        <v>13.3843</v>
      </c>
      <c r="O412" s="6">
        <v>13.5435</v>
      </c>
      <c r="P412" s="6">
        <v>13.6479</v>
      </c>
      <c r="Q412" s="6"/>
    </row>
    <row r="413" spans="1:17">
      <c r="A413" s="5">
        <v>42062</v>
      </c>
      <c r="B413" s="5" t="str">
        <f t="shared" si="6"/>
        <v>2015 q1</v>
      </c>
      <c r="C413" s="6">
        <v>15.063700000000001</v>
      </c>
      <c r="D413" s="6">
        <v>14.9253</v>
      </c>
      <c r="E413" s="6">
        <v>14.6396</v>
      </c>
      <c r="F413" s="6">
        <v>14.2301</v>
      </c>
      <c r="G413" s="6">
        <v>13.9183</v>
      </c>
      <c r="H413" s="6">
        <v>13.766299999999999</v>
      </c>
      <c r="I413" s="6">
        <v>13.158200000000001</v>
      </c>
      <c r="J413" s="6">
        <v>13.0304</v>
      </c>
      <c r="K413" s="6">
        <v>13.001200000000001</v>
      </c>
      <c r="L413" s="6">
        <v>13.0648</v>
      </c>
      <c r="M413" s="6">
        <v>13.2182</v>
      </c>
      <c r="N413" s="6">
        <v>13.389900000000001</v>
      </c>
      <c r="O413" s="6">
        <v>13.551399999999999</v>
      </c>
      <c r="P413" s="6">
        <v>13.657500000000001</v>
      </c>
      <c r="Q413" s="6"/>
    </row>
    <row r="414" spans="1:17">
      <c r="A414" s="5">
        <v>42065</v>
      </c>
      <c r="B414" s="5" t="str">
        <f t="shared" si="6"/>
        <v>2015 q1</v>
      </c>
      <c r="C414" s="6">
        <v>15.153700000000001</v>
      </c>
      <c r="D414" s="6">
        <v>15.0045</v>
      </c>
      <c r="E414" s="6">
        <v>14.696400000000001</v>
      </c>
      <c r="F414" s="6">
        <v>14.2555</v>
      </c>
      <c r="G414" s="6">
        <v>13.921900000000001</v>
      </c>
      <c r="H414" s="6">
        <v>13.763</v>
      </c>
      <c r="I414" s="6">
        <v>13.1271</v>
      </c>
      <c r="J414" s="6">
        <v>13.010400000000001</v>
      </c>
      <c r="K414" s="6">
        <v>12.9983</v>
      </c>
      <c r="L414" s="6">
        <v>13.0778</v>
      </c>
      <c r="M414" s="6">
        <v>13.255000000000001</v>
      </c>
      <c r="N414" s="6">
        <v>13.4465</v>
      </c>
      <c r="O414" s="6">
        <v>13.623699999999999</v>
      </c>
      <c r="P414" s="6">
        <v>13.739599999999999</v>
      </c>
      <c r="Q414" s="6"/>
    </row>
    <row r="415" spans="1:17">
      <c r="A415" s="5">
        <v>42066</v>
      </c>
      <c r="B415" s="5" t="str">
        <f t="shared" si="6"/>
        <v>2015 q1</v>
      </c>
      <c r="C415" s="6">
        <v>14.7469</v>
      </c>
      <c r="D415" s="6">
        <v>14.631399999999999</v>
      </c>
      <c r="E415" s="6">
        <v>14.393000000000001</v>
      </c>
      <c r="F415" s="6">
        <v>14.052300000000001</v>
      </c>
      <c r="G415" s="6">
        <v>13.7912</v>
      </c>
      <c r="H415" s="6">
        <v>13.6561</v>
      </c>
      <c r="I415" s="6">
        <v>13.1158</v>
      </c>
      <c r="J415" s="6">
        <v>13.032400000000001</v>
      </c>
      <c r="K415" s="6">
        <v>13.035600000000001</v>
      </c>
      <c r="L415" s="6">
        <v>13.148</v>
      </c>
      <c r="M415" s="6">
        <v>13.4023</v>
      </c>
      <c r="N415" s="6">
        <v>13.704000000000001</v>
      </c>
      <c r="O415" s="6">
        <v>14.0076</v>
      </c>
      <c r="P415" s="6">
        <v>14.212899999999999</v>
      </c>
      <c r="Q415" s="6"/>
    </row>
    <row r="416" spans="1:17">
      <c r="A416" s="5">
        <v>42067</v>
      </c>
      <c r="B416" s="5" t="str">
        <f t="shared" si="6"/>
        <v>2015 q1</v>
      </c>
      <c r="C416" s="6">
        <v>14.7195</v>
      </c>
      <c r="D416" s="6">
        <v>14.609400000000001</v>
      </c>
      <c r="E416" s="6">
        <v>14.382199999999999</v>
      </c>
      <c r="F416" s="6">
        <v>14.056800000000001</v>
      </c>
      <c r="G416" s="6">
        <v>13.8032</v>
      </c>
      <c r="H416" s="6">
        <v>13.663600000000001</v>
      </c>
      <c r="I416" s="6">
        <v>13.105399999999999</v>
      </c>
      <c r="J416" s="6">
        <v>13.011799999999999</v>
      </c>
      <c r="K416" s="6">
        <v>13.0044</v>
      </c>
      <c r="L416" s="6">
        <v>13.1351</v>
      </c>
      <c r="M416" s="6">
        <v>13.4512</v>
      </c>
      <c r="N416" s="6">
        <v>13.8598</v>
      </c>
      <c r="O416" s="6">
        <v>14.3033</v>
      </c>
      <c r="P416" s="6">
        <v>14.613899999999999</v>
      </c>
      <c r="Q416" s="6"/>
    </row>
    <row r="417" spans="1:17">
      <c r="A417" s="5">
        <v>42068</v>
      </c>
      <c r="B417" s="5" t="str">
        <f t="shared" si="6"/>
        <v>2015 q1</v>
      </c>
      <c r="C417" s="6">
        <v>14.8634</v>
      </c>
      <c r="D417" s="6">
        <v>14.764799999999999</v>
      </c>
      <c r="E417" s="6">
        <v>14.561299999999999</v>
      </c>
      <c r="F417" s="6">
        <v>14.2677</v>
      </c>
      <c r="G417" s="6">
        <v>14.029500000000001</v>
      </c>
      <c r="H417" s="6">
        <v>13.880100000000001</v>
      </c>
      <c r="I417" s="6">
        <v>13.282500000000001</v>
      </c>
      <c r="J417" s="6">
        <v>13.112</v>
      </c>
      <c r="K417" s="6">
        <v>13.0192</v>
      </c>
      <c r="L417" s="6">
        <v>13.101000000000001</v>
      </c>
      <c r="M417" s="6">
        <v>13.3779</v>
      </c>
      <c r="N417" s="6">
        <v>13.823399999999999</v>
      </c>
      <c r="O417" s="6">
        <v>14.3903</v>
      </c>
      <c r="P417" s="6">
        <v>14.820600000000001</v>
      </c>
      <c r="Q417" s="6"/>
    </row>
    <row r="418" spans="1:17">
      <c r="A418" s="5">
        <v>42069</v>
      </c>
      <c r="B418" s="5" t="str">
        <f t="shared" si="6"/>
        <v>2015 q1</v>
      </c>
      <c r="C418" s="6">
        <v>14.857799999999999</v>
      </c>
      <c r="D418" s="6">
        <v>14.7591</v>
      </c>
      <c r="E418" s="6">
        <v>14.555199999999999</v>
      </c>
      <c r="F418" s="6">
        <v>14.263299999999999</v>
      </c>
      <c r="G418" s="6">
        <v>14.033899999999999</v>
      </c>
      <c r="H418" s="6">
        <v>13.8995</v>
      </c>
      <c r="I418" s="6">
        <v>13.3619</v>
      </c>
      <c r="J418" s="6">
        <v>13.244899999999999</v>
      </c>
      <c r="K418" s="6">
        <v>13.2027</v>
      </c>
      <c r="L418" s="6">
        <v>13.3009</v>
      </c>
      <c r="M418" s="6">
        <v>13.565</v>
      </c>
      <c r="N418" s="6">
        <v>13.931900000000001</v>
      </c>
      <c r="O418" s="6">
        <v>14.349500000000001</v>
      </c>
      <c r="P418" s="6">
        <v>14.6486</v>
      </c>
      <c r="Q418" s="6"/>
    </row>
    <row r="419" spans="1:17">
      <c r="A419" s="5">
        <v>42072</v>
      </c>
      <c r="B419" s="5" t="str">
        <f t="shared" si="6"/>
        <v>2015 q1</v>
      </c>
      <c r="C419" s="6">
        <v>14.723000000000001</v>
      </c>
      <c r="D419" s="6">
        <v>14.617100000000001</v>
      </c>
      <c r="E419" s="6">
        <v>14.398400000000001</v>
      </c>
      <c r="F419" s="6">
        <v>14.0984</v>
      </c>
      <c r="G419" s="6">
        <v>13.8613</v>
      </c>
      <c r="H419" s="6">
        <v>13.6271</v>
      </c>
      <c r="I419" s="6">
        <v>13.2225</v>
      </c>
      <c r="J419" s="6">
        <v>13.1846</v>
      </c>
      <c r="K419" s="6">
        <v>13.210699999999999</v>
      </c>
      <c r="L419" s="6">
        <v>13.349299999999999</v>
      </c>
      <c r="M419" s="6">
        <v>13.6532</v>
      </c>
      <c r="N419" s="6">
        <v>14.0189</v>
      </c>
      <c r="O419" s="6">
        <v>14.3962</v>
      </c>
      <c r="P419" s="6">
        <v>14.6549</v>
      </c>
      <c r="Q419" s="6"/>
    </row>
    <row r="420" spans="1:17">
      <c r="A420" s="5">
        <v>42073</v>
      </c>
      <c r="B420" s="5" t="str">
        <f t="shared" si="6"/>
        <v>2015 q1</v>
      </c>
      <c r="C420" s="6">
        <v>14.7424</v>
      </c>
      <c r="D420" s="6">
        <v>14.6265</v>
      </c>
      <c r="E420" s="6">
        <v>14.3871</v>
      </c>
      <c r="F420" s="6">
        <v>14.0549</v>
      </c>
      <c r="G420" s="6">
        <v>13.7761</v>
      </c>
      <c r="H420" s="6">
        <v>13.660500000000001</v>
      </c>
      <c r="I420" s="6">
        <v>13.198499999999999</v>
      </c>
      <c r="J420" s="6">
        <v>13.190200000000001</v>
      </c>
      <c r="K420" s="6">
        <v>13.2559</v>
      </c>
      <c r="L420" s="6">
        <v>13.417199999999999</v>
      </c>
      <c r="M420" s="6">
        <v>13.739800000000001</v>
      </c>
      <c r="N420" s="6">
        <v>14.0997</v>
      </c>
      <c r="O420" s="6">
        <v>14.4518</v>
      </c>
      <c r="P420" s="6">
        <v>14.6881</v>
      </c>
      <c r="Q420" s="6"/>
    </row>
    <row r="421" spans="1:17">
      <c r="A421" s="5">
        <v>42074</v>
      </c>
      <c r="B421" s="5" t="str">
        <f t="shared" si="6"/>
        <v>2015 q1</v>
      </c>
      <c r="C421" s="6">
        <v>14.6381</v>
      </c>
      <c r="D421" s="6">
        <v>14.5443</v>
      </c>
      <c r="E421" s="6">
        <v>14.350899999999999</v>
      </c>
      <c r="F421" s="6">
        <v>14.079599999999999</v>
      </c>
      <c r="G421" s="6">
        <v>13.845700000000001</v>
      </c>
      <c r="H421" s="6">
        <v>13.7341</v>
      </c>
      <c r="I421" s="6">
        <v>13.2875</v>
      </c>
      <c r="J421" s="6">
        <v>13.260899999999999</v>
      </c>
      <c r="K421" s="6">
        <v>13.3012</v>
      </c>
      <c r="L421" s="6">
        <v>13.4825</v>
      </c>
      <c r="M421" s="6">
        <v>13.894600000000001</v>
      </c>
      <c r="N421" s="6">
        <v>14.4353</v>
      </c>
      <c r="O421" s="6">
        <v>15.0465</v>
      </c>
      <c r="P421" s="6">
        <v>15.486700000000001</v>
      </c>
      <c r="Q421" s="6"/>
    </row>
    <row r="422" spans="1:17">
      <c r="A422" s="5">
        <v>42075</v>
      </c>
      <c r="B422" s="5" t="str">
        <f t="shared" si="6"/>
        <v>2015 q1</v>
      </c>
      <c r="C422" s="6">
        <v>14.4695</v>
      </c>
      <c r="D422" s="6">
        <v>14.4087</v>
      </c>
      <c r="E422" s="6">
        <v>14.283200000000001</v>
      </c>
      <c r="F422" s="6">
        <v>14.1038</v>
      </c>
      <c r="G422" s="6">
        <v>13.9421</v>
      </c>
      <c r="H422" s="6">
        <v>13.8444</v>
      </c>
      <c r="I422" s="6">
        <v>13.453799999999999</v>
      </c>
      <c r="J422" s="6">
        <v>13.366300000000001</v>
      </c>
      <c r="K422" s="6">
        <v>13.325799999999999</v>
      </c>
      <c r="L422" s="6">
        <v>13.4688</v>
      </c>
      <c r="M422" s="6">
        <v>13.917999999999999</v>
      </c>
      <c r="N422" s="6">
        <v>14.755800000000001</v>
      </c>
      <c r="O422" s="6">
        <v>16.095199999999998</v>
      </c>
      <c r="P422" s="6">
        <v>17.2926</v>
      </c>
      <c r="Q422" s="6"/>
    </row>
    <row r="423" spans="1:17">
      <c r="A423" s="5">
        <v>42076</v>
      </c>
      <c r="B423" s="5" t="str">
        <f t="shared" si="6"/>
        <v>2015 q1</v>
      </c>
      <c r="C423" s="6">
        <v>14.7882</v>
      </c>
      <c r="D423" s="6">
        <v>14.639699999999999</v>
      </c>
      <c r="E423" s="6">
        <v>14.3331</v>
      </c>
      <c r="F423" s="6">
        <v>13.911199999999999</v>
      </c>
      <c r="G423" s="6">
        <v>13.558</v>
      </c>
      <c r="H423" s="6">
        <v>13.3146</v>
      </c>
      <c r="I423" s="6">
        <v>12.860799999999999</v>
      </c>
      <c r="J423" s="6">
        <v>12.9976</v>
      </c>
      <c r="K423" s="6">
        <v>13.212199999999999</v>
      </c>
      <c r="L423" s="6">
        <v>13.577999999999999</v>
      </c>
      <c r="M423" s="6">
        <v>14.295500000000001</v>
      </c>
      <c r="N423" s="6">
        <v>15.120699999999999</v>
      </c>
      <c r="O423" s="6">
        <v>15.964700000000001</v>
      </c>
      <c r="P423" s="6">
        <v>16.544899999999998</v>
      </c>
      <c r="Q423" s="6"/>
    </row>
    <row r="424" spans="1:17">
      <c r="A424" s="5">
        <v>42079</v>
      </c>
      <c r="B424" s="5" t="str">
        <f t="shared" si="6"/>
        <v>2015 q1</v>
      </c>
      <c r="C424" s="6">
        <v>14.1792</v>
      </c>
      <c r="D424" s="6">
        <v>14.141500000000001</v>
      </c>
      <c r="E424" s="6">
        <v>14.063700000000001</v>
      </c>
      <c r="F424" s="6">
        <v>13.9473</v>
      </c>
      <c r="G424" s="6">
        <v>13.8474</v>
      </c>
      <c r="H424" s="6">
        <v>13.7845</v>
      </c>
      <c r="I424" s="6">
        <v>13.5329</v>
      </c>
      <c r="J424" s="6">
        <v>13.4932</v>
      </c>
      <c r="K424" s="6">
        <v>13.4849</v>
      </c>
      <c r="L424" s="6">
        <v>13.6271</v>
      </c>
      <c r="M424" s="6">
        <v>14.070399999999999</v>
      </c>
      <c r="N424" s="6">
        <v>14.9589</v>
      </c>
      <c r="O424" s="6">
        <v>16.552900000000001</v>
      </c>
      <c r="P424" s="6">
        <v>18.102599999999999</v>
      </c>
      <c r="Q424" s="6"/>
    </row>
    <row r="425" spans="1:17">
      <c r="A425" s="5">
        <v>42080</v>
      </c>
      <c r="B425" s="5" t="str">
        <f t="shared" si="6"/>
        <v>2015 q1</v>
      </c>
      <c r="C425" s="6">
        <v>13.789899999999999</v>
      </c>
      <c r="D425" s="6">
        <v>13.7774</v>
      </c>
      <c r="E425" s="6">
        <v>13.7524</v>
      </c>
      <c r="F425" s="6">
        <v>13.718400000000001</v>
      </c>
      <c r="G425" s="6">
        <v>13.6928</v>
      </c>
      <c r="H425" s="6">
        <v>13.672000000000001</v>
      </c>
      <c r="I425" s="6">
        <v>13.6554</v>
      </c>
      <c r="J425" s="6">
        <v>13.7386</v>
      </c>
      <c r="K425" s="6">
        <v>13.835599999999999</v>
      </c>
      <c r="L425" s="6">
        <v>14.014099999999999</v>
      </c>
      <c r="M425" s="6">
        <v>14.458500000000001</v>
      </c>
      <c r="N425" s="6">
        <v>15.2517</v>
      </c>
      <c r="O425" s="6">
        <v>16.6358</v>
      </c>
      <c r="P425" s="6">
        <v>17.988700000000001</v>
      </c>
      <c r="Q425" s="6"/>
    </row>
    <row r="426" spans="1:17">
      <c r="A426" s="5">
        <v>42081</v>
      </c>
      <c r="B426" s="5" t="str">
        <f t="shared" si="6"/>
        <v>2015 q1</v>
      </c>
      <c r="C426" s="6">
        <v>13.7544</v>
      </c>
      <c r="D426" s="6">
        <v>13.7431</v>
      </c>
      <c r="E426" s="6">
        <v>13.720499999999999</v>
      </c>
      <c r="F426" s="6">
        <v>13.6899</v>
      </c>
      <c r="G426" s="6">
        <v>13.667299999999999</v>
      </c>
      <c r="H426" s="6">
        <v>13.6496</v>
      </c>
      <c r="I426" s="6">
        <v>13.642099999999999</v>
      </c>
      <c r="J426" s="6">
        <v>13.731199999999999</v>
      </c>
      <c r="K426" s="6">
        <v>13.8332</v>
      </c>
      <c r="L426" s="6">
        <v>14.0144</v>
      </c>
      <c r="M426" s="6">
        <v>14.460599999999999</v>
      </c>
      <c r="N426" s="6">
        <v>15.2522</v>
      </c>
      <c r="O426" s="6">
        <v>16.629899999999999</v>
      </c>
      <c r="P426" s="6">
        <v>17.976299999999998</v>
      </c>
      <c r="Q426" s="6"/>
    </row>
    <row r="427" spans="1:17">
      <c r="A427" s="5">
        <v>42082</v>
      </c>
      <c r="B427" s="5" t="str">
        <f t="shared" si="6"/>
        <v>2015 q1</v>
      </c>
      <c r="C427" s="6">
        <v>13.7316</v>
      </c>
      <c r="D427" s="6">
        <v>13.724600000000001</v>
      </c>
      <c r="E427" s="6">
        <v>13.710800000000001</v>
      </c>
      <c r="F427" s="6">
        <v>13.6927</v>
      </c>
      <c r="G427" s="6">
        <v>13.6805</v>
      </c>
      <c r="H427" s="6">
        <v>13.672000000000001</v>
      </c>
      <c r="I427" s="6">
        <v>13.685600000000001</v>
      </c>
      <c r="J427" s="6">
        <v>13.7742</v>
      </c>
      <c r="K427" s="6">
        <v>13.8726</v>
      </c>
      <c r="L427" s="6">
        <v>14.034700000000001</v>
      </c>
      <c r="M427" s="6">
        <v>14.429600000000001</v>
      </c>
      <c r="N427" s="6">
        <v>15.132899999999999</v>
      </c>
      <c r="O427" s="6">
        <v>16.3813</v>
      </c>
      <c r="P427" s="6">
        <v>17.621600000000001</v>
      </c>
      <c r="Q427" s="6"/>
    </row>
    <row r="428" spans="1:17">
      <c r="A428" s="5">
        <v>42083</v>
      </c>
      <c r="B428" s="5" t="str">
        <f t="shared" si="6"/>
        <v>2015 q1</v>
      </c>
      <c r="C428" s="6">
        <v>13.742100000000001</v>
      </c>
      <c r="D428" s="6">
        <v>13.7323</v>
      </c>
      <c r="E428" s="6">
        <v>13.712899999999999</v>
      </c>
      <c r="F428" s="6">
        <v>13.6868</v>
      </c>
      <c r="G428" s="6">
        <v>13.668200000000001</v>
      </c>
      <c r="H428" s="6">
        <v>13.654199999999999</v>
      </c>
      <c r="I428" s="6">
        <v>13.6557</v>
      </c>
      <c r="J428" s="6">
        <v>13.7478</v>
      </c>
      <c r="K428" s="6">
        <v>13.8513</v>
      </c>
      <c r="L428" s="6">
        <v>14.0296</v>
      </c>
      <c r="M428" s="6">
        <v>14.465199999999999</v>
      </c>
      <c r="N428" s="6">
        <v>15.2363</v>
      </c>
      <c r="O428" s="6">
        <v>16.5824</v>
      </c>
      <c r="P428" s="6">
        <v>17.9025</v>
      </c>
      <c r="Q428" s="6"/>
    </row>
    <row r="429" spans="1:17">
      <c r="A429" s="5">
        <v>42086</v>
      </c>
      <c r="B429" s="5" t="str">
        <f t="shared" si="6"/>
        <v>2015 q1</v>
      </c>
      <c r="C429" s="6">
        <v>13.6525</v>
      </c>
      <c r="D429" s="6">
        <v>13.6465</v>
      </c>
      <c r="E429" s="6">
        <v>13.635</v>
      </c>
      <c r="F429" s="6">
        <v>13.620200000000001</v>
      </c>
      <c r="G429" s="6">
        <v>13.6106</v>
      </c>
      <c r="H429" s="6">
        <v>13.6152</v>
      </c>
      <c r="I429" s="6">
        <v>13.6335</v>
      </c>
      <c r="J429" s="6">
        <v>13.7339</v>
      </c>
      <c r="K429" s="6">
        <v>13.8444</v>
      </c>
      <c r="L429" s="6">
        <v>14.0181</v>
      </c>
      <c r="M429" s="6">
        <v>14.433299999999999</v>
      </c>
      <c r="N429" s="6">
        <v>15.1609</v>
      </c>
      <c r="O429" s="6">
        <v>16.436399999999999</v>
      </c>
      <c r="P429" s="6">
        <v>17.696100000000001</v>
      </c>
      <c r="Q429" s="6"/>
    </row>
    <row r="430" spans="1:17">
      <c r="A430" s="5">
        <v>42087</v>
      </c>
      <c r="B430" s="5" t="str">
        <f t="shared" si="6"/>
        <v>2015 q1</v>
      </c>
      <c r="C430" s="6">
        <v>13.469099999999999</v>
      </c>
      <c r="D430" s="6">
        <v>13.472200000000001</v>
      </c>
      <c r="E430" s="6">
        <v>13.4785</v>
      </c>
      <c r="F430" s="6">
        <v>13.488300000000001</v>
      </c>
      <c r="G430" s="6">
        <v>13.500999999999999</v>
      </c>
      <c r="H430" s="6">
        <v>13.5219</v>
      </c>
      <c r="I430" s="6">
        <v>13.605499999999999</v>
      </c>
      <c r="J430" s="6">
        <v>13.7394</v>
      </c>
      <c r="K430" s="6">
        <v>13.879</v>
      </c>
      <c r="L430" s="6">
        <v>14.058199999999999</v>
      </c>
      <c r="M430" s="6">
        <v>14.459300000000001</v>
      </c>
      <c r="N430" s="6">
        <v>15.128399999999999</v>
      </c>
      <c r="O430" s="6">
        <v>16.2836</v>
      </c>
      <c r="P430" s="6">
        <v>17.4268</v>
      </c>
      <c r="Q430" s="6"/>
    </row>
    <row r="431" spans="1:17">
      <c r="A431" s="5">
        <v>42088</v>
      </c>
      <c r="B431" s="5" t="str">
        <f t="shared" si="6"/>
        <v>2015 q1</v>
      </c>
      <c r="C431" s="6">
        <v>13.4674</v>
      </c>
      <c r="D431" s="6">
        <v>13.4712</v>
      </c>
      <c r="E431" s="6">
        <v>13.479100000000001</v>
      </c>
      <c r="F431" s="6">
        <v>13.491199999999999</v>
      </c>
      <c r="G431" s="6">
        <v>13.5059</v>
      </c>
      <c r="H431" s="6">
        <v>13.528</v>
      </c>
      <c r="I431" s="6">
        <v>13.616300000000001</v>
      </c>
      <c r="J431" s="6">
        <v>13.7502</v>
      </c>
      <c r="K431" s="6">
        <v>13.8893</v>
      </c>
      <c r="L431" s="6">
        <v>14.0646</v>
      </c>
      <c r="M431" s="6">
        <v>14.454700000000001</v>
      </c>
      <c r="N431" s="6">
        <v>15.103199999999999</v>
      </c>
      <c r="O431" s="6">
        <v>16.224399999999999</v>
      </c>
      <c r="P431" s="6">
        <v>17.3368</v>
      </c>
      <c r="Q431" s="6"/>
    </row>
    <row r="432" spans="1:17">
      <c r="A432" s="5">
        <v>42089</v>
      </c>
      <c r="B432" s="5" t="str">
        <f t="shared" si="6"/>
        <v>2015 q1</v>
      </c>
      <c r="C432" s="6">
        <v>13.4735</v>
      </c>
      <c r="D432" s="6">
        <v>13.4778</v>
      </c>
      <c r="E432" s="6">
        <v>13.486700000000001</v>
      </c>
      <c r="F432" s="6">
        <v>13.500400000000001</v>
      </c>
      <c r="G432" s="6">
        <v>13.516400000000001</v>
      </c>
      <c r="H432" s="6">
        <v>13.538600000000001</v>
      </c>
      <c r="I432" s="6">
        <v>13.6274</v>
      </c>
      <c r="J432" s="6">
        <v>13.7561</v>
      </c>
      <c r="K432" s="6">
        <v>13.8889</v>
      </c>
      <c r="L432" s="6">
        <v>14.0541</v>
      </c>
      <c r="M432" s="6">
        <v>14.420199999999999</v>
      </c>
      <c r="N432" s="6">
        <v>15.0291</v>
      </c>
      <c r="O432" s="6">
        <v>16.089099999999998</v>
      </c>
      <c r="P432" s="6">
        <v>17.147200000000002</v>
      </c>
      <c r="Q432" s="6"/>
    </row>
    <row r="433" spans="1:17">
      <c r="A433" s="5">
        <v>42090</v>
      </c>
      <c r="B433" s="5" t="str">
        <f t="shared" si="6"/>
        <v>2015 q1</v>
      </c>
      <c r="C433" s="6">
        <v>13.464399999999999</v>
      </c>
      <c r="D433" s="6">
        <v>13.466699999999999</v>
      </c>
      <c r="E433" s="6">
        <v>13.4717</v>
      </c>
      <c r="F433" s="6">
        <v>13.4795</v>
      </c>
      <c r="G433" s="6">
        <v>13.489800000000001</v>
      </c>
      <c r="H433" s="6">
        <v>13.5069</v>
      </c>
      <c r="I433" s="6">
        <v>13.5753</v>
      </c>
      <c r="J433" s="6">
        <v>13.6877</v>
      </c>
      <c r="K433" s="6">
        <v>13.8047</v>
      </c>
      <c r="L433" s="6">
        <v>13.9579</v>
      </c>
      <c r="M433" s="6">
        <v>14.3047</v>
      </c>
      <c r="N433" s="6">
        <v>14.8955</v>
      </c>
      <c r="O433" s="6">
        <v>15.942500000000001</v>
      </c>
      <c r="P433" s="6">
        <v>16.996300000000002</v>
      </c>
      <c r="Q433" s="6"/>
    </row>
    <row r="434" spans="1:17">
      <c r="A434" s="5">
        <v>42093</v>
      </c>
      <c r="B434" s="5" t="str">
        <f t="shared" si="6"/>
        <v>2015 q1</v>
      </c>
      <c r="C434" s="6">
        <v>13.4444</v>
      </c>
      <c r="D434" s="6">
        <v>13.4453</v>
      </c>
      <c r="E434" s="6">
        <v>13.4472</v>
      </c>
      <c r="F434" s="6">
        <v>13.4504</v>
      </c>
      <c r="G434" s="6">
        <v>13.455500000000001</v>
      </c>
      <c r="H434" s="6">
        <v>13.4674</v>
      </c>
      <c r="I434" s="6">
        <v>13.514699999999999</v>
      </c>
      <c r="J434" s="6">
        <v>13.603400000000001</v>
      </c>
      <c r="K434" s="6">
        <v>13.696300000000001</v>
      </c>
      <c r="L434" s="6">
        <v>13.8246</v>
      </c>
      <c r="M434" s="6">
        <v>14.122199999999999</v>
      </c>
      <c r="N434" s="6">
        <v>14.645799999999999</v>
      </c>
      <c r="O434" s="6">
        <v>15.602499999999999</v>
      </c>
      <c r="P434" s="6">
        <v>16.5823</v>
      </c>
      <c r="Q434" s="6"/>
    </row>
    <row r="435" spans="1:17">
      <c r="A435" s="5">
        <v>42094</v>
      </c>
      <c r="B435" s="5" t="str">
        <f t="shared" si="6"/>
        <v>2015 q1</v>
      </c>
      <c r="C435" s="6">
        <v>13.2736</v>
      </c>
      <c r="D435" s="6">
        <v>13.278700000000001</v>
      </c>
      <c r="E435" s="6">
        <v>13.289199999999999</v>
      </c>
      <c r="F435" s="6">
        <v>13.305199999999999</v>
      </c>
      <c r="G435" s="6">
        <v>13.322800000000001</v>
      </c>
      <c r="H435" s="6">
        <v>13.3439</v>
      </c>
      <c r="I435" s="6">
        <v>13.4284</v>
      </c>
      <c r="J435" s="6">
        <v>13.538500000000001</v>
      </c>
      <c r="K435" s="6">
        <v>13.651</v>
      </c>
      <c r="L435" s="6">
        <v>13.785500000000001</v>
      </c>
      <c r="M435" s="6">
        <v>14.080299999999999</v>
      </c>
      <c r="N435" s="6">
        <v>14.5717</v>
      </c>
      <c r="O435" s="6">
        <v>15.4451</v>
      </c>
      <c r="P435" s="6">
        <v>16.333400000000001</v>
      </c>
      <c r="Q435" s="6"/>
    </row>
    <row r="436" spans="1:17">
      <c r="A436" s="5">
        <v>42095</v>
      </c>
      <c r="B436" s="5" t="str">
        <f t="shared" si="6"/>
        <v>2015 q2</v>
      </c>
      <c r="C436" s="6">
        <v>13.268599999999999</v>
      </c>
      <c r="D436" s="6">
        <v>13.2742</v>
      </c>
      <c r="E436" s="6">
        <v>13.2858</v>
      </c>
      <c r="F436" s="6">
        <v>13.3035</v>
      </c>
      <c r="G436" s="6">
        <v>13.3222</v>
      </c>
      <c r="H436" s="6">
        <v>13.3436</v>
      </c>
      <c r="I436" s="6">
        <v>13.428800000000001</v>
      </c>
      <c r="J436" s="6">
        <v>13.532999999999999</v>
      </c>
      <c r="K436" s="6">
        <v>13.6388</v>
      </c>
      <c r="L436" s="6">
        <v>13.7614</v>
      </c>
      <c r="M436" s="6">
        <v>14.026400000000001</v>
      </c>
      <c r="N436" s="6">
        <v>14.4641</v>
      </c>
      <c r="O436" s="6">
        <v>15.2424</v>
      </c>
      <c r="P436" s="6">
        <v>16.037500000000001</v>
      </c>
      <c r="Q436" s="6"/>
    </row>
    <row r="437" spans="1:17">
      <c r="A437" s="5">
        <v>42096</v>
      </c>
      <c r="B437" s="5" t="str">
        <f t="shared" si="6"/>
        <v>2015 q2</v>
      </c>
      <c r="C437" s="6">
        <v>13.2753</v>
      </c>
      <c r="D437" s="6">
        <v>13.280200000000001</v>
      </c>
      <c r="E437" s="6">
        <v>13.2903</v>
      </c>
      <c r="F437" s="6">
        <v>13.3056</v>
      </c>
      <c r="G437" s="6">
        <v>13.3224</v>
      </c>
      <c r="H437" s="6">
        <v>13.342499999999999</v>
      </c>
      <c r="I437" s="6">
        <v>13.422499999999999</v>
      </c>
      <c r="J437" s="6">
        <v>13.5265</v>
      </c>
      <c r="K437" s="6">
        <v>13.6325</v>
      </c>
      <c r="L437" s="6">
        <v>13.7593</v>
      </c>
      <c r="M437" s="6">
        <v>14.0374</v>
      </c>
      <c r="N437" s="6">
        <v>14.502700000000001</v>
      </c>
      <c r="O437" s="6">
        <v>15.3348</v>
      </c>
      <c r="P437" s="6">
        <v>16.184899999999999</v>
      </c>
      <c r="Q437" s="6"/>
    </row>
    <row r="438" spans="1:17">
      <c r="A438" s="5">
        <v>42097</v>
      </c>
      <c r="B438" s="5" t="str">
        <f t="shared" si="6"/>
        <v>2015 q2</v>
      </c>
      <c r="C438" s="6">
        <v>13.2692</v>
      </c>
      <c r="D438" s="6">
        <v>13.274900000000001</v>
      </c>
      <c r="E438" s="6">
        <v>13.2866</v>
      </c>
      <c r="F438" s="6">
        <v>13.304500000000001</v>
      </c>
      <c r="G438" s="6">
        <v>13.323399999999999</v>
      </c>
      <c r="H438" s="6">
        <v>13.344799999999999</v>
      </c>
      <c r="I438" s="6">
        <v>13.430199999999999</v>
      </c>
      <c r="J438" s="6">
        <v>13.533899999999999</v>
      </c>
      <c r="K438" s="6">
        <v>13.639099999999999</v>
      </c>
      <c r="L438" s="6">
        <v>13.7606</v>
      </c>
      <c r="M438" s="6">
        <v>14.0229</v>
      </c>
      <c r="N438" s="6">
        <v>14.4552</v>
      </c>
      <c r="O438" s="6">
        <v>15.223699999999999</v>
      </c>
      <c r="P438" s="6">
        <v>16.008900000000001</v>
      </c>
      <c r="Q438" s="6"/>
    </row>
    <row r="439" spans="1:17">
      <c r="A439" s="5">
        <v>42101</v>
      </c>
      <c r="B439" s="5" t="str">
        <f t="shared" si="6"/>
        <v>2015 q2</v>
      </c>
      <c r="C439" s="6">
        <v>13.270099999999999</v>
      </c>
      <c r="D439" s="6">
        <v>13.2752</v>
      </c>
      <c r="E439" s="6">
        <v>13.2859</v>
      </c>
      <c r="F439" s="6">
        <v>13.302</v>
      </c>
      <c r="G439" s="6">
        <v>13.3195</v>
      </c>
      <c r="H439" s="6">
        <v>13.339600000000001</v>
      </c>
      <c r="I439" s="6">
        <v>13.42</v>
      </c>
      <c r="J439" s="6">
        <v>13.521100000000001</v>
      </c>
      <c r="K439" s="6">
        <v>13.623799999999999</v>
      </c>
      <c r="L439" s="6">
        <v>13.7448</v>
      </c>
      <c r="M439" s="6">
        <v>14.0082</v>
      </c>
      <c r="N439" s="6">
        <v>14.4466</v>
      </c>
      <c r="O439" s="6">
        <v>15.231</v>
      </c>
      <c r="P439" s="6">
        <v>16.034199999999998</v>
      </c>
      <c r="Q439" s="6"/>
    </row>
    <row r="440" spans="1:17">
      <c r="A440" s="5">
        <v>42102</v>
      </c>
      <c r="B440" s="5" t="str">
        <f t="shared" si="6"/>
        <v>2015 q2</v>
      </c>
      <c r="C440" s="6">
        <v>13.058400000000001</v>
      </c>
      <c r="D440" s="6">
        <v>13.068899999999999</v>
      </c>
      <c r="E440" s="6">
        <v>13.0906</v>
      </c>
      <c r="F440" s="6">
        <v>13.1233</v>
      </c>
      <c r="G440" s="6">
        <v>13.156599999999999</v>
      </c>
      <c r="H440" s="6">
        <v>13.190899999999999</v>
      </c>
      <c r="I440" s="6">
        <v>13.3284</v>
      </c>
      <c r="J440" s="6">
        <v>13.474600000000001</v>
      </c>
      <c r="K440" s="6">
        <v>13.6214</v>
      </c>
      <c r="L440" s="6">
        <v>13.775499999999999</v>
      </c>
      <c r="M440" s="6">
        <v>14.090999999999999</v>
      </c>
      <c r="N440" s="6">
        <v>14.5764</v>
      </c>
      <c r="O440" s="6">
        <v>15.389200000000001</v>
      </c>
      <c r="P440" s="6">
        <v>16.196200000000001</v>
      </c>
      <c r="Q440" s="6"/>
    </row>
    <row r="441" spans="1:17">
      <c r="A441" s="5">
        <v>42103</v>
      </c>
      <c r="B441" s="5" t="str">
        <f t="shared" si="6"/>
        <v>2015 q2</v>
      </c>
      <c r="C441" s="6">
        <v>12.8895</v>
      </c>
      <c r="D441" s="6">
        <v>12.9033</v>
      </c>
      <c r="E441" s="6">
        <v>12.9316</v>
      </c>
      <c r="F441" s="6">
        <v>12.9741</v>
      </c>
      <c r="G441" s="6">
        <v>13.0166</v>
      </c>
      <c r="H441" s="6">
        <v>13.0588</v>
      </c>
      <c r="I441" s="6">
        <v>13.2277</v>
      </c>
      <c r="J441" s="6">
        <v>13.3949</v>
      </c>
      <c r="K441" s="6">
        <v>13.561999999999999</v>
      </c>
      <c r="L441" s="6">
        <v>13.7271</v>
      </c>
      <c r="M441" s="6">
        <v>14.0543</v>
      </c>
      <c r="N441" s="6">
        <v>14.5366</v>
      </c>
      <c r="O441" s="6">
        <v>15.321400000000001</v>
      </c>
      <c r="P441" s="6">
        <v>16.093900000000001</v>
      </c>
      <c r="Q441" s="6"/>
    </row>
    <row r="442" spans="1:17">
      <c r="A442" s="5">
        <v>42104</v>
      </c>
      <c r="B442" s="5" t="str">
        <f t="shared" si="6"/>
        <v>2015 q2</v>
      </c>
      <c r="C442" s="6">
        <v>13.0748</v>
      </c>
      <c r="D442" s="6">
        <v>13.085000000000001</v>
      </c>
      <c r="E442" s="6">
        <v>13.106199999999999</v>
      </c>
      <c r="F442" s="6">
        <v>13.138</v>
      </c>
      <c r="G442" s="6">
        <v>13.1706</v>
      </c>
      <c r="H442" s="6">
        <v>13.2036</v>
      </c>
      <c r="I442" s="6">
        <v>13.335599999999999</v>
      </c>
      <c r="J442" s="6">
        <v>13.474399999999999</v>
      </c>
      <c r="K442" s="6">
        <v>13.6135</v>
      </c>
      <c r="L442" s="6">
        <v>13.7582</v>
      </c>
      <c r="M442" s="6">
        <v>14.0532</v>
      </c>
      <c r="N442" s="6">
        <v>14.5047</v>
      </c>
      <c r="O442" s="6">
        <v>15.26</v>
      </c>
      <c r="P442" s="6">
        <v>16.0107</v>
      </c>
      <c r="Q442" s="6"/>
    </row>
    <row r="443" spans="1:17">
      <c r="A443" s="5">
        <v>42105</v>
      </c>
      <c r="B443" s="5" t="str">
        <f t="shared" si="6"/>
        <v>2015 q2</v>
      </c>
      <c r="C443" s="6">
        <v>12.889099999999999</v>
      </c>
      <c r="D443" s="6">
        <v>12.902799999999999</v>
      </c>
      <c r="E443" s="6">
        <v>12.9312</v>
      </c>
      <c r="F443" s="6">
        <v>12.973800000000001</v>
      </c>
      <c r="G443" s="6">
        <v>13.016299999999999</v>
      </c>
      <c r="H443" s="6">
        <v>13.0589</v>
      </c>
      <c r="I443" s="6">
        <v>13.228</v>
      </c>
      <c r="J443" s="6">
        <v>13.3956</v>
      </c>
      <c r="K443" s="6">
        <v>13.563000000000001</v>
      </c>
      <c r="L443" s="6">
        <v>13.7285</v>
      </c>
      <c r="M443" s="6">
        <v>14.0564</v>
      </c>
      <c r="N443" s="6">
        <v>14.5397</v>
      </c>
      <c r="O443" s="6">
        <v>15.3261</v>
      </c>
      <c r="P443" s="6">
        <v>16.100200000000001</v>
      </c>
      <c r="Q443" s="6"/>
    </row>
    <row r="444" spans="1:17">
      <c r="A444" s="5">
        <v>42107</v>
      </c>
      <c r="B444" s="5" t="str">
        <f t="shared" si="6"/>
        <v>2015 q2</v>
      </c>
      <c r="C444" s="6">
        <v>12.8809</v>
      </c>
      <c r="D444" s="6">
        <v>12.8947</v>
      </c>
      <c r="E444" s="6">
        <v>12.9232</v>
      </c>
      <c r="F444" s="6">
        <v>12.9659</v>
      </c>
      <c r="G444" s="6">
        <v>13.0085</v>
      </c>
      <c r="H444" s="6">
        <v>13.0511</v>
      </c>
      <c r="I444" s="6">
        <v>13.220700000000001</v>
      </c>
      <c r="J444" s="6">
        <v>13.3886</v>
      </c>
      <c r="K444" s="6">
        <v>13.5564</v>
      </c>
      <c r="L444" s="6">
        <v>13.722300000000001</v>
      </c>
      <c r="M444" s="6">
        <v>14.0509</v>
      </c>
      <c r="N444" s="6">
        <v>14.5352</v>
      </c>
      <c r="O444" s="6">
        <v>15.3232</v>
      </c>
      <c r="P444" s="6">
        <v>16.0989</v>
      </c>
      <c r="Q444" s="6"/>
    </row>
    <row r="445" spans="1:17">
      <c r="A445" s="5">
        <v>42108</v>
      </c>
      <c r="B445" s="5" t="str">
        <f t="shared" si="6"/>
        <v>2015 q2</v>
      </c>
      <c r="C445" s="6">
        <v>12.8344</v>
      </c>
      <c r="D445" s="6">
        <v>12.8544</v>
      </c>
      <c r="E445" s="6">
        <v>12.8956</v>
      </c>
      <c r="F445" s="6">
        <v>12.956899999999999</v>
      </c>
      <c r="G445" s="6">
        <v>13.017300000000001</v>
      </c>
      <c r="H445" s="6">
        <v>13.0738</v>
      </c>
      <c r="I445" s="6">
        <v>13.3</v>
      </c>
      <c r="J445" s="6">
        <v>13.4993</v>
      </c>
      <c r="K445" s="6">
        <v>13.6973</v>
      </c>
      <c r="L445" s="6">
        <v>13.8687</v>
      </c>
      <c r="M445" s="6">
        <v>14.1778</v>
      </c>
      <c r="N445" s="6">
        <v>14.5596</v>
      </c>
      <c r="O445" s="6">
        <v>15.0505</v>
      </c>
      <c r="P445" s="6">
        <v>15.461499999999999</v>
      </c>
      <c r="Q445" s="6"/>
    </row>
    <row r="446" spans="1:17">
      <c r="A446" s="5">
        <v>42109</v>
      </c>
      <c r="B446" s="5" t="str">
        <f t="shared" si="6"/>
        <v>2015 q2</v>
      </c>
      <c r="C446" s="6">
        <v>12.797700000000001</v>
      </c>
      <c r="D446" s="6">
        <v>12.822100000000001</v>
      </c>
      <c r="E446" s="6">
        <v>12.8726</v>
      </c>
      <c r="F446" s="6">
        <v>12.9474</v>
      </c>
      <c r="G446" s="6">
        <v>13.020300000000001</v>
      </c>
      <c r="H446" s="6">
        <v>13.086499999999999</v>
      </c>
      <c r="I446" s="6">
        <v>13.351000000000001</v>
      </c>
      <c r="J446" s="6">
        <v>13.569699999999999</v>
      </c>
      <c r="K446" s="6">
        <v>13.7864</v>
      </c>
      <c r="L446" s="6">
        <v>13.9612</v>
      </c>
      <c r="M446" s="6">
        <v>14.262499999999999</v>
      </c>
      <c r="N446" s="6">
        <v>14.6051</v>
      </c>
      <c r="O446" s="6">
        <v>15.0017</v>
      </c>
      <c r="P446" s="6">
        <v>15.3102</v>
      </c>
      <c r="Q446" s="6"/>
    </row>
    <row r="447" spans="1:17">
      <c r="A447" s="5">
        <v>42110</v>
      </c>
      <c r="B447" s="5" t="str">
        <f t="shared" si="6"/>
        <v>2015 q2</v>
      </c>
      <c r="C447" s="6">
        <v>12.628500000000001</v>
      </c>
      <c r="D447" s="6">
        <v>12.6715</v>
      </c>
      <c r="E447" s="6">
        <v>12.760300000000001</v>
      </c>
      <c r="F447" s="6">
        <v>12.887700000000001</v>
      </c>
      <c r="G447" s="6">
        <v>12.994999999999999</v>
      </c>
      <c r="H447" s="6">
        <v>13.093999999999999</v>
      </c>
      <c r="I447" s="6">
        <v>13.4901</v>
      </c>
      <c r="J447" s="6">
        <v>13.7453</v>
      </c>
      <c r="K447" s="6">
        <v>13.9948</v>
      </c>
      <c r="L447" s="6">
        <v>14.153600000000001</v>
      </c>
      <c r="M447" s="6">
        <v>14.394299999999999</v>
      </c>
      <c r="N447" s="6">
        <v>14.6137</v>
      </c>
      <c r="O447" s="6">
        <v>14.8132</v>
      </c>
      <c r="P447" s="6">
        <v>14.946899999999999</v>
      </c>
      <c r="Q447" s="6"/>
    </row>
    <row r="448" spans="1:17">
      <c r="A448" s="5">
        <v>42111</v>
      </c>
      <c r="B448" s="5" t="str">
        <f t="shared" si="6"/>
        <v>2015 q2</v>
      </c>
      <c r="C448" s="6">
        <v>12.6797</v>
      </c>
      <c r="D448" s="6">
        <v>12.713800000000001</v>
      </c>
      <c r="E448" s="6">
        <v>12.7842</v>
      </c>
      <c r="F448" s="6">
        <v>12.8866</v>
      </c>
      <c r="G448" s="6">
        <v>12.976800000000001</v>
      </c>
      <c r="H448" s="6">
        <v>13.0623</v>
      </c>
      <c r="I448" s="6">
        <v>13.404</v>
      </c>
      <c r="J448" s="6">
        <v>13.6516</v>
      </c>
      <c r="K448" s="6">
        <v>13.8957</v>
      </c>
      <c r="L448" s="6">
        <v>14.0695</v>
      </c>
      <c r="M448" s="6">
        <v>14.3489</v>
      </c>
      <c r="N448" s="6">
        <v>14.629200000000001</v>
      </c>
      <c r="O448" s="6">
        <v>14.909700000000001</v>
      </c>
      <c r="P448" s="6">
        <v>15.107799999999999</v>
      </c>
      <c r="Q448" s="6"/>
    </row>
    <row r="449" spans="1:17">
      <c r="A449" s="5">
        <v>42112</v>
      </c>
      <c r="B449" s="5" t="str">
        <f t="shared" si="6"/>
        <v>2015 q2</v>
      </c>
      <c r="C449" s="6">
        <v>12.6816</v>
      </c>
      <c r="D449" s="6">
        <v>12.7157</v>
      </c>
      <c r="E449" s="6">
        <v>12.786199999999999</v>
      </c>
      <c r="F449" s="6">
        <v>12.888500000000001</v>
      </c>
      <c r="G449" s="6">
        <v>12.9786</v>
      </c>
      <c r="H449" s="6">
        <v>13.0641</v>
      </c>
      <c r="I449" s="6">
        <v>13.405900000000001</v>
      </c>
      <c r="J449" s="6">
        <v>13.6532</v>
      </c>
      <c r="K449" s="6">
        <v>13.8973</v>
      </c>
      <c r="L449" s="6">
        <v>14.0709</v>
      </c>
      <c r="M449" s="6">
        <v>14.350099999999999</v>
      </c>
      <c r="N449" s="6">
        <v>14.630100000000001</v>
      </c>
      <c r="O449" s="6">
        <v>14.910399999999999</v>
      </c>
      <c r="P449" s="6">
        <v>15.1084</v>
      </c>
      <c r="Q449" s="6"/>
    </row>
    <row r="450" spans="1:17">
      <c r="A450" s="5">
        <v>42114</v>
      </c>
      <c r="B450" s="5" t="str">
        <f t="shared" si="6"/>
        <v>2015 q2</v>
      </c>
      <c r="C450" s="6">
        <v>12.6175</v>
      </c>
      <c r="D450" s="6">
        <v>12.655900000000001</v>
      </c>
      <c r="E450" s="6">
        <v>12.735099999999999</v>
      </c>
      <c r="F450" s="6">
        <v>12.849600000000001</v>
      </c>
      <c r="G450" s="6">
        <v>12.9483</v>
      </c>
      <c r="H450" s="6">
        <v>13.0413</v>
      </c>
      <c r="I450" s="6">
        <v>13.4132</v>
      </c>
      <c r="J450" s="6">
        <v>13.6693</v>
      </c>
      <c r="K450" s="6">
        <v>13.921799999999999</v>
      </c>
      <c r="L450" s="6">
        <v>14.0929</v>
      </c>
      <c r="M450" s="6">
        <v>14.361499999999999</v>
      </c>
      <c r="N450" s="6">
        <v>14.62</v>
      </c>
      <c r="O450" s="6">
        <v>14.8675</v>
      </c>
      <c r="P450" s="6">
        <v>15.0381</v>
      </c>
      <c r="Q450" s="6"/>
    </row>
    <row r="451" spans="1:17">
      <c r="A451" s="5">
        <v>42115</v>
      </c>
      <c r="B451" s="5" t="str">
        <f t="shared" ref="B451:B514" si="7">YEAR(A451)&amp;" q"&amp;ROUNDUP(MONTH(A451)/3,0)</f>
        <v>2015 q2</v>
      </c>
      <c r="C451" s="6">
        <v>12.797599999999999</v>
      </c>
      <c r="D451" s="6">
        <v>12.826499999999999</v>
      </c>
      <c r="E451" s="6">
        <v>12.886200000000001</v>
      </c>
      <c r="F451" s="6">
        <v>12.9758</v>
      </c>
      <c r="G451" s="6">
        <v>13.056699999999999</v>
      </c>
      <c r="H451" s="6">
        <v>13.1355</v>
      </c>
      <c r="I451" s="6">
        <v>13.450699999999999</v>
      </c>
      <c r="J451" s="6">
        <v>13.7033</v>
      </c>
      <c r="K451" s="6">
        <v>13.9543</v>
      </c>
      <c r="L451" s="6">
        <v>14.1523</v>
      </c>
      <c r="M451" s="6">
        <v>14.490600000000001</v>
      </c>
      <c r="N451" s="6">
        <v>14.868</v>
      </c>
      <c r="O451" s="6">
        <v>15.2949</v>
      </c>
      <c r="P451" s="6">
        <v>15.622</v>
      </c>
      <c r="Q451" s="6"/>
    </row>
    <row r="452" spans="1:17">
      <c r="A452" s="5">
        <v>42116</v>
      </c>
      <c r="B452" s="5" t="str">
        <f t="shared" si="7"/>
        <v>2015 q2</v>
      </c>
      <c r="C452" s="6">
        <v>12.752599999999999</v>
      </c>
      <c r="D452" s="6">
        <v>12.787699999999999</v>
      </c>
      <c r="E452" s="6">
        <v>12.8604</v>
      </c>
      <c r="F452" s="6">
        <v>12.9693</v>
      </c>
      <c r="G452" s="6">
        <v>13.0655</v>
      </c>
      <c r="H452" s="6">
        <v>13.158799999999999</v>
      </c>
      <c r="I452" s="6">
        <v>13.5318</v>
      </c>
      <c r="J452" s="6">
        <v>13.8169</v>
      </c>
      <c r="K452" s="6">
        <v>14.100099999999999</v>
      </c>
      <c r="L452" s="6">
        <v>14.312900000000001</v>
      </c>
      <c r="M452" s="6">
        <v>14.667</v>
      </c>
      <c r="N452" s="6">
        <v>15.042899999999999</v>
      </c>
      <c r="O452" s="6">
        <v>15.4442</v>
      </c>
      <c r="P452" s="6">
        <v>15.739699999999999</v>
      </c>
      <c r="Q452" s="6"/>
    </row>
    <row r="453" spans="1:17">
      <c r="A453" s="5">
        <v>42121</v>
      </c>
      <c r="B453" s="5" t="str">
        <f t="shared" si="7"/>
        <v>2015 q2</v>
      </c>
      <c r="C453" s="6">
        <v>12.6578</v>
      </c>
      <c r="D453" s="6">
        <v>12.6934</v>
      </c>
      <c r="E453" s="6">
        <v>12.7669</v>
      </c>
      <c r="F453" s="6">
        <v>12.875400000000001</v>
      </c>
      <c r="G453" s="6">
        <v>12.974600000000001</v>
      </c>
      <c r="H453" s="6">
        <v>13.0716</v>
      </c>
      <c r="I453" s="6">
        <v>13.4597</v>
      </c>
      <c r="J453" s="6">
        <v>13.776899999999999</v>
      </c>
      <c r="K453" s="6">
        <v>14.092700000000001</v>
      </c>
      <c r="L453" s="6">
        <v>14.347</v>
      </c>
      <c r="M453" s="6">
        <v>14.7875</v>
      </c>
      <c r="N453" s="6">
        <v>15.2906</v>
      </c>
      <c r="O453" s="6">
        <v>15.8766</v>
      </c>
      <c r="P453" s="6">
        <v>16.334800000000001</v>
      </c>
      <c r="Q453" s="6"/>
    </row>
    <row r="454" spans="1:17">
      <c r="A454" s="5">
        <v>42122</v>
      </c>
      <c r="B454" s="5" t="str">
        <f t="shared" si="7"/>
        <v>2015 q2</v>
      </c>
      <c r="C454" s="6">
        <v>12.603400000000001</v>
      </c>
      <c r="D454" s="6">
        <v>12.642899999999999</v>
      </c>
      <c r="E454" s="6">
        <v>12.724500000000001</v>
      </c>
      <c r="F454" s="6">
        <v>12.844900000000001</v>
      </c>
      <c r="G454" s="6">
        <v>12.9536</v>
      </c>
      <c r="H454" s="6">
        <v>13.0601</v>
      </c>
      <c r="I454" s="6">
        <v>13.486499999999999</v>
      </c>
      <c r="J454" s="6">
        <v>13.824999999999999</v>
      </c>
      <c r="K454" s="6">
        <v>14.1631</v>
      </c>
      <c r="L454" s="6">
        <v>14.427300000000001</v>
      </c>
      <c r="M454" s="6">
        <v>14.8789</v>
      </c>
      <c r="N454" s="6">
        <v>15.3804</v>
      </c>
      <c r="O454" s="6">
        <v>15.9452</v>
      </c>
      <c r="P454" s="6">
        <v>16.377099999999999</v>
      </c>
      <c r="Q454" s="6"/>
    </row>
    <row r="455" spans="1:17">
      <c r="A455" s="5">
        <v>42123</v>
      </c>
      <c r="B455" s="5" t="str">
        <f t="shared" si="7"/>
        <v>2015 q2</v>
      </c>
      <c r="C455" s="6">
        <v>12.612</v>
      </c>
      <c r="D455" s="6">
        <v>12.650600000000001</v>
      </c>
      <c r="E455" s="6">
        <v>12.7302</v>
      </c>
      <c r="F455" s="6">
        <v>12.847799999999999</v>
      </c>
      <c r="G455" s="6">
        <v>12.954599999999999</v>
      </c>
      <c r="H455" s="6">
        <v>13.0596</v>
      </c>
      <c r="I455" s="6">
        <v>13.479799999999999</v>
      </c>
      <c r="J455" s="6">
        <v>13.8184</v>
      </c>
      <c r="K455" s="6">
        <v>14.1569</v>
      </c>
      <c r="L455" s="6">
        <v>14.4255</v>
      </c>
      <c r="M455" s="6">
        <v>14.888999999999999</v>
      </c>
      <c r="N455" s="6">
        <v>15.412599999999999</v>
      </c>
      <c r="O455" s="6">
        <v>16.014700000000001</v>
      </c>
      <c r="P455" s="6">
        <v>16.4818</v>
      </c>
      <c r="Q455" s="6"/>
    </row>
    <row r="456" spans="1:17">
      <c r="A456" s="5">
        <v>42124</v>
      </c>
      <c r="B456" s="5" t="str">
        <f t="shared" si="7"/>
        <v>2015 q2</v>
      </c>
      <c r="C456" s="6">
        <v>12.5162</v>
      </c>
      <c r="D456" s="6">
        <v>12.5616</v>
      </c>
      <c r="E456" s="6">
        <v>12.655200000000001</v>
      </c>
      <c r="F456" s="6">
        <v>12.793799999999999</v>
      </c>
      <c r="G456" s="6">
        <v>12.927099999999999</v>
      </c>
      <c r="H456" s="6">
        <v>13.0519</v>
      </c>
      <c r="I456" s="6">
        <v>13.551</v>
      </c>
      <c r="J456" s="6">
        <v>13.992000000000001</v>
      </c>
      <c r="K456" s="6">
        <v>14.3888</v>
      </c>
      <c r="L456" s="6">
        <v>14.7463</v>
      </c>
      <c r="M456" s="6">
        <v>15.336499999999999</v>
      </c>
      <c r="N456" s="6">
        <v>16.0441</v>
      </c>
      <c r="O456" s="6">
        <v>16.8948</v>
      </c>
      <c r="P456" s="6">
        <v>17.575600000000001</v>
      </c>
      <c r="Q456" s="6"/>
    </row>
    <row r="457" spans="1:17">
      <c r="A457" s="5">
        <v>42128</v>
      </c>
      <c r="B457" s="5" t="str">
        <f t="shared" si="7"/>
        <v>2015 q2</v>
      </c>
      <c r="C457" s="6">
        <v>12.4986</v>
      </c>
      <c r="D457" s="6">
        <v>12.539199999999999</v>
      </c>
      <c r="E457" s="6">
        <v>12.6229</v>
      </c>
      <c r="F457" s="6">
        <v>12.7464</v>
      </c>
      <c r="G457" s="6">
        <v>12.866199999999999</v>
      </c>
      <c r="H457" s="6">
        <v>12.9803</v>
      </c>
      <c r="I457" s="6">
        <v>13.4368</v>
      </c>
      <c r="J457" s="6">
        <v>13.85</v>
      </c>
      <c r="K457" s="6">
        <v>14.2376</v>
      </c>
      <c r="L457" s="6">
        <v>14.5825</v>
      </c>
      <c r="M457" s="6">
        <v>15.2074</v>
      </c>
      <c r="N457" s="6">
        <v>15.981199999999999</v>
      </c>
      <c r="O457" s="6">
        <v>16.980699999999999</v>
      </c>
      <c r="P457" s="6">
        <v>17.8216</v>
      </c>
      <c r="Q457" s="6"/>
    </row>
    <row r="458" spans="1:17">
      <c r="A458" s="5">
        <v>42129</v>
      </c>
      <c r="B458" s="5" t="str">
        <f t="shared" si="7"/>
        <v>2015 q2</v>
      </c>
      <c r="C458" s="6">
        <v>12.449400000000001</v>
      </c>
      <c r="D458" s="6">
        <v>12.492599999999999</v>
      </c>
      <c r="E458" s="6">
        <v>12.581899999999999</v>
      </c>
      <c r="F458" s="6">
        <v>12.7134</v>
      </c>
      <c r="G458" s="6">
        <v>12.840299999999999</v>
      </c>
      <c r="H458" s="6">
        <v>12.966900000000001</v>
      </c>
      <c r="I458" s="6">
        <v>13.430899999999999</v>
      </c>
      <c r="J458" s="6">
        <v>13.824400000000001</v>
      </c>
      <c r="K458" s="6">
        <v>14.216900000000001</v>
      </c>
      <c r="L458" s="6">
        <v>14.536099999999999</v>
      </c>
      <c r="M458" s="6">
        <v>15.0932</v>
      </c>
      <c r="N458" s="6">
        <v>15.738099999999999</v>
      </c>
      <c r="O458" s="6">
        <v>16.502500000000001</v>
      </c>
      <c r="P458" s="6">
        <v>17.108599999999999</v>
      </c>
      <c r="Q458" s="6"/>
    </row>
    <row r="459" spans="1:17">
      <c r="A459" s="5">
        <v>42130</v>
      </c>
      <c r="B459" s="5" t="str">
        <f t="shared" si="7"/>
        <v>2015 q2</v>
      </c>
      <c r="C459" s="6">
        <v>12.430300000000001</v>
      </c>
      <c r="D459" s="6">
        <v>12.4749</v>
      </c>
      <c r="E459" s="6">
        <v>12.566800000000001</v>
      </c>
      <c r="F459" s="6">
        <v>12.702</v>
      </c>
      <c r="G459" s="6">
        <v>12.8323</v>
      </c>
      <c r="H459" s="6">
        <v>12.962199999999999</v>
      </c>
      <c r="I459" s="6">
        <v>13.4366</v>
      </c>
      <c r="J459" s="6">
        <v>13.835900000000001</v>
      </c>
      <c r="K459" s="6">
        <v>14.234</v>
      </c>
      <c r="L459" s="6">
        <v>14.5549</v>
      </c>
      <c r="M459" s="6">
        <v>15.111700000000001</v>
      </c>
      <c r="N459" s="6">
        <v>15.749599999999999</v>
      </c>
      <c r="O459" s="6">
        <v>16.496300000000002</v>
      </c>
      <c r="P459" s="6">
        <v>17.083200000000001</v>
      </c>
      <c r="Q459" s="6"/>
    </row>
    <row r="460" spans="1:17">
      <c r="A460" s="5">
        <v>42131</v>
      </c>
      <c r="B460" s="5" t="str">
        <f t="shared" si="7"/>
        <v>2015 q2</v>
      </c>
      <c r="C460" s="6">
        <v>12.5168</v>
      </c>
      <c r="D460" s="6">
        <v>12.542</v>
      </c>
      <c r="E460" s="6">
        <v>12.593999999999999</v>
      </c>
      <c r="F460" s="6">
        <v>12.681699999999999</v>
      </c>
      <c r="G460" s="6">
        <v>12.783899999999999</v>
      </c>
      <c r="H460" s="6">
        <v>12.886900000000001</v>
      </c>
      <c r="I460" s="6">
        <v>13.364800000000001</v>
      </c>
      <c r="J460" s="6">
        <v>13.8233</v>
      </c>
      <c r="K460" s="6">
        <v>14.2797</v>
      </c>
      <c r="L460" s="6">
        <v>14.631600000000001</v>
      </c>
      <c r="M460" s="6">
        <v>15.1945</v>
      </c>
      <c r="N460" s="6">
        <v>15.740500000000001</v>
      </c>
      <c r="O460" s="6">
        <v>16.252300000000002</v>
      </c>
      <c r="P460" s="6">
        <v>16.598400000000002</v>
      </c>
      <c r="Q460" s="6"/>
    </row>
    <row r="461" spans="1:17">
      <c r="A461" s="5">
        <v>42132</v>
      </c>
      <c r="B461" s="5" t="str">
        <f t="shared" si="7"/>
        <v>2015 q2</v>
      </c>
      <c r="C461" s="6">
        <v>12.467499999999999</v>
      </c>
      <c r="D461" s="6">
        <v>12.4985</v>
      </c>
      <c r="E461" s="6">
        <v>12.5626</v>
      </c>
      <c r="F461" s="6">
        <v>12.6616</v>
      </c>
      <c r="G461" s="6">
        <v>12.772500000000001</v>
      </c>
      <c r="H461" s="6">
        <v>12.884</v>
      </c>
      <c r="I461" s="6">
        <v>13.3775</v>
      </c>
      <c r="J461" s="6">
        <v>13.8348</v>
      </c>
      <c r="K461" s="6">
        <v>14.2897</v>
      </c>
      <c r="L461" s="6">
        <v>14.6343</v>
      </c>
      <c r="M461" s="6">
        <v>15.182499999999999</v>
      </c>
      <c r="N461" s="6">
        <v>15.710699999999999</v>
      </c>
      <c r="O461" s="6">
        <v>16.203900000000001</v>
      </c>
      <c r="P461" s="6">
        <v>16.536899999999999</v>
      </c>
      <c r="Q461" s="6"/>
    </row>
    <row r="462" spans="1:17">
      <c r="A462" s="5">
        <v>42135</v>
      </c>
      <c r="B462" s="5" t="str">
        <f t="shared" si="7"/>
        <v>2015 q2</v>
      </c>
      <c r="C462" s="6">
        <v>12.4687</v>
      </c>
      <c r="D462" s="6">
        <v>12.499700000000001</v>
      </c>
      <c r="E462" s="6">
        <v>12.563700000000001</v>
      </c>
      <c r="F462" s="6">
        <v>12.663</v>
      </c>
      <c r="G462" s="6">
        <v>12.7743</v>
      </c>
      <c r="H462" s="6">
        <v>12.8864</v>
      </c>
      <c r="I462" s="6">
        <v>13.3834</v>
      </c>
      <c r="J462" s="6">
        <v>13.843500000000001</v>
      </c>
      <c r="K462" s="6">
        <v>14.300800000000001</v>
      </c>
      <c r="L462" s="6">
        <v>14.645899999999999</v>
      </c>
      <c r="M462" s="6">
        <v>15.1934</v>
      </c>
      <c r="N462" s="6">
        <v>15.7189</v>
      </c>
      <c r="O462" s="6">
        <v>16.207799999999999</v>
      </c>
      <c r="P462" s="6">
        <v>16.537500000000001</v>
      </c>
      <c r="Q462" s="6"/>
    </row>
    <row r="463" spans="1:17">
      <c r="A463" s="5">
        <v>42136</v>
      </c>
      <c r="B463" s="5" t="str">
        <f t="shared" si="7"/>
        <v>2015 q2</v>
      </c>
      <c r="C463" s="6">
        <v>12.454700000000001</v>
      </c>
      <c r="D463" s="6">
        <v>12.5023</v>
      </c>
      <c r="E463" s="6">
        <v>12.6007</v>
      </c>
      <c r="F463" s="6">
        <v>12.7469</v>
      </c>
      <c r="G463" s="6">
        <v>12.8886</v>
      </c>
      <c r="H463" s="6">
        <v>13.0151</v>
      </c>
      <c r="I463" s="6">
        <v>13.518000000000001</v>
      </c>
      <c r="J463" s="6">
        <v>13.917999999999999</v>
      </c>
      <c r="K463" s="6">
        <v>14.3148</v>
      </c>
      <c r="L463" s="6">
        <v>14.6197</v>
      </c>
      <c r="M463" s="6">
        <v>15.132099999999999</v>
      </c>
      <c r="N463" s="6">
        <v>15.6881</v>
      </c>
      <c r="O463" s="6">
        <v>16.297899999999998</v>
      </c>
      <c r="P463" s="6">
        <v>16.756799999999998</v>
      </c>
      <c r="Q463" s="6"/>
    </row>
    <row r="464" spans="1:17">
      <c r="A464" s="5">
        <v>42137</v>
      </c>
      <c r="B464" s="5" t="str">
        <f t="shared" si="7"/>
        <v>2015 q2</v>
      </c>
      <c r="C464" s="6">
        <v>12.457100000000001</v>
      </c>
      <c r="D464" s="6">
        <v>12.5047</v>
      </c>
      <c r="E464" s="6">
        <v>12.6031</v>
      </c>
      <c r="F464" s="6">
        <v>12.7492</v>
      </c>
      <c r="G464" s="6">
        <v>12.890599999999999</v>
      </c>
      <c r="H464" s="6">
        <v>13.017200000000001</v>
      </c>
      <c r="I464" s="6">
        <v>13.519500000000001</v>
      </c>
      <c r="J464" s="6">
        <v>13.9194</v>
      </c>
      <c r="K464" s="6">
        <v>14.315799999999999</v>
      </c>
      <c r="L464" s="6">
        <v>14.6206</v>
      </c>
      <c r="M464" s="6">
        <v>15.1325</v>
      </c>
      <c r="N464" s="6">
        <v>15.688000000000001</v>
      </c>
      <c r="O464" s="6">
        <v>16.2973</v>
      </c>
      <c r="P464" s="6">
        <v>16.755800000000001</v>
      </c>
      <c r="Q464" s="6"/>
    </row>
    <row r="465" spans="1:17">
      <c r="A465" s="5">
        <v>42138</v>
      </c>
      <c r="B465" s="5" t="str">
        <f t="shared" si="7"/>
        <v>2015 q2</v>
      </c>
      <c r="C465" s="6">
        <v>12.458299999999999</v>
      </c>
      <c r="D465" s="6">
        <v>12.506</v>
      </c>
      <c r="E465" s="6">
        <v>12.6043</v>
      </c>
      <c r="F465" s="6">
        <v>12.750400000000001</v>
      </c>
      <c r="G465" s="6">
        <v>12.8918</v>
      </c>
      <c r="H465" s="6">
        <v>13.018800000000001</v>
      </c>
      <c r="I465" s="6">
        <v>13.5229</v>
      </c>
      <c r="J465" s="6">
        <v>13.926399999999999</v>
      </c>
      <c r="K465" s="6">
        <v>14.3264</v>
      </c>
      <c r="L465" s="6">
        <v>14.6358</v>
      </c>
      <c r="M465" s="6">
        <v>15.1572</v>
      </c>
      <c r="N465" s="6">
        <v>15.7265</v>
      </c>
      <c r="O465" s="6">
        <v>16.355499999999999</v>
      </c>
      <c r="P465" s="6">
        <v>16.831199999999999</v>
      </c>
      <c r="Q465" s="6"/>
    </row>
    <row r="466" spans="1:17">
      <c r="A466" s="5">
        <v>42139</v>
      </c>
      <c r="B466" s="5" t="str">
        <f t="shared" si="7"/>
        <v>2015 q2</v>
      </c>
      <c r="C466" s="6">
        <v>12.442299999999999</v>
      </c>
      <c r="D466" s="6">
        <v>12.491899999999999</v>
      </c>
      <c r="E466" s="6">
        <v>12.594099999999999</v>
      </c>
      <c r="F466" s="6">
        <v>12.745900000000001</v>
      </c>
      <c r="G466" s="6">
        <v>12.8926</v>
      </c>
      <c r="H466" s="6">
        <v>13.0238</v>
      </c>
      <c r="I466" s="6">
        <v>13.5442</v>
      </c>
      <c r="J466" s="6">
        <v>13.9572</v>
      </c>
      <c r="K466" s="6">
        <v>14.366199999999999</v>
      </c>
      <c r="L466" s="6">
        <v>14.6797</v>
      </c>
      <c r="M466" s="6">
        <v>15.2044</v>
      </c>
      <c r="N466" s="6">
        <v>15.7714</v>
      </c>
      <c r="O466" s="6">
        <v>16.3902</v>
      </c>
      <c r="P466" s="6">
        <v>16.854500000000002</v>
      </c>
      <c r="Q466" s="6"/>
    </row>
    <row r="467" spans="1:17">
      <c r="A467" s="5">
        <v>42142</v>
      </c>
      <c r="B467" s="5" t="str">
        <f t="shared" si="7"/>
        <v>2015 q2</v>
      </c>
      <c r="C467" s="6">
        <v>12.454800000000001</v>
      </c>
      <c r="D467" s="6">
        <v>12.503399999999999</v>
      </c>
      <c r="E467" s="6">
        <v>12.6038</v>
      </c>
      <c r="F467" s="6">
        <v>12.752700000000001</v>
      </c>
      <c r="G467" s="6">
        <v>12.8963</v>
      </c>
      <c r="H467" s="6">
        <v>13.0246</v>
      </c>
      <c r="I467" s="6">
        <v>13.532999999999999</v>
      </c>
      <c r="J467" s="6">
        <v>13.9344</v>
      </c>
      <c r="K467" s="6">
        <v>14.3315</v>
      </c>
      <c r="L467" s="6">
        <v>14.6341</v>
      </c>
      <c r="M467" s="6">
        <v>15.1386</v>
      </c>
      <c r="N467" s="6">
        <v>15.680099999999999</v>
      </c>
      <c r="O467" s="6">
        <v>16.2666</v>
      </c>
      <c r="P467" s="6">
        <v>16.704599999999999</v>
      </c>
      <c r="Q467" s="6"/>
    </row>
    <row r="468" spans="1:17">
      <c r="A468" s="5">
        <v>42143</v>
      </c>
      <c r="B468" s="5" t="str">
        <f t="shared" si="7"/>
        <v>2015 q2</v>
      </c>
      <c r="C468" s="6">
        <v>12.414999999999999</v>
      </c>
      <c r="D468" s="6">
        <v>12.4665</v>
      </c>
      <c r="E468" s="6">
        <v>12.572800000000001</v>
      </c>
      <c r="F468" s="6">
        <v>12.7323</v>
      </c>
      <c r="G468" s="6">
        <v>12.8832</v>
      </c>
      <c r="H468" s="6">
        <v>13.0182</v>
      </c>
      <c r="I468" s="6">
        <v>13.551600000000001</v>
      </c>
      <c r="J468" s="6">
        <v>13.9655</v>
      </c>
      <c r="K468" s="6">
        <v>14.373799999999999</v>
      </c>
      <c r="L468" s="6">
        <v>14.679</v>
      </c>
      <c r="M468" s="6">
        <v>15.180999999999999</v>
      </c>
      <c r="N468" s="6">
        <v>15.708600000000001</v>
      </c>
      <c r="O468" s="6">
        <v>16.266500000000001</v>
      </c>
      <c r="P468" s="6">
        <v>16.6767</v>
      </c>
      <c r="Q468" s="6"/>
    </row>
    <row r="469" spans="1:17">
      <c r="A469" s="5">
        <v>42144</v>
      </c>
      <c r="B469" s="5" t="str">
        <f t="shared" si="7"/>
        <v>2015 q2</v>
      </c>
      <c r="C469" s="6">
        <v>12.2836</v>
      </c>
      <c r="D469" s="6">
        <v>12.3414</v>
      </c>
      <c r="E469" s="6">
        <v>12.460800000000001</v>
      </c>
      <c r="F469" s="6">
        <v>12.6395</v>
      </c>
      <c r="G469" s="6">
        <v>12.8072</v>
      </c>
      <c r="H469" s="6">
        <v>12.9544</v>
      </c>
      <c r="I469" s="6">
        <v>13.5373</v>
      </c>
      <c r="J469" s="6">
        <v>14.006399999999999</v>
      </c>
      <c r="K469" s="6">
        <v>14.3935</v>
      </c>
      <c r="L469" s="6">
        <v>14.698</v>
      </c>
      <c r="M469" s="6">
        <v>15.186400000000001</v>
      </c>
      <c r="N469" s="6">
        <v>15.678599999999999</v>
      </c>
      <c r="O469" s="6">
        <v>16.175000000000001</v>
      </c>
      <c r="P469" s="6">
        <v>16.529399999999999</v>
      </c>
      <c r="Q469" s="6"/>
    </row>
    <row r="470" spans="1:17">
      <c r="A470" s="5">
        <v>42145</v>
      </c>
      <c r="B470" s="5" t="str">
        <f t="shared" si="7"/>
        <v>2015 q2</v>
      </c>
      <c r="C470" s="6">
        <v>12.293799999999999</v>
      </c>
      <c r="D470" s="6">
        <v>12.3506</v>
      </c>
      <c r="E470" s="6">
        <v>12.4679</v>
      </c>
      <c r="F470" s="6">
        <v>12.6434</v>
      </c>
      <c r="G470" s="6">
        <v>12.808</v>
      </c>
      <c r="H470" s="6">
        <v>12.953099999999999</v>
      </c>
      <c r="I470" s="6">
        <v>13.526899999999999</v>
      </c>
      <c r="J470" s="6">
        <v>13.9902</v>
      </c>
      <c r="K470" s="6">
        <v>14.3733</v>
      </c>
      <c r="L470" s="6">
        <v>14.675700000000001</v>
      </c>
      <c r="M470" s="6">
        <v>15.1615</v>
      </c>
      <c r="N470" s="6">
        <v>15.652900000000001</v>
      </c>
      <c r="O470" s="6">
        <v>16.150600000000001</v>
      </c>
      <c r="P470" s="6">
        <v>16.506900000000002</v>
      </c>
      <c r="Q470" s="6"/>
    </row>
    <row r="471" spans="1:17">
      <c r="A471" s="5">
        <v>42146</v>
      </c>
      <c r="B471" s="5" t="str">
        <f t="shared" si="7"/>
        <v>2015 q2</v>
      </c>
      <c r="C471" s="6">
        <v>12.3125</v>
      </c>
      <c r="D471" s="6">
        <v>12.3665</v>
      </c>
      <c r="E471" s="6">
        <v>12.4779</v>
      </c>
      <c r="F471" s="6">
        <v>12.644500000000001</v>
      </c>
      <c r="G471" s="6">
        <v>12.801500000000001</v>
      </c>
      <c r="H471" s="6">
        <v>12.9413</v>
      </c>
      <c r="I471" s="6">
        <v>13.4922</v>
      </c>
      <c r="J471" s="6">
        <v>13.913399999999999</v>
      </c>
      <c r="K471" s="6">
        <v>14.3276</v>
      </c>
      <c r="L471" s="6">
        <v>14.632300000000001</v>
      </c>
      <c r="M471" s="6">
        <v>15.127599999999999</v>
      </c>
      <c r="N471" s="6">
        <v>15.639200000000001</v>
      </c>
      <c r="O471" s="6">
        <v>16.169499999999999</v>
      </c>
      <c r="P471" s="6">
        <v>16.5547</v>
      </c>
      <c r="Q471" s="6"/>
    </row>
    <row r="472" spans="1:17">
      <c r="A472" s="5">
        <v>42149</v>
      </c>
      <c r="B472" s="5" t="str">
        <f t="shared" si="7"/>
        <v>2015 q2</v>
      </c>
      <c r="C472" s="6">
        <v>12.3721</v>
      </c>
      <c r="D472" s="6">
        <v>12.4239</v>
      </c>
      <c r="E472" s="6">
        <v>12.530900000000001</v>
      </c>
      <c r="F472" s="6">
        <v>12.691000000000001</v>
      </c>
      <c r="G472" s="6">
        <v>12.841799999999999</v>
      </c>
      <c r="H472" s="6">
        <v>12.977</v>
      </c>
      <c r="I472" s="6">
        <v>13.5097</v>
      </c>
      <c r="J472" s="6">
        <v>13.9213</v>
      </c>
      <c r="K472" s="6">
        <v>14.326000000000001</v>
      </c>
      <c r="L472" s="6">
        <v>14.6272</v>
      </c>
      <c r="M472" s="6">
        <v>15.1195</v>
      </c>
      <c r="N472" s="6">
        <v>15.6334</v>
      </c>
      <c r="O472" s="6">
        <v>16.172499999999999</v>
      </c>
      <c r="P472" s="6">
        <v>16.567299999999999</v>
      </c>
      <c r="Q472" s="6"/>
    </row>
    <row r="473" spans="1:17">
      <c r="A473" s="5">
        <v>42150</v>
      </c>
      <c r="B473" s="5" t="str">
        <f t="shared" si="7"/>
        <v>2015 q2</v>
      </c>
      <c r="C473" s="6">
        <v>12.328799999999999</v>
      </c>
      <c r="D473" s="6">
        <v>12.382899999999999</v>
      </c>
      <c r="E473" s="6">
        <v>12.4947</v>
      </c>
      <c r="F473" s="6">
        <v>12.661799999999999</v>
      </c>
      <c r="G473" s="6">
        <v>12.818899999999999</v>
      </c>
      <c r="H473" s="6">
        <v>12.959300000000001</v>
      </c>
      <c r="I473" s="6">
        <v>13.510899999999999</v>
      </c>
      <c r="J473" s="6">
        <v>13.930899999999999</v>
      </c>
      <c r="K473" s="6">
        <v>14.342499999999999</v>
      </c>
      <c r="L473" s="6">
        <v>14.6439</v>
      </c>
      <c r="M473" s="6">
        <v>15.130800000000001</v>
      </c>
      <c r="N473" s="6">
        <v>15.6302</v>
      </c>
      <c r="O473" s="6">
        <v>16.143999999999998</v>
      </c>
      <c r="P473" s="6">
        <v>16.515699999999999</v>
      </c>
      <c r="Q473" s="6"/>
    </row>
    <row r="474" spans="1:17">
      <c r="A474" s="5">
        <v>42151</v>
      </c>
      <c r="B474" s="5" t="str">
        <f t="shared" si="7"/>
        <v>2015 q2</v>
      </c>
      <c r="C474" s="6">
        <v>12.328900000000001</v>
      </c>
      <c r="D474" s="6">
        <v>12.3847</v>
      </c>
      <c r="E474" s="6">
        <v>12.4999</v>
      </c>
      <c r="F474" s="6">
        <v>12.671900000000001</v>
      </c>
      <c r="G474" s="6">
        <v>12.8329</v>
      </c>
      <c r="H474" s="6">
        <v>12.976100000000001</v>
      </c>
      <c r="I474" s="6">
        <v>13.5374</v>
      </c>
      <c r="J474" s="6">
        <v>13.958299999999999</v>
      </c>
      <c r="K474" s="6">
        <v>14.370100000000001</v>
      </c>
      <c r="L474" s="6">
        <v>14.666700000000001</v>
      </c>
      <c r="M474" s="6">
        <v>15.1408</v>
      </c>
      <c r="N474" s="6">
        <v>15.619199999999999</v>
      </c>
      <c r="O474" s="6">
        <v>16.102799999999998</v>
      </c>
      <c r="P474" s="6">
        <v>16.448799999999999</v>
      </c>
      <c r="Q474" s="6"/>
    </row>
    <row r="475" spans="1:17">
      <c r="A475" s="5">
        <v>42153</v>
      </c>
      <c r="B475" s="5" t="str">
        <f t="shared" si="7"/>
        <v>2015 q2</v>
      </c>
      <c r="C475" s="6">
        <v>12.399699999999999</v>
      </c>
      <c r="D475" s="6">
        <v>12.450799999999999</v>
      </c>
      <c r="E475" s="6">
        <v>12.5563</v>
      </c>
      <c r="F475" s="6">
        <v>12.713699999999999</v>
      </c>
      <c r="G475" s="6">
        <v>12.861700000000001</v>
      </c>
      <c r="H475" s="6">
        <v>12.9953</v>
      </c>
      <c r="I475" s="6">
        <v>13.52</v>
      </c>
      <c r="J475" s="6">
        <v>13.9277</v>
      </c>
      <c r="K475" s="6">
        <v>14.327199999999999</v>
      </c>
      <c r="L475" s="6">
        <v>14.626300000000001</v>
      </c>
      <c r="M475" s="6">
        <v>15.114800000000001</v>
      </c>
      <c r="N475" s="6">
        <v>15.625999999999999</v>
      </c>
      <c r="O475" s="6">
        <v>16.164200000000001</v>
      </c>
      <c r="P475" s="6">
        <v>16.5595</v>
      </c>
      <c r="Q475" s="6"/>
    </row>
    <row r="476" spans="1:17">
      <c r="A476" s="5">
        <v>42156</v>
      </c>
      <c r="B476" s="5" t="str">
        <f t="shared" si="7"/>
        <v>2015 q2</v>
      </c>
      <c r="C476" s="6">
        <v>12.2104</v>
      </c>
      <c r="D476" s="6">
        <v>12.2691</v>
      </c>
      <c r="E476" s="6">
        <v>12.3902</v>
      </c>
      <c r="F476" s="6">
        <v>12.570600000000001</v>
      </c>
      <c r="G476" s="6">
        <v>12.738200000000001</v>
      </c>
      <c r="H476" s="6">
        <v>12.887700000000001</v>
      </c>
      <c r="I476" s="6">
        <v>13.4726</v>
      </c>
      <c r="J476" s="6">
        <v>13.9114</v>
      </c>
      <c r="K476" s="6">
        <v>14.339399999999999</v>
      </c>
      <c r="L476" s="6">
        <v>14.6478</v>
      </c>
      <c r="M476" s="6">
        <v>15.1394</v>
      </c>
      <c r="N476" s="6">
        <v>15.6347</v>
      </c>
      <c r="O476" s="6">
        <v>16.1343</v>
      </c>
      <c r="P476" s="6">
        <v>16.491700000000002</v>
      </c>
      <c r="Q476" s="6"/>
    </row>
    <row r="477" spans="1:17">
      <c r="A477" s="5">
        <v>42157</v>
      </c>
      <c r="B477" s="5" t="str">
        <f t="shared" si="7"/>
        <v>2015 q2</v>
      </c>
      <c r="C477" s="6">
        <v>12.7121</v>
      </c>
      <c r="D477" s="6">
        <v>12.614100000000001</v>
      </c>
      <c r="E477" s="6">
        <v>12.4116</v>
      </c>
      <c r="F477" s="6">
        <v>12.1777</v>
      </c>
      <c r="G477" s="6">
        <v>12.275399999999999</v>
      </c>
      <c r="H477" s="6">
        <v>12.3764</v>
      </c>
      <c r="I477" s="6">
        <v>13.3468</v>
      </c>
      <c r="J477" s="6">
        <v>13.978300000000001</v>
      </c>
      <c r="K477" s="6">
        <v>14.577</v>
      </c>
      <c r="L477" s="6">
        <v>14.8439</v>
      </c>
      <c r="M477" s="6">
        <v>15.1966</v>
      </c>
      <c r="N477" s="6">
        <v>15.465199999999999</v>
      </c>
      <c r="O477" s="6">
        <v>15.6843</v>
      </c>
      <c r="P477" s="6">
        <v>15.827500000000001</v>
      </c>
      <c r="Q477" s="6"/>
    </row>
    <row r="478" spans="1:17">
      <c r="A478" s="5">
        <v>42158</v>
      </c>
      <c r="B478" s="5" t="str">
        <f t="shared" si="7"/>
        <v>2015 q2</v>
      </c>
      <c r="C478" s="6">
        <v>12.720599999999999</v>
      </c>
      <c r="D478" s="6">
        <v>12.6187</v>
      </c>
      <c r="E478" s="6">
        <v>12.408200000000001</v>
      </c>
      <c r="F478" s="6">
        <v>12.1678</v>
      </c>
      <c r="G478" s="6">
        <v>12.2597</v>
      </c>
      <c r="H478" s="6">
        <v>12.3568</v>
      </c>
      <c r="I478" s="6">
        <v>13.3269</v>
      </c>
      <c r="J478" s="6">
        <v>13.9657</v>
      </c>
      <c r="K478" s="6">
        <v>14.5703</v>
      </c>
      <c r="L478" s="6">
        <v>14.8414</v>
      </c>
      <c r="M478" s="6">
        <v>15.199299999999999</v>
      </c>
      <c r="N478" s="6">
        <v>15.472</v>
      </c>
      <c r="O478" s="6">
        <v>15.6945</v>
      </c>
      <c r="P478" s="6">
        <v>15.8399</v>
      </c>
      <c r="Q478" s="6"/>
    </row>
    <row r="479" spans="1:17">
      <c r="A479" s="5">
        <v>42159</v>
      </c>
      <c r="B479" s="5" t="str">
        <f t="shared" si="7"/>
        <v>2015 q2</v>
      </c>
      <c r="C479" s="6">
        <v>12.738899999999999</v>
      </c>
      <c r="D479" s="6">
        <v>12.629799999999999</v>
      </c>
      <c r="E479" s="6">
        <v>12.4047</v>
      </c>
      <c r="F479" s="6">
        <v>12.1511</v>
      </c>
      <c r="G479" s="6">
        <v>12.243499999999999</v>
      </c>
      <c r="H479" s="6">
        <v>12.3431</v>
      </c>
      <c r="I479" s="6">
        <v>13.345000000000001</v>
      </c>
      <c r="J479" s="6">
        <v>14.1073</v>
      </c>
      <c r="K479" s="6">
        <v>14.5776</v>
      </c>
      <c r="L479" s="6">
        <v>14.8467</v>
      </c>
      <c r="M479" s="6">
        <v>15.2013</v>
      </c>
      <c r="N479" s="6">
        <v>15.4711</v>
      </c>
      <c r="O479" s="6">
        <v>15.6913</v>
      </c>
      <c r="P479" s="6">
        <v>15.8353</v>
      </c>
      <c r="Q479" s="6"/>
    </row>
    <row r="480" spans="1:17">
      <c r="A480" s="5">
        <v>42160</v>
      </c>
      <c r="B480" s="5" t="str">
        <f t="shared" si="7"/>
        <v>2015 q2</v>
      </c>
      <c r="C480" s="6">
        <v>12.728300000000001</v>
      </c>
      <c r="D480" s="6">
        <v>12.621499999999999</v>
      </c>
      <c r="E480" s="6">
        <v>12.4009</v>
      </c>
      <c r="F480" s="6">
        <v>12.1568</v>
      </c>
      <c r="G480" s="6">
        <v>12.2468</v>
      </c>
      <c r="H480" s="6">
        <v>12.345700000000001</v>
      </c>
      <c r="I480" s="6">
        <v>13.3231</v>
      </c>
      <c r="J480" s="6">
        <v>13.9657</v>
      </c>
      <c r="K480" s="6">
        <v>14.5718</v>
      </c>
      <c r="L480" s="6">
        <v>14.843299999999999</v>
      </c>
      <c r="M480" s="6">
        <v>15.200799999999999</v>
      </c>
      <c r="N480" s="6">
        <v>15.473000000000001</v>
      </c>
      <c r="O480" s="6">
        <v>15.6953</v>
      </c>
      <c r="P480" s="6">
        <v>15.8406</v>
      </c>
      <c r="Q480" s="6"/>
    </row>
    <row r="481" spans="1:17">
      <c r="A481" s="5">
        <v>42163</v>
      </c>
      <c r="B481" s="5" t="str">
        <f t="shared" si="7"/>
        <v>2015 q2</v>
      </c>
      <c r="C481" s="6">
        <v>12.7235</v>
      </c>
      <c r="D481" s="6">
        <v>12.617000000000001</v>
      </c>
      <c r="E481" s="6">
        <v>12.3972</v>
      </c>
      <c r="F481" s="6">
        <v>12.1587</v>
      </c>
      <c r="G481" s="6">
        <v>12.248799999999999</v>
      </c>
      <c r="H481" s="6">
        <v>12.349600000000001</v>
      </c>
      <c r="I481" s="6">
        <v>13.3253</v>
      </c>
      <c r="J481" s="6">
        <v>13.967700000000001</v>
      </c>
      <c r="K481" s="6">
        <v>14.5726</v>
      </c>
      <c r="L481" s="6">
        <v>14.843999999999999</v>
      </c>
      <c r="M481" s="6">
        <v>15.2011</v>
      </c>
      <c r="N481" s="6">
        <v>15.473000000000001</v>
      </c>
      <c r="O481" s="6">
        <v>15.695</v>
      </c>
      <c r="P481" s="6">
        <v>15.840299999999999</v>
      </c>
      <c r="Q481" s="6"/>
    </row>
    <row r="482" spans="1:17">
      <c r="A482" s="5">
        <v>42164</v>
      </c>
      <c r="B482" s="5" t="str">
        <f t="shared" si="7"/>
        <v>2015 q2</v>
      </c>
      <c r="C482" s="6">
        <v>12.649900000000001</v>
      </c>
      <c r="D482" s="6">
        <v>12.574299999999999</v>
      </c>
      <c r="E482" s="6">
        <v>12.4184</v>
      </c>
      <c r="F482" s="6">
        <v>12.1868</v>
      </c>
      <c r="G482" s="6">
        <v>12.247</v>
      </c>
      <c r="H482" s="6">
        <v>12.474600000000001</v>
      </c>
      <c r="I482" s="6">
        <v>13.354100000000001</v>
      </c>
      <c r="J482" s="6">
        <v>13.9819</v>
      </c>
      <c r="K482" s="6">
        <v>14.5707</v>
      </c>
      <c r="L482" s="6">
        <v>14.841699999999999</v>
      </c>
      <c r="M482" s="6">
        <v>15.1975</v>
      </c>
      <c r="N482" s="6">
        <v>15.469200000000001</v>
      </c>
      <c r="O482" s="6">
        <v>15.6912</v>
      </c>
      <c r="P482" s="6">
        <v>15.836600000000001</v>
      </c>
      <c r="Q482" s="6"/>
    </row>
    <row r="483" spans="1:17">
      <c r="A483" s="5">
        <v>42165</v>
      </c>
      <c r="B483" s="5" t="str">
        <f t="shared" si="7"/>
        <v>2015 q2</v>
      </c>
      <c r="C483" s="6">
        <v>12.645899999999999</v>
      </c>
      <c r="D483" s="6">
        <v>12.567399999999999</v>
      </c>
      <c r="E483" s="6">
        <v>12.4054</v>
      </c>
      <c r="F483" s="6">
        <v>12.167</v>
      </c>
      <c r="G483" s="6">
        <v>12.228199999999999</v>
      </c>
      <c r="H483" s="6">
        <v>12.4598</v>
      </c>
      <c r="I483" s="6">
        <v>13.354799999999999</v>
      </c>
      <c r="J483" s="6">
        <v>13.999499999999999</v>
      </c>
      <c r="K483" s="6">
        <v>14.603199999999999</v>
      </c>
      <c r="L483" s="6">
        <v>14.882300000000001</v>
      </c>
      <c r="M483" s="6">
        <v>15.2484</v>
      </c>
      <c r="N483" s="6">
        <v>15.5281</v>
      </c>
      <c r="O483" s="6">
        <v>15.7568</v>
      </c>
      <c r="P483" s="6">
        <v>15.906499999999999</v>
      </c>
      <c r="Q483" s="6"/>
    </row>
    <row r="484" spans="1:17">
      <c r="A484" s="5">
        <v>42166</v>
      </c>
      <c r="B484" s="5" t="str">
        <f t="shared" si="7"/>
        <v>2015 q2</v>
      </c>
      <c r="C484" s="6">
        <v>12.654299999999999</v>
      </c>
      <c r="D484" s="6">
        <v>12.5695</v>
      </c>
      <c r="E484" s="6">
        <v>12.394399999999999</v>
      </c>
      <c r="F484" s="6">
        <v>12.1395</v>
      </c>
      <c r="G484" s="6">
        <v>12.2104</v>
      </c>
      <c r="H484" s="6">
        <v>12.450100000000001</v>
      </c>
      <c r="I484" s="6">
        <v>13.370900000000001</v>
      </c>
      <c r="J484" s="6">
        <v>13.9999</v>
      </c>
      <c r="K484" s="6">
        <v>14.5871</v>
      </c>
      <c r="L484" s="6">
        <v>14.8508</v>
      </c>
      <c r="M484" s="6">
        <v>15.1953</v>
      </c>
      <c r="N484" s="6">
        <v>15.457800000000001</v>
      </c>
      <c r="O484" s="6">
        <v>15.6722</v>
      </c>
      <c r="P484" s="6">
        <v>15.8127</v>
      </c>
      <c r="Q484" s="6"/>
    </row>
    <row r="485" spans="1:17">
      <c r="A485" s="5">
        <v>42167</v>
      </c>
      <c r="B485" s="5" t="str">
        <f t="shared" si="7"/>
        <v>2015 q2</v>
      </c>
      <c r="C485" s="6">
        <v>12.577199999999999</v>
      </c>
      <c r="D485" s="6">
        <v>12.5116</v>
      </c>
      <c r="E485" s="6">
        <v>12.376200000000001</v>
      </c>
      <c r="F485" s="6">
        <v>12.1806</v>
      </c>
      <c r="G485" s="6">
        <v>12.229799999999999</v>
      </c>
      <c r="H485" s="6">
        <v>12.4419</v>
      </c>
      <c r="I485" s="6">
        <v>13.2722</v>
      </c>
      <c r="J485" s="6">
        <v>13.9659</v>
      </c>
      <c r="K485" s="6">
        <v>14.617100000000001</v>
      </c>
      <c r="L485" s="6">
        <v>14.948399999999999</v>
      </c>
      <c r="M485" s="6">
        <v>15.386900000000001</v>
      </c>
      <c r="N485" s="6">
        <v>15.726699999999999</v>
      </c>
      <c r="O485" s="6">
        <v>16.005099999999999</v>
      </c>
      <c r="P485" s="6">
        <v>16.1875</v>
      </c>
      <c r="Q485" s="6"/>
    </row>
    <row r="486" spans="1:17">
      <c r="A486" s="5">
        <v>42170</v>
      </c>
      <c r="B486" s="5" t="str">
        <f t="shared" si="7"/>
        <v>2015 q2</v>
      </c>
      <c r="C486" s="6">
        <v>12.598699999999999</v>
      </c>
      <c r="D486" s="6">
        <v>12.5273</v>
      </c>
      <c r="E486" s="6">
        <v>12.38</v>
      </c>
      <c r="F486" s="6">
        <v>12.169499999999999</v>
      </c>
      <c r="G486" s="6">
        <v>12.2272</v>
      </c>
      <c r="H486" s="6">
        <v>12.4481</v>
      </c>
      <c r="I486" s="6">
        <v>13.306699999999999</v>
      </c>
      <c r="J486" s="6">
        <v>13.984999999999999</v>
      </c>
      <c r="K486" s="6">
        <v>14.619199999999999</v>
      </c>
      <c r="L486" s="6">
        <v>14.930199999999999</v>
      </c>
      <c r="M486" s="6">
        <v>15.338900000000001</v>
      </c>
      <c r="N486" s="6">
        <v>15.653700000000001</v>
      </c>
      <c r="O486" s="6">
        <v>15.9114</v>
      </c>
      <c r="P486" s="6">
        <v>16.080300000000001</v>
      </c>
      <c r="Q486" s="6"/>
    </row>
    <row r="487" spans="1:17">
      <c r="A487" s="5">
        <v>42171</v>
      </c>
      <c r="B487" s="5" t="str">
        <f t="shared" si="7"/>
        <v>2015 q2</v>
      </c>
      <c r="C487" s="6">
        <v>12.3345</v>
      </c>
      <c r="D487" s="6">
        <v>12.308299999999999</v>
      </c>
      <c r="E487" s="6">
        <v>12.254200000000001</v>
      </c>
      <c r="F487" s="6">
        <v>12.1745</v>
      </c>
      <c r="G487" s="6">
        <v>12.288399999999999</v>
      </c>
      <c r="H487" s="6">
        <v>12.505699999999999</v>
      </c>
      <c r="I487" s="6">
        <v>13.3443</v>
      </c>
      <c r="J487" s="6">
        <v>13.974600000000001</v>
      </c>
      <c r="K487" s="6">
        <v>14.5616</v>
      </c>
      <c r="L487" s="6">
        <v>14.853999999999999</v>
      </c>
      <c r="M487" s="6">
        <v>15.238099999999999</v>
      </c>
      <c r="N487" s="6">
        <v>15.535</v>
      </c>
      <c r="O487" s="6">
        <v>15.7783</v>
      </c>
      <c r="P487" s="6">
        <v>15.937799999999999</v>
      </c>
      <c r="Q487" s="6"/>
    </row>
    <row r="488" spans="1:17">
      <c r="A488" s="5">
        <v>42172</v>
      </c>
      <c r="B488" s="5" t="str">
        <f t="shared" si="7"/>
        <v>2015 q2</v>
      </c>
      <c r="C488" s="6">
        <v>12.325799999999999</v>
      </c>
      <c r="D488" s="6">
        <v>12.2982</v>
      </c>
      <c r="E488" s="6">
        <v>12.241400000000001</v>
      </c>
      <c r="F488" s="6">
        <v>12.159000000000001</v>
      </c>
      <c r="G488" s="6">
        <v>12.271100000000001</v>
      </c>
      <c r="H488" s="6">
        <v>12.4884</v>
      </c>
      <c r="I488" s="6">
        <v>13.3284</v>
      </c>
      <c r="J488" s="6">
        <v>13.974500000000001</v>
      </c>
      <c r="K488" s="6">
        <v>14.5816</v>
      </c>
      <c r="L488" s="6">
        <v>14.9171</v>
      </c>
      <c r="M488" s="6">
        <v>15.2791</v>
      </c>
      <c r="N488" s="6">
        <v>15.5886</v>
      </c>
      <c r="O488" s="6">
        <v>15.8423</v>
      </c>
      <c r="P488" s="6">
        <v>16.008800000000001</v>
      </c>
      <c r="Q488" s="6"/>
    </row>
    <row r="489" spans="1:17">
      <c r="A489" s="5">
        <v>42173</v>
      </c>
      <c r="B489" s="5" t="str">
        <f t="shared" si="7"/>
        <v>2015 q2</v>
      </c>
      <c r="C489" s="6">
        <v>12.340400000000001</v>
      </c>
      <c r="D489" s="6">
        <v>12.3055</v>
      </c>
      <c r="E489" s="6">
        <v>12.233499999999999</v>
      </c>
      <c r="F489" s="6">
        <v>12.1304</v>
      </c>
      <c r="G489" s="6">
        <v>12.2477</v>
      </c>
      <c r="H489" s="6">
        <v>12.474</v>
      </c>
      <c r="I489" s="6">
        <v>13.343500000000001</v>
      </c>
      <c r="J489" s="6">
        <v>13.981999999999999</v>
      </c>
      <c r="K489" s="6">
        <v>14.579499999999999</v>
      </c>
      <c r="L489" s="6">
        <v>14.898400000000001</v>
      </c>
      <c r="M489" s="6">
        <v>15.2387</v>
      </c>
      <c r="N489" s="6">
        <v>15.528700000000001</v>
      </c>
      <c r="O489" s="6">
        <v>15.7662</v>
      </c>
      <c r="P489" s="6">
        <v>15.922000000000001</v>
      </c>
      <c r="Q489" s="6"/>
    </row>
    <row r="490" spans="1:17">
      <c r="A490" s="5">
        <v>42174</v>
      </c>
      <c r="B490" s="5" t="str">
        <f t="shared" si="7"/>
        <v>2015 q2</v>
      </c>
      <c r="C490" s="6">
        <v>12.331799999999999</v>
      </c>
      <c r="D490" s="6">
        <v>12.2996</v>
      </c>
      <c r="E490" s="6">
        <v>12.233000000000001</v>
      </c>
      <c r="F490" s="6">
        <v>12.1386</v>
      </c>
      <c r="G490" s="6">
        <v>12.231299999999999</v>
      </c>
      <c r="H490" s="6">
        <v>12.432700000000001</v>
      </c>
      <c r="I490" s="6">
        <v>13.2181</v>
      </c>
      <c r="J490" s="6">
        <v>13.8748</v>
      </c>
      <c r="K490" s="6">
        <v>14.4863</v>
      </c>
      <c r="L490" s="6">
        <v>14.8116</v>
      </c>
      <c r="M490" s="6">
        <v>15.241400000000001</v>
      </c>
      <c r="N490" s="6">
        <v>15.577500000000001</v>
      </c>
      <c r="O490" s="6">
        <v>15.8537</v>
      </c>
      <c r="P490" s="6">
        <v>16.035</v>
      </c>
      <c r="Q490" s="6"/>
    </row>
    <row r="491" spans="1:17">
      <c r="A491" s="5">
        <v>42177</v>
      </c>
      <c r="B491" s="5" t="str">
        <f t="shared" si="7"/>
        <v>2015 q2</v>
      </c>
      <c r="C491" s="6">
        <v>12.376799999999999</v>
      </c>
      <c r="D491" s="6">
        <v>12.317500000000001</v>
      </c>
      <c r="E491" s="6">
        <v>12.1951</v>
      </c>
      <c r="F491" s="6">
        <v>12.027900000000001</v>
      </c>
      <c r="G491" s="6">
        <v>12.1631</v>
      </c>
      <c r="H491" s="6">
        <v>12.4215</v>
      </c>
      <c r="I491" s="6">
        <v>13.3987</v>
      </c>
      <c r="J491" s="6">
        <v>14.0276</v>
      </c>
      <c r="K491" s="6">
        <v>14.604799999999999</v>
      </c>
      <c r="L491" s="6">
        <v>14.8627</v>
      </c>
      <c r="M491" s="6">
        <v>15.1953</v>
      </c>
      <c r="N491" s="6">
        <v>15.448600000000001</v>
      </c>
      <c r="O491" s="6">
        <v>15.655900000000001</v>
      </c>
      <c r="P491" s="6">
        <v>15.7919</v>
      </c>
      <c r="Q491" s="6"/>
    </row>
    <row r="492" spans="1:17">
      <c r="A492" s="5">
        <v>42178</v>
      </c>
      <c r="B492" s="5" t="str">
        <f t="shared" si="7"/>
        <v>2015 q2</v>
      </c>
      <c r="C492" s="6">
        <v>11.9404</v>
      </c>
      <c r="D492" s="6">
        <v>11.9316</v>
      </c>
      <c r="E492" s="6">
        <v>11.9133</v>
      </c>
      <c r="F492" s="6">
        <v>11.902900000000001</v>
      </c>
      <c r="G492" s="6">
        <v>12.0884</v>
      </c>
      <c r="H492" s="6">
        <v>12.368600000000001</v>
      </c>
      <c r="I492" s="6">
        <v>13.416</v>
      </c>
      <c r="J492" s="6">
        <v>14.0397</v>
      </c>
      <c r="K492" s="6">
        <v>14.6081</v>
      </c>
      <c r="L492" s="6">
        <v>14.856199999999999</v>
      </c>
      <c r="M492" s="6">
        <v>15.1745</v>
      </c>
      <c r="N492" s="6">
        <v>15.416600000000001</v>
      </c>
      <c r="O492" s="6">
        <v>15.614699999999999</v>
      </c>
      <c r="P492" s="6">
        <v>15.7448</v>
      </c>
      <c r="Q492" s="6"/>
    </row>
    <row r="493" spans="1:17">
      <c r="A493" s="5">
        <v>42179</v>
      </c>
      <c r="B493" s="5" t="str">
        <f t="shared" si="7"/>
        <v>2015 q2</v>
      </c>
      <c r="C493" s="6">
        <v>11.9374</v>
      </c>
      <c r="D493" s="6">
        <v>11.9293</v>
      </c>
      <c r="E493" s="6">
        <v>11.9124</v>
      </c>
      <c r="F493" s="6">
        <v>11.9061</v>
      </c>
      <c r="G493" s="6">
        <v>12.0931</v>
      </c>
      <c r="H493" s="6">
        <v>12.3728</v>
      </c>
      <c r="I493" s="6">
        <v>13.4169</v>
      </c>
      <c r="J493" s="6">
        <v>14.039300000000001</v>
      </c>
      <c r="K493" s="6">
        <v>14.605399999999999</v>
      </c>
      <c r="L493" s="6">
        <v>14.853</v>
      </c>
      <c r="M493" s="6">
        <v>15.170199999999999</v>
      </c>
      <c r="N493" s="6">
        <v>15.4116</v>
      </c>
      <c r="O493" s="6">
        <v>15.609</v>
      </c>
      <c r="P493" s="6">
        <v>15.738799999999999</v>
      </c>
      <c r="Q493" s="6"/>
    </row>
    <row r="494" spans="1:17">
      <c r="A494" s="5">
        <v>42180</v>
      </c>
      <c r="B494" s="5" t="str">
        <f t="shared" si="7"/>
        <v>2015 q2</v>
      </c>
      <c r="C494" s="6">
        <v>11.922800000000001</v>
      </c>
      <c r="D494" s="6">
        <v>11.917999999999999</v>
      </c>
      <c r="E494" s="6">
        <v>11.908099999999999</v>
      </c>
      <c r="F494" s="6">
        <v>11.9131</v>
      </c>
      <c r="G494" s="6">
        <v>12.1008</v>
      </c>
      <c r="H494" s="6">
        <v>12.3774</v>
      </c>
      <c r="I494" s="6">
        <v>13.410399999999999</v>
      </c>
      <c r="J494" s="6">
        <v>14.0372</v>
      </c>
      <c r="K494" s="6">
        <v>14.6067</v>
      </c>
      <c r="L494" s="6">
        <v>14.8589</v>
      </c>
      <c r="M494" s="6">
        <v>15.181699999999999</v>
      </c>
      <c r="N494" s="6">
        <v>15.4276</v>
      </c>
      <c r="O494" s="6">
        <v>15.6288</v>
      </c>
      <c r="P494" s="6">
        <v>15.761100000000001</v>
      </c>
      <c r="Q494" s="6"/>
    </row>
    <row r="495" spans="1:17">
      <c r="A495" s="5">
        <v>42181</v>
      </c>
      <c r="B495" s="5" t="str">
        <f t="shared" si="7"/>
        <v>2015 q2</v>
      </c>
      <c r="C495" s="6">
        <v>11.905099999999999</v>
      </c>
      <c r="D495" s="6">
        <v>11.905099999999999</v>
      </c>
      <c r="E495" s="6">
        <v>11.905099999999999</v>
      </c>
      <c r="F495" s="6">
        <v>11.9216</v>
      </c>
      <c r="G495" s="6">
        <v>12.08</v>
      </c>
      <c r="H495" s="6">
        <v>12.3232</v>
      </c>
      <c r="I495" s="6">
        <v>13.243600000000001</v>
      </c>
      <c r="J495" s="6">
        <v>13.880800000000001</v>
      </c>
      <c r="K495" s="6">
        <v>14.462300000000001</v>
      </c>
      <c r="L495" s="6">
        <v>14.741899999999999</v>
      </c>
      <c r="M495" s="6">
        <v>15.102399999999999</v>
      </c>
      <c r="N495" s="6">
        <v>15.3794</v>
      </c>
      <c r="O495" s="6">
        <v>15.6065</v>
      </c>
      <c r="P495" s="6">
        <v>15.755699999999999</v>
      </c>
      <c r="Q495" s="6"/>
    </row>
    <row r="496" spans="1:17">
      <c r="A496" s="5">
        <v>42184</v>
      </c>
      <c r="B496" s="5" t="str">
        <f t="shared" si="7"/>
        <v>2015 q2</v>
      </c>
      <c r="C496" s="6">
        <v>11.638999999999999</v>
      </c>
      <c r="D496" s="6">
        <v>11.696899999999999</v>
      </c>
      <c r="E496" s="6">
        <v>11.8165</v>
      </c>
      <c r="F496" s="6">
        <v>11.9983</v>
      </c>
      <c r="G496" s="6">
        <v>12.196899999999999</v>
      </c>
      <c r="H496" s="6">
        <v>12.400600000000001</v>
      </c>
      <c r="I496" s="6">
        <v>13.1965</v>
      </c>
      <c r="J496" s="6">
        <v>13.8447</v>
      </c>
      <c r="K496" s="6">
        <v>14.327500000000001</v>
      </c>
      <c r="L496" s="6">
        <v>14.6624</v>
      </c>
      <c r="M496" s="6">
        <v>15.120100000000001</v>
      </c>
      <c r="N496" s="6">
        <v>15.497400000000001</v>
      </c>
      <c r="O496" s="6">
        <v>15.8146</v>
      </c>
      <c r="P496" s="6">
        <v>16.023800000000001</v>
      </c>
      <c r="Q496" s="6"/>
    </row>
    <row r="497" spans="1:17">
      <c r="A497" s="5">
        <v>42185</v>
      </c>
      <c r="B497" s="5" t="str">
        <f t="shared" si="7"/>
        <v>2015 q2</v>
      </c>
      <c r="C497" s="6">
        <v>11.851000000000001</v>
      </c>
      <c r="D497" s="6">
        <v>11.8635</v>
      </c>
      <c r="E497" s="6">
        <v>11.8893</v>
      </c>
      <c r="F497" s="6">
        <v>11.9481</v>
      </c>
      <c r="G497" s="6">
        <v>12.1296</v>
      </c>
      <c r="H497" s="6">
        <v>12.3758</v>
      </c>
      <c r="I497" s="6">
        <v>13.3225</v>
      </c>
      <c r="J497" s="6">
        <v>14.0334</v>
      </c>
      <c r="K497" s="6">
        <v>14.48</v>
      </c>
      <c r="L497" s="6">
        <v>14.749000000000001</v>
      </c>
      <c r="M497" s="6">
        <v>15.0938</v>
      </c>
      <c r="N497" s="6">
        <v>15.358700000000001</v>
      </c>
      <c r="O497" s="6">
        <v>15.576000000000001</v>
      </c>
      <c r="P497" s="6">
        <v>15.718999999999999</v>
      </c>
      <c r="Q497" s="6"/>
    </row>
    <row r="498" spans="1:17">
      <c r="A498" s="5">
        <v>42186</v>
      </c>
      <c r="B498" s="5" t="str">
        <f t="shared" si="7"/>
        <v>2015 q3</v>
      </c>
      <c r="C498" s="6">
        <v>11.3284</v>
      </c>
      <c r="D498" s="6">
        <v>11.433299999999999</v>
      </c>
      <c r="E498" s="6">
        <v>11.649800000000001</v>
      </c>
      <c r="F498" s="6">
        <v>11.973000000000001</v>
      </c>
      <c r="G498" s="6">
        <v>12.2509</v>
      </c>
      <c r="H498" s="6">
        <v>12.4817</v>
      </c>
      <c r="I498" s="6">
        <v>13.3408</v>
      </c>
      <c r="J498" s="6">
        <v>13.884399999999999</v>
      </c>
      <c r="K498" s="6">
        <v>14.386699999999999</v>
      </c>
      <c r="L498" s="6">
        <v>14.6869</v>
      </c>
      <c r="M498" s="6">
        <v>15.1053</v>
      </c>
      <c r="N498" s="6">
        <v>15.4634</v>
      </c>
      <c r="O498" s="6">
        <v>15.7744</v>
      </c>
      <c r="P498" s="6">
        <v>15.981999999999999</v>
      </c>
      <c r="Q498" s="6"/>
    </row>
    <row r="499" spans="1:17">
      <c r="A499" s="5">
        <v>42187</v>
      </c>
      <c r="B499" s="5" t="str">
        <f t="shared" si="7"/>
        <v>2015 q3</v>
      </c>
      <c r="C499" s="6">
        <v>11.335100000000001</v>
      </c>
      <c r="D499" s="6">
        <v>11.4399</v>
      </c>
      <c r="E499" s="6">
        <v>11.6562</v>
      </c>
      <c r="F499" s="6">
        <v>11.9787</v>
      </c>
      <c r="G499" s="6">
        <v>12.2561</v>
      </c>
      <c r="H499" s="6">
        <v>12.4877</v>
      </c>
      <c r="I499" s="6">
        <v>13.3491</v>
      </c>
      <c r="J499" s="6">
        <v>13.8977</v>
      </c>
      <c r="K499" s="6">
        <v>14.404400000000001</v>
      </c>
      <c r="L499" s="6">
        <v>14.709099999999999</v>
      </c>
      <c r="M499" s="6">
        <v>15.134499999999999</v>
      </c>
      <c r="N499" s="6">
        <v>15.4998</v>
      </c>
      <c r="O499" s="6">
        <v>15.8179</v>
      </c>
      <c r="P499" s="6">
        <v>16.0303</v>
      </c>
      <c r="Q499" s="6"/>
    </row>
    <row r="500" spans="1:17">
      <c r="A500" s="5">
        <v>42188</v>
      </c>
      <c r="B500" s="5" t="str">
        <f t="shared" si="7"/>
        <v>2015 q3</v>
      </c>
      <c r="C500" s="6">
        <v>11.319599999999999</v>
      </c>
      <c r="D500" s="6">
        <v>11.4282</v>
      </c>
      <c r="E500" s="6">
        <v>11.6526</v>
      </c>
      <c r="F500" s="6">
        <v>11.986700000000001</v>
      </c>
      <c r="G500" s="6">
        <v>12.270799999999999</v>
      </c>
      <c r="H500" s="6">
        <v>12.505800000000001</v>
      </c>
      <c r="I500" s="6">
        <v>13.3758</v>
      </c>
      <c r="J500" s="6">
        <v>13.9152</v>
      </c>
      <c r="K500" s="6">
        <v>14.411199999999999</v>
      </c>
      <c r="L500" s="6">
        <v>14.701700000000001</v>
      </c>
      <c r="M500" s="6">
        <v>15.1023</v>
      </c>
      <c r="N500" s="6">
        <v>15.440899999999999</v>
      </c>
      <c r="O500" s="6">
        <v>15.7325</v>
      </c>
      <c r="P500" s="6">
        <v>15.926600000000001</v>
      </c>
      <c r="Q500" s="6"/>
    </row>
    <row r="501" spans="1:17">
      <c r="A501" s="5">
        <v>42191</v>
      </c>
      <c r="B501" s="5" t="str">
        <f t="shared" si="7"/>
        <v>2015 q3</v>
      </c>
      <c r="C501" s="6">
        <v>11.3287</v>
      </c>
      <c r="D501" s="6">
        <v>11.436500000000001</v>
      </c>
      <c r="E501" s="6">
        <v>11.6591</v>
      </c>
      <c r="F501" s="6">
        <v>11.9902</v>
      </c>
      <c r="G501" s="6">
        <v>12.272</v>
      </c>
      <c r="H501" s="6">
        <v>12.5063</v>
      </c>
      <c r="I501" s="6">
        <v>13.3735</v>
      </c>
      <c r="J501" s="6">
        <v>13.9155</v>
      </c>
      <c r="K501" s="6">
        <v>14.413399999999999</v>
      </c>
      <c r="L501" s="6">
        <v>14.7074</v>
      </c>
      <c r="M501" s="6">
        <v>15.1134</v>
      </c>
      <c r="N501" s="6">
        <v>15.4579</v>
      </c>
      <c r="O501" s="6">
        <v>15.7554</v>
      </c>
      <c r="P501" s="6">
        <v>15.9537</v>
      </c>
      <c r="Q501" s="6"/>
    </row>
    <row r="502" spans="1:17">
      <c r="A502" s="5">
        <v>42192</v>
      </c>
      <c r="B502" s="5" t="str">
        <f t="shared" si="7"/>
        <v>2015 q3</v>
      </c>
      <c r="C502" s="6">
        <v>11.890700000000001</v>
      </c>
      <c r="D502" s="6">
        <v>11.848699999999999</v>
      </c>
      <c r="E502" s="6">
        <v>11.761799999999999</v>
      </c>
      <c r="F502" s="6">
        <v>11.7149</v>
      </c>
      <c r="G502" s="6">
        <v>11.9315</v>
      </c>
      <c r="H502" s="6">
        <v>12.1501</v>
      </c>
      <c r="I502" s="6">
        <v>13.273300000000001</v>
      </c>
      <c r="J502" s="6">
        <v>13.9404</v>
      </c>
      <c r="K502" s="6">
        <v>14.5319</v>
      </c>
      <c r="L502" s="6">
        <v>14.791600000000001</v>
      </c>
      <c r="M502" s="6">
        <v>15.1182</v>
      </c>
      <c r="N502" s="6">
        <v>15.366899999999999</v>
      </c>
      <c r="O502" s="6">
        <v>15.5707</v>
      </c>
      <c r="P502" s="6">
        <v>15.7051</v>
      </c>
      <c r="Q502" s="6"/>
    </row>
    <row r="503" spans="1:17">
      <c r="A503" s="5">
        <v>42193</v>
      </c>
      <c r="B503" s="5" t="str">
        <f t="shared" si="7"/>
        <v>2015 q3</v>
      </c>
      <c r="C503" s="6">
        <v>11.476599999999999</v>
      </c>
      <c r="D503" s="6">
        <v>11.504099999999999</v>
      </c>
      <c r="E503" s="6">
        <v>11.5608</v>
      </c>
      <c r="F503" s="6">
        <v>11.689299999999999</v>
      </c>
      <c r="G503" s="6">
        <v>11.9466</v>
      </c>
      <c r="H503" s="6">
        <v>12.204700000000001</v>
      </c>
      <c r="I503" s="6">
        <v>13.2424</v>
      </c>
      <c r="J503" s="6">
        <v>13.901899999999999</v>
      </c>
      <c r="K503" s="6">
        <v>14.49</v>
      </c>
      <c r="L503" s="6">
        <v>14.7704</v>
      </c>
      <c r="M503" s="6">
        <v>15.1256</v>
      </c>
      <c r="N503" s="6">
        <v>15.3986</v>
      </c>
      <c r="O503" s="6">
        <v>15.6226</v>
      </c>
      <c r="P503" s="6">
        <v>15.770300000000001</v>
      </c>
      <c r="Q503" s="6"/>
    </row>
    <row r="504" spans="1:17">
      <c r="A504" s="5">
        <v>42194</v>
      </c>
      <c r="B504" s="5" t="str">
        <f t="shared" si="7"/>
        <v>2015 q3</v>
      </c>
      <c r="C504" s="6">
        <v>11.4871</v>
      </c>
      <c r="D504" s="6">
        <v>11.510899999999999</v>
      </c>
      <c r="E504" s="6">
        <v>11.559900000000001</v>
      </c>
      <c r="F504" s="6">
        <v>11.6799</v>
      </c>
      <c r="G504" s="6">
        <v>11.9305</v>
      </c>
      <c r="H504" s="6">
        <v>12.182499999999999</v>
      </c>
      <c r="I504" s="6">
        <v>13.2174</v>
      </c>
      <c r="J504" s="6">
        <v>13.885</v>
      </c>
      <c r="K504" s="6">
        <v>14.4796</v>
      </c>
      <c r="L504" s="6">
        <v>14.766</v>
      </c>
      <c r="M504" s="6">
        <v>15.128500000000001</v>
      </c>
      <c r="N504" s="6">
        <v>15.407400000000001</v>
      </c>
      <c r="O504" s="6">
        <v>15.6364</v>
      </c>
      <c r="P504" s="6">
        <v>15.7874</v>
      </c>
      <c r="Q504" s="6"/>
    </row>
    <row r="505" spans="1:17">
      <c r="A505" s="5">
        <v>42195</v>
      </c>
      <c r="B505" s="5" t="str">
        <f t="shared" si="7"/>
        <v>2015 q3</v>
      </c>
      <c r="C505" s="6">
        <v>11.486800000000001</v>
      </c>
      <c r="D505" s="6">
        <v>11.510999999999999</v>
      </c>
      <c r="E505" s="6">
        <v>11.561</v>
      </c>
      <c r="F505" s="6">
        <v>11.6838</v>
      </c>
      <c r="G505" s="6">
        <v>11.9337</v>
      </c>
      <c r="H505" s="6">
        <v>12.1853</v>
      </c>
      <c r="I505" s="6">
        <v>13.2165</v>
      </c>
      <c r="J505" s="6">
        <v>13.884399999999999</v>
      </c>
      <c r="K505" s="6">
        <v>14.478400000000001</v>
      </c>
      <c r="L505" s="6">
        <v>14.765599999999999</v>
      </c>
      <c r="M505" s="6">
        <v>15.1288</v>
      </c>
      <c r="N505" s="6">
        <v>15.4085</v>
      </c>
      <c r="O505" s="6">
        <v>15.6381</v>
      </c>
      <c r="P505" s="6">
        <v>15.7896</v>
      </c>
      <c r="Q505" s="6"/>
    </row>
    <row r="506" spans="1:17">
      <c r="A506" s="5">
        <v>42198</v>
      </c>
      <c r="B506" s="5" t="str">
        <f t="shared" si="7"/>
        <v>2015 q3</v>
      </c>
      <c r="C506" s="6">
        <v>11.4764</v>
      </c>
      <c r="D506" s="6">
        <v>11.5047</v>
      </c>
      <c r="E506" s="6">
        <v>11.5631</v>
      </c>
      <c r="F506" s="6">
        <v>11.695499999999999</v>
      </c>
      <c r="G506" s="6">
        <v>11.940300000000001</v>
      </c>
      <c r="H506" s="6">
        <v>12.187099999999999</v>
      </c>
      <c r="I506" s="6">
        <v>13.201499999999999</v>
      </c>
      <c r="J506" s="6">
        <v>13.876799999999999</v>
      </c>
      <c r="K506" s="6">
        <v>14.4779</v>
      </c>
      <c r="L506" s="6">
        <v>14.776199999999999</v>
      </c>
      <c r="M506" s="6">
        <v>15.154400000000001</v>
      </c>
      <c r="N506" s="6">
        <v>15.4466</v>
      </c>
      <c r="O506" s="6">
        <v>15.6868</v>
      </c>
      <c r="P506" s="6">
        <v>15.8453</v>
      </c>
      <c r="Q506" s="6"/>
    </row>
    <row r="507" spans="1:17">
      <c r="A507" s="5">
        <v>42199</v>
      </c>
      <c r="B507" s="5" t="str">
        <f t="shared" si="7"/>
        <v>2015 q3</v>
      </c>
      <c r="C507" s="6">
        <v>11.4864</v>
      </c>
      <c r="D507" s="6">
        <v>11.5122</v>
      </c>
      <c r="E507" s="6">
        <v>11.565300000000001</v>
      </c>
      <c r="F507" s="6">
        <v>11.698700000000001</v>
      </c>
      <c r="G507" s="6">
        <v>11.9475</v>
      </c>
      <c r="H507" s="6">
        <v>12.1991</v>
      </c>
      <c r="I507" s="6">
        <v>13.2193</v>
      </c>
      <c r="J507" s="6">
        <v>13.887</v>
      </c>
      <c r="K507" s="6">
        <v>14.4771</v>
      </c>
      <c r="L507" s="6">
        <v>14.7658</v>
      </c>
      <c r="M507" s="6">
        <v>15.129300000000001</v>
      </c>
      <c r="N507" s="6">
        <v>15.409599999999999</v>
      </c>
      <c r="O507" s="6">
        <v>15.64</v>
      </c>
      <c r="P507" s="6">
        <v>15.7921</v>
      </c>
      <c r="Q507" s="6"/>
    </row>
    <row r="508" spans="1:17">
      <c r="A508" s="5">
        <v>42200</v>
      </c>
      <c r="B508" s="5" t="str">
        <f t="shared" si="7"/>
        <v>2015 q3</v>
      </c>
      <c r="C508" s="6">
        <v>11.503399999999999</v>
      </c>
      <c r="D508" s="6">
        <v>11.523899999999999</v>
      </c>
      <c r="E508" s="6">
        <v>11.5663</v>
      </c>
      <c r="F508" s="6">
        <v>11.682399999999999</v>
      </c>
      <c r="G508" s="6">
        <v>11.9061</v>
      </c>
      <c r="H508" s="6">
        <v>12.134399999999999</v>
      </c>
      <c r="I508" s="6">
        <v>13.1251</v>
      </c>
      <c r="J508" s="6">
        <v>13.8217</v>
      </c>
      <c r="K508" s="6">
        <v>14.450100000000001</v>
      </c>
      <c r="L508" s="6">
        <v>14.7958</v>
      </c>
      <c r="M508" s="6">
        <v>15.1668</v>
      </c>
      <c r="N508" s="6">
        <v>15.482900000000001</v>
      </c>
      <c r="O508" s="6">
        <v>15.7432</v>
      </c>
      <c r="P508" s="6">
        <v>15.915100000000001</v>
      </c>
      <c r="Q508" s="6"/>
    </row>
    <row r="509" spans="1:17">
      <c r="A509" s="5">
        <v>42201</v>
      </c>
      <c r="B509" s="5" t="str">
        <f t="shared" si="7"/>
        <v>2015 q3</v>
      </c>
      <c r="C509" s="6">
        <v>11.4947</v>
      </c>
      <c r="D509" s="6">
        <v>11.5182</v>
      </c>
      <c r="E509" s="6">
        <v>11.566800000000001</v>
      </c>
      <c r="F509" s="6">
        <v>11.693899999999999</v>
      </c>
      <c r="G509" s="6">
        <v>11.927099999999999</v>
      </c>
      <c r="H509" s="6">
        <v>12.1647</v>
      </c>
      <c r="I509" s="6">
        <v>13.163600000000001</v>
      </c>
      <c r="J509" s="6">
        <v>13.8497</v>
      </c>
      <c r="K509" s="6">
        <v>14.4663</v>
      </c>
      <c r="L509" s="6">
        <v>14.7997</v>
      </c>
      <c r="M509" s="6">
        <v>15.1554</v>
      </c>
      <c r="N509" s="6">
        <v>15.458</v>
      </c>
      <c r="O509" s="6">
        <v>15.707100000000001</v>
      </c>
      <c r="P509" s="6">
        <v>15.871600000000001</v>
      </c>
      <c r="Q509" s="6"/>
    </row>
    <row r="510" spans="1:17">
      <c r="A510" s="5">
        <v>42202</v>
      </c>
      <c r="B510" s="5" t="str">
        <f t="shared" si="7"/>
        <v>2015 q3</v>
      </c>
      <c r="C510" s="6">
        <v>11.4764</v>
      </c>
      <c r="D510" s="6">
        <v>11.5069</v>
      </c>
      <c r="E510" s="6">
        <v>11.569900000000001</v>
      </c>
      <c r="F510" s="6">
        <v>11.7125</v>
      </c>
      <c r="G510" s="6">
        <v>11.944800000000001</v>
      </c>
      <c r="H510" s="6">
        <v>12.1813</v>
      </c>
      <c r="I510" s="6">
        <v>13.1645</v>
      </c>
      <c r="J510" s="6">
        <v>13.857100000000001</v>
      </c>
      <c r="K510" s="6">
        <v>14.4808</v>
      </c>
      <c r="L510" s="6">
        <v>14.827199999999999</v>
      </c>
      <c r="M510" s="6">
        <v>15.2003</v>
      </c>
      <c r="N510" s="6">
        <v>15.518599999999999</v>
      </c>
      <c r="O510" s="6">
        <v>15.780900000000001</v>
      </c>
      <c r="P510" s="6">
        <v>15.9543</v>
      </c>
      <c r="Q510" s="6"/>
    </row>
    <row r="511" spans="1:17">
      <c r="A511" s="5">
        <v>42203</v>
      </c>
      <c r="B511" s="5" t="str">
        <f t="shared" si="7"/>
        <v>2015 q3</v>
      </c>
      <c r="C511" s="6">
        <v>11.455</v>
      </c>
      <c r="D511" s="6">
        <v>11.4939</v>
      </c>
      <c r="E511" s="6">
        <v>11.5741</v>
      </c>
      <c r="F511" s="6">
        <v>11.7332</v>
      </c>
      <c r="G511" s="6">
        <v>11.960599999999999</v>
      </c>
      <c r="H511" s="6">
        <v>12.191800000000001</v>
      </c>
      <c r="I511" s="6">
        <v>13.137499999999999</v>
      </c>
      <c r="J511" s="6">
        <v>13.8269</v>
      </c>
      <c r="K511" s="6">
        <v>14.44</v>
      </c>
      <c r="L511" s="6">
        <v>14.775700000000001</v>
      </c>
      <c r="M511" s="6">
        <v>15.2051</v>
      </c>
      <c r="N511" s="6">
        <v>15.5434</v>
      </c>
      <c r="O511" s="6">
        <v>15.8231</v>
      </c>
      <c r="P511" s="6">
        <v>16.007999999999999</v>
      </c>
      <c r="Q511" s="6"/>
    </row>
    <row r="512" spans="1:17">
      <c r="A512" s="5">
        <v>42205</v>
      </c>
      <c r="B512" s="5" t="str">
        <f t="shared" si="7"/>
        <v>2015 q3</v>
      </c>
      <c r="C512" s="6">
        <v>11.4742</v>
      </c>
      <c r="D512" s="6">
        <v>11.513</v>
      </c>
      <c r="E512" s="6">
        <v>11.593</v>
      </c>
      <c r="F512" s="6">
        <v>11.7536</v>
      </c>
      <c r="G512" s="6">
        <v>11.982799999999999</v>
      </c>
      <c r="H512" s="6">
        <v>12.2156</v>
      </c>
      <c r="I512" s="6">
        <v>13.1561</v>
      </c>
      <c r="J512" s="6">
        <v>13.831200000000001</v>
      </c>
      <c r="K512" s="6">
        <v>14.429399999999999</v>
      </c>
      <c r="L512" s="6">
        <v>14.7523</v>
      </c>
      <c r="M512" s="6">
        <v>15.1633</v>
      </c>
      <c r="N512" s="6">
        <v>15.486000000000001</v>
      </c>
      <c r="O512" s="6">
        <v>15.7525</v>
      </c>
      <c r="P512" s="6">
        <v>15.928800000000001</v>
      </c>
      <c r="Q512" s="6"/>
    </row>
    <row r="513" spans="1:17">
      <c r="A513" s="5">
        <v>42206</v>
      </c>
      <c r="B513" s="5" t="str">
        <f t="shared" si="7"/>
        <v>2015 q3</v>
      </c>
      <c r="C513" s="6">
        <v>11.442299999999999</v>
      </c>
      <c r="D513" s="6">
        <v>11.4978</v>
      </c>
      <c r="E513" s="6">
        <v>11.612399999999999</v>
      </c>
      <c r="F513" s="6">
        <v>11.7857</v>
      </c>
      <c r="G513" s="6">
        <v>12.0236</v>
      </c>
      <c r="H513" s="6">
        <v>12.2624</v>
      </c>
      <c r="I513" s="6">
        <v>13.164400000000001</v>
      </c>
      <c r="J513" s="6">
        <v>13.8241</v>
      </c>
      <c r="K513" s="6">
        <v>14.409800000000001</v>
      </c>
      <c r="L513" s="6">
        <v>14.7387</v>
      </c>
      <c r="M513" s="6">
        <v>15.161</v>
      </c>
      <c r="N513" s="6">
        <v>15.4963</v>
      </c>
      <c r="O513" s="6">
        <v>15.7743</v>
      </c>
      <c r="P513" s="6">
        <v>15.958399999999999</v>
      </c>
      <c r="Q513" s="6"/>
    </row>
    <row r="514" spans="1:17">
      <c r="A514" s="5">
        <v>42207</v>
      </c>
      <c r="B514" s="5" t="str">
        <f t="shared" si="7"/>
        <v>2015 q3</v>
      </c>
      <c r="C514" s="6">
        <v>11.4488</v>
      </c>
      <c r="D514" s="6">
        <v>11.4954</v>
      </c>
      <c r="E514" s="6">
        <v>11.5915</v>
      </c>
      <c r="F514" s="6">
        <v>11.7392</v>
      </c>
      <c r="G514" s="6">
        <v>11.9916</v>
      </c>
      <c r="H514" s="6">
        <v>12.246600000000001</v>
      </c>
      <c r="I514" s="6">
        <v>13.2601</v>
      </c>
      <c r="J514" s="6">
        <v>14.027799999999999</v>
      </c>
      <c r="K514" s="6">
        <v>14.532299999999999</v>
      </c>
      <c r="L514" s="6">
        <v>14.8565</v>
      </c>
      <c r="M514" s="6">
        <v>15.2661</v>
      </c>
      <c r="N514" s="6">
        <v>15.586600000000001</v>
      </c>
      <c r="O514" s="6">
        <v>15.851000000000001</v>
      </c>
      <c r="P514" s="6">
        <v>16.0261</v>
      </c>
      <c r="Q514" s="6"/>
    </row>
    <row r="515" spans="1:17">
      <c r="A515" s="5">
        <v>42208</v>
      </c>
      <c r="B515" s="5" t="str">
        <f t="shared" ref="B515:B578" si="8">YEAR(A515)&amp;" q"&amp;ROUNDUP(MONTH(A515)/3,0)</f>
        <v>2015 q3</v>
      </c>
      <c r="C515" s="6">
        <v>11.295</v>
      </c>
      <c r="D515" s="6">
        <v>11.3605</v>
      </c>
      <c r="E515" s="6">
        <v>11.495799999999999</v>
      </c>
      <c r="F515" s="6">
        <v>11.701499999999999</v>
      </c>
      <c r="G515" s="6">
        <v>11.965400000000001</v>
      </c>
      <c r="H515" s="6">
        <v>12.228999999999999</v>
      </c>
      <c r="I515" s="6">
        <v>13.2264</v>
      </c>
      <c r="J515" s="6">
        <v>13.9931</v>
      </c>
      <c r="K515" s="6">
        <v>14.5139</v>
      </c>
      <c r="L515" s="6">
        <v>14.8591</v>
      </c>
      <c r="M515" s="6">
        <v>15.300599999999999</v>
      </c>
      <c r="N515" s="6">
        <v>15.6509</v>
      </c>
      <c r="O515" s="6">
        <v>15.9413</v>
      </c>
      <c r="P515" s="6">
        <v>16.133600000000001</v>
      </c>
      <c r="Q515" s="6"/>
    </row>
    <row r="516" spans="1:17">
      <c r="A516" s="5">
        <v>42209</v>
      </c>
      <c r="B516" s="5" t="str">
        <f t="shared" si="8"/>
        <v>2015 q3</v>
      </c>
      <c r="C516" s="6">
        <v>11.200900000000001</v>
      </c>
      <c r="D516" s="6">
        <v>11.2956</v>
      </c>
      <c r="E516" s="6">
        <v>11.491099999999999</v>
      </c>
      <c r="F516" s="6">
        <v>11.7828</v>
      </c>
      <c r="G516" s="6">
        <v>12.043900000000001</v>
      </c>
      <c r="H516" s="6">
        <v>12.2966</v>
      </c>
      <c r="I516" s="6">
        <v>13.118399999999999</v>
      </c>
      <c r="J516" s="6">
        <v>13.74</v>
      </c>
      <c r="K516" s="6">
        <v>14.3088</v>
      </c>
      <c r="L516" s="6">
        <v>14.703200000000001</v>
      </c>
      <c r="M516" s="6">
        <v>15.2782</v>
      </c>
      <c r="N516" s="6">
        <v>15.815200000000001</v>
      </c>
      <c r="O516" s="6">
        <v>16.318999999999999</v>
      </c>
      <c r="P516" s="6">
        <v>16.668299999999999</v>
      </c>
      <c r="Q516" s="6"/>
    </row>
    <row r="517" spans="1:17">
      <c r="A517" s="5">
        <v>42212</v>
      </c>
      <c r="B517" s="5" t="str">
        <f t="shared" si="8"/>
        <v>2015 q3</v>
      </c>
      <c r="C517" s="6">
        <v>11.2507</v>
      </c>
      <c r="D517" s="6">
        <v>11.332700000000001</v>
      </c>
      <c r="E517" s="6">
        <v>11.502000000000001</v>
      </c>
      <c r="F517" s="6">
        <v>11.756</v>
      </c>
      <c r="G517" s="6">
        <v>12.008800000000001</v>
      </c>
      <c r="H517" s="6">
        <v>12.2569</v>
      </c>
      <c r="I517" s="6">
        <v>13.1188</v>
      </c>
      <c r="J517" s="6">
        <v>13.778700000000001</v>
      </c>
      <c r="K517" s="6">
        <v>14.372999999999999</v>
      </c>
      <c r="L517" s="6">
        <v>14.754300000000001</v>
      </c>
      <c r="M517" s="6">
        <v>15.269600000000001</v>
      </c>
      <c r="N517" s="6">
        <v>15.704800000000001</v>
      </c>
      <c r="O517" s="6">
        <v>16.077100000000002</v>
      </c>
      <c r="P517" s="6">
        <v>16.325099999999999</v>
      </c>
      <c r="Q517" s="6"/>
    </row>
    <row r="518" spans="1:17">
      <c r="A518" s="5">
        <v>42213</v>
      </c>
      <c r="B518" s="5" t="str">
        <f t="shared" si="8"/>
        <v>2015 q3</v>
      </c>
      <c r="C518" s="6">
        <v>11.4278</v>
      </c>
      <c r="D518" s="6">
        <v>11.4727</v>
      </c>
      <c r="E518" s="6">
        <v>11.5654</v>
      </c>
      <c r="F518" s="6">
        <v>11.714700000000001</v>
      </c>
      <c r="G518" s="6">
        <v>11.957599999999999</v>
      </c>
      <c r="H518" s="6">
        <v>12.2087</v>
      </c>
      <c r="I518" s="6">
        <v>13.252000000000001</v>
      </c>
      <c r="J518" s="6">
        <v>14.0421</v>
      </c>
      <c r="K518" s="6">
        <v>14.5535</v>
      </c>
      <c r="L518" s="6">
        <v>14.8804</v>
      </c>
      <c r="M518" s="6">
        <v>15.2881</v>
      </c>
      <c r="N518" s="6">
        <v>15.6058</v>
      </c>
      <c r="O518" s="6">
        <v>15.867900000000001</v>
      </c>
      <c r="P518" s="6">
        <v>16.041599999999999</v>
      </c>
      <c r="Q518" s="6"/>
    </row>
    <row r="519" spans="1:17">
      <c r="A519" s="5">
        <v>42214</v>
      </c>
      <c r="B519" s="5" t="str">
        <f t="shared" si="8"/>
        <v>2015 q3</v>
      </c>
      <c r="C519" s="6">
        <v>11.1828</v>
      </c>
      <c r="D519" s="6">
        <v>11.2798</v>
      </c>
      <c r="E519" s="6">
        <v>11.48</v>
      </c>
      <c r="F519" s="6">
        <v>11.777200000000001</v>
      </c>
      <c r="G519" s="6">
        <v>12.0488</v>
      </c>
      <c r="H519" s="6">
        <v>12.3085</v>
      </c>
      <c r="I519" s="6">
        <v>13.1424</v>
      </c>
      <c r="J519" s="6">
        <v>13.7616</v>
      </c>
      <c r="K519" s="6">
        <v>14.3217</v>
      </c>
      <c r="L519" s="6">
        <v>14.7011</v>
      </c>
      <c r="M519" s="6">
        <v>15.2423</v>
      </c>
      <c r="N519" s="6">
        <v>15.736499999999999</v>
      </c>
      <c r="O519" s="6">
        <v>16.1905</v>
      </c>
      <c r="P519" s="6">
        <v>16.502400000000002</v>
      </c>
      <c r="Q519" s="6"/>
    </row>
    <row r="520" spans="1:17">
      <c r="A520" s="5">
        <v>42215</v>
      </c>
      <c r="B520" s="5" t="str">
        <f t="shared" si="8"/>
        <v>2015 q3</v>
      </c>
      <c r="C520" s="6">
        <v>11.186500000000001</v>
      </c>
      <c r="D520" s="6">
        <v>11.2835</v>
      </c>
      <c r="E520" s="6">
        <v>11.483700000000001</v>
      </c>
      <c r="F520" s="6">
        <v>11.7807</v>
      </c>
      <c r="G520" s="6">
        <v>12.052199999999999</v>
      </c>
      <c r="H520" s="6">
        <v>12.311400000000001</v>
      </c>
      <c r="I520" s="6">
        <v>13.144600000000001</v>
      </c>
      <c r="J520" s="6">
        <v>13.763500000000001</v>
      </c>
      <c r="K520" s="6">
        <v>14.322900000000001</v>
      </c>
      <c r="L520" s="6">
        <v>14.7021</v>
      </c>
      <c r="M520" s="6">
        <v>15.242599999999999</v>
      </c>
      <c r="N520" s="6">
        <v>15.7361</v>
      </c>
      <c r="O520" s="6">
        <v>16.189599999999999</v>
      </c>
      <c r="P520" s="6">
        <v>16.501100000000001</v>
      </c>
      <c r="Q520" s="6"/>
    </row>
    <row r="521" spans="1:17">
      <c r="A521" s="5">
        <v>42216</v>
      </c>
      <c r="B521" s="5" t="str">
        <f t="shared" si="8"/>
        <v>2015 q3</v>
      </c>
      <c r="C521" s="6">
        <v>11.8622</v>
      </c>
      <c r="D521" s="6">
        <v>11.805400000000001</v>
      </c>
      <c r="E521" s="6">
        <v>11.6882</v>
      </c>
      <c r="F521" s="6">
        <v>11.5449</v>
      </c>
      <c r="G521" s="6">
        <v>11.706799999999999</v>
      </c>
      <c r="H521" s="6">
        <v>11.998799999999999</v>
      </c>
      <c r="I521" s="6">
        <v>13.2325</v>
      </c>
      <c r="J521" s="6">
        <v>14.1145</v>
      </c>
      <c r="K521" s="6">
        <v>14.6289</v>
      </c>
      <c r="L521" s="6">
        <v>14.9374</v>
      </c>
      <c r="M521" s="6">
        <v>15.312900000000001</v>
      </c>
      <c r="N521" s="6">
        <v>15.6005</v>
      </c>
      <c r="O521" s="6">
        <v>15.8371</v>
      </c>
      <c r="P521" s="6">
        <v>15.994</v>
      </c>
      <c r="Q521" s="6"/>
    </row>
    <row r="522" spans="1:17">
      <c r="A522" s="5">
        <v>42219</v>
      </c>
      <c r="B522" s="5" t="str">
        <f t="shared" si="8"/>
        <v>2015 q3</v>
      </c>
      <c r="C522" s="6">
        <v>11.7674</v>
      </c>
      <c r="D522" s="6">
        <v>11.7326</v>
      </c>
      <c r="E522" s="6">
        <v>11.6608</v>
      </c>
      <c r="F522" s="6">
        <v>11.578099999999999</v>
      </c>
      <c r="G522" s="6">
        <v>11.716200000000001</v>
      </c>
      <c r="H522" s="6">
        <v>11.9701</v>
      </c>
      <c r="I522" s="6">
        <v>13.0367</v>
      </c>
      <c r="J522" s="6">
        <v>13.835699999999999</v>
      </c>
      <c r="K522" s="6">
        <v>14.520099999999999</v>
      </c>
      <c r="L522" s="6">
        <v>14.8681</v>
      </c>
      <c r="M522" s="6">
        <v>15.295299999999999</v>
      </c>
      <c r="N522" s="6">
        <v>15.625400000000001</v>
      </c>
      <c r="O522" s="6">
        <v>15.8973</v>
      </c>
      <c r="P522" s="6">
        <v>16.0777</v>
      </c>
      <c r="Q522" s="6"/>
    </row>
    <row r="523" spans="1:17">
      <c r="A523" s="5">
        <v>42220</v>
      </c>
      <c r="B523" s="5" t="str">
        <f t="shared" si="8"/>
        <v>2015 q3</v>
      </c>
      <c r="C523" s="6">
        <v>11.278499999999999</v>
      </c>
      <c r="D523" s="6">
        <v>11.350099999999999</v>
      </c>
      <c r="E523" s="6">
        <v>11.498699999999999</v>
      </c>
      <c r="F523" s="6">
        <v>11.731400000000001</v>
      </c>
      <c r="G523" s="6">
        <v>11.9687</v>
      </c>
      <c r="H523" s="6">
        <v>12.2057</v>
      </c>
      <c r="I523" s="6">
        <v>13.0467</v>
      </c>
      <c r="J523" s="6">
        <v>13.721500000000001</v>
      </c>
      <c r="K523" s="6">
        <v>14.3248</v>
      </c>
      <c r="L523" s="6">
        <v>14.726800000000001</v>
      </c>
      <c r="M523" s="6">
        <v>15.269399999999999</v>
      </c>
      <c r="N523" s="6">
        <v>15.7323</v>
      </c>
      <c r="O523" s="6">
        <v>16.1309</v>
      </c>
      <c r="P523" s="6">
        <v>16.397500000000001</v>
      </c>
      <c r="Q523" s="6"/>
    </row>
    <row r="524" spans="1:17">
      <c r="A524" s="5">
        <v>42221</v>
      </c>
      <c r="B524" s="5" t="str">
        <f t="shared" si="8"/>
        <v>2015 q3</v>
      </c>
      <c r="C524" s="6">
        <v>11.289</v>
      </c>
      <c r="D524" s="6">
        <v>11.3567</v>
      </c>
      <c r="E524" s="6">
        <v>11.4978</v>
      </c>
      <c r="F524" s="6">
        <v>11.724</v>
      </c>
      <c r="G524" s="6">
        <v>11.959300000000001</v>
      </c>
      <c r="H524" s="6">
        <v>12.1943</v>
      </c>
      <c r="I524" s="6">
        <v>13.043100000000001</v>
      </c>
      <c r="J524" s="6">
        <v>13.726599999999999</v>
      </c>
      <c r="K524" s="6">
        <v>14.335699999999999</v>
      </c>
      <c r="L524" s="6">
        <v>14.738899999999999</v>
      </c>
      <c r="M524" s="6">
        <v>15.2791</v>
      </c>
      <c r="N524" s="6">
        <v>15.736700000000001</v>
      </c>
      <c r="O524" s="6">
        <v>16.129000000000001</v>
      </c>
      <c r="P524" s="6">
        <v>16.390999999999998</v>
      </c>
      <c r="Q524" s="6"/>
    </row>
    <row r="525" spans="1:17">
      <c r="A525" s="5">
        <v>42222</v>
      </c>
      <c r="B525" s="5" t="str">
        <f t="shared" si="8"/>
        <v>2015 q3</v>
      </c>
      <c r="C525" s="6">
        <v>11.3163</v>
      </c>
      <c r="D525" s="6">
        <v>11.3733</v>
      </c>
      <c r="E525" s="6">
        <v>11.493399999999999</v>
      </c>
      <c r="F525" s="6">
        <v>11.698499999999999</v>
      </c>
      <c r="G525" s="6">
        <v>11.922499999999999</v>
      </c>
      <c r="H525" s="6">
        <v>12.1465</v>
      </c>
      <c r="I525" s="6">
        <v>12.9968</v>
      </c>
      <c r="J525" s="6">
        <v>13.6959</v>
      </c>
      <c r="K525" s="6">
        <v>14.3185</v>
      </c>
      <c r="L525" s="6">
        <v>14.731999999999999</v>
      </c>
      <c r="M525" s="6">
        <v>15.283799999999999</v>
      </c>
      <c r="N525" s="6">
        <v>15.7494</v>
      </c>
      <c r="O525" s="6">
        <v>16.147400000000001</v>
      </c>
      <c r="P525" s="6">
        <v>16.4132</v>
      </c>
      <c r="Q525" s="6"/>
    </row>
    <row r="526" spans="1:17">
      <c r="A526" s="5">
        <v>42223</v>
      </c>
      <c r="B526" s="5" t="str">
        <f t="shared" si="8"/>
        <v>2015 q3</v>
      </c>
      <c r="C526" s="6">
        <v>11.3224</v>
      </c>
      <c r="D526" s="6">
        <v>11.3787</v>
      </c>
      <c r="E526" s="6">
        <v>11.498100000000001</v>
      </c>
      <c r="F526" s="6">
        <v>11.704499999999999</v>
      </c>
      <c r="G526" s="6">
        <v>11.931100000000001</v>
      </c>
      <c r="H526" s="6">
        <v>12.1578</v>
      </c>
      <c r="I526" s="6">
        <v>13.012499999999999</v>
      </c>
      <c r="J526" s="6">
        <v>13.705399999999999</v>
      </c>
      <c r="K526" s="6">
        <v>14.3187</v>
      </c>
      <c r="L526" s="6">
        <v>14.717700000000001</v>
      </c>
      <c r="M526" s="6">
        <v>15.2439</v>
      </c>
      <c r="N526" s="6">
        <v>15.6831</v>
      </c>
      <c r="O526" s="6">
        <v>16.0562</v>
      </c>
      <c r="P526" s="6">
        <v>16.305099999999999</v>
      </c>
      <c r="Q526" s="6"/>
    </row>
    <row r="527" spans="1:17">
      <c r="A527" s="5">
        <v>42226</v>
      </c>
      <c r="B527" s="5" t="str">
        <f t="shared" si="8"/>
        <v>2015 q3</v>
      </c>
      <c r="C527" s="6">
        <v>11.2729</v>
      </c>
      <c r="D527" s="6">
        <v>11.3506</v>
      </c>
      <c r="E527" s="6">
        <v>11.5115</v>
      </c>
      <c r="F527" s="6">
        <v>11.7563</v>
      </c>
      <c r="G527" s="6">
        <v>12</v>
      </c>
      <c r="H527" s="6">
        <v>12.2425</v>
      </c>
      <c r="I527" s="6">
        <v>13.081</v>
      </c>
      <c r="J527" s="6">
        <v>13.749599999999999</v>
      </c>
      <c r="K527" s="6">
        <v>14.344799999999999</v>
      </c>
      <c r="L527" s="6">
        <v>14.7446</v>
      </c>
      <c r="M527" s="6">
        <v>15.285299999999999</v>
      </c>
      <c r="N527" s="6">
        <v>15.749599999999999</v>
      </c>
      <c r="O527" s="6">
        <v>16.151700000000002</v>
      </c>
      <c r="P527" s="6">
        <v>16.421099999999999</v>
      </c>
      <c r="Q527" s="6"/>
    </row>
    <row r="528" spans="1:17">
      <c r="A528" s="5">
        <v>42227</v>
      </c>
      <c r="B528" s="5" t="str">
        <f t="shared" si="8"/>
        <v>2015 q3</v>
      </c>
      <c r="C528" s="6">
        <v>11.216200000000001</v>
      </c>
      <c r="D528" s="6">
        <v>11.3172</v>
      </c>
      <c r="E528" s="6">
        <v>11.523</v>
      </c>
      <c r="F528" s="6">
        <v>11.813000000000001</v>
      </c>
      <c r="G528" s="6">
        <v>12.086399999999999</v>
      </c>
      <c r="H528" s="6">
        <v>12.315300000000001</v>
      </c>
      <c r="I528" s="6">
        <v>13.1477</v>
      </c>
      <c r="J528" s="6">
        <v>13.767099999999999</v>
      </c>
      <c r="K528" s="6">
        <v>14.3203</v>
      </c>
      <c r="L528" s="6">
        <v>14.7042</v>
      </c>
      <c r="M528" s="6">
        <v>15.249700000000001</v>
      </c>
      <c r="N528" s="6">
        <v>15.7522</v>
      </c>
      <c r="O528" s="6">
        <v>16.218399999999999</v>
      </c>
      <c r="P528" s="6">
        <v>16.540800000000001</v>
      </c>
      <c r="Q528" s="6"/>
    </row>
    <row r="529" spans="1:17">
      <c r="A529" s="5">
        <v>42228</v>
      </c>
      <c r="B529" s="5" t="str">
        <f t="shared" si="8"/>
        <v>2015 q3</v>
      </c>
      <c r="C529" s="6">
        <v>11.2219</v>
      </c>
      <c r="D529" s="6">
        <v>11.3233</v>
      </c>
      <c r="E529" s="6">
        <v>11.5298</v>
      </c>
      <c r="F529" s="6">
        <v>11.820600000000001</v>
      </c>
      <c r="G529" s="6">
        <v>12.0945</v>
      </c>
      <c r="H529" s="6">
        <v>12.3238</v>
      </c>
      <c r="I529" s="6">
        <v>13.1562</v>
      </c>
      <c r="J529" s="6">
        <v>13.774699999999999</v>
      </c>
      <c r="K529" s="6">
        <v>14.326000000000001</v>
      </c>
      <c r="L529" s="6">
        <v>14.7079</v>
      </c>
      <c r="M529" s="6">
        <v>15.248900000000001</v>
      </c>
      <c r="N529" s="6">
        <v>15.7462</v>
      </c>
      <c r="O529" s="6">
        <v>16.206600000000002</v>
      </c>
      <c r="P529" s="6">
        <v>16.524799999999999</v>
      </c>
      <c r="Q529" s="6"/>
    </row>
    <row r="530" spans="1:17">
      <c r="A530" s="5">
        <v>42229</v>
      </c>
      <c r="B530" s="5" t="str">
        <f t="shared" si="8"/>
        <v>2015 q3</v>
      </c>
      <c r="C530" s="6">
        <v>11.224399999999999</v>
      </c>
      <c r="D530" s="6">
        <v>11.326599999999999</v>
      </c>
      <c r="E530" s="6">
        <v>11.5343</v>
      </c>
      <c r="F530" s="6">
        <v>11.826700000000001</v>
      </c>
      <c r="G530" s="6">
        <v>12.1015</v>
      </c>
      <c r="H530" s="6">
        <v>12.3316</v>
      </c>
      <c r="I530" s="6">
        <v>13.1654</v>
      </c>
      <c r="J530" s="6">
        <v>13.7836</v>
      </c>
      <c r="K530" s="6">
        <v>14.333399999999999</v>
      </c>
      <c r="L530" s="6">
        <v>14.7134</v>
      </c>
      <c r="M530" s="6">
        <v>15.25</v>
      </c>
      <c r="N530" s="6">
        <v>15.7417</v>
      </c>
      <c r="O530" s="6">
        <v>16.195900000000002</v>
      </c>
      <c r="P530" s="6">
        <v>16.509399999999999</v>
      </c>
      <c r="Q530" s="6"/>
    </row>
    <row r="531" spans="1:17">
      <c r="A531" s="5">
        <v>42230</v>
      </c>
      <c r="B531" s="5" t="str">
        <f t="shared" si="8"/>
        <v>2015 q3</v>
      </c>
      <c r="C531" s="6">
        <v>11.258100000000001</v>
      </c>
      <c r="D531" s="6">
        <v>11.3485</v>
      </c>
      <c r="E531" s="6">
        <v>11.5342</v>
      </c>
      <c r="F531" s="6">
        <v>11.8057</v>
      </c>
      <c r="G531" s="6">
        <v>12.069100000000001</v>
      </c>
      <c r="H531" s="6">
        <v>12.303699999999999</v>
      </c>
      <c r="I531" s="6">
        <v>13.161899999999999</v>
      </c>
      <c r="J531" s="6">
        <v>13.823399999999999</v>
      </c>
      <c r="K531" s="6">
        <v>14.4086</v>
      </c>
      <c r="L531" s="6">
        <v>14.806900000000001</v>
      </c>
      <c r="M531" s="6">
        <v>15.349</v>
      </c>
      <c r="N531" s="6">
        <v>15.8218</v>
      </c>
      <c r="O531" s="6">
        <v>16.236599999999999</v>
      </c>
      <c r="P531" s="6">
        <v>16.516100000000002</v>
      </c>
      <c r="Q531" s="6"/>
    </row>
    <row r="532" spans="1:17">
      <c r="A532" s="5">
        <v>42233</v>
      </c>
      <c r="B532" s="5" t="str">
        <f t="shared" si="8"/>
        <v>2015 q3</v>
      </c>
      <c r="C532" s="6">
        <v>11.231299999999999</v>
      </c>
      <c r="D532" s="6">
        <v>11.333600000000001</v>
      </c>
      <c r="E532" s="6">
        <v>11.5412</v>
      </c>
      <c r="F532" s="6">
        <v>11.833399999999999</v>
      </c>
      <c r="G532" s="6">
        <v>12.1076</v>
      </c>
      <c r="H532" s="6">
        <v>12.338100000000001</v>
      </c>
      <c r="I532" s="6">
        <v>13.171799999999999</v>
      </c>
      <c r="J532" s="6">
        <v>13.791399999999999</v>
      </c>
      <c r="K532" s="6">
        <v>14.3414</v>
      </c>
      <c r="L532" s="6">
        <v>14.7225</v>
      </c>
      <c r="M532" s="6">
        <v>15.260199999999999</v>
      </c>
      <c r="N532" s="6">
        <v>15.753299999999999</v>
      </c>
      <c r="O532" s="6">
        <v>16.209099999999999</v>
      </c>
      <c r="P532" s="6">
        <v>16.524100000000001</v>
      </c>
      <c r="Q532" s="6"/>
    </row>
    <row r="533" spans="1:17">
      <c r="A533" s="5">
        <v>42234</v>
      </c>
      <c r="B533" s="5" t="str">
        <f t="shared" si="8"/>
        <v>2015 q3</v>
      </c>
      <c r="C533" s="6">
        <v>11.228999999999999</v>
      </c>
      <c r="D533" s="6">
        <v>11.327199999999999</v>
      </c>
      <c r="E533" s="6">
        <v>11.5299</v>
      </c>
      <c r="F533" s="6">
        <v>11.833500000000001</v>
      </c>
      <c r="G533" s="6">
        <v>12.110200000000001</v>
      </c>
      <c r="H533" s="6">
        <v>12.344900000000001</v>
      </c>
      <c r="I533" s="6">
        <v>13.1882</v>
      </c>
      <c r="J533" s="6">
        <v>13.809100000000001</v>
      </c>
      <c r="K533" s="6">
        <v>14.356199999999999</v>
      </c>
      <c r="L533" s="6">
        <v>14.731299999999999</v>
      </c>
      <c r="M533" s="6">
        <v>15.254</v>
      </c>
      <c r="N533" s="6">
        <v>15.728199999999999</v>
      </c>
      <c r="O533" s="6">
        <v>16.162199999999999</v>
      </c>
      <c r="P533" s="6">
        <v>16.460899999999999</v>
      </c>
      <c r="Q533" s="6"/>
    </row>
    <row r="534" spans="1:17">
      <c r="A534" s="5">
        <v>42235</v>
      </c>
      <c r="B534" s="5" t="str">
        <f t="shared" si="8"/>
        <v>2015 q3</v>
      </c>
      <c r="C534" s="6">
        <v>11.318300000000001</v>
      </c>
      <c r="D534" s="6">
        <v>11.3931</v>
      </c>
      <c r="E534" s="6">
        <v>11.547499999999999</v>
      </c>
      <c r="F534" s="6">
        <v>11.78</v>
      </c>
      <c r="G534" s="6">
        <v>12.0382</v>
      </c>
      <c r="H534" s="6">
        <v>12.2949</v>
      </c>
      <c r="I534" s="6">
        <v>13.264200000000001</v>
      </c>
      <c r="J534" s="6">
        <v>13.9956</v>
      </c>
      <c r="K534" s="6">
        <v>14.5015</v>
      </c>
      <c r="L534" s="6">
        <v>14.8523</v>
      </c>
      <c r="M534" s="6">
        <v>15.289899999999999</v>
      </c>
      <c r="N534" s="6">
        <v>15.6416</v>
      </c>
      <c r="O534" s="6">
        <v>15.9353</v>
      </c>
      <c r="P534" s="6">
        <v>16.1313</v>
      </c>
      <c r="Q534" s="6"/>
    </row>
    <row r="535" spans="1:17">
      <c r="A535" s="5">
        <v>42236</v>
      </c>
      <c r="B535" s="5" t="str">
        <f t="shared" si="8"/>
        <v>2015 q3</v>
      </c>
      <c r="C535" s="6">
        <v>11.1828</v>
      </c>
      <c r="D535" s="6">
        <v>11.283200000000001</v>
      </c>
      <c r="E535" s="6">
        <v>11.490500000000001</v>
      </c>
      <c r="F535" s="6">
        <v>11.8004</v>
      </c>
      <c r="G535" s="6">
        <v>12.081799999999999</v>
      </c>
      <c r="H535" s="6">
        <v>12.3207</v>
      </c>
      <c r="I535" s="6">
        <v>13.175800000000001</v>
      </c>
      <c r="J535" s="6">
        <v>13.8034</v>
      </c>
      <c r="K535" s="6">
        <v>14.353999999999999</v>
      </c>
      <c r="L535" s="6">
        <v>14.7302</v>
      </c>
      <c r="M535" s="6">
        <v>15.2515</v>
      </c>
      <c r="N535" s="6">
        <v>15.722200000000001</v>
      </c>
      <c r="O535" s="6">
        <v>16.151399999999999</v>
      </c>
      <c r="P535" s="6">
        <v>16.446400000000001</v>
      </c>
      <c r="Q535" s="6"/>
    </row>
    <row r="536" spans="1:17">
      <c r="A536" s="5">
        <v>42237</v>
      </c>
      <c r="B536" s="5" t="str">
        <f t="shared" si="8"/>
        <v>2015 q3</v>
      </c>
      <c r="C536" s="6">
        <v>11.1877</v>
      </c>
      <c r="D536" s="6">
        <v>11.288</v>
      </c>
      <c r="E536" s="6">
        <v>11.494999999999999</v>
      </c>
      <c r="F536" s="6">
        <v>11.8042</v>
      </c>
      <c r="G536" s="6">
        <v>12.0847</v>
      </c>
      <c r="H536" s="6">
        <v>12.3232</v>
      </c>
      <c r="I536" s="6">
        <v>13.176299999999999</v>
      </c>
      <c r="J536" s="6">
        <v>13.802899999999999</v>
      </c>
      <c r="K536" s="6">
        <v>14.352</v>
      </c>
      <c r="L536" s="6">
        <v>14.727600000000001</v>
      </c>
      <c r="M536" s="6">
        <v>15.2475</v>
      </c>
      <c r="N536" s="6">
        <v>15.7171</v>
      </c>
      <c r="O536" s="6">
        <v>16.145299999999999</v>
      </c>
      <c r="P536" s="6">
        <v>16.439599999999999</v>
      </c>
      <c r="Q536" s="6"/>
    </row>
    <row r="537" spans="1:17">
      <c r="A537" s="5">
        <v>42240</v>
      </c>
      <c r="B537" s="5" t="str">
        <f t="shared" si="8"/>
        <v>2015 q3</v>
      </c>
      <c r="C537" s="6">
        <v>11.192600000000001</v>
      </c>
      <c r="D537" s="6">
        <v>11.2927</v>
      </c>
      <c r="E537" s="6">
        <v>11.4994</v>
      </c>
      <c r="F537" s="6">
        <v>11.808</v>
      </c>
      <c r="G537" s="6">
        <v>12.0876</v>
      </c>
      <c r="H537" s="6">
        <v>12.325799999999999</v>
      </c>
      <c r="I537" s="6">
        <v>13.1767</v>
      </c>
      <c r="J537" s="6">
        <v>13.8024</v>
      </c>
      <c r="K537" s="6">
        <v>14.35</v>
      </c>
      <c r="L537" s="6">
        <v>14.7249</v>
      </c>
      <c r="M537" s="6">
        <v>15.243600000000001</v>
      </c>
      <c r="N537" s="6">
        <v>15.7119</v>
      </c>
      <c r="O537" s="6">
        <v>16.139099999999999</v>
      </c>
      <c r="P537" s="6">
        <v>16.4329</v>
      </c>
      <c r="Q537" s="6"/>
    </row>
    <row r="538" spans="1:17">
      <c r="A538" s="5">
        <v>42241</v>
      </c>
      <c r="B538" s="5" t="str">
        <f t="shared" si="8"/>
        <v>2015 q3</v>
      </c>
      <c r="C538" s="6">
        <v>11.1585</v>
      </c>
      <c r="D538" s="6">
        <v>11.260400000000001</v>
      </c>
      <c r="E538" s="6">
        <v>11.470800000000001</v>
      </c>
      <c r="F538" s="6">
        <v>11.7844</v>
      </c>
      <c r="G538" s="6">
        <v>12.071099999999999</v>
      </c>
      <c r="H538" s="6">
        <v>12.3172</v>
      </c>
      <c r="I538" s="6">
        <v>13.194900000000001</v>
      </c>
      <c r="J538" s="6">
        <v>13.844900000000001</v>
      </c>
      <c r="K538" s="6">
        <v>14.4123</v>
      </c>
      <c r="L538" s="6">
        <v>14.8041</v>
      </c>
      <c r="M538" s="6">
        <v>15.346399999999999</v>
      </c>
      <c r="N538" s="6">
        <v>15.838100000000001</v>
      </c>
      <c r="O538" s="6">
        <v>16.2883</v>
      </c>
      <c r="P538" s="6">
        <v>16.598500000000001</v>
      </c>
      <c r="Q538" s="6"/>
    </row>
    <row r="539" spans="1:17">
      <c r="A539" s="5">
        <v>42242</v>
      </c>
      <c r="B539" s="5" t="str">
        <f t="shared" si="8"/>
        <v>2015 q3</v>
      </c>
      <c r="C539" s="6">
        <v>11.1244</v>
      </c>
      <c r="D539" s="6">
        <v>11.2323</v>
      </c>
      <c r="E539" s="6">
        <v>11.4551</v>
      </c>
      <c r="F539" s="6">
        <v>11.7867</v>
      </c>
      <c r="G539" s="6">
        <v>12.087</v>
      </c>
      <c r="H539" s="6">
        <v>12.3416</v>
      </c>
      <c r="I539" s="6">
        <v>13.240399999999999</v>
      </c>
      <c r="J539" s="6">
        <v>13.888299999999999</v>
      </c>
      <c r="K539" s="6">
        <v>14.4481</v>
      </c>
      <c r="L539" s="6">
        <v>14.822900000000001</v>
      </c>
      <c r="M539" s="6">
        <v>15.3302</v>
      </c>
      <c r="N539" s="6">
        <v>15.779400000000001</v>
      </c>
      <c r="O539" s="6">
        <v>16.182300000000001</v>
      </c>
      <c r="P539" s="6">
        <v>16.457599999999999</v>
      </c>
      <c r="Q539" s="6"/>
    </row>
    <row r="540" spans="1:17">
      <c r="A540" s="5">
        <v>42243</v>
      </c>
      <c r="B540" s="5" t="str">
        <f t="shared" si="8"/>
        <v>2015 q3</v>
      </c>
      <c r="C540" s="6">
        <v>11.1152</v>
      </c>
      <c r="D540" s="6">
        <v>11.2254</v>
      </c>
      <c r="E540" s="6">
        <v>11.4529</v>
      </c>
      <c r="F540" s="6">
        <v>11.7912</v>
      </c>
      <c r="G540" s="6">
        <v>12.0974</v>
      </c>
      <c r="H540" s="6">
        <v>12.357699999999999</v>
      </c>
      <c r="I540" s="6">
        <v>13.276300000000001</v>
      </c>
      <c r="J540" s="6">
        <v>13.9405</v>
      </c>
      <c r="K540" s="6">
        <v>14.513999999999999</v>
      </c>
      <c r="L540" s="6">
        <v>14.8993</v>
      </c>
      <c r="M540" s="6">
        <v>15.421200000000001</v>
      </c>
      <c r="N540" s="6">
        <v>15.883900000000001</v>
      </c>
      <c r="O540" s="6">
        <v>16.299600000000002</v>
      </c>
      <c r="P540" s="6">
        <v>16.5838</v>
      </c>
      <c r="Q540" s="6"/>
    </row>
    <row r="541" spans="1:17">
      <c r="A541" s="5">
        <v>42244</v>
      </c>
      <c r="B541" s="5" t="str">
        <f t="shared" si="8"/>
        <v>2015 q3</v>
      </c>
      <c r="C541" s="6">
        <v>11.1347</v>
      </c>
      <c r="D541" s="6">
        <v>11.242699999999999</v>
      </c>
      <c r="E541" s="6">
        <v>11.4657</v>
      </c>
      <c r="F541" s="6">
        <v>11.7972</v>
      </c>
      <c r="G541" s="6">
        <v>12.0975</v>
      </c>
      <c r="H541" s="6">
        <v>12.354100000000001</v>
      </c>
      <c r="I541" s="6">
        <v>13.260300000000001</v>
      </c>
      <c r="J541" s="6">
        <v>13.920400000000001</v>
      </c>
      <c r="K541" s="6">
        <v>14.4907</v>
      </c>
      <c r="L541" s="6">
        <v>14.877000000000001</v>
      </c>
      <c r="M541" s="6">
        <v>15.4023</v>
      </c>
      <c r="N541" s="6">
        <v>15.8706</v>
      </c>
      <c r="O541" s="6">
        <v>16.293199999999999</v>
      </c>
      <c r="P541" s="6">
        <v>16.582699999999999</v>
      </c>
      <c r="Q541" s="6"/>
    </row>
    <row r="542" spans="1:17">
      <c r="A542" s="5">
        <v>42247</v>
      </c>
      <c r="B542" s="5" t="str">
        <f t="shared" si="8"/>
        <v>2015 q3</v>
      </c>
      <c r="C542" s="6">
        <v>11.1386</v>
      </c>
      <c r="D542" s="6">
        <v>11.246700000000001</v>
      </c>
      <c r="E542" s="6">
        <v>11.469900000000001</v>
      </c>
      <c r="F542" s="6">
        <v>11.801500000000001</v>
      </c>
      <c r="G542" s="6">
        <v>12.1013</v>
      </c>
      <c r="H542" s="6">
        <v>12.358000000000001</v>
      </c>
      <c r="I542" s="6">
        <v>13.263500000000001</v>
      </c>
      <c r="J542" s="6">
        <v>13.923400000000001</v>
      </c>
      <c r="K542" s="6">
        <v>14.492699999999999</v>
      </c>
      <c r="L542" s="6">
        <v>14.8787</v>
      </c>
      <c r="M542" s="6">
        <v>15.402699999999999</v>
      </c>
      <c r="N542" s="6">
        <v>15.8697</v>
      </c>
      <c r="O542" s="6">
        <v>16.2911</v>
      </c>
      <c r="P542" s="6">
        <v>16.579799999999999</v>
      </c>
      <c r="Q542" s="6"/>
    </row>
    <row r="543" spans="1:17">
      <c r="A543" s="5">
        <v>42248</v>
      </c>
      <c r="B543" s="5" t="str">
        <f t="shared" si="8"/>
        <v>2015 q3</v>
      </c>
      <c r="C543" s="6">
        <v>11.235300000000001</v>
      </c>
      <c r="D543" s="6">
        <v>11.327199999999999</v>
      </c>
      <c r="E543" s="6">
        <v>11.516999999999999</v>
      </c>
      <c r="F543" s="6">
        <v>11.7989</v>
      </c>
      <c r="G543" s="6">
        <v>12.0586</v>
      </c>
      <c r="H543" s="6">
        <v>12.2896</v>
      </c>
      <c r="I543" s="6">
        <v>13.1463</v>
      </c>
      <c r="J543" s="6">
        <v>13.8201</v>
      </c>
      <c r="K543" s="6">
        <v>14.340999999999999</v>
      </c>
      <c r="L543" s="6">
        <v>14.761100000000001</v>
      </c>
      <c r="M543" s="6">
        <v>15.3635</v>
      </c>
      <c r="N543" s="6">
        <v>15.936199999999999</v>
      </c>
      <c r="O543" s="6">
        <v>16.485299999999999</v>
      </c>
      <c r="P543" s="6">
        <v>16.873100000000001</v>
      </c>
      <c r="Q543" s="6"/>
    </row>
    <row r="544" spans="1:17">
      <c r="A544" s="5">
        <v>42249</v>
      </c>
      <c r="B544" s="5" t="str">
        <f t="shared" si="8"/>
        <v>2015 q3</v>
      </c>
      <c r="C544" s="6">
        <v>11.16</v>
      </c>
      <c r="D544" s="6">
        <v>11.266999999999999</v>
      </c>
      <c r="E544" s="6">
        <v>11.4879</v>
      </c>
      <c r="F544" s="6">
        <v>11.8149</v>
      </c>
      <c r="G544" s="6">
        <v>12.1098</v>
      </c>
      <c r="H544" s="6">
        <v>12.364800000000001</v>
      </c>
      <c r="I544" s="6">
        <v>13.2614</v>
      </c>
      <c r="J544" s="6">
        <v>13.9206</v>
      </c>
      <c r="K544" s="6">
        <v>14.4871</v>
      </c>
      <c r="L544" s="6">
        <v>14.8749</v>
      </c>
      <c r="M544" s="6">
        <v>15.4016</v>
      </c>
      <c r="N544" s="6">
        <v>15.8728</v>
      </c>
      <c r="O544" s="6">
        <v>16.299700000000001</v>
      </c>
      <c r="P544" s="6">
        <v>16.593</v>
      </c>
      <c r="Q544" s="6"/>
    </row>
    <row r="545" spans="1:17">
      <c r="A545" s="5">
        <v>42250</v>
      </c>
      <c r="B545" s="5" t="str">
        <f t="shared" si="8"/>
        <v>2015 q3</v>
      </c>
      <c r="C545" s="6">
        <v>11.530900000000001</v>
      </c>
      <c r="D545" s="6">
        <v>11.5365</v>
      </c>
      <c r="E545" s="6">
        <v>11.5482</v>
      </c>
      <c r="F545" s="6">
        <v>11.5913</v>
      </c>
      <c r="G545" s="6">
        <v>11.742699999999999</v>
      </c>
      <c r="H545" s="6">
        <v>11.9999</v>
      </c>
      <c r="I545" s="6">
        <v>13.0116</v>
      </c>
      <c r="J545" s="6">
        <v>13.8971</v>
      </c>
      <c r="K545" s="6">
        <v>14.5077</v>
      </c>
      <c r="L545" s="6">
        <v>14.9337</v>
      </c>
      <c r="M545" s="6">
        <v>15.448600000000001</v>
      </c>
      <c r="N545" s="6">
        <v>15.8589</v>
      </c>
      <c r="O545" s="6">
        <v>16.200800000000001</v>
      </c>
      <c r="P545" s="6">
        <v>16.4297</v>
      </c>
      <c r="Q545" s="6"/>
    </row>
    <row r="546" spans="1:17">
      <c r="A546" s="5">
        <v>42251</v>
      </c>
      <c r="B546" s="5" t="str">
        <f t="shared" si="8"/>
        <v>2015 q3</v>
      </c>
      <c r="C546" s="6">
        <v>11.7172</v>
      </c>
      <c r="D546" s="6">
        <v>11.6762</v>
      </c>
      <c r="E546" s="6">
        <v>11.5916</v>
      </c>
      <c r="F546" s="6">
        <v>11.5283</v>
      </c>
      <c r="G546" s="6">
        <v>11.716900000000001</v>
      </c>
      <c r="H546" s="6">
        <v>12.062900000000001</v>
      </c>
      <c r="I546" s="6">
        <v>13.2532</v>
      </c>
      <c r="J546" s="6">
        <v>14.079599999999999</v>
      </c>
      <c r="K546" s="6">
        <v>14.729900000000001</v>
      </c>
      <c r="L546" s="6">
        <v>15.0488</v>
      </c>
      <c r="M546" s="6">
        <v>15.417299999999999</v>
      </c>
      <c r="N546" s="6">
        <v>15.701700000000001</v>
      </c>
      <c r="O546" s="6">
        <v>15.936999999999999</v>
      </c>
      <c r="P546" s="6">
        <v>16.0945</v>
      </c>
      <c r="Q546" s="6"/>
    </row>
    <row r="547" spans="1:17">
      <c r="A547" s="5">
        <v>42254</v>
      </c>
      <c r="B547" s="5" t="str">
        <f t="shared" si="8"/>
        <v>2015 q3</v>
      </c>
      <c r="C547" s="6">
        <v>11.68</v>
      </c>
      <c r="D547" s="6">
        <v>11.648899999999999</v>
      </c>
      <c r="E547" s="6">
        <v>11.5848</v>
      </c>
      <c r="F547" s="6">
        <v>11.5426</v>
      </c>
      <c r="G547" s="6">
        <v>11.704000000000001</v>
      </c>
      <c r="H547" s="6">
        <v>12.017899999999999</v>
      </c>
      <c r="I547" s="6">
        <v>13.1325</v>
      </c>
      <c r="J547" s="6">
        <v>13.985300000000001</v>
      </c>
      <c r="K547" s="6">
        <v>14.6648</v>
      </c>
      <c r="L547" s="6">
        <v>15.021699999999999</v>
      </c>
      <c r="M547" s="6">
        <v>15.437099999999999</v>
      </c>
      <c r="N547" s="6">
        <v>15.759499999999999</v>
      </c>
      <c r="O547" s="6">
        <v>16.026599999999998</v>
      </c>
      <c r="P547" s="6">
        <v>16.205400000000001</v>
      </c>
      <c r="Q547" s="6"/>
    </row>
    <row r="548" spans="1:17">
      <c r="A548" s="5">
        <v>42255</v>
      </c>
      <c r="B548" s="5" t="str">
        <f t="shared" si="8"/>
        <v>2015 q3</v>
      </c>
      <c r="C548" s="6">
        <v>11.2774</v>
      </c>
      <c r="D548" s="6">
        <v>11.3626</v>
      </c>
      <c r="E548" s="6">
        <v>11.538500000000001</v>
      </c>
      <c r="F548" s="6">
        <v>11.8012</v>
      </c>
      <c r="G548" s="6">
        <v>12.059900000000001</v>
      </c>
      <c r="H548" s="6">
        <v>12.318099999999999</v>
      </c>
      <c r="I548" s="6">
        <v>13.1774</v>
      </c>
      <c r="J548" s="6">
        <v>13.8759</v>
      </c>
      <c r="K548" s="6">
        <v>14.4712</v>
      </c>
      <c r="L548" s="6">
        <v>14.881600000000001</v>
      </c>
      <c r="M548" s="6">
        <v>15.416399999999999</v>
      </c>
      <c r="N548" s="6">
        <v>15.8742</v>
      </c>
      <c r="O548" s="6">
        <v>16.2714</v>
      </c>
      <c r="P548" s="6">
        <v>16.5395</v>
      </c>
      <c r="Q548" s="6"/>
    </row>
    <row r="549" spans="1:17">
      <c r="A549" s="5">
        <v>42256</v>
      </c>
      <c r="B549" s="5" t="str">
        <f t="shared" si="8"/>
        <v>2015 q3</v>
      </c>
      <c r="C549" s="6">
        <v>11.230399999999999</v>
      </c>
      <c r="D549" s="6">
        <v>11.3261</v>
      </c>
      <c r="E549" s="6">
        <v>11.5236</v>
      </c>
      <c r="F549" s="6">
        <v>11.8125</v>
      </c>
      <c r="G549" s="6">
        <v>12.0799</v>
      </c>
      <c r="H549" s="6">
        <v>12.3461</v>
      </c>
      <c r="I549" s="6">
        <v>13.1709</v>
      </c>
      <c r="J549" s="6">
        <v>13.8352</v>
      </c>
      <c r="K549" s="6">
        <v>14.413</v>
      </c>
      <c r="L549" s="6">
        <v>14.8376</v>
      </c>
      <c r="M549" s="6">
        <v>15.438499999999999</v>
      </c>
      <c r="N549" s="6">
        <v>16.005299999999998</v>
      </c>
      <c r="O549" s="6">
        <v>16.545200000000001</v>
      </c>
      <c r="P549" s="6">
        <v>16.925599999999999</v>
      </c>
      <c r="Q549" s="6"/>
    </row>
    <row r="550" spans="1:17">
      <c r="A550" s="5">
        <v>42257</v>
      </c>
      <c r="B550" s="5" t="str">
        <f t="shared" si="8"/>
        <v>2015 q3</v>
      </c>
      <c r="C550" s="6">
        <v>11.337300000000001</v>
      </c>
      <c r="D550" s="6">
        <v>11.409800000000001</v>
      </c>
      <c r="E550" s="6">
        <v>11.5594</v>
      </c>
      <c r="F550" s="6">
        <v>11.7903</v>
      </c>
      <c r="G550" s="6">
        <v>12.0383</v>
      </c>
      <c r="H550" s="6">
        <v>12.286199999999999</v>
      </c>
      <c r="I550" s="6">
        <v>13.177099999999999</v>
      </c>
      <c r="J550" s="6">
        <v>13.9092</v>
      </c>
      <c r="K550" s="6">
        <v>14.5242</v>
      </c>
      <c r="L550" s="6">
        <v>14.934100000000001</v>
      </c>
      <c r="M550" s="6">
        <v>15.450200000000001</v>
      </c>
      <c r="N550" s="6">
        <v>15.879</v>
      </c>
      <c r="O550" s="6">
        <v>16.2439</v>
      </c>
      <c r="P550" s="6">
        <v>16.4893</v>
      </c>
      <c r="Q550" s="6"/>
    </row>
    <row r="551" spans="1:17">
      <c r="A551" s="5">
        <v>42258</v>
      </c>
      <c r="B551" s="5" t="str">
        <f t="shared" si="8"/>
        <v>2015 q3</v>
      </c>
      <c r="C551" s="6">
        <v>11.2956</v>
      </c>
      <c r="D551" s="6">
        <v>11.3842</v>
      </c>
      <c r="E551" s="6">
        <v>11.567299999999999</v>
      </c>
      <c r="F551" s="6">
        <v>11.8355</v>
      </c>
      <c r="G551" s="6">
        <v>12.0876</v>
      </c>
      <c r="H551" s="6">
        <v>12.338100000000001</v>
      </c>
      <c r="I551" s="6">
        <v>13.146800000000001</v>
      </c>
      <c r="J551" s="6">
        <v>13.8224</v>
      </c>
      <c r="K551" s="6">
        <v>14.4199</v>
      </c>
      <c r="L551" s="6">
        <v>14.882</v>
      </c>
      <c r="M551" s="6">
        <v>15.563499999999999</v>
      </c>
      <c r="N551" s="6">
        <v>16.2393</v>
      </c>
      <c r="O551" s="6">
        <v>16.916599999999999</v>
      </c>
      <c r="P551" s="6">
        <v>17.407900000000001</v>
      </c>
      <c r="Q551" s="6"/>
    </row>
    <row r="552" spans="1:17">
      <c r="A552" s="5">
        <v>42262</v>
      </c>
      <c r="B552" s="5" t="str">
        <f t="shared" si="8"/>
        <v>2015 q3</v>
      </c>
      <c r="C552" s="6">
        <v>11.3192</v>
      </c>
      <c r="D552" s="6">
        <v>11.3933</v>
      </c>
      <c r="E552" s="6">
        <v>11.546099999999999</v>
      </c>
      <c r="F552" s="6">
        <v>11.7796</v>
      </c>
      <c r="G552" s="6">
        <v>12.023</v>
      </c>
      <c r="H552" s="6">
        <v>12.266</v>
      </c>
      <c r="I552" s="6">
        <v>13.137600000000001</v>
      </c>
      <c r="J552" s="6">
        <v>13.870699999999999</v>
      </c>
      <c r="K552" s="6">
        <v>14.494300000000001</v>
      </c>
      <c r="L552" s="6">
        <v>14.930300000000001</v>
      </c>
      <c r="M552" s="6">
        <v>15.494</v>
      </c>
      <c r="N552" s="6">
        <v>15.974500000000001</v>
      </c>
      <c r="O552" s="6">
        <v>16.389800000000001</v>
      </c>
      <c r="P552" s="6">
        <v>16.670100000000001</v>
      </c>
      <c r="Q552" s="6"/>
    </row>
    <row r="553" spans="1:17">
      <c r="A553" s="5">
        <v>42263</v>
      </c>
      <c r="B553" s="5" t="str">
        <f t="shared" si="8"/>
        <v>2015 q3</v>
      </c>
      <c r="C553" s="6">
        <v>11.481299999999999</v>
      </c>
      <c r="D553" s="6">
        <v>11.515700000000001</v>
      </c>
      <c r="E553" s="6">
        <v>11.5867</v>
      </c>
      <c r="F553" s="6">
        <v>11.7378</v>
      </c>
      <c r="G553" s="6">
        <v>11.976800000000001</v>
      </c>
      <c r="H553" s="6">
        <v>12.221</v>
      </c>
      <c r="I553" s="6">
        <v>13.236800000000001</v>
      </c>
      <c r="J553" s="6">
        <v>14.041399999999999</v>
      </c>
      <c r="K553" s="6">
        <v>14.706200000000001</v>
      </c>
      <c r="L553" s="6">
        <v>15.0944</v>
      </c>
      <c r="M553" s="6">
        <v>15.5108</v>
      </c>
      <c r="N553" s="6">
        <v>15.864000000000001</v>
      </c>
      <c r="O553" s="6">
        <v>16.1585</v>
      </c>
      <c r="P553" s="6">
        <v>16.356200000000001</v>
      </c>
      <c r="Q553" s="6"/>
    </row>
    <row r="554" spans="1:17">
      <c r="A554" s="5">
        <v>42264</v>
      </c>
      <c r="B554" s="5" t="str">
        <f t="shared" si="8"/>
        <v>2015 q3</v>
      </c>
      <c r="C554" s="6">
        <v>11.2318</v>
      </c>
      <c r="D554" s="6">
        <v>11.331</v>
      </c>
      <c r="E554" s="6">
        <v>11.535600000000001</v>
      </c>
      <c r="F554" s="6">
        <v>11.831899999999999</v>
      </c>
      <c r="G554" s="6">
        <v>12.107799999999999</v>
      </c>
      <c r="H554" s="6">
        <v>12.3787</v>
      </c>
      <c r="I554" s="6">
        <v>13.2148</v>
      </c>
      <c r="J554" s="6">
        <v>13.886799999999999</v>
      </c>
      <c r="K554" s="6">
        <v>14.463200000000001</v>
      </c>
      <c r="L554" s="6">
        <v>14.885400000000001</v>
      </c>
      <c r="M554" s="6">
        <v>15.4732</v>
      </c>
      <c r="N554" s="6">
        <v>16.021999999999998</v>
      </c>
      <c r="O554" s="6">
        <v>16.5396</v>
      </c>
      <c r="P554" s="6">
        <v>16.903099999999998</v>
      </c>
      <c r="Q554" s="6"/>
    </row>
    <row r="555" spans="1:17">
      <c r="A555" s="5">
        <v>42265</v>
      </c>
      <c r="B555" s="5" t="str">
        <f t="shared" si="8"/>
        <v>2015 q3</v>
      </c>
      <c r="C555" s="6">
        <v>11.2301</v>
      </c>
      <c r="D555" s="6">
        <v>11.3287</v>
      </c>
      <c r="E555" s="6">
        <v>11.5321</v>
      </c>
      <c r="F555" s="6">
        <v>11.8263</v>
      </c>
      <c r="G555" s="6">
        <v>12.1006</v>
      </c>
      <c r="H555" s="6">
        <v>12.3696</v>
      </c>
      <c r="I555" s="6">
        <v>13.201000000000001</v>
      </c>
      <c r="J555" s="6">
        <v>13.870100000000001</v>
      </c>
      <c r="K555" s="6">
        <v>14.4437</v>
      </c>
      <c r="L555" s="6">
        <v>14.864699999999999</v>
      </c>
      <c r="M555" s="6">
        <v>15.450799999999999</v>
      </c>
      <c r="N555" s="6">
        <v>15.9984</v>
      </c>
      <c r="O555" s="6">
        <v>16.515499999999999</v>
      </c>
      <c r="P555" s="6">
        <v>16.878900000000002</v>
      </c>
      <c r="Q555" s="6"/>
    </row>
    <row r="556" spans="1:17">
      <c r="A556" s="5">
        <v>42266</v>
      </c>
      <c r="B556" s="5" t="str">
        <f t="shared" si="8"/>
        <v>2015 q3</v>
      </c>
      <c r="C556" s="6">
        <v>11.2338</v>
      </c>
      <c r="D556" s="6">
        <v>11.3324</v>
      </c>
      <c r="E556" s="6">
        <v>11.5359</v>
      </c>
      <c r="F556" s="6">
        <v>11.829800000000001</v>
      </c>
      <c r="G556" s="6">
        <v>12.104100000000001</v>
      </c>
      <c r="H556" s="6">
        <v>12.3726</v>
      </c>
      <c r="I556" s="6">
        <v>13.2033</v>
      </c>
      <c r="J556" s="6">
        <v>13.872400000000001</v>
      </c>
      <c r="K556" s="6">
        <v>14.4451</v>
      </c>
      <c r="L556" s="6">
        <v>14.8659</v>
      </c>
      <c r="M556" s="6">
        <v>15.4512</v>
      </c>
      <c r="N556" s="6">
        <v>15.998100000000001</v>
      </c>
      <c r="O556" s="6">
        <v>16.514500000000002</v>
      </c>
      <c r="P556" s="6">
        <v>16.877400000000002</v>
      </c>
      <c r="Q556" s="6"/>
    </row>
    <row r="557" spans="1:17">
      <c r="A557" s="5">
        <v>42269</v>
      </c>
      <c r="B557" s="5" t="str">
        <f t="shared" si="8"/>
        <v>2015 q3</v>
      </c>
      <c r="C557" s="6">
        <v>11.303900000000001</v>
      </c>
      <c r="D557" s="6">
        <v>11.392300000000001</v>
      </c>
      <c r="E557" s="6">
        <v>11.5748</v>
      </c>
      <c r="F557" s="6">
        <v>11.8392</v>
      </c>
      <c r="G557" s="6">
        <v>12.088200000000001</v>
      </c>
      <c r="H557" s="6">
        <v>12.3322</v>
      </c>
      <c r="I557" s="6">
        <v>13.1081</v>
      </c>
      <c r="J557" s="6">
        <v>13.748799999999999</v>
      </c>
      <c r="K557" s="6">
        <v>14.3041</v>
      </c>
      <c r="L557" s="6">
        <v>14.7264</v>
      </c>
      <c r="M557" s="6">
        <v>15.3308</v>
      </c>
      <c r="N557" s="6">
        <v>15.914199999999999</v>
      </c>
      <c r="O557" s="6">
        <v>16.4833</v>
      </c>
      <c r="P557" s="6">
        <v>16.8904</v>
      </c>
      <c r="Q557" s="6"/>
    </row>
    <row r="558" spans="1:17">
      <c r="A558" s="5">
        <v>42270</v>
      </c>
      <c r="B558" s="5" t="str">
        <f t="shared" si="8"/>
        <v>2015 q3</v>
      </c>
      <c r="C558" s="6">
        <v>11.432</v>
      </c>
      <c r="D558" s="6">
        <v>11.482900000000001</v>
      </c>
      <c r="E558" s="6">
        <v>11.587899999999999</v>
      </c>
      <c r="F558" s="6">
        <v>11.778600000000001</v>
      </c>
      <c r="G558" s="6">
        <v>12.0166</v>
      </c>
      <c r="H558" s="6">
        <v>12.259399999999999</v>
      </c>
      <c r="I558" s="6">
        <v>13.200799999999999</v>
      </c>
      <c r="J558" s="6">
        <v>13.9681</v>
      </c>
      <c r="K558" s="6">
        <v>14.605600000000001</v>
      </c>
      <c r="L558" s="6">
        <v>14.9986</v>
      </c>
      <c r="M558" s="6">
        <v>15.431100000000001</v>
      </c>
      <c r="N558" s="6">
        <v>15.801</v>
      </c>
      <c r="O558" s="6">
        <v>16.1114</v>
      </c>
      <c r="P558" s="6">
        <v>16.320399999999999</v>
      </c>
      <c r="Q558" s="6"/>
    </row>
    <row r="559" spans="1:17">
      <c r="A559" s="5">
        <v>42271</v>
      </c>
      <c r="B559" s="5" t="str">
        <f t="shared" si="8"/>
        <v>2015 q3</v>
      </c>
      <c r="C559" s="6">
        <v>11.417400000000001</v>
      </c>
      <c r="D559" s="6">
        <v>11.473000000000001</v>
      </c>
      <c r="E559" s="6">
        <v>11.5878</v>
      </c>
      <c r="F559" s="6">
        <v>11.788399999999999</v>
      </c>
      <c r="G559" s="6">
        <v>12.0276</v>
      </c>
      <c r="H559" s="6">
        <v>12.270799999999999</v>
      </c>
      <c r="I559" s="6">
        <v>13.1967</v>
      </c>
      <c r="J559" s="6">
        <v>13.9566</v>
      </c>
      <c r="K559" s="6">
        <v>14.5688</v>
      </c>
      <c r="L559" s="6">
        <v>14.960900000000001</v>
      </c>
      <c r="M559" s="6">
        <v>15.429399999999999</v>
      </c>
      <c r="N559" s="6">
        <v>15.8086</v>
      </c>
      <c r="O559" s="6">
        <v>16.127600000000001</v>
      </c>
      <c r="P559" s="6">
        <v>16.342500000000001</v>
      </c>
      <c r="Q559" s="6"/>
    </row>
    <row r="560" spans="1:17">
      <c r="A560" s="5">
        <v>42272</v>
      </c>
      <c r="B560" s="5" t="str">
        <f t="shared" si="8"/>
        <v>2015 q3</v>
      </c>
      <c r="C560" s="6">
        <v>11.4422</v>
      </c>
      <c r="D560" s="6">
        <v>11.491199999999999</v>
      </c>
      <c r="E560" s="6">
        <v>11.5924</v>
      </c>
      <c r="F560" s="6">
        <v>11.781700000000001</v>
      </c>
      <c r="G560" s="6">
        <v>12.0199</v>
      </c>
      <c r="H560" s="6">
        <v>12.263999999999999</v>
      </c>
      <c r="I560" s="6">
        <v>13.2082</v>
      </c>
      <c r="J560" s="6">
        <v>13.974500000000001</v>
      </c>
      <c r="K560" s="6">
        <v>14.585000000000001</v>
      </c>
      <c r="L560" s="6">
        <v>14.965999999999999</v>
      </c>
      <c r="M560" s="6">
        <v>15.414999999999999</v>
      </c>
      <c r="N560" s="6">
        <v>15.7752</v>
      </c>
      <c r="O560" s="6">
        <v>16.077300000000001</v>
      </c>
      <c r="P560" s="6">
        <v>16.2806</v>
      </c>
      <c r="Q560" s="6"/>
    </row>
    <row r="561" spans="1:17">
      <c r="A561" s="5">
        <v>42275</v>
      </c>
      <c r="B561" s="5" t="str">
        <f t="shared" si="8"/>
        <v>2015 q3</v>
      </c>
      <c r="C561" s="6">
        <v>11.4762</v>
      </c>
      <c r="D561" s="6">
        <v>11.516</v>
      </c>
      <c r="E561" s="6">
        <v>11.598000000000001</v>
      </c>
      <c r="F561" s="6">
        <v>11.761799999999999</v>
      </c>
      <c r="G561" s="6">
        <v>11.9763</v>
      </c>
      <c r="H561" s="6">
        <v>12.1995</v>
      </c>
      <c r="I561" s="6">
        <v>13.119300000000001</v>
      </c>
      <c r="J561" s="6">
        <v>13.8977</v>
      </c>
      <c r="K561" s="6">
        <v>14.525600000000001</v>
      </c>
      <c r="L561" s="6">
        <v>14.934100000000001</v>
      </c>
      <c r="M561" s="6">
        <v>15.421900000000001</v>
      </c>
      <c r="N561" s="6">
        <v>15.817399999999999</v>
      </c>
      <c r="O561" s="6">
        <v>16.150400000000001</v>
      </c>
      <c r="P561" s="6">
        <v>16.374700000000001</v>
      </c>
      <c r="Q561" s="6"/>
    </row>
    <row r="562" spans="1:17">
      <c r="A562" s="5">
        <v>42276</v>
      </c>
      <c r="B562" s="5" t="str">
        <f t="shared" si="8"/>
        <v>2015 q3</v>
      </c>
      <c r="C562" s="6">
        <v>11.410399999999999</v>
      </c>
      <c r="D562" s="6">
        <v>11.4838</v>
      </c>
      <c r="E562" s="6">
        <v>11.635199999999999</v>
      </c>
      <c r="F562" s="6">
        <v>11.862399999999999</v>
      </c>
      <c r="G562" s="6">
        <v>12.1084</v>
      </c>
      <c r="H562" s="6">
        <v>12.3529</v>
      </c>
      <c r="I562" s="6">
        <v>13.210699999999999</v>
      </c>
      <c r="J562" s="6">
        <v>13.9239</v>
      </c>
      <c r="K562" s="6">
        <v>14.5061</v>
      </c>
      <c r="L562" s="6">
        <v>14.9038</v>
      </c>
      <c r="M562" s="6">
        <v>15.393599999999999</v>
      </c>
      <c r="N562" s="6">
        <v>15.801600000000001</v>
      </c>
      <c r="O562" s="6">
        <v>16.150200000000002</v>
      </c>
      <c r="P562" s="6">
        <v>16.3858</v>
      </c>
      <c r="Q562" s="6"/>
    </row>
    <row r="563" spans="1:17">
      <c r="A563" s="5">
        <v>42277</v>
      </c>
      <c r="B563" s="5" t="str">
        <f t="shared" si="8"/>
        <v>2015 q3</v>
      </c>
      <c r="C563" s="6">
        <v>11.411799999999999</v>
      </c>
      <c r="D563" s="6">
        <v>11.4802</v>
      </c>
      <c r="E563" s="6">
        <v>11.6214</v>
      </c>
      <c r="F563" s="6">
        <v>11.8338</v>
      </c>
      <c r="G563" s="6">
        <v>12.080299999999999</v>
      </c>
      <c r="H563" s="6">
        <v>12.3271</v>
      </c>
      <c r="I563" s="6">
        <v>13.2096</v>
      </c>
      <c r="J563" s="6">
        <v>13.9405</v>
      </c>
      <c r="K563" s="6">
        <v>14.53</v>
      </c>
      <c r="L563" s="6">
        <v>14.922800000000001</v>
      </c>
      <c r="M563" s="6">
        <v>15.3971</v>
      </c>
      <c r="N563" s="6">
        <v>15.7867</v>
      </c>
      <c r="O563" s="6">
        <v>16.117100000000001</v>
      </c>
      <c r="P563" s="6">
        <v>16.3401</v>
      </c>
      <c r="Q563" s="6"/>
    </row>
    <row r="564" spans="1:17">
      <c r="A564" s="5">
        <v>42278</v>
      </c>
      <c r="B564" s="5" t="str">
        <f t="shared" si="8"/>
        <v>2015 q4</v>
      </c>
      <c r="C564" s="6">
        <v>11.408200000000001</v>
      </c>
      <c r="D564" s="6">
        <v>11.472899999999999</v>
      </c>
      <c r="E564" s="6">
        <v>11.6067</v>
      </c>
      <c r="F564" s="6">
        <v>11.8087</v>
      </c>
      <c r="G564" s="6">
        <v>12.068199999999999</v>
      </c>
      <c r="H564" s="6">
        <v>12.329499999999999</v>
      </c>
      <c r="I564" s="6">
        <v>13.2606</v>
      </c>
      <c r="J564" s="6">
        <v>14.0075</v>
      </c>
      <c r="K564" s="6">
        <v>14.5954</v>
      </c>
      <c r="L564" s="6">
        <v>14.964399999999999</v>
      </c>
      <c r="M564" s="6">
        <v>15.395799999999999</v>
      </c>
      <c r="N564" s="6">
        <v>15.742699999999999</v>
      </c>
      <c r="O564" s="6">
        <v>16.033899999999999</v>
      </c>
      <c r="P564" s="6">
        <v>16.2303</v>
      </c>
      <c r="Q564" s="6"/>
    </row>
    <row r="565" spans="1:17">
      <c r="A565" s="5">
        <v>42279</v>
      </c>
      <c r="B565" s="5" t="str">
        <f t="shared" si="8"/>
        <v>2015 q4</v>
      </c>
      <c r="C565" s="6">
        <v>11.481400000000001</v>
      </c>
      <c r="D565" s="6">
        <v>11.525</v>
      </c>
      <c r="E565" s="6">
        <v>11.6149</v>
      </c>
      <c r="F565" s="6">
        <v>11.754200000000001</v>
      </c>
      <c r="G565" s="6">
        <v>12.0206</v>
      </c>
      <c r="H565" s="6">
        <v>12.2948</v>
      </c>
      <c r="I565" s="6">
        <v>13.3665</v>
      </c>
      <c r="J565" s="6">
        <v>14.162100000000001</v>
      </c>
      <c r="K565" s="6">
        <v>14.6568</v>
      </c>
      <c r="L565" s="6">
        <v>14.996600000000001</v>
      </c>
      <c r="M565" s="6">
        <v>15.3813</v>
      </c>
      <c r="N565" s="6">
        <v>15.6843</v>
      </c>
      <c r="O565" s="6">
        <v>15.937200000000001</v>
      </c>
      <c r="P565" s="6">
        <v>16.107700000000001</v>
      </c>
      <c r="Q565" s="6"/>
    </row>
    <row r="566" spans="1:17">
      <c r="A566" s="5">
        <v>42282</v>
      </c>
      <c r="B566" s="5" t="str">
        <f t="shared" si="8"/>
        <v>2015 q4</v>
      </c>
      <c r="C566" s="6">
        <v>11.5451</v>
      </c>
      <c r="D566" s="6">
        <v>11.5686</v>
      </c>
      <c r="E566" s="6">
        <v>11.617000000000001</v>
      </c>
      <c r="F566" s="6">
        <v>11.699199999999999</v>
      </c>
      <c r="G566" s="6">
        <v>11.9899</v>
      </c>
      <c r="H566" s="6">
        <v>12.2921</v>
      </c>
      <c r="I566" s="6">
        <v>13.326499999999999</v>
      </c>
      <c r="J566" s="6">
        <v>13.9778</v>
      </c>
      <c r="K566" s="6">
        <v>14.629</v>
      </c>
      <c r="L566" s="6">
        <v>15.074299999999999</v>
      </c>
      <c r="M566" s="6">
        <v>15.410600000000001</v>
      </c>
      <c r="N566" s="6">
        <v>15.7117</v>
      </c>
      <c r="O566" s="6">
        <v>15.940300000000001</v>
      </c>
      <c r="P566" s="6">
        <v>16.0945</v>
      </c>
      <c r="Q566" s="6"/>
    </row>
    <row r="567" spans="1:17">
      <c r="A567" s="5">
        <v>42283</v>
      </c>
      <c r="B567" s="5" t="str">
        <f t="shared" si="8"/>
        <v>2015 q4</v>
      </c>
      <c r="C567" s="6">
        <v>11.5298</v>
      </c>
      <c r="D567" s="6">
        <v>11.561500000000001</v>
      </c>
      <c r="E567" s="6">
        <v>11.6271</v>
      </c>
      <c r="F567" s="6">
        <v>11.7394</v>
      </c>
      <c r="G567" s="6">
        <v>12.0192</v>
      </c>
      <c r="H567" s="6">
        <v>12.2996</v>
      </c>
      <c r="I567" s="6">
        <v>13.42</v>
      </c>
      <c r="J567" s="6">
        <v>14.1816</v>
      </c>
      <c r="K567" s="6">
        <v>14.678100000000001</v>
      </c>
      <c r="L567" s="6">
        <v>15.036</v>
      </c>
      <c r="M567" s="6">
        <v>15.3908</v>
      </c>
      <c r="N567" s="6">
        <v>15.707700000000001</v>
      </c>
      <c r="O567" s="6">
        <v>15.949</v>
      </c>
      <c r="P567" s="6">
        <v>16.111999999999998</v>
      </c>
      <c r="Q567" s="6"/>
    </row>
    <row r="568" spans="1:17">
      <c r="A568" s="5">
        <v>42284</v>
      </c>
      <c r="B568" s="5" t="str">
        <f t="shared" si="8"/>
        <v>2015 q4</v>
      </c>
      <c r="C568" s="6">
        <v>11.537599999999999</v>
      </c>
      <c r="D568" s="6">
        <v>11.566599999999999</v>
      </c>
      <c r="E568" s="6">
        <v>11.6264</v>
      </c>
      <c r="F568" s="6">
        <v>11.7326</v>
      </c>
      <c r="G568" s="6">
        <v>12.0107</v>
      </c>
      <c r="H568" s="6">
        <v>12.2898</v>
      </c>
      <c r="I568" s="6">
        <v>13.4091</v>
      </c>
      <c r="J568" s="6">
        <v>14.1676</v>
      </c>
      <c r="K568" s="6">
        <v>14.6614</v>
      </c>
      <c r="L568" s="6">
        <v>15.0162</v>
      </c>
      <c r="M568" s="6">
        <v>15.367800000000001</v>
      </c>
      <c r="N568" s="6">
        <v>15.6815</v>
      </c>
      <c r="O568" s="6">
        <v>15.920500000000001</v>
      </c>
      <c r="P568" s="6">
        <v>16.081800000000001</v>
      </c>
      <c r="Q568" s="6"/>
    </row>
    <row r="569" spans="1:17">
      <c r="A569" s="5">
        <v>42285</v>
      </c>
      <c r="B569" s="5" t="str">
        <f t="shared" si="8"/>
        <v>2015 q4</v>
      </c>
      <c r="C569" s="6">
        <v>11.5488</v>
      </c>
      <c r="D569" s="6">
        <v>11.5746</v>
      </c>
      <c r="E569" s="6">
        <v>11.6279</v>
      </c>
      <c r="F569" s="6">
        <v>11.7263</v>
      </c>
      <c r="G569" s="6">
        <v>11.9925</v>
      </c>
      <c r="H569" s="6">
        <v>12.260400000000001</v>
      </c>
      <c r="I569" s="6">
        <v>13.3675</v>
      </c>
      <c r="J569" s="6">
        <v>14.132999999999999</v>
      </c>
      <c r="K569" s="6">
        <v>14.6409</v>
      </c>
      <c r="L569" s="6">
        <v>15.0059</v>
      </c>
      <c r="M569" s="6">
        <v>15.372400000000001</v>
      </c>
      <c r="N569" s="6">
        <v>15.699199999999999</v>
      </c>
      <c r="O569" s="6">
        <v>15.948499999999999</v>
      </c>
      <c r="P569" s="6">
        <v>16.116800000000001</v>
      </c>
      <c r="Q569" s="6"/>
    </row>
    <row r="570" spans="1:17">
      <c r="A570" s="5">
        <v>42286</v>
      </c>
      <c r="B570" s="5" t="str">
        <f t="shared" si="8"/>
        <v>2015 q4</v>
      </c>
      <c r="C570" s="6">
        <v>11.5627</v>
      </c>
      <c r="D570" s="6">
        <v>11.5846</v>
      </c>
      <c r="E570" s="6">
        <v>11.63</v>
      </c>
      <c r="F570" s="6">
        <v>11.7179</v>
      </c>
      <c r="G570" s="6">
        <v>11.967000000000001</v>
      </c>
      <c r="H570" s="6">
        <v>12.218500000000001</v>
      </c>
      <c r="I570" s="6">
        <v>13.3087</v>
      </c>
      <c r="J570" s="6">
        <v>14.088900000000001</v>
      </c>
      <c r="K570" s="6">
        <v>14.6229</v>
      </c>
      <c r="L570" s="6">
        <v>15.007999999999999</v>
      </c>
      <c r="M570" s="6">
        <v>15.4032</v>
      </c>
      <c r="N570" s="6">
        <v>15.755699999999999</v>
      </c>
      <c r="O570" s="6">
        <v>16.025400000000001</v>
      </c>
      <c r="P570" s="6">
        <v>16.2075</v>
      </c>
      <c r="Q570" s="6"/>
    </row>
    <row r="571" spans="1:17">
      <c r="A571" s="5">
        <v>42289</v>
      </c>
      <c r="B571" s="5" t="str">
        <f t="shared" si="8"/>
        <v>2015 q4</v>
      </c>
      <c r="C571" s="6">
        <v>11.5548</v>
      </c>
      <c r="D571" s="6">
        <v>11.579599999999999</v>
      </c>
      <c r="E571" s="6">
        <v>11.630699999999999</v>
      </c>
      <c r="F571" s="6">
        <v>11.728899999999999</v>
      </c>
      <c r="G571" s="6">
        <v>11.984400000000001</v>
      </c>
      <c r="H571" s="6">
        <v>12.242599999999999</v>
      </c>
      <c r="I571" s="6">
        <v>13.3367</v>
      </c>
      <c r="J571" s="6">
        <v>14.1106</v>
      </c>
      <c r="K571" s="6">
        <v>14.636699999999999</v>
      </c>
      <c r="L571" s="6">
        <v>15.0146</v>
      </c>
      <c r="M571" s="6">
        <v>15.4011</v>
      </c>
      <c r="N571" s="6">
        <v>15.7455</v>
      </c>
      <c r="O571" s="6">
        <v>16.008700000000001</v>
      </c>
      <c r="P571" s="6">
        <v>16.186599999999999</v>
      </c>
      <c r="Q571" s="6"/>
    </row>
    <row r="572" spans="1:17">
      <c r="A572" s="5">
        <v>42290</v>
      </c>
      <c r="B572" s="5" t="str">
        <f t="shared" si="8"/>
        <v>2015 q4</v>
      </c>
      <c r="C572" s="6">
        <v>11.498799999999999</v>
      </c>
      <c r="D572" s="6">
        <v>11.5427</v>
      </c>
      <c r="E572" s="6">
        <v>11.6334</v>
      </c>
      <c r="F572" s="6">
        <v>11.7897</v>
      </c>
      <c r="G572" s="6">
        <v>12.057700000000001</v>
      </c>
      <c r="H572" s="6">
        <v>12.3614</v>
      </c>
      <c r="I572" s="6">
        <v>13.4496</v>
      </c>
      <c r="J572" s="6">
        <v>14.179600000000001</v>
      </c>
      <c r="K572" s="6">
        <v>14.662100000000001</v>
      </c>
      <c r="L572" s="6">
        <v>15.004099999999999</v>
      </c>
      <c r="M572" s="6">
        <v>15.349600000000001</v>
      </c>
      <c r="N572" s="6">
        <v>15.656000000000001</v>
      </c>
      <c r="O572" s="6">
        <v>15.89</v>
      </c>
      <c r="P572" s="6">
        <v>16.048200000000001</v>
      </c>
      <c r="Q572" s="6"/>
    </row>
    <row r="573" spans="1:17">
      <c r="A573" s="5">
        <v>42291</v>
      </c>
      <c r="B573" s="5" t="str">
        <f t="shared" si="8"/>
        <v>2015 q4</v>
      </c>
      <c r="C573" s="6">
        <v>11.5175</v>
      </c>
      <c r="D573" s="6">
        <v>11.555300000000001</v>
      </c>
      <c r="E573" s="6">
        <v>11.6333</v>
      </c>
      <c r="F573" s="6">
        <v>11.7765</v>
      </c>
      <c r="G573" s="6">
        <v>12.052199999999999</v>
      </c>
      <c r="H573" s="6">
        <v>12.3696</v>
      </c>
      <c r="I573" s="6">
        <v>13.498200000000001</v>
      </c>
      <c r="J573" s="6">
        <v>14.2401</v>
      </c>
      <c r="K573" s="6">
        <v>14.7217</v>
      </c>
      <c r="L573" s="6">
        <v>15.099</v>
      </c>
      <c r="M573" s="6">
        <v>15.4254</v>
      </c>
      <c r="N573" s="6">
        <v>15.699199999999999</v>
      </c>
      <c r="O573" s="6">
        <v>15.9278</v>
      </c>
      <c r="P573" s="6">
        <v>16.0825</v>
      </c>
      <c r="Q573" s="6"/>
    </row>
    <row r="574" spans="1:17">
      <c r="A574" s="5">
        <v>42292</v>
      </c>
      <c r="B574" s="5" t="str">
        <f t="shared" si="8"/>
        <v>2015 q4</v>
      </c>
      <c r="C574" s="6">
        <v>11.4924</v>
      </c>
      <c r="D574" s="6">
        <v>11.5413</v>
      </c>
      <c r="E574" s="6">
        <v>11.642300000000001</v>
      </c>
      <c r="F574" s="6">
        <v>11.804600000000001</v>
      </c>
      <c r="G574" s="6">
        <v>12.018000000000001</v>
      </c>
      <c r="H574" s="6">
        <v>12.26</v>
      </c>
      <c r="I574" s="6">
        <v>13.190899999999999</v>
      </c>
      <c r="J574" s="6">
        <v>13.9041</v>
      </c>
      <c r="K574" s="6">
        <v>14.4589</v>
      </c>
      <c r="L574" s="6">
        <v>14.867900000000001</v>
      </c>
      <c r="M574" s="6">
        <v>15.342000000000001</v>
      </c>
      <c r="N574" s="6">
        <v>15.769299999999999</v>
      </c>
      <c r="O574" s="6">
        <v>16.104600000000001</v>
      </c>
      <c r="P574" s="6">
        <v>16.331900000000001</v>
      </c>
      <c r="Q574" s="6"/>
    </row>
    <row r="575" spans="1:17">
      <c r="A575" s="5">
        <v>42293</v>
      </c>
      <c r="B575" s="5" t="str">
        <f t="shared" si="8"/>
        <v>2015 q4</v>
      </c>
      <c r="C575" s="6">
        <v>11.528600000000001</v>
      </c>
      <c r="D575" s="6">
        <v>11.5623</v>
      </c>
      <c r="E575" s="6">
        <v>11.6319</v>
      </c>
      <c r="F575" s="6">
        <v>11.7651</v>
      </c>
      <c r="G575" s="6">
        <v>12.0252</v>
      </c>
      <c r="H575" s="6">
        <v>12.332000000000001</v>
      </c>
      <c r="I575" s="6">
        <v>13.434699999999999</v>
      </c>
      <c r="J575" s="6">
        <v>14.178000000000001</v>
      </c>
      <c r="K575" s="6">
        <v>14.6714</v>
      </c>
      <c r="L575" s="6">
        <v>15.0182</v>
      </c>
      <c r="M575" s="6">
        <v>15.370100000000001</v>
      </c>
      <c r="N575" s="6">
        <v>15.680999999999999</v>
      </c>
      <c r="O575" s="6">
        <v>15.918699999999999</v>
      </c>
      <c r="P575" s="6">
        <v>16.079499999999999</v>
      </c>
      <c r="Q575" s="6"/>
    </row>
    <row r="576" spans="1:17">
      <c r="A576" s="5">
        <v>42296</v>
      </c>
      <c r="B576" s="5" t="str">
        <f t="shared" si="8"/>
        <v>2015 q4</v>
      </c>
      <c r="C576" s="6">
        <v>11.5397</v>
      </c>
      <c r="D576" s="6">
        <v>11.5693</v>
      </c>
      <c r="E576" s="6">
        <v>11.6304</v>
      </c>
      <c r="F576" s="6">
        <v>11.7582</v>
      </c>
      <c r="G576" s="6">
        <v>12.0352</v>
      </c>
      <c r="H576" s="6">
        <v>12.3605</v>
      </c>
      <c r="I576" s="6">
        <v>13.512</v>
      </c>
      <c r="J576" s="6">
        <v>14.260199999999999</v>
      </c>
      <c r="K576" s="6">
        <v>14.742599999999999</v>
      </c>
      <c r="L576" s="6">
        <v>15.078900000000001</v>
      </c>
      <c r="M576" s="6">
        <v>15.414400000000001</v>
      </c>
      <c r="N576" s="6">
        <v>15.7102</v>
      </c>
      <c r="O576" s="6">
        <v>15.9359</v>
      </c>
      <c r="P576" s="6">
        <v>16.088699999999999</v>
      </c>
      <c r="Q576" s="6"/>
    </row>
    <row r="577" spans="1:17">
      <c r="A577" s="5">
        <v>42297</v>
      </c>
      <c r="B577" s="5" t="str">
        <f t="shared" si="8"/>
        <v>2015 q4</v>
      </c>
      <c r="C577" s="6">
        <v>11.521800000000001</v>
      </c>
      <c r="D577" s="6">
        <v>11.5589</v>
      </c>
      <c r="E577" s="6">
        <v>11.635300000000001</v>
      </c>
      <c r="F577" s="6">
        <v>11.7516</v>
      </c>
      <c r="G577" s="6">
        <v>12.0113</v>
      </c>
      <c r="H577" s="6">
        <v>12.311500000000001</v>
      </c>
      <c r="I577" s="6">
        <v>13.4002</v>
      </c>
      <c r="J577" s="6">
        <v>14.1493</v>
      </c>
      <c r="K577" s="6">
        <v>14.6592</v>
      </c>
      <c r="L577" s="6">
        <v>15.0154</v>
      </c>
      <c r="M577" s="6">
        <v>15.384499999999999</v>
      </c>
      <c r="N577" s="6">
        <v>15.7096</v>
      </c>
      <c r="O577" s="6">
        <v>15.9587</v>
      </c>
      <c r="P577" s="6">
        <v>16.127400000000002</v>
      </c>
      <c r="Q577" s="6"/>
    </row>
    <row r="578" spans="1:17">
      <c r="A578" s="5">
        <v>42298</v>
      </c>
      <c r="B578" s="5" t="str">
        <f t="shared" si="8"/>
        <v>2015 q4</v>
      </c>
      <c r="C578" s="6">
        <v>11.5273</v>
      </c>
      <c r="D578" s="6">
        <v>11.555199999999999</v>
      </c>
      <c r="E578" s="6">
        <v>11.6129</v>
      </c>
      <c r="F578" s="6">
        <v>11.704499999999999</v>
      </c>
      <c r="G578" s="6">
        <v>12.021100000000001</v>
      </c>
      <c r="H578" s="6">
        <v>12.374499999999999</v>
      </c>
      <c r="I578" s="6">
        <v>13.589</v>
      </c>
      <c r="J578" s="6">
        <v>14.3283</v>
      </c>
      <c r="K578" s="6">
        <v>14.7857</v>
      </c>
      <c r="L578" s="6">
        <v>15.098599999999999</v>
      </c>
      <c r="M578" s="6">
        <v>15.405799999999999</v>
      </c>
      <c r="N578" s="6">
        <v>15.675000000000001</v>
      </c>
      <c r="O578" s="6">
        <v>15.8804</v>
      </c>
      <c r="P578" s="6">
        <v>16.019500000000001</v>
      </c>
      <c r="Q578" s="6"/>
    </row>
    <row r="579" spans="1:17">
      <c r="A579" s="5">
        <v>42299</v>
      </c>
      <c r="B579" s="5" t="str">
        <f t="shared" ref="B579:B642" si="9">YEAR(A579)&amp;" q"&amp;ROUNDUP(MONTH(A579)/3,0)</f>
        <v>2015 q4</v>
      </c>
      <c r="C579" s="6">
        <v>11.5253</v>
      </c>
      <c r="D579" s="6">
        <v>11.5495</v>
      </c>
      <c r="E579" s="6">
        <v>11.599399999999999</v>
      </c>
      <c r="F579" s="6">
        <v>11.6816</v>
      </c>
      <c r="G579" s="6">
        <v>11.986499999999999</v>
      </c>
      <c r="H579" s="6">
        <v>12.333399999999999</v>
      </c>
      <c r="I579" s="6">
        <v>13.534700000000001</v>
      </c>
      <c r="J579" s="6">
        <v>14.2781</v>
      </c>
      <c r="K579" s="6">
        <v>14.7439</v>
      </c>
      <c r="L579" s="6">
        <v>15.062200000000001</v>
      </c>
      <c r="M579" s="6">
        <v>15.376799999999999</v>
      </c>
      <c r="N579" s="6">
        <v>15.6523</v>
      </c>
      <c r="O579" s="6">
        <v>15.862500000000001</v>
      </c>
      <c r="P579" s="6">
        <v>16.004999999999999</v>
      </c>
      <c r="Q579" s="6"/>
    </row>
    <row r="580" spans="1:17">
      <c r="A580" s="5">
        <v>42300</v>
      </c>
      <c r="B580" s="5" t="str">
        <f t="shared" si="9"/>
        <v>2015 q4</v>
      </c>
      <c r="C580" s="6">
        <v>11.4945</v>
      </c>
      <c r="D580" s="6">
        <v>11.532299999999999</v>
      </c>
      <c r="E580" s="6">
        <v>11.610300000000001</v>
      </c>
      <c r="F580" s="6">
        <v>11.733599999999999</v>
      </c>
      <c r="G580" s="6">
        <v>11.9979</v>
      </c>
      <c r="H580" s="6">
        <v>12.2996</v>
      </c>
      <c r="I580" s="6">
        <v>13.3864</v>
      </c>
      <c r="J580" s="6">
        <v>14.1242</v>
      </c>
      <c r="K580" s="6">
        <v>14.6249</v>
      </c>
      <c r="L580" s="6">
        <v>14.971399999999999</v>
      </c>
      <c r="M580" s="6">
        <v>15.331099999999999</v>
      </c>
      <c r="N580" s="6">
        <v>15.646699999999999</v>
      </c>
      <c r="O580" s="6">
        <v>15.8886</v>
      </c>
      <c r="P580" s="6">
        <v>16.052600000000002</v>
      </c>
      <c r="Q580" s="6"/>
    </row>
    <row r="581" spans="1:17">
      <c r="A581" s="5">
        <v>42303</v>
      </c>
      <c r="B581" s="5" t="str">
        <f t="shared" si="9"/>
        <v>2015 q4</v>
      </c>
      <c r="C581" s="6">
        <v>11.515700000000001</v>
      </c>
      <c r="D581" s="6">
        <v>11.5449</v>
      </c>
      <c r="E581" s="6">
        <v>11.6052</v>
      </c>
      <c r="F581" s="6">
        <v>11.7065</v>
      </c>
      <c r="G581" s="6">
        <v>11.999000000000001</v>
      </c>
      <c r="H581" s="6">
        <v>12.3332</v>
      </c>
      <c r="I581" s="6">
        <v>13.506399999999999</v>
      </c>
      <c r="J581" s="6">
        <v>14.256500000000001</v>
      </c>
      <c r="K581" s="6">
        <v>14.741300000000001</v>
      </c>
      <c r="L581" s="6">
        <v>15.0724</v>
      </c>
      <c r="M581" s="6">
        <v>15.405799999999999</v>
      </c>
      <c r="N581" s="6">
        <v>15.6973</v>
      </c>
      <c r="O581" s="6">
        <v>15.920199999999999</v>
      </c>
      <c r="P581" s="6">
        <v>16.071300000000001</v>
      </c>
      <c r="Q581" s="6"/>
    </row>
    <row r="582" spans="1:17">
      <c r="A582" s="5">
        <v>42304</v>
      </c>
      <c r="B582" s="5" t="str">
        <f t="shared" si="9"/>
        <v>2015 q4</v>
      </c>
      <c r="C582" s="6">
        <v>11.319599999999999</v>
      </c>
      <c r="D582" s="6">
        <v>11.380800000000001</v>
      </c>
      <c r="E582" s="6">
        <v>11.5069</v>
      </c>
      <c r="F582" s="6">
        <v>11.7042</v>
      </c>
      <c r="G582" s="6">
        <v>11.990399999999999</v>
      </c>
      <c r="H582" s="6">
        <v>12.3094</v>
      </c>
      <c r="I582" s="6">
        <v>13.442</v>
      </c>
      <c r="J582" s="6">
        <v>14.188700000000001</v>
      </c>
      <c r="K582" s="6">
        <v>14.6899</v>
      </c>
      <c r="L582" s="6">
        <v>15.0748</v>
      </c>
      <c r="M582" s="6">
        <v>15.412000000000001</v>
      </c>
      <c r="N582" s="6">
        <v>15.694699999999999</v>
      </c>
      <c r="O582" s="6">
        <v>15.9315</v>
      </c>
      <c r="P582" s="6">
        <v>16.092300000000002</v>
      </c>
      <c r="Q582" s="6"/>
    </row>
    <row r="583" spans="1:17">
      <c r="A583" s="5">
        <v>42305</v>
      </c>
      <c r="B583" s="5" t="str">
        <f t="shared" si="9"/>
        <v>2015 q4</v>
      </c>
      <c r="C583" s="6">
        <v>11.304</v>
      </c>
      <c r="D583" s="6">
        <v>11.3689</v>
      </c>
      <c r="E583" s="6">
        <v>11.503</v>
      </c>
      <c r="F583" s="6">
        <v>11.713800000000001</v>
      </c>
      <c r="G583" s="6">
        <v>12.0182</v>
      </c>
      <c r="H583" s="6">
        <v>12.351100000000001</v>
      </c>
      <c r="I583" s="6">
        <v>13.513199999999999</v>
      </c>
      <c r="J583" s="6">
        <v>14.252599999999999</v>
      </c>
      <c r="K583" s="6">
        <v>14.7371</v>
      </c>
      <c r="L583" s="6">
        <v>15.0649</v>
      </c>
      <c r="M583" s="6">
        <v>15.399900000000001</v>
      </c>
      <c r="N583" s="6">
        <v>15.6915</v>
      </c>
      <c r="O583" s="6">
        <v>15.914899999999999</v>
      </c>
      <c r="P583" s="6">
        <v>16.066500000000001</v>
      </c>
      <c r="Q583" s="6"/>
    </row>
    <row r="584" spans="1:17">
      <c r="A584" s="5">
        <v>42306</v>
      </c>
      <c r="B584" s="5" t="str">
        <f t="shared" si="9"/>
        <v>2015 q4</v>
      </c>
      <c r="C584" s="6">
        <v>11.265700000000001</v>
      </c>
      <c r="D584" s="6">
        <v>11.341799999999999</v>
      </c>
      <c r="E584" s="6">
        <v>11.498799999999999</v>
      </c>
      <c r="F584" s="6">
        <v>11.7417</v>
      </c>
      <c r="G584" s="6">
        <v>12.047499999999999</v>
      </c>
      <c r="H584" s="6">
        <v>12.3667</v>
      </c>
      <c r="I584" s="6">
        <v>13.5054</v>
      </c>
      <c r="J584" s="6">
        <v>14.199299999999999</v>
      </c>
      <c r="K584" s="6">
        <v>14.679600000000001</v>
      </c>
      <c r="L584" s="6">
        <v>15.0054</v>
      </c>
      <c r="M584" s="6">
        <v>15.344200000000001</v>
      </c>
      <c r="N584" s="6">
        <v>15.639200000000001</v>
      </c>
      <c r="O584" s="6">
        <v>15.865500000000001</v>
      </c>
      <c r="P584" s="6">
        <v>16.019200000000001</v>
      </c>
      <c r="Q584" s="6"/>
    </row>
    <row r="585" spans="1:17">
      <c r="A585" s="5">
        <v>42307</v>
      </c>
      <c r="B585" s="5" t="str">
        <f t="shared" si="9"/>
        <v>2015 q4</v>
      </c>
      <c r="C585" s="6">
        <v>11.4223</v>
      </c>
      <c r="D585" s="6">
        <v>11.46</v>
      </c>
      <c r="E585" s="6">
        <v>11.537800000000001</v>
      </c>
      <c r="F585" s="6">
        <v>11.682499999999999</v>
      </c>
      <c r="G585" s="6">
        <v>12.0441</v>
      </c>
      <c r="H585" s="6">
        <v>12.4575</v>
      </c>
      <c r="I585" s="6">
        <v>13.818099999999999</v>
      </c>
      <c r="J585" s="6">
        <v>14.5754</v>
      </c>
      <c r="K585" s="6">
        <v>15.022500000000001</v>
      </c>
      <c r="L585" s="6">
        <v>15.318300000000001</v>
      </c>
      <c r="M585" s="6">
        <v>15.607100000000001</v>
      </c>
      <c r="N585" s="6">
        <v>15.881500000000001</v>
      </c>
      <c r="O585" s="6">
        <v>16.0488</v>
      </c>
      <c r="P585" s="6">
        <v>16.178799999999999</v>
      </c>
      <c r="Q585" s="6"/>
    </row>
    <row r="586" spans="1:17">
      <c r="A586" s="5">
        <v>42310</v>
      </c>
      <c r="B586" s="5" t="str">
        <f t="shared" si="9"/>
        <v>2015 q4</v>
      </c>
      <c r="C586" s="6">
        <v>11.331799999999999</v>
      </c>
      <c r="D586" s="6">
        <v>11.3931</v>
      </c>
      <c r="E586" s="6">
        <v>11.519600000000001</v>
      </c>
      <c r="F586" s="6">
        <v>11.725899999999999</v>
      </c>
      <c r="G586" s="6">
        <v>12.0518</v>
      </c>
      <c r="H586" s="6">
        <v>12.416700000000001</v>
      </c>
      <c r="I586" s="6">
        <v>13.6845</v>
      </c>
      <c r="J586" s="6">
        <v>14.481</v>
      </c>
      <c r="K586" s="6">
        <v>14.9991</v>
      </c>
      <c r="L586" s="6">
        <v>15.345599999999999</v>
      </c>
      <c r="M586" s="6">
        <v>15.699299999999999</v>
      </c>
      <c r="N586" s="6">
        <v>16.035499999999999</v>
      </c>
      <c r="O586" s="6">
        <v>16.2409</v>
      </c>
      <c r="P586" s="6">
        <v>16.400500000000001</v>
      </c>
      <c r="Q586" s="6"/>
    </row>
    <row r="587" spans="1:17">
      <c r="A587" s="5">
        <v>42311</v>
      </c>
      <c r="B587" s="5" t="str">
        <f t="shared" si="9"/>
        <v>2015 q4</v>
      </c>
      <c r="C587" s="6">
        <v>11.551299999999999</v>
      </c>
      <c r="D587" s="6">
        <v>11.5565</v>
      </c>
      <c r="E587" s="6">
        <v>11.567299999999999</v>
      </c>
      <c r="F587" s="6">
        <v>11.6349</v>
      </c>
      <c r="G587" s="6">
        <v>11.9643</v>
      </c>
      <c r="H587" s="6">
        <v>12.295</v>
      </c>
      <c r="I587" s="6">
        <v>13.6172</v>
      </c>
      <c r="J587" s="6">
        <v>14.413399999999999</v>
      </c>
      <c r="K587" s="6">
        <v>14.9087</v>
      </c>
      <c r="L587" s="6">
        <v>15.2341</v>
      </c>
      <c r="M587" s="6">
        <v>15.5596</v>
      </c>
      <c r="N587" s="6">
        <v>15.840400000000001</v>
      </c>
      <c r="O587" s="6">
        <v>16.055499999999999</v>
      </c>
      <c r="P587" s="6">
        <v>16.201699999999999</v>
      </c>
      <c r="Q587" s="6"/>
    </row>
    <row r="588" spans="1:17">
      <c r="A588" s="5">
        <v>42312</v>
      </c>
      <c r="B588" s="5" t="str">
        <f t="shared" si="9"/>
        <v>2015 q4</v>
      </c>
      <c r="C588" s="6">
        <v>11.5349</v>
      </c>
      <c r="D588" s="6">
        <v>11.545</v>
      </c>
      <c r="E588" s="6">
        <v>11.5657</v>
      </c>
      <c r="F588" s="6">
        <v>11.6465</v>
      </c>
      <c r="G588" s="6">
        <v>11.961499999999999</v>
      </c>
      <c r="H588" s="6">
        <v>12.278700000000001</v>
      </c>
      <c r="I588" s="6">
        <v>13.614000000000001</v>
      </c>
      <c r="J588" s="6">
        <v>14.4559</v>
      </c>
      <c r="K588" s="6">
        <v>15.0006</v>
      </c>
      <c r="L588" s="6">
        <v>15.359500000000001</v>
      </c>
      <c r="M588" s="6">
        <v>15.725199999999999</v>
      </c>
      <c r="N588" s="6">
        <v>16.040700000000001</v>
      </c>
      <c r="O588" s="6">
        <v>16.282499999999999</v>
      </c>
      <c r="P588" s="6">
        <v>16.446999999999999</v>
      </c>
      <c r="Q588" s="6"/>
    </row>
    <row r="589" spans="1:17">
      <c r="A589" s="5">
        <v>42313</v>
      </c>
      <c r="B589" s="5" t="str">
        <f t="shared" si="9"/>
        <v>2015 q4</v>
      </c>
      <c r="C589" s="6">
        <v>11.399800000000001</v>
      </c>
      <c r="D589" s="6">
        <v>11.446899999999999</v>
      </c>
      <c r="E589" s="6">
        <v>11.5441</v>
      </c>
      <c r="F589" s="6">
        <v>11.717499999999999</v>
      </c>
      <c r="G589" s="6">
        <v>12.012</v>
      </c>
      <c r="H589" s="6">
        <v>12.308299999999999</v>
      </c>
      <c r="I589" s="6">
        <v>13.519399999999999</v>
      </c>
      <c r="J589" s="6">
        <v>14.3483</v>
      </c>
      <c r="K589" s="6">
        <v>14.930899999999999</v>
      </c>
      <c r="L589" s="6">
        <v>15.321199999999999</v>
      </c>
      <c r="M589" s="6">
        <v>15.7417</v>
      </c>
      <c r="N589" s="6">
        <v>16.140499999999999</v>
      </c>
      <c r="O589" s="6">
        <v>16.3855</v>
      </c>
      <c r="P589" s="6">
        <v>16.5761</v>
      </c>
      <c r="Q589" s="6"/>
    </row>
    <row r="590" spans="1:17">
      <c r="A590" s="5">
        <v>42314</v>
      </c>
      <c r="B590" s="5" t="str">
        <f t="shared" si="9"/>
        <v>2015 q4</v>
      </c>
      <c r="C590" s="6">
        <v>11.488300000000001</v>
      </c>
      <c r="D590" s="6">
        <v>11.5121</v>
      </c>
      <c r="E590" s="6">
        <v>11.5611</v>
      </c>
      <c r="F590" s="6">
        <v>11.681800000000001</v>
      </c>
      <c r="G590" s="6">
        <v>11.994199999999999</v>
      </c>
      <c r="H590" s="6">
        <v>12.3102</v>
      </c>
      <c r="I590" s="6">
        <v>13.650700000000001</v>
      </c>
      <c r="J590" s="6">
        <v>14.5291</v>
      </c>
      <c r="K590" s="6">
        <v>15.120699999999999</v>
      </c>
      <c r="L590" s="6">
        <v>15.511100000000001</v>
      </c>
      <c r="M590" s="6">
        <v>15.919</v>
      </c>
      <c r="N590" s="6">
        <v>16.270499999999998</v>
      </c>
      <c r="O590" s="6">
        <v>16.540500000000002</v>
      </c>
      <c r="P590" s="6">
        <v>16.7242</v>
      </c>
      <c r="Q590" s="6"/>
    </row>
    <row r="591" spans="1:17">
      <c r="A591" s="5">
        <v>42317</v>
      </c>
      <c r="B591" s="5" t="str">
        <f t="shared" si="9"/>
        <v>2015 q4</v>
      </c>
      <c r="C591" s="6">
        <v>11.500500000000001</v>
      </c>
      <c r="D591" s="6">
        <v>11.520899999999999</v>
      </c>
      <c r="E591" s="6">
        <v>11.563000000000001</v>
      </c>
      <c r="F591" s="6">
        <v>11.679600000000001</v>
      </c>
      <c r="G591" s="6">
        <v>12.000400000000001</v>
      </c>
      <c r="H591" s="6">
        <v>12.325200000000001</v>
      </c>
      <c r="I591" s="6">
        <v>13.6693</v>
      </c>
      <c r="J591" s="6">
        <v>14.526300000000001</v>
      </c>
      <c r="K591" s="6">
        <v>15.092000000000001</v>
      </c>
      <c r="L591" s="6">
        <v>15.4626</v>
      </c>
      <c r="M591" s="6">
        <v>15.846</v>
      </c>
      <c r="N591" s="6">
        <v>16.175799999999999</v>
      </c>
      <c r="O591" s="6">
        <v>16.428899999999999</v>
      </c>
      <c r="P591" s="6">
        <v>16.601199999999999</v>
      </c>
      <c r="Q591" s="6"/>
    </row>
    <row r="592" spans="1:17">
      <c r="A592" s="5">
        <v>42318</v>
      </c>
      <c r="B592" s="5" t="str">
        <f t="shared" si="9"/>
        <v>2015 q4</v>
      </c>
      <c r="C592" s="6">
        <v>11.265599999999999</v>
      </c>
      <c r="D592" s="6">
        <v>11.355399999999999</v>
      </c>
      <c r="E592" s="6">
        <v>11.5406</v>
      </c>
      <c r="F592" s="6">
        <v>11.8338</v>
      </c>
      <c r="G592" s="6">
        <v>12.175000000000001</v>
      </c>
      <c r="H592" s="6">
        <v>12.5228</v>
      </c>
      <c r="I592" s="6">
        <v>13.7384</v>
      </c>
      <c r="J592" s="6">
        <v>14.5303</v>
      </c>
      <c r="K592" s="6">
        <v>15.0846</v>
      </c>
      <c r="L592" s="6">
        <v>15.451000000000001</v>
      </c>
      <c r="M592" s="6">
        <v>15.8505</v>
      </c>
      <c r="N592" s="6">
        <v>16.194199999999999</v>
      </c>
      <c r="O592" s="6">
        <v>16.459599999999998</v>
      </c>
      <c r="P592" s="6">
        <v>16.640499999999999</v>
      </c>
      <c r="Q592" s="6"/>
    </row>
    <row r="593" spans="1:17">
      <c r="A593" s="5">
        <v>42319</v>
      </c>
      <c r="B593" s="5" t="str">
        <f t="shared" si="9"/>
        <v>2015 q4</v>
      </c>
      <c r="C593" s="6">
        <v>11.2782</v>
      </c>
      <c r="D593" s="6">
        <v>11.365399999999999</v>
      </c>
      <c r="E593" s="6">
        <v>11.5456</v>
      </c>
      <c r="F593" s="6">
        <v>11.834099999999999</v>
      </c>
      <c r="G593" s="6">
        <v>12.1768</v>
      </c>
      <c r="H593" s="6">
        <v>12.5283</v>
      </c>
      <c r="I593" s="6">
        <v>13.749000000000001</v>
      </c>
      <c r="J593" s="6">
        <v>14.5314</v>
      </c>
      <c r="K593" s="6">
        <v>15.0724</v>
      </c>
      <c r="L593" s="6">
        <v>15.427300000000001</v>
      </c>
      <c r="M593" s="6">
        <v>15.811</v>
      </c>
      <c r="N593" s="6">
        <v>16.1403</v>
      </c>
      <c r="O593" s="6">
        <v>16.394300000000001</v>
      </c>
      <c r="P593" s="6">
        <v>16.567399999999999</v>
      </c>
      <c r="Q593" s="6"/>
    </row>
    <row r="594" spans="1:17">
      <c r="A594" s="5">
        <v>42320</v>
      </c>
      <c r="B594" s="5" t="str">
        <f t="shared" si="9"/>
        <v>2015 q4</v>
      </c>
      <c r="C594" s="6">
        <v>11.270200000000001</v>
      </c>
      <c r="D594" s="6">
        <v>11.3605</v>
      </c>
      <c r="E594" s="6">
        <v>11.546900000000001</v>
      </c>
      <c r="F594" s="6">
        <v>11.8429</v>
      </c>
      <c r="G594" s="6">
        <v>12.184900000000001</v>
      </c>
      <c r="H594" s="6">
        <v>12.5326</v>
      </c>
      <c r="I594" s="6">
        <v>13.7453</v>
      </c>
      <c r="J594" s="6">
        <v>14.5329</v>
      </c>
      <c r="K594" s="6">
        <v>15.085800000000001</v>
      </c>
      <c r="L594" s="6">
        <v>15.449199999999999</v>
      </c>
      <c r="M594" s="6">
        <v>15.8474</v>
      </c>
      <c r="N594" s="6">
        <v>16.1892</v>
      </c>
      <c r="O594" s="6">
        <v>16.453299999999999</v>
      </c>
      <c r="P594" s="6">
        <v>16.633400000000002</v>
      </c>
      <c r="Q594" s="6"/>
    </row>
    <row r="595" spans="1:17">
      <c r="A595" s="5">
        <v>42321</v>
      </c>
      <c r="B595" s="5" t="str">
        <f t="shared" si="9"/>
        <v>2015 q4</v>
      </c>
      <c r="C595" s="6">
        <v>10.677199999999999</v>
      </c>
      <c r="D595" s="6">
        <v>10.851000000000001</v>
      </c>
      <c r="E595" s="6">
        <v>11.2097</v>
      </c>
      <c r="F595" s="6">
        <v>11.726800000000001</v>
      </c>
      <c r="G595" s="6">
        <v>12.1828</v>
      </c>
      <c r="H595" s="6">
        <v>12.5449</v>
      </c>
      <c r="I595" s="6">
        <v>13.744300000000001</v>
      </c>
      <c r="J595" s="6">
        <v>14.493600000000001</v>
      </c>
      <c r="K595" s="6">
        <v>15.0396</v>
      </c>
      <c r="L595" s="6">
        <v>15.412699999999999</v>
      </c>
      <c r="M595" s="6">
        <v>15.8627</v>
      </c>
      <c r="N595" s="6">
        <v>16.297499999999999</v>
      </c>
      <c r="O595" s="6">
        <v>16.575800000000001</v>
      </c>
      <c r="P595" s="6">
        <v>16.792899999999999</v>
      </c>
      <c r="Q595" s="6"/>
    </row>
    <row r="596" spans="1:17">
      <c r="A596" s="5">
        <v>42324</v>
      </c>
      <c r="B596" s="5" t="str">
        <f t="shared" si="9"/>
        <v>2015 q4</v>
      </c>
      <c r="C596" s="6">
        <v>10.716799999999999</v>
      </c>
      <c r="D596" s="6">
        <v>10.8733</v>
      </c>
      <c r="E596" s="6">
        <v>11.196199999999999</v>
      </c>
      <c r="F596" s="6">
        <v>11.663399999999999</v>
      </c>
      <c r="G596" s="6">
        <v>12.0845</v>
      </c>
      <c r="H596" s="6">
        <v>12.456300000000001</v>
      </c>
      <c r="I596" s="6">
        <v>13.5909</v>
      </c>
      <c r="J596" s="6">
        <v>14.3576</v>
      </c>
      <c r="K596" s="6">
        <v>14.939500000000001</v>
      </c>
      <c r="L596" s="6">
        <v>15.346299999999999</v>
      </c>
      <c r="M596" s="6">
        <v>15.862299999999999</v>
      </c>
      <c r="N596" s="6">
        <v>16.369900000000001</v>
      </c>
      <c r="O596" s="6">
        <v>16.704000000000001</v>
      </c>
      <c r="P596" s="6">
        <v>16.965399999999999</v>
      </c>
      <c r="Q596" s="6"/>
    </row>
    <row r="597" spans="1:17">
      <c r="A597" s="5">
        <v>42325</v>
      </c>
      <c r="B597" s="5" t="str">
        <f t="shared" si="9"/>
        <v>2015 q4</v>
      </c>
      <c r="C597" s="6">
        <v>10.736599999999999</v>
      </c>
      <c r="D597" s="6">
        <v>10.9086</v>
      </c>
      <c r="E597" s="6">
        <v>11.2638</v>
      </c>
      <c r="F597" s="6">
        <v>11.7967</v>
      </c>
      <c r="G597" s="6">
        <v>12.2417</v>
      </c>
      <c r="H597" s="6">
        <v>12.6028</v>
      </c>
      <c r="I597" s="6">
        <v>13.7881</v>
      </c>
      <c r="J597" s="6">
        <v>14.5184</v>
      </c>
      <c r="K597" s="6">
        <v>15.0496</v>
      </c>
      <c r="L597" s="6">
        <v>15.407400000000001</v>
      </c>
      <c r="M597" s="6">
        <v>15.8385</v>
      </c>
      <c r="N597" s="6">
        <v>16.215199999999999</v>
      </c>
      <c r="O597" s="6">
        <v>16.516100000000002</v>
      </c>
      <c r="P597" s="6">
        <v>16.722200000000001</v>
      </c>
      <c r="Q597" s="6"/>
    </row>
    <row r="598" spans="1:17">
      <c r="A598" s="5">
        <v>42326</v>
      </c>
      <c r="B598" s="5" t="str">
        <f t="shared" si="9"/>
        <v>2015 q4</v>
      </c>
      <c r="C598" s="6">
        <v>10.7262</v>
      </c>
      <c r="D598" s="6">
        <v>10.8978</v>
      </c>
      <c r="E598" s="6">
        <v>11.2521</v>
      </c>
      <c r="F598" s="6">
        <v>11.7829</v>
      </c>
      <c r="G598" s="6">
        <v>12.2278</v>
      </c>
      <c r="H598" s="6">
        <v>12.5913</v>
      </c>
      <c r="I598" s="6">
        <v>13.787800000000001</v>
      </c>
      <c r="J598" s="6">
        <v>14.5312</v>
      </c>
      <c r="K598" s="6">
        <v>15.0763</v>
      </c>
      <c r="L598" s="6">
        <v>15.444000000000001</v>
      </c>
      <c r="M598" s="6">
        <v>15.891500000000001</v>
      </c>
      <c r="N598" s="6">
        <v>16.283000000000001</v>
      </c>
      <c r="O598" s="6">
        <v>16.596900000000002</v>
      </c>
      <c r="P598" s="6">
        <v>16.812000000000001</v>
      </c>
      <c r="Q598" s="6"/>
    </row>
    <row r="599" spans="1:17">
      <c r="A599" s="5">
        <v>42327</v>
      </c>
      <c r="B599" s="5" t="str">
        <f t="shared" si="9"/>
        <v>2015 q4</v>
      </c>
      <c r="C599" s="6">
        <v>10.681100000000001</v>
      </c>
      <c r="D599" s="6">
        <v>10.8591</v>
      </c>
      <c r="E599" s="6">
        <v>11.2265</v>
      </c>
      <c r="F599" s="6">
        <v>11.7761</v>
      </c>
      <c r="G599" s="6">
        <v>12.2326</v>
      </c>
      <c r="H599" s="6">
        <v>12.6028</v>
      </c>
      <c r="I599" s="6">
        <v>13.809100000000001</v>
      </c>
      <c r="J599" s="6">
        <v>14.5411</v>
      </c>
      <c r="K599" s="6">
        <v>15.0693</v>
      </c>
      <c r="L599" s="6">
        <v>15.420500000000001</v>
      </c>
      <c r="M599" s="6">
        <v>15.838900000000001</v>
      </c>
      <c r="N599" s="6">
        <v>16.201599999999999</v>
      </c>
      <c r="O599" s="6">
        <v>16.4892</v>
      </c>
      <c r="P599" s="6">
        <v>16.6861</v>
      </c>
      <c r="Q599" s="6"/>
    </row>
    <row r="600" spans="1:17">
      <c r="A600" s="5">
        <v>42328</v>
      </c>
      <c r="B600" s="5" t="str">
        <f t="shared" si="9"/>
        <v>2015 q4</v>
      </c>
      <c r="C600" s="6">
        <v>10.725099999999999</v>
      </c>
      <c r="D600" s="6">
        <v>10.895300000000001</v>
      </c>
      <c r="E600" s="6">
        <v>11.246600000000001</v>
      </c>
      <c r="F600" s="6">
        <v>11.7713</v>
      </c>
      <c r="G600" s="6">
        <v>12.213200000000001</v>
      </c>
      <c r="H600" s="6">
        <v>12.578200000000001</v>
      </c>
      <c r="I600" s="6">
        <v>13.783899999999999</v>
      </c>
      <c r="J600" s="6">
        <v>14.5419</v>
      </c>
      <c r="K600" s="6">
        <v>15.1046</v>
      </c>
      <c r="L600" s="6">
        <v>15.4846</v>
      </c>
      <c r="M600" s="6">
        <v>15.9542</v>
      </c>
      <c r="N600" s="6">
        <v>16.3659</v>
      </c>
      <c r="O600" s="6">
        <v>16.697800000000001</v>
      </c>
      <c r="P600" s="6">
        <v>16.925699999999999</v>
      </c>
      <c r="Q600" s="6"/>
    </row>
    <row r="601" spans="1:17">
      <c r="A601" s="5">
        <v>42331</v>
      </c>
      <c r="B601" s="5" t="str">
        <f t="shared" si="9"/>
        <v>2015 q4</v>
      </c>
      <c r="C601" s="6">
        <v>10.738899999999999</v>
      </c>
      <c r="D601" s="6">
        <v>10.9077</v>
      </c>
      <c r="E601" s="6">
        <v>11.2562</v>
      </c>
      <c r="F601" s="6">
        <v>11.776</v>
      </c>
      <c r="G601" s="6">
        <v>12.213800000000001</v>
      </c>
      <c r="H601" s="6">
        <v>12.5764</v>
      </c>
      <c r="I601" s="6">
        <v>13.7735</v>
      </c>
      <c r="J601" s="6">
        <v>14.5265</v>
      </c>
      <c r="K601" s="6">
        <v>15.0869</v>
      </c>
      <c r="L601" s="6">
        <v>15.464600000000001</v>
      </c>
      <c r="M601" s="6">
        <v>15.933</v>
      </c>
      <c r="N601" s="6">
        <v>16.343299999999999</v>
      </c>
      <c r="O601" s="6">
        <v>16.674399999999999</v>
      </c>
      <c r="P601" s="6">
        <v>16.901900000000001</v>
      </c>
      <c r="Q601" s="6"/>
    </row>
    <row r="602" spans="1:17">
      <c r="A602" s="5">
        <v>42332</v>
      </c>
      <c r="B602" s="5" t="str">
        <f t="shared" si="9"/>
        <v>2015 q4</v>
      </c>
      <c r="C602" s="6">
        <v>10.289099999999999</v>
      </c>
      <c r="D602" s="6">
        <v>10.532400000000001</v>
      </c>
      <c r="E602" s="6">
        <v>11.0336</v>
      </c>
      <c r="F602" s="6">
        <v>11.682600000000001</v>
      </c>
      <c r="G602" s="6">
        <v>12.222200000000001</v>
      </c>
      <c r="H602" s="6">
        <v>12.641500000000001</v>
      </c>
      <c r="I602" s="6">
        <v>13.940799999999999</v>
      </c>
      <c r="J602" s="6">
        <v>14.652699999999999</v>
      </c>
      <c r="K602" s="6">
        <v>15.1366</v>
      </c>
      <c r="L602" s="6">
        <v>15.4442</v>
      </c>
      <c r="M602" s="6">
        <v>15.7918</v>
      </c>
      <c r="N602" s="6">
        <v>16.087199999999999</v>
      </c>
      <c r="O602" s="6">
        <v>16.317699999999999</v>
      </c>
      <c r="P602" s="6">
        <v>16.4755</v>
      </c>
      <c r="Q602" s="6"/>
    </row>
    <row r="603" spans="1:17">
      <c r="A603" s="5">
        <v>42333</v>
      </c>
      <c r="B603" s="5" t="str">
        <f t="shared" si="9"/>
        <v>2015 q4</v>
      </c>
      <c r="C603" s="6">
        <v>10.2912</v>
      </c>
      <c r="D603" s="6">
        <v>10.5365</v>
      </c>
      <c r="E603" s="6">
        <v>11.040800000000001</v>
      </c>
      <c r="F603" s="6">
        <v>11.6929</v>
      </c>
      <c r="G603" s="6">
        <v>12.2334</v>
      </c>
      <c r="H603" s="6">
        <v>12.653499999999999</v>
      </c>
      <c r="I603" s="6">
        <v>13.9504</v>
      </c>
      <c r="J603" s="6">
        <v>14.657</v>
      </c>
      <c r="K603" s="6">
        <v>15.1365</v>
      </c>
      <c r="L603" s="6">
        <v>15.440099999999999</v>
      </c>
      <c r="M603" s="6">
        <v>15.782999999999999</v>
      </c>
      <c r="N603" s="6">
        <v>16.074000000000002</v>
      </c>
      <c r="O603" s="6">
        <v>16.300899999999999</v>
      </c>
      <c r="P603" s="6">
        <v>16.456199999999999</v>
      </c>
      <c r="Q603" s="6"/>
    </row>
    <row r="604" spans="1:17">
      <c r="A604" s="5">
        <v>42334</v>
      </c>
      <c r="B604" s="5" t="str">
        <f t="shared" si="9"/>
        <v>2015 q4</v>
      </c>
      <c r="C604" s="6">
        <v>10.2912</v>
      </c>
      <c r="D604" s="6">
        <v>10.539099999999999</v>
      </c>
      <c r="E604" s="6">
        <v>11.047700000000001</v>
      </c>
      <c r="F604" s="6">
        <v>11.703900000000001</v>
      </c>
      <c r="G604" s="6">
        <v>12.245200000000001</v>
      </c>
      <c r="H604" s="6">
        <v>12.6652</v>
      </c>
      <c r="I604" s="6">
        <v>13.955399999999999</v>
      </c>
      <c r="J604" s="6">
        <v>14.652200000000001</v>
      </c>
      <c r="K604" s="6">
        <v>15.1233</v>
      </c>
      <c r="L604" s="6">
        <v>15.4201</v>
      </c>
      <c r="M604" s="6">
        <v>15.7546</v>
      </c>
      <c r="N604" s="6">
        <v>16.037800000000001</v>
      </c>
      <c r="O604" s="6">
        <v>16.258500000000002</v>
      </c>
      <c r="P604" s="6">
        <v>16.409700000000001</v>
      </c>
      <c r="Q604" s="6"/>
    </row>
    <row r="605" spans="1:17">
      <c r="A605" s="5">
        <v>42335</v>
      </c>
      <c r="B605" s="5" t="str">
        <f t="shared" si="9"/>
        <v>2015 q4</v>
      </c>
      <c r="C605" s="6">
        <v>10.3124</v>
      </c>
      <c r="D605" s="6">
        <v>10.5565</v>
      </c>
      <c r="E605" s="6">
        <v>11.0562</v>
      </c>
      <c r="F605" s="6">
        <v>11.7042</v>
      </c>
      <c r="G605" s="6">
        <v>12.2408</v>
      </c>
      <c r="H605" s="6">
        <v>12.6615</v>
      </c>
      <c r="I605" s="6">
        <v>13.959300000000001</v>
      </c>
      <c r="J605" s="6">
        <v>14.668799999999999</v>
      </c>
      <c r="K605" s="6">
        <v>15.1538</v>
      </c>
      <c r="L605" s="6">
        <v>15.4595</v>
      </c>
      <c r="M605" s="6">
        <v>15.807600000000001</v>
      </c>
      <c r="N605" s="6">
        <v>16.1309</v>
      </c>
      <c r="O605" s="6">
        <v>16.332699999999999</v>
      </c>
      <c r="P605" s="6">
        <v>16.490400000000001</v>
      </c>
      <c r="Q605" s="6"/>
    </row>
    <row r="606" spans="1:17">
      <c r="A606" s="5">
        <v>42338</v>
      </c>
      <c r="B606" s="5" t="str">
        <f t="shared" si="9"/>
        <v>2015 q4</v>
      </c>
      <c r="C606" s="6">
        <v>10.3057</v>
      </c>
      <c r="D606" s="6">
        <v>10.5547</v>
      </c>
      <c r="E606" s="6">
        <v>11.063000000000001</v>
      </c>
      <c r="F606" s="6">
        <v>11.7189</v>
      </c>
      <c r="G606" s="6">
        <v>12.2578</v>
      </c>
      <c r="H606" s="6">
        <v>12.6778</v>
      </c>
      <c r="I606" s="6">
        <v>13.9626</v>
      </c>
      <c r="J606" s="6">
        <v>14.6534</v>
      </c>
      <c r="K606" s="6">
        <v>15.121499999999999</v>
      </c>
      <c r="L606" s="6">
        <v>15.414400000000001</v>
      </c>
      <c r="M606" s="6">
        <v>15.745799999999999</v>
      </c>
      <c r="N606" s="6">
        <v>16.025500000000001</v>
      </c>
      <c r="O606" s="6">
        <v>16.2437</v>
      </c>
      <c r="P606" s="6">
        <v>16.3932</v>
      </c>
      <c r="Q606" s="6"/>
    </row>
    <row r="607" spans="1:17">
      <c r="A607" s="5">
        <v>42339</v>
      </c>
      <c r="B607" s="5" t="str">
        <f t="shared" si="9"/>
        <v>2015 q4</v>
      </c>
      <c r="C607" s="6">
        <v>10.338699999999999</v>
      </c>
      <c r="D607" s="6">
        <v>10.586499999999999</v>
      </c>
      <c r="E607" s="6">
        <v>11.0892</v>
      </c>
      <c r="F607" s="6">
        <v>11.739599999999999</v>
      </c>
      <c r="G607" s="6">
        <v>12.2723</v>
      </c>
      <c r="H607" s="6">
        <v>12.691800000000001</v>
      </c>
      <c r="I607" s="6">
        <v>13.970599999999999</v>
      </c>
      <c r="J607" s="6">
        <v>14.6585</v>
      </c>
      <c r="K607" s="6">
        <v>15.1281</v>
      </c>
      <c r="L607" s="6">
        <v>15.419499999999999</v>
      </c>
      <c r="M607" s="6">
        <v>15.7523</v>
      </c>
      <c r="N607" s="6">
        <v>16.032399999999999</v>
      </c>
      <c r="O607" s="6">
        <v>16.251100000000001</v>
      </c>
      <c r="P607" s="6">
        <v>16.4011</v>
      </c>
      <c r="Q607" s="6"/>
    </row>
    <row r="608" spans="1:17">
      <c r="A608" s="5">
        <v>42340</v>
      </c>
      <c r="B608" s="5" t="str">
        <f t="shared" si="9"/>
        <v>2015 q4</v>
      </c>
      <c r="C608" s="6">
        <v>10.3413</v>
      </c>
      <c r="D608" s="6">
        <v>10.591200000000001</v>
      </c>
      <c r="E608" s="6">
        <v>11.0967</v>
      </c>
      <c r="F608" s="6">
        <v>11.749700000000001</v>
      </c>
      <c r="G608" s="6">
        <v>12.282500000000001</v>
      </c>
      <c r="H608" s="6">
        <v>12.7019</v>
      </c>
      <c r="I608" s="6">
        <v>13.9754</v>
      </c>
      <c r="J608" s="6">
        <v>14.6557</v>
      </c>
      <c r="K608" s="6">
        <v>15.119400000000001</v>
      </c>
      <c r="L608" s="6">
        <v>15.405799999999999</v>
      </c>
      <c r="M608" s="6">
        <v>15.7326</v>
      </c>
      <c r="N608" s="6">
        <v>16.007100000000001</v>
      </c>
      <c r="O608" s="6">
        <v>16.221499999999999</v>
      </c>
      <c r="P608" s="6">
        <v>16.368500000000001</v>
      </c>
      <c r="Q608" s="6"/>
    </row>
    <row r="609" spans="1:17">
      <c r="A609" s="5">
        <v>42341</v>
      </c>
      <c r="B609" s="5" t="str">
        <f t="shared" si="9"/>
        <v>2015 q4</v>
      </c>
      <c r="C609" s="6">
        <v>10.342599999999999</v>
      </c>
      <c r="D609" s="6">
        <v>10.595000000000001</v>
      </c>
      <c r="E609" s="6">
        <v>11.104200000000001</v>
      </c>
      <c r="F609" s="6">
        <v>11.7608</v>
      </c>
      <c r="G609" s="6">
        <v>12.293900000000001</v>
      </c>
      <c r="H609" s="6">
        <v>12.7133</v>
      </c>
      <c r="I609" s="6">
        <v>13.9801</v>
      </c>
      <c r="J609" s="6">
        <v>14.651300000000001</v>
      </c>
      <c r="K609" s="6">
        <v>15.1074</v>
      </c>
      <c r="L609" s="6">
        <v>15.387700000000001</v>
      </c>
      <c r="M609" s="6">
        <v>15.707100000000001</v>
      </c>
      <c r="N609" s="6">
        <v>15.9749</v>
      </c>
      <c r="O609" s="6">
        <v>16.183900000000001</v>
      </c>
      <c r="P609" s="6">
        <v>16.327300000000001</v>
      </c>
      <c r="Q609" s="6"/>
    </row>
    <row r="610" spans="1:17">
      <c r="A610" s="5">
        <v>42342</v>
      </c>
      <c r="B610" s="5" t="str">
        <f t="shared" si="9"/>
        <v>2015 q4</v>
      </c>
      <c r="C610" s="6">
        <v>10.351000000000001</v>
      </c>
      <c r="D610" s="6">
        <v>10.6036</v>
      </c>
      <c r="E610" s="6">
        <v>11.1121</v>
      </c>
      <c r="F610" s="6">
        <v>11.767899999999999</v>
      </c>
      <c r="G610" s="6">
        <v>12.2995</v>
      </c>
      <c r="H610" s="6">
        <v>12.7189</v>
      </c>
      <c r="I610" s="6">
        <v>13.9834</v>
      </c>
      <c r="J610" s="6">
        <v>14.6526</v>
      </c>
      <c r="K610" s="6">
        <v>15.108000000000001</v>
      </c>
      <c r="L610" s="6">
        <v>15.387</v>
      </c>
      <c r="M610" s="6">
        <v>15.7057</v>
      </c>
      <c r="N610" s="6">
        <v>15.9726</v>
      </c>
      <c r="O610" s="6">
        <v>16.181000000000001</v>
      </c>
      <c r="P610" s="6">
        <v>16.323899999999998</v>
      </c>
      <c r="Q610" s="6"/>
    </row>
    <row r="611" spans="1:17">
      <c r="A611" s="5">
        <v>42345</v>
      </c>
      <c r="B611" s="5" t="str">
        <f t="shared" si="9"/>
        <v>2015 q4</v>
      </c>
      <c r="C611" s="6">
        <v>10.3711</v>
      </c>
      <c r="D611" s="6">
        <v>10.619899999999999</v>
      </c>
      <c r="E611" s="6">
        <v>11.120100000000001</v>
      </c>
      <c r="F611" s="6">
        <v>11.768000000000001</v>
      </c>
      <c r="G611" s="6">
        <v>12.295</v>
      </c>
      <c r="H611" s="6">
        <v>12.714499999999999</v>
      </c>
      <c r="I611" s="6">
        <v>13.9842</v>
      </c>
      <c r="J611" s="6">
        <v>14.6631</v>
      </c>
      <c r="K611" s="6">
        <v>15.1295</v>
      </c>
      <c r="L611" s="6">
        <v>15.4153</v>
      </c>
      <c r="M611" s="6">
        <v>15.7446</v>
      </c>
      <c r="N611" s="6">
        <v>16.020399999999999</v>
      </c>
      <c r="O611" s="6">
        <v>16.2361</v>
      </c>
      <c r="P611" s="6">
        <v>16.3841</v>
      </c>
      <c r="Q611" s="6"/>
    </row>
    <row r="612" spans="1:17">
      <c r="A612" s="5">
        <v>42346</v>
      </c>
      <c r="B612" s="5" t="str">
        <f t="shared" si="9"/>
        <v>2015 q4</v>
      </c>
      <c r="C612" s="6">
        <v>11.558299999999999</v>
      </c>
      <c r="D612" s="6">
        <v>11.5929</v>
      </c>
      <c r="E612" s="6">
        <v>11.664300000000001</v>
      </c>
      <c r="F612" s="6">
        <v>11.820399999999999</v>
      </c>
      <c r="G612" s="6">
        <v>12.1396</v>
      </c>
      <c r="H612" s="6">
        <v>12.459899999999999</v>
      </c>
      <c r="I612" s="6">
        <v>13.7318</v>
      </c>
      <c r="J612" s="6">
        <v>14.524800000000001</v>
      </c>
      <c r="K612" s="6">
        <v>15.085800000000001</v>
      </c>
      <c r="L612" s="6">
        <v>15.421200000000001</v>
      </c>
      <c r="M612" s="6">
        <v>15.798999999999999</v>
      </c>
      <c r="N612" s="6">
        <v>16.112200000000001</v>
      </c>
      <c r="O612" s="6">
        <v>16.355399999999999</v>
      </c>
      <c r="P612" s="6">
        <v>16.522400000000001</v>
      </c>
      <c r="Q612" s="6"/>
    </row>
    <row r="613" spans="1:17">
      <c r="A613" s="5">
        <v>42347</v>
      </c>
      <c r="B613" s="5" t="str">
        <f t="shared" si="9"/>
        <v>2015 q4</v>
      </c>
      <c r="C613" s="6">
        <v>11.578799999999999</v>
      </c>
      <c r="D613" s="6">
        <v>11.607699999999999</v>
      </c>
      <c r="E613" s="6">
        <v>11.667199999999999</v>
      </c>
      <c r="F613" s="6">
        <v>11.8118</v>
      </c>
      <c r="G613" s="6">
        <v>12.1296</v>
      </c>
      <c r="H613" s="6">
        <v>12.449</v>
      </c>
      <c r="I613" s="6">
        <v>13.729200000000001</v>
      </c>
      <c r="J613" s="6">
        <v>14.5221</v>
      </c>
      <c r="K613" s="6">
        <v>15.0815</v>
      </c>
      <c r="L613" s="6">
        <v>15.414199999999999</v>
      </c>
      <c r="M613" s="6">
        <v>15.7888</v>
      </c>
      <c r="N613" s="6">
        <v>16.098800000000001</v>
      </c>
      <c r="O613" s="6">
        <v>16.339600000000001</v>
      </c>
      <c r="P613" s="6">
        <v>16.504999999999999</v>
      </c>
      <c r="Q613" s="6"/>
    </row>
    <row r="614" spans="1:17">
      <c r="A614" s="5">
        <v>42348</v>
      </c>
      <c r="B614" s="5" t="str">
        <f t="shared" si="9"/>
        <v>2015 q4</v>
      </c>
      <c r="C614" s="6">
        <v>11.5299</v>
      </c>
      <c r="D614" s="6">
        <v>11.5732</v>
      </c>
      <c r="E614" s="6">
        <v>11.6625</v>
      </c>
      <c r="F614" s="6">
        <v>11.84</v>
      </c>
      <c r="G614" s="6">
        <v>12.146000000000001</v>
      </c>
      <c r="H614" s="6">
        <v>12.453799999999999</v>
      </c>
      <c r="I614" s="6">
        <v>13.6793</v>
      </c>
      <c r="J614" s="6">
        <v>14.548999999999999</v>
      </c>
      <c r="K614" s="6">
        <v>15.0939</v>
      </c>
      <c r="L614" s="6">
        <v>15.386799999999999</v>
      </c>
      <c r="M614" s="6">
        <v>15.784700000000001</v>
      </c>
      <c r="N614" s="6">
        <v>16.1142</v>
      </c>
      <c r="O614" s="6">
        <v>16.370799999999999</v>
      </c>
      <c r="P614" s="6">
        <v>16.5471</v>
      </c>
      <c r="Q614" s="6"/>
    </row>
    <row r="615" spans="1:17">
      <c r="A615" s="5">
        <v>42349</v>
      </c>
      <c r="B615" s="5" t="str">
        <f t="shared" si="9"/>
        <v>2015 q4</v>
      </c>
      <c r="C615" s="6">
        <v>11.5665</v>
      </c>
      <c r="D615" s="6">
        <v>11.5997</v>
      </c>
      <c r="E615" s="6">
        <v>11.668100000000001</v>
      </c>
      <c r="F615" s="6">
        <v>11.8263</v>
      </c>
      <c r="G615" s="6">
        <v>12.1394</v>
      </c>
      <c r="H615" s="6">
        <v>12.4552</v>
      </c>
      <c r="I615" s="6">
        <v>13.731</v>
      </c>
      <c r="J615" s="6">
        <v>14.5359</v>
      </c>
      <c r="K615" s="6">
        <v>15.115399999999999</v>
      </c>
      <c r="L615" s="6">
        <v>15.4597</v>
      </c>
      <c r="M615" s="6">
        <v>15.8535</v>
      </c>
      <c r="N615" s="6">
        <v>16.178899999999999</v>
      </c>
      <c r="O615" s="6">
        <v>16.432099999999998</v>
      </c>
      <c r="P615" s="6">
        <v>16.606100000000001</v>
      </c>
      <c r="Q615" s="6"/>
    </row>
    <row r="616" spans="1:17">
      <c r="A616" s="5">
        <v>42352</v>
      </c>
      <c r="B616" s="5" t="str">
        <f t="shared" si="9"/>
        <v>2015 q4</v>
      </c>
      <c r="C616" s="6">
        <v>11.5808</v>
      </c>
      <c r="D616" s="6">
        <v>11.61</v>
      </c>
      <c r="E616" s="6">
        <v>11.6701</v>
      </c>
      <c r="F616" s="6">
        <v>11.8233</v>
      </c>
      <c r="G616" s="6">
        <v>12.1424</v>
      </c>
      <c r="H616" s="6">
        <v>12.464700000000001</v>
      </c>
      <c r="I616" s="6">
        <v>13.7415</v>
      </c>
      <c r="J616" s="6">
        <v>14.526400000000001</v>
      </c>
      <c r="K616" s="6">
        <v>15.0822</v>
      </c>
      <c r="L616" s="6">
        <v>15.4093</v>
      </c>
      <c r="M616" s="6">
        <v>15.780200000000001</v>
      </c>
      <c r="N616" s="6">
        <v>16.086099999999998</v>
      </c>
      <c r="O616" s="6">
        <v>16.323899999999998</v>
      </c>
      <c r="P616" s="6">
        <v>16.487400000000001</v>
      </c>
      <c r="Q616" s="6"/>
    </row>
    <row r="617" spans="1:17">
      <c r="A617" s="5">
        <v>42353</v>
      </c>
      <c r="B617" s="5" t="str">
        <f t="shared" si="9"/>
        <v>2015 q4</v>
      </c>
      <c r="C617" s="6">
        <v>11.3155</v>
      </c>
      <c r="D617" s="6">
        <v>11.4329</v>
      </c>
      <c r="E617" s="6">
        <v>11.6752</v>
      </c>
      <c r="F617" s="6">
        <v>12.0398</v>
      </c>
      <c r="G617" s="6">
        <v>12.405900000000001</v>
      </c>
      <c r="H617" s="6">
        <v>12.7378</v>
      </c>
      <c r="I617" s="6">
        <v>13.8468</v>
      </c>
      <c r="J617" s="6">
        <v>14.5341</v>
      </c>
      <c r="K617" s="6">
        <v>15.0472</v>
      </c>
      <c r="L617" s="6">
        <v>15.356</v>
      </c>
      <c r="M617" s="6">
        <v>15.728999999999999</v>
      </c>
      <c r="N617" s="6">
        <v>16.037600000000001</v>
      </c>
      <c r="O617" s="6">
        <v>16.279699999999998</v>
      </c>
      <c r="P617" s="6">
        <v>16.446400000000001</v>
      </c>
      <c r="Q617" s="6"/>
    </row>
    <row r="618" spans="1:17">
      <c r="A618" s="5">
        <v>42354</v>
      </c>
      <c r="B618" s="5" t="str">
        <f t="shared" si="9"/>
        <v>2015 q4</v>
      </c>
      <c r="C618" s="6">
        <v>11.316800000000001</v>
      </c>
      <c r="D618" s="6">
        <v>11.4344</v>
      </c>
      <c r="E618" s="6">
        <v>11.677300000000001</v>
      </c>
      <c r="F618" s="6">
        <v>12.047599999999999</v>
      </c>
      <c r="G618" s="6">
        <v>12.429399999999999</v>
      </c>
      <c r="H618" s="6">
        <v>12.7797</v>
      </c>
      <c r="I618" s="6">
        <v>13.9335</v>
      </c>
      <c r="J618" s="6">
        <v>14.622400000000001</v>
      </c>
      <c r="K618" s="6">
        <v>15.122999999999999</v>
      </c>
      <c r="L618" s="6">
        <v>15.4184</v>
      </c>
      <c r="M618" s="6">
        <v>15.7666</v>
      </c>
      <c r="N618" s="6">
        <v>16.0532</v>
      </c>
      <c r="O618" s="6">
        <v>16.277200000000001</v>
      </c>
      <c r="P618" s="6">
        <v>16.4314</v>
      </c>
      <c r="Q618" s="6"/>
    </row>
    <row r="619" spans="1:17">
      <c r="A619" s="5">
        <v>42355</v>
      </c>
      <c r="B619" s="5" t="str">
        <f t="shared" si="9"/>
        <v>2015 q4</v>
      </c>
      <c r="C619" s="6">
        <v>11.3119</v>
      </c>
      <c r="D619" s="6">
        <v>11.432399999999999</v>
      </c>
      <c r="E619" s="6">
        <v>11.681100000000001</v>
      </c>
      <c r="F619" s="6">
        <v>12.0562</v>
      </c>
      <c r="G619" s="6">
        <v>12.4335</v>
      </c>
      <c r="H619" s="6">
        <v>12.7753</v>
      </c>
      <c r="I619" s="6">
        <v>13.9064</v>
      </c>
      <c r="J619" s="6">
        <v>14.5936</v>
      </c>
      <c r="K619" s="6">
        <v>15.1021</v>
      </c>
      <c r="L619" s="6">
        <v>15.404</v>
      </c>
      <c r="M619" s="6">
        <v>15.766400000000001</v>
      </c>
      <c r="N619" s="6">
        <v>16.065000000000001</v>
      </c>
      <c r="O619" s="6">
        <v>16.298999999999999</v>
      </c>
      <c r="P619" s="6">
        <v>16.460100000000001</v>
      </c>
      <c r="Q619" s="6"/>
    </row>
    <row r="620" spans="1:17">
      <c r="A620" s="5">
        <v>42356</v>
      </c>
      <c r="B620" s="5" t="str">
        <f t="shared" si="9"/>
        <v>2015 q4</v>
      </c>
      <c r="C620" s="6">
        <v>11.3024</v>
      </c>
      <c r="D620" s="6">
        <v>11.4268</v>
      </c>
      <c r="E620" s="6">
        <v>11.6836</v>
      </c>
      <c r="F620" s="6">
        <v>12.067299999999999</v>
      </c>
      <c r="G620" s="6">
        <v>12.4453</v>
      </c>
      <c r="H620" s="6">
        <v>12.781599999999999</v>
      </c>
      <c r="I620" s="6">
        <v>13.888500000000001</v>
      </c>
      <c r="J620" s="6">
        <v>14.5587</v>
      </c>
      <c r="K620" s="6">
        <v>15.0564</v>
      </c>
      <c r="L620" s="6">
        <v>15.351699999999999</v>
      </c>
      <c r="M620" s="6">
        <v>15.7087</v>
      </c>
      <c r="N620" s="6">
        <v>16.002600000000001</v>
      </c>
      <c r="O620" s="6">
        <v>16.2333</v>
      </c>
      <c r="P620" s="6">
        <v>16.392099999999999</v>
      </c>
      <c r="Q620" s="6"/>
    </row>
    <row r="621" spans="1:17">
      <c r="A621" s="5">
        <v>42359</v>
      </c>
      <c r="B621" s="5" t="str">
        <f t="shared" si="9"/>
        <v>2015 q4</v>
      </c>
      <c r="C621" s="6">
        <v>11.627599999999999</v>
      </c>
      <c r="D621" s="6">
        <v>11.6427</v>
      </c>
      <c r="E621" s="6">
        <v>11.6738</v>
      </c>
      <c r="F621" s="6">
        <v>11.827999999999999</v>
      </c>
      <c r="G621" s="6">
        <v>12.180099999999999</v>
      </c>
      <c r="H621" s="6">
        <v>12.5389</v>
      </c>
      <c r="I621" s="6">
        <v>13.864699999999999</v>
      </c>
      <c r="J621" s="6">
        <v>14.6167</v>
      </c>
      <c r="K621" s="6">
        <v>15.1302</v>
      </c>
      <c r="L621" s="6">
        <v>15.421200000000001</v>
      </c>
      <c r="M621" s="6">
        <v>15.7492</v>
      </c>
      <c r="N621" s="6">
        <v>16.016999999999999</v>
      </c>
      <c r="O621" s="6">
        <v>16.2255</v>
      </c>
      <c r="P621" s="6">
        <v>16.3691</v>
      </c>
      <c r="Q621" s="6"/>
    </row>
    <row r="622" spans="1:17">
      <c r="A622" s="5">
        <v>42360</v>
      </c>
      <c r="B622" s="5" t="str">
        <f t="shared" si="9"/>
        <v>2015 q4</v>
      </c>
      <c r="C622" s="6">
        <v>11.5168</v>
      </c>
      <c r="D622" s="6">
        <v>11.578200000000001</v>
      </c>
      <c r="E622" s="6">
        <v>11.705</v>
      </c>
      <c r="F622" s="6">
        <v>11.8969</v>
      </c>
      <c r="G622" s="6">
        <v>12.226599999999999</v>
      </c>
      <c r="H622" s="6">
        <v>12.5594</v>
      </c>
      <c r="I622" s="6">
        <v>13.7652</v>
      </c>
      <c r="J622" s="6">
        <v>14.5159</v>
      </c>
      <c r="K622" s="6">
        <v>15.0715</v>
      </c>
      <c r="L622" s="6">
        <v>15.391400000000001</v>
      </c>
      <c r="M622" s="6">
        <v>15.7715</v>
      </c>
      <c r="N622" s="6">
        <v>16.081499999999998</v>
      </c>
      <c r="O622" s="6">
        <v>16.324000000000002</v>
      </c>
      <c r="P622" s="6">
        <v>16.491199999999999</v>
      </c>
      <c r="Q622" s="6"/>
    </row>
    <row r="623" spans="1:17">
      <c r="A623" s="5">
        <v>42361</v>
      </c>
      <c r="B623" s="5" t="str">
        <f t="shared" si="9"/>
        <v>2015 q4</v>
      </c>
      <c r="C623" s="6">
        <v>11.4504</v>
      </c>
      <c r="D623" s="6">
        <v>11.527200000000001</v>
      </c>
      <c r="E623" s="6">
        <v>11.685600000000001</v>
      </c>
      <c r="F623" s="6">
        <v>11.9251</v>
      </c>
      <c r="G623" s="6">
        <v>12.245100000000001</v>
      </c>
      <c r="H623" s="6">
        <v>12.565899999999999</v>
      </c>
      <c r="I623" s="6">
        <v>13.704599999999999</v>
      </c>
      <c r="J623" s="6">
        <v>14.5185</v>
      </c>
      <c r="K623" s="6">
        <v>15.0427</v>
      </c>
      <c r="L623" s="6">
        <v>15.326499999999999</v>
      </c>
      <c r="M623" s="6">
        <v>15.727499999999999</v>
      </c>
      <c r="N623" s="6">
        <v>16.055299999999999</v>
      </c>
      <c r="O623" s="6">
        <v>16.3127</v>
      </c>
      <c r="P623" s="6">
        <v>16.490200000000002</v>
      </c>
      <c r="Q623" s="6"/>
    </row>
    <row r="624" spans="1:17">
      <c r="A624" s="5">
        <v>42362</v>
      </c>
      <c r="B624" s="5" t="str">
        <f t="shared" si="9"/>
        <v>2015 q4</v>
      </c>
      <c r="C624" s="6">
        <v>11.435700000000001</v>
      </c>
      <c r="D624" s="6">
        <v>11.511799999999999</v>
      </c>
      <c r="E624" s="6">
        <v>11.668699999999999</v>
      </c>
      <c r="F624" s="6">
        <v>11.9086</v>
      </c>
      <c r="G624" s="6">
        <v>12.2759</v>
      </c>
      <c r="H624" s="6">
        <v>12.643000000000001</v>
      </c>
      <c r="I624" s="6">
        <v>13.870900000000001</v>
      </c>
      <c r="J624" s="6">
        <v>14.5923</v>
      </c>
      <c r="K624" s="6">
        <v>15.1097</v>
      </c>
      <c r="L624" s="6">
        <v>15.401899999999999</v>
      </c>
      <c r="M624" s="6">
        <v>15.7438</v>
      </c>
      <c r="N624" s="6">
        <v>16.021599999999999</v>
      </c>
      <c r="O624" s="6">
        <v>16.238600000000002</v>
      </c>
      <c r="P624" s="6">
        <v>16.388300000000001</v>
      </c>
      <c r="Q624" s="6"/>
    </row>
    <row r="625" spans="1:17">
      <c r="A625" s="5">
        <v>42363</v>
      </c>
      <c r="B625" s="5" t="str">
        <f t="shared" si="9"/>
        <v>2015 q4</v>
      </c>
      <c r="C625" s="6">
        <v>10.2964</v>
      </c>
      <c r="D625" s="6">
        <v>10.501799999999999</v>
      </c>
      <c r="E625" s="6">
        <v>10.925700000000001</v>
      </c>
      <c r="F625" s="6">
        <v>11.5579</v>
      </c>
      <c r="G625" s="6">
        <v>12.051</v>
      </c>
      <c r="H625" s="6">
        <v>12.522</v>
      </c>
      <c r="I625" s="6">
        <v>13.756500000000001</v>
      </c>
      <c r="J625" s="6">
        <v>14.4764</v>
      </c>
      <c r="K625" s="6">
        <v>15.010400000000001</v>
      </c>
      <c r="L625" s="6">
        <v>15.386900000000001</v>
      </c>
      <c r="M625" s="6">
        <v>15.744999999999999</v>
      </c>
      <c r="N625" s="6">
        <v>16.0792</v>
      </c>
      <c r="O625" s="6">
        <v>16.307300000000001</v>
      </c>
      <c r="P625" s="6">
        <v>16.486699999999999</v>
      </c>
      <c r="Q625" s="6"/>
    </row>
    <row r="626" spans="1:17">
      <c r="A626" s="5">
        <v>42366</v>
      </c>
      <c r="B626" s="5" t="str">
        <f t="shared" si="9"/>
        <v>2015 q4</v>
      </c>
      <c r="C626" s="6">
        <v>10.266299999999999</v>
      </c>
      <c r="D626" s="6">
        <v>10.479100000000001</v>
      </c>
      <c r="E626" s="6">
        <v>10.9184</v>
      </c>
      <c r="F626" s="6">
        <v>11.5695</v>
      </c>
      <c r="G626" s="6">
        <v>12.0787</v>
      </c>
      <c r="H626" s="6">
        <v>12.563000000000001</v>
      </c>
      <c r="I626" s="6">
        <v>13.818199999999999</v>
      </c>
      <c r="J626" s="6">
        <v>14.5396</v>
      </c>
      <c r="K626" s="6">
        <v>15.0708</v>
      </c>
      <c r="L626" s="6">
        <v>15.38</v>
      </c>
      <c r="M626" s="6">
        <v>15.7652</v>
      </c>
      <c r="N626" s="6">
        <v>16.1112</v>
      </c>
      <c r="O626" s="6">
        <v>16.330400000000001</v>
      </c>
      <c r="P626" s="6">
        <v>16.502700000000001</v>
      </c>
      <c r="Q626" s="6"/>
    </row>
    <row r="627" spans="1:17">
      <c r="A627" s="5">
        <v>42367</v>
      </c>
      <c r="B627" s="5" t="str">
        <f t="shared" si="9"/>
        <v>2015 q4</v>
      </c>
      <c r="C627" s="6">
        <v>10.3543</v>
      </c>
      <c r="D627" s="6">
        <v>10.5525</v>
      </c>
      <c r="E627" s="6">
        <v>10.9617</v>
      </c>
      <c r="F627" s="6">
        <v>11.5663</v>
      </c>
      <c r="G627" s="6">
        <v>12.072800000000001</v>
      </c>
      <c r="H627" s="6">
        <v>12.552300000000001</v>
      </c>
      <c r="I627" s="6">
        <v>13.8208</v>
      </c>
      <c r="J627" s="6">
        <v>14.545400000000001</v>
      </c>
      <c r="K627" s="6">
        <v>15.078200000000001</v>
      </c>
      <c r="L627" s="6">
        <v>15.373699999999999</v>
      </c>
      <c r="M627" s="6">
        <v>15.724399999999999</v>
      </c>
      <c r="N627" s="6">
        <v>15.993600000000001</v>
      </c>
      <c r="O627" s="6">
        <v>16.189399999999999</v>
      </c>
      <c r="P627" s="6">
        <v>16.321000000000002</v>
      </c>
      <c r="Q627" s="6"/>
    </row>
    <row r="628" spans="1:17">
      <c r="A628" s="5">
        <v>42368</v>
      </c>
      <c r="B628" s="5" t="str">
        <f t="shared" si="9"/>
        <v>2015 q4</v>
      </c>
      <c r="C628" s="6">
        <v>10.457000000000001</v>
      </c>
      <c r="D628" s="6">
        <v>10.6393</v>
      </c>
      <c r="E628" s="6">
        <v>11.015700000000001</v>
      </c>
      <c r="F628" s="6">
        <v>11.5708</v>
      </c>
      <c r="G628" s="6">
        <v>12.038500000000001</v>
      </c>
      <c r="H628" s="6">
        <v>12.480700000000001</v>
      </c>
      <c r="I628" s="6">
        <v>13.6737</v>
      </c>
      <c r="J628" s="6">
        <v>14.382999999999999</v>
      </c>
      <c r="K628" s="6">
        <v>14.923</v>
      </c>
      <c r="L628" s="6">
        <v>15.240399999999999</v>
      </c>
      <c r="M628" s="6">
        <v>15.6524</v>
      </c>
      <c r="N628" s="6">
        <v>15.991899999999999</v>
      </c>
      <c r="O628" s="6">
        <v>16.264199999999999</v>
      </c>
      <c r="P628" s="6">
        <v>16.4527</v>
      </c>
      <c r="Q628" s="6"/>
    </row>
    <row r="629" spans="1:17">
      <c r="A629" s="5">
        <v>42377</v>
      </c>
      <c r="B629" s="5" t="str">
        <f t="shared" si="9"/>
        <v>2016 q1</v>
      </c>
      <c r="C629" s="6">
        <v>10.3804</v>
      </c>
      <c r="D629" s="6">
        <v>10.577</v>
      </c>
      <c r="E629" s="6">
        <v>10.982900000000001</v>
      </c>
      <c r="F629" s="6">
        <v>11.580399999999999</v>
      </c>
      <c r="G629" s="6">
        <v>12.083299999999999</v>
      </c>
      <c r="H629" s="6">
        <v>12.556900000000001</v>
      </c>
      <c r="I629" s="6">
        <v>13.815099999999999</v>
      </c>
      <c r="J629" s="6">
        <v>14.5405</v>
      </c>
      <c r="K629" s="6">
        <v>15.082100000000001</v>
      </c>
      <c r="L629" s="6">
        <v>15.4564</v>
      </c>
      <c r="M629" s="6">
        <v>15.807700000000001</v>
      </c>
      <c r="N629" s="6">
        <v>16.103000000000002</v>
      </c>
      <c r="O629" s="6">
        <v>16.355799999999999</v>
      </c>
      <c r="P629" s="6">
        <v>16.5307</v>
      </c>
      <c r="Q629" s="6"/>
    </row>
    <row r="630" spans="1:17">
      <c r="A630" s="5">
        <v>42380</v>
      </c>
      <c r="B630" s="5" t="str">
        <f t="shared" si="9"/>
        <v>2016 q1</v>
      </c>
      <c r="C630" s="6">
        <v>10.5137</v>
      </c>
      <c r="D630" s="6">
        <v>10.6983</v>
      </c>
      <c r="E630" s="6">
        <v>11.0792</v>
      </c>
      <c r="F630" s="6">
        <v>11.6318</v>
      </c>
      <c r="G630" s="6">
        <v>12.111599999999999</v>
      </c>
      <c r="H630" s="6">
        <v>12.556900000000001</v>
      </c>
      <c r="I630" s="6">
        <v>13.8057</v>
      </c>
      <c r="J630" s="6">
        <v>14.644500000000001</v>
      </c>
      <c r="K630" s="6">
        <v>15.195399999999999</v>
      </c>
      <c r="L630" s="6">
        <v>15.579800000000001</v>
      </c>
      <c r="M630" s="6">
        <v>16.002500000000001</v>
      </c>
      <c r="N630" s="6">
        <v>16.314699999999998</v>
      </c>
      <c r="O630" s="6">
        <v>16.651800000000001</v>
      </c>
      <c r="P630" s="6">
        <v>16.988800000000001</v>
      </c>
      <c r="Q630" s="6"/>
    </row>
    <row r="631" spans="1:17">
      <c r="A631" s="5">
        <v>42381</v>
      </c>
      <c r="B631" s="5" t="str">
        <f t="shared" si="9"/>
        <v>2016 q1</v>
      </c>
      <c r="C631" s="6">
        <v>10.562799999999999</v>
      </c>
      <c r="D631" s="6">
        <v>10.7453</v>
      </c>
      <c r="E631" s="6">
        <v>11.1221</v>
      </c>
      <c r="F631" s="6">
        <v>11.665800000000001</v>
      </c>
      <c r="G631" s="6">
        <v>12.140599999999999</v>
      </c>
      <c r="H631" s="6">
        <v>12.578200000000001</v>
      </c>
      <c r="I631" s="6">
        <v>13.811</v>
      </c>
      <c r="J631" s="6">
        <v>14.638299999999999</v>
      </c>
      <c r="K631" s="6">
        <v>15.182</v>
      </c>
      <c r="L631" s="6">
        <v>15.487</v>
      </c>
      <c r="M631" s="6">
        <v>15.9541</v>
      </c>
      <c r="N631" s="6">
        <v>16.287400000000002</v>
      </c>
      <c r="O631" s="6">
        <v>16.621099999999998</v>
      </c>
      <c r="P631" s="6">
        <v>16.954799999999999</v>
      </c>
      <c r="Q631" s="6"/>
    </row>
    <row r="632" spans="1:17">
      <c r="A632" s="5">
        <v>42382</v>
      </c>
      <c r="B632" s="5" t="str">
        <f t="shared" si="9"/>
        <v>2016 q1</v>
      </c>
      <c r="C632" s="6">
        <v>10.523899999999999</v>
      </c>
      <c r="D632" s="6">
        <v>10.715</v>
      </c>
      <c r="E632" s="6">
        <v>11.1096</v>
      </c>
      <c r="F632" s="6">
        <v>11.677</v>
      </c>
      <c r="G632" s="6">
        <v>12.1706</v>
      </c>
      <c r="H632" s="6">
        <v>12.623200000000001</v>
      </c>
      <c r="I632" s="6">
        <v>13.884</v>
      </c>
      <c r="J632" s="6">
        <v>14.7188</v>
      </c>
      <c r="K632" s="6">
        <v>15.2606</v>
      </c>
      <c r="L632" s="6">
        <v>15.5609</v>
      </c>
      <c r="M632" s="6">
        <v>16.019100000000002</v>
      </c>
      <c r="N632" s="6">
        <v>16.3443</v>
      </c>
      <c r="O632" s="6">
        <v>16.668600000000001</v>
      </c>
      <c r="P632" s="6">
        <v>16.992999999999999</v>
      </c>
      <c r="Q632" s="6"/>
    </row>
    <row r="633" spans="1:17">
      <c r="A633" s="5">
        <v>42383</v>
      </c>
      <c r="B633" s="5" t="str">
        <f t="shared" si="9"/>
        <v>2016 q1</v>
      </c>
      <c r="C633" s="6">
        <v>9.0413999999999994</v>
      </c>
      <c r="D633" s="6">
        <v>9.4605999999999995</v>
      </c>
      <c r="E633" s="6">
        <v>10.215400000000001</v>
      </c>
      <c r="F633" s="6">
        <v>11.229900000000001</v>
      </c>
      <c r="G633" s="6">
        <v>11.996</v>
      </c>
      <c r="H633" s="6">
        <v>12.658799999999999</v>
      </c>
      <c r="I633" s="6">
        <v>14.138199999999999</v>
      </c>
      <c r="J633" s="6">
        <v>14.9323</v>
      </c>
      <c r="K633" s="6">
        <v>15.3614</v>
      </c>
      <c r="L633" s="6">
        <v>15.571899999999999</v>
      </c>
      <c r="M633" s="6">
        <v>15.876099999999999</v>
      </c>
      <c r="N633" s="6">
        <v>16.086400000000001</v>
      </c>
      <c r="O633" s="6">
        <v>16.289899999999999</v>
      </c>
      <c r="P633" s="6">
        <v>16.493500000000001</v>
      </c>
      <c r="Q633" s="6"/>
    </row>
    <row r="634" spans="1:17">
      <c r="A634" s="5">
        <v>42384</v>
      </c>
      <c r="B634" s="5" t="str">
        <f t="shared" si="9"/>
        <v>2016 q1</v>
      </c>
      <c r="C634" s="6">
        <v>9.0785999999999998</v>
      </c>
      <c r="D634" s="6">
        <v>9.4882000000000009</v>
      </c>
      <c r="E634" s="6">
        <v>10.2258</v>
      </c>
      <c r="F634" s="6">
        <v>11.2187</v>
      </c>
      <c r="G634" s="6">
        <v>11.9758</v>
      </c>
      <c r="H634" s="6">
        <v>12.629799999999999</v>
      </c>
      <c r="I634" s="6">
        <v>14.1082</v>
      </c>
      <c r="J634" s="6">
        <v>14.907999999999999</v>
      </c>
      <c r="K634" s="6">
        <v>15.3432</v>
      </c>
      <c r="L634" s="6">
        <v>15.5572</v>
      </c>
      <c r="M634" s="6">
        <v>15.8673</v>
      </c>
      <c r="N634" s="6">
        <v>16.081499999999998</v>
      </c>
      <c r="O634" s="6">
        <v>16.289100000000001</v>
      </c>
      <c r="P634" s="6">
        <v>16.496700000000001</v>
      </c>
      <c r="Q634" s="6"/>
    </row>
    <row r="635" spans="1:17">
      <c r="A635" s="5">
        <v>42387</v>
      </c>
      <c r="B635" s="5" t="str">
        <f t="shared" si="9"/>
        <v>2016 q1</v>
      </c>
      <c r="C635" s="6">
        <v>9.0747999999999998</v>
      </c>
      <c r="D635" s="6">
        <v>9.4921000000000006</v>
      </c>
      <c r="E635" s="6">
        <v>10.239699999999999</v>
      </c>
      <c r="F635" s="6">
        <v>11.2437</v>
      </c>
      <c r="G635" s="6">
        <v>12.008900000000001</v>
      </c>
      <c r="H635" s="6">
        <v>12.666</v>
      </c>
      <c r="I635" s="6">
        <v>14.1441</v>
      </c>
      <c r="J635" s="6">
        <v>14.9384</v>
      </c>
      <c r="K635" s="6">
        <v>15.3687</v>
      </c>
      <c r="L635" s="6">
        <v>15.579499999999999</v>
      </c>
      <c r="M635" s="6">
        <v>15.8856</v>
      </c>
      <c r="N635" s="6">
        <v>16.096599999999999</v>
      </c>
      <c r="O635" s="6">
        <v>16.301200000000001</v>
      </c>
      <c r="P635" s="6">
        <v>16.5059</v>
      </c>
      <c r="Q635" s="6"/>
    </row>
    <row r="636" spans="1:17">
      <c r="A636" s="5">
        <v>42388</v>
      </c>
      <c r="B636" s="5" t="str">
        <f t="shared" si="9"/>
        <v>2016 q1</v>
      </c>
      <c r="C636" s="6">
        <v>9.0813000000000006</v>
      </c>
      <c r="D636" s="6">
        <v>9.4015000000000004</v>
      </c>
      <c r="E636" s="6">
        <v>9.9969999999999999</v>
      </c>
      <c r="F636" s="6">
        <v>10.8131</v>
      </c>
      <c r="G636" s="6">
        <v>11.478199999999999</v>
      </c>
      <c r="H636" s="6">
        <v>12.139900000000001</v>
      </c>
      <c r="I636" s="6">
        <v>13.7249</v>
      </c>
      <c r="J636" s="6">
        <v>14.716200000000001</v>
      </c>
      <c r="K636" s="6">
        <v>15.3207</v>
      </c>
      <c r="L636" s="6">
        <v>15.6373</v>
      </c>
      <c r="M636" s="6">
        <v>16.114599999999999</v>
      </c>
      <c r="N636" s="6">
        <v>16.445599999999999</v>
      </c>
      <c r="O636" s="6">
        <v>16.772200000000002</v>
      </c>
      <c r="P636" s="6">
        <v>17.0989</v>
      </c>
      <c r="Q636" s="6"/>
    </row>
    <row r="637" spans="1:17">
      <c r="A637" s="5">
        <v>42389</v>
      </c>
      <c r="B637" s="5" t="str">
        <f t="shared" si="9"/>
        <v>2016 q1</v>
      </c>
      <c r="C637" s="6">
        <v>9.0790000000000006</v>
      </c>
      <c r="D637" s="6">
        <v>9.4025999999999996</v>
      </c>
      <c r="E637" s="6">
        <v>10.0044</v>
      </c>
      <c r="F637" s="6">
        <v>10.8292</v>
      </c>
      <c r="G637" s="6">
        <v>11.5047</v>
      </c>
      <c r="H637" s="6">
        <v>12.175000000000001</v>
      </c>
      <c r="I637" s="6">
        <v>13.775600000000001</v>
      </c>
      <c r="J637" s="6">
        <v>14.760999999999999</v>
      </c>
      <c r="K637" s="6">
        <v>15.346399999999999</v>
      </c>
      <c r="L637" s="6">
        <v>15.640700000000001</v>
      </c>
      <c r="M637" s="6">
        <v>16.0749</v>
      </c>
      <c r="N637" s="6">
        <v>16.368300000000001</v>
      </c>
      <c r="O637" s="6">
        <v>16.6492</v>
      </c>
      <c r="P637" s="6">
        <v>16.93</v>
      </c>
      <c r="Q637" s="6"/>
    </row>
    <row r="638" spans="1:17">
      <c r="A638" s="5">
        <v>42390</v>
      </c>
      <c r="B638" s="5" t="str">
        <f t="shared" si="9"/>
        <v>2016 q1</v>
      </c>
      <c r="C638" s="6">
        <v>9.1062999999999992</v>
      </c>
      <c r="D638" s="6">
        <v>9.4239999999999995</v>
      </c>
      <c r="E638" s="6">
        <v>10.0139</v>
      </c>
      <c r="F638" s="6">
        <v>10.821999999999999</v>
      </c>
      <c r="G638" s="6">
        <v>11.487</v>
      </c>
      <c r="H638" s="6">
        <v>12.145099999999999</v>
      </c>
      <c r="I638" s="6">
        <v>13.7311</v>
      </c>
      <c r="J638" s="6">
        <v>14.718500000000001</v>
      </c>
      <c r="K638" s="6">
        <v>15.3155</v>
      </c>
      <c r="L638" s="6">
        <v>15.6226</v>
      </c>
      <c r="M638" s="6">
        <v>16.083600000000001</v>
      </c>
      <c r="N638" s="6">
        <v>16.3992</v>
      </c>
      <c r="O638" s="6">
        <v>16.707799999999999</v>
      </c>
      <c r="P638" s="6">
        <v>17.016300000000001</v>
      </c>
      <c r="Q638" s="6"/>
    </row>
    <row r="639" spans="1:17">
      <c r="A639" s="5">
        <v>42391</v>
      </c>
      <c r="B639" s="5" t="str">
        <f t="shared" si="9"/>
        <v>2016 q1</v>
      </c>
      <c r="C639" s="6">
        <v>9.1565999999999992</v>
      </c>
      <c r="D639" s="6">
        <v>9.4568999999999992</v>
      </c>
      <c r="E639" s="6">
        <v>10.016400000000001</v>
      </c>
      <c r="F639" s="6">
        <v>10.784800000000001</v>
      </c>
      <c r="G639" s="6">
        <v>11.424799999999999</v>
      </c>
      <c r="H639" s="6">
        <v>12.057</v>
      </c>
      <c r="I639" s="6">
        <v>13.6736</v>
      </c>
      <c r="J639" s="6">
        <v>14.6235</v>
      </c>
      <c r="K639" s="6">
        <v>15.247299999999999</v>
      </c>
      <c r="L639" s="6">
        <v>15.5783</v>
      </c>
      <c r="M639" s="6">
        <v>16.084800000000001</v>
      </c>
      <c r="N639" s="6">
        <v>16.4358</v>
      </c>
      <c r="O639" s="6">
        <v>16.7852</v>
      </c>
      <c r="P639" s="6">
        <v>17.134599999999999</v>
      </c>
      <c r="Q639" s="6"/>
    </row>
    <row r="640" spans="1:17">
      <c r="A640" s="5">
        <v>42394</v>
      </c>
      <c r="B640" s="5" t="str">
        <f t="shared" si="9"/>
        <v>2016 q1</v>
      </c>
      <c r="C640" s="6">
        <v>9.1271000000000004</v>
      </c>
      <c r="D640" s="6">
        <v>9.4454999999999991</v>
      </c>
      <c r="E640" s="6">
        <v>10.0343</v>
      </c>
      <c r="F640" s="6">
        <v>10.838699999999999</v>
      </c>
      <c r="G640" s="6">
        <v>11.5037</v>
      </c>
      <c r="H640" s="6">
        <v>12.158300000000001</v>
      </c>
      <c r="I640" s="6">
        <v>13.7386</v>
      </c>
      <c r="J640" s="6">
        <v>14.7218</v>
      </c>
      <c r="K640" s="6">
        <v>15.3179</v>
      </c>
      <c r="L640" s="6">
        <v>15.625400000000001</v>
      </c>
      <c r="M640" s="6">
        <v>16.090499999999999</v>
      </c>
      <c r="N640" s="6">
        <v>16.409099999999999</v>
      </c>
      <c r="O640" s="6">
        <v>16.722799999999999</v>
      </c>
      <c r="P640" s="6">
        <v>17.0364</v>
      </c>
      <c r="Q640" s="6"/>
    </row>
    <row r="641" spans="1:17">
      <c r="A641" s="5">
        <v>42395</v>
      </c>
      <c r="B641" s="5" t="str">
        <f t="shared" si="9"/>
        <v>2016 q1</v>
      </c>
      <c r="C641" s="6">
        <v>9.1122999999999994</v>
      </c>
      <c r="D641" s="6">
        <v>9.4136000000000006</v>
      </c>
      <c r="E641" s="6">
        <v>9.9625000000000004</v>
      </c>
      <c r="F641" s="6">
        <v>10.786300000000001</v>
      </c>
      <c r="G641" s="6">
        <v>11.411899999999999</v>
      </c>
      <c r="H641" s="6">
        <v>12.024900000000001</v>
      </c>
      <c r="I641" s="6">
        <v>13.638299999999999</v>
      </c>
      <c r="J641" s="6">
        <v>14.575699999999999</v>
      </c>
      <c r="K641" s="6">
        <v>15.189500000000001</v>
      </c>
      <c r="L641" s="6">
        <v>15.6022</v>
      </c>
      <c r="M641" s="6">
        <v>16.037199999999999</v>
      </c>
      <c r="N641" s="6">
        <v>16.351900000000001</v>
      </c>
      <c r="O641" s="6">
        <v>16.6937</v>
      </c>
      <c r="P641" s="6">
        <v>17.035599999999999</v>
      </c>
      <c r="Q641" s="6"/>
    </row>
    <row r="642" spans="1:17">
      <c r="A642" s="5">
        <v>42396</v>
      </c>
      <c r="B642" s="5" t="str">
        <f t="shared" si="9"/>
        <v>2016 q1</v>
      </c>
      <c r="C642" s="6">
        <v>9.1638999999999999</v>
      </c>
      <c r="D642" s="6">
        <v>9.4163999999999994</v>
      </c>
      <c r="E642" s="6">
        <v>9.9341000000000008</v>
      </c>
      <c r="F642" s="6">
        <v>10.71</v>
      </c>
      <c r="G642" s="6">
        <v>11.384600000000001</v>
      </c>
      <c r="H642" s="6">
        <v>12.046200000000001</v>
      </c>
      <c r="I642" s="6">
        <v>13.7585</v>
      </c>
      <c r="J642" s="6">
        <v>14.7796</v>
      </c>
      <c r="K642" s="6">
        <v>15.3629</v>
      </c>
      <c r="L642" s="6">
        <v>15.6486</v>
      </c>
      <c r="M642" s="6">
        <v>16.0764</v>
      </c>
      <c r="N642" s="6">
        <v>16.366</v>
      </c>
      <c r="O642" s="6">
        <v>16.650700000000001</v>
      </c>
      <c r="P642" s="6">
        <v>16.935400000000001</v>
      </c>
      <c r="Q642" s="6"/>
    </row>
    <row r="643" spans="1:17">
      <c r="A643" s="5">
        <v>42398</v>
      </c>
      <c r="B643" s="5" t="str">
        <f t="shared" ref="B643:B706" si="10">YEAR(A643)&amp;" q"&amp;ROUNDUP(MONTH(A643)/3,0)</f>
        <v>2016 q1</v>
      </c>
      <c r="C643" s="6">
        <v>9.1468000000000007</v>
      </c>
      <c r="D643" s="6">
        <v>9.3978000000000002</v>
      </c>
      <c r="E643" s="6">
        <v>9.9159000000000006</v>
      </c>
      <c r="F643" s="6">
        <v>10.6912</v>
      </c>
      <c r="G643" s="6">
        <v>11.366899999999999</v>
      </c>
      <c r="H643" s="6">
        <v>12.0282</v>
      </c>
      <c r="I643" s="6">
        <v>13.7363</v>
      </c>
      <c r="J643" s="6">
        <v>14.7509</v>
      </c>
      <c r="K643" s="6">
        <v>15.328900000000001</v>
      </c>
      <c r="L643" s="6">
        <v>15.6113</v>
      </c>
      <c r="M643" s="6">
        <v>16.034800000000001</v>
      </c>
      <c r="N643" s="6">
        <v>16.321100000000001</v>
      </c>
      <c r="O643" s="6">
        <v>16.602900000000002</v>
      </c>
      <c r="P643" s="6">
        <v>16.884599999999999</v>
      </c>
      <c r="Q643" s="6"/>
    </row>
    <row r="644" spans="1:17">
      <c r="A644" s="5">
        <v>42401</v>
      </c>
      <c r="B644" s="5" t="str">
        <f t="shared" si="10"/>
        <v>2016 q1</v>
      </c>
      <c r="C644" s="6">
        <v>9.1771999999999991</v>
      </c>
      <c r="D644" s="6">
        <v>9.4215</v>
      </c>
      <c r="E644" s="6">
        <v>9.9258000000000006</v>
      </c>
      <c r="F644" s="6">
        <v>10.6791</v>
      </c>
      <c r="G644" s="6">
        <v>11.3584</v>
      </c>
      <c r="H644" s="6">
        <v>12.0212</v>
      </c>
      <c r="I644" s="6">
        <v>13.7546</v>
      </c>
      <c r="J644" s="6">
        <v>14.782299999999999</v>
      </c>
      <c r="K644" s="6">
        <v>15.366400000000001</v>
      </c>
      <c r="L644" s="6">
        <v>15.650399999999999</v>
      </c>
      <c r="M644" s="6">
        <v>16.078199999999999</v>
      </c>
      <c r="N644" s="6">
        <v>16.366299999999999</v>
      </c>
      <c r="O644" s="6">
        <v>16.650600000000001</v>
      </c>
      <c r="P644" s="6">
        <v>16.934799999999999</v>
      </c>
      <c r="Q644" s="6"/>
    </row>
    <row r="645" spans="1:17">
      <c r="A645" s="5">
        <v>42402</v>
      </c>
      <c r="B645" s="5" t="str">
        <f t="shared" si="10"/>
        <v>2016 q1</v>
      </c>
      <c r="C645" s="6">
        <v>9.2303999999999995</v>
      </c>
      <c r="D645" s="6">
        <v>9.4581999999999997</v>
      </c>
      <c r="E645" s="6">
        <v>9.9283999999999999</v>
      </c>
      <c r="F645" s="6">
        <v>10.630599999999999</v>
      </c>
      <c r="G645" s="6">
        <v>11.2925</v>
      </c>
      <c r="H645" s="6">
        <v>11.952199999999999</v>
      </c>
      <c r="I645" s="6">
        <v>13.7028</v>
      </c>
      <c r="J645" s="6">
        <v>14.7576</v>
      </c>
      <c r="K645" s="6">
        <v>15.363</v>
      </c>
      <c r="L645" s="6">
        <v>15.657299999999999</v>
      </c>
      <c r="M645" s="6">
        <v>16.104600000000001</v>
      </c>
      <c r="N645" s="6">
        <v>16.404399999999999</v>
      </c>
      <c r="O645" s="6">
        <v>16.7013</v>
      </c>
      <c r="P645" s="6">
        <v>16.998200000000001</v>
      </c>
      <c r="Q645" s="6"/>
    </row>
    <row r="646" spans="1:17">
      <c r="A646" s="5">
        <v>42403</v>
      </c>
      <c r="B646" s="5" t="str">
        <f t="shared" si="10"/>
        <v>2016 q1</v>
      </c>
      <c r="C646" s="6">
        <v>9.2581000000000007</v>
      </c>
      <c r="D646" s="6">
        <v>9.4754000000000005</v>
      </c>
      <c r="E646" s="6">
        <v>9.9239999999999995</v>
      </c>
      <c r="F646" s="6">
        <v>10.5946</v>
      </c>
      <c r="G646" s="6">
        <v>11.239699999999999</v>
      </c>
      <c r="H646" s="6">
        <v>11.8818</v>
      </c>
      <c r="I646" s="6">
        <v>13.6372</v>
      </c>
      <c r="J646" s="6">
        <v>14.7165</v>
      </c>
      <c r="K646" s="6">
        <v>15.3466</v>
      </c>
      <c r="L646" s="6">
        <v>15.6549</v>
      </c>
      <c r="M646" s="6">
        <v>16.126000000000001</v>
      </c>
      <c r="N646" s="6">
        <v>16.441400000000002</v>
      </c>
      <c r="O646" s="6">
        <v>16.7544</v>
      </c>
      <c r="P646" s="6">
        <v>17.067499999999999</v>
      </c>
      <c r="Q646" s="6"/>
    </row>
    <row r="647" spans="1:17">
      <c r="A647" s="5">
        <v>42404</v>
      </c>
      <c r="B647" s="5" t="str">
        <f t="shared" si="10"/>
        <v>2016 q1</v>
      </c>
      <c r="C647" s="6">
        <v>9.2607999999999997</v>
      </c>
      <c r="D647" s="6">
        <v>9.4809000000000001</v>
      </c>
      <c r="E647" s="6">
        <v>9.9353999999999996</v>
      </c>
      <c r="F647" s="6">
        <v>10.6134</v>
      </c>
      <c r="G647" s="6">
        <v>11.254</v>
      </c>
      <c r="H647" s="6">
        <v>11.890700000000001</v>
      </c>
      <c r="I647" s="6">
        <v>13.6286</v>
      </c>
      <c r="J647" s="6">
        <v>14.700699999999999</v>
      </c>
      <c r="K647" s="6">
        <v>15.329700000000001</v>
      </c>
      <c r="L647" s="6">
        <v>15.638</v>
      </c>
      <c r="M647" s="6">
        <v>16.111000000000001</v>
      </c>
      <c r="N647" s="6">
        <v>16.427199999999999</v>
      </c>
      <c r="O647" s="6">
        <v>16.741499999999998</v>
      </c>
      <c r="P647" s="6">
        <v>17.055800000000001</v>
      </c>
      <c r="Q647" s="6"/>
    </row>
    <row r="648" spans="1:17">
      <c r="A648" s="5">
        <v>42405</v>
      </c>
      <c r="B648" s="5" t="str">
        <f t="shared" si="10"/>
        <v>2016 q1</v>
      </c>
      <c r="C648" s="6">
        <v>9.2745999999999995</v>
      </c>
      <c r="D648" s="6">
        <v>9.4913000000000007</v>
      </c>
      <c r="E648" s="6">
        <v>9.9387000000000008</v>
      </c>
      <c r="F648" s="6">
        <v>10.6067</v>
      </c>
      <c r="G648" s="6">
        <v>11.2468</v>
      </c>
      <c r="H648" s="6">
        <v>11.882099999999999</v>
      </c>
      <c r="I648" s="6">
        <v>13.630699999999999</v>
      </c>
      <c r="J648" s="6">
        <v>14.711499999999999</v>
      </c>
      <c r="K648" s="6">
        <v>15.346399999999999</v>
      </c>
      <c r="L648" s="6">
        <v>15.657400000000001</v>
      </c>
      <c r="M648" s="6">
        <v>16.1357</v>
      </c>
      <c r="N648" s="6">
        <v>16.454899999999999</v>
      </c>
      <c r="O648" s="6">
        <v>16.772600000000001</v>
      </c>
      <c r="P648" s="6">
        <v>17.090299999999999</v>
      </c>
      <c r="Q648" s="6"/>
    </row>
    <row r="649" spans="1:17">
      <c r="A649" s="5">
        <v>42408</v>
      </c>
      <c r="B649" s="5" t="str">
        <f t="shared" si="10"/>
        <v>2016 q1</v>
      </c>
      <c r="C649" s="6">
        <v>9.2813999999999997</v>
      </c>
      <c r="D649" s="6">
        <v>9.4989000000000008</v>
      </c>
      <c r="E649" s="6">
        <v>9.9476999999999993</v>
      </c>
      <c r="F649" s="6">
        <v>10.6168</v>
      </c>
      <c r="G649" s="6">
        <v>11.253500000000001</v>
      </c>
      <c r="H649" s="6">
        <v>11.884399999999999</v>
      </c>
      <c r="I649" s="6">
        <v>13.627000000000001</v>
      </c>
      <c r="J649" s="6">
        <v>14.7094</v>
      </c>
      <c r="K649" s="6">
        <v>15.348800000000001</v>
      </c>
      <c r="L649" s="6">
        <v>15.662599999999999</v>
      </c>
      <c r="M649" s="6">
        <v>16.146999999999998</v>
      </c>
      <c r="N649" s="6">
        <v>16.469899999999999</v>
      </c>
      <c r="O649" s="6">
        <v>16.791799999999999</v>
      </c>
      <c r="P649" s="6">
        <v>17.113700000000001</v>
      </c>
      <c r="Q649" s="6"/>
    </row>
    <row r="650" spans="1:17">
      <c r="A650" s="5">
        <v>42409</v>
      </c>
      <c r="B650" s="5" t="str">
        <f t="shared" si="10"/>
        <v>2016 q1</v>
      </c>
      <c r="C650" s="6">
        <v>9.2825000000000006</v>
      </c>
      <c r="D650" s="6">
        <v>9.5158000000000005</v>
      </c>
      <c r="E650" s="6">
        <v>9.9974000000000007</v>
      </c>
      <c r="F650" s="6">
        <v>10.711499999999999</v>
      </c>
      <c r="G650" s="6">
        <v>11.376200000000001</v>
      </c>
      <c r="H650" s="6">
        <v>11.946099999999999</v>
      </c>
      <c r="I650" s="6">
        <v>13.6707</v>
      </c>
      <c r="J650" s="6">
        <v>14.7226</v>
      </c>
      <c r="K650" s="6">
        <v>15.3475</v>
      </c>
      <c r="L650" s="6">
        <v>15.654500000000001</v>
      </c>
      <c r="M650" s="6">
        <v>16.133299999999998</v>
      </c>
      <c r="N650" s="6">
        <v>16.451000000000001</v>
      </c>
      <c r="O650" s="6">
        <v>16.769300000000001</v>
      </c>
      <c r="P650" s="6">
        <v>17.087599999999998</v>
      </c>
      <c r="Q650" s="6"/>
    </row>
    <row r="651" spans="1:17">
      <c r="A651" s="5">
        <v>42410</v>
      </c>
      <c r="B651" s="5" t="str">
        <f t="shared" si="10"/>
        <v>2016 q1</v>
      </c>
      <c r="C651" s="6">
        <v>9.2919</v>
      </c>
      <c r="D651" s="6">
        <v>9.5244999999999997</v>
      </c>
      <c r="E651" s="6">
        <v>10.0047</v>
      </c>
      <c r="F651" s="6">
        <v>10.7164</v>
      </c>
      <c r="G651" s="6">
        <v>11.380100000000001</v>
      </c>
      <c r="H651" s="6">
        <v>11.9504</v>
      </c>
      <c r="I651" s="6">
        <v>13.673</v>
      </c>
      <c r="J651" s="6">
        <v>14.7212</v>
      </c>
      <c r="K651" s="6">
        <v>15.3428</v>
      </c>
      <c r="L651" s="6">
        <v>15.647399999999999</v>
      </c>
      <c r="M651" s="6">
        <v>16.1235</v>
      </c>
      <c r="N651" s="6">
        <v>16.438800000000001</v>
      </c>
      <c r="O651" s="6">
        <v>16.755099999999999</v>
      </c>
      <c r="P651" s="6">
        <v>17.071300000000001</v>
      </c>
      <c r="Q651" s="6"/>
    </row>
    <row r="652" spans="1:17">
      <c r="A652" s="5">
        <v>42411</v>
      </c>
      <c r="B652" s="5" t="str">
        <f t="shared" si="10"/>
        <v>2016 q1</v>
      </c>
      <c r="C652" s="6">
        <v>9.3015000000000008</v>
      </c>
      <c r="D652" s="6">
        <v>9.5334000000000003</v>
      </c>
      <c r="E652" s="6">
        <v>10.012</v>
      </c>
      <c r="F652" s="6">
        <v>10.7209</v>
      </c>
      <c r="G652" s="6">
        <v>11.382199999999999</v>
      </c>
      <c r="H652" s="6">
        <v>11.9519</v>
      </c>
      <c r="I652" s="6">
        <v>13.6724</v>
      </c>
      <c r="J652" s="6">
        <v>14.7203</v>
      </c>
      <c r="K652" s="6">
        <v>15.3423</v>
      </c>
      <c r="L652" s="6">
        <v>15.6469</v>
      </c>
      <c r="M652" s="6">
        <v>16.124300000000002</v>
      </c>
      <c r="N652" s="6">
        <v>16.440000000000001</v>
      </c>
      <c r="O652" s="6">
        <v>16.757000000000001</v>
      </c>
      <c r="P652" s="6">
        <v>17.074000000000002</v>
      </c>
      <c r="Q652" s="6"/>
    </row>
    <row r="653" spans="1:17">
      <c r="A653" s="5">
        <v>42412</v>
      </c>
      <c r="B653" s="5" t="str">
        <f t="shared" si="10"/>
        <v>2016 q1</v>
      </c>
      <c r="C653" s="6">
        <v>9.3016000000000005</v>
      </c>
      <c r="D653" s="6">
        <v>9.5448000000000004</v>
      </c>
      <c r="E653" s="6">
        <v>10.047000000000001</v>
      </c>
      <c r="F653" s="6">
        <v>10.7768</v>
      </c>
      <c r="G653" s="6">
        <v>11.3979</v>
      </c>
      <c r="H653" s="6">
        <v>11.916600000000001</v>
      </c>
      <c r="I653" s="6">
        <v>13.512499999999999</v>
      </c>
      <c r="J653" s="6">
        <v>14.562099999999999</v>
      </c>
      <c r="K653" s="6">
        <v>15.2525</v>
      </c>
      <c r="L653" s="6">
        <v>15.626099999999999</v>
      </c>
      <c r="M653" s="6">
        <v>16.2376</v>
      </c>
      <c r="N653" s="6">
        <v>16.759399999999999</v>
      </c>
      <c r="O653" s="6">
        <v>17.103899999999999</v>
      </c>
      <c r="P653" s="6">
        <v>17.4483</v>
      </c>
      <c r="Q653" s="6"/>
    </row>
    <row r="654" spans="1:17">
      <c r="A654" s="5">
        <v>42415</v>
      </c>
      <c r="B654" s="5" t="str">
        <f t="shared" si="10"/>
        <v>2016 q1</v>
      </c>
      <c r="C654" s="6">
        <v>9.3209</v>
      </c>
      <c r="D654" s="6">
        <v>9.5520999999999994</v>
      </c>
      <c r="E654" s="6">
        <v>10.029400000000001</v>
      </c>
      <c r="F654" s="6">
        <v>10.733000000000001</v>
      </c>
      <c r="G654" s="6">
        <v>11.3794</v>
      </c>
      <c r="H654" s="6">
        <v>11.939399999999999</v>
      </c>
      <c r="I654" s="6">
        <v>13.653499999999999</v>
      </c>
      <c r="J654" s="6">
        <v>14.726699999999999</v>
      </c>
      <c r="K654" s="6">
        <v>15.3813</v>
      </c>
      <c r="L654" s="6">
        <v>15.706799999999999</v>
      </c>
      <c r="M654" s="6">
        <v>16.223099999999999</v>
      </c>
      <c r="N654" s="6">
        <v>16.6494</v>
      </c>
      <c r="O654" s="6">
        <v>16.922899999999998</v>
      </c>
      <c r="P654" s="6">
        <v>17.196400000000001</v>
      </c>
      <c r="Q654" s="6"/>
    </row>
    <row r="655" spans="1:17">
      <c r="A655" s="5">
        <v>42416</v>
      </c>
      <c r="B655" s="5" t="str">
        <f t="shared" si="10"/>
        <v>2016 q1</v>
      </c>
      <c r="C655" s="6">
        <v>9.3429000000000002</v>
      </c>
      <c r="D655" s="6">
        <v>9.5563000000000002</v>
      </c>
      <c r="E655" s="6">
        <v>9.9969999999999999</v>
      </c>
      <c r="F655" s="6">
        <v>10.6584</v>
      </c>
      <c r="G655" s="6">
        <v>11.289899999999999</v>
      </c>
      <c r="H655" s="6">
        <v>11.907400000000001</v>
      </c>
      <c r="I655" s="6">
        <v>13.6393</v>
      </c>
      <c r="J655" s="6">
        <v>14.702500000000001</v>
      </c>
      <c r="K655" s="6">
        <v>15.328099999999999</v>
      </c>
      <c r="L655" s="6">
        <v>15.630100000000001</v>
      </c>
      <c r="M655" s="6">
        <v>16.1082</v>
      </c>
      <c r="N655" s="6">
        <v>16.421399999999998</v>
      </c>
      <c r="O655" s="6">
        <v>16.737500000000001</v>
      </c>
      <c r="P655" s="6">
        <v>17.053699999999999</v>
      </c>
      <c r="Q655" s="6"/>
    </row>
    <row r="656" spans="1:17">
      <c r="A656" s="5">
        <v>42417</v>
      </c>
      <c r="B656" s="5" t="str">
        <f t="shared" si="10"/>
        <v>2016 q1</v>
      </c>
      <c r="C656" s="6">
        <v>9.3458000000000006</v>
      </c>
      <c r="D656" s="6">
        <v>9.5497999999999994</v>
      </c>
      <c r="E656" s="6">
        <v>9.9710000000000001</v>
      </c>
      <c r="F656" s="6">
        <v>10.6035</v>
      </c>
      <c r="G656" s="6">
        <v>11.276199999999999</v>
      </c>
      <c r="H656" s="6">
        <v>11.932700000000001</v>
      </c>
      <c r="I656" s="6">
        <v>13.7196</v>
      </c>
      <c r="J656" s="6">
        <v>14.756</v>
      </c>
      <c r="K656" s="6">
        <v>15.3367</v>
      </c>
      <c r="L656" s="6">
        <v>15.609400000000001</v>
      </c>
      <c r="M656" s="6">
        <v>16.039000000000001</v>
      </c>
      <c r="N656" s="6">
        <v>16.319299999999998</v>
      </c>
      <c r="O656" s="6">
        <v>16.601900000000001</v>
      </c>
      <c r="P656" s="6">
        <v>16.884499999999999</v>
      </c>
      <c r="Q656" s="6"/>
    </row>
    <row r="657" spans="1:17">
      <c r="A657" s="5">
        <v>42418</v>
      </c>
      <c r="B657" s="5" t="str">
        <f t="shared" si="10"/>
        <v>2016 q1</v>
      </c>
      <c r="C657" s="6">
        <v>9.3506</v>
      </c>
      <c r="D657" s="6">
        <v>9.5488999999999997</v>
      </c>
      <c r="E657" s="6">
        <v>9.9583999999999993</v>
      </c>
      <c r="F657" s="6">
        <v>10.573600000000001</v>
      </c>
      <c r="G657" s="6">
        <v>11.222799999999999</v>
      </c>
      <c r="H657" s="6">
        <v>11.8568</v>
      </c>
      <c r="I657" s="6">
        <v>13.6304</v>
      </c>
      <c r="J657" s="6">
        <v>14.6858</v>
      </c>
      <c r="K657" s="6">
        <v>15.289400000000001</v>
      </c>
      <c r="L657" s="6">
        <v>15.671799999999999</v>
      </c>
      <c r="M657" s="6">
        <v>16.052600000000002</v>
      </c>
      <c r="N657" s="6">
        <v>16.322600000000001</v>
      </c>
      <c r="O657" s="6">
        <v>16.6205</v>
      </c>
      <c r="P657" s="6">
        <v>16.918399999999998</v>
      </c>
      <c r="Q657" s="6"/>
    </row>
    <row r="658" spans="1:17">
      <c r="A658" s="5">
        <v>42419</v>
      </c>
      <c r="B658" s="5" t="str">
        <f t="shared" si="10"/>
        <v>2016 q1</v>
      </c>
      <c r="C658" s="6">
        <v>9.3811999999999998</v>
      </c>
      <c r="D658" s="6">
        <v>9.5592000000000006</v>
      </c>
      <c r="E658" s="6">
        <v>9.9268000000000001</v>
      </c>
      <c r="F658" s="6">
        <v>10.478999999999999</v>
      </c>
      <c r="G658" s="6">
        <v>11.050800000000001</v>
      </c>
      <c r="H658" s="6">
        <v>11.6214</v>
      </c>
      <c r="I658" s="6">
        <v>13.311500000000001</v>
      </c>
      <c r="J658" s="6">
        <v>14.3973</v>
      </c>
      <c r="K658" s="6">
        <v>15.057700000000001</v>
      </c>
      <c r="L658" s="6">
        <v>15.380599999999999</v>
      </c>
      <c r="M658" s="6">
        <v>15.898899999999999</v>
      </c>
      <c r="N658" s="6">
        <v>16.237200000000001</v>
      </c>
      <c r="O658" s="6">
        <v>16.5808</v>
      </c>
      <c r="P658" s="6">
        <v>16.924399999999999</v>
      </c>
      <c r="Q658" s="6"/>
    </row>
    <row r="659" spans="1:17">
      <c r="A659" s="5">
        <v>42422</v>
      </c>
      <c r="B659" s="5" t="str">
        <f t="shared" si="10"/>
        <v>2016 q1</v>
      </c>
      <c r="C659" s="6">
        <v>9.3954000000000004</v>
      </c>
      <c r="D659" s="6">
        <v>9.5653000000000006</v>
      </c>
      <c r="E659" s="6">
        <v>9.9161999999999999</v>
      </c>
      <c r="F659" s="6">
        <v>10.446</v>
      </c>
      <c r="G659" s="6">
        <v>11.046900000000001</v>
      </c>
      <c r="H659" s="6">
        <v>11.6463</v>
      </c>
      <c r="I659" s="6">
        <v>13.4344</v>
      </c>
      <c r="J659" s="6">
        <v>14.5616</v>
      </c>
      <c r="K659" s="6">
        <v>15.2338</v>
      </c>
      <c r="L659" s="6">
        <v>15.557700000000001</v>
      </c>
      <c r="M659" s="6">
        <v>16.076599999999999</v>
      </c>
      <c r="N659" s="6">
        <v>16.414100000000001</v>
      </c>
      <c r="O659" s="6">
        <v>16.756699999999999</v>
      </c>
      <c r="P659" s="6">
        <v>17.0992</v>
      </c>
      <c r="Q659" s="6"/>
    </row>
    <row r="660" spans="1:17">
      <c r="A660" s="5">
        <v>42423</v>
      </c>
      <c r="B660" s="5" t="str">
        <f t="shared" si="10"/>
        <v>2016 q1</v>
      </c>
      <c r="C660" s="6">
        <v>9.4635999999999996</v>
      </c>
      <c r="D660" s="6">
        <v>9.6186000000000007</v>
      </c>
      <c r="E660" s="6">
        <v>9.9385999999999992</v>
      </c>
      <c r="F660" s="6">
        <v>10.4276</v>
      </c>
      <c r="G660" s="6">
        <v>11.023199999999999</v>
      </c>
      <c r="H660" s="6">
        <v>11.6172</v>
      </c>
      <c r="I660" s="6">
        <v>13.455399999999999</v>
      </c>
      <c r="J660" s="6">
        <v>14.5718</v>
      </c>
      <c r="K660" s="6">
        <v>15.2133</v>
      </c>
      <c r="L660" s="6">
        <v>15.514099999999999</v>
      </c>
      <c r="M660" s="6">
        <v>15.9969</v>
      </c>
      <c r="N660" s="6">
        <v>16.308599999999998</v>
      </c>
      <c r="O660" s="6">
        <v>16.625399999999999</v>
      </c>
      <c r="P660" s="6">
        <v>16.942299999999999</v>
      </c>
      <c r="Q660" s="6"/>
    </row>
    <row r="661" spans="1:17">
      <c r="A661" s="5">
        <v>42424</v>
      </c>
      <c r="B661" s="5" t="str">
        <f t="shared" si="10"/>
        <v>2016 q1</v>
      </c>
      <c r="C661" s="6">
        <v>9.4701000000000004</v>
      </c>
      <c r="D661" s="6">
        <v>9.6247000000000007</v>
      </c>
      <c r="E661" s="6">
        <v>9.9438999999999993</v>
      </c>
      <c r="F661" s="6">
        <v>10.433299999999999</v>
      </c>
      <c r="G661" s="6">
        <v>11.030900000000001</v>
      </c>
      <c r="H661" s="6">
        <v>11.626799999999999</v>
      </c>
      <c r="I661" s="6">
        <v>13.466100000000001</v>
      </c>
      <c r="J661" s="6">
        <v>14.578099999999999</v>
      </c>
      <c r="K661" s="6">
        <v>15.215199999999999</v>
      </c>
      <c r="L661" s="6">
        <v>15.5131</v>
      </c>
      <c r="M661" s="6">
        <v>15.9923</v>
      </c>
      <c r="N661" s="6">
        <v>16.301200000000001</v>
      </c>
      <c r="O661" s="6">
        <v>16.615600000000001</v>
      </c>
      <c r="P661" s="6">
        <v>16.93</v>
      </c>
      <c r="Q661" s="6"/>
    </row>
    <row r="662" spans="1:17">
      <c r="A662" s="5">
        <v>42425</v>
      </c>
      <c r="B662" s="5" t="str">
        <f t="shared" si="10"/>
        <v>2016 q1</v>
      </c>
      <c r="C662" s="6">
        <v>9.4540000000000006</v>
      </c>
      <c r="D662" s="6">
        <v>9.6146999999999991</v>
      </c>
      <c r="E662" s="6">
        <v>9.9465000000000003</v>
      </c>
      <c r="F662" s="6">
        <v>10.452999999999999</v>
      </c>
      <c r="G662" s="6">
        <v>11.0381</v>
      </c>
      <c r="H662" s="6">
        <v>11.6212</v>
      </c>
      <c r="I662" s="6">
        <v>13.456099999999999</v>
      </c>
      <c r="J662" s="6">
        <v>14.606400000000001</v>
      </c>
      <c r="K662" s="6">
        <v>15.2857</v>
      </c>
      <c r="L662" s="6">
        <v>15.608000000000001</v>
      </c>
      <c r="M662" s="6">
        <v>16.130099999999999</v>
      </c>
      <c r="N662" s="6">
        <v>16.4664</v>
      </c>
      <c r="O662" s="6">
        <v>16.809699999999999</v>
      </c>
      <c r="P662" s="6">
        <v>17.152999999999999</v>
      </c>
      <c r="Q662" s="6"/>
    </row>
    <row r="663" spans="1:17">
      <c r="A663" s="5">
        <v>42426</v>
      </c>
      <c r="B663" s="5" t="str">
        <f t="shared" si="10"/>
        <v>2016 q1</v>
      </c>
      <c r="C663" s="6">
        <v>9.4856999999999996</v>
      </c>
      <c r="D663" s="6">
        <v>9.6387</v>
      </c>
      <c r="E663" s="6">
        <v>9.9545999999999992</v>
      </c>
      <c r="F663" s="6">
        <v>10.4429</v>
      </c>
      <c r="G663" s="6">
        <v>11.0472</v>
      </c>
      <c r="H663" s="6">
        <v>11.649100000000001</v>
      </c>
      <c r="I663" s="6">
        <v>13.4895</v>
      </c>
      <c r="J663" s="6">
        <v>14.5847</v>
      </c>
      <c r="K663" s="6">
        <v>15.205399999999999</v>
      </c>
      <c r="L663" s="6">
        <v>15.493499999999999</v>
      </c>
      <c r="M663" s="6">
        <v>15.9589</v>
      </c>
      <c r="N663" s="6">
        <v>16.2577</v>
      </c>
      <c r="O663" s="6">
        <v>16.5625</v>
      </c>
      <c r="P663" s="6">
        <v>16.8674</v>
      </c>
      <c r="Q663" s="6"/>
    </row>
    <row r="664" spans="1:17">
      <c r="A664" s="5">
        <v>42429</v>
      </c>
      <c r="B664" s="5" t="str">
        <f t="shared" si="10"/>
        <v>2016 q1</v>
      </c>
      <c r="C664" s="6">
        <v>9.4899000000000004</v>
      </c>
      <c r="D664" s="6">
        <v>9.6432000000000002</v>
      </c>
      <c r="E664" s="6">
        <v>9.9597999999999995</v>
      </c>
      <c r="F664" s="6">
        <v>10.4504</v>
      </c>
      <c r="G664" s="6">
        <v>11.054399999999999</v>
      </c>
      <c r="H664" s="6">
        <v>11.655799999999999</v>
      </c>
      <c r="I664" s="6">
        <v>13.494400000000001</v>
      </c>
      <c r="J664" s="6">
        <v>14.588100000000001</v>
      </c>
      <c r="K664" s="6">
        <v>15.208399999999999</v>
      </c>
      <c r="L664" s="6">
        <v>15.495900000000001</v>
      </c>
      <c r="M664" s="6">
        <v>15.9618</v>
      </c>
      <c r="N664" s="6">
        <v>16.260400000000001</v>
      </c>
      <c r="O664" s="6">
        <v>16.5654</v>
      </c>
      <c r="P664" s="6">
        <v>16.8704</v>
      </c>
      <c r="Q664" s="6"/>
    </row>
    <row r="665" spans="1:17">
      <c r="A665" s="5">
        <v>42430</v>
      </c>
      <c r="B665" s="5" t="str">
        <f t="shared" si="10"/>
        <v>2016 q1</v>
      </c>
      <c r="C665" s="6">
        <v>9.4993999999999996</v>
      </c>
      <c r="D665" s="6">
        <v>9.6550999999999991</v>
      </c>
      <c r="E665" s="6">
        <v>9.9764999999999997</v>
      </c>
      <c r="F665" s="6">
        <v>10.476900000000001</v>
      </c>
      <c r="G665" s="6">
        <v>11.077400000000001</v>
      </c>
      <c r="H665" s="6">
        <v>11.6745</v>
      </c>
      <c r="I665" s="6">
        <v>13.5093</v>
      </c>
      <c r="J665" s="6">
        <v>14.609299999999999</v>
      </c>
      <c r="K665" s="6">
        <v>15.2386</v>
      </c>
      <c r="L665" s="6">
        <v>15.530099999999999</v>
      </c>
      <c r="M665" s="6">
        <v>16.007100000000001</v>
      </c>
      <c r="N665" s="6">
        <v>16.311199999999999</v>
      </c>
      <c r="O665" s="6">
        <v>16.623200000000001</v>
      </c>
      <c r="P665" s="6">
        <v>16.935199999999998</v>
      </c>
      <c r="Q665" s="6"/>
    </row>
    <row r="666" spans="1:17">
      <c r="A666" s="5">
        <v>42431</v>
      </c>
      <c r="B666" s="5" t="str">
        <f t="shared" si="10"/>
        <v>2016 q1</v>
      </c>
      <c r="C666" s="6">
        <v>9.4974000000000007</v>
      </c>
      <c r="D666" s="6">
        <v>9.6550999999999991</v>
      </c>
      <c r="E666" s="6">
        <v>9.9807000000000006</v>
      </c>
      <c r="F666" s="6">
        <v>10.487399999999999</v>
      </c>
      <c r="G666" s="6">
        <v>11.0863</v>
      </c>
      <c r="H666" s="6">
        <v>11.6812</v>
      </c>
      <c r="I666" s="6">
        <v>13.500299999999999</v>
      </c>
      <c r="J666" s="6">
        <v>14.589600000000001</v>
      </c>
      <c r="K666" s="6">
        <v>15.212999999999999</v>
      </c>
      <c r="L666" s="6">
        <v>15.5015</v>
      </c>
      <c r="M666" s="6">
        <v>15.975</v>
      </c>
      <c r="N666" s="6">
        <v>16.276399999999999</v>
      </c>
      <c r="O666" s="6">
        <v>16.585999999999999</v>
      </c>
      <c r="P666" s="6">
        <v>16.895600000000002</v>
      </c>
      <c r="Q666" s="6"/>
    </row>
    <row r="667" spans="1:17">
      <c r="A667" s="5">
        <v>42432</v>
      </c>
      <c r="B667" s="5" t="str">
        <f t="shared" si="10"/>
        <v>2016 q1</v>
      </c>
      <c r="C667" s="6">
        <v>9.5018999999999991</v>
      </c>
      <c r="D667" s="6">
        <v>9.6597000000000008</v>
      </c>
      <c r="E667" s="6">
        <v>9.9855999999999998</v>
      </c>
      <c r="F667" s="6">
        <v>10.494199999999999</v>
      </c>
      <c r="G667" s="6">
        <v>11.094900000000001</v>
      </c>
      <c r="H667" s="6">
        <v>11.691000000000001</v>
      </c>
      <c r="I667" s="6">
        <v>13.5038</v>
      </c>
      <c r="J667" s="6">
        <v>14.5824</v>
      </c>
      <c r="K667" s="6">
        <v>15.1973</v>
      </c>
      <c r="L667" s="6">
        <v>15.4808</v>
      </c>
      <c r="M667" s="6">
        <v>15.9474</v>
      </c>
      <c r="N667" s="6">
        <v>16.2438</v>
      </c>
      <c r="O667" s="6">
        <v>16.5487</v>
      </c>
      <c r="P667" s="6">
        <v>16.8535</v>
      </c>
      <c r="Q667" s="6"/>
    </row>
    <row r="668" spans="1:17">
      <c r="A668" s="5">
        <v>42433</v>
      </c>
      <c r="B668" s="5" t="str">
        <f t="shared" si="10"/>
        <v>2016 q1</v>
      </c>
      <c r="C668" s="6">
        <v>9.5093999999999994</v>
      </c>
      <c r="D668" s="6">
        <v>9.6667000000000005</v>
      </c>
      <c r="E668" s="6">
        <v>9.9914000000000005</v>
      </c>
      <c r="F668" s="6">
        <v>10.4999</v>
      </c>
      <c r="G668" s="6">
        <v>11.1014</v>
      </c>
      <c r="H668" s="6">
        <v>11.6982</v>
      </c>
      <c r="I668" s="6">
        <v>13.511900000000001</v>
      </c>
      <c r="J668" s="6">
        <v>14.588100000000001</v>
      </c>
      <c r="K668" s="6">
        <v>15.200799999999999</v>
      </c>
      <c r="L668" s="6">
        <v>15.482699999999999</v>
      </c>
      <c r="M668" s="6">
        <v>15.947900000000001</v>
      </c>
      <c r="N668" s="6">
        <v>16.242899999999999</v>
      </c>
      <c r="O668" s="6">
        <v>16.546700000000001</v>
      </c>
      <c r="P668" s="6">
        <v>16.8505</v>
      </c>
      <c r="Q668" s="6"/>
    </row>
    <row r="669" spans="1:17">
      <c r="A669" s="5">
        <v>42438</v>
      </c>
      <c r="B669" s="5" t="str">
        <f t="shared" si="10"/>
        <v>2016 q1</v>
      </c>
      <c r="C669" s="6">
        <v>9.5487000000000002</v>
      </c>
      <c r="D669" s="6">
        <v>9.6989999999999998</v>
      </c>
      <c r="E669" s="6">
        <v>10.0093</v>
      </c>
      <c r="F669" s="6">
        <v>10.492800000000001</v>
      </c>
      <c r="G669" s="6">
        <v>11.0486</v>
      </c>
      <c r="H669" s="6">
        <v>11.6006</v>
      </c>
      <c r="I669" s="6">
        <v>13.383900000000001</v>
      </c>
      <c r="J669" s="6">
        <v>14.4049</v>
      </c>
      <c r="K669" s="6">
        <v>15.0343</v>
      </c>
      <c r="L669" s="6">
        <v>15.327999999999999</v>
      </c>
      <c r="M669" s="6">
        <v>15.816000000000001</v>
      </c>
      <c r="N669" s="6">
        <v>16.1252</v>
      </c>
      <c r="O669" s="6">
        <v>16.444500000000001</v>
      </c>
      <c r="P669" s="6">
        <v>16.7638</v>
      </c>
      <c r="Q669" s="6"/>
    </row>
    <row r="670" spans="1:17">
      <c r="A670" s="5">
        <v>42439</v>
      </c>
      <c r="B670" s="5" t="str">
        <f t="shared" si="10"/>
        <v>2016 q1</v>
      </c>
      <c r="C670" s="6">
        <v>9.5508000000000006</v>
      </c>
      <c r="D670" s="6">
        <v>9.7066999999999997</v>
      </c>
      <c r="E670" s="6">
        <v>10.028700000000001</v>
      </c>
      <c r="F670" s="6">
        <v>10.5336</v>
      </c>
      <c r="G670" s="6">
        <v>11.1023</v>
      </c>
      <c r="H670" s="6">
        <v>11.6654</v>
      </c>
      <c r="I670" s="6">
        <v>13.4185</v>
      </c>
      <c r="J670" s="6">
        <v>14.4937</v>
      </c>
      <c r="K670" s="6">
        <v>15.1244</v>
      </c>
      <c r="L670" s="6">
        <v>15.4163</v>
      </c>
      <c r="M670" s="6">
        <v>15.9084</v>
      </c>
      <c r="N670" s="6">
        <v>16.217400000000001</v>
      </c>
      <c r="O670" s="6">
        <v>16.538699999999999</v>
      </c>
      <c r="P670" s="6">
        <v>16.86</v>
      </c>
      <c r="Q670" s="6"/>
    </row>
    <row r="671" spans="1:17">
      <c r="A671" s="5">
        <v>42440</v>
      </c>
      <c r="B671" s="5" t="str">
        <f t="shared" si="10"/>
        <v>2016 q1</v>
      </c>
      <c r="C671" s="6">
        <v>9.2614999999999998</v>
      </c>
      <c r="D671" s="6">
        <v>9.4821000000000009</v>
      </c>
      <c r="E671" s="6">
        <v>9.9375</v>
      </c>
      <c r="F671" s="6">
        <v>10.5952</v>
      </c>
      <c r="G671" s="6">
        <v>11.181100000000001</v>
      </c>
      <c r="H671" s="6">
        <v>11.7462</v>
      </c>
      <c r="I671" s="6">
        <v>13.370200000000001</v>
      </c>
      <c r="J671" s="6">
        <v>14.445</v>
      </c>
      <c r="K671" s="6">
        <v>15.117599999999999</v>
      </c>
      <c r="L671" s="6">
        <v>15.3773</v>
      </c>
      <c r="M671" s="6">
        <v>15.7822</v>
      </c>
      <c r="N671" s="6">
        <v>15.818899999999999</v>
      </c>
      <c r="O671" s="6">
        <v>15.624000000000001</v>
      </c>
      <c r="P671" s="6">
        <v>15.4291</v>
      </c>
      <c r="Q671" s="6"/>
    </row>
    <row r="672" spans="1:17">
      <c r="A672" s="5">
        <v>42441</v>
      </c>
      <c r="B672" s="5" t="str">
        <f t="shared" si="10"/>
        <v>2016 q1</v>
      </c>
      <c r="C672" s="6">
        <v>9.4953000000000003</v>
      </c>
      <c r="D672" s="6">
        <v>9.6735000000000007</v>
      </c>
      <c r="E672" s="6">
        <v>10.041499999999999</v>
      </c>
      <c r="F672" s="6">
        <v>10.5898</v>
      </c>
      <c r="G672" s="6">
        <v>11.1281</v>
      </c>
      <c r="H672" s="6">
        <v>11.653600000000001</v>
      </c>
      <c r="I672" s="6">
        <v>13.2445</v>
      </c>
      <c r="J672" s="6">
        <v>14.2712</v>
      </c>
      <c r="K672" s="6">
        <v>14.908099999999999</v>
      </c>
      <c r="L672" s="6">
        <v>15.213699999999999</v>
      </c>
      <c r="M672" s="6">
        <v>15.737299999999999</v>
      </c>
      <c r="N672" s="6">
        <v>16.066700000000001</v>
      </c>
      <c r="O672" s="6">
        <v>16.412199999999999</v>
      </c>
      <c r="P672" s="6">
        <v>16.7576</v>
      </c>
      <c r="Q672" s="6"/>
    </row>
    <row r="673" spans="1:17">
      <c r="A673" s="5">
        <v>42443</v>
      </c>
      <c r="B673" s="5" t="str">
        <f t="shared" si="10"/>
        <v>2016 q1</v>
      </c>
      <c r="C673" s="6">
        <v>9.3917999999999999</v>
      </c>
      <c r="D673" s="6">
        <v>9.5875000000000004</v>
      </c>
      <c r="E673" s="6">
        <v>9.9915000000000003</v>
      </c>
      <c r="F673" s="6">
        <v>10.575799999999999</v>
      </c>
      <c r="G673" s="6">
        <v>11.1053</v>
      </c>
      <c r="H673" s="6">
        <v>11.6167</v>
      </c>
      <c r="I673" s="6">
        <v>13.1485</v>
      </c>
      <c r="J673" s="6">
        <v>14.2128</v>
      </c>
      <c r="K673" s="6">
        <v>14.9193</v>
      </c>
      <c r="L673" s="6">
        <v>15.2234</v>
      </c>
      <c r="M673" s="6">
        <v>15.723599999999999</v>
      </c>
      <c r="N673" s="6">
        <v>15.8025</v>
      </c>
      <c r="O673" s="6">
        <v>15.6358</v>
      </c>
      <c r="P673" s="6">
        <v>15.468999999999999</v>
      </c>
      <c r="Q673" s="6"/>
    </row>
    <row r="674" spans="1:17">
      <c r="A674" s="5">
        <v>42444</v>
      </c>
      <c r="B674" s="5" t="str">
        <f t="shared" si="10"/>
        <v>2016 q1</v>
      </c>
      <c r="C674" s="6">
        <v>9.4383999999999997</v>
      </c>
      <c r="D674" s="6">
        <v>9.6175999999999995</v>
      </c>
      <c r="E674" s="6">
        <v>9.9877000000000002</v>
      </c>
      <c r="F674" s="6">
        <v>10.5236</v>
      </c>
      <c r="G674" s="6">
        <v>11.0159</v>
      </c>
      <c r="H674" s="6">
        <v>11.5076</v>
      </c>
      <c r="I674" s="6">
        <v>13.028600000000001</v>
      </c>
      <c r="J674" s="6">
        <v>14.153</v>
      </c>
      <c r="K674" s="6">
        <v>14.9495</v>
      </c>
      <c r="L674" s="6">
        <v>15.3225</v>
      </c>
      <c r="M674" s="6">
        <v>15.958299999999999</v>
      </c>
      <c r="N674" s="6">
        <v>16.172799999999999</v>
      </c>
      <c r="O674" s="6">
        <v>15.660399999999999</v>
      </c>
      <c r="P674" s="6">
        <v>15.148099999999999</v>
      </c>
      <c r="Q674" s="6"/>
    </row>
    <row r="675" spans="1:17">
      <c r="A675" s="5">
        <v>42445</v>
      </c>
      <c r="B675" s="5" t="str">
        <f t="shared" si="10"/>
        <v>2016 q1</v>
      </c>
      <c r="C675" s="6">
        <v>9.7505000000000006</v>
      </c>
      <c r="D675" s="6">
        <v>9.8550000000000004</v>
      </c>
      <c r="E675" s="6">
        <v>10.0707</v>
      </c>
      <c r="F675" s="6">
        <v>10.445499999999999</v>
      </c>
      <c r="G675" s="6">
        <v>10.929500000000001</v>
      </c>
      <c r="H675" s="6">
        <v>11.4137</v>
      </c>
      <c r="I675" s="6">
        <v>13.0809</v>
      </c>
      <c r="J675" s="6">
        <v>14.1388</v>
      </c>
      <c r="K675" s="6">
        <v>14.771000000000001</v>
      </c>
      <c r="L675" s="6">
        <v>15.062799999999999</v>
      </c>
      <c r="M675" s="6">
        <v>15.5647</v>
      </c>
      <c r="N675" s="6">
        <v>15.8765</v>
      </c>
      <c r="O675" s="6">
        <v>16.203700000000001</v>
      </c>
      <c r="P675" s="6">
        <v>16.530799999999999</v>
      </c>
      <c r="Q675" s="6"/>
    </row>
    <row r="676" spans="1:17">
      <c r="A676" s="5">
        <v>42446</v>
      </c>
      <c r="B676" s="5" t="str">
        <f t="shared" si="10"/>
        <v>2016 q1</v>
      </c>
      <c r="C676" s="6">
        <v>9.7616999999999994</v>
      </c>
      <c r="D676" s="6">
        <v>9.8638999999999992</v>
      </c>
      <c r="E676" s="6">
        <v>10.0749</v>
      </c>
      <c r="F676" s="6">
        <v>10.443099999999999</v>
      </c>
      <c r="G676" s="6">
        <v>10.916499999999999</v>
      </c>
      <c r="H676" s="6">
        <v>11.3904</v>
      </c>
      <c r="I676" s="6">
        <v>13.0359</v>
      </c>
      <c r="J676" s="6">
        <v>14.087999999999999</v>
      </c>
      <c r="K676" s="6">
        <v>14.720700000000001</v>
      </c>
      <c r="L676" s="6">
        <v>15.013299999999999</v>
      </c>
      <c r="M676" s="6">
        <v>15.5184</v>
      </c>
      <c r="N676" s="6">
        <v>15.8317</v>
      </c>
      <c r="O676" s="6">
        <v>16.161000000000001</v>
      </c>
      <c r="P676" s="6">
        <v>16.490400000000001</v>
      </c>
      <c r="Q676" s="6"/>
    </row>
    <row r="677" spans="1:17">
      <c r="A677" s="5">
        <v>42447</v>
      </c>
      <c r="B677" s="5" t="str">
        <f t="shared" si="10"/>
        <v>2016 q1</v>
      </c>
      <c r="C677" s="6">
        <v>9.7672000000000008</v>
      </c>
      <c r="D677" s="6">
        <v>9.8687000000000005</v>
      </c>
      <c r="E677" s="6">
        <v>10.0784</v>
      </c>
      <c r="F677" s="6">
        <v>10.4451</v>
      </c>
      <c r="G677" s="6">
        <v>10.9125</v>
      </c>
      <c r="H677" s="6">
        <v>11.380599999999999</v>
      </c>
      <c r="I677" s="6">
        <v>13.010199999999999</v>
      </c>
      <c r="J677" s="6">
        <v>14.0562</v>
      </c>
      <c r="K677" s="6">
        <v>14.6876</v>
      </c>
      <c r="L677" s="6">
        <v>14.9796</v>
      </c>
      <c r="M677" s="6">
        <v>15.4856</v>
      </c>
      <c r="N677" s="6">
        <v>15.798999999999999</v>
      </c>
      <c r="O677" s="6">
        <v>16.128900000000002</v>
      </c>
      <c r="P677" s="6">
        <v>16.4589</v>
      </c>
      <c r="Q677" s="6"/>
    </row>
    <row r="678" spans="1:17">
      <c r="A678" s="5">
        <v>42450</v>
      </c>
      <c r="B678" s="5" t="str">
        <f t="shared" si="10"/>
        <v>2016 q1</v>
      </c>
      <c r="C678" s="6">
        <v>9.7736000000000001</v>
      </c>
      <c r="D678" s="6">
        <v>9.8736999999999995</v>
      </c>
      <c r="E678" s="6">
        <v>10.080299999999999</v>
      </c>
      <c r="F678" s="6">
        <v>10.447900000000001</v>
      </c>
      <c r="G678" s="6">
        <v>10.9215</v>
      </c>
      <c r="H678" s="6">
        <v>11.395799999999999</v>
      </c>
      <c r="I678" s="6">
        <v>13.0223</v>
      </c>
      <c r="J678" s="6">
        <v>14.044499999999999</v>
      </c>
      <c r="K678" s="6">
        <v>14.652100000000001</v>
      </c>
      <c r="L678" s="6">
        <v>14.930300000000001</v>
      </c>
      <c r="M678" s="6">
        <v>15.412800000000001</v>
      </c>
      <c r="N678" s="6">
        <v>15.710900000000001</v>
      </c>
      <c r="O678" s="6">
        <v>16.024899999999999</v>
      </c>
      <c r="P678" s="6">
        <v>16.338799999999999</v>
      </c>
      <c r="Q678" s="6"/>
    </row>
    <row r="679" spans="1:17">
      <c r="A679" s="5">
        <v>42451</v>
      </c>
      <c r="B679" s="5" t="str">
        <f t="shared" si="10"/>
        <v>2016 q1</v>
      </c>
      <c r="C679" s="6">
        <v>9.6273999999999997</v>
      </c>
      <c r="D679" s="6">
        <v>9.7325999999999997</v>
      </c>
      <c r="E679" s="6">
        <v>9.9497</v>
      </c>
      <c r="F679" s="6">
        <v>10.28</v>
      </c>
      <c r="G679" s="6">
        <v>10.8108</v>
      </c>
      <c r="H679" s="6">
        <v>11.342000000000001</v>
      </c>
      <c r="I679" s="6">
        <v>13.0717</v>
      </c>
      <c r="J679" s="6">
        <v>14.097099999999999</v>
      </c>
      <c r="K679" s="6">
        <v>14.682399999999999</v>
      </c>
      <c r="L679" s="6">
        <v>14.9437</v>
      </c>
      <c r="M679" s="6">
        <v>15.3992</v>
      </c>
      <c r="N679" s="6">
        <v>15.6785</v>
      </c>
      <c r="O679" s="6">
        <v>15.9734</v>
      </c>
      <c r="P679" s="6">
        <v>16.2683</v>
      </c>
      <c r="Q679" s="6"/>
    </row>
    <row r="680" spans="1:17">
      <c r="A680" s="5">
        <v>42452</v>
      </c>
      <c r="B680" s="5" t="str">
        <f t="shared" si="10"/>
        <v>2016 q1</v>
      </c>
      <c r="C680" s="6">
        <v>9.6405999999999992</v>
      </c>
      <c r="D680" s="6">
        <v>9.7376000000000005</v>
      </c>
      <c r="E680" s="6">
        <v>9.9379000000000008</v>
      </c>
      <c r="F680" s="6">
        <v>10.245900000000001</v>
      </c>
      <c r="G680" s="6">
        <v>10.7727</v>
      </c>
      <c r="H680" s="6">
        <v>11.3004</v>
      </c>
      <c r="I680" s="6">
        <v>13.033799999999999</v>
      </c>
      <c r="J680" s="6">
        <v>14.0571</v>
      </c>
      <c r="K680" s="6">
        <v>14.6394</v>
      </c>
      <c r="L680" s="6">
        <v>14.898400000000001</v>
      </c>
      <c r="M680" s="6">
        <v>15.3513</v>
      </c>
      <c r="N680" s="6">
        <v>15.628500000000001</v>
      </c>
      <c r="O680" s="6">
        <v>15.9215</v>
      </c>
      <c r="P680" s="6">
        <v>16.214500000000001</v>
      </c>
      <c r="Q680" s="6"/>
    </row>
    <row r="681" spans="1:17">
      <c r="A681" s="5">
        <v>42453</v>
      </c>
      <c r="B681" s="5" t="str">
        <f t="shared" si="10"/>
        <v>2016 q1</v>
      </c>
      <c r="C681" s="6">
        <v>9.6684999999999999</v>
      </c>
      <c r="D681" s="6">
        <v>9.7524999999999995</v>
      </c>
      <c r="E681" s="6">
        <v>9.9258000000000006</v>
      </c>
      <c r="F681" s="6">
        <v>10.197699999999999</v>
      </c>
      <c r="G681" s="6">
        <v>10.7308</v>
      </c>
      <c r="H681" s="6">
        <v>11.265700000000001</v>
      </c>
      <c r="I681" s="6">
        <v>13.0433</v>
      </c>
      <c r="J681" s="6">
        <v>14.081899999999999</v>
      </c>
      <c r="K681" s="6">
        <v>14.668200000000001</v>
      </c>
      <c r="L681" s="6">
        <v>14.9276</v>
      </c>
      <c r="M681" s="6">
        <v>15.382400000000001</v>
      </c>
      <c r="N681" s="6">
        <v>15.66</v>
      </c>
      <c r="O681" s="6">
        <v>15.953900000000001</v>
      </c>
      <c r="P681" s="6">
        <v>16.247699999999998</v>
      </c>
      <c r="Q681" s="6"/>
    </row>
    <row r="682" spans="1:17">
      <c r="A682" s="5">
        <v>42454</v>
      </c>
      <c r="B682" s="5" t="str">
        <f t="shared" si="10"/>
        <v>2016 q1</v>
      </c>
      <c r="C682" s="6">
        <v>9.6725999999999992</v>
      </c>
      <c r="D682" s="6">
        <v>9.7560000000000002</v>
      </c>
      <c r="E682" s="6">
        <v>9.9282000000000004</v>
      </c>
      <c r="F682" s="6">
        <v>10.201700000000001</v>
      </c>
      <c r="G682" s="6">
        <v>10.7379</v>
      </c>
      <c r="H682" s="6">
        <v>11.2758</v>
      </c>
      <c r="I682" s="6">
        <v>13.0443</v>
      </c>
      <c r="J682" s="6">
        <v>14.066000000000001</v>
      </c>
      <c r="K682" s="6">
        <v>14.639099999999999</v>
      </c>
      <c r="L682" s="6">
        <v>14.8917</v>
      </c>
      <c r="M682" s="6">
        <v>15.335699999999999</v>
      </c>
      <c r="N682" s="6">
        <v>15.606199999999999</v>
      </c>
      <c r="O682" s="6">
        <v>15.892899999999999</v>
      </c>
      <c r="P682" s="6">
        <v>16.179600000000001</v>
      </c>
      <c r="Q682" s="6"/>
    </row>
    <row r="683" spans="1:17">
      <c r="A683" s="5">
        <v>42458</v>
      </c>
      <c r="B683" s="5" t="str">
        <f t="shared" si="10"/>
        <v>2016 q1</v>
      </c>
      <c r="C683" s="6">
        <v>9.6521000000000008</v>
      </c>
      <c r="D683" s="6">
        <v>9.7439</v>
      </c>
      <c r="E683" s="6">
        <v>9.9332999999999991</v>
      </c>
      <c r="F683" s="6">
        <v>10.232699999999999</v>
      </c>
      <c r="G683" s="6">
        <v>10.7475</v>
      </c>
      <c r="H683" s="6">
        <v>11.264799999999999</v>
      </c>
      <c r="I683" s="6">
        <v>13.0282</v>
      </c>
      <c r="J683" s="6">
        <v>14.098800000000001</v>
      </c>
      <c r="K683" s="6">
        <v>14.7195</v>
      </c>
      <c r="L683" s="6">
        <v>14.996600000000001</v>
      </c>
      <c r="M683" s="6">
        <v>15.486499999999999</v>
      </c>
      <c r="N683" s="6">
        <v>15.784800000000001</v>
      </c>
      <c r="O683" s="6">
        <v>16.101700000000001</v>
      </c>
      <c r="P683" s="6">
        <v>16.418600000000001</v>
      </c>
      <c r="Q683" s="6"/>
    </row>
    <row r="684" spans="1:17">
      <c r="A684" s="5">
        <v>42459</v>
      </c>
      <c r="B684" s="5" t="str">
        <f t="shared" si="10"/>
        <v>2016 q1</v>
      </c>
      <c r="C684" s="6">
        <v>9.6931999999999992</v>
      </c>
      <c r="D684" s="6">
        <v>9.7743000000000002</v>
      </c>
      <c r="E684" s="6">
        <v>9.9417000000000009</v>
      </c>
      <c r="F684" s="6">
        <v>10.2242</v>
      </c>
      <c r="G684" s="6">
        <v>10.7623</v>
      </c>
      <c r="H684" s="6">
        <v>11.3032</v>
      </c>
      <c r="I684" s="6">
        <v>13.065799999999999</v>
      </c>
      <c r="J684" s="6">
        <v>14.0703</v>
      </c>
      <c r="K684" s="6">
        <v>14.6313</v>
      </c>
      <c r="L684" s="6">
        <v>14.8758</v>
      </c>
      <c r="M684" s="6">
        <v>15.312799999999999</v>
      </c>
      <c r="N684" s="6">
        <v>15.576499999999999</v>
      </c>
      <c r="O684" s="6">
        <v>15.858000000000001</v>
      </c>
      <c r="P684" s="6">
        <v>16.139500000000002</v>
      </c>
      <c r="Q684" s="6"/>
    </row>
    <row r="685" spans="1:17">
      <c r="A685" s="5">
        <v>42460</v>
      </c>
      <c r="B685" s="5" t="str">
        <f t="shared" si="10"/>
        <v>2016 q1</v>
      </c>
      <c r="C685" s="6">
        <v>9.6956000000000007</v>
      </c>
      <c r="D685" s="6">
        <v>9.7767999999999997</v>
      </c>
      <c r="E685" s="6">
        <v>9.9443999999999999</v>
      </c>
      <c r="F685" s="6">
        <v>10.2303</v>
      </c>
      <c r="G685" s="6">
        <v>10.769299999999999</v>
      </c>
      <c r="H685" s="6">
        <v>11.3111</v>
      </c>
      <c r="I685" s="6">
        <v>13.0677</v>
      </c>
      <c r="J685" s="6">
        <v>14.063700000000001</v>
      </c>
      <c r="K685" s="6">
        <v>14.6188</v>
      </c>
      <c r="L685" s="6">
        <v>14.860099999999999</v>
      </c>
      <c r="M685" s="6">
        <v>15.2928</v>
      </c>
      <c r="N685" s="6">
        <v>15.5534</v>
      </c>
      <c r="O685" s="6">
        <v>15.832000000000001</v>
      </c>
      <c r="P685" s="6">
        <v>16.110499999999998</v>
      </c>
      <c r="Q685" s="6"/>
    </row>
    <row r="686" spans="1:17">
      <c r="A686" s="5">
        <v>42461</v>
      </c>
      <c r="B686" s="5" t="str">
        <f t="shared" si="10"/>
        <v>2016 q2</v>
      </c>
      <c r="C686" s="6">
        <v>9.6984999999999992</v>
      </c>
      <c r="D686" s="6">
        <v>9.7797000000000001</v>
      </c>
      <c r="E686" s="6">
        <v>9.9472000000000005</v>
      </c>
      <c r="F686" s="6">
        <v>10.2361</v>
      </c>
      <c r="G686" s="6">
        <v>10.775600000000001</v>
      </c>
      <c r="H686" s="6">
        <v>11.3179</v>
      </c>
      <c r="I686" s="6">
        <v>13.074199999999999</v>
      </c>
      <c r="J686" s="6">
        <v>14.068199999999999</v>
      </c>
      <c r="K686" s="6">
        <v>14.6219</v>
      </c>
      <c r="L686" s="6">
        <v>14.862299999999999</v>
      </c>
      <c r="M686" s="6">
        <v>15.294600000000001</v>
      </c>
      <c r="N686" s="6">
        <v>15.554500000000001</v>
      </c>
      <c r="O686" s="6">
        <v>15.832599999999999</v>
      </c>
      <c r="P686" s="6">
        <v>16.110700000000001</v>
      </c>
      <c r="Q686" s="6"/>
    </row>
    <row r="687" spans="1:17">
      <c r="A687" s="5">
        <v>42462</v>
      </c>
      <c r="B687" s="5" t="str">
        <f t="shared" si="10"/>
        <v>2016 q2</v>
      </c>
      <c r="C687" s="6">
        <v>9.6280000000000001</v>
      </c>
      <c r="D687" s="6">
        <v>9.7363999999999997</v>
      </c>
      <c r="E687" s="6">
        <v>9.9602000000000004</v>
      </c>
      <c r="F687" s="6">
        <v>10.326000000000001</v>
      </c>
      <c r="G687" s="6">
        <v>10.8736</v>
      </c>
      <c r="H687" s="6">
        <v>11.3973</v>
      </c>
      <c r="I687" s="6">
        <v>13.125400000000001</v>
      </c>
      <c r="J687" s="6">
        <v>14.0977</v>
      </c>
      <c r="K687" s="6">
        <v>14.6395</v>
      </c>
      <c r="L687" s="6">
        <v>14.8749</v>
      </c>
      <c r="M687" s="6">
        <v>15.299799999999999</v>
      </c>
      <c r="N687" s="6">
        <v>15.622</v>
      </c>
      <c r="O687" s="6">
        <v>15.8383</v>
      </c>
      <c r="P687" s="6">
        <v>16.054600000000001</v>
      </c>
      <c r="Q687" s="6"/>
    </row>
    <row r="688" spans="1:17">
      <c r="A688" s="5">
        <v>42464</v>
      </c>
      <c r="B688" s="5" t="str">
        <f t="shared" si="10"/>
        <v>2016 q2</v>
      </c>
      <c r="C688" s="6">
        <v>9.6592000000000002</v>
      </c>
      <c r="D688" s="6">
        <v>9.7571999999999992</v>
      </c>
      <c r="E688" s="6">
        <v>9.9596999999999998</v>
      </c>
      <c r="F688" s="6">
        <v>10.305300000000001</v>
      </c>
      <c r="G688" s="6">
        <v>10.884499999999999</v>
      </c>
      <c r="H688" s="6">
        <v>11.435499999999999</v>
      </c>
      <c r="I688" s="6">
        <v>13.2341</v>
      </c>
      <c r="J688" s="6">
        <v>14.2081</v>
      </c>
      <c r="K688" s="6">
        <v>14.739000000000001</v>
      </c>
      <c r="L688" s="6">
        <v>14.9673</v>
      </c>
      <c r="M688" s="6">
        <v>15.3805</v>
      </c>
      <c r="N688" s="6">
        <v>15.6929</v>
      </c>
      <c r="O688" s="6">
        <v>15.902799999999999</v>
      </c>
      <c r="P688" s="6">
        <v>16.1128</v>
      </c>
      <c r="Q688" s="6"/>
    </row>
    <row r="689" spans="1:17">
      <c r="A689" s="5">
        <v>42465</v>
      </c>
      <c r="B689" s="5" t="str">
        <f t="shared" si="10"/>
        <v>2016 q2</v>
      </c>
      <c r="C689" s="6">
        <v>9.6945999999999994</v>
      </c>
      <c r="D689" s="6">
        <v>9.7833000000000006</v>
      </c>
      <c r="E689" s="6">
        <v>9.9663000000000004</v>
      </c>
      <c r="F689" s="6">
        <v>10.2857</v>
      </c>
      <c r="G689" s="6">
        <v>10.8171</v>
      </c>
      <c r="H689" s="6">
        <v>11.3476</v>
      </c>
      <c r="I689" s="6">
        <v>13.0908</v>
      </c>
      <c r="J689" s="6">
        <v>14.1</v>
      </c>
      <c r="K689" s="6">
        <v>14.669600000000001</v>
      </c>
      <c r="L689" s="6">
        <v>14.916600000000001</v>
      </c>
      <c r="M689" s="6">
        <v>15.3674</v>
      </c>
      <c r="N689" s="6">
        <v>15.7075</v>
      </c>
      <c r="O689" s="6">
        <v>15.9367</v>
      </c>
      <c r="P689" s="6">
        <v>16.165900000000001</v>
      </c>
      <c r="Q689" s="6"/>
    </row>
    <row r="690" spans="1:17">
      <c r="A690" s="5">
        <v>42466</v>
      </c>
      <c r="B690" s="5" t="str">
        <f t="shared" si="10"/>
        <v>2016 q2</v>
      </c>
      <c r="C690" s="6">
        <v>9.6981999999999999</v>
      </c>
      <c r="D690" s="6">
        <v>9.7866999999999997</v>
      </c>
      <c r="E690" s="6">
        <v>9.9694000000000003</v>
      </c>
      <c r="F690" s="6">
        <v>10.2887</v>
      </c>
      <c r="G690" s="6">
        <v>10.8063</v>
      </c>
      <c r="H690" s="6">
        <v>11.322100000000001</v>
      </c>
      <c r="I690" s="6">
        <v>13.0509</v>
      </c>
      <c r="J690" s="6">
        <v>14.069100000000001</v>
      </c>
      <c r="K690" s="6">
        <v>14.650499999999999</v>
      </c>
      <c r="L690" s="6">
        <v>14.9034</v>
      </c>
      <c r="M690" s="6">
        <v>15.366899999999999</v>
      </c>
      <c r="N690" s="6">
        <v>15.716200000000001</v>
      </c>
      <c r="O690" s="6">
        <v>15.9519</v>
      </c>
      <c r="P690" s="6">
        <v>16.1876</v>
      </c>
      <c r="Q690" s="6"/>
    </row>
    <row r="691" spans="1:17">
      <c r="A691" s="5">
        <v>42467</v>
      </c>
      <c r="B691" s="5" t="str">
        <f t="shared" si="10"/>
        <v>2016 q2</v>
      </c>
      <c r="C691" s="6">
        <v>9.7208000000000006</v>
      </c>
      <c r="D691" s="6">
        <v>9.8011999999999997</v>
      </c>
      <c r="E691" s="6">
        <v>9.9672000000000001</v>
      </c>
      <c r="F691" s="6">
        <v>10.271699999999999</v>
      </c>
      <c r="G691" s="6">
        <v>10.804399999999999</v>
      </c>
      <c r="H691" s="6">
        <v>11.3339</v>
      </c>
      <c r="I691" s="6">
        <v>13.075900000000001</v>
      </c>
      <c r="J691" s="6">
        <v>14.0654</v>
      </c>
      <c r="K691" s="6">
        <v>14.618600000000001</v>
      </c>
      <c r="L691" s="6">
        <v>14.8566</v>
      </c>
      <c r="M691" s="6">
        <v>15.293900000000001</v>
      </c>
      <c r="N691" s="6">
        <v>15.6225</v>
      </c>
      <c r="O691" s="6">
        <v>15.8444</v>
      </c>
      <c r="P691" s="6">
        <v>16.066299999999998</v>
      </c>
      <c r="Q691" s="6"/>
    </row>
    <row r="692" spans="1:17">
      <c r="A692" s="5">
        <v>42468</v>
      </c>
      <c r="B692" s="5" t="str">
        <f t="shared" si="10"/>
        <v>2016 q2</v>
      </c>
      <c r="C692" s="6">
        <v>9.7041000000000004</v>
      </c>
      <c r="D692" s="6">
        <v>9.7927</v>
      </c>
      <c r="E692" s="6">
        <v>9.9756</v>
      </c>
      <c r="F692" s="6">
        <v>10.3027</v>
      </c>
      <c r="G692" s="6">
        <v>10.831799999999999</v>
      </c>
      <c r="H692" s="6">
        <v>11.3568</v>
      </c>
      <c r="I692" s="6">
        <v>13.0991</v>
      </c>
      <c r="J692" s="6">
        <v>14.105</v>
      </c>
      <c r="K692" s="6">
        <v>14.6739</v>
      </c>
      <c r="L692" s="6">
        <v>14.919499999999999</v>
      </c>
      <c r="M692" s="6">
        <v>15.372400000000001</v>
      </c>
      <c r="N692" s="6">
        <v>15.712400000000001</v>
      </c>
      <c r="O692" s="6">
        <v>15.942299999999999</v>
      </c>
      <c r="P692" s="6">
        <v>16.1722</v>
      </c>
      <c r="Q692" s="6"/>
    </row>
    <row r="693" spans="1:17">
      <c r="A693" s="5">
        <v>42471</v>
      </c>
      <c r="B693" s="5" t="str">
        <f t="shared" si="10"/>
        <v>2016 q2</v>
      </c>
      <c r="C693" s="6">
        <v>9.7039000000000009</v>
      </c>
      <c r="D693" s="6">
        <v>9.7937999999999992</v>
      </c>
      <c r="E693" s="6">
        <v>9.9793000000000003</v>
      </c>
      <c r="F693" s="6">
        <v>10.3118</v>
      </c>
      <c r="G693" s="6">
        <v>10.8386</v>
      </c>
      <c r="H693" s="6">
        <v>11.360300000000001</v>
      </c>
      <c r="I693" s="6">
        <v>13.0943</v>
      </c>
      <c r="J693" s="6">
        <v>14.0952</v>
      </c>
      <c r="K693" s="6">
        <v>14.662000000000001</v>
      </c>
      <c r="L693" s="6">
        <v>14.9063</v>
      </c>
      <c r="M693" s="6">
        <v>15.358599999999999</v>
      </c>
      <c r="N693" s="6">
        <v>15.6975</v>
      </c>
      <c r="O693" s="6">
        <v>15.927</v>
      </c>
      <c r="P693" s="6">
        <v>16.156400000000001</v>
      </c>
      <c r="Q693" s="6"/>
    </row>
    <row r="694" spans="1:17">
      <c r="A694" s="5">
        <v>42472</v>
      </c>
      <c r="B694" s="5" t="str">
        <f t="shared" si="10"/>
        <v>2016 q2</v>
      </c>
      <c r="C694" s="6">
        <v>9.6811000000000007</v>
      </c>
      <c r="D694" s="6">
        <v>9.7810000000000006</v>
      </c>
      <c r="E694" s="6">
        <v>9.9870999999999999</v>
      </c>
      <c r="F694" s="6">
        <v>10.356999999999999</v>
      </c>
      <c r="G694" s="6">
        <v>10.906599999999999</v>
      </c>
      <c r="H694" s="6">
        <v>11.365</v>
      </c>
      <c r="I694" s="6">
        <v>13.1988</v>
      </c>
      <c r="J694" s="6">
        <v>14.145300000000001</v>
      </c>
      <c r="K694" s="6">
        <v>14.6637</v>
      </c>
      <c r="L694" s="6">
        <v>14.8835</v>
      </c>
      <c r="M694" s="6">
        <v>15.2942</v>
      </c>
      <c r="N694" s="6">
        <v>15.600099999999999</v>
      </c>
      <c r="O694" s="6">
        <v>15.8078</v>
      </c>
      <c r="P694" s="6">
        <v>16.015499999999999</v>
      </c>
      <c r="Q694" s="6"/>
    </row>
    <row r="695" spans="1:17">
      <c r="A695" s="5">
        <v>42473</v>
      </c>
      <c r="B695" s="5" t="str">
        <f t="shared" si="10"/>
        <v>2016 q2</v>
      </c>
      <c r="C695" s="6">
        <v>9.6908999999999992</v>
      </c>
      <c r="D695" s="6">
        <v>9.7876999999999992</v>
      </c>
      <c r="E695" s="6">
        <v>9.9876000000000005</v>
      </c>
      <c r="F695" s="6">
        <v>10.357699999999999</v>
      </c>
      <c r="G695" s="6">
        <v>10.9224</v>
      </c>
      <c r="H695" s="6">
        <v>11.381399999999999</v>
      </c>
      <c r="I695" s="6">
        <v>13.2174</v>
      </c>
      <c r="J695" s="6">
        <v>14.125400000000001</v>
      </c>
      <c r="K695" s="6">
        <v>14.613799999999999</v>
      </c>
      <c r="L695" s="6">
        <v>14.8193</v>
      </c>
      <c r="M695" s="6">
        <v>15.2043</v>
      </c>
      <c r="N695" s="6">
        <v>15.490600000000001</v>
      </c>
      <c r="O695" s="6">
        <v>15.6851</v>
      </c>
      <c r="P695" s="6">
        <v>15.8796</v>
      </c>
      <c r="Q695" s="6"/>
    </row>
    <row r="696" spans="1:17">
      <c r="A696" s="5">
        <v>42474</v>
      </c>
      <c r="B696" s="5" t="str">
        <f t="shared" si="10"/>
        <v>2016 q2</v>
      </c>
      <c r="C696" s="6">
        <v>9.6364000000000001</v>
      </c>
      <c r="D696" s="6">
        <v>9.7616999999999994</v>
      </c>
      <c r="E696" s="6">
        <v>10.020200000000001</v>
      </c>
      <c r="F696" s="6">
        <v>10.456099999999999</v>
      </c>
      <c r="G696" s="6">
        <v>11.0151</v>
      </c>
      <c r="H696" s="6">
        <v>11.459300000000001</v>
      </c>
      <c r="I696" s="6">
        <v>13.2361</v>
      </c>
      <c r="J696" s="6">
        <v>14.1402</v>
      </c>
      <c r="K696" s="6">
        <v>14.635999999999999</v>
      </c>
      <c r="L696" s="6">
        <v>14.845599999999999</v>
      </c>
      <c r="M696" s="6">
        <v>15.2401</v>
      </c>
      <c r="N696" s="6">
        <v>15.532999999999999</v>
      </c>
      <c r="O696" s="6">
        <v>15.7324</v>
      </c>
      <c r="P696" s="6">
        <v>15.931699999999999</v>
      </c>
      <c r="Q696" s="6"/>
    </row>
    <row r="697" spans="1:17">
      <c r="A697" s="5">
        <v>42475</v>
      </c>
      <c r="B697" s="5" t="str">
        <f t="shared" si="10"/>
        <v>2016 q2</v>
      </c>
      <c r="C697" s="6">
        <v>9.6393000000000004</v>
      </c>
      <c r="D697" s="6">
        <v>9.7652000000000001</v>
      </c>
      <c r="E697" s="6">
        <v>10.025</v>
      </c>
      <c r="F697" s="6">
        <v>10.464</v>
      </c>
      <c r="G697" s="6">
        <v>11.020899999999999</v>
      </c>
      <c r="H697" s="6">
        <v>11.463900000000001</v>
      </c>
      <c r="I697" s="6">
        <v>13.235900000000001</v>
      </c>
      <c r="J697" s="6">
        <v>14.135199999999999</v>
      </c>
      <c r="K697" s="6">
        <v>14.6288</v>
      </c>
      <c r="L697" s="6">
        <v>14.8371</v>
      </c>
      <c r="M697" s="6">
        <v>15.230499999999999</v>
      </c>
      <c r="N697" s="6">
        <v>15.5222</v>
      </c>
      <c r="O697" s="6">
        <v>15.7209</v>
      </c>
      <c r="P697" s="6">
        <v>15.919600000000001</v>
      </c>
      <c r="Q697" s="6"/>
    </row>
    <row r="698" spans="1:17">
      <c r="A698" s="5">
        <v>42478</v>
      </c>
      <c r="B698" s="5" t="str">
        <f t="shared" si="10"/>
        <v>2016 q2</v>
      </c>
      <c r="C698" s="6">
        <v>9.6419999999999995</v>
      </c>
      <c r="D698" s="6">
        <v>9.7685999999999993</v>
      </c>
      <c r="E698" s="6">
        <v>10.029999999999999</v>
      </c>
      <c r="F698" s="6">
        <v>10.472099999999999</v>
      </c>
      <c r="G698" s="6">
        <v>11.0265</v>
      </c>
      <c r="H698" s="6">
        <v>11.468299999999999</v>
      </c>
      <c r="I698" s="6">
        <v>13.235200000000001</v>
      </c>
      <c r="J698" s="6">
        <v>14.130599999999999</v>
      </c>
      <c r="K698" s="6">
        <v>14.6226</v>
      </c>
      <c r="L698" s="6">
        <v>14.8299</v>
      </c>
      <c r="M698" s="6">
        <v>15.222899999999999</v>
      </c>
      <c r="N698" s="6">
        <v>15.5138</v>
      </c>
      <c r="O698" s="6">
        <v>15.7121</v>
      </c>
      <c r="P698" s="6">
        <v>15.910500000000001</v>
      </c>
      <c r="Q698" s="6"/>
    </row>
    <row r="699" spans="1:17">
      <c r="A699" s="5">
        <v>42479</v>
      </c>
      <c r="B699" s="5" t="str">
        <f t="shared" si="10"/>
        <v>2016 q2</v>
      </c>
      <c r="C699" s="6">
        <v>9.6488999999999994</v>
      </c>
      <c r="D699" s="6">
        <v>9.7784999999999993</v>
      </c>
      <c r="E699" s="6">
        <v>10.0459</v>
      </c>
      <c r="F699" s="6">
        <v>10.4976</v>
      </c>
      <c r="G699" s="6">
        <v>11.042</v>
      </c>
      <c r="H699" s="6">
        <v>11.4793</v>
      </c>
      <c r="I699" s="6">
        <v>13.228400000000001</v>
      </c>
      <c r="J699" s="6">
        <v>14.1173</v>
      </c>
      <c r="K699" s="6">
        <v>14.609299999999999</v>
      </c>
      <c r="L699" s="6">
        <v>14.815799999999999</v>
      </c>
      <c r="M699" s="6">
        <v>15.2118</v>
      </c>
      <c r="N699" s="6">
        <v>15.503399999999999</v>
      </c>
      <c r="O699" s="6">
        <v>15.702999999999999</v>
      </c>
      <c r="P699" s="6">
        <v>15.9026</v>
      </c>
      <c r="Q699" s="6"/>
    </row>
    <row r="700" spans="1:17">
      <c r="A700" s="5">
        <v>42480</v>
      </c>
      <c r="B700" s="5" t="str">
        <f t="shared" si="10"/>
        <v>2016 q2</v>
      </c>
      <c r="C700" s="6">
        <v>9.6603999999999992</v>
      </c>
      <c r="D700" s="6">
        <v>9.7860999999999994</v>
      </c>
      <c r="E700" s="6">
        <v>10.045500000000001</v>
      </c>
      <c r="F700" s="6">
        <v>10.499499999999999</v>
      </c>
      <c r="G700" s="6">
        <v>11.065899999999999</v>
      </c>
      <c r="H700" s="6">
        <v>11.513</v>
      </c>
      <c r="I700" s="6">
        <v>13.301600000000001</v>
      </c>
      <c r="J700" s="6">
        <v>14.1675</v>
      </c>
      <c r="K700" s="6">
        <v>14.636900000000001</v>
      </c>
      <c r="L700" s="6">
        <v>14.832000000000001</v>
      </c>
      <c r="M700" s="6">
        <v>15.2074</v>
      </c>
      <c r="N700" s="6">
        <v>15.4831</v>
      </c>
      <c r="O700" s="6">
        <v>15.672000000000001</v>
      </c>
      <c r="P700" s="6">
        <v>15.860900000000001</v>
      </c>
      <c r="Q700" s="6"/>
    </row>
    <row r="701" spans="1:17">
      <c r="A701" s="5">
        <v>42481</v>
      </c>
      <c r="B701" s="5" t="str">
        <f t="shared" si="10"/>
        <v>2016 q2</v>
      </c>
      <c r="C701" s="6">
        <v>9.6554000000000002</v>
      </c>
      <c r="D701" s="6">
        <v>9.7865000000000002</v>
      </c>
      <c r="E701" s="6">
        <v>10.0572</v>
      </c>
      <c r="F701" s="6">
        <v>10.5124</v>
      </c>
      <c r="G701" s="6">
        <v>11.045999999999999</v>
      </c>
      <c r="H701" s="6">
        <v>11.4796</v>
      </c>
      <c r="I701" s="6">
        <v>13.213800000000001</v>
      </c>
      <c r="J701" s="6">
        <v>14.106</v>
      </c>
      <c r="K701" s="6">
        <v>14.6045</v>
      </c>
      <c r="L701" s="6">
        <v>14.813700000000001</v>
      </c>
      <c r="M701" s="6">
        <v>15.218</v>
      </c>
      <c r="N701" s="6">
        <v>15.514699999999999</v>
      </c>
      <c r="O701" s="6">
        <v>15.718400000000001</v>
      </c>
      <c r="P701" s="6">
        <v>15.922000000000001</v>
      </c>
      <c r="Q701" s="6"/>
    </row>
    <row r="702" spans="1:17">
      <c r="A702" s="5">
        <v>42482</v>
      </c>
      <c r="B702" s="5" t="str">
        <f t="shared" si="10"/>
        <v>2016 q2</v>
      </c>
      <c r="C702" s="6">
        <v>9.6669</v>
      </c>
      <c r="D702" s="6">
        <v>9.7937999999999992</v>
      </c>
      <c r="E702" s="6">
        <v>10.0557</v>
      </c>
      <c r="F702" s="6">
        <v>10.5151</v>
      </c>
      <c r="G702" s="6">
        <v>11.0755</v>
      </c>
      <c r="H702" s="6">
        <v>11.520099999999999</v>
      </c>
      <c r="I702" s="6">
        <v>13.2986</v>
      </c>
      <c r="J702" s="6">
        <v>14.1572</v>
      </c>
      <c r="K702" s="6">
        <v>14.623900000000001</v>
      </c>
      <c r="L702" s="6">
        <v>14.817299999999999</v>
      </c>
      <c r="M702" s="6">
        <v>15.1921</v>
      </c>
      <c r="N702" s="6">
        <v>15.4665</v>
      </c>
      <c r="O702" s="6">
        <v>15.654999999999999</v>
      </c>
      <c r="P702" s="6">
        <v>15.843400000000001</v>
      </c>
      <c r="Q702" s="6"/>
    </row>
    <row r="703" spans="1:17">
      <c r="A703" s="5">
        <v>42485</v>
      </c>
      <c r="B703" s="5" t="str">
        <f t="shared" si="10"/>
        <v>2016 q2</v>
      </c>
      <c r="C703" s="6">
        <v>9.6860999999999997</v>
      </c>
      <c r="D703" s="6">
        <v>9.8042999999999996</v>
      </c>
      <c r="E703" s="6">
        <v>10.048400000000001</v>
      </c>
      <c r="F703" s="6">
        <v>10.511699999999999</v>
      </c>
      <c r="G703" s="6">
        <v>11.117900000000001</v>
      </c>
      <c r="H703" s="6">
        <v>11.587199999999999</v>
      </c>
      <c r="I703" s="6">
        <v>13.464499999999999</v>
      </c>
      <c r="J703" s="6">
        <v>14.3088</v>
      </c>
      <c r="K703" s="6">
        <v>14.756</v>
      </c>
      <c r="L703" s="6">
        <v>14.939299999999999</v>
      </c>
      <c r="M703" s="6">
        <v>15.295999999999999</v>
      </c>
      <c r="N703" s="6">
        <v>15.5565</v>
      </c>
      <c r="O703" s="6">
        <v>15.7356</v>
      </c>
      <c r="P703" s="6">
        <v>15.9146</v>
      </c>
      <c r="Q703" s="6"/>
    </row>
    <row r="704" spans="1:17">
      <c r="A704" s="5">
        <v>42486</v>
      </c>
      <c r="B704" s="5" t="str">
        <f t="shared" si="10"/>
        <v>2016 q2</v>
      </c>
      <c r="C704" s="6">
        <v>8.8765999999999998</v>
      </c>
      <c r="D704" s="6">
        <v>9.1378000000000004</v>
      </c>
      <c r="E704" s="6">
        <v>9.6769999999999996</v>
      </c>
      <c r="F704" s="6">
        <v>10.444900000000001</v>
      </c>
      <c r="G704" s="6">
        <v>11.1058</v>
      </c>
      <c r="H704" s="6">
        <v>11.5526</v>
      </c>
      <c r="I704" s="6">
        <v>13.3398</v>
      </c>
      <c r="J704" s="6">
        <v>14.24</v>
      </c>
      <c r="K704" s="6">
        <v>14.737500000000001</v>
      </c>
      <c r="L704" s="6">
        <v>14.897399999999999</v>
      </c>
      <c r="M704" s="6">
        <v>15.210100000000001</v>
      </c>
      <c r="N704" s="6">
        <v>15.357200000000001</v>
      </c>
      <c r="O704" s="6">
        <v>15.3935</v>
      </c>
      <c r="P704" s="6">
        <v>15.4299</v>
      </c>
      <c r="Q704" s="6"/>
    </row>
    <row r="705" spans="1:17">
      <c r="A705" s="5">
        <v>42487</v>
      </c>
      <c r="B705" s="5" t="str">
        <f t="shared" si="10"/>
        <v>2016 q2</v>
      </c>
      <c r="C705" s="6">
        <v>8.7921999999999993</v>
      </c>
      <c r="D705" s="6">
        <v>9.0729000000000006</v>
      </c>
      <c r="E705" s="6">
        <v>9.6524000000000001</v>
      </c>
      <c r="F705" s="6">
        <v>10.468400000000001</v>
      </c>
      <c r="G705" s="6">
        <v>11.151999999999999</v>
      </c>
      <c r="H705" s="6">
        <v>11.590999999999999</v>
      </c>
      <c r="I705" s="6">
        <v>13.3468</v>
      </c>
      <c r="J705" s="6">
        <v>14.1882</v>
      </c>
      <c r="K705" s="6">
        <v>14.667999999999999</v>
      </c>
      <c r="L705" s="6">
        <v>14.864000000000001</v>
      </c>
      <c r="M705" s="6">
        <v>15.2514</v>
      </c>
      <c r="N705" s="6">
        <v>15.525499999999999</v>
      </c>
      <c r="O705" s="6">
        <v>15.7103</v>
      </c>
      <c r="P705" s="6">
        <v>15.895200000000001</v>
      </c>
      <c r="Q705" s="6"/>
    </row>
    <row r="706" spans="1:17">
      <c r="A706" s="5">
        <v>42488</v>
      </c>
      <c r="B706" s="5" t="str">
        <f t="shared" si="10"/>
        <v>2016 q2</v>
      </c>
      <c r="C706" s="6">
        <v>8.8071000000000002</v>
      </c>
      <c r="D706" s="6">
        <v>9.0867000000000004</v>
      </c>
      <c r="E706" s="6">
        <v>9.6640999999999995</v>
      </c>
      <c r="F706" s="6">
        <v>10.4735</v>
      </c>
      <c r="G706" s="6">
        <v>11.1457</v>
      </c>
      <c r="H706" s="6">
        <v>11.5755</v>
      </c>
      <c r="I706" s="6">
        <v>13.2949</v>
      </c>
      <c r="J706" s="6">
        <v>14.1249</v>
      </c>
      <c r="K706" s="6">
        <v>14.6128</v>
      </c>
      <c r="L706" s="6">
        <v>14.8241</v>
      </c>
      <c r="M706" s="6">
        <v>15.2437</v>
      </c>
      <c r="N706" s="6">
        <v>15.5511</v>
      </c>
      <c r="O706" s="6">
        <v>15.7651</v>
      </c>
      <c r="P706" s="6">
        <v>15.979100000000001</v>
      </c>
      <c r="Q706" s="6"/>
    </row>
    <row r="707" spans="1:17">
      <c r="A707" s="5">
        <v>42489</v>
      </c>
      <c r="B707" s="5" t="str">
        <f t="shared" ref="B707:B770" si="11">YEAR(A707)&amp;" q"&amp;ROUNDUP(MONTH(A707)/3,0)</f>
        <v>2016 q2</v>
      </c>
      <c r="C707" s="6">
        <v>9.3595000000000006</v>
      </c>
      <c r="D707" s="6">
        <v>9.4876000000000005</v>
      </c>
      <c r="E707" s="6">
        <v>9.7517999999999994</v>
      </c>
      <c r="F707" s="6">
        <v>10.210900000000001</v>
      </c>
      <c r="G707" s="6">
        <v>10.75</v>
      </c>
      <c r="H707" s="6">
        <v>11.2415</v>
      </c>
      <c r="I707" s="6">
        <v>13.096500000000001</v>
      </c>
      <c r="J707" s="6">
        <v>14.0763</v>
      </c>
      <c r="K707" s="6">
        <v>14.626899999999999</v>
      </c>
      <c r="L707" s="6">
        <v>14.853999999999999</v>
      </c>
      <c r="M707" s="6">
        <v>15.3065</v>
      </c>
      <c r="N707" s="6">
        <v>15.634</v>
      </c>
      <c r="O707" s="6">
        <v>15.860900000000001</v>
      </c>
      <c r="P707" s="6">
        <v>16.087800000000001</v>
      </c>
      <c r="Q707" s="6"/>
    </row>
    <row r="708" spans="1:17">
      <c r="A708" s="5">
        <v>42492</v>
      </c>
      <c r="B708" s="5" t="str">
        <f t="shared" si="11"/>
        <v>2016 q2</v>
      </c>
      <c r="C708" s="6">
        <v>9.2926000000000002</v>
      </c>
      <c r="D708" s="6">
        <v>9.4382999999999999</v>
      </c>
      <c r="E708" s="6">
        <v>9.7390000000000008</v>
      </c>
      <c r="F708" s="6">
        <v>10.2553</v>
      </c>
      <c r="G708" s="6">
        <v>10.8491</v>
      </c>
      <c r="H708" s="6">
        <v>11.3401</v>
      </c>
      <c r="I708" s="6">
        <v>13.3042</v>
      </c>
      <c r="J708" s="6">
        <v>14.2759</v>
      </c>
      <c r="K708" s="6">
        <v>14.811</v>
      </c>
      <c r="L708" s="6">
        <v>15.138199999999999</v>
      </c>
      <c r="M708" s="6">
        <v>15.4885</v>
      </c>
      <c r="N708" s="6">
        <v>15.782400000000001</v>
      </c>
      <c r="O708" s="6">
        <v>16.001300000000001</v>
      </c>
      <c r="P708" s="6">
        <v>16.220099999999999</v>
      </c>
      <c r="Q708" s="6"/>
    </row>
    <row r="709" spans="1:17">
      <c r="A709" s="5">
        <v>42493</v>
      </c>
      <c r="B709" s="5" t="str">
        <f t="shared" si="11"/>
        <v>2016 q2</v>
      </c>
      <c r="C709" s="6">
        <v>9.1708999999999996</v>
      </c>
      <c r="D709" s="6">
        <v>9.3612000000000002</v>
      </c>
      <c r="E709" s="6">
        <v>9.7538999999999998</v>
      </c>
      <c r="F709" s="6">
        <v>10.320499999999999</v>
      </c>
      <c r="G709" s="6">
        <v>10.8537</v>
      </c>
      <c r="H709" s="6">
        <v>11.267300000000001</v>
      </c>
      <c r="I709" s="6">
        <v>12.9169</v>
      </c>
      <c r="J709" s="6">
        <v>14.0181</v>
      </c>
      <c r="K709" s="6">
        <v>14.774800000000001</v>
      </c>
      <c r="L709" s="6">
        <v>15.280799999999999</v>
      </c>
      <c r="M709" s="6">
        <v>15.750999999999999</v>
      </c>
      <c r="N709" s="6">
        <v>15.925599999999999</v>
      </c>
      <c r="O709" s="6">
        <v>15.640599999999999</v>
      </c>
      <c r="P709" s="6">
        <v>15.355700000000001</v>
      </c>
      <c r="Q709" s="6"/>
    </row>
    <row r="710" spans="1:17">
      <c r="A710" s="5">
        <v>42494</v>
      </c>
      <c r="B710" s="5" t="str">
        <f t="shared" si="11"/>
        <v>2016 q2</v>
      </c>
      <c r="C710" s="6">
        <v>9.1275999999999993</v>
      </c>
      <c r="D710" s="6">
        <v>9.3293999999999997</v>
      </c>
      <c r="E710" s="6">
        <v>9.7462</v>
      </c>
      <c r="F710" s="6">
        <v>10.3361</v>
      </c>
      <c r="G710" s="6">
        <v>10.875999999999999</v>
      </c>
      <c r="H710" s="6">
        <v>11.258599999999999</v>
      </c>
      <c r="I710" s="6">
        <v>12.7822</v>
      </c>
      <c r="J710" s="6">
        <v>13.702</v>
      </c>
      <c r="K710" s="6">
        <v>14.317399999999999</v>
      </c>
      <c r="L710" s="6">
        <v>14.7219</v>
      </c>
      <c r="M710" s="6">
        <v>15.2437</v>
      </c>
      <c r="N710" s="6">
        <v>15.6838</v>
      </c>
      <c r="O710" s="6">
        <v>16.017700000000001</v>
      </c>
      <c r="P710" s="6">
        <v>16.351500000000001</v>
      </c>
      <c r="Q710" s="6"/>
    </row>
    <row r="711" spans="1:17">
      <c r="A711" s="5">
        <v>42495</v>
      </c>
      <c r="B711" s="5" t="str">
        <f t="shared" si="11"/>
        <v>2016 q2</v>
      </c>
      <c r="C711" s="6">
        <v>9.2245000000000008</v>
      </c>
      <c r="D711" s="6">
        <v>9.4036000000000008</v>
      </c>
      <c r="E711" s="6">
        <v>9.7734000000000005</v>
      </c>
      <c r="F711" s="6">
        <v>10.3032</v>
      </c>
      <c r="G711" s="6">
        <v>10.7966</v>
      </c>
      <c r="H711" s="6">
        <v>11.1723</v>
      </c>
      <c r="I711" s="6">
        <v>12.668100000000001</v>
      </c>
      <c r="J711" s="6">
        <v>13.6473</v>
      </c>
      <c r="K711" s="6">
        <v>14.3264</v>
      </c>
      <c r="L711" s="6">
        <v>14.8001</v>
      </c>
      <c r="M711" s="6">
        <v>15.335100000000001</v>
      </c>
      <c r="N711" s="6">
        <v>15.746</v>
      </c>
      <c r="O711" s="6">
        <v>15.9815</v>
      </c>
      <c r="P711" s="6">
        <v>16.216999999999999</v>
      </c>
      <c r="Q711" s="6"/>
    </row>
    <row r="712" spans="1:17">
      <c r="A712" s="5">
        <v>42496</v>
      </c>
      <c r="B712" s="5" t="str">
        <f t="shared" si="11"/>
        <v>2016 q2</v>
      </c>
      <c r="C712" s="6">
        <v>9.3437999999999999</v>
      </c>
      <c r="D712" s="6">
        <v>9.5</v>
      </c>
      <c r="E712" s="6">
        <v>9.8225999999999996</v>
      </c>
      <c r="F712" s="6">
        <v>10.2911</v>
      </c>
      <c r="G712" s="6">
        <v>10.7363</v>
      </c>
      <c r="H712" s="6">
        <v>11.104200000000001</v>
      </c>
      <c r="I712" s="6">
        <v>12.5694</v>
      </c>
      <c r="J712" s="6">
        <v>13.6393</v>
      </c>
      <c r="K712" s="6">
        <v>14.4316</v>
      </c>
      <c r="L712" s="6">
        <v>14.816599999999999</v>
      </c>
      <c r="M712" s="6">
        <v>15.586499999999999</v>
      </c>
      <c r="N712" s="6">
        <v>15.886200000000001</v>
      </c>
      <c r="O712" s="6">
        <v>15.430400000000001</v>
      </c>
      <c r="P712" s="6">
        <v>14.974600000000001</v>
      </c>
      <c r="Q712" s="6"/>
    </row>
    <row r="713" spans="1:17">
      <c r="A713" s="5">
        <v>42500</v>
      </c>
      <c r="B713" s="5" t="str">
        <f t="shared" si="11"/>
        <v>2016 q2</v>
      </c>
      <c r="C713" s="6">
        <v>9.3724000000000007</v>
      </c>
      <c r="D713" s="6">
        <v>9.5248000000000008</v>
      </c>
      <c r="E713" s="6">
        <v>9.8394999999999992</v>
      </c>
      <c r="F713" s="6">
        <v>10.2967</v>
      </c>
      <c r="G713" s="6">
        <v>10.731199999999999</v>
      </c>
      <c r="H713" s="6">
        <v>11.093299999999999</v>
      </c>
      <c r="I713" s="6">
        <v>12.5344</v>
      </c>
      <c r="J713" s="6">
        <v>13.597200000000001</v>
      </c>
      <c r="K713" s="6">
        <v>14.390599999999999</v>
      </c>
      <c r="L713" s="6">
        <v>14.7837</v>
      </c>
      <c r="M713" s="6">
        <v>15.569800000000001</v>
      </c>
      <c r="N713" s="6">
        <v>15.8811</v>
      </c>
      <c r="O713" s="6">
        <v>15.4054</v>
      </c>
      <c r="P713" s="6">
        <v>14.9297</v>
      </c>
      <c r="Q713" s="6"/>
    </row>
    <row r="714" spans="1:17">
      <c r="A714" s="5">
        <v>42501</v>
      </c>
      <c r="B714" s="5" t="str">
        <f t="shared" si="11"/>
        <v>2016 q2</v>
      </c>
      <c r="C714" s="6">
        <v>9.3711000000000002</v>
      </c>
      <c r="D714" s="6">
        <v>9.5288000000000004</v>
      </c>
      <c r="E714" s="6">
        <v>9.8542000000000005</v>
      </c>
      <c r="F714" s="6">
        <v>10.3249</v>
      </c>
      <c r="G714" s="6">
        <v>10.7683</v>
      </c>
      <c r="H714" s="6">
        <v>11.1372</v>
      </c>
      <c r="I714" s="6">
        <v>12.6005</v>
      </c>
      <c r="J714" s="6">
        <v>13.6617</v>
      </c>
      <c r="K714" s="6">
        <v>14.4396</v>
      </c>
      <c r="L714" s="6">
        <v>14.8156</v>
      </c>
      <c r="M714" s="6">
        <v>15.567500000000001</v>
      </c>
      <c r="N714" s="6">
        <v>15.8497</v>
      </c>
      <c r="O714" s="6">
        <v>15.412800000000001</v>
      </c>
      <c r="P714" s="6">
        <v>14.976000000000001</v>
      </c>
      <c r="Q714" s="6"/>
    </row>
    <row r="715" spans="1:17">
      <c r="A715" s="5">
        <v>42502</v>
      </c>
      <c r="B715" s="5" t="str">
        <f t="shared" si="11"/>
        <v>2016 q2</v>
      </c>
      <c r="C715" s="6">
        <v>9.3795000000000002</v>
      </c>
      <c r="D715" s="6">
        <v>9.5361999999999991</v>
      </c>
      <c r="E715" s="6">
        <v>9.8596000000000004</v>
      </c>
      <c r="F715" s="6">
        <v>10.3269</v>
      </c>
      <c r="G715" s="6">
        <v>10.7662</v>
      </c>
      <c r="H715" s="6">
        <v>11.1317</v>
      </c>
      <c r="I715" s="6">
        <v>12.580500000000001</v>
      </c>
      <c r="J715" s="6">
        <v>13.6287</v>
      </c>
      <c r="K715" s="6">
        <v>14.3962</v>
      </c>
      <c r="L715" s="6">
        <v>14.7705</v>
      </c>
      <c r="M715" s="6">
        <v>15.5192</v>
      </c>
      <c r="N715" s="6">
        <v>15.8231</v>
      </c>
      <c r="O715" s="6">
        <v>15.464700000000001</v>
      </c>
      <c r="P715" s="6">
        <v>15.106299999999999</v>
      </c>
      <c r="Q715" s="6"/>
    </row>
    <row r="716" spans="1:17">
      <c r="A716" s="5">
        <v>42503</v>
      </c>
      <c r="B716" s="5" t="str">
        <f t="shared" si="11"/>
        <v>2016 q2</v>
      </c>
      <c r="C716" s="6">
        <v>9.4090000000000007</v>
      </c>
      <c r="D716" s="6">
        <v>9.5625</v>
      </c>
      <c r="E716" s="6">
        <v>9.8792000000000009</v>
      </c>
      <c r="F716" s="6">
        <v>10.339</v>
      </c>
      <c r="G716" s="6">
        <v>10.7745</v>
      </c>
      <c r="H716" s="6">
        <v>11.146699999999999</v>
      </c>
      <c r="I716" s="6">
        <v>12.6227</v>
      </c>
      <c r="J716" s="6">
        <v>13.7326</v>
      </c>
      <c r="K716" s="6">
        <v>14.5669</v>
      </c>
      <c r="L716" s="6">
        <v>14.9772</v>
      </c>
      <c r="M716" s="6">
        <v>15.798</v>
      </c>
      <c r="N716" s="6">
        <v>15.9894</v>
      </c>
      <c r="O716" s="6">
        <v>15.0227</v>
      </c>
      <c r="P716" s="6">
        <v>14.055999999999999</v>
      </c>
      <c r="Q716" s="6"/>
    </row>
    <row r="717" spans="1:17">
      <c r="A717" s="5">
        <v>42506</v>
      </c>
      <c r="B717" s="5" t="str">
        <f t="shared" si="11"/>
        <v>2016 q2</v>
      </c>
      <c r="C717" s="6">
        <v>8.5229999999999997</v>
      </c>
      <c r="D717" s="6">
        <v>8.7875999999999994</v>
      </c>
      <c r="E717" s="6">
        <v>9.3338999999999999</v>
      </c>
      <c r="F717" s="6">
        <v>10.0633</v>
      </c>
      <c r="G717" s="6">
        <v>10.687200000000001</v>
      </c>
      <c r="H717" s="6">
        <v>11.117100000000001</v>
      </c>
      <c r="I717" s="6">
        <v>12.8072</v>
      </c>
      <c r="J717" s="6">
        <v>13.737</v>
      </c>
      <c r="K717" s="6">
        <v>14.317500000000001</v>
      </c>
      <c r="L717" s="6">
        <v>14.5884</v>
      </c>
      <c r="M717" s="6">
        <v>15.130100000000001</v>
      </c>
      <c r="N717" s="6">
        <v>15.523899999999999</v>
      </c>
      <c r="O717" s="6">
        <v>15.806800000000001</v>
      </c>
      <c r="P717" s="6">
        <v>16.0898</v>
      </c>
      <c r="Q717" s="6"/>
    </row>
    <row r="718" spans="1:17">
      <c r="A718" s="5">
        <v>42507</v>
      </c>
      <c r="B718" s="5" t="str">
        <f t="shared" si="11"/>
        <v>2016 q2</v>
      </c>
      <c r="C718" s="6">
        <v>8.5449000000000002</v>
      </c>
      <c r="D718" s="6">
        <v>8.7774999999999999</v>
      </c>
      <c r="E718" s="6">
        <v>9.2576999999999998</v>
      </c>
      <c r="F718" s="6">
        <v>9.8820999999999994</v>
      </c>
      <c r="G718" s="6">
        <v>10.4499</v>
      </c>
      <c r="H718" s="6">
        <v>11.0159</v>
      </c>
      <c r="I718" s="6">
        <v>12.5503</v>
      </c>
      <c r="J718" s="6">
        <v>13.5486</v>
      </c>
      <c r="K718" s="6">
        <v>14.2095</v>
      </c>
      <c r="L718" s="6">
        <v>14.5402</v>
      </c>
      <c r="M718" s="6">
        <v>15.2018</v>
      </c>
      <c r="N718" s="6">
        <v>15.695</v>
      </c>
      <c r="O718" s="6">
        <v>16.0581</v>
      </c>
      <c r="P718" s="6">
        <v>16.421099999999999</v>
      </c>
      <c r="Q718" s="6"/>
    </row>
    <row r="719" spans="1:17">
      <c r="A719" s="5">
        <v>42508</v>
      </c>
      <c r="B719" s="5" t="str">
        <f t="shared" si="11"/>
        <v>2016 q2</v>
      </c>
      <c r="C719" s="6">
        <v>8.4700000000000006</v>
      </c>
      <c r="D719" s="6">
        <v>8.6743000000000006</v>
      </c>
      <c r="E719" s="6">
        <v>9.0960000000000001</v>
      </c>
      <c r="F719" s="6">
        <v>9.6701999999999995</v>
      </c>
      <c r="G719" s="6">
        <v>10.211600000000001</v>
      </c>
      <c r="H719" s="6">
        <v>10.7502</v>
      </c>
      <c r="I719" s="6">
        <v>12.3919</v>
      </c>
      <c r="J719" s="6">
        <v>13.5679</v>
      </c>
      <c r="K719" s="6">
        <v>14.3787</v>
      </c>
      <c r="L719" s="6">
        <v>14.7355</v>
      </c>
      <c r="M719" s="6">
        <v>15.449</v>
      </c>
      <c r="N719" s="6">
        <v>15.688800000000001</v>
      </c>
      <c r="O719" s="6">
        <v>15.3653</v>
      </c>
      <c r="P719" s="6">
        <v>15.0418</v>
      </c>
      <c r="Q719" s="6"/>
    </row>
    <row r="720" spans="1:17">
      <c r="A720" s="5">
        <v>42509</v>
      </c>
      <c r="B720" s="5" t="str">
        <f t="shared" si="11"/>
        <v>2016 q2</v>
      </c>
      <c r="C720" s="6">
        <v>8.4268999999999998</v>
      </c>
      <c r="D720" s="6">
        <v>8.6372</v>
      </c>
      <c r="E720" s="6">
        <v>9.0714000000000006</v>
      </c>
      <c r="F720" s="6">
        <v>9.6495999999999995</v>
      </c>
      <c r="G720" s="6">
        <v>10.188499999999999</v>
      </c>
      <c r="H720" s="6">
        <v>10.7227</v>
      </c>
      <c r="I720" s="6">
        <v>12.272500000000001</v>
      </c>
      <c r="J720" s="6">
        <v>13.327</v>
      </c>
      <c r="K720" s="6">
        <v>14.028600000000001</v>
      </c>
      <c r="L720" s="6">
        <v>14.3459</v>
      </c>
      <c r="M720" s="6">
        <v>14.980499999999999</v>
      </c>
      <c r="N720" s="6">
        <v>15.331200000000001</v>
      </c>
      <c r="O720" s="6">
        <v>15.435700000000001</v>
      </c>
      <c r="P720" s="6">
        <v>15.5402</v>
      </c>
      <c r="Q720" s="6"/>
    </row>
    <row r="721" spans="1:17">
      <c r="A721" s="5">
        <v>42510</v>
      </c>
      <c r="B721" s="5" t="str">
        <f t="shared" si="11"/>
        <v>2016 q2</v>
      </c>
      <c r="C721" s="6">
        <v>8.5557999999999996</v>
      </c>
      <c r="D721" s="6">
        <v>8.7322000000000006</v>
      </c>
      <c r="E721" s="6">
        <v>9.0962999999999994</v>
      </c>
      <c r="F721" s="6">
        <v>9.5975999999999999</v>
      </c>
      <c r="G721" s="6">
        <v>10.0761</v>
      </c>
      <c r="H721" s="6">
        <v>10.5504</v>
      </c>
      <c r="I721" s="6">
        <v>12.0609</v>
      </c>
      <c r="J721" s="6">
        <v>13.1996</v>
      </c>
      <c r="K721" s="6">
        <v>14.030200000000001</v>
      </c>
      <c r="L721" s="6">
        <v>14.4497</v>
      </c>
      <c r="M721" s="6">
        <v>15.2887</v>
      </c>
      <c r="N721" s="6">
        <v>15.6793</v>
      </c>
      <c r="O721" s="6">
        <v>15.4558</v>
      </c>
      <c r="P721" s="6">
        <v>15.232200000000001</v>
      </c>
      <c r="Q721" s="6"/>
    </row>
    <row r="722" spans="1:17">
      <c r="A722" s="5">
        <v>42513</v>
      </c>
      <c r="B722" s="5" t="str">
        <f t="shared" si="11"/>
        <v>2016 q2</v>
      </c>
      <c r="C722" s="6">
        <v>8.5661000000000005</v>
      </c>
      <c r="D722" s="6">
        <v>8.7411999999999992</v>
      </c>
      <c r="E722" s="6">
        <v>9.1027000000000005</v>
      </c>
      <c r="F722" s="6">
        <v>9.6008999999999993</v>
      </c>
      <c r="G722" s="6">
        <v>10.0777</v>
      </c>
      <c r="H722" s="6">
        <v>10.5494</v>
      </c>
      <c r="I722" s="6">
        <v>12.060499999999999</v>
      </c>
      <c r="J722" s="6">
        <v>13.202199999999999</v>
      </c>
      <c r="K722" s="6">
        <v>14.0312</v>
      </c>
      <c r="L722" s="6">
        <v>14.434200000000001</v>
      </c>
      <c r="M722" s="6">
        <v>15.2401</v>
      </c>
      <c r="N722" s="6">
        <v>15.511699999999999</v>
      </c>
      <c r="O722" s="6">
        <v>14.997</v>
      </c>
      <c r="P722" s="6">
        <v>14.482200000000001</v>
      </c>
      <c r="Q722" s="6"/>
    </row>
    <row r="723" spans="1:17">
      <c r="A723" s="5">
        <v>42514</v>
      </c>
      <c r="B723" s="5" t="str">
        <f t="shared" si="11"/>
        <v>2016 q2</v>
      </c>
      <c r="C723" s="6">
        <v>8.4380000000000006</v>
      </c>
      <c r="D723" s="6">
        <v>8.6258999999999997</v>
      </c>
      <c r="E723" s="6">
        <v>9.0137999999999998</v>
      </c>
      <c r="F723" s="6">
        <v>9.5546000000000006</v>
      </c>
      <c r="G723" s="6">
        <v>10.0756</v>
      </c>
      <c r="H723" s="6">
        <v>10.4815</v>
      </c>
      <c r="I723" s="6">
        <v>12.0726</v>
      </c>
      <c r="J723" s="6">
        <v>13.1793</v>
      </c>
      <c r="K723" s="6">
        <v>13.9513</v>
      </c>
      <c r="L723" s="6">
        <v>14.3177</v>
      </c>
      <c r="M723" s="6">
        <v>15.0503</v>
      </c>
      <c r="N723" s="6">
        <v>15.383100000000001</v>
      </c>
      <c r="O723" s="6">
        <v>15.268599999999999</v>
      </c>
      <c r="P723" s="6">
        <v>15.1541</v>
      </c>
      <c r="Q723" s="6"/>
    </row>
    <row r="724" spans="1:17">
      <c r="A724" s="5">
        <v>42515</v>
      </c>
      <c r="B724" s="5" t="str">
        <f t="shared" si="11"/>
        <v>2016 q2</v>
      </c>
      <c r="C724" s="6">
        <v>8.4875000000000007</v>
      </c>
      <c r="D724" s="6">
        <v>8.6661000000000001</v>
      </c>
      <c r="E724" s="6">
        <v>9.0348000000000006</v>
      </c>
      <c r="F724" s="6">
        <v>9.5541</v>
      </c>
      <c r="G724" s="6">
        <v>10.056800000000001</v>
      </c>
      <c r="H724" s="6">
        <v>10.4636</v>
      </c>
      <c r="I724" s="6">
        <v>12.060499999999999</v>
      </c>
      <c r="J724" s="6">
        <v>13.224500000000001</v>
      </c>
      <c r="K724" s="6">
        <v>14.064500000000001</v>
      </c>
      <c r="L724" s="6">
        <v>14.472899999999999</v>
      </c>
      <c r="M724" s="6">
        <v>15.2898</v>
      </c>
      <c r="N724" s="6">
        <v>15.559900000000001</v>
      </c>
      <c r="O724" s="6">
        <v>15.051299999999999</v>
      </c>
      <c r="P724" s="6">
        <v>14.5426</v>
      </c>
      <c r="Q724" s="6"/>
    </row>
    <row r="725" spans="1:17">
      <c r="A725" s="5">
        <v>42516</v>
      </c>
      <c r="B725" s="5" t="str">
        <f t="shared" si="11"/>
        <v>2016 q2</v>
      </c>
      <c r="C725" s="6">
        <v>8.3123000000000005</v>
      </c>
      <c r="D725" s="6">
        <v>8.5373000000000001</v>
      </c>
      <c r="E725" s="6">
        <v>9.0016999999999996</v>
      </c>
      <c r="F725" s="6">
        <v>9.6227999999999998</v>
      </c>
      <c r="G725" s="6">
        <v>10.207599999999999</v>
      </c>
      <c r="H725" s="6">
        <v>10.6187</v>
      </c>
      <c r="I725" s="6">
        <v>12.218400000000001</v>
      </c>
      <c r="J725" s="6">
        <v>13.2087</v>
      </c>
      <c r="K725" s="6">
        <v>13.873699999999999</v>
      </c>
      <c r="L725" s="6">
        <v>14.3323</v>
      </c>
      <c r="M725" s="6">
        <v>14.8887</v>
      </c>
      <c r="N725" s="6">
        <v>15.3568</v>
      </c>
      <c r="O725" s="6">
        <v>15.723699999999999</v>
      </c>
      <c r="P725" s="6">
        <v>16.090699999999998</v>
      </c>
      <c r="Q725" s="6"/>
    </row>
    <row r="726" spans="1:17">
      <c r="A726" s="5">
        <v>42517</v>
      </c>
      <c r="B726" s="5" t="str">
        <f t="shared" si="11"/>
        <v>2016 q2</v>
      </c>
      <c r="C726" s="6">
        <v>8.3399000000000001</v>
      </c>
      <c r="D726" s="6">
        <v>8.5594999999999999</v>
      </c>
      <c r="E726" s="6">
        <v>9.0129000000000001</v>
      </c>
      <c r="F726" s="6">
        <v>9.6197999999999997</v>
      </c>
      <c r="G726" s="6">
        <v>10.191000000000001</v>
      </c>
      <c r="H726" s="6">
        <v>10.597099999999999</v>
      </c>
      <c r="I726" s="6">
        <v>12.176299999999999</v>
      </c>
      <c r="J726" s="6">
        <v>13.1638</v>
      </c>
      <c r="K726" s="6">
        <v>13.821400000000001</v>
      </c>
      <c r="L726" s="6">
        <v>14.159700000000001</v>
      </c>
      <c r="M726" s="6">
        <v>14.8363</v>
      </c>
      <c r="N726" s="6">
        <v>15.336600000000001</v>
      </c>
      <c r="O726" s="6">
        <v>15.711499999999999</v>
      </c>
      <c r="P726" s="6">
        <v>16.086500000000001</v>
      </c>
      <c r="Q726" s="6"/>
    </row>
    <row r="727" spans="1:17">
      <c r="A727" s="5">
        <v>42520</v>
      </c>
      <c r="B727" s="5" t="str">
        <f t="shared" si="11"/>
        <v>2016 q2</v>
      </c>
      <c r="C727" s="6">
        <v>8.3347999999999995</v>
      </c>
      <c r="D727" s="6">
        <v>8.5588999999999995</v>
      </c>
      <c r="E727" s="6">
        <v>9.0214999999999996</v>
      </c>
      <c r="F727" s="6">
        <v>9.6376000000000008</v>
      </c>
      <c r="G727" s="6">
        <v>10.2157</v>
      </c>
      <c r="H727" s="6">
        <v>10.6242</v>
      </c>
      <c r="I727" s="6">
        <v>12.2102</v>
      </c>
      <c r="J727" s="6">
        <v>13.190300000000001</v>
      </c>
      <c r="K727" s="6">
        <v>13.837</v>
      </c>
      <c r="L727" s="6">
        <v>14.166700000000001</v>
      </c>
      <c r="M727" s="6">
        <v>14.8261</v>
      </c>
      <c r="N727" s="6">
        <v>15.3102</v>
      </c>
      <c r="O727" s="6">
        <v>15.671900000000001</v>
      </c>
      <c r="P727" s="6">
        <v>16.0337</v>
      </c>
      <c r="Q727" s="6"/>
    </row>
    <row r="728" spans="1:17">
      <c r="A728" s="5">
        <v>42521</v>
      </c>
      <c r="B728" s="5" t="str">
        <f t="shared" si="11"/>
        <v>2016 q2</v>
      </c>
      <c r="C728" s="6">
        <v>8.0162999999999993</v>
      </c>
      <c r="D728" s="6">
        <v>8.2365999999999993</v>
      </c>
      <c r="E728" s="6">
        <v>8.6914999999999996</v>
      </c>
      <c r="F728" s="6">
        <v>9.3720999999999997</v>
      </c>
      <c r="G728" s="6">
        <v>9.9482999999999997</v>
      </c>
      <c r="H728" s="6">
        <v>10.39</v>
      </c>
      <c r="I728" s="6">
        <v>12.1013</v>
      </c>
      <c r="J728" s="6">
        <v>13.1843</v>
      </c>
      <c r="K728" s="6">
        <v>13.9053</v>
      </c>
      <c r="L728" s="6">
        <v>14.3851</v>
      </c>
      <c r="M728" s="6">
        <v>14.9208</v>
      </c>
      <c r="N728" s="6">
        <v>15.3071</v>
      </c>
      <c r="O728" s="6">
        <v>15.54</v>
      </c>
      <c r="P728" s="6">
        <v>15.7729</v>
      </c>
      <c r="Q728" s="6"/>
    </row>
    <row r="729" spans="1:17">
      <c r="A729" s="5">
        <v>42522</v>
      </c>
      <c r="B729" s="5" t="str">
        <f t="shared" si="11"/>
        <v>2016 q2</v>
      </c>
      <c r="C729" s="6">
        <v>8.0112000000000005</v>
      </c>
      <c r="D729" s="6">
        <v>8.2301000000000002</v>
      </c>
      <c r="E729" s="6">
        <v>8.6821000000000002</v>
      </c>
      <c r="F729" s="6">
        <v>9.3571000000000009</v>
      </c>
      <c r="G729" s="6">
        <v>9.9196000000000009</v>
      </c>
      <c r="H729" s="6">
        <v>10.345599999999999</v>
      </c>
      <c r="I729" s="6">
        <v>11.9938</v>
      </c>
      <c r="J729" s="6">
        <v>13.031499999999999</v>
      </c>
      <c r="K729" s="6">
        <v>13.723699999999999</v>
      </c>
      <c r="L729" s="6">
        <v>14.084199999999999</v>
      </c>
      <c r="M729" s="6">
        <v>14.805</v>
      </c>
      <c r="N729" s="6">
        <v>15.335599999999999</v>
      </c>
      <c r="O729" s="6">
        <v>15.736499999999999</v>
      </c>
      <c r="P729" s="6">
        <v>16.137499999999999</v>
      </c>
      <c r="Q729" s="6"/>
    </row>
    <row r="730" spans="1:17">
      <c r="A730" s="5">
        <v>42523</v>
      </c>
      <c r="B730" s="5" t="str">
        <f t="shared" si="11"/>
        <v>2016 q2</v>
      </c>
      <c r="C730" s="6">
        <v>7.9988000000000001</v>
      </c>
      <c r="D730" s="6">
        <v>8.2180999999999997</v>
      </c>
      <c r="E730" s="6">
        <v>8.6707000000000001</v>
      </c>
      <c r="F730" s="6">
        <v>9.3457000000000008</v>
      </c>
      <c r="G730" s="6">
        <v>9.9075000000000006</v>
      </c>
      <c r="H730" s="6">
        <v>10.334199999999999</v>
      </c>
      <c r="I730" s="6">
        <v>11.983499999999999</v>
      </c>
      <c r="J730" s="6">
        <v>13.0221</v>
      </c>
      <c r="K730" s="6">
        <v>13.714600000000001</v>
      </c>
      <c r="L730" s="6">
        <v>14.075799999999999</v>
      </c>
      <c r="M730" s="6">
        <v>14.798</v>
      </c>
      <c r="N730" s="6">
        <v>15.3287</v>
      </c>
      <c r="O730" s="6">
        <v>15.730399999999999</v>
      </c>
      <c r="P730" s="6">
        <v>16.132000000000001</v>
      </c>
      <c r="Q730" s="6"/>
    </row>
    <row r="731" spans="1:17">
      <c r="A731" s="5">
        <v>42524</v>
      </c>
      <c r="B731" s="5" t="str">
        <f t="shared" si="11"/>
        <v>2016 q2</v>
      </c>
      <c r="C731" s="6">
        <v>8.0175999999999998</v>
      </c>
      <c r="D731" s="6">
        <v>8.2338000000000005</v>
      </c>
      <c r="E731" s="6">
        <v>8.6801999999999992</v>
      </c>
      <c r="F731" s="6">
        <v>9.3447999999999993</v>
      </c>
      <c r="G731" s="6">
        <v>9.8986000000000001</v>
      </c>
      <c r="H731" s="6">
        <v>10.321999999999999</v>
      </c>
      <c r="I731" s="6">
        <v>11.957599999999999</v>
      </c>
      <c r="J731" s="6">
        <v>12.993600000000001</v>
      </c>
      <c r="K731" s="6">
        <v>13.686999999999999</v>
      </c>
      <c r="L731" s="6">
        <v>14.051</v>
      </c>
      <c r="M731" s="6">
        <v>14.7788</v>
      </c>
      <c r="N731" s="6">
        <v>15.314500000000001</v>
      </c>
      <c r="O731" s="6">
        <v>15.721299999999999</v>
      </c>
      <c r="P731" s="6">
        <v>16.1281</v>
      </c>
      <c r="Q731" s="6"/>
    </row>
    <row r="732" spans="1:17">
      <c r="A732" s="5">
        <v>42527</v>
      </c>
      <c r="B732" s="5" t="str">
        <f t="shared" si="11"/>
        <v>2016 q2</v>
      </c>
      <c r="C732" s="6">
        <v>8.0250000000000004</v>
      </c>
      <c r="D732" s="6">
        <v>8.2415000000000003</v>
      </c>
      <c r="E732" s="6">
        <v>8.6884999999999994</v>
      </c>
      <c r="F732" s="6">
        <v>9.3529999999999998</v>
      </c>
      <c r="G732" s="6">
        <v>9.9060000000000006</v>
      </c>
      <c r="H732" s="6">
        <v>10.33</v>
      </c>
      <c r="I732" s="6">
        <v>11.9664</v>
      </c>
      <c r="J732" s="6">
        <v>13.0032</v>
      </c>
      <c r="K732" s="6">
        <v>13.6968</v>
      </c>
      <c r="L732" s="6">
        <v>14.061400000000001</v>
      </c>
      <c r="M732" s="6">
        <v>14.7905</v>
      </c>
      <c r="N732" s="6">
        <v>15.3263</v>
      </c>
      <c r="O732" s="6">
        <v>15.733700000000001</v>
      </c>
      <c r="P732" s="6">
        <v>16.141200000000001</v>
      </c>
      <c r="Q732" s="6"/>
    </row>
    <row r="733" spans="1:17">
      <c r="A733" s="5">
        <v>42528</v>
      </c>
      <c r="B733" s="5" t="str">
        <f t="shared" si="11"/>
        <v>2016 q2</v>
      </c>
      <c r="C733" s="6">
        <v>8.0738000000000003</v>
      </c>
      <c r="D733" s="6">
        <v>8.2739999999999991</v>
      </c>
      <c r="E733" s="6">
        <v>8.6873000000000005</v>
      </c>
      <c r="F733" s="6">
        <v>9.2972999999999999</v>
      </c>
      <c r="G733" s="6">
        <v>9.8135999999999992</v>
      </c>
      <c r="H733" s="6">
        <v>10.3286</v>
      </c>
      <c r="I733" s="6">
        <v>11.8629</v>
      </c>
      <c r="J733" s="6">
        <v>12.9404</v>
      </c>
      <c r="K733" s="6">
        <v>13.690200000000001</v>
      </c>
      <c r="L733" s="6">
        <v>14.2098</v>
      </c>
      <c r="M733" s="6">
        <v>14.832000000000001</v>
      </c>
      <c r="N733" s="6">
        <v>15.304600000000001</v>
      </c>
      <c r="O733" s="6">
        <v>15.617900000000001</v>
      </c>
      <c r="P733" s="6">
        <v>15.9312</v>
      </c>
      <c r="Q733" s="6"/>
    </row>
    <row r="734" spans="1:17">
      <c r="A734" s="5">
        <v>42529</v>
      </c>
      <c r="B734" s="5" t="str">
        <f t="shared" si="11"/>
        <v>2016 q2</v>
      </c>
      <c r="C734" s="6">
        <v>8.0983000000000001</v>
      </c>
      <c r="D734" s="6">
        <v>8.2927</v>
      </c>
      <c r="E734" s="6">
        <v>8.6940000000000008</v>
      </c>
      <c r="F734" s="6">
        <v>9.2861999999999991</v>
      </c>
      <c r="G734" s="6">
        <v>9.7971000000000004</v>
      </c>
      <c r="H734" s="6">
        <v>10.3055</v>
      </c>
      <c r="I734" s="6">
        <v>11.860799999999999</v>
      </c>
      <c r="J734" s="6">
        <v>12.9777</v>
      </c>
      <c r="K734" s="6">
        <v>13.743499999999999</v>
      </c>
      <c r="L734" s="6">
        <v>14.1257</v>
      </c>
      <c r="M734" s="6">
        <v>14.8901</v>
      </c>
      <c r="N734" s="6">
        <v>15.3078</v>
      </c>
      <c r="O734" s="6">
        <v>15.418799999999999</v>
      </c>
      <c r="P734" s="6">
        <v>15.5298</v>
      </c>
      <c r="Q734" s="6"/>
    </row>
    <row r="735" spans="1:17">
      <c r="A735" s="5">
        <v>42530</v>
      </c>
      <c r="B735" s="5" t="str">
        <f t="shared" si="11"/>
        <v>2016 q2</v>
      </c>
      <c r="C735" s="6">
        <v>8.1014999999999997</v>
      </c>
      <c r="D735" s="6">
        <v>8.2952999999999992</v>
      </c>
      <c r="E735" s="6">
        <v>8.6951999999999998</v>
      </c>
      <c r="F735" s="6">
        <v>9.2845999999999993</v>
      </c>
      <c r="G735" s="6">
        <v>9.7942</v>
      </c>
      <c r="H735" s="6">
        <v>10.3003</v>
      </c>
      <c r="I735" s="6">
        <v>11.852499999999999</v>
      </c>
      <c r="J735" s="6">
        <v>12.9687</v>
      </c>
      <c r="K735" s="6">
        <v>13.7341</v>
      </c>
      <c r="L735" s="6">
        <v>14.1168</v>
      </c>
      <c r="M735" s="6">
        <v>14.882300000000001</v>
      </c>
      <c r="N735" s="6">
        <v>15.297000000000001</v>
      </c>
      <c r="O735" s="6">
        <v>15.400600000000001</v>
      </c>
      <c r="P735" s="6">
        <v>15.504200000000001</v>
      </c>
      <c r="Q735" s="6"/>
    </row>
    <row r="736" spans="1:17">
      <c r="A736" s="5">
        <v>42531</v>
      </c>
      <c r="B736" s="5" t="str">
        <f t="shared" si="11"/>
        <v>2016 q2</v>
      </c>
      <c r="C736" s="6">
        <v>8.0934000000000008</v>
      </c>
      <c r="D736" s="6">
        <v>8.2901000000000007</v>
      </c>
      <c r="E736" s="6">
        <v>8.6961999999999993</v>
      </c>
      <c r="F736" s="6">
        <v>9.2935999999999996</v>
      </c>
      <c r="G736" s="6">
        <v>9.8114000000000008</v>
      </c>
      <c r="H736" s="6">
        <v>10.324</v>
      </c>
      <c r="I736" s="6">
        <v>11.86</v>
      </c>
      <c r="J736" s="6">
        <v>12.9186</v>
      </c>
      <c r="K736" s="6">
        <v>13.6388</v>
      </c>
      <c r="L736" s="6">
        <v>14.132099999999999</v>
      </c>
      <c r="M736" s="6">
        <v>14.734299999999999</v>
      </c>
      <c r="N736" s="6">
        <v>15.225899999999999</v>
      </c>
      <c r="O736" s="6">
        <v>15.614100000000001</v>
      </c>
      <c r="P736" s="6">
        <v>16.002300000000002</v>
      </c>
      <c r="Q736" s="6"/>
    </row>
    <row r="737" spans="1:17">
      <c r="A737" s="5">
        <v>42534</v>
      </c>
      <c r="B737" s="5" t="str">
        <f t="shared" si="11"/>
        <v>2016 q2</v>
      </c>
      <c r="C737" s="6">
        <v>8.0893999999999995</v>
      </c>
      <c r="D737" s="6">
        <v>8.2903000000000002</v>
      </c>
      <c r="E737" s="6">
        <v>8.7050999999999998</v>
      </c>
      <c r="F737" s="6">
        <v>9.3109000000000002</v>
      </c>
      <c r="G737" s="6">
        <v>9.8163999999999998</v>
      </c>
      <c r="H737" s="6">
        <v>10.315</v>
      </c>
      <c r="I737" s="6">
        <v>11.768599999999999</v>
      </c>
      <c r="J737" s="6">
        <v>12.768000000000001</v>
      </c>
      <c r="K737" s="6">
        <v>13.4442</v>
      </c>
      <c r="L737" s="6">
        <v>13.809900000000001</v>
      </c>
      <c r="M737" s="6">
        <v>14.5413</v>
      </c>
      <c r="N737" s="6">
        <v>15.0793</v>
      </c>
      <c r="O737" s="6">
        <v>15.4955</v>
      </c>
      <c r="P737" s="6">
        <v>15.911799999999999</v>
      </c>
      <c r="Q737" s="6"/>
    </row>
    <row r="738" spans="1:17">
      <c r="A738" s="5">
        <v>42535</v>
      </c>
      <c r="B738" s="5" t="str">
        <f t="shared" si="11"/>
        <v>2016 q2</v>
      </c>
      <c r="C738" s="6">
        <v>8.1171000000000006</v>
      </c>
      <c r="D738" s="6">
        <v>8.3084000000000007</v>
      </c>
      <c r="E738" s="6">
        <v>8.7034000000000002</v>
      </c>
      <c r="F738" s="6">
        <v>9.2858000000000001</v>
      </c>
      <c r="G738" s="6">
        <v>9.8186999999999998</v>
      </c>
      <c r="H738" s="6">
        <v>10.2324</v>
      </c>
      <c r="I738" s="6">
        <v>11.8157</v>
      </c>
      <c r="J738" s="6">
        <v>12.8453</v>
      </c>
      <c r="K738" s="6">
        <v>13.5124</v>
      </c>
      <c r="L738" s="6">
        <v>13.848800000000001</v>
      </c>
      <c r="M738" s="6">
        <v>14.5215</v>
      </c>
      <c r="N738" s="6">
        <v>14.988799999999999</v>
      </c>
      <c r="O738" s="6">
        <v>15.339399999999999</v>
      </c>
      <c r="P738" s="6">
        <v>15.6899</v>
      </c>
      <c r="Q738" s="6"/>
    </row>
    <row r="739" spans="1:17">
      <c r="A739" s="5">
        <v>42536</v>
      </c>
      <c r="B739" s="5" t="str">
        <f t="shared" si="11"/>
        <v>2016 q2</v>
      </c>
      <c r="C739" s="6">
        <v>8.1254000000000008</v>
      </c>
      <c r="D739" s="6">
        <v>8.3183000000000007</v>
      </c>
      <c r="E739" s="6">
        <v>8.7165999999999997</v>
      </c>
      <c r="F739" s="6">
        <v>9.2987000000000002</v>
      </c>
      <c r="G739" s="6">
        <v>9.8109000000000002</v>
      </c>
      <c r="H739" s="6">
        <v>10.201000000000001</v>
      </c>
      <c r="I739" s="6">
        <v>11.696199999999999</v>
      </c>
      <c r="J739" s="6">
        <v>12.698499999999999</v>
      </c>
      <c r="K739" s="6">
        <v>13.3865</v>
      </c>
      <c r="L739" s="6">
        <v>13.768599999999999</v>
      </c>
      <c r="M739" s="6">
        <v>14.5327</v>
      </c>
      <c r="N739" s="6">
        <v>15.099399999999999</v>
      </c>
      <c r="O739" s="6">
        <v>15.544700000000001</v>
      </c>
      <c r="P739" s="6">
        <v>15.99</v>
      </c>
      <c r="Q739" s="6"/>
    </row>
    <row r="740" spans="1:17">
      <c r="A740" s="5">
        <v>42537</v>
      </c>
      <c r="B740" s="5" t="str">
        <f t="shared" si="11"/>
        <v>2016 q2</v>
      </c>
      <c r="C740" s="6">
        <v>8.1576000000000004</v>
      </c>
      <c r="D740" s="6">
        <v>8.3437999999999999</v>
      </c>
      <c r="E740" s="6">
        <v>8.7283000000000008</v>
      </c>
      <c r="F740" s="6">
        <v>9.2895000000000003</v>
      </c>
      <c r="G740" s="6">
        <v>9.7834000000000003</v>
      </c>
      <c r="H740" s="6">
        <v>10.1614</v>
      </c>
      <c r="I740" s="6">
        <v>11.6092</v>
      </c>
      <c r="J740" s="6">
        <v>12.5831</v>
      </c>
      <c r="K740" s="6">
        <v>13.2529</v>
      </c>
      <c r="L740" s="6">
        <v>13.6267</v>
      </c>
      <c r="M740" s="6">
        <v>14.3741</v>
      </c>
      <c r="N740" s="6">
        <v>14.929</v>
      </c>
      <c r="O740" s="6">
        <v>15.366300000000001</v>
      </c>
      <c r="P740" s="6">
        <v>15.803599999999999</v>
      </c>
      <c r="Q740" s="6"/>
    </row>
    <row r="741" spans="1:17">
      <c r="A741" s="5">
        <v>42538</v>
      </c>
      <c r="B741" s="5" t="str">
        <f t="shared" si="11"/>
        <v>2016 q2</v>
      </c>
      <c r="C741" s="6">
        <v>8.1516000000000002</v>
      </c>
      <c r="D741" s="6">
        <v>8.3407999999999998</v>
      </c>
      <c r="E741" s="6">
        <v>8.7316000000000003</v>
      </c>
      <c r="F741" s="6">
        <v>9.3007000000000009</v>
      </c>
      <c r="G741" s="6">
        <v>9.8000000000000007</v>
      </c>
      <c r="H741" s="6">
        <v>10.1813</v>
      </c>
      <c r="I741" s="6">
        <v>11.6395</v>
      </c>
      <c r="J741" s="6">
        <v>12.614000000000001</v>
      </c>
      <c r="K741" s="6">
        <v>13.2804</v>
      </c>
      <c r="L741" s="6">
        <v>13.6502</v>
      </c>
      <c r="M741" s="6">
        <v>14.389799999999999</v>
      </c>
      <c r="N741" s="6">
        <v>14.9354</v>
      </c>
      <c r="O741" s="6">
        <v>15.3644</v>
      </c>
      <c r="P741" s="6">
        <v>15.7934</v>
      </c>
      <c r="Q741" s="6"/>
    </row>
    <row r="742" spans="1:17">
      <c r="A742" s="5">
        <v>42541</v>
      </c>
      <c r="B742" s="5" t="str">
        <f t="shared" si="11"/>
        <v>2016 q2</v>
      </c>
      <c r="C742" s="6">
        <v>8.1715999999999998</v>
      </c>
      <c r="D742" s="6">
        <v>8.3561999999999994</v>
      </c>
      <c r="E742" s="6">
        <v>8.7373999999999992</v>
      </c>
      <c r="F742" s="6">
        <v>9.2921999999999993</v>
      </c>
      <c r="G742" s="6">
        <v>9.7804000000000002</v>
      </c>
      <c r="H742" s="6">
        <v>10.1572</v>
      </c>
      <c r="I742" s="6">
        <v>11.5984</v>
      </c>
      <c r="J742" s="6">
        <v>12.572800000000001</v>
      </c>
      <c r="K742" s="6">
        <v>13.2639</v>
      </c>
      <c r="L742" s="6">
        <v>13.7575</v>
      </c>
      <c r="M742" s="6">
        <v>14.399100000000001</v>
      </c>
      <c r="N742" s="6">
        <v>14.939500000000001</v>
      </c>
      <c r="O742" s="6">
        <v>15.3841</v>
      </c>
      <c r="P742" s="6">
        <v>15.8287</v>
      </c>
      <c r="Q742" s="6"/>
    </row>
    <row r="743" spans="1:17">
      <c r="A743" s="5">
        <v>42542</v>
      </c>
      <c r="B743" s="5" t="str">
        <f t="shared" si="11"/>
        <v>2016 q2</v>
      </c>
      <c r="C743" s="6">
        <v>8.0770999999999997</v>
      </c>
      <c r="D743" s="6">
        <v>8.2736000000000001</v>
      </c>
      <c r="E743" s="6">
        <v>8.6793999999999993</v>
      </c>
      <c r="F743" s="6">
        <v>9.2674000000000003</v>
      </c>
      <c r="G743" s="6">
        <v>9.7829999999999995</v>
      </c>
      <c r="H743" s="6">
        <v>10.176299999999999</v>
      </c>
      <c r="I743" s="6">
        <v>11.6721</v>
      </c>
      <c r="J743" s="6">
        <v>12.654999999999999</v>
      </c>
      <c r="K743" s="6">
        <v>13.3367</v>
      </c>
      <c r="L743" s="6">
        <v>13.8142</v>
      </c>
      <c r="M743" s="6">
        <v>14.425000000000001</v>
      </c>
      <c r="N743" s="6">
        <v>14.9299</v>
      </c>
      <c r="O743" s="6">
        <v>15.341799999999999</v>
      </c>
      <c r="P743" s="6">
        <v>15.7537</v>
      </c>
      <c r="Q743" s="6"/>
    </row>
    <row r="744" spans="1:17">
      <c r="A744" s="5">
        <v>42543</v>
      </c>
      <c r="B744" s="5" t="str">
        <f t="shared" si="11"/>
        <v>2016 q2</v>
      </c>
      <c r="C744" s="6">
        <v>8.2027999999999999</v>
      </c>
      <c r="D744" s="6">
        <v>8.3741000000000003</v>
      </c>
      <c r="E744" s="6">
        <v>8.7279</v>
      </c>
      <c r="F744" s="6">
        <v>9.2433999999999994</v>
      </c>
      <c r="G744" s="6">
        <v>9.7068999999999992</v>
      </c>
      <c r="H744" s="6">
        <v>10.080399999999999</v>
      </c>
      <c r="I744" s="6">
        <v>11.510999999999999</v>
      </c>
      <c r="J744" s="6">
        <v>12.5276</v>
      </c>
      <c r="K744" s="6">
        <v>13.277699999999999</v>
      </c>
      <c r="L744" s="6">
        <v>13.831200000000001</v>
      </c>
      <c r="M744" s="6">
        <v>14.5809</v>
      </c>
      <c r="N744" s="6">
        <v>15.2294</v>
      </c>
      <c r="O744" s="6">
        <v>15.780200000000001</v>
      </c>
      <c r="P744" s="6">
        <v>16.076000000000001</v>
      </c>
      <c r="Q744" s="6"/>
    </row>
    <row r="745" spans="1:17">
      <c r="A745" s="5">
        <v>42544</v>
      </c>
      <c r="B745" s="5" t="str">
        <f t="shared" si="11"/>
        <v>2016 q2</v>
      </c>
      <c r="C745" s="6">
        <v>8.1675000000000004</v>
      </c>
      <c r="D745" s="6">
        <v>8.3469999999999995</v>
      </c>
      <c r="E745" s="6">
        <v>8.7177000000000007</v>
      </c>
      <c r="F745" s="6">
        <v>9.2553000000000001</v>
      </c>
      <c r="G745" s="6">
        <v>9.7316000000000003</v>
      </c>
      <c r="H745" s="6">
        <v>10.1065</v>
      </c>
      <c r="I745" s="6">
        <v>11.535299999999999</v>
      </c>
      <c r="J745" s="6">
        <v>12.511100000000001</v>
      </c>
      <c r="K745" s="6">
        <v>13.1875</v>
      </c>
      <c r="L745" s="6">
        <v>13.574199999999999</v>
      </c>
      <c r="M745" s="6">
        <v>14.3477</v>
      </c>
      <c r="N745" s="6">
        <v>14.9223</v>
      </c>
      <c r="O745" s="6">
        <v>15.382899999999999</v>
      </c>
      <c r="P745" s="6">
        <v>15.843400000000001</v>
      </c>
      <c r="Q745" s="6"/>
    </row>
    <row r="746" spans="1:17">
      <c r="A746" s="5">
        <v>42545</v>
      </c>
      <c r="B746" s="5" t="str">
        <f t="shared" si="11"/>
        <v>2016 q2</v>
      </c>
      <c r="C746" s="6">
        <v>8.1369000000000007</v>
      </c>
      <c r="D746" s="6">
        <v>8.3263999999999996</v>
      </c>
      <c r="E746" s="6">
        <v>8.7177000000000007</v>
      </c>
      <c r="F746" s="6">
        <v>9.2827000000000002</v>
      </c>
      <c r="G746" s="6">
        <v>9.7777999999999992</v>
      </c>
      <c r="H746" s="6">
        <v>10.161199999999999</v>
      </c>
      <c r="I746" s="6">
        <v>11.616300000000001</v>
      </c>
      <c r="J746" s="6">
        <v>12.582100000000001</v>
      </c>
      <c r="K746" s="6">
        <v>13.235900000000001</v>
      </c>
      <c r="L746" s="6">
        <v>13.599399999999999</v>
      </c>
      <c r="M746" s="6">
        <v>14.3263</v>
      </c>
      <c r="N746" s="6">
        <v>14.853899999999999</v>
      </c>
      <c r="O746" s="6">
        <v>15.270899999999999</v>
      </c>
      <c r="P746" s="6">
        <v>15.687900000000001</v>
      </c>
      <c r="Q746" s="6"/>
    </row>
    <row r="747" spans="1:17">
      <c r="A747" s="5">
        <v>42548</v>
      </c>
      <c r="B747" s="5" t="str">
        <f t="shared" si="11"/>
        <v>2016 q2</v>
      </c>
      <c r="C747" s="6">
        <v>8.2002000000000006</v>
      </c>
      <c r="D747" s="6">
        <v>8.3732000000000006</v>
      </c>
      <c r="E747" s="6">
        <v>8.7302</v>
      </c>
      <c r="F747" s="6">
        <v>9.2474000000000007</v>
      </c>
      <c r="G747" s="6">
        <v>9.7075999999999993</v>
      </c>
      <c r="H747" s="6">
        <v>10.076000000000001</v>
      </c>
      <c r="I747" s="6">
        <v>11.4803</v>
      </c>
      <c r="J747" s="6">
        <v>12.4575</v>
      </c>
      <c r="K747" s="6">
        <v>13.144399999999999</v>
      </c>
      <c r="L747" s="6">
        <v>13.545999999999999</v>
      </c>
      <c r="M747" s="6">
        <v>14.349299999999999</v>
      </c>
      <c r="N747" s="6">
        <v>14.9537</v>
      </c>
      <c r="O747" s="6">
        <v>15.445</v>
      </c>
      <c r="P747" s="6">
        <v>15.936400000000001</v>
      </c>
      <c r="Q747" s="6"/>
    </row>
    <row r="748" spans="1:17">
      <c r="A748" s="5">
        <v>42549</v>
      </c>
      <c r="B748" s="5" t="str">
        <f t="shared" si="11"/>
        <v>2016 q2</v>
      </c>
      <c r="C748" s="6">
        <v>7.9861000000000004</v>
      </c>
      <c r="D748" s="6">
        <v>8.1767000000000003</v>
      </c>
      <c r="E748" s="6">
        <v>8.5702999999999996</v>
      </c>
      <c r="F748" s="6">
        <v>9.1425999999999998</v>
      </c>
      <c r="G748" s="6">
        <v>9.6563999999999997</v>
      </c>
      <c r="H748" s="6">
        <v>10.0565</v>
      </c>
      <c r="I748" s="6">
        <v>11.567399999999999</v>
      </c>
      <c r="J748" s="6">
        <v>12.561500000000001</v>
      </c>
      <c r="K748" s="6">
        <v>13.228</v>
      </c>
      <c r="L748" s="6">
        <v>13.597300000000001</v>
      </c>
      <c r="M748" s="6">
        <v>14.335800000000001</v>
      </c>
      <c r="N748" s="6">
        <v>14.8651</v>
      </c>
      <c r="O748" s="6">
        <v>15.283899999999999</v>
      </c>
      <c r="P748" s="6">
        <v>15.7027</v>
      </c>
      <c r="Q748" s="6"/>
    </row>
    <row r="749" spans="1:17">
      <c r="A749" s="5">
        <v>42550</v>
      </c>
      <c r="B749" s="5" t="str">
        <f t="shared" si="11"/>
        <v>2016 q2</v>
      </c>
      <c r="C749" s="6">
        <v>8.1944999999999997</v>
      </c>
      <c r="D749" s="6">
        <v>8.3513000000000002</v>
      </c>
      <c r="E749" s="6">
        <v>8.6750000000000007</v>
      </c>
      <c r="F749" s="6">
        <v>9.1492000000000004</v>
      </c>
      <c r="G749" s="6">
        <v>9.5868000000000002</v>
      </c>
      <c r="H749" s="6">
        <v>9.9519000000000002</v>
      </c>
      <c r="I749" s="6">
        <v>11.3474</v>
      </c>
      <c r="J749" s="6">
        <v>12.370100000000001</v>
      </c>
      <c r="K749" s="6">
        <v>13.1195</v>
      </c>
      <c r="L749" s="6">
        <v>13.586600000000001</v>
      </c>
      <c r="M749" s="6">
        <v>14.520899999999999</v>
      </c>
      <c r="N749" s="6">
        <v>15.257099999999999</v>
      </c>
      <c r="O749" s="6">
        <v>15.883699999999999</v>
      </c>
      <c r="P749" s="6">
        <v>16.2211</v>
      </c>
      <c r="Q749" s="6"/>
    </row>
    <row r="750" spans="1:17">
      <c r="A750" s="5">
        <v>42551</v>
      </c>
      <c r="B750" s="5" t="str">
        <f t="shared" si="11"/>
        <v>2016 q2</v>
      </c>
      <c r="C750" s="6">
        <v>8.2068999999999992</v>
      </c>
      <c r="D750" s="6">
        <v>8.3646999999999991</v>
      </c>
      <c r="E750" s="6">
        <v>8.6904000000000003</v>
      </c>
      <c r="F750" s="6">
        <v>9.1670999999999996</v>
      </c>
      <c r="G750" s="6">
        <v>9.6060999999999996</v>
      </c>
      <c r="H750" s="6">
        <v>9.9725000000000001</v>
      </c>
      <c r="I750" s="6">
        <v>11.371600000000001</v>
      </c>
      <c r="J750" s="6">
        <v>12.394299999999999</v>
      </c>
      <c r="K750" s="6">
        <v>13.141500000000001</v>
      </c>
      <c r="L750" s="6">
        <v>13.606400000000001</v>
      </c>
      <c r="M750" s="6">
        <v>14.536199999999999</v>
      </c>
      <c r="N750" s="6">
        <v>15.265599999999999</v>
      </c>
      <c r="O750" s="6">
        <v>15.8857</v>
      </c>
      <c r="P750" s="6">
        <v>16.219200000000001</v>
      </c>
      <c r="Q750" s="6"/>
    </row>
    <row r="751" spans="1:17">
      <c r="A751" s="5">
        <v>42552</v>
      </c>
      <c r="B751" s="5" t="str">
        <f t="shared" si="11"/>
        <v>2016 q3</v>
      </c>
      <c r="C751" s="6">
        <v>8.2588000000000008</v>
      </c>
      <c r="D751" s="6">
        <v>8.4069000000000003</v>
      </c>
      <c r="E751" s="6">
        <v>8.7124000000000006</v>
      </c>
      <c r="F751" s="6">
        <v>9.1606000000000005</v>
      </c>
      <c r="G751" s="6">
        <v>9.5764999999999993</v>
      </c>
      <c r="H751" s="6">
        <v>9.9313000000000002</v>
      </c>
      <c r="I751" s="6">
        <v>11.290900000000001</v>
      </c>
      <c r="J751" s="6">
        <v>12.3185</v>
      </c>
      <c r="K751" s="6">
        <v>13.0913</v>
      </c>
      <c r="L751" s="6">
        <v>13.5928</v>
      </c>
      <c r="M751" s="6">
        <v>14.5959</v>
      </c>
      <c r="N751" s="6">
        <v>15.414099999999999</v>
      </c>
      <c r="O751" s="6">
        <v>16.134499999999999</v>
      </c>
      <c r="P751" s="6">
        <v>16.526199999999999</v>
      </c>
      <c r="Q751" s="6"/>
    </row>
    <row r="752" spans="1:17">
      <c r="A752" s="5">
        <v>42555</v>
      </c>
      <c r="B752" s="5" t="str">
        <f t="shared" si="11"/>
        <v>2016 q3</v>
      </c>
      <c r="C752" s="6">
        <v>8.1690000000000005</v>
      </c>
      <c r="D752" s="6">
        <v>8.3307000000000002</v>
      </c>
      <c r="E752" s="6">
        <v>8.6646000000000001</v>
      </c>
      <c r="F752" s="6">
        <v>9.1518999999999995</v>
      </c>
      <c r="G752" s="6">
        <v>9.5977999999999994</v>
      </c>
      <c r="H752" s="6">
        <v>9.9687000000000001</v>
      </c>
      <c r="I752" s="6">
        <v>11.3802</v>
      </c>
      <c r="J752" s="6">
        <v>12.382099999999999</v>
      </c>
      <c r="K752" s="6">
        <v>13.079700000000001</v>
      </c>
      <c r="L752" s="6">
        <v>13.7126</v>
      </c>
      <c r="M752" s="6">
        <v>14.3559</v>
      </c>
      <c r="N752" s="6">
        <v>15.183299999999999</v>
      </c>
      <c r="O752" s="6">
        <v>15.769600000000001</v>
      </c>
      <c r="P752" s="6">
        <v>16.083400000000001</v>
      </c>
      <c r="Q752" s="6"/>
    </row>
    <row r="753" spans="1:17">
      <c r="A753" s="5">
        <v>42557</v>
      </c>
      <c r="B753" s="5" t="str">
        <f t="shared" si="11"/>
        <v>2016 q3</v>
      </c>
      <c r="C753" s="6">
        <v>8.2324000000000002</v>
      </c>
      <c r="D753" s="6">
        <v>8.3854000000000006</v>
      </c>
      <c r="E753" s="6">
        <v>8.7011000000000003</v>
      </c>
      <c r="F753" s="6">
        <v>9.1618999999999993</v>
      </c>
      <c r="G753" s="6">
        <v>9.5848999999999993</v>
      </c>
      <c r="H753" s="6">
        <v>9.9444999999999997</v>
      </c>
      <c r="I753" s="6">
        <v>11.3149</v>
      </c>
      <c r="J753" s="6">
        <v>12.313499999999999</v>
      </c>
      <c r="K753" s="6">
        <v>13.0299</v>
      </c>
      <c r="L753" s="6">
        <v>13.6793</v>
      </c>
      <c r="M753" s="6">
        <v>14.369899999999999</v>
      </c>
      <c r="N753" s="6">
        <v>15.259499999999999</v>
      </c>
      <c r="O753" s="6">
        <v>15.9117</v>
      </c>
      <c r="P753" s="6">
        <v>16.262799999999999</v>
      </c>
      <c r="Q753" s="6"/>
    </row>
    <row r="754" spans="1:17">
      <c r="A754" s="5">
        <v>42558</v>
      </c>
      <c r="B754" s="5" t="str">
        <f t="shared" si="11"/>
        <v>2016 q3</v>
      </c>
      <c r="C754" s="6">
        <v>8.3274000000000008</v>
      </c>
      <c r="D754" s="6">
        <v>8.4663000000000004</v>
      </c>
      <c r="E754" s="6">
        <v>8.7529000000000003</v>
      </c>
      <c r="F754" s="6">
        <v>9.1722999999999999</v>
      </c>
      <c r="G754" s="6">
        <v>9.5603999999999996</v>
      </c>
      <c r="H754" s="6">
        <v>9.8984000000000005</v>
      </c>
      <c r="I754" s="6">
        <v>11.1915</v>
      </c>
      <c r="J754" s="6">
        <v>12.1853</v>
      </c>
      <c r="K754" s="6">
        <v>12.9679</v>
      </c>
      <c r="L754" s="6">
        <v>13.5641</v>
      </c>
      <c r="M754" s="6">
        <v>14.3165</v>
      </c>
      <c r="N754" s="6">
        <v>15.290800000000001</v>
      </c>
      <c r="O754" s="6">
        <v>16.0458</v>
      </c>
      <c r="P754" s="6">
        <v>16.458100000000002</v>
      </c>
      <c r="Q754" s="6"/>
    </row>
    <row r="755" spans="1:17">
      <c r="A755" s="5">
        <v>42559</v>
      </c>
      <c r="B755" s="5" t="str">
        <f t="shared" si="11"/>
        <v>2016 q3</v>
      </c>
      <c r="C755" s="6">
        <v>8.2104999999999997</v>
      </c>
      <c r="D755" s="6">
        <v>8.3702000000000005</v>
      </c>
      <c r="E755" s="6">
        <v>8.6999999999999993</v>
      </c>
      <c r="F755" s="6">
        <v>9.1786999999999992</v>
      </c>
      <c r="G755" s="6">
        <v>9.6151999999999997</v>
      </c>
      <c r="H755" s="6">
        <v>9.9909999999999997</v>
      </c>
      <c r="I755" s="6">
        <v>11.356999999999999</v>
      </c>
      <c r="J755" s="6">
        <v>12.3306</v>
      </c>
      <c r="K755" s="6">
        <v>13.0092</v>
      </c>
      <c r="L755" s="6">
        <v>13.618399999999999</v>
      </c>
      <c r="M755" s="6">
        <v>14.239000000000001</v>
      </c>
      <c r="N755" s="6">
        <v>15.0336</v>
      </c>
      <c r="O755" s="6">
        <v>15.5953</v>
      </c>
      <c r="P755" s="6">
        <v>15.894399999999999</v>
      </c>
      <c r="Q755" s="6"/>
    </row>
    <row r="756" spans="1:17">
      <c r="A756" s="5">
        <v>42562</v>
      </c>
      <c r="B756" s="5" t="str">
        <f t="shared" si="11"/>
        <v>2016 q3</v>
      </c>
      <c r="C756" s="6">
        <v>8.2898999999999994</v>
      </c>
      <c r="D756" s="6">
        <v>8.4344000000000001</v>
      </c>
      <c r="E756" s="6">
        <v>8.7326999999999995</v>
      </c>
      <c r="F756" s="6">
        <v>9.1679999999999993</v>
      </c>
      <c r="G756" s="6">
        <v>9.5680999999999994</v>
      </c>
      <c r="H756" s="6">
        <v>9.9153000000000002</v>
      </c>
      <c r="I756" s="6">
        <v>11.239000000000001</v>
      </c>
      <c r="J756" s="6">
        <v>12.2257</v>
      </c>
      <c r="K756" s="6">
        <v>12.9526</v>
      </c>
      <c r="L756" s="6">
        <v>13.610300000000001</v>
      </c>
      <c r="M756" s="6">
        <v>14.340199999999999</v>
      </c>
      <c r="N756" s="6">
        <v>15.2814</v>
      </c>
      <c r="O756" s="6">
        <v>15.995699999999999</v>
      </c>
      <c r="P756" s="6">
        <v>16.3826</v>
      </c>
      <c r="Q756" s="6"/>
    </row>
    <row r="757" spans="1:17">
      <c r="A757" s="5">
        <v>42563</v>
      </c>
      <c r="B757" s="5" t="str">
        <f t="shared" si="11"/>
        <v>2016 q3</v>
      </c>
      <c r="C757" s="6">
        <v>8.2466000000000008</v>
      </c>
      <c r="D757" s="6">
        <v>8.3884000000000007</v>
      </c>
      <c r="E757" s="6">
        <v>8.6809999999999992</v>
      </c>
      <c r="F757" s="6">
        <v>9.1075999999999997</v>
      </c>
      <c r="G757" s="6">
        <v>9.5105000000000004</v>
      </c>
      <c r="H757" s="6">
        <v>9.8902000000000001</v>
      </c>
      <c r="I757" s="6">
        <v>11.151999999999999</v>
      </c>
      <c r="J757" s="6">
        <v>12.1365</v>
      </c>
      <c r="K757" s="6">
        <v>12.870799999999999</v>
      </c>
      <c r="L757" s="6">
        <v>13.5334</v>
      </c>
      <c r="M757" s="6">
        <v>14.2834</v>
      </c>
      <c r="N757" s="6">
        <v>15.250400000000001</v>
      </c>
      <c r="O757" s="6">
        <v>15.9961</v>
      </c>
      <c r="P757" s="6">
        <v>16.401199999999999</v>
      </c>
      <c r="Q757" s="6"/>
    </row>
    <row r="758" spans="1:17">
      <c r="A758" s="5">
        <v>42564</v>
      </c>
      <c r="B758" s="5" t="str">
        <f t="shared" si="11"/>
        <v>2016 q3</v>
      </c>
      <c r="C758" s="6">
        <v>8.3567999999999998</v>
      </c>
      <c r="D758" s="6">
        <v>8.4766999999999992</v>
      </c>
      <c r="E758" s="6">
        <v>8.7241999999999997</v>
      </c>
      <c r="F758" s="6">
        <v>9.0868000000000002</v>
      </c>
      <c r="G758" s="6">
        <v>9.4330999999999996</v>
      </c>
      <c r="H758" s="6">
        <v>9.7632999999999992</v>
      </c>
      <c r="I758" s="6">
        <v>10.8996</v>
      </c>
      <c r="J758" s="6">
        <v>11.827299999999999</v>
      </c>
      <c r="K758" s="6">
        <v>12.557399999999999</v>
      </c>
      <c r="L758" s="6">
        <v>13.2235</v>
      </c>
      <c r="M758" s="6">
        <v>14.0497</v>
      </c>
      <c r="N758" s="6">
        <v>15.1272</v>
      </c>
      <c r="O758" s="6">
        <v>16.04</v>
      </c>
      <c r="P758" s="6">
        <v>16.553799999999999</v>
      </c>
      <c r="Q758" s="6"/>
    </row>
    <row r="759" spans="1:17">
      <c r="A759" s="5">
        <v>42565</v>
      </c>
      <c r="B759" s="5" t="str">
        <f t="shared" si="11"/>
        <v>2016 q3</v>
      </c>
      <c r="C759" s="6">
        <v>8.4804999999999993</v>
      </c>
      <c r="D759" s="6">
        <v>8.5879999999999992</v>
      </c>
      <c r="E759" s="6">
        <v>8.8097999999999992</v>
      </c>
      <c r="F759" s="6">
        <v>9.1355000000000004</v>
      </c>
      <c r="G759" s="6">
        <v>9.4482999999999997</v>
      </c>
      <c r="H759" s="6">
        <v>9.7481000000000009</v>
      </c>
      <c r="I759" s="6">
        <v>10.7995</v>
      </c>
      <c r="J759" s="6">
        <v>11.677899999999999</v>
      </c>
      <c r="K759" s="6">
        <v>12.388999999999999</v>
      </c>
      <c r="L759" s="6">
        <v>13.041600000000001</v>
      </c>
      <c r="M759" s="6">
        <v>13.8932</v>
      </c>
      <c r="N759" s="6">
        <v>15.0121</v>
      </c>
      <c r="O759" s="6">
        <v>16.016500000000001</v>
      </c>
      <c r="P759" s="6">
        <v>16.5977</v>
      </c>
      <c r="Q759" s="6"/>
    </row>
    <row r="760" spans="1:17">
      <c r="A760" s="5">
        <v>42566</v>
      </c>
      <c r="B760" s="5" t="str">
        <f t="shared" si="11"/>
        <v>2016 q3</v>
      </c>
      <c r="C760" s="6">
        <v>8.4183000000000003</v>
      </c>
      <c r="D760" s="6">
        <v>8.5349000000000004</v>
      </c>
      <c r="E760" s="6">
        <v>8.7756000000000007</v>
      </c>
      <c r="F760" s="6">
        <v>9.1279000000000003</v>
      </c>
      <c r="G760" s="6">
        <v>9.4643999999999995</v>
      </c>
      <c r="H760" s="6">
        <v>9.7849000000000004</v>
      </c>
      <c r="I760" s="6">
        <v>10.8912</v>
      </c>
      <c r="J760" s="6">
        <v>11.7949</v>
      </c>
      <c r="K760" s="6">
        <v>12.5082</v>
      </c>
      <c r="L760" s="6">
        <v>13.157400000000001</v>
      </c>
      <c r="M760" s="6">
        <v>13.967000000000001</v>
      </c>
      <c r="N760" s="6">
        <v>15.0219</v>
      </c>
      <c r="O760" s="6">
        <v>15.9192</v>
      </c>
      <c r="P760" s="6">
        <v>16.424399999999999</v>
      </c>
      <c r="Q760" s="6"/>
    </row>
    <row r="761" spans="1:17">
      <c r="A761" s="5">
        <v>42569</v>
      </c>
      <c r="B761" s="5" t="str">
        <f t="shared" si="11"/>
        <v>2016 q3</v>
      </c>
      <c r="C761" s="6">
        <v>8.4982000000000006</v>
      </c>
      <c r="D761" s="6">
        <v>8.5996000000000006</v>
      </c>
      <c r="E761" s="6">
        <v>8.8091000000000008</v>
      </c>
      <c r="F761" s="6">
        <v>9.1170000000000009</v>
      </c>
      <c r="G761" s="6">
        <v>9.4138999999999999</v>
      </c>
      <c r="H761" s="6">
        <v>9.6992999999999991</v>
      </c>
      <c r="I761" s="6">
        <v>10.713800000000001</v>
      </c>
      <c r="J761" s="6">
        <v>11.5749</v>
      </c>
      <c r="K761" s="6">
        <v>12.2864</v>
      </c>
      <c r="L761" s="6">
        <v>12.9415</v>
      </c>
      <c r="M761" s="6">
        <v>13.829499999999999</v>
      </c>
      <c r="N761" s="6">
        <v>15.0024</v>
      </c>
      <c r="O761" s="6">
        <v>16.103300000000001</v>
      </c>
      <c r="P761" s="6">
        <v>16.755400000000002</v>
      </c>
      <c r="Q761" s="6"/>
    </row>
    <row r="762" spans="1:17">
      <c r="A762" s="5">
        <v>42570</v>
      </c>
      <c r="B762" s="5" t="str">
        <f t="shared" si="11"/>
        <v>2016 q3</v>
      </c>
      <c r="C762" s="6">
        <v>8.3596000000000004</v>
      </c>
      <c r="D762" s="6">
        <v>8.4655000000000005</v>
      </c>
      <c r="E762" s="6">
        <v>8.6839999999999993</v>
      </c>
      <c r="F762" s="6">
        <v>9.0028000000000006</v>
      </c>
      <c r="G762" s="6">
        <v>9.3140000000000001</v>
      </c>
      <c r="H762" s="6">
        <v>9.5875000000000004</v>
      </c>
      <c r="I762" s="6">
        <v>10.641400000000001</v>
      </c>
      <c r="J762" s="6">
        <v>11.506500000000001</v>
      </c>
      <c r="K762" s="6">
        <v>12.210100000000001</v>
      </c>
      <c r="L762" s="6">
        <v>12.8522</v>
      </c>
      <c r="M762" s="6">
        <v>13.6972</v>
      </c>
      <c r="N762" s="6">
        <v>14.8049</v>
      </c>
      <c r="O762" s="6">
        <v>15.8047</v>
      </c>
      <c r="P762" s="6">
        <v>16.3827</v>
      </c>
      <c r="Q762" s="6"/>
    </row>
    <row r="763" spans="1:17">
      <c r="A763" s="5">
        <v>42571</v>
      </c>
      <c r="B763" s="5" t="str">
        <f t="shared" si="11"/>
        <v>2016 q3</v>
      </c>
      <c r="C763" s="6">
        <v>8.4352999999999998</v>
      </c>
      <c r="D763" s="6">
        <v>8.5157000000000007</v>
      </c>
      <c r="E763" s="6">
        <v>8.6818000000000008</v>
      </c>
      <c r="F763" s="6">
        <v>8.9268999999999998</v>
      </c>
      <c r="G763" s="6">
        <v>9.1684999999999999</v>
      </c>
      <c r="H763" s="6">
        <v>9.3926999999999996</v>
      </c>
      <c r="I763" s="6">
        <v>10.269299999999999</v>
      </c>
      <c r="J763" s="6">
        <v>11.0489</v>
      </c>
      <c r="K763" s="6">
        <v>11.7387</v>
      </c>
      <c r="L763" s="6">
        <v>12.386799999999999</v>
      </c>
      <c r="M763" s="6">
        <v>13.389900000000001</v>
      </c>
      <c r="N763" s="6">
        <v>14.7529</v>
      </c>
      <c r="O763" s="6">
        <v>16.279299999999999</v>
      </c>
      <c r="P763" s="6">
        <v>17.3002</v>
      </c>
      <c r="Q763" s="6"/>
    </row>
    <row r="764" spans="1:17">
      <c r="A764" s="5">
        <v>42572</v>
      </c>
      <c r="B764" s="5" t="str">
        <f t="shared" si="11"/>
        <v>2016 q3</v>
      </c>
      <c r="C764" s="6">
        <v>8.4799000000000007</v>
      </c>
      <c r="D764" s="6">
        <v>8.5618999999999996</v>
      </c>
      <c r="E764" s="6">
        <v>8.7310999999999996</v>
      </c>
      <c r="F764" s="6">
        <v>8.9802</v>
      </c>
      <c r="G764" s="6">
        <v>9.2253000000000007</v>
      </c>
      <c r="H764" s="6">
        <v>9.4512</v>
      </c>
      <c r="I764" s="6">
        <v>10.332000000000001</v>
      </c>
      <c r="J764" s="6">
        <v>11.1059</v>
      </c>
      <c r="K764" s="6">
        <v>11.782299999999999</v>
      </c>
      <c r="L764" s="6">
        <v>12.414</v>
      </c>
      <c r="M764" s="6">
        <v>13.3683</v>
      </c>
      <c r="N764" s="6">
        <v>14.6557</v>
      </c>
      <c r="O764" s="6">
        <v>16.0471</v>
      </c>
      <c r="P764" s="6">
        <v>16.9514</v>
      </c>
      <c r="Q764" s="6"/>
    </row>
    <row r="765" spans="1:17">
      <c r="A765" s="5">
        <v>42573</v>
      </c>
      <c r="B765" s="5" t="str">
        <f t="shared" si="11"/>
        <v>2016 q3</v>
      </c>
      <c r="C765" s="6">
        <v>8.4548000000000005</v>
      </c>
      <c r="D765" s="6">
        <v>8.5383999999999993</v>
      </c>
      <c r="E765" s="6">
        <v>8.7109000000000005</v>
      </c>
      <c r="F765" s="6">
        <v>8.9644999999999992</v>
      </c>
      <c r="G765" s="6">
        <v>9.2135999999999996</v>
      </c>
      <c r="H765" s="6">
        <v>9.4421999999999997</v>
      </c>
      <c r="I765" s="6">
        <v>10.331899999999999</v>
      </c>
      <c r="J765" s="6">
        <v>11.107100000000001</v>
      </c>
      <c r="K765" s="6">
        <v>11.779299999999999</v>
      </c>
      <c r="L765" s="6">
        <v>12.404500000000001</v>
      </c>
      <c r="M765" s="6">
        <v>13.334099999999999</v>
      </c>
      <c r="N765" s="6">
        <v>14.5824</v>
      </c>
      <c r="O765" s="6">
        <v>15.9009</v>
      </c>
      <c r="P765" s="6">
        <v>16.7425</v>
      </c>
      <c r="Q765" s="6"/>
    </row>
    <row r="766" spans="1:17">
      <c r="A766" s="5">
        <v>42576</v>
      </c>
      <c r="B766" s="5" t="str">
        <f t="shared" si="11"/>
        <v>2016 q3</v>
      </c>
      <c r="C766" s="6">
        <v>7.5906000000000002</v>
      </c>
      <c r="D766" s="6">
        <v>7.7121000000000004</v>
      </c>
      <c r="E766" s="6">
        <v>7.9630000000000001</v>
      </c>
      <c r="F766" s="6">
        <v>8.3381000000000007</v>
      </c>
      <c r="G766" s="6">
        <v>8.6913999999999998</v>
      </c>
      <c r="H766" s="6">
        <v>9.0044000000000004</v>
      </c>
      <c r="I766" s="6">
        <v>10.2042</v>
      </c>
      <c r="J766" s="6">
        <v>11.172599999999999</v>
      </c>
      <c r="K766" s="6">
        <v>11.949</v>
      </c>
      <c r="L766" s="6">
        <v>12.650399999999999</v>
      </c>
      <c r="M766" s="6">
        <v>13.5501</v>
      </c>
      <c r="N766" s="6">
        <v>14.7203</v>
      </c>
      <c r="O766" s="6">
        <v>15.7408</v>
      </c>
      <c r="P766" s="6">
        <v>16.3185</v>
      </c>
      <c r="Q766" s="6"/>
    </row>
    <row r="767" spans="1:17">
      <c r="A767" s="5">
        <v>42577</v>
      </c>
      <c r="B767" s="5" t="str">
        <f t="shared" si="11"/>
        <v>2016 q3</v>
      </c>
      <c r="C767" s="6">
        <v>7.6311</v>
      </c>
      <c r="D767" s="6">
        <v>7.7469999999999999</v>
      </c>
      <c r="E767" s="6">
        <v>7.9862000000000002</v>
      </c>
      <c r="F767" s="6">
        <v>8.3449000000000009</v>
      </c>
      <c r="G767" s="6">
        <v>8.6814999999999998</v>
      </c>
      <c r="H767" s="6">
        <v>8.9830000000000005</v>
      </c>
      <c r="I767" s="6">
        <v>10.138999999999999</v>
      </c>
      <c r="J767" s="6">
        <v>11.08</v>
      </c>
      <c r="K767" s="6">
        <v>11.843</v>
      </c>
      <c r="L767" s="6">
        <v>12.5318</v>
      </c>
      <c r="M767" s="6">
        <v>13.4335</v>
      </c>
      <c r="N767" s="6">
        <v>14.607799999999999</v>
      </c>
      <c r="O767" s="6">
        <v>15.654199999999999</v>
      </c>
      <c r="P767" s="6">
        <v>16.2517</v>
      </c>
      <c r="Q767" s="6"/>
    </row>
    <row r="768" spans="1:17">
      <c r="A768" s="5">
        <v>42578</v>
      </c>
      <c r="B768" s="5" t="str">
        <f t="shared" si="11"/>
        <v>2016 q3</v>
      </c>
      <c r="C768" s="6">
        <v>7.6204000000000001</v>
      </c>
      <c r="D768" s="6">
        <v>7.7350000000000003</v>
      </c>
      <c r="E768" s="6">
        <v>7.9715999999999996</v>
      </c>
      <c r="F768" s="6">
        <v>8.3261000000000003</v>
      </c>
      <c r="G768" s="6">
        <v>8.6590000000000007</v>
      </c>
      <c r="H768" s="6">
        <v>8.9580000000000002</v>
      </c>
      <c r="I768" s="6">
        <v>10.104799999999999</v>
      </c>
      <c r="J768" s="6">
        <v>11.041</v>
      </c>
      <c r="K768" s="6">
        <v>11.8033</v>
      </c>
      <c r="L768" s="6">
        <v>12.491300000000001</v>
      </c>
      <c r="M768" s="6">
        <v>13.3985</v>
      </c>
      <c r="N768" s="6">
        <v>14.5807</v>
      </c>
      <c r="O768" s="6">
        <v>15.642300000000001</v>
      </c>
      <c r="P768" s="6">
        <v>16.250499999999999</v>
      </c>
      <c r="Q768" s="6"/>
    </row>
    <row r="769" spans="1:17">
      <c r="A769" s="5">
        <v>42579</v>
      </c>
      <c r="B769" s="5" t="str">
        <f t="shared" si="11"/>
        <v>2016 q3</v>
      </c>
      <c r="C769" s="6">
        <v>7.6184000000000003</v>
      </c>
      <c r="D769" s="6">
        <v>7.7325999999999997</v>
      </c>
      <c r="E769" s="6">
        <v>7.9683999999999999</v>
      </c>
      <c r="F769" s="6">
        <v>8.3215000000000003</v>
      </c>
      <c r="G769" s="6">
        <v>8.6531000000000002</v>
      </c>
      <c r="H769" s="6">
        <v>8.9518000000000004</v>
      </c>
      <c r="I769" s="6">
        <v>10.0974</v>
      </c>
      <c r="J769" s="6">
        <v>11.0511</v>
      </c>
      <c r="K769" s="6">
        <v>11.850899999999999</v>
      </c>
      <c r="L769" s="6">
        <v>12.4923</v>
      </c>
      <c r="M769" s="6">
        <v>13.4095</v>
      </c>
      <c r="N769" s="6">
        <v>14.6051</v>
      </c>
      <c r="O769" s="6">
        <v>15.6859</v>
      </c>
      <c r="P769" s="6">
        <v>16.306999999999999</v>
      </c>
      <c r="Q769" s="6"/>
    </row>
    <row r="770" spans="1:17">
      <c r="A770" s="5">
        <v>42580</v>
      </c>
      <c r="B770" s="5" t="str">
        <f t="shared" si="11"/>
        <v>2016 q3</v>
      </c>
      <c r="C770" s="6">
        <v>7.5804</v>
      </c>
      <c r="D770" s="6">
        <v>7.7005999999999997</v>
      </c>
      <c r="E770" s="6">
        <v>7.9486999999999997</v>
      </c>
      <c r="F770" s="6">
        <v>8.3199000000000005</v>
      </c>
      <c r="G770" s="6">
        <v>8.6660000000000004</v>
      </c>
      <c r="H770" s="6">
        <v>8.9748000000000001</v>
      </c>
      <c r="I770" s="6">
        <v>10.154</v>
      </c>
      <c r="J770" s="6">
        <v>11.1</v>
      </c>
      <c r="K770" s="6">
        <v>11.858000000000001</v>
      </c>
      <c r="L770" s="6">
        <v>12.5366</v>
      </c>
      <c r="M770" s="6">
        <v>13.406000000000001</v>
      </c>
      <c r="N770" s="6">
        <v>14.5312</v>
      </c>
      <c r="O770" s="6">
        <v>15.505599999999999</v>
      </c>
      <c r="P770" s="6">
        <v>16.052800000000001</v>
      </c>
      <c r="Q770" s="6"/>
    </row>
    <row r="771" spans="1:17">
      <c r="A771" s="5">
        <v>42583</v>
      </c>
      <c r="B771" s="5" t="str">
        <f t="shared" ref="B771:B834" si="12">YEAR(A771)&amp;" q"&amp;ROUNDUP(MONTH(A771)/3,0)</f>
        <v>2016 q3</v>
      </c>
      <c r="C771" s="6">
        <v>7.6195000000000004</v>
      </c>
      <c r="D771" s="6">
        <v>7.7301000000000002</v>
      </c>
      <c r="E771" s="6">
        <v>7.9583000000000004</v>
      </c>
      <c r="F771" s="6">
        <v>8.2996999999999996</v>
      </c>
      <c r="G771" s="6">
        <v>8.6206999999999994</v>
      </c>
      <c r="H771" s="6">
        <v>8.9105000000000008</v>
      </c>
      <c r="I771" s="6">
        <v>10.021100000000001</v>
      </c>
      <c r="J771" s="6">
        <v>10.930300000000001</v>
      </c>
      <c r="K771" s="6">
        <v>11.6744</v>
      </c>
      <c r="L771" s="6">
        <v>12.3443</v>
      </c>
      <c r="M771" s="6">
        <v>13.2362</v>
      </c>
      <c r="N771" s="6">
        <v>14.3978</v>
      </c>
      <c r="O771" s="6">
        <v>15.4503</v>
      </c>
      <c r="P771" s="6">
        <v>16.0548</v>
      </c>
      <c r="Q771" s="6"/>
    </row>
    <row r="772" spans="1:17">
      <c r="A772" s="5">
        <v>42584</v>
      </c>
      <c r="B772" s="5" t="str">
        <f t="shared" si="12"/>
        <v>2016 q3</v>
      </c>
      <c r="C772" s="6">
        <v>7.3867000000000003</v>
      </c>
      <c r="D772" s="6">
        <v>7.5091999999999999</v>
      </c>
      <c r="E772" s="6">
        <v>7.7621000000000002</v>
      </c>
      <c r="F772" s="6">
        <v>8.1385000000000005</v>
      </c>
      <c r="G772" s="6">
        <v>8.4871999999999996</v>
      </c>
      <c r="H772" s="6">
        <v>8.8353999999999999</v>
      </c>
      <c r="I772" s="6">
        <v>10.014099999999999</v>
      </c>
      <c r="J772" s="6">
        <v>10.984299999999999</v>
      </c>
      <c r="K772" s="6">
        <v>11.7666</v>
      </c>
      <c r="L772" s="6">
        <v>12.464</v>
      </c>
      <c r="M772" s="6">
        <v>13.367599999999999</v>
      </c>
      <c r="N772" s="6">
        <v>14.535600000000001</v>
      </c>
      <c r="O772" s="6">
        <v>15.5566</v>
      </c>
      <c r="P772" s="6">
        <v>16.130700000000001</v>
      </c>
      <c r="Q772" s="6"/>
    </row>
    <row r="773" spans="1:17">
      <c r="A773" s="5">
        <v>42585</v>
      </c>
      <c r="B773" s="5" t="str">
        <f t="shared" si="12"/>
        <v>2016 q3</v>
      </c>
      <c r="C773" s="6">
        <v>7.3966000000000003</v>
      </c>
      <c r="D773" s="6">
        <v>7.5179999999999998</v>
      </c>
      <c r="E773" s="6">
        <v>7.7686000000000002</v>
      </c>
      <c r="F773" s="6">
        <v>8.1412999999999993</v>
      </c>
      <c r="G773" s="6">
        <v>8.4871999999999996</v>
      </c>
      <c r="H773" s="6">
        <v>8.8323</v>
      </c>
      <c r="I773" s="6">
        <v>10.0038</v>
      </c>
      <c r="J773" s="6">
        <v>10.9702</v>
      </c>
      <c r="K773" s="6">
        <v>11.7521</v>
      </c>
      <c r="L773" s="6">
        <v>12.449</v>
      </c>
      <c r="M773" s="6">
        <v>13.3576</v>
      </c>
      <c r="N773" s="6">
        <v>14.532500000000001</v>
      </c>
      <c r="O773" s="6">
        <v>15.5662</v>
      </c>
      <c r="P773" s="6">
        <v>16.149000000000001</v>
      </c>
      <c r="Q773" s="6"/>
    </row>
    <row r="774" spans="1:17">
      <c r="A774" s="5">
        <v>42586</v>
      </c>
      <c r="B774" s="5" t="str">
        <f t="shared" si="12"/>
        <v>2016 q3</v>
      </c>
      <c r="C774" s="6">
        <v>7.3696999999999999</v>
      </c>
      <c r="D774" s="6">
        <v>7.4923999999999999</v>
      </c>
      <c r="E774" s="6">
        <v>7.7458</v>
      </c>
      <c r="F774" s="6">
        <v>8.1222999999999992</v>
      </c>
      <c r="G774" s="6">
        <v>8.4710000000000001</v>
      </c>
      <c r="H774" s="6">
        <v>8.8183000000000007</v>
      </c>
      <c r="I774" s="6">
        <v>9.9921000000000006</v>
      </c>
      <c r="J774" s="6">
        <v>10.953900000000001</v>
      </c>
      <c r="K774" s="6">
        <v>11.7273</v>
      </c>
      <c r="L774" s="6">
        <v>12.4139</v>
      </c>
      <c r="M774" s="6">
        <v>13.2987</v>
      </c>
      <c r="N774" s="6">
        <v>14.4396</v>
      </c>
      <c r="O774" s="6">
        <v>15.428800000000001</v>
      </c>
      <c r="P774" s="6">
        <v>15.9819</v>
      </c>
      <c r="Q774" s="6"/>
    </row>
    <row r="775" spans="1:17">
      <c r="A775" s="5">
        <v>42587</v>
      </c>
      <c r="B775" s="5" t="str">
        <f t="shared" si="12"/>
        <v>2016 q3</v>
      </c>
      <c r="C775" s="6">
        <v>7.3714000000000004</v>
      </c>
      <c r="D775" s="6">
        <v>7.4953000000000003</v>
      </c>
      <c r="E775" s="6">
        <v>7.7508999999999997</v>
      </c>
      <c r="F775" s="6">
        <v>8.1303999999999998</v>
      </c>
      <c r="G775" s="6">
        <v>8.4818999999999996</v>
      </c>
      <c r="H775" s="6">
        <v>8.8314000000000004</v>
      </c>
      <c r="I775" s="6">
        <v>10.0108</v>
      </c>
      <c r="J775" s="6">
        <v>10.974399999999999</v>
      </c>
      <c r="K775" s="6">
        <v>11.747299999999999</v>
      </c>
      <c r="L775" s="6">
        <v>12.431800000000001</v>
      </c>
      <c r="M775" s="6">
        <v>13.3102</v>
      </c>
      <c r="N775" s="6">
        <v>14.441000000000001</v>
      </c>
      <c r="O775" s="6">
        <v>15.4155</v>
      </c>
      <c r="P775" s="6">
        <v>15.958500000000001</v>
      </c>
      <c r="Q775" s="6"/>
    </row>
    <row r="776" spans="1:17">
      <c r="A776" s="5">
        <v>42590</v>
      </c>
      <c r="B776" s="5" t="str">
        <f t="shared" si="12"/>
        <v>2016 q3</v>
      </c>
      <c r="C776" s="6">
        <v>7.4111000000000002</v>
      </c>
      <c r="D776" s="6">
        <v>7.5304000000000002</v>
      </c>
      <c r="E776" s="6">
        <v>7.7766999999999999</v>
      </c>
      <c r="F776" s="6">
        <v>8.1420999999999992</v>
      </c>
      <c r="G776" s="6">
        <v>8.4825999999999997</v>
      </c>
      <c r="H776" s="6">
        <v>8.8209999999999997</v>
      </c>
      <c r="I776" s="6">
        <v>9.9765999999999995</v>
      </c>
      <c r="J776" s="6">
        <v>10.932600000000001</v>
      </c>
      <c r="K776" s="6">
        <v>11.711</v>
      </c>
      <c r="L776" s="6">
        <v>12.4031</v>
      </c>
      <c r="M776" s="6">
        <v>13.3157</v>
      </c>
      <c r="N776" s="6">
        <v>14.4953</v>
      </c>
      <c r="O776" s="6">
        <v>15.5443</v>
      </c>
      <c r="P776" s="6">
        <v>16.1374</v>
      </c>
      <c r="Q776" s="6"/>
    </row>
    <row r="777" spans="1:17">
      <c r="A777" s="5">
        <v>42591</v>
      </c>
      <c r="B777" s="5" t="str">
        <f t="shared" si="12"/>
        <v>2016 q3</v>
      </c>
      <c r="C777" s="6">
        <v>7.4943</v>
      </c>
      <c r="D777" s="6">
        <v>7.6059999999999999</v>
      </c>
      <c r="E777" s="6">
        <v>7.8365999999999998</v>
      </c>
      <c r="F777" s="6">
        <v>8.1793999999999993</v>
      </c>
      <c r="G777" s="6">
        <v>8.5069999999999997</v>
      </c>
      <c r="H777" s="6">
        <v>8.8000000000000007</v>
      </c>
      <c r="I777" s="6">
        <v>9.9205000000000005</v>
      </c>
      <c r="J777" s="6">
        <v>10.8461</v>
      </c>
      <c r="K777" s="6">
        <v>11.613799999999999</v>
      </c>
      <c r="L777" s="6">
        <v>12.298500000000001</v>
      </c>
      <c r="M777" s="6">
        <v>13.232799999999999</v>
      </c>
      <c r="N777" s="6">
        <v>14.4459</v>
      </c>
      <c r="O777" s="6">
        <v>15.568300000000001</v>
      </c>
      <c r="P777" s="6">
        <v>16.215599999999998</v>
      </c>
      <c r="Q777" s="6"/>
    </row>
    <row r="778" spans="1:17">
      <c r="A778" s="5">
        <v>42592</v>
      </c>
      <c r="B778" s="5" t="str">
        <f t="shared" si="12"/>
        <v>2016 q3</v>
      </c>
      <c r="C778" s="6">
        <v>7.4587000000000003</v>
      </c>
      <c r="D778" s="6">
        <v>7.5762</v>
      </c>
      <c r="E778" s="6">
        <v>7.8186</v>
      </c>
      <c r="F778" s="6">
        <v>8.1783999999999999</v>
      </c>
      <c r="G778" s="6">
        <v>8.5202000000000009</v>
      </c>
      <c r="H778" s="6">
        <v>8.8223000000000003</v>
      </c>
      <c r="I778" s="6">
        <v>9.9716000000000005</v>
      </c>
      <c r="J778" s="6">
        <v>10.901</v>
      </c>
      <c r="K778" s="6">
        <v>11.6563</v>
      </c>
      <c r="L778" s="6">
        <v>12.3233</v>
      </c>
      <c r="M778" s="6">
        <v>13.1999</v>
      </c>
      <c r="N778" s="6">
        <v>14.3285</v>
      </c>
      <c r="O778" s="6">
        <v>15.324199999999999</v>
      </c>
      <c r="P778" s="6">
        <v>15.883100000000001</v>
      </c>
      <c r="Q778" s="6"/>
    </row>
    <row r="779" spans="1:17">
      <c r="A779" s="5">
        <v>42593</v>
      </c>
      <c r="B779" s="5" t="str">
        <f t="shared" si="12"/>
        <v>2016 q3</v>
      </c>
      <c r="C779" s="6">
        <v>7.4802999999999997</v>
      </c>
      <c r="D779" s="6">
        <v>7.5933000000000002</v>
      </c>
      <c r="E779" s="6">
        <v>7.8266999999999998</v>
      </c>
      <c r="F779" s="6">
        <v>8.1730999999999998</v>
      </c>
      <c r="G779" s="6">
        <v>8.5036000000000005</v>
      </c>
      <c r="H779" s="6">
        <v>8.7994000000000003</v>
      </c>
      <c r="I779" s="6">
        <v>9.9289000000000005</v>
      </c>
      <c r="J779" s="6">
        <v>10.8592</v>
      </c>
      <c r="K779" s="6">
        <v>11.629899999999999</v>
      </c>
      <c r="L779" s="6">
        <v>12.3148</v>
      </c>
      <c r="M779" s="6">
        <v>13.247199999999999</v>
      </c>
      <c r="N779" s="6">
        <v>14.455299999999999</v>
      </c>
      <c r="O779" s="6">
        <v>15.567500000000001</v>
      </c>
      <c r="P779" s="6">
        <v>16.206</v>
      </c>
      <c r="Q779" s="6"/>
    </row>
    <row r="780" spans="1:17">
      <c r="A780" s="5">
        <v>42594</v>
      </c>
      <c r="B780" s="5" t="str">
        <f t="shared" si="12"/>
        <v>2016 q3</v>
      </c>
      <c r="C780" s="6">
        <v>7.5446999999999997</v>
      </c>
      <c r="D780" s="6">
        <v>7.6455000000000002</v>
      </c>
      <c r="E780" s="6">
        <v>7.8535000000000004</v>
      </c>
      <c r="F780" s="6">
        <v>8.1624999999999996</v>
      </c>
      <c r="G780" s="6">
        <v>8.4587000000000003</v>
      </c>
      <c r="H780" s="6">
        <v>8.7273999999999994</v>
      </c>
      <c r="I780" s="6">
        <v>9.7577999999999996</v>
      </c>
      <c r="J780" s="6">
        <v>10.639900000000001</v>
      </c>
      <c r="K780" s="6">
        <v>11.3964</v>
      </c>
      <c r="L780" s="6">
        <v>12.013500000000001</v>
      </c>
      <c r="M780" s="6">
        <v>12.943300000000001</v>
      </c>
      <c r="N780" s="6">
        <v>14.1579</v>
      </c>
      <c r="O780" s="6">
        <v>15.3345</v>
      </c>
      <c r="P780" s="6">
        <v>16.0307</v>
      </c>
      <c r="Q780" s="6"/>
    </row>
    <row r="781" spans="1:17">
      <c r="A781" s="5">
        <v>42597</v>
      </c>
      <c r="B781" s="5" t="str">
        <f t="shared" si="12"/>
        <v>2016 q3</v>
      </c>
      <c r="C781" s="6">
        <v>7.5694999999999997</v>
      </c>
      <c r="D781" s="6">
        <v>7.6589</v>
      </c>
      <c r="E781" s="6">
        <v>7.8432000000000004</v>
      </c>
      <c r="F781" s="6">
        <v>8.1176999999999992</v>
      </c>
      <c r="G781" s="6">
        <v>8.3834</v>
      </c>
      <c r="H781" s="6">
        <v>8.6290999999999993</v>
      </c>
      <c r="I781" s="6">
        <v>9.5786999999999995</v>
      </c>
      <c r="J781" s="6">
        <v>10.415699999999999</v>
      </c>
      <c r="K781" s="6">
        <v>11.154400000000001</v>
      </c>
      <c r="L781" s="6">
        <v>11.777699999999999</v>
      </c>
      <c r="M781" s="6">
        <v>12.7646</v>
      </c>
      <c r="N781" s="6">
        <v>14.074299999999999</v>
      </c>
      <c r="O781" s="6">
        <v>15.4573</v>
      </c>
      <c r="P781" s="6">
        <v>16.3264</v>
      </c>
      <c r="Q781" s="6"/>
    </row>
    <row r="782" spans="1:17">
      <c r="A782" s="5">
        <v>42598</v>
      </c>
      <c r="B782" s="5" t="str">
        <f t="shared" si="12"/>
        <v>2016 q3</v>
      </c>
      <c r="C782" s="6">
        <v>7.6665000000000001</v>
      </c>
      <c r="D782" s="6">
        <v>7.7386999999999997</v>
      </c>
      <c r="E782" s="6">
        <v>7.8879000000000001</v>
      </c>
      <c r="F782" s="6">
        <v>8.1117000000000008</v>
      </c>
      <c r="G782" s="6">
        <v>8.3299000000000003</v>
      </c>
      <c r="H782" s="6">
        <v>8.5388999999999999</v>
      </c>
      <c r="I782" s="6">
        <v>9.3566000000000003</v>
      </c>
      <c r="J782" s="6">
        <v>10.1065</v>
      </c>
      <c r="K782" s="6">
        <v>10.7979</v>
      </c>
      <c r="L782" s="6">
        <v>11.446099999999999</v>
      </c>
      <c r="M782" s="6">
        <v>12.5367</v>
      </c>
      <c r="N782" s="6">
        <v>14.0364</v>
      </c>
      <c r="O782" s="6">
        <v>15.905900000000001</v>
      </c>
      <c r="P782" s="6">
        <v>17.259699999999999</v>
      </c>
      <c r="Q782" s="6"/>
    </row>
    <row r="783" spans="1:17">
      <c r="A783" s="5">
        <v>42599</v>
      </c>
      <c r="B783" s="5" t="str">
        <f t="shared" si="12"/>
        <v>2016 q3</v>
      </c>
      <c r="C783" s="6">
        <v>7.5294999999999996</v>
      </c>
      <c r="D783" s="6">
        <v>7.6193</v>
      </c>
      <c r="E783" s="6">
        <v>7.8047000000000004</v>
      </c>
      <c r="F783" s="6">
        <v>8.0825999999999993</v>
      </c>
      <c r="G783" s="6">
        <v>8.3488000000000007</v>
      </c>
      <c r="H783" s="6">
        <v>8.5963999999999992</v>
      </c>
      <c r="I783" s="6">
        <v>9.5510999999999999</v>
      </c>
      <c r="J783" s="6">
        <v>10.377700000000001</v>
      </c>
      <c r="K783" s="6">
        <v>11.0992</v>
      </c>
      <c r="L783" s="6">
        <v>11.7524</v>
      </c>
      <c r="M783" s="6">
        <v>12.7362</v>
      </c>
      <c r="N783" s="6">
        <v>14.037800000000001</v>
      </c>
      <c r="O783" s="6">
        <v>15.4061</v>
      </c>
      <c r="P783" s="6">
        <v>16.2605</v>
      </c>
      <c r="Q783" s="6"/>
    </row>
    <row r="784" spans="1:17">
      <c r="A784" s="5">
        <v>42600</v>
      </c>
      <c r="B784" s="5" t="str">
        <f t="shared" si="12"/>
        <v>2016 q3</v>
      </c>
      <c r="C784" s="6">
        <v>7.5979999999999999</v>
      </c>
      <c r="D784" s="6">
        <v>7.6809000000000003</v>
      </c>
      <c r="E784" s="6">
        <v>7.8521999999999998</v>
      </c>
      <c r="F784" s="6">
        <v>8.1089000000000002</v>
      </c>
      <c r="G784" s="6">
        <v>8.3564000000000007</v>
      </c>
      <c r="H784" s="6">
        <v>8.5893999999999995</v>
      </c>
      <c r="I784" s="6">
        <v>9.4926999999999992</v>
      </c>
      <c r="J784" s="6">
        <v>10.292199999999999</v>
      </c>
      <c r="K784" s="6">
        <v>11.0052</v>
      </c>
      <c r="L784" s="6">
        <v>11.6737</v>
      </c>
      <c r="M784" s="6">
        <v>12.8027</v>
      </c>
      <c r="N784" s="6">
        <v>14.0617</v>
      </c>
      <c r="O784" s="6">
        <v>15.603</v>
      </c>
      <c r="P784" s="6">
        <v>16.614799999999999</v>
      </c>
      <c r="Q784" s="6"/>
    </row>
    <row r="785" spans="1:17">
      <c r="A785" s="5">
        <v>42601</v>
      </c>
      <c r="B785" s="5" t="str">
        <f t="shared" si="12"/>
        <v>2016 q3</v>
      </c>
      <c r="C785" s="6">
        <v>7.5395000000000003</v>
      </c>
      <c r="D785" s="6">
        <v>7.6300999999999997</v>
      </c>
      <c r="E785" s="6">
        <v>7.8170000000000002</v>
      </c>
      <c r="F785" s="6">
        <v>8.0968999999999998</v>
      </c>
      <c r="G785" s="6">
        <v>8.3643000000000001</v>
      </c>
      <c r="H785" s="6">
        <v>8.6128</v>
      </c>
      <c r="I785" s="6">
        <v>9.5693000000000001</v>
      </c>
      <c r="J785" s="6">
        <v>10.3926</v>
      </c>
      <c r="K785" s="6">
        <v>11.108599999999999</v>
      </c>
      <c r="L785" s="6">
        <v>11.7536</v>
      </c>
      <c r="M785" s="6">
        <v>12.7174</v>
      </c>
      <c r="N785" s="6">
        <v>13.9878</v>
      </c>
      <c r="O785" s="6">
        <v>15.305400000000001</v>
      </c>
      <c r="P785" s="6">
        <v>16.1187</v>
      </c>
      <c r="Q785" s="6"/>
    </row>
    <row r="786" spans="1:17">
      <c r="A786" s="5">
        <v>42604</v>
      </c>
      <c r="B786" s="5" t="str">
        <f t="shared" si="12"/>
        <v>2016 q3</v>
      </c>
      <c r="C786" s="6">
        <v>7.4550000000000001</v>
      </c>
      <c r="D786" s="6">
        <v>7.5496999999999996</v>
      </c>
      <c r="E786" s="6">
        <v>7.7450000000000001</v>
      </c>
      <c r="F786" s="6">
        <v>8.0373999999999999</v>
      </c>
      <c r="G786" s="6">
        <v>8.3160000000000007</v>
      </c>
      <c r="H786" s="6">
        <v>8.5737000000000005</v>
      </c>
      <c r="I786" s="6">
        <v>9.5626999999999995</v>
      </c>
      <c r="J786" s="6">
        <v>10.404999999999999</v>
      </c>
      <c r="K786" s="6">
        <v>11.130599999999999</v>
      </c>
      <c r="L786" s="6">
        <v>11.7798</v>
      </c>
      <c r="M786" s="6">
        <v>12.732200000000001</v>
      </c>
      <c r="N786" s="6">
        <v>13.979799999999999</v>
      </c>
      <c r="O786" s="6">
        <v>15.2386</v>
      </c>
      <c r="P786" s="6">
        <v>15.999700000000001</v>
      </c>
      <c r="Q786" s="6"/>
    </row>
    <row r="787" spans="1:17">
      <c r="A787" s="5">
        <v>42605</v>
      </c>
      <c r="B787" s="5" t="str">
        <f t="shared" si="12"/>
        <v>2016 q3</v>
      </c>
      <c r="C787" s="6">
        <v>7.5824999999999996</v>
      </c>
      <c r="D787" s="6">
        <v>7.6654</v>
      </c>
      <c r="E787" s="6">
        <v>7.8365999999999998</v>
      </c>
      <c r="F787" s="6">
        <v>8.0928000000000004</v>
      </c>
      <c r="G787" s="6">
        <v>8.3393999999999995</v>
      </c>
      <c r="H787" s="6">
        <v>8.5724</v>
      </c>
      <c r="I787" s="6">
        <v>9.4741999999999997</v>
      </c>
      <c r="J787" s="6">
        <v>10.271000000000001</v>
      </c>
      <c r="K787" s="6">
        <v>10.982900000000001</v>
      </c>
      <c r="L787" s="6">
        <v>11.6318</v>
      </c>
      <c r="M787" s="6">
        <v>12.654999999999999</v>
      </c>
      <c r="N787" s="6">
        <v>14.0227</v>
      </c>
      <c r="O787" s="6">
        <v>15.5542</v>
      </c>
      <c r="P787" s="6">
        <v>16.555900000000001</v>
      </c>
      <c r="Q787" s="6"/>
    </row>
    <row r="788" spans="1:17">
      <c r="A788" s="5">
        <v>42606</v>
      </c>
      <c r="B788" s="5" t="str">
        <f t="shared" si="12"/>
        <v>2016 q3</v>
      </c>
      <c r="C788" s="6">
        <v>7.5011999999999999</v>
      </c>
      <c r="D788" s="6">
        <v>7.5919999999999996</v>
      </c>
      <c r="E788" s="6">
        <v>7.7796000000000003</v>
      </c>
      <c r="F788" s="6">
        <v>8.0599000000000007</v>
      </c>
      <c r="G788" s="6">
        <v>8.3279999999999994</v>
      </c>
      <c r="H788" s="6">
        <v>8.5787999999999993</v>
      </c>
      <c r="I788" s="6">
        <v>9.5440000000000005</v>
      </c>
      <c r="J788" s="6">
        <v>10.379099999999999</v>
      </c>
      <c r="K788" s="6">
        <v>11.111000000000001</v>
      </c>
      <c r="L788" s="6">
        <v>11.769299999999999</v>
      </c>
      <c r="M788" s="6">
        <v>12.7683</v>
      </c>
      <c r="N788" s="6">
        <v>14.086</v>
      </c>
      <c r="O788" s="6">
        <v>15.477399999999999</v>
      </c>
      <c r="P788" s="6">
        <v>16.344799999999999</v>
      </c>
      <c r="Q788" s="6"/>
    </row>
    <row r="789" spans="1:17">
      <c r="A789" s="5">
        <v>42607</v>
      </c>
      <c r="B789" s="5" t="str">
        <f t="shared" si="12"/>
        <v>2016 q3</v>
      </c>
      <c r="C789" s="6">
        <v>7.5250000000000004</v>
      </c>
      <c r="D789" s="6">
        <v>7.6142000000000003</v>
      </c>
      <c r="E789" s="6">
        <v>7.7983000000000002</v>
      </c>
      <c r="F789" s="6">
        <v>8.0733999999999995</v>
      </c>
      <c r="G789" s="6">
        <v>8.3368000000000002</v>
      </c>
      <c r="H789" s="6">
        <v>8.5839999999999996</v>
      </c>
      <c r="I789" s="6">
        <v>9.5364000000000004</v>
      </c>
      <c r="J789" s="6">
        <v>10.3645</v>
      </c>
      <c r="K789" s="6">
        <v>11.093999999999999</v>
      </c>
      <c r="L789" s="6">
        <v>11.7514</v>
      </c>
      <c r="M789" s="6">
        <v>12.759600000000001</v>
      </c>
      <c r="N789" s="6">
        <v>14.0928</v>
      </c>
      <c r="O789" s="6">
        <v>15.521000000000001</v>
      </c>
      <c r="P789" s="6">
        <v>16.4207</v>
      </c>
      <c r="Q789" s="6"/>
    </row>
    <row r="790" spans="1:17">
      <c r="A790" s="5">
        <v>42608</v>
      </c>
      <c r="B790" s="5" t="str">
        <f t="shared" si="12"/>
        <v>2016 q3</v>
      </c>
      <c r="C790" s="6">
        <v>7.6223999999999998</v>
      </c>
      <c r="D790" s="6">
        <v>7.7026000000000003</v>
      </c>
      <c r="E790" s="6">
        <v>7.8680000000000003</v>
      </c>
      <c r="F790" s="6">
        <v>8.1153999999999993</v>
      </c>
      <c r="G790" s="6">
        <v>8.3543000000000003</v>
      </c>
      <c r="H790" s="6">
        <v>8.5817999999999994</v>
      </c>
      <c r="I790" s="6">
        <v>9.4644999999999992</v>
      </c>
      <c r="J790" s="6">
        <v>10.254099999999999</v>
      </c>
      <c r="K790" s="6">
        <v>10.9686</v>
      </c>
      <c r="L790" s="6">
        <v>11.623699999999999</v>
      </c>
      <c r="M790" s="6">
        <v>12.683999999999999</v>
      </c>
      <c r="N790" s="6">
        <v>14.111599999999999</v>
      </c>
      <c r="O790" s="6">
        <v>15.7723</v>
      </c>
      <c r="P790" s="6">
        <v>16.8932</v>
      </c>
      <c r="Q790" s="6"/>
    </row>
    <row r="791" spans="1:17">
      <c r="A791" s="5">
        <v>42611</v>
      </c>
      <c r="B791" s="5" t="str">
        <f t="shared" si="12"/>
        <v>2016 q3</v>
      </c>
      <c r="C791" s="6">
        <v>7.5003000000000002</v>
      </c>
      <c r="D791" s="6">
        <v>7.5926999999999998</v>
      </c>
      <c r="E791" s="6">
        <v>7.7835000000000001</v>
      </c>
      <c r="F791" s="6">
        <v>8.0685000000000002</v>
      </c>
      <c r="G791" s="6">
        <v>8.3411000000000008</v>
      </c>
      <c r="H791" s="6">
        <v>8.5969999999999995</v>
      </c>
      <c r="I791" s="6">
        <v>9.5815000000000001</v>
      </c>
      <c r="J791" s="6">
        <v>10.4345</v>
      </c>
      <c r="K791" s="6">
        <v>11.184699999999999</v>
      </c>
      <c r="L791" s="6">
        <v>11.8582</v>
      </c>
      <c r="M791" s="6">
        <v>12.8871</v>
      </c>
      <c r="N791" s="6">
        <v>14.244</v>
      </c>
      <c r="O791" s="6">
        <v>15.6866</v>
      </c>
      <c r="P791" s="6">
        <v>16.588699999999999</v>
      </c>
      <c r="Q791" s="6"/>
    </row>
    <row r="792" spans="1:17">
      <c r="A792" s="5">
        <v>42612</v>
      </c>
      <c r="B792" s="5" t="str">
        <f t="shared" si="12"/>
        <v>2016 q3</v>
      </c>
      <c r="C792" s="6">
        <v>7.5201000000000002</v>
      </c>
      <c r="D792" s="6">
        <v>7.6096000000000004</v>
      </c>
      <c r="E792" s="6">
        <v>7.7946</v>
      </c>
      <c r="F792" s="6">
        <v>8.0704999999999991</v>
      </c>
      <c r="G792" s="6">
        <v>8.3347999999999995</v>
      </c>
      <c r="H792" s="6">
        <v>8.5846</v>
      </c>
      <c r="I792" s="6">
        <v>9.5464000000000002</v>
      </c>
      <c r="J792" s="6">
        <v>10.3866</v>
      </c>
      <c r="K792" s="6">
        <v>11.132</v>
      </c>
      <c r="L792" s="6">
        <v>11.803000000000001</v>
      </c>
      <c r="M792" s="6">
        <v>12.8467</v>
      </c>
      <c r="N792" s="6">
        <v>14.228300000000001</v>
      </c>
      <c r="O792" s="6">
        <v>15.733599999999999</v>
      </c>
      <c r="P792" s="6">
        <v>16.691400000000002</v>
      </c>
      <c r="Q792" s="6"/>
    </row>
    <row r="793" spans="1:17">
      <c r="A793" s="5">
        <v>42613</v>
      </c>
      <c r="B793" s="5" t="str">
        <f t="shared" si="12"/>
        <v>2016 q3</v>
      </c>
      <c r="C793" s="6">
        <v>7.4359000000000002</v>
      </c>
      <c r="D793" s="6">
        <v>7.5376000000000003</v>
      </c>
      <c r="E793" s="6">
        <v>7.7476000000000003</v>
      </c>
      <c r="F793" s="6">
        <v>8.0604999999999993</v>
      </c>
      <c r="G793" s="6">
        <v>8.3571000000000009</v>
      </c>
      <c r="H793" s="6">
        <v>8.6339000000000006</v>
      </c>
      <c r="I793" s="6">
        <v>9.6908999999999992</v>
      </c>
      <c r="J793" s="6">
        <v>10.6053</v>
      </c>
      <c r="K793" s="6">
        <v>11.3977</v>
      </c>
      <c r="L793" s="6">
        <v>12.045400000000001</v>
      </c>
      <c r="M793" s="6">
        <v>13.055199999999999</v>
      </c>
      <c r="N793" s="6">
        <v>14.3689</v>
      </c>
      <c r="O793" s="6">
        <v>15.691599999999999</v>
      </c>
      <c r="P793" s="6">
        <v>16.483499999999999</v>
      </c>
      <c r="Q793" s="6"/>
    </row>
    <row r="794" spans="1:17">
      <c r="A794" s="5">
        <v>42614</v>
      </c>
      <c r="B794" s="5" t="str">
        <f t="shared" si="12"/>
        <v>2016 q3</v>
      </c>
      <c r="C794" s="6">
        <v>7.5795000000000003</v>
      </c>
      <c r="D794" s="6">
        <v>7.6637000000000004</v>
      </c>
      <c r="E794" s="6">
        <v>7.8376000000000001</v>
      </c>
      <c r="F794" s="6">
        <v>8.0972000000000008</v>
      </c>
      <c r="G794" s="6">
        <v>8.3469999999999995</v>
      </c>
      <c r="H794" s="6">
        <v>8.5853000000000002</v>
      </c>
      <c r="I794" s="6">
        <v>9.5068000000000001</v>
      </c>
      <c r="J794" s="6">
        <v>10.325900000000001</v>
      </c>
      <c r="K794" s="6">
        <v>11.065</v>
      </c>
      <c r="L794" s="6">
        <v>11.754200000000001</v>
      </c>
      <c r="M794" s="6">
        <v>12.937900000000001</v>
      </c>
      <c r="N794" s="6">
        <v>14.265000000000001</v>
      </c>
      <c r="O794" s="6">
        <v>15.924300000000001</v>
      </c>
      <c r="P794" s="6">
        <v>17.025700000000001</v>
      </c>
      <c r="Q794" s="6"/>
    </row>
    <row r="795" spans="1:17">
      <c r="A795" s="5">
        <v>42615</v>
      </c>
      <c r="B795" s="5" t="str">
        <f t="shared" si="12"/>
        <v>2016 q3</v>
      </c>
      <c r="C795" s="6">
        <v>7.5133000000000001</v>
      </c>
      <c r="D795" s="6">
        <v>7.6044999999999998</v>
      </c>
      <c r="E795" s="6">
        <v>7.7927999999999997</v>
      </c>
      <c r="F795" s="6">
        <v>8.0736000000000008</v>
      </c>
      <c r="G795" s="6">
        <v>8.3422999999999998</v>
      </c>
      <c r="H795" s="6">
        <v>8.5968</v>
      </c>
      <c r="I795" s="6">
        <v>9.5760000000000005</v>
      </c>
      <c r="J795" s="6">
        <v>10.4312</v>
      </c>
      <c r="K795" s="6">
        <v>11.1915</v>
      </c>
      <c r="L795" s="6">
        <v>11.874000000000001</v>
      </c>
      <c r="M795" s="6">
        <v>12.939399999999999</v>
      </c>
      <c r="N795" s="6">
        <v>14.3482</v>
      </c>
      <c r="O795" s="6">
        <v>15.886799999999999</v>
      </c>
      <c r="P795" s="6">
        <v>16.8657</v>
      </c>
      <c r="Q795" s="6"/>
    </row>
    <row r="796" spans="1:17">
      <c r="A796" s="5">
        <v>42618</v>
      </c>
      <c r="B796" s="5" t="str">
        <f t="shared" si="12"/>
        <v>2016 q3</v>
      </c>
      <c r="C796" s="6">
        <v>7.5179999999999998</v>
      </c>
      <c r="D796" s="6">
        <v>7.6078999999999999</v>
      </c>
      <c r="E796" s="6">
        <v>7.7934000000000001</v>
      </c>
      <c r="F796" s="6">
        <v>8.07</v>
      </c>
      <c r="G796" s="6">
        <v>8.3348999999999993</v>
      </c>
      <c r="H796" s="6">
        <v>8.5864999999999991</v>
      </c>
      <c r="I796" s="6">
        <v>9.5556999999999999</v>
      </c>
      <c r="J796" s="6">
        <v>10.4061</v>
      </c>
      <c r="K796" s="6">
        <v>11.1655</v>
      </c>
      <c r="L796" s="6">
        <v>11.8489</v>
      </c>
      <c r="M796" s="6">
        <v>12.925599999999999</v>
      </c>
      <c r="N796" s="6">
        <v>14.3529</v>
      </c>
      <c r="O796" s="6">
        <v>15.9331</v>
      </c>
      <c r="P796" s="6">
        <v>16.949100000000001</v>
      </c>
      <c r="Q796" s="6"/>
    </row>
    <row r="797" spans="1:17">
      <c r="A797" s="5">
        <v>42619</v>
      </c>
      <c r="B797" s="5" t="str">
        <f t="shared" si="12"/>
        <v>2016 q3</v>
      </c>
      <c r="C797" s="6">
        <v>7.2595000000000001</v>
      </c>
      <c r="D797" s="6">
        <v>7.3696999999999999</v>
      </c>
      <c r="E797" s="6">
        <v>7.5972999999999997</v>
      </c>
      <c r="F797" s="6">
        <v>7.9332000000000003</v>
      </c>
      <c r="G797" s="6">
        <v>8.2521000000000004</v>
      </c>
      <c r="H797" s="6">
        <v>8.5708000000000002</v>
      </c>
      <c r="I797" s="6">
        <v>9.6801999999999992</v>
      </c>
      <c r="J797" s="6">
        <v>10.6265</v>
      </c>
      <c r="K797" s="6">
        <v>11.439399999999999</v>
      </c>
      <c r="L797" s="6">
        <v>12.148</v>
      </c>
      <c r="M797" s="6">
        <v>13.181800000000001</v>
      </c>
      <c r="N797" s="6">
        <v>14.5154</v>
      </c>
      <c r="O797" s="6">
        <v>15.826700000000001</v>
      </c>
      <c r="P797" s="6">
        <v>16.595199999999998</v>
      </c>
      <c r="Q797" s="6"/>
    </row>
    <row r="798" spans="1:17">
      <c r="A798" s="5">
        <v>42620</v>
      </c>
      <c r="B798" s="5" t="str">
        <f t="shared" si="12"/>
        <v>2016 q3</v>
      </c>
      <c r="C798" s="6">
        <v>7.2851999999999997</v>
      </c>
      <c r="D798" s="6">
        <v>7.3948</v>
      </c>
      <c r="E798" s="6">
        <v>7.6211000000000002</v>
      </c>
      <c r="F798" s="6">
        <v>7.9547999999999996</v>
      </c>
      <c r="G798" s="6">
        <v>8.2719000000000005</v>
      </c>
      <c r="H798" s="6">
        <v>8.5884</v>
      </c>
      <c r="I798" s="6">
        <v>9.6912000000000003</v>
      </c>
      <c r="J798" s="6">
        <v>10.631600000000001</v>
      </c>
      <c r="K798" s="6">
        <v>11.440099999999999</v>
      </c>
      <c r="L798" s="6">
        <v>12.1439</v>
      </c>
      <c r="M798" s="6">
        <v>13.172000000000001</v>
      </c>
      <c r="N798" s="6">
        <v>14.4977</v>
      </c>
      <c r="O798" s="6">
        <v>15.802</v>
      </c>
      <c r="P798" s="6">
        <v>16.566099999999999</v>
      </c>
      <c r="Q798" s="6"/>
    </row>
    <row r="799" spans="1:17">
      <c r="A799" s="5">
        <v>42621</v>
      </c>
      <c r="B799" s="5" t="str">
        <f t="shared" si="12"/>
        <v>2016 q3</v>
      </c>
      <c r="C799" s="6">
        <v>7.3657000000000004</v>
      </c>
      <c r="D799" s="6">
        <v>7.4692999999999996</v>
      </c>
      <c r="E799" s="6">
        <v>7.6830999999999996</v>
      </c>
      <c r="F799" s="6">
        <v>7.9985999999999997</v>
      </c>
      <c r="G799" s="6">
        <v>8.2998999999999992</v>
      </c>
      <c r="H799" s="6">
        <v>8.6004000000000005</v>
      </c>
      <c r="I799" s="6">
        <v>9.6624999999999996</v>
      </c>
      <c r="J799" s="6">
        <v>10.581799999999999</v>
      </c>
      <c r="K799" s="6">
        <v>11.384399999999999</v>
      </c>
      <c r="L799" s="6">
        <v>12.089700000000001</v>
      </c>
      <c r="M799" s="6">
        <v>13.1518</v>
      </c>
      <c r="N799" s="6">
        <v>14.5328</v>
      </c>
      <c r="O799" s="6">
        <v>15.951700000000001</v>
      </c>
      <c r="P799" s="6">
        <v>16.808299999999999</v>
      </c>
      <c r="Q799" s="6"/>
    </row>
    <row r="800" spans="1:17">
      <c r="A800" s="5">
        <v>42622</v>
      </c>
      <c r="B800" s="5" t="str">
        <f t="shared" si="12"/>
        <v>2016 q3</v>
      </c>
      <c r="C800" s="6">
        <v>7.3643999999999998</v>
      </c>
      <c r="D800" s="6">
        <v>7.4669999999999996</v>
      </c>
      <c r="E800" s="6">
        <v>7.6790000000000003</v>
      </c>
      <c r="F800" s="6">
        <v>7.9915000000000003</v>
      </c>
      <c r="G800" s="6">
        <v>8.2901000000000007</v>
      </c>
      <c r="H800" s="6">
        <v>8.5876000000000001</v>
      </c>
      <c r="I800" s="6">
        <v>9.6395</v>
      </c>
      <c r="J800" s="6">
        <v>10.5494</v>
      </c>
      <c r="K800" s="6">
        <v>11.3438</v>
      </c>
      <c r="L800" s="6">
        <v>12.0412</v>
      </c>
      <c r="M800" s="6">
        <v>13.0914</v>
      </c>
      <c r="N800" s="6">
        <v>14.4559</v>
      </c>
      <c r="O800" s="6">
        <v>15.8568</v>
      </c>
      <c r="P800" s="6">
        <v>16.701599999999999</v>
      </c>
      <c r="Q800" s="6"/>
    </row>
    <row r="801" spans="1:17">
      <c r="A801" s="5">
        <v>42626</v>
      </c>
      <c r="B801" s="5" t="str">
        <f t="shared" si="12"/>
        <v>2016 q3</v>
      </c>
      <c r="C801" s="6">
        <v>7.2502000000000004</v>
      </c>
      <c r="D801" s="6">
        <v>7.3597000000000001</v>
      </c>
      <c r="E801" s="6">
        <v>7.5857000000000001</v>
      </c>
      <c r="F801" s="6">
        <v>7.9183000000000003</v>
      </c>
      <c r="G801" s="6">
        <v>8.2353000000000005</v>
      </c>
      <c r="H801" s="6">
        <v>8.5507000000000009</v>
      </c>
      <c r="I801" s="6">
        <v>9.6509</v>
      </c>
      <c r="J801" s="6">
        <v>10.587300000000001</v>
      </c>
      <c r="K801" s="6">
        <v>11.393000000000001</v>
      </c>
      <c r="L801" s="6">
        <v>12.0915</v>
      </c>
      <c r="M801" s="6">
        <v>13.113300000000001</v>
      </c>
      <c r="N801" s="6">
        <v>14.428000000000001</v>
      </c>
      <c r="O801" s="6">
        <v>15.7196</v>
      </c>
      <c r="P801" s="6">
        <v>16.473800000000001</v>
      </c>
      <c r="Q801" s="6"/>
    </row>
    <row r="802" spans="1:17">
      <c r="A802" s="5">
        <v>42627</v>
      </c>
      <c r="B802" s="5" t="str">
        <f t="shared" si="12"/>
        <v>2016 q3</v>
      </c>
      <c r="C802" s="6">
        <v>7.3303000000000003</v>
      </c>
      <c r="D802" s="6">
        <v>7.4412000000000003</v>
      </c>
      <c r="E802" s="6">
        <v>7.6700999999999997</v>
      </c>
      <c r="F802" s="6">
        <v>8.0075000000000003</v>
      </c>
      <c r="G802" s="6">
        <v>8.3328000000000007</v>
      </c>
      <c r="H802" s="6">
        <v>8.6258999999999997</v>
      </c>
      <c r="I802" s="6">
        <v>9.7327999999999992</v>
      </c>
      <c r="J802" s="6">
        <v>10.6492</v>
      </c>
      <c r="K802" s="6">
        <v>11.4292</v>
      </c>
      <c r="L802" s="6">
        <v>12.0962</v>
      </c>
      <c r="M802" s="6">
        <v>13.052199999999999</v>
      </c>
      <c r="N802" s="6">
        <v>14.2706</v>
      </c>
      <c r="O802" s="6">
        <v>15.428000000000001</v>
      </c>
      <c r="P802" s="6">
        <v>16.0869</v>
      </c>
      <c r="Q802" s="6"/>
    </row>
    <row r="803" spans="1:17">
      <c r="A803" s="5">
        <v>42628</v>
      </c>
      <c r="B803" s="5" t="str">
        <f t="shared" si="12"/>
        <v>2016 q3</v>
      </c>
      <c r="C803" s="6">
        <v>7.3380999999999998</v>
      </c>
      <c r="D803" s="6">
        <v>7.4489999999999998</v>
      </c>
      <c r="E803" s="6">
        <v>7.6778000000000004</v>
      </c>
      <c r="F803" s="6">
        <v>8.0151000000000003</v>
      </c>
      <c r="G803" s="6">
        <v>8.3401999999999994</v>
      </c>
      <c r="H803" s="6">
        <v>8.6339000000000006</v>
      </c>
      <c r="I803" s="6">
        <v>9.7432999999999996</v>
      </c>
      <c r="J803" s="6">
        <v>10.6638</v>
      </c>
      <c r="K803" s="6">
        <v>11.4495</v>
      </c>
      <c r="L803" s="6">
        <v>12.1214</v>
      </c>
      <c r="M803" s="6">
        <v>13.089600000000001</v>
      </c>
      <c r="N803" s="6">
        <v>14.324199999999999</v>
      </c>
      <c r="O803" s="6">
        <v>15.5044</v>
      </c>
      <c r="P803" s="6">
        <v>16.1783</v>
      </c>
      <c r="Q803" s="6"/>
    </row>
    <row r="804" spans="1:17">
      <c r="A804" s="5">
        <v>42629</v>
      </c>
      <c r="B804" s="5" t="str">
        <f t="shared" si="12"/>
        <v>2016 q3</v>
      </c>
      <c r="C804" s="6">
        <v>7.2896000000000001</v>
      </c>
      <c r="D804" s="6">
        <v>7.4074</v>
      </c>
      <c r="E804" s="6">
        <v>7.6505999999999998</v>
      </c>
      <c r="F804" s="6">
        <v>8.0076999999999998</v>
      </c>
      <c r="G804" s="6">
        <v>8.3497000000000003</v>
      </c>
      <c r="H804" s="6">
        <v>8.6539000000000001</v>
      </c>
      <c r="I804" s="6">
        <v>9.7928999999999995</v>
      </c>
      <c r="J804" s="6">
        <v>10.7112</v>
      </c>
      <c r="K804" s="6">
        <v>11.4764</v>
      </c>
      <c r="L804" s="6">
        <v>12.1188</v>
      </c>
      <c r="M804" s="6">
        <v>13.003</v>
      </c>
      <c r="N804" s="6">
        <v>14.1159</v>
      </c>
      <c r="O804" s="6">
        <v>15.114000000000001</v>
      </c>
      <c r="P804" s="6">
        <v>15.6622</v>
      </c>
      <c r="Q804" s="6"/>
    </row>
    <row r="805" spans="1:17">
      <c r="A805" s="5">
        <v>42632</v>
      </c>
      <c r="B805" s="5" t="str">
        <f t="shared" si="12"/>
        <v>2016 q3</v>
      </c>
      <c r="C805" s="6">
        <v>7.6410999999999998</v>
      </c>
      <c r="D805" s="6">
        <v>7.7356999999999996</v>
      </c>
      <c r="E805" s="6">
        <v>7.931</v>
      </c>
      <c r="F805" s="6">
        <v>8.2196999999999996</v>
      </c>
      <c r="G805" s="6">
        <v>8.5002999999999993</v>
      </c>
      <c r="H805" s="6">
        <v>8.7597000000000005</v>
      </c>
      <c r="I805" s="6">
        <v>9.75</v>
      </c>
      <c r="J805" s="6">
        <v>10.6212</v>
      </c>
      <c r="K805" s="6">
        <v>11.385400000000001</v>
      </c>
      <c r="L805" s="6">
        <v>12.014099999999999</v>
      </c>
      <c r="M805" s="6">
        <v>13.0282</v>
      </c>
      <c r="N805" s="6">
        <v>14.3468</v>
      </c>
      <c r="O805" s="6">
        <v>15.734</v>
      </c>
      <c r="P805" s="6">
        <v>16.581099999999999</v>
      </c>
      <c r="Q805" s="6"/>
    </row>
    <row r="806" spans="1:17">
      <c r="A806" s="5">
        <v>42633</v>
      </c>
      <c r="B806" s="5" t="str">
        <f t="shared" si="12"/>
        <v>2016 q3</v>
      </c>
      <c r="C806" s="6">
        <v>7.8109999999999999</v>
      </c>
      <c r="D806" s="6">
        <v>7.8993000000000002</v>
      </c>
      <c r="E806" s="6">
        <v>8.0815999999999999</v>
      </c>
      <c r="F806" s="6">
        <v>8.3551000000000002</v>
      </c>
      <c r="G806" s="6">
        <v>8.6170000000000009</v>
      </c>
      <c r="H806" s="6">
        <v>8.8619000000000003</v>
      </c>
      <c r="I806" s="6">
        <v>9.7979000000000003</v>
      </c>
      <c r="J806" s="6">
        <v>10.608000000000001</v>
      </c>
      <c r="K806" s="6">
        <v>11.3279</v>
      </c>
      <c r="L806" s="6">
        <v>11.9588</v>
      </c>
      <c r="M806" s="6">
        <v>12.942600000000001</v>
      </c>
      <c r="N806" s="6">
        <v>14.224600000000001</v>
      </c>
      <c r="O806" s="6">
        <v>15.5968</v>
      </c>
      <c r="P806" s="6">
        <v>16.444199999999999</v>
      </c>
      <c r="Q806" s="6"/>
    </row>
    <row r="807" spans="1:17">
      <c r="A807" s="5">
        <v>42635</v>
      </c>
      <c r="B807" s="5" t="str">
        <f t="shared" si="12"/>
        <v>2016 q3</v>
      </c>
      <c r="C807" s="6">
        <v>8.0283999999999995</v>
      </c>
      <c r="D807" s="6">
        <v>8.0944000000000003</v>
      </c>
      <c r="E807" s="6">
        <v>8.2307000000000006</v>
      </c>
      <c r="F807" s="6">
        <v>8.4352</v>
      </c>
      <c r="G807" s="6">
        <v>8.6350999999999996</v>
      </c>
      <c r="H807" s="6">
        <v>8.8284000000000002</v>
      </c>
      <c r="I807" s="6">
        <v>9.5832999999999995</v>
      </c>
      <c r="J807" s="6">
        <v>10.2835</v>
      </c>
      <c r="K807" s="6">
        <v>10.9428</v>
      </c>
      <c r="L807" s="6">
        <v>11.567299999999999</v>
      </c>
      <c r="M807" s="6">
        <v>12.7089</v>
      </c>
      <c r="N807" s="6">
        <v>14.1061</v>
      </c>
      <c r="O807" s="6">
        <v>16.0412</v>
      </c>
      <c r="P807" s="6">
        <v>17.487500000000001</v>
      </c>
      <c r="Q807" s="6"/>
    </row>
    <row r="808" spans="1:17">
      <c r="A808" s="5">
        <v>42636</v>
      </c>
      <c r="B808" s="5" t="str">
        <f t="shared" si="12"/>
        <v>2016 q3</v>
      </c>
      <c r="C808" s="6">
        <v>7.9215999999999998</v>
      </c>
      <c r="D808" s="6">
        <v>7.992</v>
      </c>
      <c r="E808" s="6">
        <v>8.1372</v>
      </c>
      <c r="F808" s="6">
        <v>8.3551000000000002</v>
      </c>
      <c r="G808" s="6">
        <v>8.5669000000000004</v>
      </c>
      <c r="H808" s="6">
        <v>8.7705000000000002</v>
      </c>
      <c r="I808" s="6">
        <v>9.5610999999999997</v>
      </c>
      <c r="J808" s="6">
        <v>10.2828</v>
      </c>
      <c r="K808" s="6">
        <v>10.953900000000001</v>
      </c>
      <c r="L808" s="6">
        <v>11.566599999999999</v>
      </c>
      <c r="M808" s="6">
        <v>12.616099999999999</v>
      </c>
      <c r="N808" s="6">
        <v>14.037599999999999</v>
      </c>
      <c r="O808" s="6">
        <v>15.8127</v>
      </c>
      <c r="P808" s="6">
        <v>17.0732</v>
      </c>
      <c r="Q808" s="6"/>
    </row>
    <row r="809" spans="1:17">
      <c r="A809" s="5">
        <v>42637</v>
      </c>
      <c r="B809" s="5" t="str">
        <f t="shared" si="12"/>
        <v>2016 q3</v>
      </c>
      <c r="C809" s="6">
        <v>7.9843999999999999</v>
      </c>
      <c r="D809" s="6">
        <v>8.0479000000000003</v>
      </c>
      <c r="E809" s="6">
        <v>8.1789000000000005</v>
      </c>
      <c r="F809" s="6">
        <v>8.3752999999999993</v>
      </c>
      <c r="G809" s="6">
        <v>8.5672999999999995</v>
      </c>
      <c r="H809" s="6">
        <v>8.7530999999999999</v>
      </c>
      <c r="I809" s="6">
        <v>9.4778000000000002</v>
      </c>
      <c r="J809" s="6">
        <v>10.157299999999999</v>
      </c>
      <c r="K809" s="6">
        <v>10.794600000000001</v>
      </c>
      <c r="L809" s="6">
        <v>11.377599999999999</v>
      </c>
      <c r="M809" s="6">
        <v>12.468400000000001</v>
      </c>
      <c r="N809" s="6">
        <v>13.7973</v>
      </c>
      <c r="O809" s="6">
        <v>15.634</v>
      </c>
      <c r="P809" s="6">
        <v>16.999500000000001</v>
      </c>
      <c r="Q809" s="6"/>
    </row>
    <row r="810" spans="1:17">
      <c r="A810" s="5">
        <v>42639</v>
      </c>
      <c r="B810" s="5" t="str">
        <f t="shared" si="12"/>
        <v>2016 q3</v>
      </c>
      <c r="C810" s="6">
        <v>7.9923000000000002</v>
      </c>
      <c r="D810" s="6">
        <v>8.0548000000000002</v>
      </c>
      <c r="E810" s="6">
        <v>8.1839999999999993</v>
      </c>
      <c r="F810" s="6">
        <v>8.3775999999999993</v>
      </c>
      <c r="G810" s="6">
        <v>8.5669000000000004</v>
      </c>
      <c r="H810" s="6">
        <v>8.7501999999999995</v>
      </c>
      <c r="I810" s="6">
        <v>9.4656000000000002</v>
      </c>
      <c r="J810" s="6">
        <v>10.137</v>
      </c>
      <c r="K810" s="6">
        <v>10.7658</v>
      </c>
      <c r="L810" s="6">
        <v>11.344799999999999</v>
      </c>
      <c r="M810" s="6">
        <v>12.4267</v>
      </c>
      <c r="N810" s="6">
        <v>13.7483</v>
      </c>
      <c r="O810" s="6">
        <v>15.5809</v>
      </c>
      <c r="P810" s="6">
        <v>16.948699999999999</v>
      </c>
      <c r="Q810" s="6"/>
    </row>
    <row r="811" spans="1:17">
      <c r="A811" s="5">
        <v>42640</v>
      </c>
      <c r="B811" s="5" t="str">
        <f t="shared" si="12"/>
        <v>2016 q3</v>
      </c>
      <c r="C811" s="6">
        <v>7.9672000000000001</v>
      </c>
      <c r="D811" s="6">
        <v>8.0299999999999994</v>
      </c>
      <c r="E811" s="6">
        <v>8.1598000000000006</v>
      </c>
      <c r="F811" s="6">
        <v>8.3543000000000003</v>
      </c>
      <c r="G811" s="6">
        <v>8.5444999999999993</v>
      </c>
      <c r="H811" s="6">
        <v>8.7291000000000007</v>
      </c>
      <c r="I811" s="6">
        <v>9.4499999999999993</v>
      </c>
      <c r="J811" s="6">
        <v>10.1219</v>
      </c>
      <c r="K811" s="6">
        <v>10.759499999999999</v>
      </c>
      <c r="L811" s="6">
        <v>11.3414</v>
      </c>
      <c r="M811" s="6">
        <v>12.3825</v>
      </c>
      <c r="N811" s="6">
        <v>13.816000000000001</v>
      </c>
      <c r="O811" s="6">
        <v>15.7143</v>
      </c>
      <c r="P811" s="6">
        <v>17.145900000000001</v>
      </c>
      <c r="Q811" s="6"/>
    </row>
    <row r="812" spans="1:17">
      <c r="A812" s="5">
        <v>42641</v>
      </c>
      <c r="B812" s="5" t="str">
        <f t="shared" si="12"/>
        <v>2016 q3</v>
      </c>
      <c r="C812" s="6">
        <v>8.0137999999999998</v>
      </c>
      <c r="D812" s="6">
        <v>8.0747999999999998</v>
      </c>
      <c r="E812" s="6">
        <v>8.2009000000000007</v>
      </c>
      <c r="F812" s="6">
        <v>8.3899000000000008</v>
      </c>
      <c r="G812" s="6">
        <v>8.5737000000000005</v>
      </c>
      <c r="H812" s="6">
        <v>8.7510999999999992</v>
      </c>
      <c r="I812" s="6">
        <v>9.4403000000000006</v>
      </c>
      <c r="J812" s="6">
        <v>10.0806</v>
      </c>
      <c r="K812" s="6">
        <v>10.676</v>
      </c>
      <c r="L812" s="6">
        <v>11.213699999999999</v>
      </c>
      <c r="M812" s="6">
        <v>12.212300000000001</v>
      </c>
      <c r="N812" s="6">
        <v>13.395899999999999</v>
      </c>
      <c r="O812" s="6">
        <v>14.995900000000001</v>
      </c>
      <c r="P812" s="6">
        <v>16.144600000000001</v>
      </c>
      <c r="Q812" s="6"/>
    </row>
    <row r="813" spans="1:17">
      <c r="A813" s="5">
        <v>42642</v>
      </c>
      <c r="B813" s="5" t="str">
        <f t="shared" si="12"/>
        <v>2016 q3</v>
      </c>
      <c r="C813" s="6">
        <v>8.1548999999999996</v>
      </c>
      <c r="D813" s="6">
        <v>8.2089999999999996</v>
      </c>
      <c r="E813" s="6">
        <v>8.3208000000000002</v>
      </c>
      <c r="F813" s="6">
        <v>8.4882000000000009</v>
      </c>
      <c r="G813" s="6">
        <v>8.6524000000000001</v>
      </c>
      <c r="H813" s="6">
        <v>8.8125</v>
      </c>
      <c r="I813" s="6">
        <v>9.4391999999999996</v>
      </c>
      <c r="J813" s="6">
        <v>10.0334</v>
      </c>
      <c r="K813" s="6">
        <v>10.597</v>
      </c>
      <c r="L813" s="6">
        <v>11.1096</v>
      </c>
      <c r="M813" s="6">
        <v>12.0509</v>
      </c>
      <c r="N813" s="6">
        <v>13.357799999999999</v>
      </c>
      <c r="O813" s="6">
        <v>15.136799999999999</v>
      </c>
      <c r="P813" s="6">
        <v>16.519300000000001</v>
      </c>
      <c r="Q813" s="6"/>
    </row>
    <row r="814" spans="1:17">
      <c r="A814" s="5">
        <v>42643</v>
      </c>
      <c r="B814" s="5" t="str">
        <f t="shared" si="12"/>
        <v>2016 q3</v>
      </c>
      <c r="C814" s="6">
        <v>8.0213999999999999</v>
      </c>
      <c r="D814" s="6">
        <v>8.0746000000000002</v>
      </c>
      <c r="E814" s="6">
        <v>8.1845999999999997</v>
      </c>
      <c r="F814" s="6">
        <v>8.3492999999999995</v>
      </c>
      <c r="G814" s="6">
        <v>8.5108999999999995</v>
      </c>
      <c r="H814" s="6">
        <v>8.6686999999999994</v>
      </c>
      <c r="I814" s="6">
        <v>9.2871000000000006</v>
      </c>
      <c r="J814" s="6">
        <v>9.8687000000000005</v>
      </c>
      <c r="K814" s="6">
        <v>10.4239</v>
      </c>
      <c r="L814" s="6">
        <v>10.9437</v>
      </c>
      <c r="M814" s="6">
        <v>11.884600000000001</v>
      </c>
      <c r="N814" s="6">
        <v>13.1944</v>
      </c>
      <c r="O814" s="6">
        <v>14.994</v>
      </c>
      <c r="P814" s="6">
        <v>16.406500000000001</v>
      </c>
      <c r="Q814" s="6"/>
    </row>
    <row r="815" spans="1:17">
      <c r="A815" s="5">
        <v>42646</v>
      </c>
      <c r="B815" s="5" t="str">
        <f t="shared" si="12"/>
        <v>2016 q4</v>
      </c>
      <c r="C815" s="6">
        <v>7.71</v>
      </c>
      <c r="D815" s="6">
        <v>7.7713999999999999</v>
      </c>
      <c r="E815" s="6">
        <v>7.8971</v>
      </c>
      <c r="F815" s="6">
        <v>8.0843000000000007</v>
      </c>
      <c r="G815" s="6">
        <v>8.2669999999999995</v>
      </c>
      <c r="H815" s="6">
        <v>8.4440000000000008</v>
      </c>
      <c r="I815" s="6">
        <v>9.1331000000000007</v>
      </c>
      <c r="J815" s="6">
        <v>9.7774999999999999</v>
      </c>
      <c r="K815" s="6">
        <v>10.380599999999999</v>
      </c>
      <c r="L815" s="6">
        <v>10.9298</v>
      </c>
      <c r="M815" s="6">
        <v>11.9573</v>
      </c>
      <c r="N815" s="6">
        <v>13.197100000000001</v>
      </c>
      <c r="O815" s="6">
        <v>14.9039</v>
      </c>
      <c r="P815" s="6">
        <v>16.159099999999999</v>
      </c>
      <c r="Q815" s="6"/>
    </row>
    <row r="816" spans="1:17">
      <c r="A816" s="5">
        <v>42647</v>
      </c>
      <c r="B816" s="5" t="str">
        <f t="shared" si="12"/>
        <v>2016 q4</v>
      </c>
      <c r="C816" s="6">
        <v>7.7798999999999996</v>
      </c>
      <c r="D816" s="6">
        <v>7.8375000000000004</v>
      </c>
      <c r="E816" s="6">
        <v>7.9565000000000001</v>
      </c>
      <c r="F816" s="6">
        <v>8.1342999999999996</v>
      </c>
      <c r="G816" s="6">
        <v>8.3082999999999991</v>
      </c>
      <c r="H816" s="6">
        <v>8.4822000000000006</v>
      </c>
      <c r="I816" s="6">
        <v>9.1430000000000007</v>
      </c>
      <c r="J816" s="6">
        <v>9.7640999999999991</v>
      </c>
      <c r="K816" s="6">
        <v>10.355</v>
      </c>
      <c r="L816" s="6">
        <v>10.904</v>
      </c>
      <c r="M816" s="6">
        <v>11.8904</v>
      </c>
      <c r="N816" s="6">
        <v>13.254300000000001</v>
      </c>
      <c r="O816" s="6">
        <v>15.0975</v>
      </c>
      <c r="P816" s="6">
        <v>16.514900000000001</v>
      </c>
      <c r="Q816" s="6"/>
    </row>
    <row r="817" spans="1:17">
      <c r="A817" s="5">
        <v>42648</v>
      </c>
      <c r="B817" s="5" t="str">
        <f t="shared" si="12"/>
        <v>2016 q4</v>
      </c>
      <c r="C817" s="6">
        <v>7.7521000000000004</v>
      </c>
      <c r="D817" s="6">
        <v>7.8124000000000002</v>
      </c>
      <c r="E817" s="6">
        <v>7.9368999999999996</v>
      </c>
      <c r="F817" s="6">
        <v>8.1227999999999998</v>
      </c>
      <c r="G817" s="6">
        <v>8.3041999999999998</v>
      </c>
      <c r="H817" s="6">
        <v>8.4855</v>
      </c>
      <c r="I817" s="6">
        <v>9.1700999999999997</v>
      </c>
      <c r="J817" s="6">
        <v>9.8101000000000003</v>
      </c>
      <c r="K817" s="6">
        <v>10.4176</v>
      </c>
      <c r="L817" s="6">
        <v>10.9681</v>
      </c>
      <c r="M817" s="6">
        <v>11.954000000000001</v>
      </c>
      <c r="N817" s="6">
        <v>13.3056</v>
      </c>
      <c r="O817" s="6">
        <v>15.0869</v>
      </c>
      <c r="P817" s="6">
        <v>16.418199999999999</v>
      </c>
      <c r="Q817" s="6"/>
    </row>
    <row r="818" spans="1:17">
      <c r="A818" s="5">
        <v>42649</v>
      </c>
      <c r="B818" s="5" t="str">
        <f t="shared" si="12"/>
        <v>2016 q4</v>
      </c>
      <c r="C818" s="6">
        <v>7.7942999999999998</v>
      </c>
      <c r="D818" s="6">
        <v>7.8502999999999998</v>
      </c>
      <c r="E818" s="6">
        <v>7.9660000000000002</v>
      </c>
      <c r="F818" s="6">
        <v>8.1387999999999998</v>
      </c>
      <c r="G818" s="6">
        <v>8.3081999999999994</v>
      </c>
      <c r="H818" s="6">
        <v>8.4773999999999994</v>
      </c>
      <c r="I818" s="6">
        <v>9.1228999999999996</v>
      </c>
      <c r="J818" s="6">
        <v>9.7387999999999995</v>
      </c>
      <c r="K818" s="6">
        <v>10.3238</v>
      </c>
      <c r="L818" s="6">
        <v>10.856199999999999</v>
      </c>
      <c r="M818" s="6">
        <v>11.838800000000001</v>
      </c>
      <c r="N818" s="6">
        <v>13.203099999999999</v>
      </c>
      <c r="O818" s="6">
        <v>15.0732</v>
      </c>
      <c r="P818" s="6">
        <v>16.5336</v>
      </c>
      <c r="Q818" s="6"/>
    </row>
    <row r="819" spans="1:17">
      <c r="A819" s="5">
        <v>42650</v>
      </c>
      <c r="B819" s="5" t="str">
        <f t="shared" si="12"/>
        <v>2016 q4</v>
      </c>
      <c r="C819" s="6">
        <v>7.9288999999999996</v>
      </c>
      <c r="D819" s="6">
        <v>7.9724000000000004</v>
      </c>
      <c r="E819" s="6">
        <v>8.0620999999999992</v>
      </c>
      <c r="F819" s="6">
        <v>8.1966000000000001</v>
      </c>
      <c r="G819" s="6">
        <v>8.3301999999999996</v>
      </c>
      <c r="H819" s="6">
        <v>8.4636999999999993</v>
      </c>
      <c r="I819" s="6">
        <v>8.9888999999999992</v>
      </c>
      <c r="J819" s="6">
        <v>9.5035000000000007</v>
      </c>
      <c r="K819" s="6">
        <v>10.0099</v>
      </c>
      <c r="L819" s="6">
        <v>10.507099999999999</v>
      </c>
      <c r="M819" s="6">
        <v>11.4777</v>
      </c>
      <c r="N819" s="6">
        <v>12.8409</v>
      </c>
      <c r="O819" s="6">
        <v>14.989699999999999</v>
      </c>
      <c r="P819" s="6">
        <v>16.9377</v>
      </c>
      <c r="Q819" s="6"/>
    </row>
    <row r="820" spans="1:17">
      <c r="A820" s="5">
        <v>42653</v>
      </c>
      <c r="B820" s="5" t="str">
        <f t="shared" si="12"/>
        <v>2016 q4</v>
      </c>
      <c r="C820" s="6">
        <v>7.9306999999999999</v>
      </c>
      <c r="D820" s="6">
        <v>7.9737999999999998</v>
      </c>
      <c r="E820" s="6">
        <v>8.0629000000000008</v>
      </c>
      <c r="F820" s="6">
        <v>8.1963000000000008</v>
      </c>
      <c r="G820" s="6">
        <v>8.3287999999999993</v>
      </c>
      <c r="H820" s="6">
        <v>8.4612999999999996</v>
      </c>
      <c r="I820" s="6">
        <v>8.9825999999999997</v>
      </c>
      <c r="J820" s="6">
        <v>9.4932999999999996</v>
      </c>
      <c r="K820" s="6">
        <v>9.9961000000000002</v>
      </c>
      <c r="L820" s="6">
        <v>10.489599999999999</v>
      </c>
      <c r="M820" s="6">
        <v>11.4535</v>
      </c>
      <c r="N820" s="6">
        <v>12.8078</v>
      </c>
      <c r="O820" s="6">
        <v>14.9438</v>
      </c>
      <c r="P820" s="6">
        <v>16.881599999999999</v>
      </c>
      <c r="Q820" s="6"/>
    </row>
    <row r="821" spans="1:17">
      <c r="A821" s="5">
        <v>42654</v>
      </c>
      <c r="B821" s="5" t="str">
        <f t="shared" si="12"/>
        <v>2016 q4</v>
      </c>
      <c r="C821" s="6">
        <v>7.8823999999999996</v>
      </c>
      <c r="D821" s="6">
        <v>7.9264999999999999</v>
      </c>
      <c r="E821" s="6">
        <v>8.0175000000000001</v>
      </c>
      <c r="F821" s="6">
        <v>8.1539999999999999</v>
      </c>
      <c r="G821" s="6">
        <v>8.2896999999999998</v>
      </c>
      <c r="H821" s="6">
        <v>8.4239999999999995</v>
      </c>
      <c r="I821" s="6">
        <v>8.9572000000000003</v>
      </c>
      <c r="J821" s="6">
        <v>9.4791000000000007</v>
      </c>
      <c r="K821" s="6">
        <v>9.9932999999999996</v>
      </c>
      <c r="L821" s="6">
        <v>10.4954</v>
      </c>
      <c r="M821" s="6">
        <v>11.4785</v>
      </c>
      <c r="N821" s="6">
        <v>12.8575</v>
      </c>
      <c r="O821" s="6">
        <v>15.0305</v>
      </c>
      <c r="P821" s="6">
        <v>16.997499999999999</v>
      </c>
      <c r="Q821" s="6"/>
    </row>
    <row r="822" spans="1:17">
      <c r="A822" s="5">
        <v>42655</v>
      </c>
      <c r="B822" s="5" t="str">
        <f t="shared" si="12"/>
        <v>2016 q4</v>
      </c>
      <c r="C822" s="6">
        <v>7.7980999999999998</v>
      </c>
      <c r="D822" s="6">
        <v>7.8486000000000002</v>
      </c>
      <c r="E822" s="6">
        <v>7.9531000000000001</v>
      </c>
      <c r="F822" s="6">
        <v>8.1092999999999993</v>
      </c>
      <c r="G822" s="6">
        <v>8.2638999999999996</v>
      </c>
      <c r="H822" s="6">
        <v>8.4151000000000007</v>
      </c>
      <c r="I822" s="6">
        <v>9.0100999999999996</v>
      </c>
      <c r="J822" s="6">
        <v>9.5779999999999994</v>
      </c>
      <c r="K822" s="6">
        <v>10.1272</v>
      </c>
      <c r="L822" s="6">
        <v>10.6463</v>
      </c>
      <c r="M822" s="6">
        <v>11.6113</v>
      </c>
      <c r="N822" s="6">
        <v>12.9702</v>
      </c>
      <c r="O822" s="6">
        <v>14.917</v>
      </c>
      <c r="P822" s="6">
        <v>16.507300000000001</v>
      </c>
      <c r="Q822" s="6"/>
    </row>
    <row r="823" spans="1:17">
      <c r="A823" s="5">
        <v>42656</v>
      </c>
      <c r="B823" s="5" t="str">
        <f t="shared" si="12"/>
        <v>2016 q4</v>
      </c>
      <c r="C823" s="6">
        <v>7.8250999999999999</v>
      </c>
      <c r="D823" s="6">
        <v>7.8723000000000001</v>
      </c>
      <c r="E823" s="6">
        <v>7.9695999999999998</v>
      </c>
      <c r="F823" s="6">
        <v>8.1152999999999995</v>
      </c>
      <c r="G823" s="6">
        <v>8.2599</v>
      </c>
      <c r="H823" s="6">
        <v>8.4023000000000003</v>
      </c>
      <c r="I823" s="6">
        <v>8.9657999999999998</v>
      </c>
      <c r="J823" s="6">
        <v>9.5112000000000005</v>
      </c>
      <c r="K823" s="6">
        <v>10.0442</v>
      </c>
      <c r="L823" s="6">
        <v>10.5563</v>
      </c>
      <c r="M823" s="6">
        <v>11.530099999999999</v>
      </c>
      <c r="N823" s="6">
        <v>12.9255</v>
      </c>
      <c r="O823" s="6">
        <v>15.018000000000001</v>
      </c>
      <c r="P823" s="6">
        <v>16.828299999999999</v>
      </c>
      <c r="Q823" s="6"/>
    </row>
    <row r="824" spans="1:17">
      <c r="A824" s="5">
        <v>42657</v>
      </c>
      <c r="B824" s="5" t="str">
        <f t="shared" si="12"/>
        <v>2016 q4</v>
      </c>
      <c r="C824" s="6">
        <v>7.8308</v>
      </c>
      <c r="D824" s="6">
        <v>7.8765000000000001</v>
      </c>
      <c r="E824" s="6">
        <v>7.9710000000000001</v>
      </c>
      <c r="F824" s="6">
        <v>8.1125000000000007</v>
      </c>
      <c r="G824" s="6">
        <v>8.2531999999999996</v>
      </c>
      <c r="H824" s="6">
        <v>8.3925000000000001</v>
      </c>
      <c r="I824" s="6">
        <v>8.9451000000000001</v>
      </c>
      <c r="J824" s="6">
        <v>9.4849999999999994</v>
      </c>
      <c r="K824" s="6">
        <v>10.0162</v>
      </c>
      <c r="L824" s="6">
        <v>10.532400000000001</v>
      </c>
      <c r="M824" s="6">
        <v>11.528499999999999</v>
      </c>
      <c r="N824" s="6">
        <v>12.9741</v>
      </c>
      <c r="O824" s="6">
        <v>15.2096</v>
      </c>
      <c r="P824" s="6">
        <v>17.225300000000001</v>
      </c>
      <c r="Q824" s="6"/>
    </row>
    <row r="825" spans="1:17">
      <c r="A825" s="5">
        <v>42660</v>
      </c>
      <c r="B825" s="5" t="str">
        <f t="shared" si="12"/>
        <v>2016 q4</v>
      </c>
      <c r="C825" s="6">
        <v>7.452</v>
      </c>
      <c r="D825" s="6">
        <v>7.5103999999999997</v>
      </c>
      <c r="E825" s="6">
        <v>7.6310000000000002</v>
      </c>
      <c r="F825" s="6">
        <v>7.8113999999999999</v>
      </c>
      <c r="G825" s="6">
        <v>7.9894999999999996</v>
      </c>
      <c r="H825" s="6">
        <v>8.1624999999999996</v>
      </c>
      <c r="I825" s="6">
        <v>8.8389000000000006</v>
      </c>
      <c r="J825" s="6">
        <v>9.4733000000000001</v>
      </c>
      <c r="K825" s="6">
        <v>10.079700000000001</v>
      </c>
      <c r="L825" s="6">
        <v>10.6417</v>
      </c>
      <c r="M825" s="6">
        <v>11.661300000000001</v>
      </c>
      <c r="N825" s="6">
        <v>13.0715</v>
      </c>
      <c r="O825" s="6">
        <v>14.998799999999999</v>
      </c>
      <c r="P825" s="6">
        <v>16.492599999999999</v>
      </c>
      <c r="Q825" s="6"/>
    </row>
    <row r="826" spans="1:17">
      <c r="A826" s="5">
        <v>42661</v>
      </c>
      <c r="B826" s="5" t="str">
        <f t="shared" si="12"/>
        <v>2016 q4</v>
      </c>
      <c r="C826" s="6">
        <v>7.3079000000000001</v>
      </c>
      <c r="D826" s="6">
        <v>7.3647999999999998</v>
      </c>
      <c r="E826" s="6">
        <v>7.4823000000000004</v>
      </c>
      <c r="F826" s="6">
        <v>7.6585999999999999</v>
      </c>
      <c r="G826" s="6">
        <v>7.8320999999999996</v>
      </c>
      <c r="H826" s="6">
        <v>8.0010999999999992</v>
      </c>
      <c r="I826" s="6">
        <v>8.6620000000000008</v>
      </c>
      <c r="J826" s="6">
        <v>9.2827999999999999</v>
      </c>
      <c r="K826" s="6">
        <v>9.8771000000000004</v>
      </c>
      <c r="L826" s="6">
        <v>10.4404</v>
      </c>
      <c r="M826" s="6">
        <v>11.496</v>
      </c>
      <c r="N826" s="6">
        <v>12.8215</v>
      </c>
      <c r="O826" s="6">
        <v>14.731199999999999</v>
      </c>
      <c r="P826" s="6">
        <v>16.218900000000001</v>
      </c>
      <c r="Q826" s="6"/>
    </row>
    <row r="827" spans="1:17">
      <c r="A827" s="5">
        <v>42662</v>
      </c>
      <c r="B827" s="5" t="str">
        <f t="shared" si="12"/>
        <v>2016 q4</v>
      </c>
      <c r="C827" s="6">
        <v>7.2751999999999999</v>
      </c>
      <c r="D827" s="6">
        <v>7.3373999999999997</v>
      </c>
      <c r="E827" s="6">
        <v>7.4660000000000002</v>
      </c>
      <c r="F827" s="6">
        <v>7.6589</v>
      </c>
      <c r="G827" s="6">
        <v>7.8472999999999997</v>
      </c>
      <c r="H827" s="6">
        <v>8.0290999999999997</v>
      </c>
      <c r="I827" s="6">
        <v>8.7339000000000002</v>
      </c>
      <c r="J827" s="6">
        <v>9.3797999999999995</v>
      </c>
      <c r="K827" s="6">
        <v>9.9878</v>
      </c>
      <c r="L827" s="6">
        <v>10.5526</v>
      </c>
      <c r="M827" s="6">
        <v>11.5846</v>
      </c>
      <c r="N827" s="6">
        <v>12.8012</v>
      </c>
      <c r="O827" s="6">
        <v>14.4651</v>
      </c>
      <c r="P827" s="6">
        <v>15.658899999999999</v>
      </c>
      <c r="Q827" s="6"/>
    </row>
    <row r="828" spans="1:17">
      <c r="A828" s="5">
        <v>42663</v>
      </c>
      <c r="B828" s="5" t="str">
        <f t="shared" si="12"/>
        <v>2016 q4</v>
      </c>
      <c r="C828" s="6">
        <v>7.0326000000000004</v>
      </c>
      <c r="D828" s="6">
        <v>7.1151999999999997</v>
      </c>
      <c r="E828" s="6">
        <v>7.2858999999999998</v>
      </c>
      <c r="F828" s="6">
        <v>7.5416999999999996</v>
      </c>
      <c r="G828" s="6">
        <v>7.7869999999999999</v>
      </c>
      <c r="H828" s="6">
        <v>8.0173000000000005</v>
      </c>
      <c r="I828" s="6">
        <v>8.8887999999999998</v>
      </c>
      <c r="J828" s="6">
        <v>9.6366999999999994</v>
      </c>
      <c r="K828" s="6">
        <v>10.308400000000001</v>
      </c>
      <c r="L828" s="6">
        <v>10.8764</v>
      </c>
      <c r="M828" s="6">
        <v>11.781000000000001</v>
      </c>
      <c r="N828" s="6">
        <v>12.9384</v>
      </c>
      <c r="O828" s="6">
        <v>14.1746</v>
      </c>
      <c r="P828" s="6">
        <v>14.9194</v>
      </c>
      <c r="Q828" s="6"/>
    </row>
    <row r="829" spans="1:17">
      <c r="A829" s="5">
        <v>42664</v>
      </c>
      <c r="B829" s="5" t="str">
        <f t="shared" si="12"/>
        <v>2016 q4</v>
      </c>
      <c r="C829" s="6">
        <v>6.9614000000000003</v>
      </c>
      <c r="D829" s="6">
        <v>7.0521000000000003</v>
      </c>
      <c r="E829" s="6">
        <v>7.2393000000000001</v>
      </c>
      <c r="F829" s="6">
        <v>7.5198999999999998</v>
      </c>
      <c r="G829" s="6">
        <v>7.7869999999999999</v>
      </c>
      <c r="H829" s="6">
        <v>8.0353999999999992</v>
      </c>
      <c r="I829" s="6">
        <v>8.9672000000000001</v>
      </c>
      <c r="J829" s="6">
        <v>9.7728000000000002</v>
      </c>
      <c r="K829" s="6">
        <v>10.4656</v>
      </c>
      <c r="L829" s="6">
        <v>11.0098</v>
      </c>
      <c r="M829" s="6">
        <v>11.889699999999999</v>
      </c>
      <c r="N829" s="6">
        <v>12.9985</v>
      </c>
      <c r="O829" s="6">
        <v>14.1172</v>
      </c>
      <c r="P829" s="6">
        <v>14.760899999999999</v>
      </c>
      <c r="Q829" s="6"/>
    </row>
    <row r="830" spans="1:17">
      <c r="A830" s="5">
        <v>42667</v>
      </c>
      <c r="B830" s="5" t="str">
        <f t="shared" si="12"/>
        <v>2016 q4</v>
      </c>
      <c r="C830" s="6">
        <v>6.9476000000000004</v>
      </c>
      <c r="D830" s="6">
        <v>7.0354000000000001</v>
      </c>
      <c r="E830" s="6">
        <v>7.2168000000000001</v>
      </c>
      <c r="F830" s="6">
        <v>7.4885000000000002</v>
      </c>
      <c r="G830" s="6">
        <v>7.7477</v>
      </c>
      <c r="H830" s="6">
        <v>7.9898999999999996</v>
      </c>
      <c r="I830" s="6">
        <v>8.9014000000000006</v>
      </c>
      <c r="J830" s="6">
        <v>9.6723999999999997</v>
      </c>
      <c r="K830" s="6">
        <v>10.358499999999999</v>
      </c>
      <c r="L830" s="6">
        <v>10.930199999999999</v>
      </c>
      <c r="M830" s="6">
        <v>11.8238</v>
      </c>
      <c r="N830" s="6">
        <v>12.9557</v>
      </c>
      <c r="O830" s="6">
        <v>14.124000000000001</v>
      </c>
      <c r="P830" s="6">
        <v>14.807399999999999</v>
      </c>
      <c r="Q830" s="6"/>
    </row>
    <row r="831" spans="1:17">
      <c r="A831" s="5">
        <v>42668</v>
      </c>
      <c r="B831" s="5" t="str">
        <f t="shared" si="12"/>
        <v>2016 q4</v>
      </c>
      <c r="C831" s="6">
        <v>6.9175000000000004</v>
      </c>
      <c r="D831" s="6">
        <v>7.0114000000000001</v>
      </c>
      <c r="E831" s="6">
        <v>7.2053000000000003</v>
      </c>
      <c r="F831" s="6">
        <v>7.4950000000000001</v>
      </c>
      <c r="G831" s="6">
        <v>7.7662000000000004</v>
      </c>
      <c r="H831" s="6">
        <v>8.0181000000000004</v>
      </c>
      <c r="I831" s="6">
        <v>8.9581</v>
      </c>
      <c r="J831" s="6">
        <v>9.7373999999999992</v>
      </c>
      <c r="K831" s="6">
        <v>10.4224</v>
      </c>
      <c r="L831" s="6">
        <v>10.9816</v>
      </c>
      <c r="M831" s="6">
        <v>11.834</v>
      </c>
      <c r="N831" s="6">
        <v>12.899699999999999</v>
      </c>
      <c r="O831" s="6">
        <v>13.9511</v>
      </c>
      <c r="P831" s="6">
        <v>14.5441</v>
      </c>
      <c r="Q831" s="6"/>
    </row>
    <row r="832" spans="1:17">
      <c r="A832" s="5">
        <v>42669</v>
      </c>
      <c r="B832" s="5" t="str">
        <f t="shared" si="12"/>
        <v>2016 q4</v>
      </c>
      <c r="C832" s="6">
        <v>6.9093</v>
      </c>
      <c r="D832" s="6">
        <v>7.0026000000000002</v>
      </c>
      <c r="E832" s="6">
        <v>7.1952999999999996</v>
      </c>
      <c r="F832" s="6">
        <v>7.4832000000000001</v>
      </c>
      <c r="G832" s="6">
        <v>7.7553999999999998</v>
      </c>
      <c r="H832" s="6">
        <v>8.0082000000000004</v>
      </c>
      <c r="I832" s="6">
        <v>8.9490999999999996</v>
      </c>
      <c r="J832" s="6">
        <v>9.7253000000000007</v>
      </c>
      <c r="K832" s="6">
        <v>10.405799999999999</v>
      </c>
      <c r="L832" s="6">
        <v>10.958299999999999</v>
      </c>
      <c r="M832" s="6">
        <v>11.795999999999999</v>
      </c>
      <c r="N832" s="6">
        <v>12.8401</v>
      </c>
      <c r="O832" s="6">
        <v>13.8596</v>
      </c>
      <c r="P832" s="6">
        <v>14.430099999999999</v>
      </c>
      <c r="Q832" s="6"/>
    </row>
    <row r="833" spans="1:17">
      <c r="A833" s="5">
        <v>42670</v>
      </c>
      <c r="B833" s="5" t="str">
        <f t="shared" si="12"/>
        <v>2016 q4</v>
      </c>
      <c r="C833" s="6">
        <v>6.8804999999999996</v>
      </c>
      <c r="D833" s="6">
        <v>6.9837999999999996</v>
      </c>
      <c r="E833" s="6">
        <v>7.1971999999999996</v>
      </c>
      <c r="F833" s="6">
        <v>7.5156000000000001</v>
      </c>
      <c r="G833" s="6">
        <v>7.8132000000000001</v>
      </c>
      <c r="H833" s="6">
        <v>8.0855999999999995</v>
      </c>
      <c r="I833" s="6">
        <v>9.0856999999999992</v>
      </c>
      <c r="J833" s="6">
        <v>9.8816000000000006</v>
      </c>
      <c r="K833" s="6">
        <v>10.5617</v>
      </c>
      <c r="L833" s="6">
        <v>11.0974</v>
      </c>
      <c r="M833" s="6">
        <v>11.8705</v>
      </c>
      <c r="N833" s="6">
        <v>12.8165</v>
      </c>
      <c r="O833" s="6">
        <v>13.6722</v>
      </c>
      <c r="P833" s="6">
        <v>14.1279</v>
      </c>
      <c r="Q833" s="6"/>
    </row>
    <row r="834" spans="1:17">
      <c r="A834" s="5">
        <v>42671</v>
      </c>
      <c r="B834" s="5" t="str">
        <f t="shared" si="12"/>
        <v>2016 q4</v>
      </c>
      <c r="C834" s="6">
        <v>6.9089999999999998</v>
      </c>
      <c r="D834" s="6">
        <v>7.0057</v>
      </c>
      <c r="E834" s="6">
        <v>7.2050999999999998</v>
      </c>
      <c r="F834" s="6">
        <v>7.5027999999999997</v>
      </c>
      <c r="G834" s="6">
        <v>7.7828999999999997</v>
      </c>
      <c r="H834" s="6">
        <v>8.0420999999999996</v>
      </c>
      <c r="I834" s="6">
        <v>9.0015000000000001</v>
      </c>
      <c r="J834" s="6">
        <v>9.7824000000000009</v>
      </c>
      <c r="K834" s="6">
        <v>10.461499999999999</v>
      </c>
      <c r="L834" s="6">
        <v>11.005599999999999</v>
      </c>
      <c r="M834" s="6">
        <v>11.8178</v>
      </c>
      <c r="N834" s="6">
        <v>12.821899999999999</v>
      </c>
      <c r="O834" s="6">
        <v>13.775700000000001</v>
      </c>
      <c r="P834" s="6">
        <v>14.2986</v>
      </c>
      <c r="Q834" s="6"/>
    </row>
    <row r="835" spans="1:17">
      <c r="A835" s="5">
        <v>42674</v>
      </c>
      <c r="B835" s="5" t="str">
        <f t="shared" ref="B835:B898" si="13">YEAR(A835)&amp;" q"&amp;ROUNDUP(MONTH(A835)/3,0)</f>
        <v>2016 q4</v>
      </c>
      <c r="C835" s="6">
        <v>6.8506</v>
      </c>
      <c r="D835" s="6">
        <v>6.9554999999999998</v>
      </c>
      <c r="E835" s="6">
        <v>7.1722000000000001</v>
      </c>
      <c r="F835" s="6">
        <v>7.4953000000000003</v>
      </c>
      <c r="G835" s="6">
        <v>7.7962999999999996</v>
      </c>
      <c r="H835" s="6">
        <v>8.0719999999999992</v>
      </c>
      <c r="I835" s="6">
        <v>9.0813000000000006</v>
      </c>
      <c r="J835" s="6">
        <v>9.8802000000000003</v>
      </c>
      <c r="K835" s="6">
        <v>10.5617</v>
      </c>
      <c r="L835" s="6">
        <v>11.094900000000001</v>
      </c>
      <c r="M835" s="6">
        <v>11.861700000000001</v>
      </c>
      <c r="N835" s="6">
        <v>12.796799999999999</v>
      </c>
      <c r="O835" s="6">
        <v>13.6356</v>
      </c>
      <c r="P835" s="6">
        <v>14.079499999999999</v>
      </c>
      <c r="Q835" s="6"/>
    </row>
    <row r="836" spans="1:17">
      <c r="A836" s="5">
        <v>42675</v>
      </c>
      <c r="B836" s="5" t="str">
        <f t="shared" si="13"/>
        <v>2016 q4</v>
      </c>
      <c r="C836" s="6">
        <v>6.8457999999999997</v>
      </c>
      <c r="D836" s="6">
        <v>6.9550000000000001</v>
      </c>
      <c r="E836" s="6">
        <v>7.1803999999999997</v>
      </c>
      <c r="F836" s="6">
        <v>7.5155000000000003</v>
      </c>
      <c r="G836" s="6">
        <v>7.8251999999999997</v>
      </c>
      <c r="H836" s="6">
        <v>8.1074000000000002</v>
      </c>
      <c r="I836" s="6">
        <v>9.1306999999999992</v>
      </c>
      <c r="J836" s="6">
        <v>9.9232999999999993</v>
      </c>
      <c r="K836" s="6">
        <v>10.5909</v>
      </c>
      <c r="L836" s="6">
        <v>11.1027</v>
      </c>
      <c r="M836" s="6">
        <v>11.8215</v>
      </c>
      <c r="N836" s="6">
        <v>12.689</v>
      </c>
      <c r="O836" s="6">
        <v>13.4383</v>
      </c>
      <c r="P836" s="6">
        <v>13.8262</v>
      </c>
      <c r="Q836" s="6"/>
    </row>
    <row r="837" spans="1:17">
      <c r="A837" s="5">
        <v>42676</v>
      </c>
      <c r="B837" s="5" t="str">
        <f t="shared" si="13"/>
        <v>2016 q4</v>
      </c>
      <c r="C837" s="6">
        <v>6.9046000000000003</v>
      </c>
      <c r="D837" s="6">
        <v>7.0044000000000004</v>
      </c>
      <c r="E837" s="6">
        <v>7.2104999999999997</v>
      </c>
      <c r="F837" s="6">
        <v>7.5171000000000001</v>
      </c>
      <c r="G837" s="6">
        <v>7.8029999999999999</v>
      </c>
      <c r="H837" s="6">
        <v>8.0669000000000004</v>
      </c>
      <c r="I837" s="6">
        <v>9.0347000000000008</v>
      </c>
      <c r="J837" s="6">
        <v>9.8125</v>
      </c>
      <c r="K837" s="6">
        <v>10.488799999999999</v>
      </c>
      <c r="L837" s="6">
        <v>10.9918</v>
      </c>
      <c r="M837" s="6">
        <v>11.754</v>
      </c>
      <c r="N837" s="6">
        <v>12.685</v>
      </c>
      <c r="O837" s="6">
        <v>13.537000000000001</v>
      </c>
      <c r="P837" s="6">
        <v>13.991400000000001</v>
      </c>
      <c r="Q837" s="6"/>
    </row>
    <row r="838" spans="1:17">
      <c r="A838" s="5">
        <v>42677</v>
      </c>
      <c r="B838" s="5" t="str">
        <f t="shared" si="13"/>
        <v>2016 q4</v>
      </c>
      <c r="C838" s="6">
        <v>6.8872999999999998</v>
      </c>
      <c r="D838" s="6">
        <v>6.9916</v>
      </c>
      <c r="E838" s="6">
        <v>7.2069000000000001</v>
      </c>
      <c r="F838" s="6">
        <v>7.5267999999999997</v>
      </c>
      <c r="G838" s="6">
        <v>7.8239000000000001</v>
      </c>
      <c r="H838" s="6">
        <v>8.0973000000000006</v>
      </c>
      <c r="I838" s="6">
        <v>9.0946999999999996</v>
      </c>
      <c r="J838" s="6">
        <v>9.8810000000000002</v>
      </c>
      <c r="K838" s="6">
        <v>10.553100000000001</v>
      </c>
      <c r="L838" s="6">
        <v>11.074</v>
      </c>
      <c r="M838" s="6">
        <v>11.8261</v>
      </c>
      <c r="N838" s="6">
        <v>12.7394</v>
      </c>
      <c r="O838" s="6">
        <v>13.5571</v>
      </c>
      <c r="P838" s="6">
        <v>13.987399999999999</v>
      </c>
      <c r="Q838" s="6"/>
    </row>
    <row r="839" spans="1:17">
      <c r="A839" s="5">
        <v>42678</v>
      </c>
      <c r="B839" s="5" t="str">
        <f t="shared" si="13"/>
        <v>2016 q4</v>
      </c>
      <c r="C839" s="6">
        <v>6.9938000000000002</v>
      </c>
      <c r="D839" s="6">
        <v>7.0747999999999998</v>
      </c>
      <c r="E839" s="6">
        <v>7.2420999999999998</v>
      </c>
      <c r="F839" s="6">
        <v>7.4913999999999996</v>
      </c>
      <c r="G839" s="6">
        <v>7.7291999999999996</v>
      </c>
      <c r="H839" s="6">
        <v>7.9549000000000003</v>
      </c>
      <c r="I839" s="6">
        <v>8.8048999999999999</v>
      </c>
      <c r="J839" s="6">
        <v>9.5363000000000007</v>
      </c>
      <c r="K839" s="6">
        <v>10.2029</v>
      </c>
      <c r="L839" s="6">
        <v>10.7385</v>
      </c>
      <c r="M839" s="6">
        <v>11.625</v>
      </c>
      <c r="N839" s="6">
        <v>12.750999999999999</v>
      </c>
      <c r="O839" s="6">
        <v>13.962300000000001</v>
      </c>
      <c r="P839" s="6">
        <v>14.6876</v>
      </c>
      <c r="Q839" s="6"/>
    </row>
    <row r="840" spans="1:17">
      <c r="A840" s="5">
        <v>42681</v>
      </c>
      <c r="B840" s="5" t="str">
        <f t="shared" si="13"/>
        <v>2016 q4</v>
      </c>
      <c r="C840" s="6">
        <v>6.5918000000000001</v>
      </c>
      <c r="D840" s="6">
        <v>6.7054999999999998</v>
      </c>
      <c r="E840" s="6">
        <v>6.9401999999999999</v>
      </c>
      <c r="F840" s="6">
        <v>7.2882999999999996</v>
      </c>
      <c r="G840" s="6">
        <v>7.6094999999999997</v>
      </c>
      <c r="H840" s="6">
        <v>7.9039000000000001</v>
      </c>
      <c r="I840" s="6">
        <v>8.9705999999999992</v>
      </c>
      <c r="J840" s="6">
        <v>9.8048999999999999</v>
      </c>
      <c r="K840" s="6">
        <v>10.5191</v>
      </c>
      <c r="L840" s="6">
        <v>11.033099999999999</v>
      </c>
      <c r="M840" s="6">
        <v>11.791700000000001</v>
      </c>
      <c r="N840" s="6">
        <v>12.7057</v>
      </c>
      <c r="O840" s="6">
        <v>13.501099999999999</v>
      </c>
      <c r="P840" s="6">
        <v>13.912699999999999</v>
      </c>
      <c r="Q840" s="6"/>
    </row>
    <row r="841" spans="1:17">
      <c r="A841" s="5">
        <v>42682</v>
      </c>
      <c r="B841" s="5" t="str">
        <f t="shared" si="13"/>
        <v>2016 q4</v>
      </c>
      <c r="C841" s="6">
        <v>6.3475999999999999</v>
      </c>
      <c r="D841" s="6">
        <v>6.4653</v>
      </c>
      <c r="E841" s="6">
        <v>6.7081999999999997</v>
      </c>
      <c r="F841" s="6">
        <v>7.0650000000000004</v>
      </c>
      <c r="G841" s="6">
        <v>7.3959999999999999</v>
      </c>
      <c r="H841" s="6">
        <v>7.7264999999999997</v>
      </c>
      <c r="I841" s="6">
        <v>8.8130000000000006</v>
      </c>
      <c r="J841" s="6">
        <v>9.6823999999999995</v>
      </c>
      <c r="K841" s="6">
        <v>10.4307</v>
      </c>
      <c r="L841" s="6">
        <v>10.9687</v>
      </c>
      <c r="M841" s="6">
        <v>11.770799999999999</v>
      </c>
      <c r="N841" s="6">
        <v>12.7371</v>
      </c>
      <c r="O841" s="6">
        <v>13.5862</v>
      </c>
      <c r="P841" s="6">
        <v>14.0267</v>
      </c>
      <c r="Q841" s="6"/>
    </row>
    <row r="842" spans="1:17">
      <c r="A842" s="5">
        <v>42683</v>
      </c>
      <c r="B842" s="5" t="str">
        <f t="shared" si="13"/>
        <v>2016 q4</v>
      </c>
      <c r="C842" s="6">
        <v>6.3064</v>
      </c>
      <c r="D842" s="6">
        <v>6.4298000000000002</v>
      </c>
      <c r="E842" s="6">
        <v>6.6847000000000003</v>
      </c>
      <c r="F842" s="6">
        <v>7.0580999999999996</v>
      </c>
      <c r="G842" s="6">
        <v>7.4028999999999998</v>
      </c>
      <c r="H842" s="6">
        <v>7.7466999999999997</v>
      </c>
      <c r="I842" s="6">
        <v>8.8617000000000008</v>
      </c>
      <c r="J842" s="6">
        <v>9.7401999999999997</v>
      </c>
      <c r="K842" s="6">
        <v>10.4886</v>
      </c>
      <c r="L842" s="6">
        <v>11.016400000000001</v>
      </c>
      <c r="M842" s="6">
        <v>11.789899999999999</v>
      </c>
      <c r="N842" s="6">
        <v>12.7148</v>
      </c>
      <c r="O842" s="6">
        <v>13.5036</v>
      </c>
      <c r="P842" s="6">
        <v>13.9064</v>
      </c>
      <c r="Q842" s="6"/>
    </row>
    <row r="843" spans="1:17">
      <c r="A843" s="5">
        <v>42684</v>
      </c>
      <c r="B843" s="5" t="str">
        <f t="shared" si="13"/>
        <v>2016 q4</v>
      </c>
      <c r="C843" s="6">
        <v>6.3601000000000001</v>
      </c>
      <c r="D843" s="6">
        <v>6.4840999999999998</v>
      </c>
      <c r="E843" s="6">
        <v>6.7401</v>
      </c>
      <c r="F843" s="6">
        <v>7.1132999999999997</v>
      </c>
      <c r="G843" s="6">
        <v>7.4542999999999999</v>
      </c>
      <c r="H843" s="6">
        <v>7.7939999999999996</v>
      </c>
      <c r="I843" s="6">
        <v>8.8957999999999995</v>
      </c>
      <c r="J843" s="6">
        <v>9.7550000000000008</v>
      </c>
      <c r="K843" s="6">
        <v>10.479100000000001</v>
      </c>
      <c r="L843" s="6">
        <v>11.0213</v>
      </c>
      <c r="M843" s="6">
        <v>11.7834</v>
      </c>
      <c r="N843" s="6">
        <v>12.693899999999999</v>
      </c>
      <c r="O843" s="6">
        <v>13.4697</v>
      </c>
      <c r="P843" s="6">
        <v>13.8653</v>
      </c>
      <c r="Q843" s="6"/>
    </row>
    <row r="844" spans="1:17">
      <c r="A844" s="5">
        <v>42685</v>
      </c>
      <c r="B844" s="5" t="str">
        <f t="shared" si="13"/>
        <v>2016 q4</v>
      </c>
      <c r="C844" s="6">
        <v>6.6936999999999998</v>
      </c>
      <c r="D844" s="6">
        <v>6.7941000000000003</v>
      </c>
      <c r="E844" s="6">
        <v>7.0015999999999998</v>
      </c>
      <c r="F844" s="6">
        <v>7.3066000000000004</v>
      </c>
      <c r="G844" s="6">
        <v>7.5941999999999998</v>
      </c>
      <c r="H844" s="6">
        <v>7.8806000000000003</v>
      </c>
      <c r="I844" s="6">
        <v>8.8565000000000005</v>
      </c>
      <c r="J844" s="6">
        <v>9.6597000000000008</v>
      </c>
      <c r="K844" s="6">
        <v>10.365</v>
      </c>
      <c r="L844" s="6">
        <v>10.918799999999999</v>
      </c>
      <c r="M844" s="6">
        <v>11.761100000000001</v>
      </c>
      <c r="N844" s="6">
        <v>12.7934</v>
      </c>
      <c r="O844" s="6">
        <v>13.7806</v>
      </c>
      <c r="P844" s="6">
        <v>14.317500000000001</v>
      </c>
      <c r="Q844" s="6"/>
    </row>
    <row r="845" spans="1:17">
      <c r="A845" s="5">
        <v>42688</v>
      </c>
      <c r="B845" s="5" t="str">
        <f t="shared" si="13"/>
        <v>2016 q4</v>
      </c>
      <c r="C845" s="6">
        <v>6.2610999999999999</v>
      </c>
      <c r="D845" s="6">
        <v>6.3966000000000003</v>
      </c>
      <c r="E845" s="6">
        <v>6.6763000000000003</v>
      </c>
      <c r="F845" s="6">
        <v>7.0831999999999997</v>
      </c>
      <c r="G845" s="6">
        <v>7.4561999999999999</v>
      </c>
      <c r="H845" s="6">
        <v>7.8265000000000002</v>
      </c>
      <c r="I845" s="6">
        <v>8.9986999999999995</v>
      </c>
      <c r="J845" s="6">
        <v>9.8867999999999991</v>
      </c>
      <c r="K845" s="6">
        <v>10.620799999999999</v>
      </c>
      <c r="L845" s="6">
        <v>11.1562</v>
      </c>
      <c r="M845" s="6">
        <v>11.8827</v>
      </c>
      <c r="N845" s="6">
        <v>12.7403</v>
      </c>
      <c r="O845" s="6">
        <v>13.436500000000001</v>
      </c>
      <c r="P845" s="6">
        <v>13.7837</v>
      </c>
      <c r="Q845" s="6"/>
    </row>
    <row r="846" spans="1:17">
      <c r="A846" s="5">
        <v>42689</v>
      </c>
      <c r="B846" s="5" t="str">
        <f t="shared" si="13"/>
        <v>2016 q4</v>
      </c>
      <c r="C846" s="6">
        <v>6.4467999999999996</v>
      </c>
      <c r="D846" s="6">
        <v>6.5529999999999999</v>
      </c>
      <c r="E846" s="6">
        <v>6.7723000000000004</v>
      </c>
      <c r="F846" s="6">
        <v>7.0951000000000004</v>
      </c>
      <c r="G846" s="6">
        <v>7.4036</v>
      </c>
      <c r="H846" s="6">
        <v>7.6814</v>
      </c>
      <c r="I846" s="6">
        <v>8.6976999999999993</v>
      </c>
      <c r="J846" s="6">
        <v>9.5078999999999994</v>
      </c>
      <c r="K846" s="6">
        <v>10.212</v>
      </c>
      <c r="L846" s="6">
        <v>10.787800000000001</v>
      </c>
      <c r="M846" s="6">
        <v>11.718</v>
      </c>
      <c r="N846" s="6">
        <v>12.5298</v>
      </c>
      <c r="O846" s="6">
        <v>13.4247</v>
      </c>
      <c r="P846" s="6">
        <v>13.897600000000001</v>
      </c>
      <c r="Q846" s="6"/>
    </row>
    <row r="847" spans="1:17">
      <c r="A847" s="5">
        <v>42690</v>
      </c>
      <c r="B847" s="5" t="str">
        <f t="shared" si="13"/>
        <v>2016 q4</v>
      </c>
      <c r="C847" s="6">
        <v>6.2156000000000002</v>
      </c>
      <c r="D847" s="6">
        <v>6.3525999999999998</v>
      </c>
      <c r="E847" s="6">
        <v>6.6353</v>
      </c>
      <c r="F847" s="6">
        <v>7.0480999999999998</v>
      </c>
      <c r="G847" s="6">
        <v>7.4360999999999997</v>
      </c>
      <c r="H847" s="6">
        <v>7.7733999999999996</v>
      </c>
      <c r="I847" s="6">
        <v>8.9717000000000002</v>
      </c>
      <c r="J847" s="6">
        <v>9.8613999999999997</v>
      </c>
      <c r="K847" s="6">
        <v>10.598599999999999</v>
      </c>
      <c r="L847" s="6">
        <v>11.131399999999999</v>
      </c>
      <c r="M847" s="6">
        <v>11.857799999999999</v>
      </c>
      <c r="N847" s="6">
        <v>12.712400000000001</v>
      </c>
      <c r="O847" s="6">
        <v>13.4055</v>
      </c>
      <c r="P847" s="6">
        <v>13.7499</v>
      </c>
      <c r="Q847" s="6"/>
    </row>
    <row r="848" spans="1:17">
      <c r="A848" s="5">
        <v>42691</v>
      </c>
      <c r="B848" s="5" t="str">
        <f t="shared" si="13"/>
        <v>2016 q4</v>
      </c>
      <c r="C848" s="6">
        <v>6.2549000000000001</v>
      </c>
      <c r="D848" s="6">
        <v>6.3855000000000004</v>
      </c>
      <c r="E848" s="6">
        <v>6.6550000000000002</v>
      </c>
      <c r="F848" s="6">
        <v>7.0490000000000004</v>
      </c>
      <c r="G848" s="6">
        <v>7.4203000000000001</v>
      </c>
      <c r="H848" s="6">
        <v>7.7460000000000004</v>
      </c>
      <c r="I848" s="6">
        <v>8.9099000000000004</v>
      </c>
      <c r="J848" s="6">
        <v>9.7866</v>
      </c>
      <c r="K848" s="6">
        <v>10.5214</v>
      </c>
      <c r="L848" s="6">
        <v>11.057399999999999</v>
      </c>
      <c r="M848" s="6">
        <v>11.8033</v>
      </c>
      <c r="N848" s="6">
        <v>12.6844</v>
      </c>
      <c r="O848" s="6">
        <v>13.416499999999999</v>
      </c>
      <c r="P848" s="6">
        <v>13.7834</v>
      </c>
      <c r="Q848" s="6"/>
    </row>
    <row r="849" spans="1:17">
      <c r="A849" s="5">
        <v>42692</v>
      </c>
      <c r="B849" s="5" t="str">
        <f t="shared" si="13"/>
        <v>2016 q4</v>
      </c>
      <c r="C849" s="6">
        <v>6.2373000000000003</v>
      </c>
      <c r="D849" s="6">
        <v>6.3716999999999997</v>
      </c>
      <c r="E849" s="6">
        <v>6.6490999999999998</v>
      </c>
      <c r="F849" s="6">
        <v>7.0536000000000003</v>
      </c>
      <c r="G849" s="6">
        <v>7.4337999999999997</v>
      </c>
      <c r="H849" s="6">
        <v>7.7657999999999996</v>
      </c>
      <c r="I849" s="6">
        <v>8.9459999999999997</v>
      </c>
      <c r="J849" s="6">
        <v>9.8247</v>
      </c>
      <c r="K849" s="6">
        <v>10.5564</v>
      </c>
      <c r="L849" s="6">
        <v>11.0845</v>
      </c>
      <c r="M849" s="6">
        <v>11.810700000000001</v>
      </c>
      <c r="N849" s="6">
        <v>12.664899999999999</v>
      </c>
      <c r="O849" s="6">
        <v>13.3626</v>
      </c>
      <c r="P849" s="6">
        <v>13.7095</v>
      </c>
      <c r="Q849" s="6"/>
    </row>
    <row r="850" spans="1:17">
      <c r="A850" s="5">
        <v>42695</v>
      </c>
      <c r="B850" s="5" t="str">
        <f t="shared" si="13"/>
        <v>2016 q4</v>
      </c>
      <c r="C850" s="6">
        <v>5.6246</v>
      </c>
      <c r="D850" s="6">
        <v>5.8007</v>
      </c>
      <c r="E850" s="6">
        <v>6.1641000000000004</v>
      </c>
      <c r="F850" s="6">
        <v>6.7096</v>
      </c>
      <c r="G850" s="6">
        <v>7.1931000000000003</v>
      </c>
      <c r="H850" s="6">
        <v>7.6044</v>
      </c>
      <c r="I850" s="6">
        <v>9.0175000000000001</v>
      </c>
      <c r="J850" s="6">
        <v>9.9879999999999995</v>
      </c>
      <c r="K850" s="6">
        <v>10.7529</v>
      </c>
      <c r="L850" s="6">
        <v>11.275</v>
      </c>
      <c r="M850" s="6">
        <v>11.929399999999999</v>
      </c>
      <c r="N850" s="6">
        <v>12.683199999999999</v>
      </c>
      <c r="O850" s="6">
        <v>13.239699999999999</v>
      </c>
      <c r="P850" s="6">
        <v>13.507999999999999</v>
      </c>
      <c r="Q850" s="6"/>
    </row>
    <row r="851" spans="1:17">
      <c r="A851" s="5">
        <v>42696</v>
      </c>
      <c r="B851" s="5" t="str">
        <f t="shared" si="13"/>
        <v>2016 q4</v>
      </c>
      <c r="C851" s="6">
        <v>5.8097000000000003</v>
      </c>
      <c r="D851" s="6">
        <v>5.9519000000000002</v>
      </c>
      <c r="E851" s="6">
        <v>6.2455999999999996</v>
      </c>
      <c r="F851" s="6">
        <v>6.6863000000000001</v>
      </c>
      <c r="G851" s="6">
        <v>7.0875000000000004</v>
      </c>
      <c r="H851" s="6">
        <v>7.4446000000000003</v>
      </c>
      <c r="I851" s="6">
        <v>8.7121999999999993</v>
      </c>
      <c r="J851" s="6">
        <v>9.6572999999999993</v>
      </c>
      <c r="K851" s="6">
        <v>10.4489</v>
      </c>
      <c r="L851" s="6">
        <v>11.017099999999999</v>
      </c>
      <c r="M851" s="6">
        <v>11.8073</v>
      </c>
      <c r="N851" s="6">
        <v>12.7347</v>
      </c>
      <c r="O851" s="6">
        <v>13.4976</v>
      </c>
      <c r="P851" s="6">
        <v>13.8766</v>
      </c>
      <c r="Q851" s="6"/>
    </row>
    <row r="852" spans="1:17">
      <c r="A852" s="5">
        <v>42697</v>
      </c>
      <c r="B852" s="5" t="str">
        <f t="shared" si="13"/>
        <v>2016 q4</v>
      </c>
      <c r="C852" s="6">
        <v>5.6273</v>
      </c>
      <c r="D852" s="6">
        <v>5.8011999999999997</v>
      </c>
      <c r="E852" s="6">
        <v>6.1601999999999997</v>
      </c>
      <c r="F852" s="6">
        <v>6.6989000000000001</v>
      </c>
      <c r="G852" s="6">
        <v>7.1852</v>
      </c>
      <c r="H852" s="6">
        <v>7.6024000000000003</v>
      </c>
      <c r="I852" s="6">
        <v>9.0294000000000008</v>
      </c>
      <c r="J852" s="6">
        <v>10.005000000000001</v>
      </c>
      <c r="K852" s="6">
        <v>10.7766</v>
      </c>
      <c r="L852" s="6">
        <v>11.297499999999999</v>
      </c>
      <c r="M852" s="6">
        <v>11.954599999999999</v>
      </c>
      <c r="N852" s="6">
        <v>12.708600000000001</v>
      </c>
      <c r="O852" s="6">
        <v>13.2653</v>
      </c>
      <c r="P852" s="6">
        <v>13.5328</v>
      </c>
      <c r="Q852" s="6"/>
    </row>
    <row r="853" spans="1:17">
      <c r="A853" s="5">
        <v>42698</v>
      </c>
      <c r="B853" s="5" t="str">
        <f t="shared" si="13"/>
        <v>2016 q4</v>
      </c>
      <c r="C853" s="6">
        <v>5.6231999999999998</v>
      </c>
      <c r="D853" s="6">
        <v>5.7973999999999997</v>
      </c>
      <c r="E853" s="6">
        <v>6.1569000000000003</v>
      </c>
      <c r="F853" s="6">
        <v>6.6958000000000002</v>
      </c>
      <c r="G853" s="6">
        <v>7.1814</v>
      </c>
      <c r="H853" s="6">
        <v>7.5982000000000003</v>
      </c>
      <c r="I853" s="6">
        <v>9.0203000000000007</v>
      </c>
      <c r="J853" s="6">
        <v>9.9890000000000008</v>
      </c>
      <c r="K853" s="6">
        <v>10.7546</v>
      </c>
      <c r="L853" s="6">
        <v>11.2691</v>
      </c>
      <c r="M853" s="6">
        <v>11.917400000000001</v>
      </c>
      <c r="N853" s="6">
        <v>12.660399999999999</v>
      </c>
      <c r="O853" s="6">
        <v>13.2075</v>
      </c>
      <c r="P853" s="6">
        <v>13.47</v>
      </c>
      <c r="Q853" s="6"/>
    </row>
    <row r="854" spans="1:17">
      <c r="A854" s="5">
        <v>42699</v>
      </c>
      <c r="B854" s="5" t="str">
        <f t="shared" si="13"/>
        <v>2016 q4</v>
      </c>
      <c r="C854" s="6">
        <v>5.6056999999999997</v>
      </c>
      <c r="D854" s="6">
        <v>5.7908999999999997</v>
      </c>
      <c r="E854" s="6">
        <v>6.1731999999999996</v>
      </c>
      <c r="F854" s="6">
        <v>6.7096999999999998</v>
      </c>
      <c r="G854" s="6">
        <v>7.2207999999999997</v>
      </c>
      <c r="H854" s="6">
        <v>7.6425999999999998</v>
      </c>
      <c r="I854" s="6">
        <v>9.0688999999999993</v>
      </c>
      <c r="J854" s="6">
        <v>10.021699999999999</v>
      </c>
      <c r="K854" s="6">
        <v>10.7658</v>
      </c>
      <c r="L854" s="6">
        <v>11.2592</v>
      </c>
      <c r="M854" s="6">
        <v>11.8698</v>
      </c>
      <c r="N854" s="6">
        <v>12.566700000000001</v>
      </c>
      <c r="O854" s="6">
        <v>13.071400000000001</v>
      </c>
      <c r="P854" s="6">
        <v>13.3125</v>
      </c>
      <c r="Q854" s="6"/>
    </row>
    <row r="855" spans="1:17">
      <c r="A855" s="5">
        <v>42702</v>
      </c>
      <c r="B855" s="5" t="str">
        <f t="shared" si="13"/>
        <v>2016 q4</v>
      </c>
      <c r="C855" s="6">
        <v>5.5038</v>
      </c>
      <c r="D855" s="6">
        <v>5.6910999999999996</v>
      </c>
      <c r="E855" s="6">
        <v>6.0777999999999999</v>
      </c>
      <c r="F855" s="6">
        <v>6.6580000000000004</v>
      </c>
      <c r="G855" s="6">
        <v>7.1615000000000002</v>
      </c>
      <c r="H855" s="6">
        <v>7.5918999999999999</v>
      </c>
      <c r="I855" s="6">
        <v>9.0472999999999999</v>
      </c>
      <c r="J855" s="6">
        <v>10.0207</v>
      </c>
      <c r="K855" s="6">
        <v>10.782999999999999</v>
      </c>
      <c r="L855" s="6">
        <v>11.287800000000001</v>
      </c>
      <c r="M855" s="6">
        <v>11.9152</v>
      </c>
      <c r="N855" s="6">
        <v>12.6309</v>
      </c>
      <c r="O855" s="6">
        <v>13.1503</v>
      </c>
      <c r="P855" s="6">
        <v>13.398400000000001</v>
      </c>
      <c r="Q855" s="6"/>
    </row>
    <row r="856" spans="1:17">
      <c r="A856" s="5">
        <v>42703</v>
      </c>
      <c r="B856" s="5" t="str">
        <f t="shared" si="13"/>
        <v>2016 q4</v>
      </c>
      <c r="C856" s="6">
        <v>5.4783999999999997</v>
      </c>
      <c r="D856" s="6">
        <v>5.6607000000000003</v>
      </c>
      <c r="E856" s="6">
        <v>6.0369999999999999</v>
      </c>
      <c r="F856" s="6">
        <v>6.6005000000000003</v>
      </c>
      <c r="G856" s="6">
        <v>7.1039000000000003</v>
      </c>
      <c r="H856" s="6">
        <v>7.5377999999999998</v>
      </c>
      <c r="I856" s="6">
        <v>9.0038999999999998</v>
      </c>
      <c r="J856" s="6">
        <v>9.9865999999999993</v>
      </c>
      <c r="K856" s="6">
        <v>10.7615</v>
      </c>
      <c r="L856" s="6">
        <v>11.2719</v>
      </c>
      <c r="M856" s="6">
        <v>11.913399999999999</v>
      </c>
      <c r="N856" s="6">
        <v>12.643800000000001</v>
      </c>
      <c r="O856" s="6">
        <v>13.1767</v>
      </c>
      <c r="P856" s="6">
        <v>13.430899999999999</v>
      </c>
      <c r="Q856" s="6"/>
    </row>
    <row r="857" spans="1:17">
      <c r="A857" s="5">
        <v>42704</v>
      </c>
      <c r="B857" s="5" t="str">
        <f t="shared" si="13"/>
        <v>2016 q4</v>
      </c>
      <c r="C857" s="6">
        <v>5.3436000000000003</v>
      </c>
      <c r="D857" s="6">
        <v>5.5385999999999997</v>
      </c>
      <c r="E857" s="6">
        <v>5.9410999999999996</v>
      </c>
      <c r="F857" s="6">
        <v>6.5431999999999997</v>
      </c>
      <c r="G857" s="6">
        <v>7.0758999999999999</v>
      </c>
      <c r="H857" s="6">
        <v>7.53</v>
      </c>
      <c r="I857" s="6">
        <v>9.0428999999999995</v>
      </c>
      <c r="J857" s="6">
        <v>10.026899999999999</v>
      </c>
      <c r="K857" s="6">
        <v>10.7887</v>
      </c>
      <c r="L857" s="6">
        <v>11.280799999999999</v>
      </c>
      <c r="M857" s="6">
        <v>11.8826</v>
      </c>
      <c r="N857" s="6">
        <v>12.5642</v>
      </c>
      <c r="O857" s="6">
        <v>13.049899999999999</v>
      </c>
      <c r="P857" s="6">
        <v>13.2804</v>
      </c>
      <c r="Q857" s="6"/>
    </row>
    <row r="858" spans="1:17">
      <c r="A858" s="5">
        <v>42705</v>
      </c>
      <c r="B858" s="5" t="str">
        <f t="shared" si="13"/>
        <v>2016 q4</v>
      </c>
      <c r="C858" s="6">
        <v>5.3442999999999996</v>
      </c>
      <c r="D858" s="6">
        <v>5.5401999999999996</v>
      </c>
      <c r="E858" s="6">
        <v>5.9446000000000003</v>
      </c>
      <c r="F858" s="6">
        <v>6.5488</v>
      </c>
      <c r="G858" s="6">
        <v>7.0823999999999998</v>
      </c>
      <c r="H858" s="6">
        <v>7.5374999999999996</v>
      </c>
      <c r="I858" s="6">
        <v>9.0503</v>
      </c>
      <c r="J858" s="6">
        <v>10.0307</v>
      </c>
      <c r="K858" s="6">
        <v>10.789400000000001</v>
      </c>
      <c r="L858" s="6">
        <v>11.2773</v>
      </c>
      <c r="M858" s="6">
        <v>11.873799999999999</v>
      </c>
      <c r="N858" s="6">
        <v>12.548500000000001</v>
      </c>
      <c r="O858" s="6">
        <v>13.028499999999999</v>
      </c>
      <c r="P858" s="6">
        <v>13.2561</v>
      </c>
      <c r="Q858" s="6"/>
    </row>
    <row r="859" spans="1:17">
      <c r="A859" s="5">
        <v>42706</v>
      </c>
      <c r="B859" s="5" t="str">
        <f t="shared" si="13"/>
        <v>2016 q4</v>
      </c>
      <c r="C859" s="6">
        <v>5.3346</v>
      </c>
      <c r="D859" s="6">
        <v>5.5328999999999997</v>
      </c>
      <c r="E859" s="6">
        <v>5.9424000000000001</v>
      </c>
      <c r="F859" s="6">
        <v>6.5536000000000003</v>
      </c>
      <c r="G859" s="6">
        <v>7.0913000000000004</v>
      </c>
      <c r="H859" s="6">
        <v>7.5491999999999999</v>
      </c>
      <c r="I859" s="6">
        <v>9.0639000000000003</v>
      </c>
      <c r="J859" s="6">
        <v>10.0372</v>
      </c>
      <c r="K859" s="6">
        <v>10.7872</v>
      </c>
      <c r="L859" s="6">
        <v>11.2662</v>
      </c>
      <c r="M859" s="6">
        <v>11.848599999999999</v>
      </c>
      <c r="N859" s="6">
        <v>12.5061</v>
      </c>
      <c r="O859" s="6">
        <v>12.971500000000001</v>
      </c>
      <c r="P859" s="6">
        <v>13.191800000000001</v>
      </c>
      <c r="Q859" s="6"/>
    </row>
    <row r="860" spans="1:17">
      <c r="A860" s="5">
        <v>42709</v>
      </c>
      <c r="B860" s="5" t="str">
        <f t="shared" si="13"/>
        <v>2016 q4</v>
      </c>
      <c r="C860" s="6">
        <v>5.5048000000000004</v>
      </c>
      <c r="D860" s="6">
        <v>5.6795</v>
      </c>
      <c r="E860" s="6">
        <v>6.0401999999999996</v>
      </c>
      <c r="F860" s="6">
        <v>6.5815000000000001</v>
      </c>
      <c r="G860" s="6">
        <v>7.0633999999999997</v>
      </c>
      <c r="H860" s="6">
        <v>7.4850000000000003</v>
      </c>
      <c r="I860" s="6">
        <v>8.9121000000000006</v>
      </c>
      <c r="J860" s="6">
        <v>9.8909000000000002</v>
      </c>
      <c r="K860" s="6">
        <v>10.6843</v>
      </c>
      <c r="L860" s="6">
        <v>11.157</v>
      </c>
      <c r="M860" s="6">
        <v>11.8085</v>
      </c>
      <c r="N860" s="6">
        <v>12.549300000000001</v>
      </c>
      <c r="O860" s="6">
        <v>13.097099999999999</v>
      </c>
      <c r="P860" s="6">
        <v>13.3582</v>
      </c>
      <c r="Q860" s="6"/>
    </row>
    <row r="861" spans="1:17">
      <c r="A861" s="5">
        <v>42710</v>
      </c>
      <c r="B861" s="5" t="str">
        <f t="shared" si="13"/>
        <v>2016 q4</v>
      </c>
      <c r="C861" s="6">
        <v>5.5849000000000002</v>
      </c>
      <c r="D861" s="6">
        <v>5.7622</v>
      </c>
      <c r="E861" s="6">
        <v>6.1281999999999996</v>
      </c>
      <c r="F861" s="6">
        <v>6.6749000000000001</v>
      </c>
      <c r="G861" s="6">
        <v>7.1490999999999998</v>
      </c>
      <c r="H861" s="6">
        <v>7.6224999999999996</v>
      </c>
      <c r="I861" s="6">
        <v>9.0051000000000005</v>
      </c>
      <c r="J861" s="6">
        <v>9.9664000000000001</v>
      </c>
      <c r="K861" s="6">
        <v>10.7425</v>
      </c>
      <c r="L861" s="6">
        <v>11.1957</v>
      </c>
      <c r="M861" s="6">
        <v>11.8187</v>
      </c>
      <c r="N861" s="6">
        <v>12.5238</v>
      </c>
      <c r="O861" s="6">
        <v>13.040100000000001</v>
      </c>
      <c r="P861" s="6">
        <v>13.2849</v>
      </c>
      <c r="Q861" s="6"/>
    </row>
    <row r="862" spans="1:17">
      <c r="A862" s="5">
        <v>42711</v>
      </c>
      <c r="B862" s="5" t="str">
        <f t="shared" si="13"/>
        <v>2016 q4</v>
      </c>
      <c r="C862" s="6">
        <v>5.8244999999999996</v>
      </c>
      <c r="D862" s="6">
        <v>5.9897999999999998</v>
      </c>
      <c r="E862" s="6">
        <v>6.3311999999999999</v>
      </c>
      <c r="F862" s="6">
        <v>6.8406000000000002</v>
      </c>
      <c r="G862" s="6">
        <v>7.2880000000000003</v>
      </c>
      <c r="H862" s="6">
        <v>7.7339000000000002</v>
      </c>
      <c r="I862" s="6">
        <v>9.0580999999999996</v>
      </c>
      <c r="J862" s="6">
        <v>9.9806000000000008</v>
      </c>
      <c r="K862" s="6">
        <v>10.724</v>
      </c>
      <c r="L862" s="6">
        <v>11.209300000000001</v>
      </c>
      <c r="M862" s="6">
        <v>11.841799999999999</v>
      </c>
      <c r="N862" s="6">
        <v>12.5593</v>
      </c>
      <c r="O862" s="6">
        <v>13.0939</v>
      </c>
      <c r="P862" s="6">
        <v>13.348100000000001</v>
      </c>
      <c r="Q862" s="6"/>
    </row>
    <row r="863" spans="1:17">
      <c r="A863" s="5">
        <v>42712</v>
      </c>
      <c r="B863" s="5" t="str">
        <f t="shared" si="13"/>
        <v>2016 q4</v>
      </c>
      <c r="C863" s="6">
        <v>5.8171999999999997</v>
      </c>
      <c r="D863" s="6">
        <v>5.9846000000000004</v>
      </c>
      <c r="E863" s="6">
        <v>6.33</v>
      </c>
      <c r="F863" s="6">
        <v>6.8448000000000002</v>
      </c>
      <c r="G863" s="6">
        <v>7.2967000000000004</v>
      </c>
      <c r="H863" s="6">
        <v>7.7464000000000004</v>
      </c>
      <c r="I863" s="6">
        <v>9.0769000000000002</v>
      </c>
      <c r="J863" s="6">
        <v>9.9990000000000006</v>
      </c>
      <c r="K863" s="6">
        <v>10.7407</v>
      </c>
      <c r="L863" s="6">
        <v>11.2219</v>
      </c>
      <c r="M863" s="6">
        <v>11.8475</v>
      </c>
      <c r="N863" s="6">
        <v>12.555899999999999</v>
      </c>
      <c r="O863" s="6">
        <v>13.0815</v>
      </c>
      <c r="P863" s="6">
        <v>13.331</v>
      </c>
      <c r="Q863" s="6"/>
    </row>
    <row r="864" spans="1:17">
      <c r="A864" s="5">
        <v>42713</v>
      </c>
      <c r="B864" s="5" t="str">
        <f t="shared" si="13"/>
        <v>2016 q4</v>
      </c>
      <c r="C864" s="6">
        <v>6.0849000000000002</v>
      </c>
      <c r="D864" s="6">
        <v>6.2182000000000004</v>
      </c>
      <c r="E864" s="6">
        <v>6.4932999999999996</v>
      </c>
      <c r="F864" s="6">
        <v>6.9034000000000004</v>
      </c>
      <c r="G864" s="6">
        <v>7.2765000000000004</v>
      </c>
      <c r="H864" s="6">
        <v>7.6478000000000002</v>
      </c>
      <c r="I864" s="6">
        <v>8.8340999999999994</v>
      </c>
      <c r="J864" s="6">
        <v>9.7378999999999998</v>
      </c>
      <c r="K864" s="6">
        <v>10.515700000000001</v>
      </c>
      <c r="L864" s="6">
        <v>11.0162</v>
      </c>
      <c r="M864" s="6">
        <v>11.773400000000001</v>
      </c>
      <c r="N864" s="6">
        <v>12.650499999999999</v>
      </c>
      <c r="O864" s="6">
        <v>13.378500000000001</v>
      </c>
      <c r="P864" s="6">
        <v>13.735799999999999</v>
      </c>
      <c r="Q864" s="6"/>
    </row>
    <row r="865" spans="1:17">
      <c r="A865" s="5">
        <v>42716</v>
      </c>
      <c r="B865" s="5" t="str">
        <f t="shared" si="13"/>
        <v>2016 q4</v>
      </c>
      <c r="C865" s="6">
        <v>5.8503999999999996</v>
      </c>
      <c r="D865" s="6">
        <v>6.0143000000000004</v>
      </c>
      <c r="E865" s="6">
        <v>6.3528000000000002</v>
      </c>
      <c r="F865" s="6">
        <v>6.8606999999999996</v>
      </c>
      <c r="G865" s="6">
        <v>7.3029000000000002</v>
      </c>
      <c r="H865" s="6">
        <v>7.7054999999999998</v>
      </c>
      <c r="I865" s="6">
        <v>9.0572999999999997</v>
      </c>
      <c r="J865" s="6">
        <v>9.9697999999999993</v>
      </c>
      <c r="K865" s="6">
        <v>10.707599999999999</v>
      </c>
      <c r="L865" s="6">
        <v>11.1854</v>
      </c>
      <c r="M865" s="6">
        <v>11.812099999999999</v>
      </c>
      <c r="N865" s="6">
        <v>12.521100000000001</v>
      </c>
      <c r="O865" s="6">
        <v>13.05</v>
      </c>
      <c r="P865" s="6">
        <v>13.3009</v>
      </c>
      <c r="Q865" s="6"/>
    </row>
    <row r="866" spans="1:17">
      <c r="A866" s="5">
        <v>42717</v>
      </c>
      <c r="B866" s="5" t="str">
        <f t="shared" si="13"/>
        <v>2016 q4</v>
      </c>
      <c r="C866" s="6">
        <v>6.0343</v>
      </c>
      <c r="D866" s="6">
        <v>6.1814</v>
      </c>
      <c r="E866" s="6">
        <v>6.4851999999999999</v>
      </c>
      <c r="F866" s="6">
        <v>6.9398</v>
      </c>
      <c r="G866" s="6">
        <v>7.3590999999999998</v>
      </c>
      <c r="H866" s="6">
        <v>7.7251000000000003</v>
      </c>
      <c r="I866" s="6">
        <v>8.9905000000000008</v>
      </c>
      <c r="J866" s="6">
        <v>9.9018999999999995</v>
      </c>
      <c r="K866" s="6">
        <v>10.6713</v>
      </c>
      <c r="L866" s="6">
        <v>11.139699999999999</v>
      </c>
      <c r="M866" s="6">
        <v>11.829499999999999</v>
      </c>
      <c r="N866" s="6">
        <v>12.616099999999999</v>
      </c>
      <c r="O866" s="6">
        <v>13.2341</v>
      </c>
      <c r="P866" s="6">
        <v>13.5303</v>
      </c>
      <c r="Q866" s="6"/>
    </row>
    <row r="867" spans="1:17">
      <c r="A867" s="5">
        <v>42718</v>
      </c>
      <c r="B867" s="5" t="str">
        <f t="shared" si="13"/>
        <v>2016 q4</v>
      </c>
      <c r="C867" s="6">
        <v>6.0457000000000001</v>
      </c>
      <c r="D867" s="6">
        <v>6.1914999999999996</v>
      </c>
      <c r="E867" s="6">
        <v>6.4927000000000001</v>
      </c>
      <c r="F867" s="6">
        <v>6.9431000000000003</v>
      </c>
      <c r="G867" s="6">
        <v>7.3601999999999999</v>
      </c>
      <c r="H867" s="6">
        <v>7.7259000000000002</v>
      </c>
      <c r="I867" s="6">
        <v>8.9926999999999992</v>
      </c>
      <c r="J867" s="6">
        <v>9.9102999999999994</v>
      </c>
      <c r="K867" s="6">
        <v>10.688499999999999</v>
      </c>
      <c r="L867" s="6">
        <v>11.164300000000001</v>
      </c>
      <c r="M867" s="6">
        <v>11.8704</v>
      </c>
      <c r="N867" s="6">
        <v>12.6762</v>
      </c>
      <c r="O867" s="6">
        <v>13.3147</v>
      </c>
      <c r="P867" s="6">
        <v>13.6213</v>
      </c>
      <c r="Q867" s="6"/>
    </row>
    <row r="868" spans="1:17">
      <c r="A868" s="5">
        <v>42719</v>
      </c>
      <c r="B868" s="5" t="str">
        <f t="shared" si="13"/>
        <v>2016 q4</v>
      </c>
      <c r="C868" s="6">
        <v>6.0087999999999999</v>
      </c>
      <c r="D868" s="6">
        <v>6.1604999999999999</v>
      </c>
      <c r="E868" s="6">
        <v>6.4737</v>
      </c>
      <c r="F868" s="6">
        <v>6.9417</v>
      </c>
      <c r="G868" s="6">
        <v>7.3727999999999998</v>
      </c>
      <c r="H868" s="6">
        <v>7.7484999999999999</v>
      </c>
      <c r="I868" s="6">
        <v>9.0389999999999997</v>
      </c>
      <c r="J868" s="6">
        <v>9.9459999999999997</v>
      </c>
      <c r="K868" s="6">
        <v>10.6997</v>
      </c>
      <c r="L868" s="6">
        <v>11.194000000000001</v>
      </c>
      <c r="M868" s="6">
        <v>11.872999999999999</v>
      </c>
      <c r="N868" s="6">
        <v>12.6441</v>
      </c>
      <c r="O868" s="6">
        <v>13.242699999999999</v>
      </c>
      <c r="P868" s="6">
        <v>13.5282</v>
      </c>
      <c r="Q868" s="6"/>
    </row>
    <row r="869" spans="1:17">
      <c r="A869" s="5">
        <v>42720</v>
      </c>
      <c r="B869" s="5" t="str">
        <f t="shared" si="13"/>
        <v>2016 q4</v>
      </c>
      <c r="C869" s="6">
        <v>5.7485999999999997</v>
      </c>
      <c r="D869" s="6">
        <v>5.9280999999999997</v>
      </c>
      <c r="E869" s="6">
        <v>6.2988</v>
      </c>
      <c r="F869" s="6">
        <v>6.8090999999999999</v>
      </c>
      <c r="G869" s="6">
        <v>7.3125</v>
      </c>
      <c r="H869" s="6">
        <v>7.7271999999999998</v>
      </c>
      <c r="I869" s="6">
        <v>9.1265999999999998</v>
      </c>
      <c r="J869" s="6">
        <v>10.073399999999999</v>
      </c>
      <c r="K869" s="6">
        <v>10.8437</v>
      </c>
      <c r="L869" s="6">
        <v>11.3337</v>
      </c>
      <c r="M869" s="6">
        <v>11.983499999999999</v>
      </c>
      <c r="N869" s="6">
        <v>12.714499999999999</v>
      </c>
      <c r="O869" s="6">
        <v>13.2601</v>
      </c>
      <c r="P869" s="6">
        <v>13.5174</v>
      </c>
      <c r="Q869" s="6"/>
    </row>
    <row r="870" spans="1:17">
      <c r="A870" s="5">
        <v>42723</v>
      </c>
      <c r="B870" s="5" t="str">
        <f t="shared" si="13"/>
        <v>2016 q4</v>
      </c>
      <c r="C870" s="6">
        <v>6.0818000000000003</v>
      </c>
      <c r="D870" s="6">
        <v>6.2335000000000003</v>
      </c>
      <c r="E870" s="6">
        <v>6.5468000000000002</v>
      </c>
      <c r="F870" s="6">
        <v>7.0170000000000003</v>
      </c>
      <c r="G870" s="6">
        <v>7.4466000000000001</v>
      </c>
      <c r="H870" s="6">
        <v>7.8230000000000004</v>
      </c>
      <c r="I870" s="6">
        <v>9.1127000000000002</v>
      </c>
      <c r="J870" s="6">
        <v>10.0161</v>
      </c>
      <c r="K870" s="6">
        <v>10.7677</v>
      </c>
      <c r="L870" s="6">
        <v>11.2575</v>
      </c>
      <c r="M870" s="6">
        <v>11.931900000000001</v>
      </c>
      <c r="N870" s="6">
        <v>12.696</v>
      </c>
      <c r="O870" s="6">
        <v>13.288500000000001</v>
      </c>
      <c r="P870" s="6">
        <v>13.570399999999999</v>
      </c>
      <c r="Q870" s="6"/>
    </row>
    <row r="871" spans="1:17">
      <c r="A871" s="5">
        <v>42724</v>
      </c>
      <c r="B871" s="5" t="str">
        <f t="shared" si="13"/>
        <v>2016 q4</v>
      </c>
      <c r="C871" s="6">
        <v>5.9158999999999997</v>
      </c>
      <c r="D871" s="6">
        <v>6.0659000000000001</v>
      </c>
      <c r="E871" s="6">
        <v>6.3756000000000004</v>
      </c>
      <c r="F871" s="6">
        <v>6.8392999999999997</v>
      </c>
      <c r="G871" s="6">
        <v>7.2643000000000004</v>
      </c>
      <c r="H871" s="6">
        <v>7.6393000000000004</v>
      </c>
      <c r="I871" s="6">
        <v>8.9255999999999993</v>
      </c>
      <c r="J871" s="6">
        <v>9.8315999999999999</v>
      </c>
      <c r="K871" s="6">
        <v>10.5913</v>
      </c>
      <c r="L871" s="6">
        <v>11.134399999999999</v>
      </c>
      <c r="M871" s="6">
        <v>11.953200000000001</v>
      </c>
      <c r="N871" s="6">
        <v>12.5571</v>
      </c>
      <c r="O871" s="6">
        <v>13.1693</v>
      </c>
      <c r="P871" s="6">
        <v>13.460699999999999</v>
      </c>
      <c r="Q871" s="6"/>
    </row>
    <row r="872" spans="1:17">
      <c r="A872" s="5">
        <v>42725</v>
      </c>
      <c r="B872" s="5" t="str">
        <f t="shared" si="13"/>
        <v>2016 q4</v>
      </c>
      <c r="C872" s="6">
        <v>6.3304999999999998</v>
      </c>
      <c r="D872" s="6">
        <v>6.4587000000000003</v>
      </c>
      <c r="E872" s="6">
        <v>6.7234999999999996</v>
      </c>
      <c r="F872" s="6">
        <v>7.1196000000000002</v>
      </c>
      <c r="G872" s="6">
        <v>7.4875999999999996</v>
      </c>
      <c r="H872" s="6">
        <v>7.8189000000000002</v>
      </c>
      <c r="I872" s="6">
        <v>8.9796999999999993</v>
      </c>
      <c r="J872" s="6">
        <v>9.8469999999999995</v>
      </c>
      <c r="K872" s="6">
        <v>10.601900000000001</v>
      </c>
      <c r="L872" s="6">
        <v>11.0745</v>
      </c>
      <c r="M872" s="6">
        <v>11.8079</v>
      </c>
      <c r="N872" s="6">
        <v>12.701700000000001</v>
      </c>
      <c r="O872" s="6">
        <v>13.3573</v>
      </c>
      <c r="P872" s="6">
        <v>13.695399999999999</v>
      </c>
      <c r="Q872" s="6"/>
    </row>
    <row r="873" spans="1:17">
      <c r="A873" s="5">
        <v>42726</v>
      </c>
      <c r="B873" s="5" t="str">
        <f t="shared" si="13"/>
        <v>2016 q4</v>
      </c>
      <c r="C873" s="6">
        <v>6.2979000000000003</v>
      </c>
      <c r="D873" s="6">
        <v>6.4313000000000002</v>
      </c>
      <c r="E873" s="6">
        <v>6.7065999999999999</v>
      </c>
      <c r="F873" s="6">
        <v>7.1181000000000001</v>
      </c>
      <c r="G873" s="6">
        <v>7.4977999999999998</v>
      </c>
      <c r="H873" s="6">
        <v>7.8371000000000004</v>
      </c>
      <c r="I873" s="6">
        <v>9.0129999999999999</v>
      </c>
      <c r="J873" s="6">
        <v>9.8612000000000002</v>
      </c>
      <c r="K873" s="6">
        <v>10.584199999999999</v>
      </c>
      <c r="L873" s="6">
        <v>11.0625</v>
      </c>
      <c r="M873" s="6">
        <v>11.750299999999999</v>
      </c>
      <c r="N873" s="6">
        <v>12.5334</v>
      </c>
      <c r="O873" s="6">
        <v>13.1676</v>
      </c>
      <c r="P873" s="6">
        <v>13.472200000000001</v>
      </c>
      <c r="Q873" s="6"/>
    </row>
    <row r="874" spans="1:17">
      <c r="A874" s="5">
        <v>42727</v>
      </c>
      <c r="B874" s="5" t="str">
        <f t="shared" si="13"/>
        <v>2016 q4</v>
      </c>
      <c r="C874" s="6">
        <v>6.3369</v>
      </c>
      <c r="D874" s="6">
        <v>6.4657</v>
      </c>
      <c r="E874" s="6">
        <v>6.7314999999999996</v>
      </c>
      <c r="F874" s="6">
        <v>7.1287000000000003</v>
      </c>
      <c r="G874" s="6">
        <v>7.4965999999999999</v>
      </c>
      <c r="H874" s="6">
        <v>7.8278999999999996</v>
      </c>
      <c r="I874" s="6">
        <v>8.9838000000000005</v>
      </c>
      <c r="J874" s="6">
        <v>9.8894000000000002</v>
      </c>
      <c r="K874" s="6">
        <v>10.591699999999999</v>
      </c>
      <c r="L874" s="6">
        <v>11.0482</v>
      </c>
      <c r="M874" s="6">
        <v>11.763500000000001</v>
      </c>
      <c r="N874" s="6">
        <v>12.5815</v>
      </c>
      <c r="O874" s="6">
        <v>13.259600000000001</v>
      </c>
      <c r="P874" s="6">
        <v>13.5878</v>
      </c>
      <c r="Q874" s="6"/>
    </row>
    <row r="875" spans="1:17">
      <c r="A875" s="5">
        <v>42730</v>
      </c>
      <c r="B875" s="5" t="str">
        <f t="shared" si="13"/>
        <v>2016 q4</v>
      </c>
      <c r="C875" s="6">
        <v>6.5498000000000003</v>
      </c>
      <c r="D875" s="6">
        <v>6.6612999999999998</v>
      </c>
      <c r="E875" s="6">
        <v>6.8914999999999997</v>
      </c>
      <c r="F875" s="6">
        <v>7.2370000000000001</v>
      </c>
      <c r="G875" s="6">
        <v>7.5598000000000001</v>
      </c>
      <c r="H875" s="6">
        <v>7.8566000000000003</v>
      </c>
      <c r="I875" s="6">
        <v>8.9149999999999991</v>
      </c>
      <c r="J875" s="6">
        <v>9.7375000000000007</v>
      </c>
      <c r="K875" s="6">
        <v>10.470700000000001</v>
      </c>
      <c r="L875" s="6">
        <v>10.951599999999999</v>
      </c>
      <c r="M875" s="6">
        <v>11.728400000000001</v>
      </c>
      <c r="N875" s="6">
        <v>12.6332</v>
      </c>
      <c r="O875" s="6">
        <v>13.444000000000001</v>
      </c>
      <c r="P875" s="6">
        <v>13.850899999999999</v>
      </c>
      <c r="Q875" s="6"/>
    </row>
    <row r="876" spans="1:17">
      <c r="A876" s="5">
        <v>42731</v>
      </c>
      <c r="B876" s="5" t="str">
        <f t="shared" si="13"/>
        <v>2016 q4</v>
      </c>
      <c r="C876" s="6">
        <v>6.8479000000000001</v>
      </c>
      <c r="D876" s="6">
        <v>6.9484000000000004</v>
      </c>
      <c r="E876" s="6">
        <v>7.1559999999999997</v>
      </c>
      <c r="F876" s="6">
        <v>7.4569000000000001</v>
      </c>
      <c r="G876" s="6">
        <v>7.7401999999999997</v>
      </c>
      <c r="H876" s="6">
        <v>8.0045000000000002</v>
      </c>
      <c r="I876" s="6">
        <v>8.9588999999999999</v>
      </c>
      <c r="J876" s="6">
        <v>9.7150999999999996</v>
      </c>
      <c r="K876" s="6">
        <v>10.3963</v>
      </c>
      <c r="L876" s="6">
        <v>10.8874</v>
      </c>
      <c r="M876" s="6">
        <v>11.673</v>
      </c>
      <c r="N876" s="6">
        <v>12.6007</v>
      </c>
      <c r="O876" s="6">
        <v>13.4832</v>
      </c>
      <c r="P876" s="6">
        <v>13.9411</v>
      </c>
      <c r="Q876" s="6"/>
    </row>
    <row r="877" spans="1:17">
      <c r="A877" s="5">
        <v>42732</v>
      </c>
      <c r="B877" s="5" t="str">
        <f t="shared" si="13"/>
        <v>2016 q4</v>
      </c>
      <c r="C877" s="6">
        <v>6.8353999999999999</v>
      </c>
      <c r="D877" s="6">
        <v>6.9371</v>
      </c>
      <c r="E877" s="6">
        <v>7.1471</v>
      </c>
      <c r="F877" s="6">
        <v>7.4511000000000003</v>
      </c>
      <c r="G877" s="6">
        <v>7.7370999999999999</v>
      </c>
      <c r="H877" s="6">
        <v>8.0039999999999996</v>
      </c>
      <c r="I877" s="6">
        <v>8.9662000000000006</v>
      </c>
      <c r="J877" s="6">
        <v>9.7265999999999995</v>
      </c>
      <c r="K877" s="6">
        <v>10.411300000000001</v>
      </c>
      <c r="L877" s="6">
        <v>10.902799999999999</v>
      </c>
      <c r="M877" s="6">
        <v>11.688499999999999</v>
      </c>
      <c r="N877" s="6">
        <v>12.6145</v>
      </c>
      <c r="O877" s="6">
        <v>13.492000000000001</v>
      </c>
      <c r="P877" s="6">
        <v>13.9457</v>
      </c>
      <c r="Q877" s="6"/>
    </row>
    <row r="878" spans="1:17">
      <c r="A878" s="5">
        <v>42733</v>
      </c>
      <c r="B878" s="5" t="str">
        <f t="shared" si="13"/>
        <v>2016 q4</v>
      </c>
      <c r="C878" s="6">
        <v>6.8518999999999997</v>
      </c>
      <c r="D878" s="6">
        <v>6.9507000000000003</v>
      </c>
      <c r="E878" s="6">
        <v>7.1543999999999999</v>
      </c>
      <c r="F878" s="6">
        <v>7.4499000000000004</v>
      </c>
      <c r="G878" s="6">
        <v>7.7286000000000001</v>
      </c>
      <c r="H878" s="6">
        <v>7.9896000000000003</v>
      </c>
      <c r="I878" s="6">
        <v>8.9344000000000001</v>
      </c>
      <c r="J878" s="6">
        <v>9.6879000000000008</v>
      </c>
      <c r="K878" s="6">
        <v>10.37</v>
      </c>
      <c r="L878" s="6">
        <v>10.8642</v>
      </c>
      <c r="M878" s="6">
        <v>11.663</v>
      </c>
      <c r="N878" s="6">
        <v>12.608700000000001</v>
      </c>
      <c r="O878" s="6">
        <v>13.522</v>
      </c>
      <c r="P878" s="6">
        <v>13.9999</v>
      </c>
      <c r="Q878" s="6"/>
    </row>
    <row r="879" spans="1:17">
      <c r="A879" s="5">
        <v>42734</v>
      </c>
      <c r="B879" s="5" t="str">
        <f t="shared" si="13"/>
        <v>2016 q4</v>
      </c>
      <c r="C879" s="6">
        <v>6.7427000000000001</v>
      </c>
      <c r="D879" s="6">
        <v>6.8398000000000003</v>
      </c>
      <c r="E879" s="6">
        <v>7.0403000000000002</v>
      </c>
      <c r="F879" s="6">
        <v>7.3329000000000004</v>
      </c>
      <c r="G879" s="6">
        <v>7.6096000000000004</v>
      </c>
      <c r="H879" s="6">
        <v>7.8697999999999997</v>
      </c>
      <c r="I879" s="6">
        <v>8.8148</v>
      </c>
      <c r="J879" s="6">
        <v>9.5822000000000003</v>
      </c>
      <c r="K879" s="6">
        <v>10.2849</v>
      </c>
      <c r="L879" s="6">
        <v>10.771699999999999</v>
      </c>
      <c r="M879" s="6">
        <v>11.597099999999999</v>
      </c>
      <c r="N879" s="6">
        <v>12.5787</v>
      </c>
      <c r="O879" s="6">
        <v>13.544</v>
      </c>
      <c r="P879" s="6">
        <v>14.055400000000001</v>
      </c>
      <c r="Q879" s="6"/>
    </row>
    <row r="880" spans="1:17">
      <c r="A880" s="5">
        <v>42744</v>
      </c>
      <c r="B880" s="5" t="str">
        <f t="shared" si="13"/>
        <v>2017 q1</v>
      </c>
      <c r="C880" s="6">
        <v>6.5340999999999996</v>
      </c>
      <c r="D880" s="6">
        <v>6.649</v>
      </c>
      <c r="E880" s="6">
        <v>6.8860999999999999</v>
      </c>
      <c r="F880" s="6">
        <v>7.2287999999999997</v>
      </c>
      <c r="G880" s="6">
        <v>7.5502000000000002</v>
      </c>
      <c r="H880" s="6">
        <v>7.8475999999999999</v>
      </c>
      <c r="I880" s="6">
        <v>8.9053000000000004</v>
      </c>
      <c r="J880" s="6">
        <v>9.7270000000000003</v>
      </c>
      <c r="K880" s="6">
        <v>10.464700000000001</v>
      </c>
      <c r="L880" s="6">
        <v>10.943300000000001</v>
      </c>
      <c r="M880" s="6">
        <v>11.7285</v>
      </c>
      <c r="N880" s="6">
        <v>12.6395</v>
      </c>
      <c r="O880" s="6">
        <v>13.4627</v>
      </c>
      <c r="P880" s="6">
        <v>13.8749</v>
      </c>
      <c r="Q880" s="6"/>
    </row>
    <row r="881" spans="1:17">
      <c r="A881" s="5">
        <v>42745</v>
      </c>
      <c r="B881" s="5" t="str">
        <f t="shared" si="13"/>
        <v>2017 q1</v>
      </c>
      <c r="C881" s="6">
        <v>6.5579000000000001</v>
      </c>
      <c r="D881" s="6">
        <v>6.6779999999999999</v>
      </c>
      <c r="E881" s="6">
        <v>6.9245999999999999</v>
      </c>
      <c r="F881" s="6">
        <v>7.2804000000000002</v>
      </c>
      <c r="G881" s="6">
        <v>7.6094999999999997</v>
      </c>
      <c r="H881" s="6">
        <v>7.9160000000000004</v>
      </c>
      <c r="I881" s="6">
        <v>8.9906000000000006</v>
      </c>
      <c r="J881" s="6">
        <v>9.8072999999999997</v>
      </c>
      <c r="K881" s="6">
        <v>10.540800000000001</v>
      </c>
      <c r="L881" s="6">
        <v>10.9948</v>
      </c>
      <c r="M881" s="6">
        <v>11.744999999999999</v>
      </c>
      <c r="N881" s="6">
        <v>12.601800000000001</v>
      </c>
      <c r="O881" s="6">
        <v>13.3567</v>
      </c>
      <c r="P881" s="6">
        <v>13.7258</v>
      </c>
      <c r="Q881" s="6"/>
    </row>
    <row r="882" spans="1:17">
      <c r="A882" s="5">
        <v>42746</v>
      </c>
      <c r="B882" s="5" t="str">
        <f t="shared" si="13"/>
        <v>2017 q1</v>
      </c>
      <c r="C882" s="6">
        <v>6.5701999999999998</v>
      </c>
      <c r="D882" s="6">
        <v>6.6886000000000001</v>
      </c>
      <c r="E882" s="6">
        <v>6.9314</v>
      </c>
      <c r="F882" s="6">
        <v>7.2820999999999998</v>
      </c>
      <c r="G882" s="6">
        <v>7.6067999999999998</v>
      </c>
      <c r="H882" s="6">
        <v>7.9100999999999999</v>
      </c>
      <c r="I882" s="6">
        <v>8.9753000000000007</v>
      </c>
      <c r="J882" s="6">
        <v>9.7788000000000004</v>
      </c>
      <c r="K882" s="6">
        <v>10.497400000000001</v>
      </c>
      <c r="L882" s="6">
        <v>10.9781</v>
      </c>
      <c r="M882" s="6">
        <v>11.7362</v>
      </c>
      <c r="N882" s="6">
        <v>12.603400000000001</v>
      </c>
      <c r="O882" s="6">
        <v>13.374599999999999</v>
      </c>
      <c r="P882" s="6">
        <v>13.7532</v>
      </c>
      <c r="Q882" s="6"/>
    </row>
    <row r="883" spans="1:17">
      <c r="A883" s="5">
        <v>42747</v>
      </c>
      <c r="B883" s="5" t="str">
        <f t="shared" si="13"/>
        <v>2017 q1</v>
      </c>
      <c r="C883" s="6">
        <v>6.6002000000000001</v>
      </c>
      <c r="D883" s="6">
        <v>6.7131999999999996</v>
      </c>
      <c r="E883" s="6">
        <v>6.9448999999999996</v>
      </c>
      <c r="F883" s="6">
        <v>7.2804000000000002</v>
      </c>
      <c r="G883" s="6">
        <v>7.5923999999999996</v>
      </c>
      <c r="H883" s="6">
        <v>7.8853999999999997</v>
      </c>
      <c r="I883" s="6">
        <v>8.9220000000000006</v>
      </c>
      <c r="J883" s="6">
        <v>9.7164000000000001</v>
      </c>
      <c r="K883" s="6">
        <v>10.432499999999999</v>
      </c>
      <c r="L883" s="6">
        <v>10.9194</v>
      </c>
      <c r="M883" s="6">
        <v>11.6996</v>
      </c>
      <c r="N883" s="6">
        <v>12.5982</v>
      </c>
      <c r="O883" s="6">
        <v>13.419700000000001</v>
      </c>
      <c r="P883" s="6">
        <v>13.828799999999999</v>
      </c>
      <c r="Q883" s="6"/>
    </row>
    <row r="884" spans="1:17">
      <c r="A884" s="5">
        <v>42748</v>
      </c>
      <c r="B884" s="5" t="str">
        <f t="shared" si="13"/>
        <v>2017 q1</v>
      </c>
      <c r="C884" s="6">
        <v>6.5952000000000002</v>
      </c>
      <c r="D884" s="6">
        <v>6.7096999999999998</v>
      </c>
      <c r="E884" s="6">
        <v>6.9444999999999997</v>
      </c>
      <c r="F884" s="6">
        <v>7.2840999999999996</v>
      </c>
      <c r="G884" s="6">
        <v>7.5994999999999999</v>
      </c>
      <c r="H884" s="6">
        <v>7.8955000000000002</v>
      </c>
      <c r="I884" s="6">
        <v>8.94</v>
      </c>
      <c r="J884" s="6">
        <v>9.7460000000000004</v>
      </c>
      <c r="K884" s="6">
        <v>10.477</v>
      </c>
      <c r="L884" s="6">
        <v>10.9374</v>
      </c>
      <c r="M884" s="6">
        <v>11.7113</v>
      </c>
      <c r="N884" s="6">
        <v>12.600099999999999</v>
      </c>
      <c r="O884" s="6">
        <v>13.406700000000001</v>
      </c>
      <c r="P884" s="6">
        <v>13.8063</v>
      </c>
      <c r="Q884" s="6"/>
    </row>
    <row r="885" spans="1:17">
      <c r="A885" s="5">
        <v>42751</v>
      </c>
      <c r="B885" s="5" t="str">
        <f t="shared" si="13"/>
        <v>2017 q1</v>
      </c>
      <c r="C885" s="6">
        <v>6.5980999999999996</v>
      </c>
      <c r="D885" s="6">
        <v>6.7137000000000002</v>
      </c>
      <c r="E885" s="6">
        <v>6.9504999999999999</v>
      </c>
      <c r="F885" s="6">
        <v>7.2927999999999997</v>
      </c>
      <c r="G885" s="6">
        <v>7.6101000000000001</v>
      </c>
      <c r="H885" s="6">
        <v>7.9078999999999997</v>
      </c>
      <c r="I885" s="6">
        <v>8.9565000000000001</v>
      </c>
      <c r="J885" s="6">
        <v>9.7523999999999997</v>
      </c>
      <c r="K885" s="6">
        <v>10.4688</v>
      </c>
      <c r="L885" s="6">
        <v>10.949299999999999</v>
      </c>
      <c r="M885" s="6">
        <v>11.7166</v>
      </c>
      <c r="N885" s="6">
        <v>12.595599999999999</v>
      </c>
      <c r="O885" s="6">
        <v>13.3887</v>
      </c>
      <c r="P885" s="6">
        <v>13.78</v>
      </c>
      <c r="Q885" s="6"/>
    </row>
    <row r="886" spans="1:17">
      <c r="A886" s="5">
        <v>42752</v>
      </c>
      <c r="B886" s="5" t="str">
        <f t="shared" si="13"/>
        <v>2017 q1</v>
      </c>
      <c r="C886" s="6">
        <v>6.7878999999999996</v>
      </c>
      <c r="D886" s="6">
        <v>6.8817000000000004</v>
      </c>
      <c r="E886" s="6">
        <v>7.0739000000000001</v>
      </c>
      <c r="F886" s="6">
        <v>7.3522999999999996</v>
      </c>
      <c r="G886" s="6">
        <v>7.6166999999999998</v>
      </c>
      <c r="H886" s="6">
        <v>7.8810000000000002</v>
      </c>
      <c r="I886" s="6">
        <v>8.7908000000000008</v>
      </c>
      <c r="J886" s="6">
        <v>9.5341000000000005</v>
      </c>
      <c r="K886" s="6">
        <v>10.222899999999999</v>
      </c>
      <c r="L886" s="6">
        <v>10.7202</v>
      </c>
      <c r="M886" s="6">
        <v>11.563599999999999</v>
      </c>
      <c r="N886" s="6">
        <v>12.5632</v>
      </c>
      <c r="O886" s="6">
        <v>13.5807</v>
      </c>
      <c r="P886" s="6">
        <v>14.124599999999999</v>
      </c>
      <c r="Q886" s="6"/>
    </row>
    <row r="887" spans="1:17">
      <c r="A887" s="5">
        <v>42753</v>
      </c>
      <c r="B887" s="5" t="str">
        <f t="shared" si="13"/>
        <v>2017 q1</v>
      </c>
      <c r="C887" s="6">
        <v>6.6794000000000002</v>
      </c>
      <c r="D887" s="6">
        <v>6.7915000000000001</v>
      </c>
      <c r="E887" s="6">
        <v>7.0208000000000004</v>
      </c>
      <c r="F887" s="6">
        <v>7.3491999999999997</v>
      </c>
      <c r="G887" s="6">
        <v>7.6566000000000001</v>
      </c>
      <c r="H887" s="6">
        <v>7.9633000000000003</v>
      </c>
      <c r="I887" s="6">
        <v>8.9746000000000006</v>
      </c>
      <c r="J887" s="6">
        <v>9.7563999999999993</v>
      </c>
      <c r="K887" s="6">
        <v>10.4648</v>
      </c>
      <c r="L887" s="6">
        <v>10.940300000000001</v>
      </c>
      <c r="M887" s="6">
        <v>11.71</v>
      </c>
      <c r="N887" s="6">
        <v>12.5922</v>
      </c>
      <c r="O887" s="6">
        <v>13.4</v>
      </c>
      <c r="P887" s="6">
        <v>13.8004</v>
      </c>
      <c r="Q887" s="6"/>
    </row>
    <row r="888" spans="1:17">
      <c r="A888" s="5">
        <v>42754</v>
      </c>
      <c r="B888" s="5" t="str">
        <f t="shared" si="13"/>
        <v>2017 q1</v>
      </c>
      <c r="C888" s="6">
        <v>6.6832000000000003</v>
      </c>
      <c r="D888" s="6">
        <v>6.7949000000000002</v>
      </c>
      <c r="E888" s="6">
        <v>7.0229999999999997</v>
      </c>
      <c r="F888" s="6">
        <v>7.3498000000000001</v>
      </c>
      <c r="G888" s="6">
        <v>7.6559999999999997</v>
      </c>
      <c r="H888" s="6">
        <v>7.9614000000000003</v>
      </c>
      <c r="I888" s="6">
        <v>8.9701000000000004</v>
      </c>
      <c r="J888" s="6">
        <v>9.7507000000000001</v>
      </c>
      <c r="K888" s="6">
        <v>10.459199999999999</v>
      </c>
      <c r="L888" s="6">
        <v>10.934799999999999</v>
      </c>
      <c r="M888" s="6">
        <v>11.7073</v>
      </c>
      <c r="N888" s="6">
        <v>12.5928</v>
      </c>
      <c r="O888" s="6">
        <v>13.406599999999999</v>
      </c>
      <c r="P888" s="6">
        <v>13.8104</v>
      </c>
      <c r="Q888" s="6"/>
    </row>
    <row r="889" spans="1:17">
      <c r="A889" s="5">
        <v>42755</v>
      </c>
      <c r="B889" s="5" t="str">
        <f t="shared" si="13"/>
        <v>2017 q1</v>
      </c>
      <c r="C889" s="6">
        <v>6.6333000000000002</v>
      </c>
      <c r="D889" s="6">
        <v>6.7439</v>
      </c>
      <c r="E889" s="6">
        <v>6.9722999999999997</v>
      </c>
      <c r="F889" s="6">
        <v>7.3060999999999998</v>
      </c>
      <c r="G889" s="6">
        <v>7.6188000000000002</v>
      </c>
      <c r="H889" s="6">
        <v>7.9302000000000001</v>
      </c>
      <c r="I889" s="6">
        <v>8.9558</v>
      </c>
      <c r="J889" s="6">
        <v>9.7453000000000003</v>
      </c>
      <c r="K889" s="6">
        <v>10.4611</v>
      </c>
      <c r="L889" s="6">
        <v>10.938000000000001</v>
      </c>
      <c r="M889" s="6">
        <v>11.710800000000001</v>
      </c>
      <c r="N889" s="6">
        <v>12.593999999999999</v>
      </c>
      <c r="O889" s="6">
        <v>13.3994</v>
      </c>
      <c r="P889" s="6">
        <v>13.796799999999999</v>
      </c>
      <c r="Q889" s="6"/>
    </row>
    <row r="890" spans="1:17">
      <c r="A890" s="5">
        <v>42758</v>
      </c>
      <c r="B890" s="5" t="str">
        <f t="shared" si="13"/>
        <v>2017 q1</v>
      </c>
      <c r="C890" s="6">
        <v>6.7099000000000002</v>
      </c>
      <c r="D890" s="6">
        <v>6.8030999999999997</v>
      </c>
      <c r="E890" s="6">
        <v>6.9954000000000001</v>
      </c>
      <c r="F890" s="6">
        <v>7.2778999999999998</v>
      </c>
      <c r="G890" s="6">
        <v>7.5462999999999996</v>
      </c>
      <c r="H890" s="6">
        <v>7.8136000000000001</v>
      </c>
      <c r="I890" s="6">
        <v>8.7292000000000005</v>
      </c>
      <c r="J890" s="6">
        <v>9.4688999999999997</v>
      </c>
      <c r="K890" s="6">
        <v>10.153700000000001</v>
      </c>
      <c r="L890" s="6">
        <v>10.638999999999999</v>
      </c>
      <c r="M890" s="6">
        <v>11.4602</v>
      </c>
      <c r="N890" s="6">
        <v>12.424899999999999</v>
      </c>
      <c r="O890" s="6">
        <v>13.390499999999999</v>
      </c>
      <c r="P890" s="6">
        <v>13.897600000000001</v>
      </c>
      <c r="Q890" s="6"/>
    </row>
    <row r="891" spans="1:17">
      <c r="A891" s="5">
        <v>42759</v>
      </c>
      <c r="B891" s="5" t="str">
        <f t="shared" si="13"/>
        <v>2017 q1</v>
      </c>
      <c r="C891" s="6">
        <v>6.5921000000000003</v>
      </c>
      <c r="D891" s="6">
        <v>6.7058999999999997</v>
      </c>
      <c r="E891" s="6">
        <v>6.9406999999999996</v>
      </c>
      <c r="F891" s="6">
        <v>7.2853000000000003</v>
      </c>
      <c r="G891" s="6">
        <v>7.6144999999999996</v>
      </c>
      <c r="H891" s="6">
        <v>7.9126000000000003</v>
      </c>
      <c r="I891" s="6">
        <v>8.9649000000000001</v>
      </c>
      <c r="J891" s="6">
        <v>9.7713999999999999</v>
      </c>
      <c r="K891" s="6">
        <v>10.5078</v>
      </c>
      <c r="L891" s="6">
        <v>10.956099999999999</v>
      </c>
      <c r="M891" s="6">
        <v>11.7239</v>
      </c>
      <c r="N891" s="6">
        <v>12.595700000000001</v>
      </c>
      <c r="O891" s="6">
        <v>13.382899999999999</v>
      </c>
      <c r="P891" s="6">
        <v>13.7675</v>
      </c>
      <c r="Q891" s="6"/>
    </row>
    <row r="892" spans="1:17">
      <c r="A892" s="5">
        <v>42760</v>
      </c>
      <c r="B892" s="5" t="str">
        <f t="shared" si="13"/>
        <v>2017 q1</v>
      </c>
      <c r="C892" s="6">
        <v>6.6146000000000003</v>
      </c>
      <c r="D892" s="6">
        <v>6.7256</v>
      </c>
      <c r="E892" s="6">
        <v>6.9549000000000003</v>
      </c>
      <c r="F892" s="6">
        <v>7.2912999999999997</v>
      </c>
      <c r="G892" s="6">
        <v>7.6128999999999998</v>
      </c>
      <c r="H892" s="6">
        <v>7.9055999999999997</v>
      </c>
      <c r="I892" s="6">
        <v>8.9421999999999997</v>
      </c>
      <c r="J892" s="6">
        <v>9.7883999999999993</v>
      </c>
      <c r="K892" s="6">
        <v>10.4726</v>
      </c>
      <c r="L892" s="6">
        <v>10.928599999999999</v>
      </c>
      <c r="M892" s="6">
        <v>11.707599999999999</v>
      </c>
      <c r="N892" s="6">
        <v>12.594900000000001</v>
      </c>
      <c r="O892" s="6">
        <v>13.407999999999999</v>
      </c>
      <c r="P892" s="6">
        <v>13.808299999999999</v>
      </c>
      <c r="Q892" s="6"/>
    </row>
    <row r="893" spans="1:17">
      <c r="A893" s="5">
        <v>42761</v>
      </c>
      <c r="B893" s="5" t="str">
        <f t="shared" si="13"/>
        <v>2017 q1</v>
      </c>
      <c r="C893" s="6">
        <v>6.6121999999999996</v>
      </c>
      <c r="D893" s="6">
        <v>6.7243000000000004</v>
      </c>
      <c r="E893" s="6">
        <v>6.9558999999999997</v>
      </c>
      <c r="F893" s="6">
        <v>7.2953000000000001</v>
      </c>
      <c r="G893" s="6">
        <v>7.6197999999999997</v>
      </c>
      <c r="H893" s="6">
        <v>7.9150999999999998</v>
      </c>
      <c r="I893" s="6">
        <v>8.9602000000000004</v>
      </c>
      <c r="J893" s="6">
        <v>9.7559000000000005</v>
      </c>
      <c r="K893" s="6">
        <v>10.481199999999999</v>
      </c>
      <c r="L893" s="6">
        <v>10.9587</v>
      </c>
      <c r="M893" s="6">
        <v>11.741300000000001</v>
      </c>
      <c r="N893" s="6">
        <v>12.6317</v>
      </c>
      <c r="O893" s="6">
        <v>13.4466</v>
      </c>
      <c r="P893" s="6">
        <v>13.847</v>
      </c>
      <c r="Q893" s="6"/>
    </row>
    <row r="894" spans="1:17">
      <c r="A894" s="5">
        <v>42762</v>
      </c>
      <c r="B894" s="5" t="str">
        <f t="shared" si="13"/>
        <v>2017 q1</v>
      </c>
      <c r="C894" s="6">
        <v>6.3005000000000004</v>
      </c>
      <c r="D894" s="6">
        <v>6.4335000000000004</v>
      </c>
      <c r="E894" s="6">
        <v>6.7081</v>
      </c>
      <c r="F894" s="6">
        <v>7.1067999999999998</v>
      </c>
      <c r="G894" s="6">
        <v>7.4816000000000003</v>
      </c>
      <c r="H894" s="6">
        <v>7.8169000000000004</v>
      </c>
      <c r="I894" s="6">
        <v>8.9766999999999992</v>
      </c>
      <c r="J894" s="6">
        <v>9.8313000000000006</v>
      </c>
      <c r="K894" s="6">
        <v>10.602600000000001</v>
      </c>
      <c r="L894" s="6">
        <v>11.0426</v>
      </c>
      <c r="M894" s="6">
        <v>11.7858</v>
      </c>
      <c r="N894" s="6">
        <v>12.613899999999999</v>
      </c>
      <c r="O894" s="6">
        <v>13.319699999999999</v>
      </c>
      <c r="P894" s="6">
        <v>13.653499999999999</v>
      </c>
      <c r="Q894" s="6"/>
    </row>
    <row r="895" spans="1:17">
      <c r="A895" s="5">
        <v>42765</v>
      </c>
      <c r="B895" s="5" t="str">
        <f t="shared" si="13"/>
        <v>2017 q1</v>
      </c>
      <c r="C895" s="6">
        <v>6.2823000000000002</v>
      </c>
      <c r="D895" s="6">
        <v>6.4188999999999998</v>
      </c>
      <c r="E895" s="6">
        <v>6.7008999999999999</v>
      </c>
      <c r="F895" s="6">
        <v>7.1094999999999997</v>
      </c>
      <c r="G895" s="6">
        <v>7.4926000000000004</v>
      </c>
      <c r="H895" s="6">
        <v>7.8346</v>
      </c>
      <c r="I895" s="6">
        <v>9.0111000000000008</v>
      </c>
      <c r="J895" s="6">
        <v>9.8567999999999998</v>
      </c>
      <c r="K895" s="6">
        <v>10.612500000000001</v>
      </c>
      <c r="L895" s="6">
        <v>11.0768</v>
      </c>
      <c r="M895" s="6">
        <v>11.8081</v>
      </c>
      <c r="N895" s="6">
        <v>12.619400000000001</v>
      </c>
      <c r="O895" s="6">
        <v>13.3024</v>
      </c>
      <c r="P895" s="6">
        <v>13.6234</v>
      </c>
      <c r="Q895" s="6"/>
    </row>
    <row r="896" spans="1:17">
      <c r="A896" s="5">
        <v>42766</v>
      </c>
      <c r="B896" s="5" t="str">
        <f t="shared" si="13"/>
        <v>2017 q1</v>
      </c>
      <c r="C896" s="6">
        <v>6.2611999999999997</v>
      </c>
      <c r="D896" s="6">
        <v>6.3967000000000001</v>
      </c>
      <c r="E896" s="6">
        <v>6.6764000000000001</v>
      </c>
      <c r="F896" s="6">
        <v>7.0960999999999999</v>
      </c>
      <c r="G896" s="6">
        <v>7.4752999999999998</v>
      </c>
      <c r="H896" s="6">
        <v>7.8196000000000003</v>
      </c>
      <c r="I896" s="6">
        <v>9.0015999999999998</v>
      </c>
      <c r="J896" s="6">
        <v>9.9222000000000001</v>
      </c>
      <c r="K896" s="6">
        <v>10.632899999999999</v>
      </c>
      <c r="L896" s="6">
        <v>11.072699999999999</v>
      </c>
      <c r="M896" s="6">
        <v>11.8073</v>
      </c>
      <c r="N896" s="6">
        <v>12.620200000000001</v>
      </c>
      <c r="O896" s="6">
        <v>13.305400000000001</v>
      </c>
      <c r="P896" s="6">
        <v>13.6267</v>
      </c>
      <c r="Q896" s="6"/>
    </row>
    <row r="897" spans="1:17">
      <c r="A897" s="5">
        <v>42767</v>
      </c>
      <c r="B897" s="5" t="str">
        <f t="shared" si="13"/>
        <v>2017 q1</v>
      </c>
      <c r="C897" s="6">
        <v>6.2847</v>
      </c>
      <c r="D897" s="6">
        <v>6.4160000000000004</v>
      </c>
      <c r="E897" s="6">
        <v>6.6870000000000003</v>
      </c>
      <c r="F897" s="6">
        <v>7.0937000000000001</v>
      </c>
      <c r="G897" s="6">
        <v>7.4621000000000004</v>
      </c>
      <c r="H897" s="6">
        <v>7.7988</v>
      </c>
      <c r="I897" s="6">
        <v>8.9616000000000007</v>
      </c>
      <c r="J897" s="6">
        <v>9.8064999999999998</v>
      </c>
      <c r="K897" s="6">
        <v>10.5686</v>
      </c>
      <c r="L897" s="6">
        <v>11.039300000000001</v>
      </c>
      <c r="M897" s="6">
        <v>11.794700000000001</v>
      </c>
      <c r="N897" s="6">
        <v>12.6342</v>
      </c>
      <c r="O897" s="6">
        <v>13.355499999999999</v>
      </c>
      <c r="P897" s="6">
        <v>13.696199999999999</v>
      </c>
      <c r="Q897" s="6"/>
    </row>
    <row r="898" spans="1:17">
      <c r="A898" s="5">
        <v>42768</v>
      </c>
      <c r="B898" s="5" t="str">
        <f t="shared" si="13"/>
        <v>2017 q1</v>
      </c>
      <c r="C898" s="6">
        <v>6.2389999999999999</v>
      </c>
      <c r="D898" s="6">
        <v>6.3757999999999999</v>
      </c>
      <c r="E898" s="6">
        <v>6.6582999999999997</v>
      </c>
      <c r="F898" s="6">
        <v>7.0818000000000003</v>
      </c>
      <c r="G898" s="6">
        <v>7.4634999999999998</v>
      </c>
      <c r="H898" s="6">
        <v>7.8109999999999999</v>
      </c>
      <c r="I898" s="6">
        <v>9.0017999999999994</v>
      </c>
      <c r="J898" s="6">
        <v>9.8538999999999994</v>
      </c>
      <c r="K898" s="6">
        <v>10.619300000000001</v>
      </c>
      <c r="L898" s="6">
        <v>11.0831</v>
      </c>
      <c r="M898" s="6">
        <v>11.821300000000001</v>
      </c>
      <c r="N898" s="6">
        <v>12.6365</v>
      </c>
      <c r="O898" s="6">
        <v>13.323499999999999</v>
      </c>
      <c r="P898" s="6">
        <v>13.645</v>
      </c>
      <c r="Q898" s="6"/>
    </row>
    <row r="899" spans="1:17">
      <c r="A899" s="5">
        <v>42769</v>
      </c>
      <c r="B899" s="5" t="str">
        <f t="shared" ref="B899:B962" si="14">YEAR(A899)&amp;" q"&amp;ROUNDUP(MONTH(A899)/3,0)</f>
        <v>2017 q1</v>
      </c>
      <c r="C899" s="6">
        <v>6.2420999999999998</v>
      </c>
      <c r="D899" s="6">
        <v>6.3794000000000004</v>
      </c>
      <c r="E899" s="6">
        <v>6.6627999999999998</v>
      </c>
      <c r="F899" s="6">
        <v>7.0871000000000004</v>
      </c>
      <c r="G899" s="6">
        <v>7.4694000000000003</v>
      </c>
      <c r="H899" s="6">
        <v>7.8177000000000003</v>
      </c>
      <c r="I899" s="6">
        <v>9.01</v>
      </c>
      <c r="J899" s="6">
        <v>9.8619000000000003</v>
      </c>
      <c r="K899" s="6">
        <v>10.627599999999999</v>
      </c>
      <c r="L899" s="6">
        <v>11.09</v>
      </c>
      <c r="M899" s="6">
        <v>11.827299999999999</v>
      </c>
      <c r="N899" s="6">
        <v>12.6404</v>
      </c>
      <c r="O899" s="6">
        <v>13.3253</v>
      </c>
      <c r="P899" s="6">
        <v>13.645300000000001</v>
      </c>
      <c r="Q899" s="6"/>
    </row>
    <row r="900" spans="1:17">
      <c r="A900" s="5">
        <v>42772</v>
      </c>
      <c r="B900" s="5" t="str">
        <f t="shared" si="14"/>
        <v>2017 q1</v>
      </c>
      <c r="C900" s="6">
        <v>6.2416</v>
      </c>
      <c r="D900" s="6">
        <v>6.3796999999999997</v>
      </c>
      <c r="E900" s="6">
        <v>6.6647999999999996</v>
      </c>
      <c r="F900" s="6">
        <v>7.0913000000000004</v>
      </c>
      <c r="G900" s="6">
        <v>7.4748999999999999</v>
      </c>
      <c r="H900" s="6">
        <v>7.8243</v>
      </c>
      <c r="I900" s="6">
        <v>9.0173000000000005</v>
      </c>
      <c r="J900" s="6">
        <v>9.8655000000000008</v>
      </c>
      <c r="K900" s="6">
        <v>10.627599999999999</v>
      </c>
      <c r="L900" s="6">
        <v>11.0846</v>
      </c>
      <c r="M900" s="6">
        <v>11.8126</v>
      </c>
      <c r="N900" s="6">
        <v>12.6137</v>
      </c>
      <c r="O900" s="6">
        <v>13.2852</v>
      </c>
      <c r="P900" s="6">
        <v>13.598100000000001</v>
      </c>
      <c r="Q900" s="6"/>
    </row>
    <row r="901" spans="1:17">
      <c r="A901" s="5">
        <v>42773</v>
      </c>
      <c r="B901" s="5" t="str">
        <f t="shared" si="14"/>
        <v>2017 q1</v>
      </c>
      <c r="C901" s="6">
        <v>6.2680999999999996</v>
      </c>
      <c r="D901" s="6">
        <v>6.4038000000000004</v>
      </c>
      <c r="E901" s="6">
        <v>6.6840000000000002</v>
      </c>
      <c r="F901" s="6">
        <v>7.1009000000000002</v>
      </c>
      <c r="G901" s="6">
        <v>7.4690000000000003</v>
      </c>
      <c r="H901" s="6">
        <v>7.8365999999999998</v>
      </c>
      <c r="I901" s="6">
        <v>9.0061999999999998</v>
      </c>
      <c r="J901" s="6">
        <v>9.8523999999999994</v>
      </c>
      <c r="K901" s="6">
        <v>10.617900000000001</v>
      </c>
      <c r="L901" s="6">
        <v>11.077999999999999</v>
      </c>
      <c r="M901" s="6">
        <v>11.8208</v>
      </c>
      <c r="N901" s="6">
        <v>12.6387</v>
      </c>
      <c r="O901" s="6">
        <v>13.333600000000001</v>
      </c>
      <c r="P901" s="6">
        <v>13.658200000000001</v>
      </c>
      <c r="Q901" s="6"/>
    </row>
    <row r="902" spans="1:17">
      <c r="A902" s="5">
        <v>42774</v>
      </c>
      <c r="B902" s="5" t="str">
        <f t="shared" si="14"/>
        <v>2017 q1</v>
      </c>
      <c r="C902" s="6">
        <v>6.2835000000000001</v>
      </c>
      <c r="D902" s="6">
        <v>6.4184999999999999</v>
      </c>
      <c r="E902" s="6">
        <v>6.6971999999999996</v>
      </c>
      <c r="F902" s="6">
        <v>7.1113999999999997</v>
      </c>
      <c r="G902" s="6">
        <v>7.4778000000000002</v>
      </c>
      <c r="H902" s="6">
        <v>7.8433999999999999</v>
      </c>
      <c r="I902" s="6">
        <v>9.0084</v>
      </c>
      <c r="J902" s="6">
        <v>9.8520000000000003</v>
      </c>
      <c r="K902" s="6">
        <v>10.616300000000001</v>
      </c>
      <c r="L902" s="6">
        <v>11.0755</v>
      </c>
      <c r="M902" s="6">
        <v>11.8192</v>
      </c>
      <c r="N902" s="6">
        <v>12.6379</v>
      </c>
      <c r="O902" s="6">
        <v>13.3353</v>
      </c>
      <c r="P902" s="6">
        <v>13.661</v>
      </c>
      <c r="Q902" s="6"/>
    </row>
    <row r="903" spans="1:17">
      <c r="A903" s="5">
        <v>42775</v>
      </c>
      <c r="B903" s="5" t="str">
        <f t="shared" si="14"/>
        <v>2017 q1</v>
      </c>
      <c r="C903" s="6">
        <v>6.2912999999999997</v>
      </c>
      <c r="D903" s="6">
        <v>6.4263000000000003</v>
      </c>
      <c r="E903" s="6">
        <v>6.7049000000000003</v>
      </c>
      <c r="F903" s="6">
        <v>7.1184000000000003</v>
      </c>
      <c r="G903" s="6">
        <v>7.4843999999999999</v>
      </c>
      <c r="H903" s="6">
        <v>7.8491999999999997</v>
      </c>
      <c r="I903" s="6">
        <v>9.0107999999999997</v>
      </c>
      <c r="J903" s="6">
        <v>9.8498000000000001</v>
      </c>
      <c r="K903" s="6">
        <v>10.6104</v>
      </c>
      <c r="L903" s="6">
        <v>11.065200000000001</v>
      </c>
      <c r="M903" s="6">
        <v>11.8027</v>
      </c>
      <c r="N903" s="6">
        <v>12.613300000000001</v>
      </c>
      <c r="O903" s="6">
        <v>13.3026</v>
      </c>
      <c r="P903" s="6">
        <v>13.624000000000001</v>
      </c>
      <c r="Q903" s="6"/>
    </row>
    <row r="904" spans="1:17">
      <c r="A904" s="5">
        <v>42776</v>
      </c>
      <c r="B904" s="5" t="str">
        <f t="shared" si="14"/>
        <v>2017 q1</v>
      </c>
      <c r="C904" s="6">
        <v>6.2628000000000004</v>
      </c>
      <c r="D904" s="6">
        <v>6.3992000000000004</v>
      </c>
      <c r="E904" s="6">
        <v>6.6807999999999996</v>
      </c>
      <c r="F904" s="6">
        <v>7.0979999999999999</v>
      </c>
      <c r="G904" s="6">
        <v>7.468</v>
      </c>
      <c r="H904" s="6">
        <v>7.8364000000000003</v>
      </c>
      <c r="I904" s="6">
        <v>9.0106000000000002</v>
      </c>
      <c r="J904" s="6">
        <v>9.8587000000000007</v>
      </c>
      <c r="K904" s="6">
        <v>10.6287</v>
      </c>
      <c r="L904" s="6">
        <v>11.0884</v>
      </c>
      <c r="M904" s="6">
        <v>11.835900000000001</v>
      </c>
      <c r="N904" s="6">
        <v>12.6571</v>
      </c>
      <c r="O904" s="6">
        <v>13.3566</v>
      </c>
      <c r="P904" s="6">
        <v>13.682600000000001</v>
      </c>
      <c r="Q904" s="6"/>
    </row>
    <row r="905" spans="1:17">
      <c r="A905" s="5">
        <v>42779</v>
      </c>
      <c r="B905" s="5" t="str">
        <f t="shared" si="14"/>
        <v>2017 q1</v>
      </c>
      <c r="C905" s="6">
        <v>6.28</v>
      </c>
      <c r="D905" s="6">
        <v>6.4149000000000003</v>
      </c>
      <c r="E905" s="6">
        <v>6.6932999999999998</v>
      </c>
      <c r="F905" s="6">
        <v>7.1055000000000001</v>
      </c>
      <c r="G905" s="6">
        <v>7.4720000000000004</v>
      </c>
      <c r="H905" s="6">
        <v>7.8365</v>
      </c>
      <c r="I905" s="6">
        <v>9.0024999999999995</v>
      </c>
      <c r="J905" s="6">
        <v>9.8470999999999993</v>
      </c>
      <c r="K905" s="6">
        <v>10.6158</v>
      </c>
      <c r="L905" s="6">
        <v>11.075699999999999</v>
      </c>
      <c r="M905" s="6">
        <v>11.827</v>
      </c>
      <c r="N905" s="6">
        <v>12.653</v>
      </c>
      <c r="O905" s="6">
        <v>13.3607</v>
      </c>
      <c r="P905" s="6">
        <v>13.691000000000001</v>
      </c>
      <c r="Q905" s="6"/>
    </row>
    <row r="906" spans="1:17">
      <c r="A906" s="5">
        <v>42780</v>
      </c>
      <c r="B906" s="5" t="str">
        <f t="shared" si="14"/>
        <v>2017 q1</v>
      </c>
      <c r="C906" s="6">
        <v>6.2409999999999997</v>
      </c>
      <c r="D906" s="6">
        <v>6.3765999999999998</v>
      </c>
      <c r="E906" s="6">
        <v>6.6565000000000003</v>
      </c>
      <c r="F906" s="6">
        <v>7.0708000000000002</v>
      </c>
      <c r="G906" s="6">
        <v>7.4509999999999996</v>
      </c>
      <c r="H906" s="6">
        <v>7.8036000000000003</v>
      </c>
      <c r="I906" s="6">
        <v>8.9774999999999991</v>
      </c>
      <c r="J906" s="6">
        <v>9.8279999999999994</v>
      </c>
      <c r="K906" s="6">
        <v>10.6053</v>
      </c>
      <c r="L906" s="6">
        <v>11.068300000000001</v>
      </c>
      <c r="M906" s="6">
        <v>11.831300000000001</v>
      </c>
      <c r="N906" s="6">
        <v>12.668799999999999</v>
      </c>
      <c r="O906" s="6">
        <v>13.3901</v>
      </c>
      <c r="P906" s="6">
        <v>13.7265</v>
      </c>
      <c r="Q906" s="6"/>
    </row>
    <row r="907" spans="1:17">
      <c r="A907" s="5">
        <v>42781</v>
      </c>
      <c r="B907" s="5" t="str">
        <f t="shared" si="14"/>
        <v>2017 q1</v>
      </c>
      <c r="C907" s="6">
        <v>6.2358000000000002</v>
      </c>
      <c r="D907" s="6">
        <v>6.3727999999999998</v>
      </c>
      <c r="E907" s="6">
        <v>6.6555999999999997</v>
      </c>
      <c r="F907" s="6">
        <v>7.0735999999999999</v>
      </c>
      <c r="G907" s="6">
        <v>7.4565000000000001</v>
      </c>
      <c r="H907" s="6">
        <v>7.8110999999999997</v>
      </c>
      <c r="I907" s="6">
        <v>8.9870000000000001</v>
      </c>
      <c r="J907" s="6">
        <v>9.8330000000000002</v>
      </c>
      <c r="K907" s="6">
        <v>10.605399999999999</v>
      </c>
      <c r="L907" s="6">
        <v>11.0608</v>
      </c>
      <c r="M907" s="6">
        <v>11.809900000000001</v>
      </c>
      <c r="N907" s="6">
        <v>12.6294</v>
      </c>
      <c r="O907" s="6">
        <v>13.3294</v>
      </c>
      <c r="P907" s="6">
        <v>13.654400000000001</v>
      </c>
      <c r="Q907" s="6"/>
    </row>
    <row r="908" spans="1:17">
      <c r="A908" s="5">
        <v>42782</v>
      </c>
      <c r="B908" s="5" t="str">
        <f t="shared" si="14"/>
        <v>2017 q1</v>
      </c>
      <c r="C908" s="6">
        <v>6.2408999999999999</v>
      </c>
      <c r="D908" s="6">
        <v>6.3779000000000003</v>
      </c>
      <c r="E908" s="6">
        <v>6.6607000000000003</v>
      </c>
      <c r="F908" s="6">
        <v>7.0781999999999998</v>
      </c>
      <c r="G908" s="6">
        <v>7.4607999999999999</v>
      </c>
      <c r="H908" s="6">
        <v>7.8151000000000002</v>
      </c>
      <c r="I908" s="6">
        <v>8.9902999999999995</v>
      </c>
      <c r="J908" s="6">
        <v>9.8352000000000004</v>
      </c>
      <c r="K908" s="6">
        <v>10.6074</v>
      </c>
      <c r="L908" s="6">
        <v>11.0617</v>
      </c>
      <c r="M908" s="6">
        <v>11.810499999999999</v>
      </c>
      <c r="N908" s="6">
        <v>12.629099999999999</v>
      </c>
      <c r="O908" s="6">
        <v>13.328799999999999</v>
      </c>
      <c r="P908" s="6">
        <v>13.6534</v>
      </c>
      <c r="Q908" s="6"/>
    </row>
    <row r="909" spans="1:17">
      <c r="A909" s="5">
        <v>42783</v>
      </c>
      <c r="B909" s="5" t="str">
        <f t="shared" si="14"/>
        <v>2017 q1</v>
      </c>
      <c r="C909" s="6">
        <v>6.2693000000000003</v>
      </c>
      <c r="D909" s="6">
        <v>6.4047000000000001</v>
      </c>
      <c r="E909" s="6">
        <v>6.6841999999999997</v>
      </c>
      <c r="F909" s="6">
        <v>7.0967000000000002</v>
      </c>
      <c r="G909" s="6">
        <v>7.4748000000000001</v>
      </c>
      <c r="H909" s="6">
        <v>7.8178000000000001</v>
      </c>
      <c r="I909" s="6">
        <v>8.9947999999999997</v>
      </c>
      <c r="J909" s="6">
        <v>9.8521999999999998</v>
      </c>
      <c r="K909" s="6">
        <v>10.6427</v>
      </c>
      <c r="L909" s="6">
        <v>11.0678</v>
      </c>
      <c r="M909" s="6">
        <v>11.8245</v>
      </c>
      <c r="N909" s="6">
        <v>12.6525</v>
      </c>
      <c r="O909" s="6">
        <v>13.365600000000001</v>
      </c>
      <c r="P909" s="6">
        <v>13.697100000000001</v>
      </c>
      <c r="Q909" s="6"/>
    </row>
    <row r="910" spans="1:17">
      <c r="A910" s="5">
        <v>42786</v>
      </c>
      <c r="B910" s="5" t="str">
        <f t="shared" si="14"/>
        <v>2017 q1</v>
      </c>
      <c r="C910" s="6">
        <v>6.0976999999999997</v>
      </c>
      <c r="D910" s="6">
        <v>6.2474999999999996</v>
      </c>
      <c r="E910" s="6">
        <v>6.5568</v>
      </c>
      <c r="F910" s="6">
        <v>7.0117000000000003</v>
      </c>
      <c r="G910" s="6">
        <v>7.4242999999999997</v>
      </c>
      <c r="H910" s="6">
        <v>7.7949000000000002</v>
      </c>
      <c r="I910" s="6">
        <v>9.0443999999999996</v>
      </c>
      <c r="J910" s="6">
        <v>9.9093</v>
      </c>
      <c r="K910" s="6">
        <v>10.694699999999999</v>
      </c>
      <c r="L910" s="6">
        <v>11.138999999999999</v>
      </c>
      <c r="M910" s="6">
        <v>11.862399999999999</v>
      </c>
      <c r="N910" s="6">
        <v>12.6439</v>
      </c>
      <c r="O910" s="6">
        <v>13.289300000000001</v>
      </c>
      <c r="P910" s="6">
        <v>13.584099999999999</v>
      </c>
      <c r="Q910" s="6"/>
    </row>
    <row r="911" spans="1:17">
      <c r="A911" s="5">
        <v>42787</v>
      </c>
      <c r="B911" s="5" t="str">
        <f t="shared" si="14"/>
        <v>2017 q1</v>
      </c>
      <c r="C911" s="6">
        <v>6.1216999999999997</v>
      </c>
      <c r="D911" s="6">
        <v>6.2705000000000002</v>
      </c>
      <c r="E911" s="6">
        <v>6.5778999999999996</v>
      </c>
      <c r="F911" s="6">
        <v>7.0285000000000002</v>
      </c>
      <c r="G911" s="6">
        <v>7.4378000000000002</v>
      </c>
      <c r="H911" s="6">
        <v>7.8071000000000002</v>
      </c>
      <c r="I911" s="6">
        <v>9.0531000000000006</v>
      </c>
      <c r="J911" s="6">
        <v>9.9177999999999997</v>
      </c>
      <c r="K911" s="6">
        <v>10.707000000000001</v>
      </c>
      <c r="L911" s="6">
        <v>11.152200000000001</v>
      </c>
      <c r="M911" s="6">
        <v>11.884600000000001</v>
      </c>
      <c r="N911" s="6">
        <v>12.675000000000001</v>
      </c>
      <c r="O911" s="6">
        <v>13.332100000000001</v>
      </c>
      <c r="P911" s="6">
        <v>13.6328</v>
      </c>
      <c r="Q911" s="6"/>
    </row>
    <row r="912" spans="1:17">
      <c r="A912" s="5">
        <v>42788</v>
      </c>
      <c r="B912" s="5" t="str">
        <f t="shared" si="14"/>
        <v>2017 q1</v>
      </c>
      <c r="C912" s="6">
        <v>6.1143000000000001</v>
      </c>
      <c r="D912" s="6">
        <v>6.2641</v>
      </c>
      <c r="E912" s="6">
        <v>6.5734000000000004</v>
      </c>
      <c r="F912" s="6">
        <v>7.0262000000000002</v>
      </c>
      <c r="G912" s="6">
        <v>7.4368999999999996</v>
      </c>
      <c r="H912" s="6">
        <v>7.8075000000000001</v>
      </c>
      <c r="I912" s="6">
        <v>9.0543999999999993</v>
      </c>
      <c r="J912" s="6">
        <v>9.9155999999999995</v>
      </c>
      <c r="K912" s="6">
        <v>10.701700000000001</v>
      </c>
      <c r="L912" s="6">
        <v>11.1419</v>
      </c>
      <c r="M912" s="6">
        <v>11.866300000000001</v>
      </c>
      <c r="N912" s="6">
        <v>12.6464</v>
      </c>
      <c r="O912" s="6">
        <v>13.2921</v>
      </c>
      <c r="P912" s="6">
        <v>13.587199999999999</v>
      </c>
      <c r="Q912" s="6"/>
    </row>
    <row r="913" spans="1:17">
      <c r="A913" s="5">
        <v>42789</v>
      </c>
      <c r="B913" s="5" t="str">
        <f t="shared" si="14"/>
        <v>2017 q1</v>
      </c>
      <c r="C913" s="6">
        <v>6.1195000000000004</v>
      </c>
      <c r="D913" s="6">
        <v>6.2698</v>
      </c>
      <c r="E913" s="6">
        <v>6.5799000000000003</v>
      </c>
      <c r="F913" s="6">
        <v>7.0332999999999997</v>
      </c>
      <c r="G913" s="6">
        <v>7.4443999999999999</v>
      </c>
      <c r="H913" s="6">
        <v>7.8155999999999999</v>
      </c>
      <c r="I913" s="6">
        <v>9.0625999999999998</v>
      </c>
      <c r="J913" s="6">
        <v>9.9216999999999995</v>
      </c>
      <c r="K913" s="6">
        <v>10.7067</v>
      </c>
      <c r="L913" s="6">
        <v>11.1442</v>
      </c>
      <c r="M913" s="6">
        <v>11.865399999999999</v>
      </c>
      <c r="N913" s="6">
        <v>12.6409</v>
      </c>
      <c r="O913" s="6">
        <v>13.2819</v>
      </c>
      <c r="P913" s="6">
        <v>13.5747</v>
      </c>
      <c r="Q913" s="6"/>
    </row>
    <row r="914" spans="1:17">
      <c r="A914" s="5">
        <v>42790</v>
      </c>
      <c r="B914" s="5" t="str">
        <f t="shared" si="14"/>
        <v>2017 q1</v>
      </c>
      <c r="C914" s="6">
        <v>6.1524999999999999</v>
      </c>
      <c r="D914" s="6">
        <v>6.2960000000000003</v>
      </c>
      <c r="E914" s="6">
        <v>6.5921000000000003</v>
      </c>
      <c r="F914" s="6">
        <v>7.0251999999999999</v>
      </c>
      <c r="G914" s="6">
        <v>7.4203999999999999</v>
      </c>
      <c r="H914" s="6">
        <v>7.7798999999999996</v>
      </c>
      <c r="I914" s="6">
        <v>8.9994999999999994</v>
      </c>
      <c r="J914" s="6">
        <v>9.8566000000000003</v>
      </c>
      <c r="K914" s="6">
        <v>10.645300000000001</v>
      </c>
      <c r="L914" s="6">
        <v>11.0945</v>
      </c>
      <c r="M914" s="6">
        <v>11.8454</v>
      </c>
      <c r="N914" s="6">
        <v>12.6579</v>
      </c>
      <c r="O914" s="6">
        <v>13.3462</v>
      </c>
      <c r="P914" s="6">
        <v>13.6637</v>
      </c>
      <c r="Q914" s="6"/>
    </row>
    <row r="915" spans="1:17">
      <c r="A915" s="5">
        <v>42793</v>
      </c>
      <c r="B915" s="5" t="str">
        <f t="shared" si="14"/>
        <v>2017 q1</v>
      </c>
      <c r="C915" s="6">
        <v>6.1439000000000004</v>
      </c>
      <c r="D915" s="6">
        <v>6.2929000000000004</v>
      </c>
      <c r="E915" s="6">
        <v>6.6003999999999996</v>
      </c>
      <c r="F915" s="6">
        <v>7.0487000000000002</v>
      </c>
      <c r="G915" s="6">
        <v>7.4547999999999996</v>
      </c>
      <c r="H915" s="6">
        <v>7.8220000000000001</v>
      </c>
      <c r="I915" s="6">
        <v>9.0518999999999998</v>
      </c>
      <c r="J915" s="6">
        <v>9.8955000000000002</v>
      </c>
      <c r="K915" s="6">
        <v>10.6675</v>
      </c>
      <c r="L915" s="6">
        <v>11.0939</v>
      </c>
      <c r="M915" s="6">
        <v>11.799099999999999</v>
      </c>
      <c r="N915" s="6">
        <v>12.5555</v>
      </c>
      <c r="O915" s="6">
        <v>13.178800000000001</v>
      </c>
      <c r="P915" s="6">
        <v>13.463200000000001</v>
      </c>
      <c r="Q915" s="6"/>
    </row>
    <row r="916" spans="1:17">
      <c r="A916" s="5">
        <v>42794</v>
      </c>
      <c r="B916" s="5" t="str">
        <f t="shared" si="14"/>
        <v>2017 q1</v>
      </c>
      <c r="C916" s="6">
        <v>6.0069999999999997</v>
      </c>
      <c r="D916" s="6">
        <v>6.1637000000000004</v>
      </c>
      <c r="E916" s="6">
        <v>6.4874000000000001</v>
      </c>
      <c r="F916" s="6">
        <v>6.9621000000000004</v>
      </c>
      <c r="G916" s="6">
        <v>7.4020999999999999</v>
      </c>
      <c r="H916" s="6">
        <v>7.7983000000000002</v>
      </c>
      <c r="I916" s="6">
        <v>9.1038999999999994</v>
      </c>
      <c r="J916" s="6">
        <v>9.9732000000000003</v>
      </c>
      <c r="K916" s="6">
        <v>10.7661</v>
      </c>
      <c r="L916" s="6">
        <v>11.1869</v>
      </c>
      <c r="M916" s="6">
        <v>11.8786</v>
      </c>
      <c r="N916" s="6">
        <v>12.6126</v>
      </c>
      <c r="O916" s="6">
        <v>13.201000000000001</v>
      </c>
      <c r="P916" s="6">
        <v>13.4671</v>
      </c>
      <c r="Q916" s="6"/>
    </row>
    <row r="917" spans="1:17">
      <c r="A917" s="5">
        <v>42795</v>
      </c>
      <c r="B917" s="5" t="str">
        <f t="shared" si="14"/>
        <v>2017 q1</v>
      </c>
      <c r="C917" s="6">
        <v>6.1117999999999997</v>
      </c>
      <c r="D917" s="6">
        <v>6.2558999999999996</v>
      </c>
      <c r="E917" s="6">
        <v>6.5532000000000004</v>
      </c>
      <c r="F917" s="6">
        <v>6.9898999999999996</v>
      </c>
      <c r="G917" s="6">
        <v>7.3970000000000002</v>
      </c>
      <c r="H917" s="6">
        <v>7.7672999999999996</v>
      </c>
      <c r="I917" s="6">
        <v>9.0059000000000005</v>
      </c>
      <c r="J917" s="6">
        <v>9.9450000000000003</v>
      </c>
      <c r="K917" s="6">
        <v>10.6663</v>
      </c>
      <c r="L917" s="6">
        <v>11.131</v>
      </c>
      <c r="M917" s="6">
        <v>11.946199999999999</v>
      </c>
      <c r="N917" s="6">
        <v>12.549300000000001</v>
      </c>
      <c r="O917" s="6">
        <v>13.184200000000001</v>
      </c>
      <c r="P917" s="6">
        <v>13.474500000000001</v>
      </c>
      <c r="Q917" s="6"/>
    </row>
    <row r="918" spans="1:17">
      <c r="A918" s="5">
        <v>42796</v>
      </c>
      <c r="B918" s="5" t="str">
        <f t="shared" si="14"/>
        <v>2017 q1</v>
      </c>
      <c r="C918" s="6">
        <v>6.0256999999999996</v>
      </c>
      <c r="D918" s="6">
        <v>6.1814</v>
      </c>
      <c r="E918" s="6">
        <v>6.5030000000000001</v>
      </c>
      <c r="F918" s="6">
        <v>6.9740000000000002</v>
      </c>
      <c r="G918" s="6">
        <v>7.4103000000000003</v>
      </c>
      <c r="H918" s="6">
        <v>7.8045</v>
      </c>
      <c r="I918" s="6">
        <v>9.1037999999999997</v>
      </c>
      <c r="J918" s="6">
        <v>9.9700000000000006</v>
      </c>
      <c r="K918" s="6">
        <v>10.7629</v>
      </c>
      <c r="L918" s="6">
        <v>11.182499999999999</v>
      </c>
      <c r="M918" s="6">
        <v>11.8772</v>
      </c>
      <c r="N918" s="6">
        <v>12.6137</v>
      </c>
      <c r="O918" s="6">
        <v>13.206200000000001</v>
      </c>
      <c r="P918" s="6">
        <v>13.474399999999999</v>
      </c>
      <c r="Q918" s="6"/>
    </row>
    <row r="919" spans="1:17">
      <c r="A919" s="5">
        <v>42797</v>
      </c>
      <c r="B919" s="5" t="str">
        <f t="shared" si="14"/>
        <v>2017 q1</v>
      </c>
      <c r="C919" s="6">
        <v>6.0556999999999999</v>
      </c>
      <c r="D919" s="6">
        <v>6.2073</v>
      </c>
      <c r="E919" s="6">
        <v>6.5202999999999998</v>
      </c>
      <c r="F919" s="6">
        <v>6.9789000000000003</v>
      </c>
      <c r="G919" s="6">
        <v>7.4051999999999998</v>
      </c>
      <c r="H919" s="6">
        <v>7.7927999999999997</v>
      </c>
      <c r="I919" s="6">
        <v>9.0813000000000006</v>
      </c>
      <c r="J919" s="6">
        <v>9.9551999999999996</v>
      </c>
      <c r="K919" s="6">
        <v>10.7599</v>
      </c>
      <c r="L919" s="6">
        <v>11.193300000000001</v>
      </c>
      <c r="M919" s="6">
        <v>11.9194</v>
      </c>
      <c r="N919" s="6">
        <v>12.692500000000001</v>
      </c>
      <c r="O919" s="6">
        <v>13.3263</v>
      </c>
      <c r="P919" s="6">
        <v>13.615</v>
      </c>
      <c r="Q919" s="6"/>
    </row>
    <row r="920" spans="1:17">
      <c r="A920" s="5">
        <v>42800</v>
      </c>
      <c r="B920" s="5" t="str">
        <f t="shared" si="14"/>
        <v>2017 q1</v>
      </c>
      <c r="C920" s="6">
        <v>6.0377999999999998</v>
      </c>
      <c r="D920" s="6">
        <v>6.1936</v>
      </c>
      <c r="E920" s="6">
        <v>6.5152000000000001</v>
      </c>
      <c r="F920" s="6">
        <v>6.9855</v>
      </c>
      <c r="G920" s="6">
        <v>7.4206000000000003</v>
      </c>
      <c r="H920" s="6">
        <v>7.8146000000000004</v>
      </c>
      <c r="I920" s="6">
        <v>9.1105</v>
      </c>
      <c r="J920" s="6">
        <v>9.9719999999999995</v>
      </c>
      <c r="K920" s="6">
        <v>10.7624</v>
      </c>
      <c r="L920" s="6">
        <v>11.1776</v>
      </c>
      <c r="M920" s="6">
        <v>11.868600000000001</v>
      </c>
      <c r="N920" s="6">
        <v>12.599600000000001</v>
      </c>
      <c r="O920" s="6">
        <v>13.1873</v>
      </c>
      <c r="P920" s="6">
        <v>13.4534</v>
      </c>
      <c r="Q920" s="6"/>
    </row>
    <row r="921" spans="1:17">
      <c r="A921" s="5">
        <v>42801</v>
      </c>
      <c r="B921" s="5" t="str">
        <f t="shared" si="14"/>
        <v>2017 q1</v>
      </c>
      <c r="C921" s="6">
        <v>6.0437000000000003</v>
      </c>
      <c r="D921" s="6">
        <v>6.1856</v>
      </c>
      <c r="E921" s="6">
        <v>6.4783999999999997</v>
      </c>
      <c r="F921" s="6">
        <v>6.9005000000000001</v>
      </c>
      <c r="G921" s="6">
        <v>7.2938000000000001</v>
      </c>
      <c r="H921" s="6">
        <v>7.6866000000000003</v>
      </c>
      <c r="I921" s="6">
        <v>8.9207999999999998</v>
      </c>
      <c r="J921" s="6">
        <v>9.7888999999999999</v>
      </c>
      <c r="K921" s="6">
        <v>10.598699999999999</v>
      </c>
      <c r="L921" s="6">
        <v>11.047000000000001</v>
      </c>
      <c r="M921" s="6">
        <v>11.8178</v>
      </c>
      <c r="N921" s="6">
        <v>12.6442</v>
      </c>
      <c r="O921" s="6">
        <v>13.3477</v>
      </c>
      <c r="P921" s="6">
        <v>13.6729</v>
      </c>
      <c r="Q921" s="6"/>
    </row>
    <row r="922" spans="1:17">
      <c r="A922" s="5">
        <v>42803</v>
      </c>
      <c r="B922" s="5" t="str">
        <f t="shared" si="14"/>
        <v>2017 q1</v>
      </c>
      <c r="C922" s="6">
        <v>6.0282</v>
      </c>
      <c r="D922" s="6">
        <v>6.1680000000000001</v>
      </c>
      <c r="E922" s="6">
        <v>6.4565999999999999</v>
      </c>
      <c r="F922" s="6">
        <v>6.8726000000000003</v>
      </c>
      <c r="G922" s="6">
        <v>7.2614999999999998</v>
      </c>
      <c r="H922" s="6">
        <v>7.6494999999999997</v>
      </c>
      <c r="I922" s="6">
        <v>8.8773999999999997</v>
      </c>
      <c r="J922" s="6">
        <v>9.7481000000000009</v>
      </c>
      <c r="K922" s="6">
        <v>10.562799999999999</v>
      </c>
      <c r="L922" s="6">
        <v>11.018000000000001</v>
      </c>
      <c r="M922" s="6">
        <v>11.8057</v>
      </c>
      <c r="N922" s="6">
        <v>12.6524</v>
      </c>
      <c r="O922" s="6">
        <v>13.381500000000001</v>
      </c>
      <c r="P922" s="6">
        <v>13.7202</v>
      </c>
      <c r="Q922" s="6"/>
    </row>
    <row r="923" spans="1:17">
      <c r="A923" s="5">
        <v>42804</v>
      </c>
      <c r="B923" s="5" t="str">
        <f t="shared" si="14"/>
        <v>2017 q1</v>
      </c>
      <c r="C923" s="6">
        <v>6.0780000000000003</v>
      </c>
      <c r="D923" s="6">
        <v>6.2098000000000004</v>
      </c>
      <c r="E923" s="6">
        <v>6.4821</v>
      </c>
      <c r="F923" s="6">
        <v>6.8753000000000002</v>
      </c>
      <c r="G923" s="6">
        <v>7.2462999999999997</v>
      </c>
      <c r="H923" s="6">
        <v>7.6158999999999999</v>
      </c>
      <c r="I923" s="6">
        <v>8.8161000000000005</v>
      </c>
      <c r="J923" s="6">
        <v>9.7764000000000006</v>
      </c>
      <c r="K923" s="6">
        <v>10.538</v>
      </c>
      <c r="L923" s="6">
        <v>11.0076</v>
      </c>
      <c r="M923" s="6">
        <v>11.860300000000001</v>
      </c>
      <c r="N923" s="6">
        <v>12.788600000000001</v>
      </c>
      <c r="O923" s="6">
        <v>13.625400000000001</v>
      </c>
      <c r="P923" s="6">
        <v>14.023099999999999</v>
      </c>
      <c r="Q923" s="6"/>
    </row>
    <row r="924" spans="1:17">
      <c r="A924" s="5">
        <v>42807</v>
      </c>
      <c r="B924" s="5" t="str">
        <f t="shared" si="14"/>
        <v>2017 q1</v>
      </c>
      <c r="C924" s="6">
        <v>6.0826000000000002</v>
      </c>
      <c r="D924" s="6">
        <v>6.2130999999999998</v>
      </c>
      <c r="E924" s="6">
        <v>6.4825999999999997</v>
      </c>
      <c r="F924" s="6">
        <v>6.8716999999999997</v>
      </c>
      <c r="G924" s="6">
        <v>7.2398999999999996</v>
      </c>
      <c r="H924" s="6">
        <v>7.6063000000000001</v>
      </c>
      <c r="I924" s="6">
        <v>8.8033000000000001</v>
      </c>
      <c r="J924" s="6">
        <v>9.6853999999999996</v>
      </c>
      <c r="K924" s="6">
        <v>10.521100000000001</v>
      </c>
      <c r="L924" s="6">
        <v>11.0113</v>
      </c>
      <c r="M924" s="6">
        <v>11.8818</v>
      </c>
      <c r="N924" s="6">
        <v>12.832000000000001</v>
      </c>
      <c r="O924" s="6">
        <v>13.6983</v>
      </c>
      <c r="P924" s="6">
        <v>14.112500000000001</v>
      </c>
      <c r="Q924" s="6"/>
    </row>
    <row r="925" spans="1:17">
      <c r="A925" s="5">
        <v>42808</v>
      </c>
      <c r="B925" s="5" t="str">
        <f t="shared" si="14"/>
        <v>2017 q1</v>
      </c>
      <c r="C925" s="6">
        <v>6.0896999999999997</v>
      </c>
      <c r="D925" s="6">
        <v>6.2127999999999997</v>
      </c>
      <c r="E925" s="6">
        <v>6.4671000000000003</v>
      </c>
      <c r="F925" s="6">
        <v>6.8343999999999996</v>
      </c>
      <c r="G925" s="6">
        <v>7.1843000000000004</v>
      </c>
      <c r="H925" s="6">
        <v>7.5317999999999996</v>
      </c>
      <c r="I925" s="6">
        <v>8.6854999999999993</v>
      </c>
      <c r="J925" s="6">
        <v>9.6268999999999991</v>
      </c>
      <c r="K925" s="6">
        <v>10.3972</v>
      </c>
      <c r="L925" s="6">
        <v>10.8748</v>
      </c>
      <c r="M925" s="6">
        <v>11.7699</v>
      </c>
      <c r="N925" s="6">
        <v>12.755100000000001</v>
      </c>
      <c r="O925" s="6">
        <v>13.682600000000001</v>
      </c>
      <c r="P925" s="6">
        <v>14.135</v>
      </c>
      <c r="Q925" s="6"/>
    </row>
    <row r="926" spans="1:17">
      <c r="A926" s="5">
        <v>42809</v>
      </c>
      <c r="B926" s="5" t="str">
        <f t="shared" si="14"/>
        <v>2017 q1</v>
      </c>
      <c r="C926" s="6">
        <v>6.1162000000000001</v>
      </c>
      <c r="D926" s="6">
        <v>6.2374000000000001</v>
      </c>
      <c r="E926" s="6">
        <v>6.4875999999999996</v>
      </c>
      <c r="F926" s="6">
        <v>6.8489000000000004</v>
      </c>
      <c r="G926" s="6">
        <v>7.1939000000000002</v>
      </c>
      <c r="H926" s="6">
        <v>7.5362</v>
      </c>
      <c r="I926" s="6">
        <v>8.6784999999999997</v>
      </c>
      <c r="J926" s="6">
        <v>9.5546000000000006</v>
      </c>
      <c r="K926" s="6">
        <v>10.384</v>
      </c>
      <c r="L926" s="6">
        <v>10.8652</v>
      </c>
      <c r="M926" s="6">
        <v>11.769299999999999</v>
      </c>
      <c r="N926" s="6">
        <v>12.767099999999999</v>
      </c>
      <c r="O926" s="6">
        <v>13.7163</v>
      </c>
      <c r="P926" s="6">
        <v>14.1823</v>
      </c>
      <c r="Q926" s="6"/>
    </row>
    <row r="927" spans="1:17">
      <c r="A927" s="5">
        <v>42810</v>
      </c>
      <c r="B927" s="5" t="str">
        <f t="shared" si="14"/>
        <v>2017 q1</v>
      </c>
      <c r="C927" s="6">
        <v>6.1228999999999996</v>
      </c>
      <c r="D927" s="6">
        <v>6.2436999999999996</v>
      </c>
      <c r="E927" s="6">
        <v>6.4931000000000001</v>
      </c>
      <c r="F927" s="6">
        <v>6.8531000000000004</v>
      </c>
      <c r="G927" s="6">
        <v>7.1976000000000004</v>
      </c>
      <c r="H927" s="6">
        <v>7.5392000000000001</v>
      </c>
      <c r="I927" s="6">
        <v>8.6843000000000004</v>
      </c>
      <c r="J927" s="6">
        <v>9.5535999999999994</v>
      </c>
      <c r="K927" s="6">
        <v>10.3866</v>
      </c>
      <c r="L927" s="6">
        <v>10.8941</v>
      </c>
      <c r="M927" s="6">
        <v>11.817299999999999</v>
      </c>
      <c r="N927" s="6">
        <v>12.838800000000001</v>
      </c>
      <c r="O927" s="6">
        <v>13.82</v>
      </c>
      <c r="P927" s="6">
        <v>14.3048</v>
      </c>
      <c r="Q927" s="6"/>
    </row>
    <row r="928" spans="1:17">
      <c r="A928" s="5">
        <v>42811</v>
      </c>
      <c r="B928" s="5" t="str">
        <f t="shared" si="14"/>
        <v>2017 q1</v>
      </c>
      <c r="C928" s="6">
        <v>5.9500999999999999</v>
      </c>
      <c r="D928" s="6">
        <v>6.0826000000000002</v>
      </c>
      <c r="E928" s="6">
        <v>6.3560999999999996</v>
      </c>
      <c r="F928" s="6">
        <v>6.7489999999999997</v>
      </c>
      <c r="G928" s="6">
        <v>7.1231999999999998</v>
      </c>
      <c r="H928" s="6">
        <v>7.4936999999999996</v>
      </c>
      <c r="I928" s="6">
        <v>8.7143999999999995</v>
      </c>
      <c r="J928" s="6">
        <v>9.6171000000000006</v>
      </c>
      <c r="K928" s="6">
        <v>10.478899999999999</v>
      </c>
      <c r="L928" s="6">
        <v>10.9831</v>
      </c>
      <c r="M928" s="6">
        <v>11.8931</v>
      </c>
      <c r="N928" s="6">
        <v>12.8855</v>
      </c>
      <c r="O928" s="6">
        <v>13.802300000000001</v>
      </c>
      <c r="P928" s="6">
        <v>14.2441</v>
      </c>
      <c r="Q928" s="6"/>
    </row>
    <row r="929" spans="1:17">
      <c r="A929" s="5">
        <v>42814</v>
      </c>
      <c r="B929" s="5" t="str">
        <f t="shared" si="14"/>
        <v>2017 q1</v>
      </c>
      <c r="C929" s="6">
        <v>5.9661</v>
      </c>
      <c r="D929" s="6">
        <v>6.0967000000000002</v>
      </c>
      <c r="E929" s="6">
        <v>6.3662999999999998</v>
      </c>
      <c r="F929" s="6">
        <v>6.7534000000000001</v>
      </c>
      <c r="G929" s="6">
        <v>7.1227999999999998</v>
      </c>
      <c r="H929" s="6">
        <v>7.4882</v>
      </c>
      <c r="I929" s="6">
        <v>8.6959</v>
      </c>
      <c r="J929" s="6">
        <v>9.5916999999999994</v>
      </c>
      <c r="K929" s="6">
        <v>10.4483</v>
      </c>
      <c r="L929" s="6">
        <v>10.9511</v>
      </c>
      <c r="M929" s="6">
        <v>11.8619</v>
      </c>
      <c r="N929" s="6">
        <v>12.856299999999999</v>
      </c>
      <c r="O929" s="6">
        <v>13.7805</v>
      </c>
      <c r="P929" s="6">
        <v>14.227399999999999</v>
      </c>
      <c r="Q929" s="6"/>
    </row>
    <row r="930" spans="1:17">
      <c r="A930" s="5">
        <v>42815</v>
      </c>
      <c r="B930" s="5" t="str">
        <f t="shared" si="14"/>
        <v>2017 q1</v>
      </c>
      <c r="C930" s="6">
        <v>5.4782999999999999</v>
      </c>
      <c r="D930" s="6">
        <v>5.6403999999999996</v>
      </c>
      <c r="E930" s="6">
        <v>5.9749999999999996</v>
      </c>
      <c r="F930" s="6">
        <v>6.4759000000000002</v>
      </c>
      <c r="G930" s="6">
        <v>6.9203000000000001</v>
      </c>
      <c r="H930" s="6">
        <v>7.3579999999999997</v>
      </c>
      <c r="I930" s="6">
        <v>8.7446000000000002</v>
      </c>
      <c r="J930" s="6">
        <v>9.6843000000000004</v>
      </c>
      <c r="K930" s="6">
        <v>10.5722</v>
      </c>
      <c r="L930" s="6">
        <v>11.029400000000001</v>
      </c>
      <c r="M930" s="6">
        <v>11.8375</v>
      </c>
      <c r="N930" s="6">
        <v>12.6859</v>
      </c>
      <c r="O930" s="6">
        <v>13.391299999999999</v>
      </c>
      <c r="P930" s="6">
        <v>13.7143</v>
      </c>
      <c r="Q930" s="6"/>
    </row>
    <row r="931" spans="1:17">
      <c r="A931" s="5">
        <v>42816</v>
      </c>
      <c r="B931" s="5" t="str">
        <f t="shared" si="14"/>
        <v>2017 q1</v>
      </c>
      <c r="C931" s="6">
        <v>5.6025</v>
      </c>
      <c r="D931" s="6">
        <v>5.7380000000000004</v>
      </c>
      <c r="E931" s="6">
        <v>6.0179</v>
      </c>
      <c r="F931" s="6">
        <v>6.4367000000000001</v>
      </c>
      <c r="G931" s="6">
        <v>6.8186</v>
      </c>
      <c r="H931" s="6">
        <v>7.1957000000000004</v>
      </c>
      <c r="I931" s="6">
        <v>8.452</v>
      </c>
      <c r="J931" s="6">
        <v>9.3711000000000002</v>
      </c>
      <c r="K931" s="6">
        <v>10.252000000000001</v>
      </c>
      <c r="L931" s="6">
        <v>10.7559</v>
      </c>
      <c r="M931" s="6">
        <v>11.673299999999999</v>
      </c>
      <c r="N931" s="6">
        <v>12.6663</v>
      </c>
      <c r="O931" s="6">
        <v>13.575699999999999</v>
      </c>
      <c r="P931" s="6">
        <v>14.0116</v>
      </c>
      <c r="Q931" s="6"/>
    </row>
    <row r="932" spans="1:17">
      <c r="A932" s="5">
        <v>42817</v>
      </c>
      <c r="B932" s="5" t="str">
        <f t="shared" si="14"/>
        <v>2017 q1</v>
      </c>
      <c r="C932" s="6">
        <v>5.5967000000000002</v>
      </c>
      <c r="D932" s="6">
        <v>5.7282000000000002</v>
      </c>
      <c r="E932" s="6">
        <v>5.9995000000000003</v>
      </c>
      <c r="F932" s="6">
        <v>6.4051999999999998</v>
      </c>
      <c r="G932" s="6">
        <v>6.7767999999999997</v>
      </c>
      <c r="H932" s="6">
        <v>7.1436999999999999</v>
      </c>
      <c r="I932" s="6">
        <v>8.3751999999999995</v>
      </c>
      <c r="J932" s="6">
        <v>9.2858000000000001</v>
      </c>
      <c r="K932" s="6">
        <v>10.161099999999999</v>
      </c>
      <c r="L932" s="6">
        <v>10.6692</v>
      </c>
      <c r="M932" s="6">
        <v>11.5997</v>
      </c>
      <c r="N932" s="6">
        <v>12.6119</v>
      </c>
      <c r="O932" s="6">
        <v>13.554500000000001</v>
      </c>
      <c r="P932" s="6">
        <v>14.0108</v>
      </c>
      <c r="Q932" s="6"/>
    </row>
    <row r="933" spans="1:17">
      <c r="A933" s="5">
        <v>42818</v>
      </c>
      <c r="B933" s="5" t="str">
        <f t="shared" si="14"/>
        <v>2017 q1</v>
      </c>
      <c r="C933" s="6">
        <v>5.5857999999999999</v>
      </c>
      <c r="D933" s="6">
        <v>5.7178000000000004</v>
      </c>
      <c r="E933" s="6">
        <v>5.9903000000000004</v>
      </c>
      <c r="F933" s="6">
        <v>6.3973000000000004</v>
      </c>
      <c r="G933" s="6">
        <v>6.7713999999999999</v>
      </c>
      <c r="H933" s="6">
        <v>7.1405000000000003</v>
      </c>
      <c r="I933" s="6">
        <v>8.3858999999999995</v>
      </c>
      <c r="J933" s="6">
        <v>9.3129000000000008</v>
      </c>
      <c r="K933" s="6">
        <v>10.2059</v>
      </c>
      <c r="L933" s="6">
        <v>10.729100000000001</v>
      </c>
      <c r="M933" s="6">
        <v>11.691599999999999</v>
      </c>
      <c r="N933" s="6">
        <v>12.7418</v>
      </c>
      <c r="O933" s="6">
        <v>13.731</v>
      </c>
      <c r="P933" s="6">
        <v>14.2133</v>
      </c>
      <c r="Q933" s="6"/>
    </row>
    <row r="934" spans="1:17">
      <c r="A934" s="5">
        <v>42821</v>
      </c>
      <c r="B934" s="5" t="str">
        <f t="shared" si="14"/>
        <v>2017 q1</v>
      </c>
      <c r="C934" s="6">
        <v>5.6189</v>
      </c>
      <c r="D934" s="6">
        <v>5.7481</v>
      </c>
      <c r="E934" s="6">
        <v>6.0148000000000001</v>
      </c>
      <c r="F934" s="6">
        <v>6.4127999999999998</v>
      </c>
      <c r="G934" s="6">
        <v>6.7793000000000001</v>
      </c>
      <c r="H934" s="6">
        <v>7.1406999999999998</v>
      </c>
      <c r="I934" s="6">
        <v>8.3625000000000007</v>
      </c>
      <c r="J934" s="6">
        <v>9.2738999999999994</v>
      </c>
      <c r="K934" s="6">
        <v>10.153</v>
      </c>
      <c r="L934" s="6">
        <v>10.669</v>
      </c>
      <c r="M934" s="6">
        <v>11.6212</v>
      </c>
      <c r="N934" s="6">
        <v>12.6609</v>
      </c>
      <c r="O934" s="6">
        <v>13.644600000000001</v>
      </c>
      <c r="P934" s="6">
        <v>14.125500000000001</v>
      </c>
      <c r="Q934" s="6"/>
    </row>
    <row r="935" spans="1:17">
      <c r="A935" s="5">
        <v>42822</v>
      </c>
      <c r="B935" s="5" t="str">
        <f t="shared" si="14"/>
        <v>2017 q1</v>
      </c>
      <c r="C935" s="6">
        <v>5.5708000000000002</v>
      </c>
      <c r="D935" s="6">
        <v>5.7016</v>
      </c>
      <c r="E935" s="6">
        <v>5.9715999999999996</v>
      </c>
      <c r="F935" s="6">
        <v>6.3735999999999997</v>
      </c>
      <c r="G935" s="6">
        <v>6.7476000000000003</v>
      </c>
      <c r="H935" s="6">
        <v>7.1154000000000002</v>
      </c>
      <c r="I935" s="6">
        <v>8.3556000000000008</v>
      </c>
      <c r="J935" s="6">
        <v>9.2730999999999995</v>
      </c>
      <c r="K935" s="6">
        <v>10.16</v>
      </c>
      <c r="L935" s="6">
        <v>10.6722</v>
      </c>
      <c r="M935" s="6">
        <v>11.6219</v>
      </c>
      <c r="N935" s="6">
        <v>12.653</v>
      </c>
      <c r="O935" s="6">
        <v>13.6206</v>
      </c>
      <c r="P935" s="6">
        <v>14.0913</v>
      </c>
      <c r="Q935" s="6"/>
    </row>
    <row r="936" spans="1:17">
      <c r="A936" s="5">
        <v>42823</v>
      </c>
      <c r="B936" s="5" t="str">
        <f t="shared" si="14"/>
        <v>2017 q1</v>
      </c>
      <c r="C936" s="6">
        <v>5.5266000000000002</v>
      </c>
      <c r="D936" s="6">
        <v>5.6638999999999999</v>
      </c>
      <c r="E936" s="6">
        <v>5.9473000000000003</v>
      </c>
      <c r="F936" s="6">
        <v>6.3688000000000002</v>
      </c>
      <c r="G936" s="6">
        <v>6.7591999999999999</v>
      </c>
      <c r="H936" s="6">
        <v>7.1422999999999996</v>
      </c>
      <c r="I936" s="6">
        <v>8.4191000000000003</v>
      </c>
      <c r="J936" s="6">
        <v>9.4369999999999994</v>
      </c>
      <c r="K936" s="6">
        <v>10.246700000000001</v>
      </c>
      <c r="L936" s="6">
        <v>10.7371</v>
      </c>
      <c r="M936" s="6">
        <v>11.6599</v>
      </c>
      <c r="N936" s="6">
        <v>12.651</v>
      </c>
      <c r="O936" s="6">
        <v>13.555899999999999</v>
      </c>
      <c r="P936" s="6">
        <v>13.9887</v>
      </c>
      <c r="Q936" s="6"/>
    </row>
    <row r="937" spans="1:17">
      <c r="A937" s="5">
        <v>42824</v>
      </c>
      <c r="B937" s="5" t="str">
        <f t="shared" si="14"/>
        <v>2017 q1</v>
      </c>
      <c r="C937" s="6">
        <v>5.7243000000000004</v>
      </c>
      <c r="D937" s="6">
        <v>5.8387000000000002</v>
      </c>
      <c r="E937" s="6">
        <v>6.0749000000000004</v>
      </c>
      <c r="F937" s="6">
        <v>6.4264999999999999</v>
      </c>
      <c r="G937" s="6">
        <v>6.7582000000000004</v>
      </c>
      <c r="H937" s="6">
        <v>7.0848000000000004</v>
      </c>
      <c r="I937" s="6">
        <v>8.2185000000000006</v>
      </c>
      <c r="J937" s="6">
        <v>9.0969999999999995</v>
      </c>
      <c r="K937" s="6">
        <v>9.9527999999999999</v>
      </c>
      <c r="L937" s="6">
        <v>10.483499999999999</v>
      </c>
      <c r="M937" s="6">
        <v>11.4842</v>
      </c>
      <c r="N937" s="6">
        <v>12.6</v>
      </c>
      <c r="O937" s="6">
        <v>13.727499999999999</v>
      </c>
      <c r="P937" s="6">
        <v>14.3056</v>
      </c>
      <c r="Q937" s="6"/>
    </row>
    <row r="938" spans="1:17">
      <c r="A938" s="5">
        <v>42825</v>
      </c>
      <c r="B938" s="5" t="str">
        <f t="shared" si="14"/>
        <v>2017 q1</v>
      </c>
      <c r="C938" s="6">
        <v>5.5922999999999998</v>
      </c>
      <c r="D938" s="6">
        <v>5.7214</v>
      </c>
      <c r="E938" s="6">
        <v>5.9878</v>
      </c>
      <c r="F938" s="6">
        <v>6.3836000000000004</v>
      </c>
      <c r="G938" s="6">
        <v>6.7527999999999997</v>
      </c>
      <c r="H938" s="6">
        <v>7.1150000000000002</v>
      </c>
      <c r="I938" s="6">
        <v>8.3386999999999993</v>
      </c>
      <c r="J938" s="6">
        <v>9.3287999999999993</v>
      </c>
      <c r="K938" s="6">
        <v>10.1282</v>
      </c>
      <c r="L938" s="6">
        <v>10.624599999999999</v>
      </c>
      <c r="M938" s="6">
        <v>11.5656</v>
      </c>
      <c r="N938" s="6">
        <v>12.5855</v>
      </c>
      <c r="O938" s="6">
        <v>13.545299999999999</v>
      </c>
      <c r="P938" s="6">
        <v>14.0129</v>
      </c>
      <c r="Q938" s="6"/>
    </row>
    <row r="939" spans="1:17">
      <c r="A939" s="5">
        <v>42828</v>
      </c>
      <c r="B939" s="5" t="str">
        <f t="shared" si="14"/>
        <v>2017 q2</v>
      </c>
      <c r="C939" s="6">
        <v>5.5728999999999997</v>
      </c>
      <c r="D939" s="6">
        <v>5.7041000000000004</v>
      </c>
      <c r="E939" s="6">
        <v>5.9749999999999996</v>
      </c>
      <c r="F939" s="6">
        <v>6.3769999999999998</v>
      </c>
      <c r="G939" s="6">
        <v>6.7518000000000002</v>
      </c>
      <c r="H939" s="6">
        <v>7.1192000000000002</v>
      </c>
      <c r="I939" s="6">
        <v>8.3573000000000004</v>
      </c>
      <c r="J939" s="6">
        <v>9.2675999999999998</v>
      </c>
      <c r="K939" s="6">
        <v>10.1508</v>
      </c>
      <c r="L939" s="6">
        <v>10.653499999999999</v>
      </c>
      <c r="M939" s="6">
        <v>11.5929</v>
      </c>
      <c r="N939" s="6">
        <v>12.607799999999999</v>
      </c>
      <c r="O939" s="6">
        <v>13.557</v>
      </c>
      <c r="P939" s="6">
        <v>14.0175</v>
      </c>
      <c r="Q939" s="6"/>
    </row>
    <row r="940" spans="1:17">
      <c r="A940" s="5">
        <v>42829</v>
      </c>
      <c r="B940" s="5" t="str">
        <f t="shared" si="14"/>
        <v>2017 q2</v>
      </c>
      <c r="C940" s="6">
        <v>5.5903</v>
      </c>
      <c r="D940" s="6">
        <v>5.7237999999999998</v>
      </c>
      <c r="E940" s="6">
        <v>5.9993999999999996</v>
      </c>
      <c r="F940" s="6">
        <v>6.4066000000000001</v>
      </c>
      <c r="G940" s="6">
        <v>6.7838000000000003</v>
      </c>
      <c r="H940" s="6">
        <v>7.1603000000000003</v>
      </c>
      <c r="I940" s="6">
        <v>8.4092000000000002</v>
      </c>
      <c r="J940" s="6">
        <v>9.4118999999999993</v>
      </c>
      <c r="K940" s="6">
        <v>10.214499999999999</v>
      </c>
      <c r="L940" s="6">
        <v>10.7033</v>
      </c>
      <c r="M940" s="6">
        <v>11.6347</v>
      </c>
      <c r="N940" s="6">
        <v>12.6351</v>
      </c>
      <c r="O940" s="6">
        <v>13.5632</v>
      </c>
      <c r="P940" s="6">
        <v>14.011200000000001</v>
      </c>
      <c r="Q940" s="6"/>
    </row>
    <row r="941" spans="1:17">
      <c r="A941" s="5">
        <v>42830</v>
      </c>
      <c r="B941" s="5" t="str">
        <f t="shared" si="14"/>
        <v>2017 q2</v>
      </c>
      <c r="C941" s="6">
        <v>5.6288999999999998</v>
      </c>
      <c r="D941" s="6">
        <v>5.7573999999999996</v>
      </c>
      <c r="E941" s="6">
        <v>6.0227000000000004</v>
      </c>
      <c r="F941" s="6">
        <v>6.4146999999999998</v>
      </c>
      <c r="G941" s="6">
        <v>6.7793999999999999</v>
      </c>
      <c r="H941" s="6">
        <v>7.1428000000000003</v>
      </c>
      <c r="I941" s="6">
        <v>8.3607999999999993</v>
      </c>
      <c r="J941" s="6">
        <v>9.3475999999999999</v>
      </c>
      <c r="K941" s="6">
        <v>10.145099999999999</v>
      </c>
      <c r="L941" s="6">
        <v>10.6389</v>
      </c>
      <c r="M941" s="6">
        <v>11.583500000000001</v>
      </c>
      <c r="N941" s="6">
        <v>12.6045</v>
      </c>
      <c r="O941" s="6">
        <v>13.570399999999999</v>
      </c>
      <c r="P941" s="6">
        <v>14.042299999999999</v>
      </c>
      <c r="Q941" s="6"/>
    </row>
    <row r="942" spans="1:17">
      <c r="A942" s="5">
        <v>42831</v>
      </c>
      <c r="B942" s="5" t="str">
        <f t="shared" si="14"/>
        <v>2017 q2</v>
      </c>
      <c r="C942" s="6">
        <v>5.6582999999999997</v>
      </c>
      <c r="D942" s="6">
        <v>5.7808999999999999</v>
      </c>
      <c r="E942" s="6">
        <v>6.0339999999999998</v>
      </c>
      <c r="F942" s="6">
        <v>6.4078999999999997</v>
      </c>
      <c r="G942" s="6">
        <v>6.758</v>
      </c>
      <c r="H942" s="6">
        <v>7.1062000000000003</v>
      </c>
      <c r="I942" s="6">
        <v>8.2899999999999991</v>
      </c>
      <c r="J942" s="6">
        <v>9.2622</v>
      </c>
      <c r="K942" s="6">
        <v>10.0589</v>
      </c>
      <c r="L942" s="6">
        <v>10.5647</v>
      </c>
      <c r="M942" s="6">
        <v>11.537100000000001</v>
      </c>
      <c r="N942" s="6">
        <v>12.5991</v>
      </c>
      <c r="O942" s="6">
        <v>13.633599999999999</v>
      </c>
      <c r="P942" s="6">
        <v>14.1493</v>
      </c>
      <c r="Q942" s="6"/>
    </row>
    <row r="943" spans="1:17">
      <c r="A943" s="5">
        <v>42832</v>
      </c>
      <c r="B943" s="5" t="str">
        <f t="shared" si="14"/>
        <v>2017 q2</v>
      </c>
      <c r="C943" s="6">
        <v>5.6734999999999998</v>
      </c>
      <c r="D943" s="6">
        <v>5.7934999999999999</v>
      </c>
      <c r="E943" s="6">
        <v>6.0411000000000001</v>
      </c>
      <c r="F943" s="6">
        <v>6.4067999999999996</v>
      </c>
      <c r="G943" s="6">
        <v>6.7502000000000004</v>
      </c>
      <c r="H943" s="6">
        <v>7.0911999999999997</v>
      </c>
      <c r="I943" s="6">
        <v>8.2576999999999998</v>
      </c>
      <c r="J943" s="6">
        <v>9.2203999999999997</v>
      </c>
      <c r="K943" s="6">
        <v>10.013400000000001</v>
      </c>
      <c r="L943" s="6">
        <v>10.521699999999999</v>
      </c>
      <c r="M943" s="6">
        <v>11.501300000000001</v>
      </c>
      <c r="N943" s="6">
        <v>12.5754</v>
      </c>
      <c r="O943" s="6">
        <v>13.6341</v>
      </c>
      <c r="P943" s="6">
        <v>14.166399999999999</v>
      </c>
      <c r="Q943" s="6"/>
    </row>
    <row r="944" spans="1:17">
      <c r="A944" s="5">
        <v>42835</v>
      </c>
      <c r="B944" s="5" t="str">
        <f t="shared" si="14"/>
        <v>2017 q2</v>
      </c>
      <c r="C944" s="6">
        <v>5.6715999999999998</v>
      </c>
      <c r="D944" s="6">
        <v>5.7930999999999999</v>
      </c>
      <c r="E944" s="6">
        <v>6.0441000000000003</v>
      </c>
      <c r="F944" s="6">
        <v>6.4142999999999999</v>
      </c>
      <c r="G944" s="6">
        <v>6.7613000000000003</v>
      </c>
      <c r="H944" s="6">
        <v>7.1052999999999997</v>
      </c>
      <c r="I944" s="6">
        <v>8.2766999999999999</v>
      </c>
      <c r="J944" s="6">
        <v>9.2359000000000009</v>
      </c>
      <c r="K944" s="6">
        <v>10.0206</v>
      </c>
      <c r="L944" s="6">
        <v>10.5937</v>
      </c>
      <c r="M944" s="6">
        <v>11.632300000000001</v>
      </c>
      <c r="N944" s="6">
        <v>12.5123</v>
      </c>
      <c r="O944" s="6">
        <v>13.523099999999999</v>
      </c>
      <c r="P944" s="6">
        <v>14.0259</v>
      </c>
      <c r="Q944" s="6"/>
    </row>
    <row r="945" spans="1:17">
      <c r="A945" s="5">
        <v>42836</v>
      </c>
      <c r="B945" s="5" t="str">
        <f t="shared" si="14"/>
        <v>2017 q2</v>
      </c>
      <c r="C945" s="6">
        <v>5.64</v>
      </c>
      <c r="D945" s="6">
        <v>5.7634999999999996</v>
      </c>
      <c r="E945" s="6">
        <v>6.0186999999999999</v>
      </c>
      <c r="F945" s="6">
        <v>6.3958000000000004</v>
      </c>
      <c r="G945" s="6">
        <v>6.7545999999999999</v>
      </c>
      <c r="H945" s="6">
        <v>7.0545999999999998</v>
      </c>
      <c r="I945" s="6">
        <v>8.2547999999999995</v>
      </c>
      <c r="J945" s="6">
        <v>9.1960999999999995</v>
      </c>
      <c r="K945" s="6">
        <v>9.9537999999999993</v>
      </c>
      <c r="L945" s="6">
        <v>10.4176</v>
      </c>
      <c r="M945" s="6">
        <v>11.313700000000001</v>
      </c>
      <c r="N945" s="6">
        <v>12.276199999999999</v>
      </c>
      <c r="O945" s="6">
        <v>13.1843</v>
      </c>
      <c r="P945" s="6">
        <v>13.6271</v>
      </c>
      <c r="Q945" s="6"/>
    </row>
    <row r="946" spans="1:17">
      <c r="A946" s="5">
        <v>42837</v>
      </c>
      <c r="B946" s="5" t="str">
        <f t="shared" si="14"/>
        <v>2017 q2</v>
      </c>
      <c r="C946" s="6">
        <v>5.7824</v>
      </c>
      <c r="D946" s="6">
        <v>5.8815</v>
      </c>
      <c r="E946" s="6">
        <v>6.0861000000000001</v>
      </c>
      <c r="F946" s="6">
        <v>6.3898000000000001</v>
      </c>
      <c r="G946" s="6">
        <v>6.6832000000000003</v>
      </c>
      <c r="H946" s="6">
        <v>6.9435000000000002</v>
      </c>
      <c r="I946" s="6">
        <v>7.9843000000000002</v>
      </c>
      <c r="J946" s="6">
        <v>8.8655000000000008</v>
      </c>
      <c r="K946" s="6">
        <v>9.6239000000000008</v>
      </c>
      <c r="L946" s="6">
        <v>10.154199999999999</v>
      </c>
      <c r="M946" s="6">
        <v>11.1915</v>
      </c>
      <c r="N946" s="6">
        <v>12.377599999999999</v>
      </c>
      <c r="O946" s="6">
        <v>13.678000000000001</v>
      </c>
      <c r="P946" s="6">
        <v>14.394600000000001</v>
      </c>
      <c r="Q946" s="6"/>
    </row>
    <row r="947" spans="1:17">
      <c r="A947" s="5">
        <v>42838</v>
      </c>
      <c r="B947" s="5" t="str">
        <f t="shared" si="14"/>
        <v>2017 q2</v>
      </c>
      <c r="C947" s="6">
        <v>5.8174999999999999</v>
      </c>
      <c r="D947" s="6">
        <v>5.9080000000000004</v>
      </c>
      <c r="E947" s="6">
        <v>6.0948000000000002</v>
      </c>
      <c r="F947" s="6">
        <v>6.3726000000000003</v>
      </c>
      <c r="G947" s="6">
        <v>6.6425000000000001</v>
      </c>
      <c r="H947" s="6">
        <v>6.8874000000000004</v>
      </c>
      <c r="I947" s="6">
        <v>7.8667999999999996</v>
      </c>
      <c r="J947" s="6">
        <v>8.7208000000000006</v>
      </c>
      <c r="K947" s="6">
        <v>9.4756</v>
      </c>
      <c r="L947" s="6">
        <v>10.0341</v>
      </c>
      <c r="M947" s="6">
        <v>11.132400000000001</v>
      </c>
      <c r="N947" s="6">
        <v>12.429600000000001</v>
      </c>
      <c r="O947" s="6">
        <v>13.951499999999999</v>
      </c>
      <c r="P947" s="6">
        <v>14.853</v>
      </c>
      <c r="Q947" s="6"/>
    </row>
    <row r="948" spans="1:17">
      <c r="A948" s="5">
        <v>42839</v>
      </c>
      <c r="B948" s="5" t="str">
        <f t="shared" si="14"/>
        <v>2017 q2</v>
      </c>
      <c r="C948" s="6">
        <v>5.8769</v>
      </c>
      <c r="D948" s="6">
        <v>5.9583000000000004</v>
      </c>
      <c r="E948" s="6">
        <v>6.1262999999999996</v>
      </c>
      <c r="F948" s="6">
        <v>6.3764000000000003</v>
      </c>
      <c r="G948" s="6">
        <v>6.6207000000000003</v>
      </c>
      <c r="H948" s="6">
        <v>6.8468</v>
      </c>
      <c r="I948" s="6">
        <v>7.7510000000000003</v>
      </c>
      <c r="J948" s="6">
        <v>8.5602</v>
      </c>
      <c r="K948" s="6">
        <v>9.2925000000000004</v>
      </c>
      <c r="L948" s="6">
        <v>9.8635999999999999</v>
      </c>
      <c r="M948" s="6">
        <v>10.991300000000001</v>
      </c>
      <c r="N948" s="6">
        <v>12.369</v>
      </c>
      <c r="O948" s="6">
        <v>14.0908</v>
      </c>
      <c r="P948" s="6">
        <v>15.191700000000001</v>
      </c>
      <c r="Q948" s="6"/>
    </row>
    <row r="949" spans="1:17">
      <c r="A949" s="5">
        <v>42843</v>
      </c>
      <c r="B949" s="5" t="str">
        <f t="shared" si="14"/>
        <v>2017 q2</v>
      </c>
      <c r="C949" s="6">
        <v>5.8441999999999998</v>
      </c>
      <c r="D949" s="6">
        <v>5.9272</v>
      </c>
      <c r="E949" s="6">
        <v>6.0984999999999996</v>
      </c>
      <c r="F949" s="6">
        <v>6.3533999999999997</v>
      </c>
      <c r="G949" s="6">
        <v>6.6018999999999997</v>
      </c>
      <c r="H949" s="6">
        <v>6.8314000000000004</v>
      </c>
      <c r="I949" s="6">
        <v>7.7495000000000003</v>
      </c>
      <c r="J949" s="6">
        <v>8.5671999999999997</v>
      </c>
      <c r="K949" s="6">
        <v>9.3056000000000001</v>
      </c>
      <c r="L949" s="6">
        <v>9.9260000000000002</v>
      </c>
      <c r="M949" s="6">
        <v>11.1035</v>
      </c>
      <c r="N949" s="6">
        <v>12.3645</v>
      </c>
      <c r="O949" s="6">
        <v>14.053699999999999</v>
      </c>
      <c r="P949" s="6">
        <v>15.1196</v>
      </c>
      <c r="Q949" s="6"/>
    </row>
    <row r="950" spans="1:17">
      <c r="A950" s="5">
        <v>42844</v>
      </c>
      <c r="B950" s="5" t="str">
        <f t="shared" si="14"/>
        <v>2017 q2</v>
      </c>
      <c r="C950" s="6">
        <v>5.9024999999999999</v>
      </c>
      <c r="D950" s="6">
        <v>5.9775</v>
      </c>
      <c r="E950" s="6">
        <v>6.1322999999999999</v>
      </c>
      <c r="F950" s="6">
        <v>6.3628</v>
      </c>
      <c r="G950" s="6">
        <v>6.5884</v>
      </c>
      <c r="H950" s="6">
        <v>6.8007</v>
      </c>
      <c r="I950" s="6">
        <v>7.6497999999999999</v>
      </c>
      <c r="J950" s="6">
        <v>8.4232999999999993</v>
      </c>
      <c r="K950" s="6">
        <v>9.1354000000000006</v>
      </c>
      <c r="L950" s="6">
        <v>9.7119</v>
      </c>
      <c r="M950" s="6">
        <v>10.8567</v>
      </c>
      <c r="N950" s="6">
        <v>12.2918</v>
      </c>
      <c r="O950" s="6">
        <v>14.173400000000001</v>
      </c>
      <c r="P950" s="6">
        <v>15.454800000000001</v>
      </c>
      <c r="Q950" s="6"/>
    </row>
    <row r="951" spans="1:17">
      <c r="A951" s="5">
        <v>42845</v>
      </c>
      <c r="B951" s="5" t="str">
        <f t="shared" si="14"/>
        <v>2017 q2</v>
      </c>
      <c r="C951" s="6">
        <v>5.9089</v>
      </c>
      <c r="D951" s="6">
        <v>5.9831000000000003</v>
      </c>
      <c r="E951" s="6">
        <v>6.1363000000000003</v>
      </c>
      <c r="F951" s="6">
        <v>6.3646000000000003</v>
      </c>
      <c r="G951" s="6">
        <v>6.5879000000000003</v>
      </c>
      <c r="H951" s="6">
        <v>6.7987000000000002</v>
      </c>
      <c r="I951" s="6">
        <v>7.6417999999999999</v>
      </c>
      <c r="J951" s="6">
        <v>8.4118999999999993</v>
      </c>
      <c r="K951" s="6">
        <v>9.1227</v>
      </c>
      <c r="L951" s="6">
        <v>9.7018000000000004</v>
      </c>
      <c r="M951" s="6">
        <v>10.852600000000001</v>
      </c>
      <c r="N951" s="6">
        <v>12.301399999999999</v>
      </c>
      <c r="O951" s="6">
        <v>14.2156</v>
      </c>
      <c r="P951" s="6">
        <v>15.533099999999999</v>
      </c>
      <c r="Q951" s="6"/>
    </row>
    <row r="952" spans="1:17">
      <c r="A952" s="5">
        <v>42846</v>
      </c>
      <c r="B952" s="5" t="str">
        <f t="shared" si="14"/>
        <v>2017 q2</v>
      </c>
      <c r="C952" s="6">
        <v>5.9154999999999998</v>
      </c>
      <c r="D952" s="6">
        <v>5.9863999999999997</v>
      </c>
      <c r="E952" s="6">
        <v>6.1327999999999996</v>
      </c>
      <c r="F952" s="6">
        <v>6.3509000000000002</v>
      </c>
      <c r="G952" s="6">
        <v>6.5648</v>
      </c>
      <c r="H952" s="6">
        <v>6.7683</v>
      </c>
      <c r="I952" s="6">
        <v>7.5822000000000003</v>
      </c>
      <c r="J952" s="6">
        <v>8.3338999999999999</v>
      </c>
      <c r="K952" s="6">
        <v>9.0344999999999995</v>
      </c>
      <c r="L952" s="6">
        <v>9.6189</v>
      </c>
      <c r="M952" s="6">
        <v>10.781700000000001</v>
      </c>
      <c r="N952" s="6">
        <v>12.2715</v>
      </c>
      <c r="O952" s="6">
        <v>14.2956</v>
      </c>
      <c r="P952" s="6">
        <v>15.744899999999999</v>
      </c>
      <c r="Q952" s="6"/>
    </row>
    <row r="953" spans="1:17">
      <c r="A953" s="5">
        <v>42850</v>
      </c>
      <c r="B953" s="5" t="str">
        <f t="shared" si="14"/>
        <v>2017 q2</v>
      </c>
      <c r="C953" s="6">
        <v>5.9375</v>
      </c>
      <c r="D953" s="6">
        <v>6.0110000000000001</v>
      </c>
      <c r="E953" s="6">
        <v>6.1626000000000003</v>
      </c>
      <c r="F953" s="6">
        <v>6.3883999999999999</v>
      </c>
      <c r="G953" s="6">
        <v>6.6102999999999996</v>
      </c>
      <c r="H953" s="6">
        <v>6.8274999999999997</v>
      </c>
      <c r="I953" s="6">
        <v>7.6528</v>
      </c>
      <c r="J953" s="6">
        <v>8.4151000000000007</v>
      </c>
      <c r="K953" s="6">
        <v>9.1194000000000006</v>
      </c>
      <c r="L953" s="6">
        <v>9.6935000000000002</v>
      </c>
      <c r="M953" s="6">
        <v>10.835900000000001</v>
      </c>
      <c r="N953" s="6">
        <v>12.2745</v>
      </c>
      <c r="O953" s="6">
        <v>14.1791</v>
      </c>
      <c r="P953" s="6">
        <v>15.4933</v>
      </c>
      <c r="Q953" s="6"/>
    </row>
    <row r="954" spans="1:17">
      <c r="A954" s="5">
        <v>42851</v>
      </c>
      <c r="B954" s="5" t="str">
        <f t="shared" si="14"/>
        <v>2017 q2</v>
      </c>
      <c r="C954" s="6">
        <v>5.9508000000000001</v>
      </c>
      <c r="D954" s="6">
        <v>6.0224000000000002</v>
      </c>
      <c r="E954" s="6">
        <v>6.17</v>
      </c>
      <c r="F954" s="6">
        <v>6.3895999999999997</v>
      </c>
      <c r="G954" s="6">
        <v>6.6043000000000003</v>
      </c>
      <c r="H954" s="6">
        <v>6.8085000000000004</v>
      </c>
      <c r="I954" s="6">
        <v>7.625</v>
      </c>
      <c r="J954" s="6">
        <v>8.3739000000000008</v>
      </c>
      <c r="K954" s="6">
        <v>9.0686</v>
      </c>
      <c r="L954" s="6">
        <v>9.64</v>
      </c>
      <c r="M954" s="6">
        <v>10.780099999999999</v>
      </c>
      <c r="N954" s="6">
        <v>12.225</v>
      </c>
      <c r="O954" s="6">
        <v>14.162599999999999</v>
      </c>
      <c r="P954" s="6">
        <v>15.5235</v>
      </c>
      <c r="Q954" s="6"/>
    </row>
    <row r="955" spans="1:17">
      <c r="A955" s="5">
        <v>42852</v>
      </c>
      <c r="B955" s="5" t="str">
        <f t="shared" si="14"/>
        <v>2017 q2</v>
      </c>
      <c r="C955" s="6">
        <v>5.9645999999999999</v>
      </c>
      <c r="D955" s="6">
        <v>6.0346000000000002</v>
      </c>
      <c r="E955" s="6">
        <v>6.1791</v>
      </c>
      <c r="F955" s="6">
        <v>6.3941999999999997</v>
      </c>
      <c r="G955" s="6">
        <v>6.6059999999999999</v>
      </c>
      <c r="H955" s="6">
        <v>6.8140000000000001</v>
      </c>
      <c r="I955" s="6">
        <v>7.6083999999999996</v>
      </c>
      <c r="J955" s="6">
        <v>8.3482000000000003</v>
      </c>
      <c r="K955" s="6">
        <v>9.0373999999999999</v>
      </c>
      <c r="L955" s="6">
        <v>9.61</v>
      </c>
      <c r="M955" s="6">
        <v>10.7531</v>
      </c>
      <c r="N955" s="6">
        <v>12.2127</v>
      </c>
      <c r="O955" s="6">
        <v>14.193300000000001</v>
      </c>
      <c r="P955" s="6">
        <v>15.6083</v>
      </c>
      <c r="Q955" s="6"/>
    </row>
    <row r="956" spans="1:17">
      <c r="A956" s="5">
        <v>42853</v>
      </c>
      <c r="B956" s="5" t="str">
        <f t="shared" si="14"/>
        <v>2017 q2</v>
      </c>
      <c r="C956" s="6">
        <v>5.9364999999999997</v>
      </c>
      <c r="D956" s="6">
        <v>6.0080999999999998</v>
      </c>
      <c r="E956" s="6">
        <v>6.1561000000000003</v>
      </c>
      <c r="F956" s="6">
        <v>6.3762999999999996</v>
      </c>
      <c r="G956" s="6">
        <v>6.5914000000000001</v>
      </c>
      <c r="H956" s="6">
        <v>6.7965</v>
      </c>
      <c r="I956" s="6">
        <v>7.6167999999999996</v>
      </c>
      <c r="J956" s="6">
        <v>8.3705999999999996</v>
      </c>
      <c r="K956" s="6">
        <v>9.0714000000000006</v>
      </c>
      <c r="L956" s="6">
        <v>9.6501999999999999</v>
      </c>
      <c r="M956" s="6">
        <v>10.8064</v>
      </c>
      <c r="N956" s="6">
        <v>12.276300000000001</v>
      </c>
      <c r="O956" s="6">
        <v>14.2592</v>
      </c>
      <c r="P956" s="6">
        <v>15.6638</v>
      </c>
      <c r="Q956" s="6"/>
    </row>
    <row r="957" spans="1:17">
      <c r="A957" s="5">
        <v>42857</v>
      </c>
      <c r="B957" s="5" t="str">
        <f t="shared" si="14"/>
        <v>2017 q2</v>
      </c>
      <c r="C957" s="6">
        <v>5.9844999999999997</v>
      </c>
      <c r="D957" s="6">
        <v>6.0537000000000001</v>
      </c>
      <c r="E957" s="6">
        <v>6.1965000000000003</v>
      </c>
      <c r="F957" s="6">
        <v>6.4090999999999996</v>
      </c>
      <c r="G957" s="6">
        <v>6.6185</v>
      </c>
      <c r="H957" s="6">
        <v>6.8243999999999998</v>
      </c>
      <c r="I957" s="6">
        <v>7.6123000000000003</v>
      </c>
      <c r="J957" s="6">
        <v>8.3482000000000003</v>
      </c>
      <c r="K957" s="6">
        <v>9.0359999999999996</v>
      </c>
      <c r="L957" s="6">
        <v>9.6113999999999997</v>
      </c>
      <c r="M957" s="6">
        <v>10.7616</v>
      </c>
      <c r="N957" s="6">
        <v>12.2379</v>
      </c>
      <c r="O957" s="6">
        <v>14.259499999999999</v>
      </c>
      <c r="P957" s="6">
        <v>15.723000000000001</v>
      </c>
      <c r="Q957" s="6"/>
    </row>
    <row r="958" spans="1:17">
      <c r="A958" s="5">
        <v>42858</v>
      </c>
      <c r="B958" s="5" t="str">
        <f t="shared" si="14"/>
        <v>2017 q2</v>
      </c>
      <c r="C958" s="6">
        <v>6.0792000000000002</v>
      </c>
      <c r="D958" s="6">
        <v>6.1478999999999999</v>
      </c>
      <c r="E958" s="6">
        <v>6.2885</v>
      </c>
      <c r="F958" s="6">
        <v>6.4973000000000001</v>
      </c>
      <c r="G958" s="6">
        <v>6.7009999999999996</v>
      </c>
      <c r="H958" s="6">
        <v>6.8966000000000003</v>
      </c>
      <c r="I958" s="6">
        <v>7.6783999999999999</v>
      </c>
      <c r="J958" s="6">
        <v>8.4016000000000002</v>
      </c>
      <c r="K958" s="6">
        <v>9.0777000000000001</v>
      </c>
      <c r="L958" s="6">
        <v>9.6812000000000005</v>
      </c>
      <c r="M958" s="6">
        <v>10.846500000000001</v>
      </c>
      <c r="N958" s="6">
        <v>12.234400000000001</v>
      </c>
      <c r="O958" s="6">
        <v>14.233599999999999</v>
      </c>
      <c r="P958" s="6">
        <v>15.686299999999999</v>
      </c>
      <c r="Q958" s="6"/>
    </row>
    <row r="959" spans="1:17">
      <c r="A959" s="5">
        <v>42859</v>
      </c>
      <c r="B959" s="5" t="str">
        <f t="shared" si="14"/>
        <v>2017 q2</v>
      </c>
      <c r="C959" s="6">
        <v>6.1044999999999998</v>
      </c>
      <c r="D959" s="6">
        <v>6.1680999999999999</v>
      </c>
      <c r="E959" s="6">
        <v>6.2994000000000003</v>
      </c>
      <c r="F959" s="6">
        <v>6.4947999999999997</v>
      </c>
      <c r="G959" s="6">
        <v>6.6862000000000004</v>
      </c>
      <c r="H959" s="6">
        <v>6.8715999999999999</v>
      </c>
      <c r="I959" s="6">
        <v>7.6128</v>
      </c>
      <c r="J959" s="6">
        <v>8.3092000000000006</v>
      </c>
      <c r="K959" s="6">
        <v>8.9690999999999992</v>
      </c>
      <c r="L959" s="6">
        <v>9.5945999999999998</v>
      </c>
      <c r="M959" s="6">
        <v>10.74</v>
      </c>
      <c r="N959" s="6">
        <v>12.1905</v>
      </c>
      <c r="O959" s="6">
        <v>14.335599999999999</v>
      </c>
      <c r="P959" s="6">
        <v>15.9794</v>
      </c>
      <c r="Q959" s="6"/>
    </row>
    <row r="960" spans="1:17">
      <c r="A960" s="5">
        <v>42860</v>
      </c>
      <c r="B960" s="5" t="str">
        <f t="shared" si="14"/>
        <v>2017 q2</v>
      </c>
      <c r="C960" s="6">
        <v>6.1246999999999998</v>
      </c>
      <c r="D960" s="6">
        <v>6.1877000000000004</v>
      </c>
      <c r="E960" s="6">
        <v>6.3178999999999998</v>
      </c>
      <c r="F960" s="6">
        <v>6.5114999999999998</v>
      </c>
      <c r="G960" s="6">
        <v>6.7012999999999998</v>
      </c>
      <c r="H960" s="6">
        <v>6.8855000000000004</v>
      </c>
      <c r="I960" s="6">
        <v>7.6215000000000002</v>
      </c>
      <c r="J960" s="6">
        <v>8.3142999999999994</v>
      </c>
      <c r="K960" s="6">
        <v>8.9719999999999995</v>
      </c>
      <c r="L960" s="6">
        <v>9.5962999999999994</v>
      </c>
      <c r="M960" s="6">
        <v>10.7424</v>
      </c>
      <c r="N960" s="6">
        <v>12.1997</v>
      </c>
      <c r="O960" s="6">
        <v>14.360799999999999</v>
      </c>
      <c r="P960" s="6">
        <v>16.025099999999998</v>
      </c>
      <c r="Q960" s="6"/>
    </row>
    <row r="961" spans="1:17">
      <c r="A961" s="5">
        <v>42861</v>
      </c>
      <c r="B961" s="5" t="str">
        <f t="shared" si="14"/>
        <v>2017 q2</v>
      </c>
      <c r="C961" s="7">
        <v>6.0814000000000004</v>
      </c>
      <c r="D961" s="7">
        <v>6.1486000000000001</v>
      </c>
      <c r="E961" s="7">
        <v>6.2873000000000001</v>
      </c>
      <c r="F961" s="7">
        <v>6.4932999999999996</v>
      </c>
      <c r="G961" s="7">
        <v>6.6943000000000001</v>
      </c>
      <c r="H961" s="7">
        <v>6.8879999999999999</v>
      </c>
      <c r="I961" s="7">
        <v>7.6619999999999999</v>
      </c>
      <c r="J961" s="7">
        <v>8.3806999999999992</v>
      </c>
      <c r="K961" s="7">
        <v>9.0541</v>
      </c>
      <c r="L961" s="7">
        <v>9.6244999999999994</v>
      </c>
      <c r="M961" s="7">
        <v>10.7653</v>
      </c>
      <c r="N961" s="7">
        <v>12.238300000000001</v>
      </c>
      <c r="O961" s="7">
        <v>14.2807</v>
      </c>
      <c r="P961" s="7">
        <v>15.786300000000001</v>
      </c>
      <c r="Q961" s="7"/>
    </row>
    <row r="962" spans="1:17">
      <c r="A962" s="5">
        <v>42865</v>
      </c>
      <c r="B962" s="5" t="str">
        <f t="shared" si="14"/>
        <v>2017 q2</v>
      </c>
      <c r="C962" s="7">
        <v>6.1144999999999996</v>
      </c>
      <c r="D962" s="7">
        <v>6.1813000000000002</v>
      </c>
      <c r="E962" s="7">
        <v>6.3190999999999997</v>
      </c>
      <c r="F962" s="7">
        <v>6.5236999999999998</v>
      </c>
      <c r="G962" s="7">
        <v>6.7230999999999996</v>
      </c>
      <c r="H962" s="7">
        <v>6.9153000000000002</v>
      </c>
      <c r="I962" s="7">
        <v>7.6828000000000003</v>
      </c>
      <c r="J962" s="7">
        <v>8.3947000000000003</v>
      </c>
      <c r="K962" s="7">
        <v>9.0606000000000009</v>
      </c>
      <c r="L962" s="7">
        <v>9.6233000000000004</v>
      </c>
      <c r="M962" s="7">
        <v>10.7486</v>
      </c>
      <c r="N962" s="7">
        <v>12.1976</v>
      </c>
      <c r="O962" s="7">
        <v>14.2003</v>
      </c>
      <c r="P962" s="7">
        <v>15.6693</v>
      </c>
      <c r="Q962" s="7"/>
    </row>
    <row r="963" spans="1:17">
      <c r="A963" s="5">
        <v>42866</v>
      </c>
      <c r="B963" s="5" t="str">
        <f t="shared" ref="B963:B1026" si="15">YEAR(A963)&amp;" q"&amp;ROUNDUP(MONTH(A963)/3,0)</f>
        <v>2017 q2</v>
      </c>
      <c r="C963" s="7">
        <v>6.165</v>
      </c>
      <c r="D963" s="7">
        <v>6.2253999999999996</v>
      </c>
      <c r="E963" s="7">
        <v>6.3498999999999999</v>
      </c>
      <c r="F963" s="7">
        <v>6.5351999999999997</v>
      </c>
      <c r="G963" s="7">
        <v>6.7171000000000003</v>
      </c>
      <c r="H963" s="7">
        <v>6.8947000000000003</v>
      </c>
      <c r="I963" s="7">
        <v>7.6036999999999999</v>
      </c>
      <c r="J963" s="7">
        <v>8.2763000000000009</v>
      </c>
      <c r="K963" s="7">
        <v>8.9187999999999992</v>
      </c>
      <c r="L963" s="7">
        <v>9.5315999999999992</v>
      </c>
      <c r="M963" s="7">
        <v>10.642099999999999</v>
      </c>
      <c r="N963" s="7">
        <v>12.141</v>
      </c>
      <c r="O963" s="7">
        <v>14.349399999999999</v>
      </c>
      <c r="P963" s="7">
        <v>16.092500000000001</v>
      </c>
      <c r="Q963" s="7"/>
    </row>
    <row r="964" spans="1:17">
      <c r="A964" s="5">
        <v>42867</v>
      </c>
      <c r="B964" s="5" t="str">
        <f t="shared" si="15"/>
        <v>2017 q2</v>
      </c>
      <c r="C964" s="7">
        <v>6.1227</v>
      </c>
      <c r="D964" s="7">
        <v>6.1896000000000004</v>
      </c>
      <c r="E964" s="7">
        <v>6.3274999999999997</v>
      </c>
      <c r="F964" s="7">
        <v>6.532</v>
      </c>
      <c r="G964" s="7">
        <v>6.7309999999999999</v>
      </c>
      <c r="H964" s="7">
        <v>6.9231999999999996</v>
      </c>
      <c r="I964" s="7">
        <v>7.6901999999999999</v>
      </c>
      <c r="J964" s="7">
        <v>8.4011999999999993</v>
      </c>
      <c r="K964" s="7">
        <v>9.0652000000000008</v>
      </c>
      <c r="L964" s="7">
        <v>9.6266999999999996</v>
      </c>
      <c r="M964" s="7">
        <v>10.749700000000001</v>
      </c>
      <c r="N964" s="7">
        <v>12.1921</v>
      </c>
      <c r="O964" s="7">
        <v>14.1843</v>
      </c>
      <c r="P964" s="7">
        <v>15.643700000000001</v>
      </c>
      <c r="Q964" s="7"/>
    </row>
    <row r="965" spans="1:17">
      <c r="A965" s="5">
        <v>42870</v>
      </c>
      <c r="B965" s="5" t="str">
        <f t="shared" si="15"/>
        <v>2017 q2</v>
      </c>
      <c r="C965" s="7">
        <v>6.1342999999999996</v>
      </c>
      <c r="D965" s="7">
        <v>6.1966000000000001</v>
      </c>
      <c r="E965" s="7">
        <v>6.3250000000000002</v>
      </c>
      <c r="F965" s="7">
        <v>6.5160999999999998</v>
      </c>
      <c r="G965" s="7">
        <v>6.7032999999999996</v>
      </c>
      <c r="H965" s="7">
        <v>6.8859000000000004</v>
      </c>
      <c r="I965" s="7">
        <v>7.6148999999999996</v>
      </c>
      <c r="J965" s="7">
        <v>8.3045000000000009</v>
      </c>
      <c r="K965" s="7">
        <v>8.9597999999999995</v>
      </c>
      <c r="L965" s="7">
        <v>9.5375999999999994</v>
      </c>
      <c r="M965" s="7">
        <v>10.693300000000001</v>
      </c>
      <c r="N965" s="7">
        <v>12.227499999999999</v>
      </c>
      <c r="O965" s="7">
        <v>14.444100000000001</v>
      </c>
      <c r="P965" s="7">
        <v>16.1751</v>
      </c>
      <c r="Q965" s="7"/>
    </row>
    <row r="966" spans="1:17">
      <c r="A966" s="5">
        <v>42871</v>
      </c>
      <c r="B966" s="5" t="str">
        <f t="shared" si="15"/>
        <v>2017 q2</v>
      </c>
      <c r="C966" s="7">
        <v>6.0627000000000004</v>
      </c>
      <c r="D966" s="7">
        <v>6.1318999999999999</v>
      </c>
      <c r="E966" s="7">
        <v>6.2747000000000002</v>
      </c>
      <c r="F966" s="7">
        <v>6.4843000000000002</v>
      </c>
      <c r="G966" s="7">
        <v>6.6910999999999996</v>
      </c>
      <c r="H966" s="7">
        <v>6.8977000000000004</v>
      </c>
      <c r="I966" s="7">
        <v>7.6744000000000003</v>
      </c>
      <c r="J966" s="7">
        <v>8.3972999999999995</v>
      </c>
      <c r="K966" s="7">
        <v>9.0660000000000007</v>
      </c>
      <c r="L966" s="7">
        <v>9.6222999999999992</v>
      </c>
      <c r="M966" s="7">
        <v>10.7348</v>
      </c>
      <c r="N966" s="7">
        <v>12.1409</v>
      </c>
      <c r="O966" s="7">
        <v>14.043200000000001</v>
      </c>
      <c r="P966" s="7">
        <v>15.3948</v>
      </c>
      <c r="Q966" s="7"/>
    </row>
    <row r="967" spans="1:17">
      <c r="A967" s="5">
        <v>42872</v>
      </c>
      <c r="B967" s="5" t="str">
        <f t="shared" si="15"/>
        <v>2017 q2</v>
      </c>
      <c r="C967" s="7">
        <v>6.1063000000000001</v>
      </c>
      <c r="D967" s="7">
        <v>6.1688999999999998</v>
      </c>
      <c r="E967" s="7">
        <v>6.2980999999999998</v>
      </c>
      <c r="F967" s="7">
        <v>6.4889000000000001</v>
      </c>
      <c r="G967" s="7">
        <v>6.6779999999999999</v>
      </c>
      <c r="H967" s="7">
        <v>6.867</v>
      </c>
      <c r="I967" s="7">
        <v>7.5907999999999998</v>
      </c>
      <c r="J967" s="7">
        <v>8.2789999999999999</v>
      </c>
      <c r="K967" s="7">
        <v>8.9303000000000008</v>
      </c>
      <c r="L967" s="7">
        <v>9.5012000000000008</v>
      </c>
      <c r="M967" s="7">
        <v>10.6431</v>
      </c>
      <c r="N967" s="7">
        <v>12.1487</v>
      </c>
      <c r="O967" s="7">
        <v>14.3086</v>
      </c>
      <c r="P967" s="7">
        <v>15.9796</v>
      </c>
      <c r="Q967" s="7"/>
    </row>
    <row r="968" spans="1:17">
      <c r="A968" s="5">
        <v>42873</v>
      </c>
      <c r="B968" s="5" t="str">
        <f t="shared" si="15"/>
        <v>2017 q2</v>
      </c>
      <c r="C968" s="7">
        <v>6.0934999999999997</v>
      </c>
      <c r="D968" s="7">
        <v>6.1576000000000004</v>
      </c>
      <c r="E968" s="7">
        <v>6.2900999999999998</v>
      </c>
      <c r="F968" s="7">
        <v>6.4854000000000003</v>
      </c>
      <c r="G968" s="7">
        <v>6.6787999999999998</v>
      </c>
      <c r="H968" s="7">
        <v>6.8719000000000001</v>
      </c>
      <c r="I968" s="7">
        <v>7.6092000000000004</v>
      </c>
      <c r="J968" s="7">
        <v>8.3072999999999997</v>
      </c>
      <c r="K968" s="7">
        <v>8.9649000000000001</v>
      </c>
      <c r="L968" s="7">
        <v>9.5359999999999996</v>
      </c>
      <c r="M968" s="7">
        <v>10.6783</v>
      </c>
      <c r="N968" s="7">
        <v>12.173</v>
      </c>
      <c r="O968" s="7">
        <v>14.2971</v>
      </c>
      <c r="P968" s="7">
        <v>15.9213</v>
      </c>
      <c r="Q968" s="7"/>
    </row>
    <row r="969" spans="1:17">
      <c r="A969" s="5">
        <v>42874</v>
      </c>
      <c r="B969" s="5" t="str">
        <f t="shared" si="15"/>
        <v>2017 q2</v>
      </c>
      <c r="C969" s="7">
        <v>5.9519000000000002</v>
      </c>
      <c r="D969" s="7">
        <v>6.0213000000000001</v>
      </c>
      <c r="E969" s="7">
        <v>6.1646999999999998</v>
      </c>
      <c r="F969" s="7">
        <v>6.3754999999999997</v>
      </c>
      <c r="G969" s="7">
        <v>6.5841000000000003</v>
      </c>
      <c r="H969" s="7">
        <v>6.7923</v>
      </c>
      <c r="I969" s="7">
        <v>7.5792000000000002</v>
      </c>
      <c r="J969" s="7">
        <v>8.3153000000000006</v>
      </c>
      <c r="K969" s="7">
        <v>8.9997000000000007</v>
      </c>
      <c r="L969" s="7">
        <v>9.577</v>
      </c>
      <c r="M969" s="7">
        <v>10.7316</v>
      </c>
      <c r="N969" s="7">
        <v>12.204499999999999</v>
      </c>
      <c r="O969" s="7">
        <v>14.2278</v>
      </c>
      <c r="P969" s="7">
        <v>15.697100000000001</v>
      </c>
      <c r="Q969" s="7"/>
    </row>
    <row r="970" spans="1:17">
      <c r="A970" s="5">
        <v>42875</v>
      </c>
      <c r="B970" s="5" t="str">
        <f t="shared" si="15"/>
        <v>2017 q2</v>
      </c>
      <c r="C970" s="7">
        <v>5.9570999999999996</v>
      </c>
      <c r="D970" s="7">
        <v>6.0279999999999996</v>
      </c>
      <c r="E970" s="7">
        <v>6.1744000000000003</v>
      </c>
      <c r="F970" s="7">
        <v>6.3891999999999998</v>
      </c>
      <c r="G970" s="7">
        <v>6.6017999999999999</v>
      </c>
      <c r="H970" s="7">
        <v>6.8136999999999999</v>
      </c>
      <c r="I970" s="7">
        <v>7.6116999999999999</v>
      </c>
      <c r="J970" s="7">
        <v>8.3544999999999998</v>
      </c>
      <c r="K970" s="7">
        <v>9.0411999999999999</v>
      </c>
      <c r="L970" s="7">
        <v>9.6138999999999992</v>
      </c>
      <c r="M970" s="7">
        <v>10.7592</v>
      </c>
      <c r="N970" s="7">
        <v>12.205399999999999</v>
      </c>
      <c r="O970" s="7">
        <v>14.1647</v>
      </c>
      <c r="P970" s="7">
        <v>15.559200000000001</v>
      </c>
      <c r="Q970" s="7"/>
    </row>
    <row r="971" spans="1:17">
      <c r="A971" s="5">
        <v>42877</v>
      </c>
      <c r="B971" s="5" t="str">
        <f t="shared" si="15"/>
        <v>2017 q2</v>
      </c>
      <c r="C971" s="7">
        <v>5.9569999999999999</v>
      </c>
      <c r="D971" s="7">
        <v>6.0274000000000001</v>
      </c>
      <c r="E971" s="7">
        <v>6.1726000000000001</v>
      </c>
      <c r="F971" s="7">
        <v>6.3859000000000004</v>
      </c>
      <c r="G971" s="7">
        <v>6.5971000000000002</v>
      </c>
      <c r="H971" s="7">
        <v>6.8075000000000001</v>
      </c>
      <c r="I971" s="7">
        <v>7.6024000000000003</v>
      </c>
      <c r="J971" s="7">
        <v>8.3444000000000003</v>
      </c>
      <c r="K971" s="7">
        <v>9.0325000000000006</v>
      </c>
      <c r="L971" s="7">
        <v>9.6105999999999998</v>
      </c>
      <c r="M971" s="7">
        <v>10.7668</v>
      </c>
      <c r="N971" s="7">
        <v>12.2349</v>
      </c>
      <c r="O971" s="7">
        <v>14.2407</v>
      </c>
      <c r="P971" s="7">
        <v>15.6859</v>
      </c>
      <c r="Q971" s="7"/>
    </row>
    <row r="972" spans="1:17">
      <c r="A972" s="5">
        <v>42878</v>
      </c>
      <c r="B972" s="5" t="str">
        <f t="shared" si="15"/>
        <v>2017 q2</v>
      </c>
      <c r="C972" s="7">
        <v>5.9764999999999997</v>
      </c>
      <c r="D972" s="7">
        <v>6.0418000000000003</v>
      </c>
      <c r="E972" s="7">
        <v>6.1767000000000003</v>
      </c>
      <c r="F972" s="7">
        <v>6.3788999999999998</v>
      </c>
      <c r="G972" s="7">
        <v>6.5758000000000001</v>
      </c>
      <c r="H972" s="7">
        <v>6.7721</v>
      </c>
      <c r="I972" s="7">
        <v>7.5239000000000003</v>
      </c>
      <c r="J972" s="7">
        <v>8.2329000000000008</v>
      </c>
      <c r="K972" s="7">
        <v>8.8973999999999993</v>
      </c>
      <c r="L972" s="7">
        <v>9.4701000000000004</v>
      </c>
      <c r="M972" s="7">
        <v>10.6157</v>
      </c>
      <c r="N972" s="7">
        <v>12.1005</v>
      </c>
      <c r="O972" s="7">
        <v>14.189299999999999</v>
      </c>
      <c r="P972" s="7">
        <v>15.761100000000001</v>
      </c>
      <c r="Q972" s="7"/>
    </row>
    <row r="973" spans="1:17">
      <c r="A973" s="5">
        <v>42879</v>
      </c>
      <c r="B973" s="5" t="str">
        <f t="shared" si="15"/>
        <v>2017 q2</v>
      </c>
      <c r="C973" s="7">
        <v>5.8642000000000003</v>
      </c>
      <c r="D973" s="7">
        <v>5.9359999999999999</v>
      </c>
      <c r="E973" s="7">
        <v>6.0841000000000003</v>
      </c>
      <c r="F973" s="7">
        <v>6.3061999999999996</v>
      </c>
      <c r="G973" s="7">
        <v>6.5216000000000003</v>
      </c>
      <c r="H973" s="7">
        <v>6.7359999999999998</v>
      </c>
      <c r="I973" s="7">
        <v>7.5507</v>
      </c>
      <c r="J973" s="7">
        <v>8.3108000000000004</v>
      </c>
      <c r="K973" s="7">
        <v>9.0145</v>
      </c>
      <c r="L973" s="7">
        <v>9.6057000000000006</v>
      </c>
      <c r="M973" s="7">
        <v>10.788</v>
      </c>
      <c r="N973" s="7">
        <v>12.2858</v>
      </c>
      <c r="O973" s="7">
        <v>14.329599999999999</v>
      </c>
      <c r="P973" s="7">
        <v>15.7988</v>
      </c>
      <c r="Q973" s="7"/>
    </row>
    <row r="974" spans="1:17">
      <c r="A974" s="5">
        <v>42880</v>
      </c>
      <c r="B974" s="5" t="str">
        <f t="shared" si="15"/>
        <v>2017 q2</v>
      </c>
      <c r="C974" s="7">
        <v>5.8303000000000003</v>
      </c>
      <c r="D974" s="7">
        <v>5.9044999999999996</v>
      </c>
      <c r="E974" s="7">
        <v>6.0579000000000001</v>
      </c>
      <c r="F974" s="7">
        <v>6.2876000000000003</v>
      </c>
      <c r="G974" s="7">
        <v>6.5095999999999998</v>
      </c>
      <c r="H974" s="7">
        <v>6.7301000000000002</v>
      </c>
      <c r="I974" s="7">
        <v>7.5629</v>
      </c>
      <c r="J974" s="7">
        <v>8.3322000000000003</v>
      </c>
      <c r="K974" s="7">
        <v>9.0368999999999993</v>
      </c>
      <c r="L974" s="7">
        <v>9.6157000000000004</v>
      </c>
      <c r="M974" s="7">
        <v>10.773300000000001</v>
      </c>
      <c r="N974" s="7">
        <v>12.211600000000001</v>
      </c>
      <c r="O974" s="7">
        <v>14.122299999999999</v>
      </c>
      <c r="P974" s="7">
        <v>15.444000000000001</v>
      </c>
      <c r="Q974" s="7"/>
    </row>
    <row r="975" spans="1:17">
      <c r="A975" s="5">
        <v>42881</v>
      </c>
      <c r="B975" s="5" t="str">
        <f t="shared" si="15"/>
        <v>2017 q2</v>
      </c>
      <c r="C975" s="7">
        <v>5.8459000000000003</v>
      </c>
      <c r="D975" s="7">
        <v>5.9185999999999996</v>
      </c>
      <c r="E975" s="7">
        <v>6.0686</v>
      </c>
      <c r="F975" s="7">
        <v>6.2931999999999997</v>
      </c>
      <c r="G975" s="7">
        <v>6.5109000000000004</v>
      </c>
      <c r="H975" s="7">
        <v>6.7271999999999998</v>
      </c>
      <c r="I975" s="7">
        <v>7.5479000000000003</v>
      </c>
      <c r="J975" s="7">
        <v>8.3107000000000006</v>
      </c>
      <c r="K975" s="7">
        <v>9.0137</v>
      </c>
      <c r="L975" s="7">
        <v>9.5997000000000003</v>
      </c>
      <c r="M975" s="7">
        <v>10.771599999999999</v>
      </c>
      <c r="N975" s="7">
        <v>12.2445</v>
      </c>
      <c r="O975" s="7">
        <v>14.2342</v>
      </c>
      <c r="P975" s="7">
        <v>15.6439</v>
      </c>
      <c r="Q975" s="7"/>
    </row>
    <row r="976" spans="1:17">
      <c r="A976" s="5">
        <v>42884</v>
      </c>
      <c r="B976" s="5" t="str">
        <f t="shared" si="15"/>
        <v>2017 q2</v>
      </c>
      <c r="C976" s="7">
        <v>5.8559000000000001</v>
      </c>
      <c r="D976" s="7">
        <v>5.9283000000000001</v>
      </c>
      <c r="E976" s="7">
        <v>6.0777999999999999</v>
      </c>
      <c r="F976" s="7">
        <v>6.3017000000000003</v>
      </c>
      <c r="G976" s="7">
        <v>6.5189000000000004</v>
      </c>
      <c r="H976" s="7">
        <v>6.7346000000000004</v>
      </c>
      <c r="I976" s="7">
        <v>7.5541999999999998</v>
      </c>
      <c r="J976" s="7">
        <v>8.3172999999999995</v>
      </c>
      <c r="K976" s="7">
        <v>9.0216999999999992</v>
      </c>
      <c r="L976" s="7">
        <v>9.6113999999999997</v>
      </c>
      <c r="M976" s="7">
        <v>10.790900000000001</v>
      </c>
      <c r="N976" s="7">
        <v>12.2776</v>
      </c>
      <c r="O976" s="7">
        <v>14.2958</v>
      </c>
      <c r="P976" s="7">
        <v>15.7356</v>
      </c>
      <c r="Q976" s="7"/>
    </row>
    <row r="977" spans="1:17">
      <c r="A977" s="5">
        <v>42885</v>
      </c>
      <c r="B977" s="5" t="str">
        <f t="shared" si="15"/>
        <v>2017 q2</v>
      </c>
      <c r="C977" s="7">
        <v>5.8083</v>
      </c>
      <c r="D977" s="7">
        <v>5.8796999999999997</v>
      </c>
      <c r="E977" s="7">
        <v>6.0270000000000001</v>
      </c>
      <c r="F977" s="7">
        <v>6.2476000000000003</v>
      </c>
      <c r="G977" s="7">
        <v>6.4631999999999996</v>
      </c>
      <c r="H977" s="7">
        <v>6.6771000000000003</v>
      </c>
      <c r="I977" s="7">
        <v>7.4926000000000004</v>
      </c>
      <c r="J977" s="7">
        <v>8.2538999999999998</v>
      </c>
      <c r="K977" s="7">
        <v>8.9616000000000007</v>
      </c>
      <c r="L977" s="7">
        <v>9.5959000000000003</v>
      </c>
      <c r="M977" s="7">
        <v>10.8126</v>
      </c>
      <c r="N977" s="7">
        <v>12.248900000000001</v>
      </c>
      <c r="O977" s="7">
        <v>14.3117</v>
      </c>
      <c r="P977" s="7">
        <v>15.801600000000001</v>
      </c>
      <c r="Q977" s="7"/>
    </row>
    <row r="978" spans="1:17">
      <c r="A978" s="5">
        <v>42886</v>
      </c>
      <c r="B978" s="5" t="str">
        <f t="shared" si="15"/>
        <v>2017 q2</v>
      </c>
      <c r="C978" s="7">
        <v>5.7910000000000004</v>
      </c>
      <c r="D978" s="7">
        <v>5.8659999999999997</v>
      </c>
      <c r="E978" s="7">
        <v>6.0209000000000001</v>
      </c>
      <c r="F978" s="7">
        <v>6.2525000000000004</v>
      </c>
      <c r="G978" s="7">
        <v>6.4782999999999999</v>
      </c>
      <c r="H978" s="7">
        <v>6.7019000000000002</v>
      </c>
      <c r="I978" s="7">
        <v>7.5487000000000002</v>
      </c>
      <c r="J978" s="7">
        <v>8.3315999999999999</v>
      </c>
      <c r="K978" s="7">
        <v>9.0481999999999996</v>
      </c>
      <c r="L978" s="7">
        <v>9.6396999999999995</v>
      </c>
      <c r="M978" s="7">
        <v>10.822699999999999</v>
      </c>
      <c r="N978" s="7">
        <v>12.292</v>
      </c>
      <c r="O978" s="7">
        <v>14.250500000000001</v>
      </c>
      <c r="P978" s="7">
        <v>15.6112</v>
      </c>
      <c r="Q978" s="7"/>
    </row>
    <row r="979" spans="1:17">
      <c r="A979" s="5">
        <v>42887</v>
      </c>
      <c r="B979" s="5" t="str">
        <f t="shared" si="15"/>
        <v>2017 q2</v>
      </c>
      <c r="C979" s="7">
        <v>5.7957000000000001</v>
      </c>
      <c r="D979" s="7">
        <v>5.8705999999999996</v>
      </c>
      <c r="E979" s="7">
        <v>6.0254000000000003</v>
      </c>
      <c r="F979" s="7">
        <v>6.2568000000000001</v>
      </c>
      <c r="G979" s="7">
        <v>6.4824999999999999</v>
      </c>
      <c r="H979" s="7">
        <v>6.7058</v>
      </c>
      <c r="I979" s="7">
        <v>7.5515999999999996</v>
      </c>
      <c r="J979" s="7">
        <v>8.3332999999999995</v>
      </c>
      <c r="K979" s="7">
        <v>9.0480999999999998</v>
      </c>
      <c r="L979" s="7">
        <v>9.6379999999999999</v>
      </c>
      <c r="M979" s="7">
        <v>10.8178</v>
      </c>
      <c r="N979" s="7">
        <v>12.2813</v>
      </c>
      <c r="O979" s="7">
        <v>14.230499999999999</v>
      </c>
      <c r="P979" s="7">
        <v>15.582700000000001</v>
      </c>
      <c r="Q979" s="7"/>
    </row>
    <row r="980" spans="1:17">
      <c r="A980" s="5">
        <v>42888</v>
      </c>
      <c r="B980" s="5" t="str">
        <f t="shared" si="15"/>
        <v>2017 q2</v>
      </c>
      <c r="C980" s="7">
        <v>5.7979000000000003</v>
      </c>
      <c r="D980" s="7">
        <v>5.8728999999999996</v>
      </c>
      <c r="E980" s="7">
        <v>6.0277000000000003</v>
      </c>
      <c r="F980" s="7">
        <v>6.2591999999999999</v>
      </c>
      <c r="G980" s="7">
        <v>6.4848999999999997</v>
      </c>
      <c r="H980" s="7">
        <v>6.7081999999999997</v>
      </c>
      <c r="I980" s="7">
        <v>7.5541999999999998</v>
      </c>
      <c r="J980" s="7">
        <v>8.3361000000000001</v>
      </c>
      <c r="K980" s="7">
        <v>9.0510000000000002</v>
      </c>
      <c r="L980" s="7">
        <v>9.6412999999999993</v>
      </c>
      <c r="M980" s="7">
        <v>10.8218</v>
      </c>
      <c r="N980" s="7">
        <v>12.2859</v>
      </c>
      <c r="O980" s="7">
        <v>14.2364</v>
      </c>
      <c r="P980" s="7">
        <v>15.5901</v>
      </c>
      <c r="Q980" s="7"/>
    </row>
    <row r="981" spans="1:17">
      <c r="A981" s="5">
        <v>42891</v>
      </c>
      <c r="B981" s="5" t="str">
        <f t="shared" si="15"/>
        <v>2017 q2</v>
      </c>
      <c r="C981" s="7">
        <v>5.8071999999999999</v>
      </c>
      <c r="D981" s="7">
        <v>5.8815999999999997</v>
      </c>
      <c r="E981" s="7">
        <v>6.0353000000000003</v>
      </c>
      <c r="F981" s="7">
        <v>6.2649999999999997</v>
      </c>
      <c r="G981" s="7">
        <v>6.4892000000000003</v>
      </c>
      <c r="H981" s="7">
        <v>6.7107999999999999</v>
      </c>
      <c r="I981" s="7">
        <v>7.5526</v>
      </c>
      <c r="J981" s="7">
        <v>8.3324999999999996</v>
      </c>
      <c r="K981" s="7">
        <v>9.0471000000000004</v>
      </c>
      <c r="L981" s="7">
        <v>9.6407000000000007</v>
      </c>
      <c r="M981" s="7">
        <v>10.8279</v>
      </c>
      <c r="N981" s="7">
        <v>12.3066</v>
      </c>
      <c r="O981" s="7">
        <v>14.2895</v>
      </c>
      <c r="P981" s="7">
        <v>15.678699999999999</v>
      </c>
      <c r="Q981" s="7"/>
    </row>
    <row r="982" spans="1:17">
      <c r="A982" s="5">
        <v>42892</v>
      </c>
      <c r="B982" s="5" t="str">
        <f t="shared" si="15"/>
        <v>2017 q2</v>
      </c>
      <c r="C982" s="7">
        <v>5.7956000000000003</v>
      </c>
      <c r="D982" s="7">
        <v>5.8714000000000004</v>
      </c>
      <c r="E982" s="7">
        <v>6.0278999999999998</v>
      </c>
      <c r="F982" s="7">
        <v>6.2614000000000001</v>
      </c>
      <c r="G982" s="7">
        <v>6.4888000000000003</v>
      </c>
      <c r="H982" s="7">
        <v>6.7160000000000002</v>
      </c>
      <c r="I982" s="7">
        <v>7.5659999999999998</v>
      </c>
      <c r="J982" s="7">
        <v>8.3513999999999999</v>
      </c>
      <c r="K982" s="7">
        <v>9.0664999999999996</v>
      </c>
      <c r="L982" s="7">
        <v>9.6549999999999994</v>
      </c>
      <c r="M982" s="7">
        <v>10.831899999999999</v>
      </c>
      <c r="N982" s="7">
        <v>12.282400000000001</v>
      </c>
      <c r="O982" s="7">
        <v>14.2035</v>
      </c>
      <c r="P982" s="7">
        <v>15.5251</v>
      </c>
      <c r="Q982" s="7"/>
    </row>
    <row r="983" spans="1:17">
      <c r="A983" s="5">
        <v>42893</v>
      </c>
      <c r="B983" s="5" t="str">
        <f t="shared" si="15"/>
        <v>2017 q2</v>
      </c>
      <c r="C983" s="7">
        <v>5.7930999999999999</v>
      </c>
      <c r="D983" s="7">
        <v>5.8689999999999998</v>
      </c>
      <c r="E983" s="7">
        <v>6.0256999999999996</v>
      </c>
      <c r="F983" s="7">
        <v>6.2594000000000003</v>
      </c>
      <c r="G983" s="7">
        <v>6.4870999999999999</v>
      </c>
      <c r="H983" s="7">
        <v>6.7145000000000001</v>
      </c>
      <c r="I983" s="7">
        <v>7.5654000000000003</v>
      </c>
      <c r="J983" s="7">
        <v>8.3516999999999992</v>
      </c>
      <c r="K983" s="7">
        <v>9.0675000000000008</v>
      </c>
      <c r="L983" s="7">
        <v>9.6569000000000003</v>
      </c>
      <c r="M983" s="7">
        <v>10.835800000000001</v>
      </c>
      <c r="N983" s="7">
        <v>12.2883</v>
      </c>
      <c r="O983" s="7">
        <v>14.2126</v>
      </c>
      <c r="P983" s="7">
        <v>15.537000000000001</v>
      </c>
      <c r="Q983" s="7"/>
    </row>
    <row r="984" spans="1:17">
      <c r="A984" s="5">
        <v>42894</v>
      </c>
      <c r="B984" s="5" t="str">
        <f t="shared" si="15"/>
        <v>2017 q2</v>
      </c>
      <c r="C984" s="7">
        <v>5.7830000000000004</v>
      </c>
      <c r="D984" s="7">
        <v>5.8597000000000001</v>
      </c>
      <c r="E984" s="7">
        <v>6.0179999999999998</v>
      </c>
      <c r="F984" s="7">
        <v>6.2539999999999996</v>
      </c>
      <c r="G984" s="7">
        <v>6.4837999999999996</v>
      </c>
      <c r="H984" s="7">
        <v>6.7130999999999998</v>
      </c>
      <c r="I984" s="7">
        <v>7.5694999999999997</v>
      </c>
      <c r="J984" s="7">
        <v>8.3584999999999994</v>
      </c>
      <c r="K984" s="7">
        <v>9.0741999999999994</v>
      </c>
      <c r="L984" s="7">
        <v>9.6599000000000004</v>
      </c>
      <c r="M984" s="7">
        <v>10.831300000000001</v>
      </c>
      <c r="N984" s="7">
        <v>12.2658</v>
      </c>
      <c r="O984" s="7">
        <v>14.151300000000001</v>
      </c>
      <c r="P984" s="7">
        <v>15.434699999999999</v>
      </c>
      <c r="Q984" s="7"/>
    </row>
    <row r="985" spans="1:17">
      <c r="A985" s="5">
        <v>42895</v>
      </c>
      <c r="B985" s="5" t="str">
        <f t="shared" si="15"/>
        <v>2017 q2</v>
      </c>
      <c r="C985" s="7">
        <v>5.7709999999999999</v>
      </c>
      <c r="D985" s="7">
        <v>5.8491</v>
      </c>
      <c r="E985" s="7">
        <v>6.0103999999999997</v>
      </c>
      <c r="F985" s="7">
        <v>6.2506000000000004</v>
      </c>
      <c r="G985" s="7">
        <v>6.484</v>
      </c>
      <c r="H985" s="7">
        <v>6.7168000000000001</v>
      </c>
      <c r="I985" s="7">
        <v>7.5819000000000001</v>
      </c>
      <c r="J985" s="7">
        <v>8.3740000000000006</v>
      </c>
      <c r="K985" s="7">
        <v>9.0869999999999997</v>
      </c>
      <c r="L985" s="7">
        <v>9.6623999999999999</v>
      </c>
      <c r="M985" s="7">
        <v>10.8131</v>
      </c>
      <c r="N985" s="7">
        <v>12.204700000000001</v>
      </c>
      <c r="O985" s="7">
        <v>14.0025</v>
      </c>
      <c r="P985" s="7">
        <v>15.1974</v>
      </c>
      <c r="Q985" s="7">
        <v>17.587</v>
      </c>
    </row>
    <row r="986" spans="1:17">
      <c r="A986" s="5">
        <v>42898</v>
      </c>
      <c r="B986" s="5" t="str">
        <f t="shared" si="15"/>
        <v>2017 q2</v>
      </c>
      <c r="C986" s="7">
        <v>5.8658999999999999</v>
      </c>
      <c r="D986" s="7">
        <v>5.9363000000000001</v>
      </c>
      <c r="E986" s="7">
        <v>6.0816999999999997</v>
      </c>
      <c r="F986" s="7">
        <v>6.2988999999999997</v>
      </c>
      <c r="G986" s="7">
        <v>6.5119999999999996</v>
      </c>
      <c r="H986" s="7">
        <v>6.7245999999999997</v>
      </c>
      <c r="I986" s="7">
        <v>7.5347</v>
      </c>
      <c r="J986" s="7">
        <v>8.2985000000000007</v>
      </c>
      <c r="K986" s="7">
        <v>9.0098000000000003</v>
      </c>
      <c r="L986" s="7">
        <v>9.6249000000000002</v>
      </c>
      <c r="M986" s="7">
        <v>10.8552</v>
      </c>
      <c r="N986" s="7">
        <v>12.4361</v>
      </c>
      <c r="O986" s="7">
        <v>14.654400000000001</v>
      </c>
      <c r="P986" s="7">
        <v>16.251999999999999</v>
      </c>
      <c r="Q986" s="7">
        <v>18.5318</v>
      </c>
    </row>
    <row r="987" spans="1:17">
      <c r="A987" s="5">
        <v>42899</v>
      </c>
      <c r="B987" s="5" t="str">
        <f t="shared" si="15"/>
        <v>2017 q2</v>
      </c>
      <c r="C987" s="7">
        <v>5.8071999999999999</v>
      </c>
      <c r="D987" s="7">
        <v>5.8798000000000004</v>
      </c>
      <c r="E987" s="7">
        <v>6.0297000000000001</v>
      </c>
      <c r="F987" s="7">
        <v>6.2534999999999998</v>
      </c>
      <c r="G987" s="7">
        <v>6.4743000000000004</v>
      </c>
      <c r="H987" s="7">
        <v>6.6844999999999999</v>
      </c>
      <c r="I987" s="7">
        <v>7.5185000000000004</v>
      </c>
      <c r="J987" s="7">
        <v>8.2948000000000004</v>
      </c>
      <c r="K987" s="7">
        <v>9.0122999999999998</v>
      </c>
      <c r="L987" s="7">
        <v>9.6251999999999995</v>
      </c>
      <c r="M987" s="7">
        <v>10.851000000000001</v>
      </c>
      <c r="N987" s="7">
        <v>12.4047</v>
      </c>
      <c r="O987" s="7">
        <v>14.5503</v>
      </c>
      <c r="P987" s="7">
        <v>16.053899999999999</v>
      </c>
      <c r="Q987" s="7">
        <v>18.1477</v>
      </c>
    </row>
    <row r="988" spans="1:17">
      <c r="A988" s="5">
        <v>42900</v>
      </c>
      <c r="B988" s="5" t="str">
        <f t="shared" si="15"/>
        <v>2017 q2</v>
      </c>
      <c r="C988" s="7">
        <v>5.7230999999999996</v>
      </c>
      <c r="D988" s="7">
        <v>5.8018999999999998</v>
      </c>
      <c r="E988" s="7">
        <v>5.9644000000000004</v>
      </c>
      <c r="F988" s="7">
        <v>6.2068000000000003</v>
      </c>
      <c r="G988" s="7">
        <v>6.4447000000000001</v>
      </c>
      <c r="H988" s="7">
        <v>6.6757</v>
      </c>
      <c r="I988" s="7">
        <v>7.5481999999999996</v>
      </c>
      <c r="J988" s="7">
        <v>8.3478999999999992</v>
      </c>
      <c r="K988" s="7">
        <v>9.0675000000000008</v>
      </c>
      <c r="L988" s="7">
        <v>9.6514000000000006</v>
      </c>
      <c r="M988" s="7">
        <v>10.8193</v>
      </c>
      <c r="N988" s="7">
        <v>12.2317</v>
      </c>
      <c r="O988" s="7">
        <v>14.0642</v>
      </c>
      <c r="P988" s="7">
        <v>15.288399999999999</v>
      </c>
      <c r="Q988" s="7">
        <v>17.736899999999999</v>
      </c>
    </row>
    <row r="989" spans="1:17">
      <c r="A989" s="5">
        <v>42901</v>
      </c>
      <c r="B989" s="5" t="str">
        <f t="shared" si="15"/>
        <v>2017 q2</v>
      </c>
      <c r="C989" s="7">
        <v>5.7291999999999996</v>
      </c>
      <c r="D989" s="7">
        <v>5.8075000000000001</v>
      </c>
      <c r="E989" s="7">
        <v>5.9691000000000001</v>
      </c>
      <c r="F989" s="7">
        <v>6.21</v>
      </c>
      <c r="G989" s="7">
        <v>6.4465000000000003</v>
      </c>
      <c r="H989" s="7">
        <v>6.6760999999999999</v>
      </c>
      <c r="I989" s="7">
        <v>7.5442999999999998</v>
      </c>
      <c r="J989" s="7">
        <v>8.3407999999999998</v>
      </c>
      <c r="K989" s="7">
        <v>9.0580999999999996</v>
      </c>
      <c r="L989" s="7">
        <v>9.6417999999999999</v>
      </c>
      <c r="M989" s="7">
        <v>10.809100000000001</v>
      </c>
      <c r="N989" s="7">
        <v>12.223000000000001</v>
      </c>
      <c r="O989" s="7">
        <v>14.0626</v>
      </c>
      <c r="P989" s="7">
        <v>15.2963</v>
      </c>
      <c r="Q989" s="7">
        <v>17.7637</v>
      </c>
    </row>
    <row r="990" spans="1:17">
      <c r="A990" s="5">
        <v>42902</v>
      </c>
      <c r="B990" s="5" t="str">
        <f t="shared" si="15"/>
        <v>2017 q2</v>
      </c>
      <c r="C990" s="7">
        <v>5.7873999999999999</v>
      </c>
      <c r="D990" s="7">
        <v>5.8613999999999997</v>
      </c>
      <c r="E990" s="7">
        <v>6.0141999999999998</v>
      </c>
      <c r="F990" s="7">
        <v>6.242</v>
      </c>
      <c r="G990" s="7">
        <v>6.4664000000000001</v>
      </c>
      <c r="H990" s="7">
        <v>6.6849999999999996</v>
      </c>
      <c r="I990" s="7">
        <v>7.5190000000000001</v>
      </c>
      <c r="J990" s="7">
        <v>8.2936999999999994</v>
      </c>
      <c r="K990" s="7">
        <v>9.0014000000000003</v>
      </c>
      <c r="L990" s="7">
        <v>9.5943000000000005</v>
      </c>
      <c r="M990" s="7">
        <v>10.78</v>
      </c>
      <c r="N990" s="7">
        <v>12.252599999999999</v>
      </c>
      <c r="O990" s="7">
        <v>14.2362</v>
      </c>
      <c r="P990" s="7">
        <v>15.570399999999999</v>
      </c>
      <c r="Q990" s="7">
        <v>17.363299999999999</v>
      </c>
    </row>
    <row r="991" spans="1:17">
      <c r="A991" s="5">
        <v>42905</v>
      </c>
      <c r="B991" s="5" t="str">
        <f t="shared" si="15"/>
        <v>2017 q2</v>
      </c>
      <c r="C991" s="7">
        <v>5.7298</v>
      </c>
      <c r="D991" s="7">
        <v>5.8085000000000004</v>
      </c>
      <c r="E991" s="7">
        <v>5.9711999999999996</v>
      </c>
      <c r="F991" s="7">
        <v>6.2134</v>
      </c>
      <c r="G991" s="7">
        <v>6.4509999999999996</v>
      </c>
      <c r="H991" s="7">
        <v>6.6811999999999996</v>
      </c>
      <c r="I991" s="7">
        <v>7.5500999999999996</v>
      </c>
      <c r="J991" s="7">
        <v>8.3443000000000005</v>
      </c>
      <c r="K991" s="7">
        <v>9.0557999999999996</v>
      </c>
      <c r="L991" s="7">
        <v>9.6304999999999996</v>
      </c>
      <c r="M991" s="7">
        <v>10.7799</v>
      </c>
      <c r="N991" s="7">
        <v>12.1607</v>
      </c>
      <c r="O991" s="7">
        <v>13.9396</v>
      </c>
      <c r="P991" s="7">
        <v>15.116199999999999</v>
      </c>
      <c r="Q991" s="7">
        <v>17.4694</v>
      </c>
    </row>
    <row r="992" spans="1:17">
      <c r="A992" s="5">
        <v>42906</v>
      </c>
      <c r="B992" s="5" t="str">
        <f t="shared" si="15"/>
        <v>2017 q2</v>
      </c>
      <c r="C992" s="7">
        <v>5.7262000000000004</v>
      </c>
      <c r="D992" s="7">
        <v>5.8072999999999997</v>
      </c>
      <c r="E992" s="7">
        <v>5.9748000000000001</v>
      </c>
      <c r="F992" s="7">
        <v>6.2236000000000002</v>
      </c>
      <c r="G992" s="7">
        <v>6.4668000000000001</v>
      </c>
      <c r="H992" s="7">
        <v>6.7008999999999999</v>
      </c>
      <c r="I992" s="7">
        <v>7.5765000000000002</v>
      </c>
      <c r="J992" s="7">
        <v>8.3640000000000008</v>
      </c>
      <c r="K992" s="7">
        <v>9.0558999999999994</v>
      </c>
      <c r="L992" s="7">
        <v>9.5963999999999992</v>
      </c>
      <c r="M992" s="7">
        <v>10.6775</v>
      </c>
      <c r="N992" s="7">
        <v>11.936999999999999</v>
      </c>
      <c r="O992" s="7">
        <v>13.493</v>
      </c>
      <c r="P992" s="7">
        <v>14.466900000000001</v>
      </c>
      <c r="Q992" s="7">
        <v>16.4148</v>
      </c>
    </row>
    <row r="993" spans="1:17">
      <c r="A993" s="5">
        <v>42907</v>
      </c>
      <c r="B993" s="5" t="str">
        <f t="shared" si="15"/>
        <v>2017 q2</v>
      </c>
      <c r="C993" s="7">
        <v>5.8310000000000004</v>
      </c>
      <c r="D993" s="7">
        <v>5.9015000000000004</v>
      </c>
      <c r="E993" s="7">
        <v>6.0468999999999999</v>
      </c>
      <c r="F993" s="7">
        <v>6.2637</v>
      </c>
      <c r="G993" s="7">
        <v>6.4771000000000001</v>
      </c>
      <c r="H993" s="7">
        <v>6.6851000000000003</v>
      </c>
      <c r="I993" s="7">
        <v>7.4805999999999999</v>
      </c>
      <c r="J993" s="7">
        <v>8.2210999999999999</v>
      </c>
      <c r="K993" s="7">
        <v>8.9087999999999994</v>
      </c>
      <c r="L993" s="7">
        <v>9.5409000000000006</v>
      </c>
      <c r="M993" s="7">
        <v>10.6417</v>
      </c>
      <c r="N993" s="7">
        <v>12.0367</v>
      </c>
      <c r="O993" s="7">
        <v>13.967700000000001</v>
      </c>
      <c r="P993" s="7">
        <v>15.2788</v>
      </c>
      <c r="Q993" s="7">
        <v>17.056999999999999</v>
      </c>
    </row>
    <row r="994" spans="1:17">
      <c r="A994" s="5">
        <v>42908</v>
      </c>
      <c r="B994" s="5" t="str">
        <f t="shared" si="15"/>
        <v>2017 q2</v>
      </c>
      <c r="C994" s="7">
        <v>5.9722999999999997</v>
      </c>
      <c r="D994" s="7">
        <v>6.0301999999999998</v>
      </c>
      <c r="E994" s="7">
        <v>6.1497999999999999</v>
      </c>
      <c r="F994" s="7">
        <v>6.3288000000000002</v>
      </c>
      <c r="G994" s="7">
        <v>6.5064000000000002</v>
      </c>
      <c r="H994" s="7">
        <v>6.6818999999999997</v>
      </c>
      <c r="I994" s="7">
        <v>7.3696000000000002</v>
      </c>
      <c r="J994" s="7">
        <v>8.0348000000000006</v>
      </c>
      <c r="K994" s="7">
        <v>8.6770999999999994</v>
      </c>
      <c r="L994" s="7">
        <v>9.2966999999999995</v>
      </c>
      <c r="M994" s="7">
        <v>10.467700000000001</v>
      </c>
      <c r="N994" s="7">
        <v>12.0288</v>
      </c>
      <c r="O994" s="7">
        <v>14.4315</v>
      </c>
      <c r="P994" s="7">
        <v>16.374300000000002</v>
      </c>
      <c r="Q994" s="7">
        <v>19.453900000000001</v>
      </c>
    </row>
    <row r="995" spans="1:17">
      <c r="A995" s="5">
        <v>42909</v>
      </c>
      <c r="B995" s="5" t="str">
        <f t="shared" si="15"/>
        <v>2017 q2</v>
      </c>
      <c r="C995" s="7">
        <v>5.9668000000000001</v>
      </c>
      <c r="D995" s="7">
        <v>6.0255999999999998</v>
      </c>
      <c r="E995" s="7">
        <v>6.1470000000000002</v>
      </c>
      <c r="F995" s="7">
        <v>6.3285</v>
      </c>
      <c r="G995" s="7">
        <v>6.5086000000000004</v>
      </c>
      <c r="H995" s="7">
        <v>6.6863999999999999</v>
      </c>
      <c r="I995" s="7">
        <v>7.3822000000000001</v>
      </c>
      <c r="J995" s="7">
        <v>8.0535999999999994</v>
      </c>
      <c r="K995" s="7">
        <v>8.6981000000000002</v>
      </c>
      <c r="L995" s="7">
        <v>9.3079000000000001</v>
      </c>
      <c r="M995" s="7">
        <v>10.4956</v>
      </c>
      <c r="N995" s="7">
        <v>12.0473</v>
      </c>
      <c r="O995" s="7">
        <v>14.4237</v>
      </c>
      <c r="P995" s="7">
        <v>16.321000000000002</v>
      </c>
      <c r="Q995" s="7">
        <v>19.2895</v>
      </c>
    </row>
    <row r="996" spans="1:17">
      <c r="A996" s="5">
        <v>42912</v>
      </c>
      <c r="B996" s="5" t="str">
        <f t="shared" si="15"/>
        <v>2017 q2</v>
      </c>
      <c r="C996" s="7">
        <v>5.7949000000000002</v>
      </c>
      <c r="D996" s="7">
        <v>5.8695000000000004</v>
      </c>
      <c r="E996" s="7">
        <v>6.0235000000000003</v>
      </c>
      <c r="F996" s="7">
        <v>6.2526000000000002</v>
      </c>
      <c r="G996" s="7">
        <v>6.4778000000000002</v>
      </c>
      <c r="H996" s="7">
        <v>6.6962000000000002</v>
      </c>
      <c r="I996" s="7">
        <v>7.5275999999999996</v>
      </c>
      <c r="J996" s="7">
        <v>8.2944999999999993</v>
      </c>
      <c r="K996" s="7">
        <v>8.9872999999999994</v>
      </c>
      <c r="L996" s="7">
        <v>9.5607000000000006</v>
      </c>
      <c r="M996" s="7">
        <v>10.707700000000001</v>
      </c>
      <c r="N996" s="7">
        <v>12.106999999999999</v>
      </c>
      <c r="O996" s="7">
        <v>13.9579</v>
      </c>
      <c r="P996" s="7">
        <v>15.226900000000001</v>
      </c>
      <c r="Q996" s="7">
        <v>17.765000000000001</v>
      </c>
    </row>
    <row r="997" spans="1:17">
      <c r="A997" s="5">
        <v>42913</v>
      </c>
      <c r="B997" s="5" t="str">
        <f t="shared" si="15"/>
        <v>2017 q2</v>
      </c>
      <c r="C997" s="7">
        <v>5.8075000000000001</v>
      </c>
      <c r="D997" s="7">
        <v>5.8737000000000004</v>
      </c>
      <c r="E997" s="7">
        <v>6.0103999999999997</v>
      </c>
      <c r="F997" s="7">
        <v>6.2145000000000001</v>
      </c>
      <c r="G997" s="7">
        <v>6.4165000000000001</v>
      </c>
      <c r="H997" s="7">
        <v>6.6143000000000001</v>
      </c>
      <c r="I997" s="7">
        <v>7.3795999999999999</v>
      </c>
      <c r="J997" s="7">
        <v>8.1041000000000007</v>
      </c>
      <c r="K997" s="7">
        <v>8.7886000000000006</v>
      </c>
      <c r="L997" s="7">
        <v>9.4291999999999998</v>
      </c>
      <c r="M997" s="7">
        <v>10.582599999999999</v>
      </c>
      <c r="N997" s="7">
        <v>12.092599999999999</v>
      </c>
      <c r="O997" s="7">
        <v>14.273199999999999</v>
      </c>
      <c r="P997" s="7">
        <v>15.8741</v>
      </c>
      <c r="Q997" s="7">
        <v>18.208100000000002</v>
      </c>
    </row>
    <row r="998" spans="1:17">
      <c r="A998" s="5">
        <v>42914</v>
      </c>
      <c r="B998" s="5" t="str">
        <f t="shared" si="15"/>
        <v>2017 q2</v>
      </c>
      <c r="C998" s="7">
        <v>5.7561</v>
      </c>
      <c r="D998" s="7">
        <v>5.8316999999999997</v>
      </c>
      <c r="E998" s="7">
        <v>5.9875999999999996</v>
      </c>
      <c r="F998" s="7">
        <v>6.2188999999999997</v>
      </c>
      <c r="G998" s="7">
        <v>6.4462000000000002</v>
      </c>
      <c r="H998" s="7">
        <v>6.6700999999999997</v>
      </c>
      <c r="I998" s="7">
        <v>7.5147000000000004</v>
      </c>
      <c r="J998" s="7">
        <v>8.2939000000000007</v>
      </c>
      <c r="K998" s="7">
        <v>8.9972999999999992</v>
      </c>
      <c r="L998" s="7">
        <v>9.5813000000000006</v>
      </c>
      <c r="M998" s="7">
        <v>10.7494</v>
      </c>
      <c r="N998" s="7">
        <v>12.173299999999999</v>
      </c>
      <c r="O998" s="7">
        <v>14.059900000000001</v>
      </c>
      <c r="P998" s="7">
        <v>15.2919</v>
      </c>
      <c r="Q998" s="7">
        <v>16.910599999999999</v>
      </c>
    </row>
    <row r="999" spans="1:17">
      <c r="A999" s="5">
        <v>42915</v>
      </c>
      <c r="B999" s="5" t="str">
        <f t="shared" si="15"/>
        <v>2017 q2</v>
      </c>
      <c r="C999" s="7">
        <v>5.7724000000000002</v>
      </c>
      <c r="D999" s="7">
        <v>5.8451000000000004</v>
      </c>
      <c r="E999" s="7">
        <v>5.9951999999999996</v>
      </c>
      <c r="F999" s="7">
        <v>6.2179000000000002</v>
      </c>
      <c r="G999" s="7">
        <v>6.4372999999999996</v>
      </c>
      <c r="H999" s="7">
        <v>6.6536</v>
      </c>
      <c r="I999" s="7">
        <v>7.4748999999999999</v>
      </c>
      <c r="J999" s="7">
        <v>8.2388999999999992</v>
      </c>
      <c r="K999" s="7">
        <v>8.9352999999999998</v>
      </c>
      <c r="L999" s="7">
        <v>9.5244</v>
      </c>
      <c r="M999" s="7">
        <v>10.7028</v>
      </c>
      <c r="N999" s="7">
        <v>12.164300000000001</v>
      </c>
      <c r="O999" s="7">
        <v>14.1454</v>
      </c>
      <c r="P999" s="7">
        <v>15.4861</v>
      </c>
      <c r="Q999" s="7">
        <v>17.302399999999999</v>
      </c>
    </row>
    <row r="1000" spans="1:17">
      <c r="A1000" s="5">
        <v>42916</v>
      </c>
      <c r="B1000" s="5" t="str">
        <f t="shared" si="15"/>
        <v>2017 q2</v>
      </c>
      <c r="C1000" s="7">
        <v>5.7904999999999998</v>
      </c>
      <c r="D1000" s="7">
        <v>5.8617999999999997</v>
      </c>
      <c r="E1000" s="7">
        <v>6.0088999999999997</v>
      </c>
      <c r="F1000" s="7">
        <v>6.2274000000000003</v>
      </c>
      <c r="G1000" s="7">
        <v>6.4428000000000001</v>
      </c>
      <c r="H1000" s="7">
        <v>6.6551</v>
      </c>
      <c r="I1000" s="7">
        <v>7.4640000000000004</v>
      </c>
      <c r="J1000" s="7">
        <v>8.2193000000000005</v>
      </c>
      <c r="K1000" s="7">
        <v>8.9106000000000005</v>
      </c>
      <c r="L1000" s="7">
        <v>9.5007000000000001</v>
      </c>
      <c r="M1000" s="7">
        <v>10.680899999999999</v>
      </c>
      <c r="N1000" s="7">
        <v>12.1561</v>
      </c>
      <c r="O1000" s="7">
        <v>14.1768</v>
      </c>
      <c r="P1000" s="7">
        <v>15.5672</v>
      </c>
      <c r="Q1000" s="7">
        <v>17.478999999999999</v>
      </c>
    </row>
    <row r="1001" spans="1:17">
      <c r="A1001" s="5">
        <v>42919</v>
      </c>
      <c r="B1001" s="5" t="str">
        <f t="shared" si="15"/>
        <v>2017 q3</v>
      </c>
      <c r="C1001" s="7">
        <v>5.7725999999999997</v>
      </c>
      <c r="D1001" s="7">
        <v>5.8441999999999998</v>
      </c>
      <c r="E1001" s="7">
        <v>5.9919000000000002</v>
      </c>
      <c r="F1001" s="7">
        <v>6.2111999999999998</v>
      </c>
      <c r="G1001" s="7">
        <v>6.4273999999999996</v>
      </c>
      <c r="H1001" s="7">
        <v>6.6403999999999996</v>
      </c>
      <c r="I1001" s="7">
        <v>7.4516</v>
      </c>
      <c r="J1001" s="7">
        <v>8.2081999999999997</v>
      </c>
      <c r="K1001" s="7">
        <v>8.8999000000000006</v>
      </c>
      <c r="L1001" s="7">
        <v>9.4893000000000001</v>
      </c>
      <c r="M1001" s="7">
        <v>10.668200000000001</v>
      </c>
      <c r="N1001" s="7">
        <v>12.138199999999999</v>
      </c>
      <c r="O1001" s="7">
        <v>14.1469</v>
      </c>
      <c r="P1001" s="7">
        <v>15.523300000000001</v>
      </c>
      <c r="Q1001" s="7">
        <v>17.409099999999999</v>
      </c>
    </row>
    <row r="1002" spans="1:17">
      <c r="A1002" s="5">
        <v>42920</v>
      </c>
      <c r="B1002" s="5" t="str">
        <f t="shared" si="15"/>
        <v>2017 q3</v>
      </c>
      <c r="C1002" s="7">
        <v>5.6986999999999997</v>
      </c>
      <c r="D1002" s="7">
        <v>5.7718999999999996</v>
      </c>
      <c r="E1002" s="7">
        <v>5.923</v>
      </c>
      <c r="F1002" s="7">
        <v>6.1463999999999999</v>
      </c>
      <c r="G1002" s="7">
        <v>6.3662000000000001</v>
      </c>
      <c r="H1002" s="7">
        <v>6.5860000000000003</v>
      </c>
      <c r="I1002" s="7">
        <v>7.4067999999999996</v>
      </c>
      <c r="J1002" s="7">
        <v>8.1702999999999992</v>
      </c>
      <c r="K1002" s="7">
        <v>8.8628999999999998</v>
      </c>
      <c r="L1002" s="7">
        <v>9.4472000000000005</v>
      </c>
      <c r="M1002" s="7">
        <v>10.6157</v>
      </c>
      <c r="N1002" s="7">
        <v>12.0542</v>
      </c>
      <c r="O1002" s="7">
        <v>13.9924</v>
      </c>
      <c r="P1002" s="7">
        <v>15.3559</v>
      </c>
      <c r="Q1002" s="7">
        <v>18.082799999999999</v>
      </c>
    </row>
    <row r="1003" spans="1:17">
      <c r="A1003" s="5">
        <v>42922</v>
      </c>
      <c r="B1003" s="5" t="str">
        <f t="shared" si="15"/>
        <v>2017 q3</v>
      </c>
      <c r="C1003" s="7">
        <v>5.8112000000000004</v>
      </c>
      <c r="D1003" s="7">
        <v>5.8851000000000004</v>
      </c>
      <c r="E1003" s="7">
        <v>6.0364000000000004</v>
      </c>
      <c r="F1003" s="7">
        <v>6.2584999999999997</v>
      </c>
      <c r="G1003" s="7">
        <v>6.4752000000000001</v>
      </c>
      <c r="H1003" s="7">
        <v>6.6830999999999996</v>
      </c>
      <c r="I1003" s="7">
        <v>7.5022000000000002</v>
      </c>
      <c r="J1003" s="7">
        <v>8.2539999999999996</v>
      </c>
      <c r="K1003" s="7">
        <v>8.9338999999999995</v>
      </c>
      <c r="L1003" s="7">
        <v>9.5046999999999997</v>
      </c>
      <c r="M1003" s="7">
        <v>10.6463</v>
      </c>
      <c r="N1003" s="7">
        <v>12.0442</v>
      </c>
      <c r="O1003" s="7">
        <v>13.915699999999999</v>
      </c>
      <c r="P1003" s="7">
        <v>15.2203</v>
      </c>
      <c r="Q1003" s="7">
        <v>17.8294</v>
      </c>
    </row>
    <row r="1004" spans="1:17">
      <c r="A1004" s="5">
        <v>42923</v>
      </c>
      <c r="B1004" s="5" t="str">
        <f t="shared" si="15"/>
        <v>2017 q3</v>
      </c>
      <c r="C1004" s="7">
        <v>5.8371000000000004</v>
      </c>
      <c r="D1004" s="7">
        <v>5.9047999999999998</v>
      </c>
      <c r="E1004" s="7">
        <v>6.0435999999999996</v>
      </c>
      <c r="F1004" s="7">
        <v>6.2485999999999997</v>
      </c>
      <c r="G1004" s="7">
        <v>6.4497999999999998</v>
      </c>
      <c r="H1004" s="7">
        <v>6.6449999999999996</v>
      </c>
      <c r="I1004" s="7">
        <v>7.4165999999999999</v>
      </c>
      <c r="J1004" s="7">
        <v>8.1404999999999994</v>
      </c>
      <c r="K1004" s="7">
        <v>8.8109000000000002</v>
      </c>
      <c r="L1004" s="7">
        <v>9.3988999999999994</v>
      </c>
      <c r="M1004" s="7">
        <v>10.5747</v>
      </c>
      <c r="N1004" s="7">
        <v>12.0784</v>
      </c>
      <c r="O1004" s="7">
        <v>14.203200000000001</v>
      </c>
      <c r="P1004" s="7">
        <v>15.7408</v>
      </c>
      <c r="Q1004" s="7">
        <v>17.957100000000001</v>
      </c>
    </row>
    <row r="1005" spans="1:17">
      <c r="A1005" s="5">
        <v>42926</v>
      </c>
      <c r="B1005" s="5" t="str">
        <f t="shared" si="15"/>
        <v>2017 q3</v>
      </c>
      <c r="C1005" s="7">
        <v>5.8552</v>
      </c>
      <c r="D1005" s="7">
        <v>5.923</v>
      </c>
      <c r="E1005" s="7">
        <v>6.0627000000000004</v>
      </c>
      <c r="F1005" s="7">
        <v>6.2689000000000004</v>
      </c>
      <c r="G1005" s="7">
        <v>6.4709000000000003</v>
      </c>
      <c r="H1005" s="7">
        <v>6.6669</v>
      </c>
      <c r="I1005" s="7">
        <v>7.4413999999999998</v>
      </c>
      <c r="J1005" s="7">
        <v>8.1663999999999994</v>
      </c>
      <c r="K1005" s="7">
        <v>8.8362999999999996</v>
      </c>
      <c r="L1005" s="7">
        <v>9.4216999999999995</v>
      </c>
      <c r="M1005" s="7">
        <v>10.592499999999999</v>
      </c>
      <c r="N1005" s="7">
        <v>12.083</v>
      </c>
      <c r="O1005" s="7">
        <v>14.1793</v>
      </c>
      <c r="P1005" s="7">
        <v>15.683400000000001</v>
      </c>
      <c r="Q1005" s="7">
        <v>17.835000000000001</v>
      </c>
    </row>
    <row r="1006" spans="1:17">
      <c r="A1006" s="5">
        <v>42927</v>
      </c>
      <c r="B1006" s="5" t="str">
        <f t="shared" si="15"/>
        <v>2017 q3</v>
      </c>
      <c r="C1006" s="7">
        <v>5.7971000000000004</v>
      </c>
      <c r="D1006" s="7">
        <v>5.8674999999999997</v>
      </c>
      <c r="E1006" s="7">
        <v>6.0122999999999998</v>
      </c>
      <c r="F1006" s="7">
        <v>6.2248000000000001</v>
      </c>
      <c r="G1006" s="7">
        <v>6.4360999999999997</v>
      </c>
      <c r="H1006" s="7">
        <v>6.6361999999999997</v>
      </c>
      <c r="I1006" s="7">
        <v>7.4252000000000002</v>
      </c>
      <c r="J1006" s="7">
        <v>8.1571999999999996</v>
      </c>
      <c r="K1006" s="7">
        <v>8.8238000000000003</v>
      </c>
      <c r="L1006" s="7">
        <v>9.3938000000000006</v>
      </c>
      <c r="M1006" s="7">
        <v>10.533799999999999</v>
      </c>
      <c r="N1006" s="7">
        <v>11.948399999999999</v>
      </c>
      <c r="O1006" s="7">
        <v>13.8811</v>
      </c>
      <c r="P1006" s="7">
        <v>15.200699999999999</v>
      </c>
      <c r="Q1006" s="7">
        <v>17.007400000000001</v>
      </c>
    </row>
    <row r="1007" spans="1:17">
      <c r="A1007" s="5">
        <v>42928</v>
      </c>
      <c r="B1007" s="5" t="str">
        <f t="shared" si="15"/>
        <v>2017 q3</v>
      </c>
      <c r="C1007" s="7">
        <v>5.8208000000000002</v>
      </c>
      <c r="D1007" s="7">
        <v>5.8876999999999997</v>
      </c>
      <c r="E1007" s="7">
        <v>6.0251999999999999</v>
      </c>
      <c r="F1007" s="7">
        <v>6.2281000000000004</v>
      </c>
      <c r="G1007" s="7">
        <v>6.4298999999999999</v>
      </c>
      <c r="H1007" s="7">
        <v>6.6233000000000004</v>
      </c>
      <c r="I1007" s="7">
        <v>7.3879999999999999</v>
      </c>
      <c r="J1007" s="7">
        <v>8.1083999999999996</v>
      </c>
      <c r="K1007" s="7">
        <v>8.7765000000000004</v>
      </c>
      <c r="L1007" s="7">
        <v>9.3660999999999994</v>
      </c>
      <c r="M1007" s="7">
        <v>10.545199999999999</v>
      </c>
      <c r="N1007" s="7">
        <v>12.0578</v>
      </c>
      <c r="O1007" s="7">
        <v>14.2082</v>
      </c>
      <c r="P1007" s="7">
        <v>15.778600000000001</v>
      </c>
      <c r="Q1007" s="7">
        <v>18.063500000000001</v>
      </c>
    </row>
    <row r="1008" spans="1:17">
      <c r="A1008" s="5">
        <v>42929</v>
      </c>
      <c r="B1008" s="5" t="str">
        <f t="shared" si="15"/>
        <v>2017 q3</v>
      </c>
      <c r="C1008" s="7">
        <v>5.835</v>
      </c>
      <c r="D1008" s="7">
        <v>5.9004000000000003</v>
      </c>
      <c r="E1008" s="7">
        <v>6.0350000000000001</v>
      </c>
      <c r="F1008" s="7">
        <v>6.2336999999999998</v>
      </c>
      <c r="G1008" s="7">
        <v>6.4313000000000002</v>
      </c>
      <c r="H1008" s="7">
        <v>6.6212999999999997</v>
      </c>
      <c r="I1008" s="7">
        <v>7.3726000000000003</v>
      </c>
      <c r="J1008" s="7">
        <v>8.0829000000000004</v>
      </c>
      <c r="K1008" s="7">
        <v>8.7553999999999998</v>
      </c>
      <c r="L1008" s="7">
        <v>9.3846000000000007</v>
      </c>
      <c r="M1008" s="7">
        <v>10.527200000000001</v>
      </c>
      <c r="N1008" s="7">
        <v>12.023199999999999</v>
      </c>
      <c r="O1008" s="7">
        <v>14.1966</v>
      </c>
      <c r="P1008" s="7">
        <v>15.803100000000001</v>
      </c>
      <c r="Q1008" s="7">
        <v>18.164100000000001</v>
      </c>
    </row>
    <row r="1009" spans="1:17">
      <c r="A1009" s="5">
        <v>42930</v>
      </c>
      <c r="B1009" s="5" t="str">
        <f t="shared" si="15"/>
        <v>2017 q3</v>
      </c>
      <c r="C1009" s="7">
        <v>5.8167999999999997</v>
      </c>
      <c r="D1009" s="7">
        <v>5.8856000000000002</v>
      </c>
      <c r="E1009" s="7">
        <v>6.0271999999999997</v>
      </c>
      <c r="F1009" s="7">
        <v>6.2354000000000003</v>
      </c>
      <c r="G1009" s="7">
        <v>6.4423000000000004</v>
      </c>
      <c r="H1009" s="7">
        <v>6.6395999999999997</v>
      </c>
      <c r="I1009" s="7">
        <v>7.4183000000000003</v>
      </c>
      <c r="J1009" s="7">
        <v>8.1462000000000003</v>
      </c>
      <c r="K1009" s="7">
        <v>8.8141999999999996</v>
      </c>
      <c r="L1009" s="7">
        <v>9.3948</v>
      </c>
      <c r="M1009" s="7">
        <v>10.555999999999999</v>
      </c>
      <c r="N1009" s="7">
        <v>12.0183</v>
      </c>
      <c r="O1009" s="7">
        <v>14.055199999999999</v>
      </c>
      <c r="P1009" s="7">
        <v>15.559900000000001</v>
      </c>
      <c r="Q1009" s="7">
        <v>18.569500000000001</v>
      </c>
    </row>
    <row r="1010" spans="1:17">
      <c r="A1010" s="5">
        <v>42933</v>
      </c>
      <c r="B1010" s="5" t="str">
        <f t="shared" si="15"/>
        <v>2017 q3</v>
      </c>
      <c r="C1010" s="7">
        <v>5.8810000000000002</v>
      </c>
      <c r="D1010" s="7">
        <v>5.9405999999999999</v>
      </c>
      <c r="E1010" s="7">
        <v>6.0635000000000003</v>
      </c>
      <c r="F1010" s="7">
        <v>6.2457000000000003</v>
      </c>
      <c r="G1010" s="7">
        <v>6.4272</v>
      </c>
      <c r="H1010" s="7">
        <v>6.6036000000000001</v>
      </c>
      <c r="I1010" s="7">
        <v>7.3034999999999997</v>
      </c>
      <c r="J1010" s="7">
        <v>7.9752999999999998</v>
      </c>
      <c r="K1010" s="7">
        <v>8.6171000000000006</v>
      </c>
      <c r="L1010" s="7">
        <v>9.2241999999999997</v>
      </c>
      <c r="M1010" s="7">
        <v>10.401400000000001</v>
      </c>
      <c r="N1010" s="7">
        <v>11.923500000000001</v>
      </c>
      <c r="O1010" s="7">
        <v>14.2425</v>
      </c>
      <c r="P1010" s="7">
        <v>16.134</v>
      </c>
      <c r="Q1010" s="7">
        <v>19.916799999999999</v>
      </c>
    </row>
    <row r="1011" spans="1:17">
      <c r="A1011" s="5">
        <v>42934</v>
      </c>
      <c r="B1011" s="5" t="str">
        <f t="shared" si="15"/>
        <v>2017 q3</v>
      </c>
      <c r="C1011" s="7">
        <v>5.8514999999999997</v>
      </c>
      <c r="D1011" s="7">
        <v>5.9127000000000001</v>
      </c>
      <c r="E1011" s="7">
        <v>6.0385</v>
      </c>
      <c r="F1011" s="7">
        <v>6.2259000000000002</v>
      </c>
      <c r="G1011" s="7">
        <v>6.4108000000000001</v>
      </c>
      <c r="H1011" s="7">
        <v>6.5910000000000002</v>
      </c>
      <c r="I1011" s="7">
        <v>7.3051000000000004</v>
      </c>
      <c r="J1011" s="7">
        <v>7.9881000000000002</v>
      </c>
      <c r="K1011" s="7">
        <v>8.6419999999999995</v>
      </c>
      <c r="L1011" s="7">
        <v>9.2614999999999998</v>
      </c>
      <c r="M1011" s="7">
        <v>10.4091</v>
      </c>
      <c r="N1011" s="7">
        <v>11.944800000000001</v>
      </c>
      <c r="O1011" s="7">
        <v>14.2319</v>
      </c>
      <c r="P1011" s="7">
        <v>16.069199999999999</v>
      </c>
      <c r="Q1011" s="7">
        <v>19.7437</v>
      </c>
    </row>
    <row r="1012" spans="1:17">
      <c r="A1012" s="5">
        <v>42935</v>
      </c>
      <c r="B1012" s="5" t="str">
        <f t="shared" si="15"/>
        <v>2017 q3</v>
      </c>
      <c r="C1012" s="7">
        <v>5.8228999999999997</v>
      </c>
      <c r="D1012" s="7">
        <v>5.8872</v>
      </c>
      <c r="E1012" s="7">
        <v>6.0193000000000003</v>
      </c>
      <c r="F1012" s="7">
        <v>6.2157999999999998</v>
      </c>
      <c r="G1012" s="7">
        <v>6.4093</v>
      </c>
      <c r="H1012" s="7">
        <v>6.5972999999999997</v>
      </c>
      <c r="I1012" s="7">
        <v>7.3414000000000001</v>
      </c>
      <c r="J1012" s="7">
        <v>8.0490999999999993</v>
      </c>
      <c r="K1012" s="7">
        <v>8.7117000000000004</v>
      </c>
      <c r="L1012" s="7">
        <v>9.3085000000000004</v>
      </c>
      <c r="M1012" s="7">
        <v>10.5022</v>
      </c>
      <c r="N1012" s="7">
        <v>12.059799999999999</v>
      </c>
      <c r="O1012" s="7">
        <v>14.321899999999999</v>
      </c>
      <c r="P1012" s="7">
        <v>16.024799999999999</v>
      </c>
      <c r="Q1012" s="7">
        <v>18.5579</v>
      </c>
    </row>
    <row r="1013" spans="1:17">
      <c r="A1013" s="5">
        <v>42936</v>
      </c>
      <c r="B1013" s="5" t="str">
        <f t="shared" si="15"/>
        <v>2017 q3</v>
      </c>
      <c r="C1013" s="7">
        <v>5.8921000000000001</v>
      </c>
      <c r="D1013" s="7">
        <v>5.9493</v>
      </c>
      <c r="E1013" s="7">
        <v>6.0671999999999997</v>
      </c>
      <c r="F1013" s="7">
        <v>6.2442000000000002</v>
      </c>
      <c r="G1013" s="7">
        <v>6.4192999999999998</v>
      </c>
      <c r="H1013" s="7">
        <v>6.5911</v>
      </c>
      <c r="I1013" s="7">
        <v>7.2735000000000003</v>
      </c>
      <c r="J1013" s="7">
        <v>7.9337999999999997</v>
      </c>
      <c r="K1013" s="7">
        <v>8.5718999999999994</v>
      </c>
      <c r="L1013" s="7">
        <v>9.1844999999999999</v>
      </c>
      <c r="M1013" s="7">
        <v>10.341200000000001</v>
      </c>
      <c r="N1013" s="7">
        <v>11.9854</v>
      </c>
      <c r="O1013" s="7">
        <v>14.356299999999999</v>
      </c>
      <c r="P1013" s="7">
        <v>16.340900000000001</v>
      </c>
      <c r="Q1013" s="7">
        <v>19.536999999999999</v>
      </c>
    </row>
    <row r="1014" spans="1:17">
      <c r="A1014" s="5">
        <v>42937</v>
      </c>
      <c r="B1014" s="5" t="str">
        <f t="shared" si="15"/>
        <v>2017 q3</v>
      </c>
      <c r="C1014" s="7">
        <v>5.8056000000000001</v>
      </c>
      <c r="D1014" s="7">
        <v>5.8696999999999999</v>
      </c>
      <c r="E1014" s="7">
        <v>6.0022000000000002</v>
      </c>
      <c r="F1014" s="7">
        <v>6.2008000000000001</v>
      </c>
      <c r="G1014" s="7">
        <v>6.3958000000000004</v>
      </c>
      <c r="H1014" s="7">
        <v>6.5845000000000002</v>
      </c>
      <c r="I1014" s="7">
        <v>7.3297999999999996</v>
      </c>
      <c r="J1014" s="7">
        <v>8.0329999999999995</v>
      </c>
      <c r="K1014" s="7">
        <v>8.6847999999999992</v>
      </c>
      <c r="L1014" s="7">
        <v>9.2636000000000003</v>
      </c>
      <c r="M1014" s="7">
        <v>10.4213</v>
      </c>
      <c r="N1014" s="7">
        <v>11.988</v>
      </c>
      <c r="O1014" s="7">
        <v>14.03</v>
      </c>
      <c r="P1014" s="7">
        <v>15.6599</v>
      </c>
      <c r="Q1014" s="7">
        <v>18.919699999999999</v>
      </c>
    </row>
    <row r="1015" spans="1:17">
      <c r="A1015" s="5">
        <v>42940</v>
      </c>
      <c r="B1015" s="5" t="str">
        <f t="shared" si="15"/>
        <v>2017 q3</v>
      </c>
      <c r="C1015" s="7">
        <v>5.7813999999999997</v>
      </c>
      <c r="D1015" s="7">
        <v>5.8464</v>
      </c>
      <c r="E1015" s="7">
        <v>5.9806999999999997</v>
      </c>
      <c r="F1015" s="7">
        <v>6.1821000000000002</v>
      </c>
      <c r="G1015" s="7">
        <v>6.3798000000000004</v>
      </c>
      <c r="H1015" s="7">
        <v>6.5712999999999999</v>
      </c>
      <c r="I1015" s="7">
        <v>7.3274999999999997</v>
      </c>
      <c r="J1015" s="7">
        <v>8.0416000000000007</v>
      </c>
      <c r="K1015" s="7">
        <v>8.7037999999999993</v>
      </c>
      <c r="L1015" s="7">
        <v>9.2928999999999995</v>
      </c>
      <c r="M1015" s="7">
        <v>10.4712</v>
      </c>
      <c r="N1015" s="7">
        <v>11.986000000000001</v>
      </c>
      <c r="O1015" s="7">
        <v>14.153700000000001</v>
      </c>
      <c r="P1015" s="7">
        <v>15.8233</v>
      </c>
      <c r="Q1015" s="7">
        <v>19.162500000000001</v>
      </c>
    </row>
    <row r="1016" spans="1:17">
      <c r="A1016" s="5">
        <v>42941</v>
      </c>
      <c r="B1016" s="5" t="str">
        <f t="shared" si="15"/>
        <v>2017 q3</v>
      </c>
      <c r="C1016" s="7">
        <v>5.7946999999999997</v>
      </c>
      <c r="D1016" s="7">
        <v>5.8583999999999996</v>
      </c>
      <c r="E1016" s="7">
        <v>5.99</v>
      </c>
      <c r="F1016" s="7">
        <v>6.1871</v>
      </c>
      <c r="G1016" s="7">
        <v>6.38</v>
      </c>
      <c r="H1016" s="7">
        <v>6.5663999999999998</v>
      </c>
      <c r="I1016" s="7">
        <v>7.3007</v>
      </c>
      <c r="J1016" s="7">
        <v>7.9889000000000001</v>
      </c>
      <c r="K1016" s="7">
        <v>8.6350999999999996</v>
      </c>
      <c r="L1016" s="7">
        <v>9.2324000000000002</v>
      </c>
      <c r="M1016" s="7">
        <v>10.3066</v>
      </c>
      <c r="N1016" s="7">
        <v>11.684699999999999</v>
      </c>
      <c r="O1016" s="7">
        <v>13.651400000000001</v>
      </c>
      <c r="P1016" s="7">
        <v>15.121600000000001</v>
      </c>
      <c r="Q1016" s="7">
        <v>18.062200000000001</v>
      </c>
    </row>
    <row r="1017" spans="1:17">
      <c r="A1017" s="5">
        <v>42942</v>
      </c>
      <c r="B1017" s="5" t="str">
        <f t="shared" si="15"/>
        <v>2017 q3</v>
      </c>
      <c r="C1017" s="7">
        <v>5.7922000000000002</v>
      </c>
      <c r="D1017" s="7">
        <v>5.8577000000000004</v>
      </c>
      <c r="E1017" s="7">
        <v>5.9927000000000001</v>
      </c>
      <c r="F1017" s="7">
        <v>6.1950000000000003</v>
      </c>
      <c r="G1017" s="7">
        <v>6.3933</v>
      </c>
      <c r="H1017" s="7">
        <v>6.5853999999999999</v>
      </c>
      <c r="I1017" s="7">
        <v>7.3432000000000004</v>
      </c>
      <c r="J1017" s="7">
        <v>8.0569000000000006</v>
      </c>
      <c r="K1017" s="7">
        <v>8.7162000000000006</v>
      </c>
      <c r="L1017" s="7">
        <v>9.3007000000000009</v>
      </c>
      <c r="M1017" s="7">
        <v>10.469900000000001</v>
      </c>
      <c r="N1017" s="7">
        <v>11.9625</v>
      </c>
      <c r="O1017" s="7">
        <v>14.0861</v>
      </c>
      <c r="P1017" s="7">
        <v>15.706200000000001</v>
      </c>
      <c r="Q1017" s="7">
        <v>18.946200000000001</v>
      </c>
    </row>
    <row r="1018" spans="1:17">
      <c r="A1018" s="5">
        <v>42943</v>
      </c>
      <c r="B1018" s="5" t="str">
        <f t="shared" si="15"/>
        <v>2017 q3</v>
      </c>
      <c r="C1018" s="7">
        <v>5.9686000000000003</v>
      </c>
      <c r="D1018" s="7">
        <v>6.0210999999999997</v>
      </c>
      <c r="E1018" s="7">
        <v>6.1294000000000004</v>
      </c>
      <c r="F1018" s="7">
        <v>6.2919</v>
      </c>
      <c r="G1018" s="7">
        <v>6.4531000000000001</v>
      </c>
      <c r="H1018" s="7">
        <v>6.6124999999999998</v>
      </c>
      <c r="I1018" s="7">
        <v>7.2466999999999997</v>
      </c>
      <c r="J1018" s="7">
        <v>7.8672000000000004</v>
      </c>
      <c r="K1018" s="7">
        <v>8.4735999999999994</v>
      </c>
      <c r="L1018" s="7">
        <v>9.0663999999999998</v>
      </c>
      <c r="M1018" s="7">
        <v>10.2112</v>
      </c>
      <c r="N1018" s="7">
        <v>11.802</v>
      </c>
      <c r="O1018" s="7">
        <v>14.324999999999999</v>
      </c>
      <c r="P1018" s="7">
        <v>16.578099999999999</v>
      </c>
      <c r="Q1018" s="7">
        <v>21.084399999999999</v>
      </c>
    </row>
    <row r="1019" spans="1:17">
      <c r="A1019" s="5">
        <v>42944</v>
      </c>
      <c r="B1019" s="5" t="str">
        <f t="shared" si="15"/>
        <v>2017 q3</v>
      </c>
      <c r="C1019" s="7">
        <v>5.9645999999999999</v>
      </c>
      <c r="D1019" s="7">
        <v>6.0178000000000003</v>
      </c>
      <c r="E1019" s="7">
        <v>6.1276999999999999</v>
      </c>
      <c r="F1019" s="7">
        <v>6.2925000000000004</v>
      </c>
      <c r="G1019" s="7">
        <v>6.4560000000000004</v>
      </c>
      <c r="H1019" s="7">
        <v>6.6176000000000004</v>
      </c>
      <c r="I1019" s="7">
        <v>7.2605000000000004</v>
      </c>
      <c r="J1019" s="7">
        <v>7.8894000000000002</v>
      </c>
      <c r="K1019" s="7">
        <v>8.5037000000000003</v>
      </c>
      <c r="L1019" s="7">
        <v>9.1041000000000007</v>
      </c>
      <c r="M1019" s="7">
        <v>10.2629</v>
      </c>
      <c r="N1019" s="7">
        <v>11.871499999999999</v>
      </c>
      <c r="O1019" s="7">
        <v>14.420999999999999</v>
      </c>
      <c r="P1019" s="7">
        <v>16.640699999999999</v>
      </c>
      <c r="Q1019" s="7">
        <v>20.469200000000001</v>
      </c>
    </row>
    <row r="1020" spans="1:17">
      <c r="A1020" s="5">
        <v>42947</v>
      </c>
      <c r="B1020" s="5" t="str">
        <f t="shared" si="15"/>
        <v>2017 q3</v>
      </c>
      <c r="C1020" s="7">
        <v>5.7827999999999999</v>
      </c>
      <c r="D1020" s="7">
        <v>5.8509000000000002</v>
      </c>
      <c r="E1020" s="7">
        <v>5.9916</v>
      </c>
      <c r="F1020" s="7">
        <v>6.2020999999999997</v>
      </c>
      <c r="G1020" s="7">
        <v>6.4077000000000002</v>
      </c>
      <c r="H1020" s="7">
        <v>6.6063999999999998</v>
      </c>
      <c r="I1020" s="7">
        <v>7.3879000000000001</v>
      </c>
      <c r="J1020" s="7">
        <v>8.1181999999999999</v>
      </c>
      <c r="K1020" s="7">
        <v>8.7851999999999997</v>
      </c>
      <c r="L1020" s="7">
        <v>9.3681999999999999</v>
      </c>
      <c r="M1020" s="7">
        <v>10.5342</v>
      </c>
      <c r="N1020" s="7">
        <v>11.9941</v>
      </c>
      <c r="O1020" s="7">
        <v>14.029400000000001</v>
      </c>
      <c r="P1020" s="7">
        <v>15.533300000000001</v>
      </c>
      <c r="Q1020" s="7">
        <v>18.5411</v>
      </c>
    </row>
    <row r="1021" spans="1:17">
      <c r="A1021" s="5">
        <v>42948</v>
      </c>
      <c r="B1021" s="5" t="str">
        <f t="shared" si="15"/>
        <v>2017 q3</v>
      </c>
      <c r="C1021" s="7">
        <v>5.7984999999999998</v>
      </c>
      <c r="D1021" s="7">
        <v>5.8642000000000003</v>
      </c>
      <c r="E1021" s="7">
        <v>5.9996999999999998</v>
      </c>
      <c r="F1021" s="7">
        <v>6.2026000000000003</v>
      </c>
      <c r="G1021" s="7">
        <v>6.4009</v>
      </c>
      <c r="H1021" s="7">
        <v>6.5932000000000004</v>
      </c>
      <c r="I1021" s="7">
        <v>7.3505000000000003</v>
      </c>
      <c r="J1021" s="7">
        <v>8.0617999999999999</v>
      </c>
      <c r="K1021" s="7">
        <v>8.7152999999999992</v>
      </c>
      <c r="L1021" s="7">
        <v>9.2929999999999993</v>
      </c>
      <c r="M1021" s="7">
        <v>10.448499999999999</v>
      </c>
      <c r="N1021" s="7">
        <v>11.911300000000001</v>
      </c>
      <c r="O1021" s="7">
        <v>13.9787</v>
      </c>
      <c r="P1021" s="7">
        <v>15.5389</v>
      </c>
      <c r="Q1021" s="7">
        <v>18.659400000000002</v>
      </c>
    </row>
    <row r="1022" spans="1:17">
      <c r="A1022" s="5">
        <v>42949</v>
      </c>
      <c r="B1022" s="5" t="str">
        <f t="shared" si="15"/>
        <v>2017 q3</v>
      </c>
      <c r="C1022" s="7">
        <v>5.8440000000000003</v>
      </c>
      <c r="D1022" s="7">
        <v>5.9070999999999998</v>
      </c>
      <c r="E1022" s="7">
        <v>6.0374999999999996</v>
      </c>
      <c r="F1022" s="7">
        <v>6.2327000000000004</v>
      </c>
      <c r="G1022" s="7">
        <v>6.4242999999999997</v>
      </c>
      <c r="H1022" s="7">
        <v>6.6113999999999997</v>
      </c>
      <c r="I1022" s="7">
        <v>7.3505000000000003</v>
      </c>
      <c r="J1022" s="7">
        <v>8.0533999999999999</v>
      </c>
      <c r="K1022" s="7">
        <v>8.7096</v>
      </c>
      <c r="L1022" s="7">
        <v>9.3035999999999994</v>
      </c>
      <c r="M1022" s="7">
        <v>10.4916</v>
      </c>
      <c r="N1022" s="7">
        <v>12.0367</v>
      </c>
      <c r="O1022" s="7">
        <v>14.284599999999999</v>
      </c>
      <c r="P1022" s="7">
        <v>15.9771</v>
      </c>
      <c r="Q1022" s="7">
        <v>18.502400000000002</v>
      </c>
    </row>
    <row r="1023" spans="1:17">
      <c r="A1023" s="5">
        <v>42950</v>
      </c>
      <c r="B1023" s="5" t="str">
        <f t="shared" si="15"/>
        <v>2017 q3</v>
      </c>
      <c r="C1023" s="7">
        <v>5.8289999999999997</v>
      </c>
      <c r="D1023" s="7">
        <v>5.8926999999999996</v>
      </c>
      <c r="E1023" s="7">
        <v>6.0240999999999998</v>
      </c>
      <c r="F1023" s="7">
        <v>6.2209000000000003</v>
      </c>
      <c r="G1023" s="7">
        <v>6.4138999999999999</v>
      </c>
      <c r="H1023" s="7">
        <v>6.6021999999999998</v>
      </c>
      <c r="I1023" s="7">
        <v>7.3453999999999997</v>
      </c>
      <c r="J1023" s="7">
        <v>8.0509000000000004</v>
      </c>
      <c r="K1023" s="7">
        <v>8.7078000000000007</v>
      </c>
      <c r="L1023" s="7">
        <v>9.3003999999999998</v>
      </c>
      <c r="M1023" s="7">
        <v>10.485799999999999</v>
      </c>
      <c r="N1023" s="7">
        <v>12.0206</v>
      </c>
      <c r="O1023" s="7">
        <v>14.244</v>
      </c>
      <c r="P1023" s="7">
        <v>15.9063</v>
      </c>
      <c r="Q1023" s="7">
        <v>18.374700000000001</v>
      </c>
    </row>
    <row r="1024" spans="1:17">
      <c r="A1024" s="5">
        <v>42951</v>
      </c>
      <c r="B1024" s="5" t="str">
        <f t="shared" si="15"/>
        <v>2017 q3</v>
      </c>
      <c r="C1024" s="7">
        <v>5.8474000000000004</v>
      </c>
      <c r="D1024" s="7">
        <v>5.9096000000000002</v>
      </c>
      <c r="E1024" s="7">
        <v>6.0381</v>
      </c>
      <c r="F1024" s="7">
        <v>6.2305000000000001</v>
      </c>
      <c r="G1024" s="7">
        <v>6.4194000000000004</v>
      </c>
      <c r="H1024" s="7">
        <v>6.6044</v>
      </c>
      <c r="I1024" s="7">
        <v>7.3353999999999999</v>
      </c>
      <c r="J1024" s="7">
        <v>8.0333000000000006</v>
      </c>
      <c r="K1024" s="7">
        <v>8.6875999999999998</v>
      </c>
      <c r="L1024" s="7">
        <v>9.2843999999999998</v>
      </c>
      <c r="M1024" s="7">
        <v>10.4781</v>
      </c>
      <c r="N1024" s="7">
        <v>12.0434</v>
      </c>
      <c r="O1024" s="7">
        <v>14.3414</v>
      </c>
      <c r="P1024" s="7">
        <v>16.097999999999999</v>
      </c>
      <c r="Q1024" s="7">
        <v>18.752800000000001</v>
      </c>
    </row>
    <row r="1025" spans="1:17">
      <c r="A1025" s="5">
        <v>42954</v>
      </c>
      <c r="B1025" s="5" t="str">
        <f t="shared" si="15"/>
        <v>2017 q3</v>
      </c>
      <c r="C1025" s="7">
        <v>5.9176000000000002</v>
      </c>
      <c r="D1025" s="7">
        <v>5.9736000000000002</v>
      </c>
      <c r="E1025" s="7">
        <v>6.0892999999999997</v>
      </c>
      <c r="F1025" s="7">
        <v>6.2625999999999999</v>
      </c>
      <c r="G1025" s="7">
        <v>6.4337999999999997</v>
      </c>
      <c r="H1025" s="7">
        <v>6.6026999999999996</v>
      </c>
      <c r="I1025" s="7">
        <v>7.2727000000000004</v>
      </c>
      <c r="J1025" s="7">
        <v>7.9222999999999999</v>
      </c>
      <c r="K1025" s="7">
        <v>8.5488999999999997</v>
      </c>
      <c r="L1025" s="7">
        <v>9.1515000000000004</v>
      </c>
      <c r="M1025" s="7">
        <v>10.3261</v>
      </c>
      <c r="N1025" s="7">
        <v>11.8971</v>
      </c>
      <c r="O1025" s="7">
        <v>14.3429</v>
      </c>
      <c r="P1025" s="7">
        <v>16.436900000000001</v>
      </c>
      <c r="Q1025" s="7">
        <v>20.625</v>
      </c>
    </row>
    <row r="1026" spans="1:17">
      <c r="A1026" s="5">
        <v>42955</v>
      </c>
      <c r="B1026" s="5" t="str">
        <f t="shared" si="15"/>
        <v>2017 q3</v>
      </c>
      <c r="C1026" s="7">
        <v>5.8666999999999998</v>
      </c>
      <c r="D1026" s="7">
        <v>5.9255000000000004</v>
      </c>
      <c r="E1026" s="7">
        <v>6.0469999999999997</v>
      </c>
      <c r="F1026" s="7">
        <v>6.2283999999999997</v>
      </c>
      <c r="G1026" s="7">
        <v>6.4076000000000004</v>
      </c>
      <c r="H1026" s="7">
        <v>6.5867000000000004</v>
      </c>
      <c r="I1026" s="7">
        <v>7.2793999999999999</v>
      </c>
      <c r="J1026" s="7">
        <v>7.9482999999999997</v>
      </c>
      <c r="K1026" s="7">
        <v>8.5917999999999992</v>
      </c>
      <c r="L1026" s="7">
        <v>9.2030999999999992</v>
      </c>
      <c r="M1026" s="7">
        <v>10.3504</v>
      </c>
      <c r="N1026" s="7">
        <v>11.896800000000001</v>
      </c>
      <c r="O1026" s="7">
        <v>14.2296</v>
      </c>
      <c r="P1026" s="7">
        <v>16.147500000000001</v>
      </c>
      <c r="Q1026" s="7">
        <v>19.9833</v>
      </c>
    </row>
    <row r="1027" spans="1:17">
      <c r="A1027" s="5">
        <v>42956</v>
      </c>
      <c r="B1027" s="5" t="str">
        <f t="shared" ref="B1027:B1090" si="16">YEAR(A1027)&amp;" q"&amp;ROUNDUP(MONTH(A1027)/3,0)</f>
        <v>2017 q3</v>
      </c>
      <c r="C1027" s="7">
        <v>5.8102</v>
      </c>
      <c r="D1027" s="7">
        <v>5.8739999999999997</v>
      </c>
      <c r="E1027" s="7">
        <v>6.0057</v>
      </c>
      <c r="F1027" s="7">
        <v>6.2020999999999997</v>
      </c>
      <c r="G1027" s="7">
        <v>6.3951000000000002</v>
      </c>
      <c r="H1027" s="7">
        <v>6.5877999999999997</v>
      </c>
      <c r="I1027" s="7">
        <v>7.3227000000000002</v>
      </c>
      <c r="J1027" s="7">
        <v>8.0219000000000005</v>
      </c>
      <c r="K1027" s="7">
        <v>8.6683000000000003</v>
      </c>
      <c r="L1027" s="7">
        <v>9.2483000000000004</v>
      </c>
      <c r="M1027" s="7">
        <v>10.4085</v>
      </c>
      <c r="N1027" s="7">
        <v>11.895899999999999</v>
      </c>
      <c r="O1027" s="7">
        <v>14.0341</v>
      </c>
      <c r="P1027" s="7">
        <v>15.690799999999999</v>
      </c>
      <c r="Q1027" s="7">
        <v>19.004300000000001</v>
      </c>
    </row>
    <row r="1028" spans="1:17">
      <c r="A1028" s="5">
        <v>42957</v>
      </c>
      <c r="B1028" s="5" t="str">
        <f t="shared" si="16"/>
        <v>2017 q3</v>
      </c>
      <c r="C1028" s="7">
        <v>5.8385999999999996</v>
      </c>
      <c r="D1028" s="7">
        <v>5.8982999999999999</v>
      </c>
      <c r="E1028" s="7">
        <v>6.0217000000000001</v>
      </c>
      <c r="F1028" s="7">
        <v>6.2060000000000004</v>
      </c>
      <c r="G1028" s="7">
        <v>6.3879000000000001</v>
      </c>
      <c r="H1028" s="7">
        <v>6.5697000000000001</v>
      </c>
      <c r="I1028" s="7">
        <v>7.2717000000000001</v>
      </c>
      <c r="J1028" s="7">
        <v>7.9484000000000004</v>
      </c>
      <c r="K1028" s="7">
        <v>8.5928000000000004</v>
      </c>
      <c r="L1028" s="7">
        <v>9.2048000000000005</v>
      </c>
      <c r="M1028" s="7">
        <v>10.386900000000001</v>
      </c>
      <c r="N1028" s="7">
        <v>11.9099</v>
      </c>
      <c r="O1028" s="7">
        <v>14.2288</v>
      </c>
      <c r="P1028" s="7">
        <v>16.118500000000001</v>
      </c>
      <c r="Q1028" s="7">
        <v>19.8979</v>
      </c>
    </row>
    <row r="1029" spans="1:17">
      <c r="A1029" s="5">
        <v>42958</v>
      </c>
      <c r="B1029" s="5" t="str">
        <f t="shared" si="16"/>
        <v>2017 q3</v>
      </c>
      <c r="C1029" s="7">
        <v>5.89</v>
      </c>
      <c r="D1029" s="7">
        <v>5.9452999999999996</v>
      </c>
      <c r="E1029" s="7">
        <v>6.0594000000000001</v>
      </c>
      <c r="F1029" s="7">
        <v>6.23</v>
      </c>
      <c r="G1029" s="7">
        <v>6.3990999999999998</v>
      </c>
      <c r="H1029" s="7">
        <v>6.5679999999999996</v>
      </c>
      <c r="I1029" s="7">
        <v>7.2271000000000001</v>
      </c>
      <c r="J1029" s="7">
        <v>7.8689999999999998</v>
      </c>
      <c r="K1029" s="7">
        <v>8.484</v>
      </c>
      <c r="L1029" s="7">
        <v>9.0641999999999996</v>
      </c>
      <c r="M1029" s="7">
        <v>10.2247</v>
      </c>
      <c r="N1029" s="7">
        <v>11.8139</v>
      </c>
      <c r="O1029" s="7">
        <v>14.2539</v>
      </c>
      <c r="P1029" s="7">
        <v>16.3551</v>
      </c>
      <c r="Q1029" s="7">
        <v>20.557600000000001</v>
      </c>
    </row>
    <row r="1030" spans="1:17">
      <c r="A1030" s="5">
        <v>42961</v>
      </c>
      <c r="B1030" s="5" t="str">
        <f t="shared" si="16"/>
        <v>2017 q3</v>
      </c>
      <c r="C1030" s="7">
        <v>5.8052000000000001</v>
      </c>
      <c r="D1030" s="7">
        <v>5.8657000000000004</v>
      </c>
      <c r="E1030" s="7">
        <v>5.9904999999999999</v>
      </c>
      <c r="F1030" s="7">
        <v>6.1767000000000003</v>
      </c>
      <c r="G1030" s="7">
        <v>6.3605999999999998</v>
      </c>
      <c r="H1030" s="7">
        <v>6.5442999999999998</v>
      </c>
      <c r="I1030" s="7">
        <v>7.2530999999999999</v>
      </c>
      <c r="J1030" s="7">
        <v>7.9356</v>
      </c>
      <c r="K1030" s="7">
        <v>8.5777000000000001</v>
      </c>
      <c r="L1030" s="7">
        <v>9.1687999999999992</v>
      </c>
      <c r="M1030" s="7">
        <v>10.3512</v>
      </c>
      <c r="N1030" s="7">
        <v>11.9133</v>
      </c>
      <c r="O1030" s="7">
        <v>14.23</v>
      </c>
      <c r="P1030" s="7">
        <v>16.109000000000002</v>
      </c>
      <c r="Q1030" s="7">
        <v>19.867100000000001</v>
      </c>
    </row>
    <row r="1031" spans="1:17">
      <c r="A1031" s="5">
        <v>42962</v>
      </c>
      <c r="B1031" s="5" t="str">
        <f t="shared" si="16"/>
        <v>2017 q3</v>
      </c>
      <c r="C1031" s="7">
        <v>5.8083</v>
      </c>
      <c r="D1031" s="7">
        <v>5.8699000000000003</v>
      </c>
      <c r="E1031" s="7">
        <v>5.9972000000000003</v>
      </c>
      <c r="F1031" s="7">
        <v>6.1868999999999996</v>
      </c>
      <c r="G1031" s="7">
        <v>6.3741000000000003</v>
      </c>
      <c r="H1031" s="7">
        <v>6.5540000000000003</v>
      </c>
      <c r="I1031" s="7">
        <v>7.2610999999999999</v>
      </c>
      <c r="J1031" s="7">
        <v>7.9267000000000003</v>
      </c>
      <c r="K1031" s="7">
        <v>8.5358999999999998</v>
      </c>
      <c r="L1031" s="7">
        <v>9.0775000000000006</v>
      </c>
      <c r="M1031" s="7">
        <v>10.1607</v>
      </c>
      <c r="N1031" s="7">
        <v>11.5259</v>
      </c>
      <c r="O1031" s="7">
        <v>13.458500000000001</v>
      </c>
      <c r="P1031" s="7">
        <v>14.9192</v>
      </c>
      <c r="Q1031" s="7">
        <v>17.840399999999999</v>
      </c>
    </row>
    <row r="1032" spans="1:17">
      <c r="A1032" s="5">
        <v>42963</v>
      </c>
      <c r="B1032" s="5" t="str">
        <f t="shared" si="16"/>
        <v>2017 q3</v>
      </c>
      <c r="C1032" s="7">
        <v>5.8710000000000004</v>
      </c>
      <c r="D1032" s="7">
        <v>5.931</v>
      </c>
      <c r="E1032" s="7">
        <v>6.0548999999999999</v>
      </c>
      <c r="F1032" s="7">
        <v>6.2398999999999996</v>
      </c>
      <c r="G1032" s="7">
        <v>6.4231999999999996</v>
      </c>
      <c r="H1032" s="7">
        <v>6.6017000000000001</v>
      </c>
      <c r="I1032" s="7">
        <v>7.3068999999999997</v>
      </c>
      <c r="J1032" s="7">
        <v>7.9832999999999998</v>
      </c>
      <c r="K1032" s="7">
        <v>8.6186000000000007</v>
      </c>
      <c r="L1032" s="7">
        <v>9.2035999999999998</v>
      </c>
      <c r="M1032" s="7">
        <v>10.373799999999999</v>
      </c>
      <c r="N1032" s="7">
        <v>11.916399999999999</v>
      </c>
      <c r="O1032" s="7">
        <v>14.2021</v>
      </c>
      <c r="P1032" s="7">
        <v>15.9754</v>
      </c>
      <c r="Q1032" s="7">
        <v>18.700399999999998</v>
      </c>
    </row>
    <row r="1033" spans="1:17">
      <c r="A1033" s="5">
        <v>42964</v>
      </c>
      <c r="B1033" s="5" t="str">
        <f t="shared" si="16"/>
        <v>2017 q3</v>
      </c>
      <c r="C1033" s="7">
        <v>5.8949999999999996</v>
      </c>
      <c r="D1033" s="7">
        <v>5.9574999999999996</v>
      </c>
      <c r="E1033" s="7">
        <v>6.0864000000000003</v>
      </c>
      <c r="F1033" s="7">
        <v>6.2788000000000004</v>
      </c>
      <c r="G1033" s="7">
        <v>6.4691000000000001</v>
      </c>
      <c r="H1033" s="7">
        <v>6.6532</v>
      </c>
      <c r="I1033" s="7">
        <v>7.3792</v>
      </c>
      <c r="J1033" s="7">
        <v>8.0694999999999997</v>
      </c>
      <c r="K1033" s="7">
        <v>8.7187000000000001</v>
      </c>
      <c r="L1033" s="7">
        <v>9.3284000000000002</v>
      </c>
      <c r="M1033" s="7">
        <v>10.495900000000001</v>
      </c>
      <c r="N1033" s="7">
        <v>11.9512</v>
      </c>
      <c r="O1033" s="7">
        <v>14.126300000000001</v>
      </c>
      <c r="P1033" s="7">
        <v>15.754099999999999</v>
      </c>
      <c r="Q1033" s="7">
        <v>18.183900000000001</v>
      </c>
    </row>
    <row r="1034" spans="1:17">
      <c r="A1034" s="5">
        <v>42965</v>
      </c>
      <c r="B1034" s="5" t="str">
        <f t="shared" si="16"/>
        <v>2017 q3</v>
      </c>
      <c r="C1034" s="7">
        <v>5.9843999999999999</v>
      </c>
      <c r="D1034" s="7">
        <v>6.0412999999999997</v>
      </c>
      <c r="E1034" s="7">
        <v>6.1589</v>
      </c>
      <c r="F1034" s="7">
        <v>6.3346</v>
      </c>
      <c r="G1034" s="7">
        <v>6.5088999999999997</v>
      </c>
      <c r="H1034" s="7">
        <v>6.6792999999999996</v>
      </c>
      <c r="I1034" s="7">
        <v>7.3540000000000001</v>
      </c>
      <c r="J1034" s="7">
        <v>8.0052000000000003</v>
      </c>
      <c r="K1034" s="7">
        <v>8.6286000000000005</v>
      </c>
      <c r="L1034" s="7">
        <v>9.2250999999999994</v>
      </c>
      <c r="M1034" s="7">
        <v>10.381</v>
      </c>
      <c r="N1034" s="7">
        <v>11.8954</v>
      </c>
      <c r="O1034" s="7">
        <v>14.2258</v>
      </c>
      <c r="P1034" s="7">
        <v>16.096800000000002</v>
      </c>
      <c r="Q1034" s="7">
        <v>19.07</v>
      </c>
    </row>
    <row r="1035" spans="1:17">
      <c r="A1035" s="5">
        <v>42968</v>
      </c>
      <c r="B1035" s="5" t="str">
        <f t="shared" si="16"/>
        <v>2017 q3</v>
      </c>
      <c r="C1035" s="7">
        <v>5.8307000000000002</v>
      </c>
      <c r="D1035" s="7">
        <v>5.9002999999999997</v>
      </c>
      <c r="E1035" s="7">
        <v>6.0441000000000003</v>
      </c>
      <c r="F1035" s="7">
        <v>6.2579000000000002</v>
      </c>
      <c r="G1035" s="7">
        <v>6.468</v>
      </c>
      <c r="H1035" s="7">
        <v>6.6684999999999999</v>
      </c>
      <c r="I1035" s="7">
        <v>7.4534000000000002</v>
      </c>
      <c r="J1035" s="7">
        <v>8.1822999999999997</v>
      </c>
      <c r="K1035" s="7">
        <v>8.8363999999999994</v>
      </c>
      <c r="L1035" s="7">
        <v>9.4047000000000001</v>
      </c>
      <c r="M1035" s="7">
        <v>10.5413</v>
      </c>
      <c r="N1035" s="7">
        <v>11.9268</v>
      </c>
      <c r="O1035" s="7">
        <v>13.822699999999999</v>
      </c>
      <c r="P1035" s="7">
        <v>15.181900000000001</v>
      </c>
      <c r="Q1035" s="7">
        <v>17.900400000000001</v>
      </c>
    </row>
    <row r="1036" spans="1:17">
      <c r="A1036" s="5">
        <v>42969</v>
      </c>
      <c r="B1036" s="5" t="str">
        <f t="shared" si="16"/>
        <v>2017 q3</v>
      </c>
      <c r="C1036" s="7">
        <v>5.8404999999999996</v>
      </c>
      <c r="D1036" s="7">
        <v>5.9093</v>
      </c>
      <c r="E1036" s="7">
        <v>6.0514000000000001</v>
      </c>
      <c r="F1036" s="7">
        <v>6.2625999999999999</v>
      </c>
      <c r="G1036" s="7">
        <v>6.4702000000000002</v>
      </c>
      <c r="H1036" s="7">
        <v>6.6688000000000001</v>
      </c>
      <c r="I1036" s="7">
        <v>7.4462999999999999</v>
      </c>
      <c r="J1036" s="7">
        <v>8.17</v>
      </c>
      <c r="K1036" s="7">
        <v>8.8208000000000002</v>
      </c>
      <c r="L1036" s="7">
        <v>9.3894000000000002</v>
      </c>
      <c r="M1036" s="7">
        <v>10.5265</v>
      </c>
      <c r="N1036" s="7">
        <v>11.9184</v>
      </c>
      <c r="O1036" s="7">
        <v>13.834899999999999</v>
      </c>
      <c r="P1036" s="7">
        <v>15.221299999999999</v>
      </c>
      <c r="Q1036" s="7">
        <v>17.9941</v>
      </c>
    </row>
    <row r="1037" spans="1:17">
      <c r="A1037" s="5">
        <v>42970</v>
      </c>
      <c r="B1037" s="5" t="str">
        <f t="shared" si="16"/>
        <v>2017 q3</v>
      </c>
      <c r="C1037" s="7">
        <v>5.8800999999999997</v>
      </c>
      <c r="D1037" s="7">
        <v>5.9450000000000003</v>
      </c>
      <c r="E1037" s="7">
        <v>6.0788000000000002</v>
      </c>
      <c r="F1037" s="7">
        <v>6.2779999999999996</v>
      </c>
      <c r="G1037" s="7">
        <v>6.4744999999999999</v>
      </c>
      <c r="H1037" s="7">
        <v>6.6643999999999997</v>
      </c>
      <c r="I1037" s="7">
        <v>7.4109999999999996</v>
      </c>
      <c r="J1037" s="7">
        <v>8.1164000000000005</v>
      </c>
      <c r="K1037" s="7">
        <v>8.7644000000000002</v>
      </c>
      <c r="L1037" s="7">
        <v>9.3467000000000002</v>
      </c>
      <c r="M1037" s="7">
        <v>10.5113</v>
      </c>
      <c r="N1037" s="7">
        <v>11.9908</v>
      </c>
      <c r="O1037" s="7">
        <v>14.1092</v>
      </c>
      <c r="P1037" s="7">
        <v>15.659000000000001</v>
      </c>
      <c r="Q1037" s="7">
        <v>17.936599999999999</v>
      </c>
    </row>
    <row r="1038" spans="1:17">
      <c r="A1038" s="5">
        <v>42971</v>
      </c>
      <c r="B1038" s="5" t="str">
        <f t="shared" si="16"/>
        <v>2017 q3</v>
      </c>
      <c r="C1038" s="7">
        <v>5.8832000000000004</v>
      </c>
      <c r="D1038" s="7">
        <v>5.9477000000000002</v>
      </c>
      <c r="E1038" s="7">
        <v>6.0805999999999996</v>
      </c>
      <c r="F1038" s="7">
        <v>6.2786999999999997</v>
      </c>
      <c r="G1038" s="7">
        <v>6.4740000000000002</v>
      </c>
      <c r="H1038" s="7">
        <v>6.6631</v>
      </c>
      <c r="I1038" s="7">
        <v>7.4066000000000001</v>
      </c>
      <c r="J1038" s="7">
        <v>8.1105</v>
      </c>
      <c r="K1038" s="7">
        <v>8.7765000000000004</v>
      </c>
      <c r="L1038" s="7">
        <v>9.3947000000000003</v>
      </c>
      <c r="M1038" s="7">
        <v>10.531700000000001</v>
      </c>
      <c r="N1038" s="7">
        <v>12.0046</v>
      </c>
      <c r="O1038" s="7">
        <v>14.1516</v>
      </c>
      <c r="P1038" s="7">
        <v>15.7362</v>
      </c>
      <c r="Q1038" s="7">
        <v>18.084399999999999</v>
      </c>
    </row>
    <row r="1039" spans="1:17">
      <c r="A1039" s="5">
        <v>42972</v>
      </c>
      <c r="B1039" s="5" t="str">
        <f t="shared" si="16"/>
        <v>2017 q3</v>
      </c>
      <c r="C1039" s="7">
        <v>5.8937999999999997</v>
      </c>
      <c r="D1039" s="7">
        <v>5.9584999999999999</v>
      </c>
      <c r="E1039" s="7">
        <v>6.0919999999999996</v>
      </c>
      <c r="F1039" s="7">
        <v>6.2907999999999999</v>
      </c>
      <c r="G1039" s="7">
        <v>6.4867999999999997</v>
      </c>
      <c r="H1039" s="7">
        <v>6.6761999999999997</v>
      </c>
      <c r="I1039" s="7">
        <v>7.4207000000000001</v>
      </c>
      <c r="J1039" s="7">
        <v>8.1239000000000008</v>
      </c>
      <c r="K1039" s="7">
        <v>8.7879000000000005</v>
      </c>
      <c r="L1039" s="7">
        <v>9.4022000000000006</v>
      </c>
      <c r="M1039" s="7">
        <v>10.5284</v>
      </c>
      <c r="N1039" s="7">
        <v>11.9795</v>
      </c>
      <c r="O1039" s="7">
        <v>14.0837</v>
      </c>
      <c r="P1039" s="7">
        <v>15.619899999999999</v>
      </c>
      <c r="Q1039" s="7">
        <v>17.873999999999999</v>
      </c>
    </row>
    <row r="1040" spans="1:17">
      <c r="A1040" s="5">
        <v>42975</v>
      </c>
      <c r="B1040" s="5" t="str">
        <f t="shared" si="16"/>
        <v>2017 q3</v>
      </c>
      <c r="C1040" s="7">
        <v>5.8178000000000001</v>
      </c>
      <c r="D1040" s="7">
        <v>5.8895999999999997</v>
      </c>
      <c r="E1040" s="7">
        <v>6.0376000000000003</v>
      </c>
      <c r="F1040" s="7">
        <v>6.2572999999999999</v>
      </c>
      <c r="G1040" s="7">
        <v>6.4725999999999999</v>
      </c>
      <c r="H1040" s="7">
        <v>6.6780999999999997</v>
      </c>
      <c r="I1040" s="7">
        <v>7.4802999999999997</v>
      </c>
      <c r="J1040" s="7">
        <v>8.2215000000000007</v>
      </c>
      <c r="K1040" s="7">
        <v>8.8806999999999992</v>
      </c>
      <c r="L1040" s="7">
        <v>9.4502000000000006</v>
      </c>
      <c r="M1040" s="7">
        <v>10.5893</v>
      </c>
      <c r="N1040" s="7">
        <v>11.9582</v>
      </c>
      <c r="O1040" s="7">
        <v>13.8101</v>
      </c>
      <c r="P1040" s="7">
        <v>15.114100000000001</v>
      </c>
      <c r="Q1040" s="7">
        <v>17.722200000000001</v>
      </c>
    </row>
    <row r="1041" spans="1:17">
      <c r="A1041" s="5">
        <v>42976</v>
      </c>
      <c r="B1041" s="5" t="str">
        <f t="shared" si="16"/>
        <v>2017 q3</v>
      </c>
      <c r="C1041" s="7">
        <v>5.7458</v>
      </c>
      <c r="D1041" s="7">
        <v>5.8192000000000004</v>
      </c>
      <c r="E1041" s="7">
        <v>5.9706999999999999</v>
      </c>
      <c r="F1041" s="7">
        <v>6.1959999999999997</v>
      </c>
      <c r="G1041" s="7">
        <v>6.4170999999999996</v>
      </c>
      <c r="H1041" s="7">
        <v>6.6280000000000001</v>
      </c>
      <c r="I1041" s="7">
        <v>7.4496000000000002</v>
      </c>
      <c r="J1041" s="7">
        <v>8.2052999999999994</v>
      </c>
      <c r="K1041" s="7">
        <v>8.8726000000000003</v>
      </c>
      <c r="L1041" s="7">
        <v>9.4454999999999991</v>
      </c>
      <c r="M1041" s="7">
        <v>10.591200000000001</v>
      </c>
      <c r="N1041" s="7">
        <v>11.9526</v>
      </c>
      <c r="O1041" s="7">
        <v>13.774900000000001</v>
      </c>
      <c r="P1041" s="7">
        <v>15.037599999999999</v>
      </c>
      <c r="Q1041" s="7">
        <v>17.562999999999999</v>
      </c>
    </row>
    <row r="1042" spans="1:17">
      <c r="A1042" s="5">
        <v>42977</v>
      </c>
      <c r="B1042" s="5" t="str">
        <f t="shared" si="16"/>
        <v>2017 q3</v>
      </c>
      <c r="C1042" s="7">
        <v>5.7625999999999999</v>
      </c>
      <c r="D1042" s="7">
        <v>5.8337000000000003</v>
      </c>
      <c r="E1042" s="7">
        <v>5.9804000000000004</v>
      </c>
      <c r="F1042" s="7">
        <v>6.1988000000000003</v>
      </c>
      <c r="G1042" s="7">
        <v>6.4135999999999997</v>
      </c>
      <c r="H1042" s="7">
        <v>6.6199000000000003</v>
      </c>
      <c r="I1042" s="7">
        <v>7.4257</v>
      </c>
      <c r="J1042" s="7">
        <v>8.1748999999999992</v>
      </c>
      <c r="K1042" s="7">
        <v>8.8460000000000001</v>
      </c>
      <c r="L1042" s="7">
        <v>9.4334000000000007</v>
      </c>
      <c r="M1042" s="7">
        <v>10.6082</v>
      </c>
      <c r="N1042" s="7">
        <v>12.038500000000001</v>
      </c>
      <c r="O1042" s="7">
        <v>14.004899999999999</v>
      </c>
      <c r="P1042" s="7">
        <v>15.3401</v>
      </c>
      <c r="Q1042" s="7">
        <v>17.1799</v>
      </c>
    </row>
    <row r="1043" spans="1:17">
      <c r="A1043" s="5">
        <v>42978</v>
      </c>
      <c r="B1043" s="5" t="str">
        <f t="shared" si="16"/>
        <v>2017 q3</v>
      </c>
      <c r="C1043" s="7">
        <v>5.7415000000000003</v>
      </c>
      <c r="D1043" s="7">
        <v>5.8139000000000003</v>
      </c>
      <c r="E1043" s="7">
        <v>5.9634</v>
      </c>
      <c r="F1043" s="7">
        <v>6.1856999999999998</v>
      </c>
      <c r="G1043" s="7">
        <v>6.4036999999999997</v>
      </c>
      <c r="H1043" s="7">
        <v>6.6123000000000003</v>
      </c>
      <c r="I1043" s="7">
        <v>7.4249999999999998</v>
      </c>
      <c r="J1043" s="7">
        <v>8.1743000000000006</v>
      </c>
      <c r="K1043" s="7">
        <v>8.8650000000000002</v>
      </c>
      <c r="L1043" s="7">
        <v>9.484</v>
      </c>
      <c r="M1043" s="7">
        <v>10.5824</v>
      </c>
      <c r="N1043" s="7">
        <v>11.9223</v>
      </c>
      <c r="O1043" s="7">
        <v>13.7637</v>
      </c>
      <c r="P1043" s="7">
        <v>15.051399999999999</v>
      </c>
      <c r="Q1043" s="7">
        <v>17.626899999999999</v>
      </c>
    </row>
    <row r="1044" spans="1:17">
      <c r="A1044" s="5">
        <v>42979</v>
      </c>
      <c r="B1044" s="5" t="str">
        <f t="shared" si="16"/>
        <v>2017 q3</v>
      </c>
      <c r="C1044" s="7">
        <v>5.7432999999999996</v>
      </c>
      <c r="D1044" s="7">
        <v>5.8173000000000004</v>
      </c>
      <c r="E1044" s="7">
        <v>5.9702000000000002</v>
      </c>
      <c r="F1044" s="7">
        <v>6.1973000000000003</v>
      </c>
      <c r="G1044" s="7">
        <v>6.4200999999999997</v>
      </c>
      <c r="H1044" s="7">
        <v>6.6334999999999997</v>
      </c>
      <c r="I1044" s="7">
        <v>7.4648000000000003</v>
      </c>
      <c r="J1044" s="7">
        <v>8.2321000000000009</v>
      </c>
      <c r="K1044" s="7">
        <v>8.9118999999999993</v>
      </c>
      <c r="L1044" s="7">
        <v>9.5</v>
      </c>
      <c r="M1044" s="7">
        <v>10.676</v>
      </c>
      <c r="N1044" s="7">
        <v>12.0824</v>
      </c>
      <c r="O1044" s="7">
        <v>13.9815</v>
      </c>
      <c r="P1044" s="7">
        <v>15.231400000000001</v>
      </c>
      <c r="Q1044" s="7">
        <v>16.9101</v>
      </c>
    </row>
    <row r="1045" spans="1:17">
      <c r="A1045" s="5">
        <v>42982</v>
      </c>
      <c r="B1045" s="5" t="str">
        <f t="shared" si="16"/>
        <v>2017 q3</v>
      </c>
      <c r="C1045" s="7">
        <v>5.6826999999999996</v>
      </c>
      <c r="D1045" s="7">
        <v>5.7629000000000001</v>
      </c>
      <c r="E1045" s="7">
        <v>5.9283000000000001</v>
      </c>
      <c r="F1045" s="7">
        <v>6.1734</v>
      </c>
      <c r="G1045" s="7">
        <v>6.4124999999999996</v>
      </c>
      <c r="H1045" s="7">
        <v>6.6388999999999996</v>
      </c>
      <c r="I1045" s="7">
        <v>7.5141999999999998</v>
      </c>
      <c r="J1045" s="7">
        <v>8.3041999999999998</v>
      </c>
      <c r="K1045" s="7">
        <v>8.9824999999999999</v>
      </c>
      <c r="L1045" s="7">
        <v>9.5471000000000004</v>
      </c>
      <c r="M1045" s="7">
        <v>10.676399999999999</v>
      </c>
      <c r="N1045" s="7">
        <v>11.961499999999999</v>
      </c>
      <c r="O1045" s="7">
        <v>13.6046</v>
      </c>
      <c r="P1045" s="7">
        <v>14.670500000000001</v>
      </c>
      <c r="Q1045" s="7">
        <v>16.802399999999999</v>
      </c>
    </row>
    <row r="1046" spans="1:17">
      <c r="A1046" s="5">
        <v>42983</v>
      </c>
      <c r="B1046" s="5" t="str">
        <f t="shared" si="16"/>
        <v>2017 q3</v>
      </c>
      <c r="C1046" s="7">
        <v>5.6744000000000003</v>
      </c>
      <c r="D1046" s="7">
        <v>5.7527999999999997</v>
      </c>
      <c r="E1046" s="7">
        <v>5.9146000000000001</v>
      </c>
      <c r="F1046" s="7">
        <v>6.1524999999999999</v>
      </c>
      <c r="G1046" s="7">
        <v>6.3861999999999997</v>
      </c>
      <c r="H1046" s="7">
        <v>6.6197999999999997</v>
      </c>
      <c r="I1046" s="7">
        <v>7.4733999999999998</v>
      </c>
      <c r="J1046" s="7">
        <v>8.2565000000000008</v>
      </c>
      <c r="K1046" s="7">
        <v>8.9339999999999993</v>
      </c>
      <c r="L1046" s="7">
        <v>9.5052000000000003</v>
      </c>
      <c r="M1046" s="7">
        <v>10.6478</v>
      </c>
      <c r="N1046" s="7">
        <v>11.9635</v>
      </c>
      <c r="O1046" s="7">
        <v>13.6729</v>
      </c>
      <c r="P1046" s="7">
        <v>14.8062</v>
      </c>
      <c r="Q1046" s="7">
        <v>17.072900000000001</v>
      </c>
    </row>
    <row r="1047" spans="1:17">
      <c r="A1047" s="5">
        <v>42984</v>
      </c>
      <c r="B1047" s="5" t="str">
        <f t="shared" si="16"/>
        <v>2017 q3</v>
      </c>
      <c r="C1047" s="7">
        <v>5.6589</v>
      </c>
      <c r="D1047" s="7">
        <v>5.7374000000000001</v>
      </c>
      <c r="E1047" s="7">
        <v>5.8994</v>
      </c>
      <c r="F1047" s="7">
        <v>6.1372999999999998</v>
      </c>
      <c r="G1047" s="7">
        <v>6.3712</v>
      </c>
      <c r="H1047" s="7">
        <v>6.6048</v>
      </c>
      <c r="I1047" s="7">
        <v>7.4583000000000004</v>
      </c>
      <c r="J1047" s="7">
        <v>8.2409999999999997</v>
      </c>
      <c r="K1047" s="7">
        <v>8.9172999999999991</v>
      </c>
      <c r="L1047" s="7">
        <v>9.4875000000000007</v>
      </c>
      <c r="M1047" s="7">
        <v>10.6279</v>
      </c>
      <c r="N1047" s="7">
        <v>11.939</v>
      </c>
      <c r="O1047" s="7">
        <v>13.640599999999999</v>
      </c>
      <c r="P1047" s="7">
        <v>14.766999999999999</v>
      </c>
      <c r="Q1047" s="7">
        <v>17.0198</v>
      </c>
    </row>
    <row r="1048" spans="1:17">
      <c r="A1048" s="5">
        <v>42985</v>
      </c>
      <c r="B1048" s="5" t="str">
        <f t="shared" si="16"/>
        <v>2017 q3</v>
      </c>
      <c r="C1048" s="7">
        <v>5.6577000000000002</v>
      </c>
      <c r="D1048" s="7">
        <v>5.7380000000000004</v>
      </c>
      <c r="E1048" s="7">
        <v>5.9038000000000004</v>
      </c>
      <c r="F1048" s="7">
        <v>6.1470000000000002</v>
      </c>
      <c r="G1048" s="7">
        <v>6.3859000000000004</v>
      </c>
      <c r="H1048" s="7">
        <v>6.6242999999999999</v>
      </c>
      <c r="I1048" s="7">
        <v>7.4912000000000001</v>
      </c>
      <c r="J1048" s="7">
        <v>8.2820999999999998</v>
      </c>
      <c r="K1048" s="7">
        <v>8.9598999999999993</v>
      </c>
      <c r="L1048" s="7">
        <v>9.5261999999999993</v>
      </c>
      <c r="M1048" s="7">
        <v>10.658799999999999</v>
      </c>
      <c r="N1048" s="7">
        <v>11.944900000000001</v>
      </c>
      <c r="O1048" s="7">
        <v>13.591799999999999</v>
      </c>
      <c r="P1048" s="7">
        <v>14.6617</v>
      </c>
      <c r="Q1048" s="7">
        <v>16.801400000000001</v>
      </c>
    </row>
    <row r="1049" spans="1:17">
      <c r="A1049" s="5">
        <v>42986</v>
      </c>
      <c r="B1049" s="5" t="str">
        <f t="shared" si="16"/>
        <v>2017 q3</v>
      </c>
      <c r="C1049" s="7">
        <v>5.7175000000000002</v>
      </c>
      <c r="D1049" s="7">
        <v>5.7918000000000003</v>
      </c>
      <c r="E1049" s="7">
        <v>5.9454000000000002</v>
      </c>
      <c r="F1049" s="7">
        <v>6.1711999999999998</v>
      </c>
      <c r="G1049" s="7">
        <v>6.3937999999999997</v>
      </c>
      <c r="H1049" s="7">
        <v>6.6158999999999999</v>
      </c>
      <c r="I1049" s="7">
        <v>7.4359999999999999</v>
      </c>
      <c r="J1049" s="7">
        <v>8.1951000000000001</v>
      </c>
      <c r="K1049" s="7">
        <v>8.8914000000000009</v>
      </c>
      <c r="L1049" s="7">
        <v>9.5099</v>
      </c>
      <c r="M1049" s="7">
        <v>10.603899999999999</v>
      </c>
      <c r="N1049" s="7">
        <v>11.920400000000001</v>
      </c>
      <c r="O1049" s="7">
        <v>13.7119</v>
      </c>
      <c r="P1049" s="7">
        <v>14.943099999999999</v>
      </c>
      <c r="Q1049" s="7">
        <v>17.4054</v>
      </c>
    </row>
    <row r="1050" spans="1:17">
      <c r="A1050" s="5">
        <v>42989</v>
      </c>
      <c r="B1050" s="5" t="str">
        <f t="shared" si="16"/>
        <v>2017 q3</v>
      </c>
      <c r="C1050" s="7">
        <v>5.7484000000000002</v>
      </c>
      <c r="D1050" s="7">
        <v>5.8211000000000004</v>
      </c>
      <c r="E1050" s="7">
        <v>5.9711999999999996</v>
      </c>
      <c r="F1050" s="7">
        <v>6.1924000000000001</v>
      </c>
      <c r="G1050" s="7">
        <v>6.4109999999999996</v>
      </c>
      <c r="H1050" s="7">
        <v>6.6288999999999998</v>
      </c>
      <c r="I1050" s="7">
        <v>7.4412000000000003</v>
      </c>
      <c r="J1050" s="7">
        <v>8.1996000000000002</v>
      </c>
      <c r="K1050" s="7">
        <v>8.8732000000000006</v>
      </c>
      <c r="L1050" s="7">
        <v>9.4620999999999995</v>
      </c>
      <c r="M1050" s="7">
        <v>10.64</v>
      </c>
      <c r="N1050" s="7">
        <v>12.0563</v>
      </c>
      <c r="O1050" s="7">
        <v>13.9892</v>
      </c>
      <c r="P1050" s="7">
        <v>15.2805</v>
      </c>
      <c r="Q1050" s="7">
        <v>17.0398</v>
      </c>
    </row>
    <row r="1051" spans="1:17">
      <c r="A1051" s="5">
        <v>42990</v>
      </c>
      <c r="B1051" s="5" t="str">
        <f t="shared" si="16"/>
        <v>2017 q3</v>
      </c>
      <c r="C1051" s="7">
        <v>5.6436999999999999</v>
      </c>
      <c r="D1051" s="7">
        <v>5.7218999999999998</v>
      </c>
      <c r="E1051" s="7">
        <v>5.8833000000000002</v>
      </c>
      <c r="F1051" s="7">
        <v>6.1216999999999997</v>
      </c>
      <c r="G1051" s="7">
        <v>6.3566000000000003</v>
      </c>
      <c r="H1051" s="7">
        <v>6.5784000000000002</v>
      </c>
      <c r="I1051" s="7">
        <v>7.4371</v>
      </c>
      <c r="J1051" s="7">
        <v>8.2197999999999993</v>
      </c>
      <c r="K1051" s="7">
        <v>8.8965999999999994</v>
      </c>
      <c r="L1051" s="7">
        <v>9.4716000000000005</v>
      </c>
      <c r="M1051" s="7">
        <v>10.621600000000001</v>
      </c>
      <c r="N1051" s="7">
        <v>11.9468</v>
      </c>
      <c r="O1051" s="7">
        <v>13.678599999999999</v>
      </c>
      <c r="P1051" s="7">
        <v>14.8353</v>
      </c>
      <c r="Q1051" s="7">
        <v>17.148599999999998</v>
      </c>
    </row>
    <row r="1052" spans="1:17">
      <c r="A1052" s="5">
        <v>42991</v>
      </c>
      <c r="B1052" s="5" t="str">
        <f t="shared" si="16"/>
        <v>2017 q3</v>
      </c>
      <c r="C1052" s="7">
        <v>5.7206000000000001</v>
      </c>
      <c r="D1052" s="7">
        <v>5.7967000000000004</v>
      </c>
      <c r="E1052" s="7">
        <v>5.9537000000000004</v>
      </c>
      <c r="F1052" s="7">
        <v>6.1860999999999997</v>
      </c>
      <c r="G1052" s="7">
        <v>6.4124999999999996</v>
      </c>
      <c r="H1052" s="7">
        <v>6.6298000000000004</v>
      </c>
      <c r="I1052" s="7">
        <v>7.4714</v>
      </c>
      <c r="J1052" s="7">
        <v>8.2407000000000004</v>
      </c>
      <c r="K1052" s="7">
        <v>8.9101999999999997</v>
      </c>
      <c r="L1052" s="7">
        <v>9.4839000000000002</v>
      </c>
      <c r="M1052" s="7">
        <v>10.6312</v>
      </c>
      <c r="N1052" s="7">
        <v>11.966900000000001</v>
      </c>
      <c r="O1052" s="7">
        <v>13.732699999999999</v>
      </c>
      <c r="P1052" s="7">
        <v>14.932</v>
      </c>
      <c r="Q1052" s="7">
        <v>17.330500000000001</v>
      </c>
    </row>
    <row r="1053" spans="1:17">
      <c r="A1053" s="5">
        <v>42992</v>
      </c>
      <c r="B1053" s="5" t="str">
        <f t="shared" si="16"/>
        <v>2017 q3</v>
      </c>
      <c r="C1053" s="7">
        <v>5.7172000000000001</v>
      </c>
      <c r="D1053" s="7">
        <v>5.7965999999999998</v>
      </c>
      <c r="E1053" s="7">
        <v>5.9603999999999999</v>
      </c>
      <c r="F1053" s="7">
        <v>6.2024999999999997</v>
      </c>
      <c r="G1053" s="7">
        <v>6.4375999999999998</v>
      </c>
      <c r="H1053" s="7">
        <v>6.6623000000000001</v>
      </c>
      <c r="I1053" s="7">
        <v>7.5293000000000001</v>
      </c>
      <c r="J1053" s="7">
        <v>8.3137000000000008</v>
      </c>
      <c r="K1053" s="7">
        <v>8.9863</v>
      </c>
      <c r="L1053" s="7">
        <v>9.5533999999999999</v>
      </c>
      <c r="M1053" s="7">
        <v>10.6876</v>
      </c>
      <c r="N1053" s="7">
        <v>11.9779</v>
      </c>
      <c r="O1053" s="7">
        <v>13.643000000000001</v>
      </c>
      <c r="P1053" s="7">
        <v>14.735300000000001</v>
      </c>
      <c r="Q1053" s="7">
        <v>16.919699999999999</v>
      </c>
    </row>
    <row r="1054" spans="1:17">
      <c r="A1054" s="5">
        <v>42993</v>
      </c>
      <c r="B1054" s="5" t="str">
        <f t="shared" si="16"/>
        <v>2017 q3</v>
      </c>
      <c r="C1054" s="7">
        <v>5.7160000000000002</v>
      </c>
      <c r="D1054" s="7">
        <v>5.7948000000000004</v>
      </c>
      <c r="E1054" s="7">
        <v>5.9574999999999996</v>
      </c>
      <c r="F1054" s="7">
        <v>6.1980000000000004</v>
      </c>
      <c r="G1054" s="7">
        <v>6.4314</v>
      </c>
      <c r="H1054" s="7">
        <v>6.6548999999999996</v>
      </c>
      <c r="I1054" s="7">
        <v>7.5171999999999999</v>
      </c>
      <c r="J1054" s="7">
        <v>8.2986000000000004</v>
      </c>
      <c r="K1054" s="7">
        <v>8.9697999999999993</v>
      </c>
      <c r="L1054" s="7">
        <v>9.5373000000000001</v>
      </c>
      <c r="M1054" s="7">
        <v>10.6724</v>
      </c>
      <c r="N1054" s="7">
        <v>11.9674</v>
      </c>
      <c r="O1054" s="7">
        <v>13.644600000000001</v>
      </c>
      <c r="P1054" s="7">
        <v>14.750400000000001</v>
      </c>
      <c r="Q1054" s="7">
        <v>16.962</v>
      </c>
    </row>
    <row r="1055" spans="1:17">
      <c r="A1055" s="5">
        <v>42997</v>
      </c>
      <c r="B1055" s="5" t="str">
        <f t="shared" si="16"/>
        <v>2017 q3</v>
      </c>
      <c r="C1055" s="7">
        <v>5.7062999999999997</v>
      </c>
      <c r="D1055" s="7">
        <v>5.7866</v>
      </c>
      <c r="E1055" s="7">
        <v>5.9524999999999997</v>
      </c>
      <c r="F1055" s="7">
        <v>6.1971999999999996</v>
      </c>
      <c r="G1055" s="7">
        <v>6.4344000000000001</v>
      </c>
      <c r="H1055" s="7">
        <v>6.6612999999999998</v>
      </c>
      <c r="I1055" s="7">
        <v>7.5353000000000003</v>
      </c>
      <c r="J1055" s="7">
        <v>8.3241999999999994</v>
      </c>
      <c r="K1055" s="7">
        <v>8.9976000000000003</v>
      </c>
      <c r="L1055" s="7">
        <v>9.5639000000000003</v>
      </c>
      <c r="M1055" s="7">
        <v>10.696300000000001</v>
      </c>
      <c r="N1055" s="7">
        <v>11.976699999999999</v>
      </c>
      <c r="O1055" s="7">
        <v>13.62</v>
      </c>
      <c r="P1055" s="7">
        <v>14.689500000000001</v>
      </c>
      <c r="Q1055" s="7">
        <v>16.828499999999998</v>
      </c>
    </row>
    <row r="1056" spans="1:17">
      <c r="A1056" s="5">
        <v>42998</v>
      </c>
      <c r="B1056" s="5" t="str">
        <f t="shared" si="16"/>
        <v>2017 q3</v>
      </c>
      <c r="C1056" s="7">
        <v>5.7599</v>
      </c>
      <c r="D1056" s="7">
        <v>5.8338999999999999</v>
      </c>
      <c r="E1056" s="7">
        <v>5.9866999999999999</v>
      </c>
      <c r="F1056" s="7">
        <v>6.2126999999999999</v>
      </c>
      <c r="G1056" s="7">
        <v>6.4325999999999999</v>
      </c>
      <c r="H1056" s="7">
        <v>6.6451000000000002</v>
      </c>
      <c r="I1056" s="7">
        <v>7.468</v>
      </c>
      <c r="J1056" s="7">
        <v>8.2238000000000007</v>
      </c>
      <c r="K1056" s="7">
        <v>8.8844999999999992</v>
      </c>
      <c r="L1056" s="7">
        <v>9.4574999999999996</v>
      </c>
      <c r="M1056" s="7">
        <v>10.6037</v>
      </c>
      <c r="N1056" s="7">
        <v>11.9489</v>
      </c>
      <c r="O1056" s="7">
        <v>13.751099999999999</v>
      </c>
      <c r="P1056" s="7">
        <v>14.997999999999999</v>
      </c>
      <c r="Q1056" s="7">
        <v>17.491700000000002</v>
      </c>
    </row>
    <row r="1057" spans="1:17">
      <c r="A1057" s="5">
        <v>43000</v>
      </c>
      <c r="B1057" s="5" t="str">
        <f t="shared" si="16"/>
        <v>2017 q3</v>
      </c>
      <c r="C1057" s="7">
        <v>5.7553000000000001</v>
      </c>
      <c r="D1057" s="7">
        <v>5.8293999999999997</v>
      </c>
      <c r="E1057" s="7">
        <v>5.9824000000000002</v>
      </c>
      <c r="F1057" s="7">
        <v>6.2087000000000003</v>
      </c>
      <c r="G1057" s="7">
        <v>6.4287000000000001</v>
      </c>
      <c r="H1057" s="7">
        <v>6.6414999999999997</v>
      </c>
      <c r="I1057" s="7">
        <v>7.4653</v>
      </c>
      <c r="J1057" s="7">
        <v>8.2219999999999995</v>
      </c>
      <c r="K1057" s="7">
        <v>8.8834</v>
      </c>
      <c r="L1057" s="7">
        <v>9.4575999999999993</v>
      </c>
      <c r="M1057" s="7">
        <v>10.606</v>
      </c>
      <c r="N1057" s="7">
        <v>11.9537</v>
      </c>
      <c r="O1057" s="7">
        <v>13.760400000000001</v>
      </c>
      <c r="P1057" s="7">
        <v>15.011200000000001</v>
      </c>
      <c r="Q1057" s="7">
        <v>17.512899999999998</v>
      </c>
    </row>
    <row r="1058" spans="1:17">
      <c r="A1058" s="5">
        <v>43001</v>
      </c>
      <c r="B1058" s="5" t="str">
        <f t="shared" si="16"/>
        <v>2017 q3</v>
      </c>
      <c r="C1058" s="7">
        <v>5.8159000000000001</v>
      </c>
      <c r="D1058" s="7">
        <v>5.8821000000000003</v>
      </c>
      <c r="E1058" s="7">
        <v>6.0186999999999999</v>
      </c>
      <c r="F1058" s="7">
        <v>6.2214999999999998</v>
      </c>
      <c r="G1058" s="7">
        <v>6.42</v>
      </c>
      <c r="H1058" s="7">
        <v>6.6139999999999999</v>
      </c>
      <c r="I1058" s="7">
        <v>7.3711000000000002</v>
      </c>
      <c r="J1058" s="7">
        <v>8.0827000000000009</v>
      </c>
      <c r="K1058" s="7">
        <v>8.7256999999999998</v>
      </c>
      <c r="L1058" s="7">
        <v>9.3057999999999996</v>
      </c>
      <c r="M1058" s="7">
        <v>10.4659</v>
      </c>
      <c r="N1058" s="7">
        <v>11.906000000000001</v>
      </c>
      <c r="O1058" s="7">
        <v>13.948399999999999</v>
      </c>
      <c r="P1058" s="7">
        <v>15.4918</v>
      </c>
      <c r="Q1058" s="7">
        <v>18.578499999999998</v>
      </c>
    </row>
    <row r="1059" spans="1:17">
      <c r="A1059" s="5">
        <v>43003</v>
      </c>
      <c r="B1059" s="5" t="str">
        <f t="shared" si="16"/>
        <v>2017 q3</v>
      </c>
      <c r="C1059" s="7">
        <v>5.8874000000000004</v>
      </c>
      <c r="D1059" s="7">
        <v>5.9481999999999999</v>
      </c>
      <c r="E1059" s="7">
        <v>6.0736999999999997</v>
      </c>
      <c r="F1059" s="7">
        <v>6.2605000000000004</v>
      </c>
      <c r="G1059" s="7">
        <v>6.4442000000000004</v>
      </c>
      <c r="H1059" s="7">
        <v>6.6246999999999998</v>
      </c>
      <c r="I1059" s="7">
        <v>7.3329000000000004</v>
      </c>
      <c r="J1059" s="7">
        <v>8.0076999999999998</v>
      </c>
      <c r="K1059" s="7">
        <v>8.6416000000000004</v>
      </c>
      <c r="L1059" s="7">
        <v>9.2438000000000002</v>
      </c>
      <c r="M1059" s="7">
        <v>10.392200000000001</v>
      </c>
      <c r="N1059" s="7">
        <v>11.831799999999999</v>
      </c>
      <c r="O1059" s="7">
        <v>13.996600000000001</v>
      </c>
      <c r="P1059" s="7">
        <v>15.7172</v>
      </c>
      <c r="Q1059" s="7">
        <v>19.1584</v>
      </c>
    </row>
    <row r="1060" spans="1:17">
      <c r="A1060" s="5">
        <v>43004</v>
      </c>
      <c r="B1060" s="5" t="str">
        <f t="shared" si="16"/>
        <v>2017 q3</v>
      </c>
      <c r="C1060" s="7">
        <v>5.6192000000000002</v>
      </c>
      <c r="D1060" s="7">
        <v>5.6928999999999998</v>
      </c>
      <c r="E1060" s="7">
        <v>5.8451000000000004</v>
      </c>
      <c r="F1060" s="7">
        <v>6.0735999999999999</v>
      </c>
      <c r="G1060" s="7">
        <v>6.2934999999999999</v>
      </c>
      <c r="H1060" s="7">
        <v>6.5083000000000002</v>
      </c>
      <c r="I1060" s="7">
        <v>7.3413000000000004</v>
      </c>
      <c r="J1060" s="7">
        <v>8.1120999999999999</v>
      </c>
      <c r="K1060" s="7">
        <v>8.7918000000000003</v>
      </c>
      <c r="L1060" s="7">
        <v>9.3905999999999992</v>
      </c>
      <c r="M1060" s="7">
        <v>10.588200000000001</v>
      </c>
      <c r="N1060" s="7">
        <v>12.015700000000001</v>
      </c>
      <c r="O1060" s="7">
        <v>13.9651</v>
      </c>
      <c r="P1060" s="7">
        <v>15.352600000000001</v>
      </c>
      <c r="Q1060" s="7">
        <v>18.127600000000001</v>
      </c>
    </row>
    <row r="1061" spans="1:17">
      <c r="A1061" s="5">
        <v>43005</v>
      </c>
      <c r="B1061" s="5" t="str">
        <f t="shared" si="16"/>
        <v>2017 q3</v>
      </c>
      <c r="C1061" s="7">
        <v>5.5986000000000002</v>
      </c>
      <c r="D1061" s="7">
        <v>5.6749000000000001</v>
      </c>
      <c r="E1061" s="7">
        <v>5.8323999999999998</v>
      </c>
      <c r="F1061" s="7">
        <v>6.0688000000000004</v>
      </c>
      <c r="G1061" s="7">
        <v>6.2950999999999997</v>
      </c>
      <c r="H1061" s="7">
        <v>6.5156000000000001</v>
      </c>
      <c r="I1061" s="7">
        <v>7.3674999999999997</v>
      </c>
      <c r="J1061" s="7">
        <v>8.1484000000000005</v>
      </c>
      <c r="K1061" s="7">
        <v>8.8270999999999997</v>
      </c>
      <c r="L1061" s="7">
        <v>9.4163999999999994</v>
      </c>
      <c r="M1061" s="7">
        <v>10.594900000000001</v>
      </c>
      <c r="N1061" s="7">
        <v>11.967599999999999</v>
      </c>
      <c r="O1061" s="7">
        <v>13.8</v>
      </c>
      <c r="P1061" s="7">
        <v>15.0601</v>
      </c>
      <c r="Q1061" s="7">
        <v>17.580200000000001</v>
      </c>
    </row>
    <row r="1062" spans="1:17">
      <c r="A1062" s="5">
        <v>43006</v>
      </c>
      <c r="B1062" s="5" t="str">
        <f t="shared" si="16"/>
        <v>2017 q3</v>
      </c>
      <c r="C1062" s="7">
        <v>5.7253999999999996</v>
      </c>
      <c r="D1062" s="7">
        <v>5.7854999999999999</v>
      </c>
      <c r="E1062" s="7">
        <v>5.9097</v>
      </c>
      <c r="F1062" s="7">
        <v>6.0959000000000003</v>
      </c>
      <c r="G1062" s="7">
        <v>6.2788000000000004</v>
      </c>
      <c r="H1062" s="7">
        <v>6.4598000000000004</v>
      </c>
      <c r="I1062" s="7">
        <v>7.1730999999999998</v>
      </c>
      <c r="J1062" s="7">
        <v>7.8608000000000002</v>
      </c>
      <c r="K1062" s="7">
        <v>8.5068999999999999</v>
      </c>
      <c r="L1062" s="7">
        <v>9.1151</v>
      </c>
      <c r="M1062" s="7">
        <v>10.3314</v>
      </c>
      <c r="N1062" s="7">
        <v>11.9451</v>
      </c>
      <c r="O1062" s="7">
        <v>14.378399999999999</v>
      </c>
      <c r="P1062" s="7">
        <v>16.314499999999999</v>
      </c>
      <c r="Q1062" s="7">
        <v>19.383199999999999</v>
      </c>
    </row>
    <row r="1063" spans="1:17">
      <c r="A1063" s="5">
        <v>43007</v>
      </c>
      <c r="B1063" s="5" t="str">
        <f t="shared" si="16"/>
        <v>2017 q3</v>
      </c>
      <c r="C1063" s="7">
        <v>5.6158000000000001</v>
      </c>
      <c r="D1063" s="7">
        <v>5.6894999999999998</v>
      </c>
      <c r="E1063" s="7">
        <v>5.8417000000000003</v>
      </c>
      <c r="F1063" s="7">
        <v>6.07</v>
      </c>
      <c r="G1063" s="7">
        <v>6.2892000000000001</v>
      </c>
      <c r="H1063" s="7">
        <v>6.5034999999999998</v>
      </c>
      <c r="I1063" s="7">
        <v>7.3333000000000004</v>
      </c>
      <c r="J1063" s="7">
        <v>8.0992999999999995</v>
      </c>
      <c r="K1063" s="7">
        <v>8.7716999999999992</v>
      </c>
      <c r="L1063" s="7">
        <v>9.3628</v>
      </c>
      <c r="M1063" s="7">
        <v>10.5451</v>
      </c>
      <c r="N1063" s="7">
        <v>11.944599999999999</v>
      </c>
      <c r="O1063" s="7">
        <v>13.8459</v>
      </c>
      <c r="P1063" s="7">
        <v>15.188000000000001</v>
      </c>
      <c r="Q1063" s="7">
        <v>17.8721</v>
      </c>
    </row>
    <row r="1064" spans="1:17">
      <c r="A1064" s="5">
        <v>43010</v>
      </c>
      <c r="B1064" s="5" t="str">
        <f t="shared" si="16"/>
        <v>2017 q4</v>
      </c>
      <c r="C1064" s="7">
        <v>5.6870000000000003</v>
      </c>
      <c r="D1064" s="7">
        <v>5.7533000000000003</v>
      </c>
      <c r="E1064" s="7">
        <v>5.8902000000000001</v>
      </c>
      <c r="F1064" s="7">
        <v>6.0955000000000004</v>
      </c>
      <c r="G1064" s="7">
        <v>6.2949999999999999</v>
      </c>
      <c r="H1064" s="7">
        <v>6.4913999999999996</v>
      </c>
      <c r="I1064" s="7">
        <v>7.2592999999999996</v>
      </c>
      <c r="J1064" s="7">
        <v>7.9851000000000001</v>
      </c>
      <c r="K1064" s="7">
        <v>8.6709999999999994</v>
      </c>
      <c r="L1064" s="7">
        <v>9.3024000000000004</v>
      </c>
      <c r="M1064" s="7">
        <v>10.4754</v>
      </c>
      <c r="N1064" s="7">
        <v>11.976599999999999</v>
      </c>
      <c r="O1064" s="7">
        <v>14.1663</v>
      </c>
      <c r="P1064" s="7">
        <v>15.7697</v>
      </c>
      <c r="Q1064" s="7">
        <v>18.1465</v>
      </c>
    </row>
    <row r="1065" spans="1:17">
      <c r="A1065" s="5">
        <v>43011</v>
      </c>
      <c r="B1065" s="5" t="str">
        <f t="shared" si="16"/>
        <v>2017 q4</v>
      </c>
      <c r="C1065" s="7">
        <v>5.5621</v>
      </c>
      <c r="D1065" s="7">
        <v>5.6361999999999997</v>
      </c>
      <c r="E1065" s="7">
        <v>5.7889999999999997</v>
      </c>
      <c r="F1065" s="7">
        <v>6.0178000000000003</v>
      </c>
      <c r="G1065" s="7">
        <v>6.2397999999999998</v>
      </c>
      <c r="H1065" s="7">
        <v>6.4617000000000004</v>
      </c>
      <c r="I1065" s="7">
        <v>7.2922000000000002</v>
      </c>
      <c r="J1065" s="7">
        <v>8.0693999999999999</v>
      </c>
      <c r="K1065" s="7">
        <v>8.7904</v>
      </c>
      <c r="L1065" s="7">
        <v>9.4364000000000008</v>
      </c>
      <c r="M1065" s="7">
        <v>10.6099</v>
      </c>
      <c r="N1065" s="7">
        <v>11.9389</v>
      </c>
      <c r="O1065" s="7">
        <v>13.753399999999999</v>
      </c>
      <c r="P1065" s="7">
        <v>15.404</v>
      </c>
      <c r="Q1065" s="7">
        <v>17.2638</v>
      </c>
    </row>
    <row r="1066" spans="1:17">
      <c r="A1066" s="5">
        <v>43012</v>
      </c>
      <c r="B1066" s="5" t="str">
        <f t="shared" si="16"/>
        <v>2017 q4</v>
      </c>
      <c r="C1066" s="7">
        <v>5.6154999999999999</v>
      </c>
      <c r="D1066" s="7">
        <v>5.6805000000000003</v>
      </c>
      <c r="E1066" s="7">
        <v>5.8147000000000002</v>
      </c>
      <c r="F1066" s="7">
        <v>6.0157999999999996</v>
      </c>
      <c r="G1066" s="7">
        <v>6.2130000000000001</v>
      </c>
      <c r="H1066" s="7">
        <v>6.4100999999999999</v>
      </c>
      <c r="I1066" s="7">
        <v>7.1656000000000004</v>
      </c>
      <c r="J1066" s="7">
        <v>7.8819999999999997</v>
      </c>
      <c r="K1066" s="7">
        <v>8.5685000000000002</v>
      </c>
      <c r="L1066" s="7">
        <v>9.2182999999999993</v>
      </c>
      <c r="M1066" s="7">
        <v>10.42</v>
      </c>
      <c r="N1066" s="7">
        <v>11.890499999999999</v>
      </c>
      <c r="O1066" s="7">
        <v>14.034000000000001</v>
      </c>
      <c r="P1066" s="7">
        <v>16.020900000000001</v>
      </c>
      <c r="Q1066" s="7">
        <v>18.6221</v>
      </c>
    </row>
    <row r="1067" spans="1:17">
      <c r="A1067" s="5">
        <v>43013</v>
      </c>
      <c r="B1067" s="5" t="str">
        <f t="shared" si="16"/>
        <v>2017 q4</v>
      </c>
      <c r="C1067" s="7">
        <v>5.5469999999999997</v>
      </c>
      <c r="D1067" s="7">
        <v>5.6216999999999997</v>
      </c>
      <c r="E1067" s="7">
        <v>5.7760999999999996</v>
      </c>
      <c r="F1067" s="7">
        <v>6.0071000000000003</v>
      </c>
      <c r="G1067" s="7">
        <v>6.2309999999999999</v>
      </c>
      <c r="H1067" s="7">
        <v>6.4546999999999999</v>
      </c>
      <c r="I1067" s="7">
        <v>7.2903000000000002</v>
      </c>
      <c r="J1067" s="7">
        <v>8.0704999999999991</v>
      </c>
      <c r="K1067" s="7">
        <v>8.7921999999999993</v>
      </c>
      <c r="L1067" s="7">
        <v>9.4364000000000008</v>
      </c>
      <c r="M1067" s="7">
        <v>10.6035</v>
      </c>
      <c r="N1067" s="7">
        <v>11.914</v>
      </c>
      <c r="O1067" s="7">
        <v>13.6927</v>
      </c>
      <c r="P1067" s="7">
        <v>15.306800000000001</v>
      </c>
      <c r="Q1067" s="7">
        <v>17.097200000000001</v>
      </c>
    </row>
    <row r="1068" spans="1:17">
      <c r="A1068" s="5">
        <v>43014</v>
      </c>
      <c r="B1068" s="5" t="str">
        <f t="shared" si="16"/>
        <v>2017 q4</v>
      </c>
      <c r="C1068" s="7">
        <v>5.5949</v>
      </c>
      <c r="D1068" s="7">
        <v>5.6597999999999997</v>
      </c>
      <c r="E1068" s="7">
        <v>5.7938999999999998</v>
      </c>
      <c r="F1068" s="7">
        <v>5.9947999999999997</v>
      </c>
      <c r="G1068" s="7">
        <v>6.1919000000000004</v>
      </c>
      <c r="H1068" s="7">
        <v>6.3888999999999996</v>
      </c>
      <c r="I1068" s="7">
        <v>7.1444000000000001</v>
      </c>
      <c r="J1068" s="7">
        <v>7.8613</v>
      </c>
      <c r="K1068" s="7">
        <v>8.5490999999999993</v>
      </c>
      <c r="L1068" s="7">
        <v>9.2001000000000008</v>
      </c>
      <c r="M1068" s="7">
        <v>10.4061</v>
      </c>
      <c r="N1068" s="7">
        <v>11.8843</v>
      </c>
      <c r="O1068" s="7">
        <v>14.0441</v>
      </c>
      <c r="P1068" s="7">
        <v>16.046299999999999</v>
      </c>
      <c r="Q1068" s="7">
        <v>18.678899999999999</v>
      </c>
    </row>
    <row r="1069" spans="1:17">
      <c r="A1069" s="5">
        <v>43017</v>
      </c>
      <c r="B1069" s="5" t="str">
        <f t="shared" si="16"/>
        <v>2017 q4</v>
      </c>
      <c r="C1069" s="7">
        <v>5.585</v>
      </c>
      <c r="D1069" s="7">
        <v>5.6509999999999998</v>
      </c>
      <c r="E1069" s="7">
        <v>5.7873000000000001</v>
      </c>
      <c r="F1069" s="7">
        <v>5.9912999999999998</v>
      </c>
      <c r="G1069" s="7">
        <v>6.1913</v>
      </c>
      <c r="H1069" s="7">
        <v>6.391</v>
      </c>
      <c r="I1069" s="7">
        <v>7.1539000000000001</v>
      </c>
      <c r="J1069" s="7">
        <v>7.8739999999999997</v>
      </c>
      <c r="K1069" s="7">
        <v>8.5622000000000007</v>
      </c>
      <c r="L1069" s="7">
        <v>9.2101000000000006</v>
      </c>
      <c r="M1069" s="7">
        <v>10.4025</v>
      </c>
      <c r="N1069" s="7">
        <v>11.843299999999999</v>
      </c>
      <c r="O1069" s="7">
        <v>13.9267</v>
      </c>
      <c r="P1069" s="7">
        <v>15.851699999999999</v>
      </c>
      <c r="Q1069" s="7">
        <v>18.328600000000002</v>
      </c>
    </row>
    <row r="1070" spans="1:17">
      <c r="A1070" s="5">
        <v>43018</v>
      </c>
      <c r="B1070" s="5" t="str">
        <f t="shared" si="16"/>
        <v>2017 q4</v>
      </c>
      <c r="C1070" s="7">
        <v>5.6253000000000002</v>
      </c>
      <c r="D1070" s="7">
        <v>5.6875999999999998</v>
      </c>
      <c r="E1070" s="7">
        <v>5.8160999999999996</v>
      </c>
      <c r="F1070" s="7">
        <v>6.0086000000000004</v>
      </c>
      <c r="G1070" s="7">
        <v>6.1989000000000001</v>
      </c>
      <c r="H1070" s="7">
        <v>6.3853</v>
      </c>
      <c r="I1070" s="7">
        <v>7.1192000000000002</v>
      </c>
      <c r="J1070" s="7">
        <v>7.8258000000000001</v>
      </c>
      <c r="K1070" s="7">
        <v>8.5045000000000002</v>
      </c>
      <c r="L1070" s="7">
        <v>9.1430000000000007</v>
      </c>
      <c r="M1070" s="7">
        <v>10.3569</v>
      </c>
      <c r="N1070" s="7">
        <v>11.8866</v>
      </c>
      <c r="O1070" s="7">
        <v>14.172700000000001</v>
      </c>
      <c r="P1070" s="7">
        <v>16.3079</v>
      </c>
      <c r="Q1070" s="7">
        <v>19.283200000000001</v>
      </c>
    </row>
    <row r="1071" spans="1:17">
      <c r="A1071" s="5">
        <v>43019</v>
      </c>
      <c r="B1071" s="5" t="str">
        <f t="shared" si="16"/>
        <v>2017 q4</v>
      </c>
      <c r="C1071" s="7">
        <v>5.5857999999999999</v>
      </c>
      <c r="D1071" s="7">
        <v>5.6555999999999997</v>
      </c>
      <c r="E1071" s="7">
        <v>5.7998000000000003</v>
      </c>
      <c r="F1071" s="7">
        <v>6.0155000000000003</v>
      </c>
      <c r="G1071" s="7">
        <v>6.2272999999999996</v>
      </c>
      <c r="H1071" s="7">
        <v>6.4326999999999996</v>
      </c>
      <c r="I1071" s="7">
        <v>7.2340999999999998</v>
      </c>
      <c r="J1071" s="7">
        <v>7.9901999999999997</v>
      </c>
      <c r="K1071" s="7">
        <v>8.7019000000000002</v>
      </c>
      <c r="L1071" s="7">
        <v>9.3515999999999995</v>
      </c>
      <c r="M1071" s="7">
        <v>10.5571</v>
      </c>
      <c r="N1071" s="7">
        <v>11.979799999999999</v>
      </c>
      <c r="O1071" s="7">
        <v>14.004</v>
      </c>
      <c r="P1071" s="7">
        <v>15.863</v>
      </c>
      <c r="Q1071" s="7">
        <v>18.1693</v>
      </c>
    </row>
    <row r="1072" spans="1:17">
      <c r="A1072" s="5">
        <v>43020</v>
      </c>
      <c r="B1072" s="5" t="str">
        <f t="shared" si="16"/>
        <v>2017 q4</v>
      </c>
      <c r="C1072" s="7">
        <v>5.5738000000000003</v>
      </c>
      <c r="D1072" s="7">
        <v>5.6459999999999999</v>
      </c>
      <c r="E1072" s="7">
        <v>5.7950999999999997</v>
      </c>
      <c r="F1072" s="7">
        <v>6.0179999999999998</v>
      </c>
      <c r="G1072" s="7">
        <v>6.2362000000000002</v>
      </c>
      <c r="H1072" s="7">
        <v>6.4470000000000001</v>
      </c>
      <c r="I1072" s="7">
        <v>7.2664999999999997</v>
      </c>
      <c r="J1072" s="7">
        <v>8.0332000000000008</v>
      </c>
      <c r="K1072" s="7">
        <v>8.7485999999999997</v>
      </c>
      <c r="L1072" s="7">
        <v>9.3937000000000008</v>
      </c>
      <c r="M1072" s="7">
        <v>10.5783</v>
      </c>
      <c r="N1072" s="7">
        <v>11.9381</v>
      </c>
      <c r="O1072" s="7">
        <v>13.8306</v>
      </c>
      <c r="P1072" s="7">
        <v>15.555300000000001</v>
      </c>
      <c r="Q1072" s="7">
        <v>17.576499999999999</v>
      </c>
    </row>
    <row r="1073" spans="1:17">
      <c r="A1073" s="5">
        <v>43021</v>
      </c>
      <c r="B1073" s="5" t="str">
        <f t="shared" si="16"/>
        <v>2017 q4</v>
      </c>
      <c r="C1073" s="7">
        <v>5.6105</v>
      </c>
      <c r="D1073" s="7">
        <v>5.6757</v>
      </c>
      <c r="E1073" s="7">
        <v>5.8101000000000003</v>
      </c>
      <c r="F1073" s="7">
        <v>6.0114000000000001</v>
      </c>
      <c r="G1073" s="7">
        <v>6.2093999999999996</v>
      </c>
      <c r="H1073" s="7">
        <v>6.4024999999999999</v>
      </c>
      <c r="I1073" s="7">
        <v>7.1585999999999999</v>
      </c>
      <c r="J1073" s="7">
        <v>7.8780999999999999</v>
      </c>
      <c r="K1073" s="7">
        <v>8.5612999999999992</v>
      </c>
      <c r="L1073" s="7">
        <v>9.1928000000000001</v>
      </c>
      <c r="M1073" s="7">
        <v>10.3773</v>
      </c>
      <c r="N1073" s="7">
        <v>11.8111</v>
      </c>
      <c r="O1073" s="7">
        <v>13.894399999999999</v>
      </c>
      <c r="P1073" s="7">
        <v>15.818300000000001</v>
      </c>
      <c r="Q1073" s="7">
        <v>18.314299999999999</v>
      </c>
    </row>
    <row r="1074" spans="1:17">
      <c r="A1074" s="5">
        <v>43024</v>
      </c>
      <c r="B1074" s="5" t="str">
        <f t="shared" si="16"/>
        <v>2017 q4</v>
      </c>
      <c r="C1074" s="7">
        <v>5.5763999999999996</v>
      </c>
      <c r="D1074" s="7">
        <v>5.6490999999999998</v>
      </c>
      <c r="E1074" s="7">
        <v>5.7991999999999999</v>
      </c>
      <c r="F1074" s="7">
        <v>6.0231000000000003</v>
      </c>
      <c r="G1074" s="7">
        <v>6.2412999999999998</v>
      </c>
      <c r="H1074" s="7">
        <v>6.4584000000000001</v>
      </c>
      <c r="I1074" s="7">
        <v>7.2748999999999997</v>
      </c>
      <c r="J1074" s="7">
        <v>8.0426000000000002</v>
      </c>
      <c r="K1074" s="7">
        <v>8.7515000000000001</v>
      </c>
      <c r="L1074" s="7">
        <v>9.3893000000000004</v>
      </c>
      <c r="M1074" s="7">
        <v>10.5563</v>
      </c>
      <c r="N1074" s="7">
        <v>11.879799999999999</v>
      </c>
      <c r="O1074" s="7">
        <v>13.7059</v>
      </c>
      <c r="P1074" s="7">
        <v>15.3644</v>
      </c>
      <c r="Q1074" s="7">
        <v>17.264099999999999</v>
      </c>
    </row>
    <row r="1075" spans="1:17">
      <c r="A1075" s="5">
        <v>43025</v>
      </c>
      <c r="B1075" s="5" t="str">
        <f t="shared" si="16"/>
        <v>2017 q4</v>
      </c>
      <c r="C1075" s="7">
        <v>5.6429</v>
      </c>
      <c r="D1075" s="7">
        <v>5.7065000000000001</v>
      </c>
      <c r="E1075" s="7">
        <v>5.8377999999999997</v>
      </c>
      <c r="F1075" s="7">
        <v>6.0339</v>
      </c>
      <c r="G1075" s="7">
        <v>6.2271000000000001</v>
      </c>
      <c r="H1075" s="7">
        <v>6.4196</v>
      </c>
      <c r="I1075" s="7">
        <v>7.1612999999999998</v>
      </c>
      <c r="J1075" s="7">
        <v>7.8753000000000002</v>
      </c>
      <c r="K1075" s="7">
        <v>8.5533000000000001</v>
      </c>
      <c r="L1075" s="7">
        <v>9.19</v>
      </c>
      <c r="M1075" s="7">
        <v>10.391999999999999</v>
      </c>
      <c r="N1075" s="7">
        <v>11.8756</v>
      </c>
      <c r="O1075" s="7">
        <v>14.067600000000001</v>
      </c>
      <c r="P1075" s="7">
        <v>16.1004</v>
      </c>
      <c r="Q1075" s="7">
        <v>18.8338</v>
      </c>
    </row>
    <row r="1076" spans="1:17">
      <c r="A1076" s="5">
        <v>43026</v>
      </c>
      <c r="B1076" s="5" t="str">
        <f t="shared" si="16"/>
        <v>2017 q4</v>
      </c>
      <c r="C1076" s="7">
        <v>5.6505999999999998</v>
      </c>
      <c r="D1076" s="7">
        <v>5.7114000000000003</v>
      </c>
      <c r="E1076" s="7">
        <v>5.8369999999999997</v>
      </c>
      <c r="F1076" s="7">
        <v>6.0247999999999999</v>
      </c>
      <c r="G1076" s="7">
        <v>6.2103000000000002</v>
      </c>
      <c r="H1076" s="7">
        <v>6.3951000000000002</v>
      </c>
      <c r="I1076" s="7">
        <v>7.1119000000000003</v>
      </c>
      <c r="J1076" s="7">
        <v>7.7992999999999997</v>
      </c>
      <c r="K1076" s="7">
        <v>8.4659999999999993</v>
      </c>
      <c r="L1076" s="7">
        <v>9.1020000000000003</v>
      </c>
      <c r="M1076" s="7">
        <v>10.3041</v>
      </c>
      <c r="N1076" s="7">
        <v>11.828799999999999</v>
      </c>
      <c r="O1076" s="7">
        <v>14.126200000000001</v>
      </c>
      <c r="P1076" s="7">
        <v>16.2746</v>
      </c>
      <c r="Q1076" s="7">
        <v>19.3293</v>
      </c>
    </row>
    <row r="1077" spans="1:17">
      <c r="A1077" s="5">
        <v>43027</v>
      </c>
      <c r="B1077" s="5" t="str">
        <f t="shared" si="16"/>
        <v>2017 q4</v>
      </c>
      <c r="C1077" s="7">
        <v>5.6551999999999998</v>
      </c>
      <c r="D1077" s="7">
        <v>5.7165999999999997</v>
      </c>
      <c r="E1077" s="7">
        <v>5.8433000000000002</v>
      </c>
      <c r="F1077" s="7">
        <v>6.0327999999999999</v>
      </c>
      <c r="G1077" s="7">
        <v>6.2199</v>
      </c>
      <c r="H1077" s="7">
        <v>6.4062999999999999</v>
      </c>
      <c r="I1077" s="7">
        <v>7.1288999999999998</v>
      </c>
      <c r="J1077" s="7">
        <v>7.8211000000000004</v>
      </c>
      <c r="K1077" s="7">
        <v>8.4922000000000004</v>
      </c>
      <c r="L1077" s="7">
        <v>9.1315000000000008</v>
      </c>
      <c r="M1077" s="7">
        <v>10.338699999999999</v>
      </c>
      <c r="N1077" s="7">
        <v>11.8644</v>
      </c>
      <c r="O1077" s="7">
        <v>14.1587</v>
      </c>
      <c r="P1077" s="7">
        <v>16.301400000000001</v>
      </c>
      <c r="Q1077" s="7">
        <v>19.327100000000002</v>
      </c>
    </row>
    <row r="1078" spans="1:17">
      <c r="A1078" s="5">
        <v>43028</v>
      </c>
      <c r="B1078" s="5" t="str">
        <f t="shared" si="16"/>
        <v>2017 q4</v>
      </c>
      <c r="C1078" s="7">
        <v>5.6516999999999999</v>
      </c>
      <c r="D1078" s="7">
        <v>5.7130999999999998</v>
      </c>
      <c r="E1078" s="7">
        <v>5.8399000000000001</v>
      </c>
      <c r="F1078" s="7">
        <v>6.0293000000000001</v>
      </c>
      <c r="G1078" s="7">
        <v>6.2164999999999999</v>
      </c>
      <c r="H1078" s="7">
        <v>6.4028999999999998</v>
      </c>
      <c r="I1078" s="7">
        <v>7.1254999999999997</v>
      </c>
      <c r="J1078" s="7">
        <v>7.8175999999999997</v>
      </c>
      <c r="K1078" s="7">
        <v>8.4885999999999999</v>
      </c>
      <c r="L1078" s="7">
        <v>9.1277000000000008</v>
      </c>
      <c r="M1078" s="7">
        <v>10.3346</v>
      </c>
      <c r="N1078" s="7">
        <v>11.8589</v>
      </c>
      <c r="O1078" s="7">
        <v>14.151300000000001</v>
      </c>
      <c r="P1078" s="7">
        <v>16.291599999999999</v>
      </c>
      <c r="Q1078" s="7">
        <v>19.3124</v>
      </c>
    </row>
    <row r="1079" spans="1:17">
      <c r="A1079" s="5">
        <v>43031</v>
      </c>
      <c r="B1079" s="5" t="str">
        <f t="shared" si="16"/>
        <v>2017 q4</v>
      </c>
      <c r="C1079" s="7">
        <v>5.6483999999999996</v>
      </c>
      <c r="D1079" s="7">
        <v>5.7103999999999999</v>
      </c>
      <c r="E1079" s="7">
        <v>5.8384</v>
      </c>
      <c r="F1079" s="7">
        <v>6.0294999999999996</v>
      </c>
      <c r="G1079" s="7">
        <v>6.2180999999999997</v>
      </c>
      <c r="H1079" s="7">
        <v>6.4058999999999999</v>
      </c>
      <c r="I1079" s="7">
        <v>7.1315</v>
      </c>
      <c r="J1079" s="7">
        <v>7.8235000000000001</v>
      </c>
      <c r="K1079" s="7">
        <v>8.4924999999999997</v>
      </c>
      <c r="L1079" s="7">
        <v>9.1265999999999998</v>
      </c>
      <c r="M1079" s="7">
        <v>10.3179</v>
      </c>
      <c r="N1079" s="7">
        <v>11.801500000000001</v>
      </c>
      <c r="O1079" s="7">
        <v>14.011900000000001</v>
      </c>
      <c r="P1079" s="7">
        <v>16.066199999999998</v>
      </c>
      <c r="Q1079" s="7">
        <v>18.887799999999999</v>
      </c>
    </row>
    <row r="1080" spans="1:17">
      <c r="A1080" s="5">
        <v>43032</v>
      </c>
      <c r="B1080" s="5" t="str">
        <f t="shared" si="16"/>
        <v>2017 q4</v>
      </c>
      <c r="C1080" s="7">
        <v>5.5586000000000002</v>
      </c>
      <c r="D1080" s="7">
        <v>5.6230000000000002</v>
      </c>
      <c r="E1080" s="7">
        <v>5.7557999999999998</v>
      </c>
      <c r="F1080" s="7">
        <v>5.9542999999999999</v>
      </c>
      <c r="G1080" s="7">
        <v>6.1505999999999998</v>
      </c>
      <c r="H1080" s="7">
        <v>6.3457999999999997</v>
      </c>
      <c r="I1080" s="7">
        <v>7.0993000000000004</v>
      </c>
      <c r="J1080" s="7">
        <v>7.8162000000000003</v>
      </c>
      <c r="K1080" s="7">
        <v>8.5084</v>
      </c>
      <c r="L1080" s="7">
        <v>9.1623000000000001</v>
      </c>
      <c r="M1080" s="7">
        <v>10.3881</v>
      </c>
      <c r="N1080" s="7">
        <v>11.901300000000001</v>
      </c>
      <c r="O1080" s="7">
        <v>14.145</v>
      </c>
      <c r="P1080" s="7">
        <v>16.223600000000001</v>
      </c>
      <c r="Q1080" s="7">
        <v>19.031199999999998</v>
      </c>
    </row>
    <row r="1081" spans="1:17">
      <c r="A1081" s="5">
        <v>43033</v>
      </c>
      <c r="B1081" s="5" t="str">
        <f t="shared" si="16"/>
        <v>2017 q4</v>
      </c>
      <c r="C1081" s="7">
        <v>5.6189</v>
      </c>
      <c r="D1081" s="7">
        <v>5.6814999999999998</v>
      </c>
      <c r="E1081" s="7">
        <v>5.8109000000000002</v>
      </c>
      <c r="F1081" s="7">
        <v>6.0039999999999996</v>
      </c>
      <c r="G1081" s="7">
        <v>6.1951999999999998</v>
      </c>
      <c r="H1081" s="7">
        <v>6.3851000000000004</v>
      </c>
      <c r="I1081" s="7">
        <v>7.1185999999999998</v>
      </c>
      <c r="J1081" s="7">
        <v>7.8235000000000001</v>
      </c>
      <c r="K1081" s="7">
        <v>8.4976000000000003</v>
      </c>
      <c r="L1081" s="7">
        <v>9.1259999999999994</v>
      </c>
      <c r="M1081" s="7">
        <v>10.318899999999999</v>
      </c>
      <c r="N1081" s="7">
        <v>11.8794</v>
      </c>
      <c r="O1081" s="7">
        <v>14.214399999999999</v>
      </c>
      <c r="P1081" s="7">
        <v>15.999499999999999</v>
      </c>
      <c r="Q1081" s="7">
        <v>18.740300000000001</v>
      </c>
    </row>
    <row r="1082" spans="1:17">
      <c r="A1082" s="5">
        <v>43034</v>
      </c>
      <c r="B1082" s="5" t="str">
        <f t="shared" si="16"/>
        <v>2017 q4</v>
      </c>
      <c r="C1082" s="7">
        <v>5.5769000000000002</v>
      </c>
      <c r="D1082" s="7">
        <v>5.6398999999999999</v>
      </c>
      <c r="E1082" s="7">
        <v>5.7698</v>
      </c>
      <c r="F1082" s="7">
        <v>5.9638999999999998</v>
      </c>
      <c r="G1082" s="7">
        <v>6.1562000000000001</v>
      </c>
      <c r="H1082" s="7">
        <v>6.3472999999999997</v>
      </c>
      <c r="I1082" s="7">
        <v>7.0880999999999998</v>
      </c>
      <c r="J1082" s="7">
        <v>7.7960000000000003</v>
      </c>
      <c r="K1082" s="7">
        <v>8.4818999999999996</v>
      </c>
      <c r="L1082" s="7">
        <v>9.1327999999999996</v>
      </c>
      <c r="M1082" s="7">
        <v>10.361000000000001</v>
      </c>
      <c r="N1082" s="7">
        <v>11.8996</v>
      </c>
      <c r="O1082" s="7">
        <v>14.2066</v>
      </c>
      <c r="P1082" s="7">
        <v>16.353000000000002</v>
      </c>
      <c r="Q1082" s="7">
        <v>19.343</v>
      </c>
    </row>
    <row r="1083" spans="1:17">
      <c r="A1083" s="5">
        <v>43035</v>
      </c>
      <c r="B1083" s="5" t="str">
        <f t="shared" si="16"/>
        <v>2017 q4</v>
      </c>
      <c r="C1083" s="7">
        <v>5.5788000000000002</v>
      </c>
      <c r="D1083" s="7">
        <v>5.6426999999999996</v>
      </c>
      <c r="E1083" s="7">
        <v>5.7744999999999997</v>
      </c>
      <c r="F1083" s="7">
        <v>5.9714</v>
      </c>
      <c r="G1083" s="7">
        <v>6.1662999999999997</v>
      </c>
      <c r="H1083" s="7">
        <v>6.3598999999999997</v>
      </c>
      <c r="I1083" s="7">
        <v>7.1083999999999996</v>
      </c>
      <c r="J1083" s="7">
        <v>7.8209999999999997</v>
      </c>
      <c r="K1083" s="7">
        <v>8.5100999999999996</v>
      </c>
      <c r="L1083" s="7">
        <v>9.1610999999999994</v>
      </c>
      <c r="M1083" s="7">
        <v>10.384499999999999</v>
      </c>
      <c r="N1083" s="7">
        <v>11.8986</v>
      </c>
      <c r="O1083" s="7">
        <v>14.151300000000001</v>
      </c>
      <c r="P1083" s="7">
        <v>16.239000000000001</v>
      </c>
      <c r="Q1083" s="7">
        <v>19.0808</v>
      </c>
    </row>
    <row r="1084" spans="1:17">
      <c r="A1084" s="5">
        <v>43038</v>
      </c>
      <c r="B1084" s="5" t="str">
        <f t="shared" si="16"/>
        <v>2017 q4</v>
      </c>
      <c r="C1084" s="7">
        <v>5.5528000000000004</v>
      </c>
      <c r="D1084" s="7">
        <v>5.6192000000000002</v>
      </c>
      <c r="E1084" s="7">
        <v>5.7563000000000004</v>
      </c>
      <c r="F1084" s="7">
        <v>5.9606000000000003</v>
      </c>
      <c r="G1084" s="7">
        <v>6.1623000000000001</v>
      </c>
      <c r="H1084" s="7">
        <v>6.3623000000000003</v>
      </c>
      <c r="I1084" s="7">
        <v>7.1273</v>
      </c>
      <c r="J1084" s="7">
        <v>7.8452999999999999</v>
      </c>
      <c r="K1084" s="7">
        <v>8.5327000000000002</v>
      </c>
      <c r="L1084" s="7">
        <v>9.1723999999999997</v>
      </c>
      <c r="M1084" s="7">
        <v>10.354200000000001</v>
      </c>
      <c r="N1084" s="7">
        <v>11.7608</v>
      </c>
      <c r="O1084" s="7">
        <v>13.797599999999999</v>
      </c>
      <c r="P1084" s="7">
        <v>15.668200000000001</v>
      </c>
      <c r="Q1084" s="7">
        <v>18.0703</v>
      </c>
    </row>
    <row r="1085" spans="1:17">
      <c r="A1085" s="5">
        <v>43039</v>
      </c>
      <c r="B1085" s="5" t="str">
        <f t="shared" si="16"/>
        <v>2017 q4</v>
      </c>
      <c r="C1085" s="7">
        <v>5.5369000000000002</v>
      </c>
      <c r="D1085" s="7">
        <v>5.6051000000000002</v>
      </c>
      <c r="E1085" s="7">
        <v>5.7461000000000002</v>
      </c>
      <c r="F1085" s="7">
        <v>5.9558999999999997</v>
      </c>
      <c r="G1085" s="7">
        <v>6.1627000000000001</v>
      </c>
      <c r="H1085" s="7">
        <v>6.3673000000000002</v>
      </c>
      <c r="I1085" s="7">
        <v>7.1466000000000003</v>
      </c>
      <c r="J1085" s="7">
        <v>7.8852000000000002</v>
      </c>
      <c r="K1085" s="7">
        <v>8.5742999999999991</v>
      </c>
      <c r="L1085" s="7">
        <v>9.2007999999999992</v>
      </c>
      <c r="M1085" s="7">
        <v>10.368499999999999</v>
      </c>
      <c r="N1085" s="7">
        <v>11.7249</v>
      </c>
      <c r="O1085" s="7">
        <v>13.6579</v>
      </c>
      <c r="P1085" s="7">
        <v>15.4201</v>
      </c>
      <c r="Q1085" s="7">
        <v>17.581900000000001</v>
      </c>
    </row>
    <row r="1086" spans="1:17">
      <c r="A1086" s="5">
        <v>43040</v>
      </c>
      <c r="B1086" s="5" t="str">
        <f t="shared" si="16"/>
        <v>2017 q4</v>
      </c>
      <c r="C1086" s="7">
        <v>5.5210999999999997</v>
      </c>
      <c r="D1086" s="7">
        <v>5.5868000000000002</v>
      </c>
      <c r="E1086" s="7">
        <v>5.7225000000000001</v>
      </c>
      <c r="F1086" s="7">
        <v>5.9246999999999996</v>
      </c>
      <c r="G1086" s="7">
        <v>6.1246999999999998</v>
      </c>
      <c r="H1086" s="7">
        <v>6.3228</v>
      </c>
      <c r="I1086" s="7">
        <v>7.0842000000000001</v>
      </c>
      <c r="J1086" s="7">
        <v>7.8128000000000002</v>
      </c>
      <c r="K1086" s="7">
        <v>8.4991000000000003</v>
      </c>
      <c r="L1086" s="7">
        <v>9.1363000000000003</v>
      </c>
      <c r="M1086" s="7">
        <v>10.335100000000001</v>
      </c>
      <c r="N1086" s="7">
        <v>11.775700000000001</v>
      </c>
      <c r="O1086" s="7">
        <v>13.8812</v>
      </c>
      <c r="P1086" s="7">
        <v>15.8164</v>
      </c>
      <c r="Q1086" s="7">
        <v>18.333100000000002</v>
      </c>
    </row>
    <row r="1087" spans="1:17">
      <c r="A1087" s="5">
        <v>43041</v>
      </c>
      <c r="B1087" s="5" t="str">
        <f t="shared" si="16"/>
        <v>2017 q4</v>
      </c>
      <c r="C1087" s="7">
        <v>5.5488</v>
      </c>
      <c r="D1087" s="7">
        <v>5.6140999999999996</v>
      </c>
      <c r="E1087" s="7">
        <v>5.7488999999999999</v>
      </c>
      <c r="F1087" s="7">
        <v>5.9497999999999998</v>
      </c>
      <c r="G1087" s="7">
        <v>6.1483999999999996</v>
      </c>
      <c r="H1087" s="7">
        <v>6.3449999999999998</v>
      </c>
      <c r="I1087" s="7">
        <v>7.1005000000000003</v>
      </c>
      <c r="J1087" s="7">
        <v>7.8117999999999999</v>
      </c>
      <c r="K1087" s="7">
        <v>8.4953000000000003</v>
      </c>
      <c r="L1087" s="7">
        <v>9.1325000000000003</v>
      </c>
      <c r="M1087" s="7">
        <v>10.3172</v>
      </c>
      <c r="N1087" s="7">
        <v>11.7371</v>
      </c>
      <c r="O1087" s="7">
        <v>13.809799999999999</v>
      </c>
      <c r="P1087" s="7">
        <v>15.714</v>
      </c>
      <c r="Q1087" s="7">
        <v>18.1875</v>
      </c>
    </row>
    <row r="1088" spans="1:17">
      <c r="A1088" s="5">
        <v>43042</v>
      </c>
      <c r="B1088" s="5" t="str">
        <f t="shared" si="16"/>
        <v>2017 q4</v>
      </c>
      <c r="C1088" s="7">
        <v>5.5724999999999998</v>
      </c>
      <c r="D1088" s="7">
        <v>5.6333000000000002</v>
      </c>
      <c r="E1088" s="7">
        <v>5.7587999999999999</v>
      </c>
      <c r="F1088" s="7">
        <v>5.9459999999999997</v>
      </c>
      <c r="G1088" s="7">
        <v>6.1315</v>
      </c>
      <c r="H1088" s="7">
        <v>6.3154000000000003</v>
      </c>
      <c r="I1088" s="7">
        <v>7.0263</v>
      </c>
      <c r="J1088" s="7">
        <v>7.7091000000000003</v>
      </c>
      <c r="K1088" s="7">
        <v>8.3620000000000001</v>
      </c>
      <c r="L1088" s="7">
        <v>8.9694000000000003</v>
      </c>
      <c r="M1088" s="7">
        <v>10.1251</v>
      </c>
      <c r="N1088" s="7">
        <v>11.633599999999999</v>
      </c>
      <c r="O1088" s="7">
        <v>13.891999999999999</v>
      </c>
      <c r="P1088" s="7">
        <v>15.619300000000001</v>
      </c>
      <c r="Q1088" s="7">
        <v>18.280999999999999</v>
      </c>
    </row>
    <row r="1089" spans="1:17">
      <c r="A1089" s="5">
        <v>43045</v>
      </c>
      <c r="B1089" s="5" t="str">
        <f t="shared" si="16"/>
        <v>2017 q4</v>
      </c>
      <c r="C1089" s="7">
        <v>5.5522999999999998</v>
      </c>
      <c r="D1089" s="7">
        <v>5.6130000000000004</v>
      </c>
      <c r="E1089" s="7">
        <v>5.7382999999999997</v>
      </c>
      <c r="F1089" s="7">
        <v>5.9252000000000002</v>
      </c>
      <c r="G1089" s="7">
        <v>6.1104000000000003</v>
      </c>
      <c r="H1089" s="7">
        <v>6.2939999999999996</v>
      </c>
      <c r="I1089" s="7">
        <v>7.0042999999999997</v>
      </c>
      <c r="J1089" s="7">
        <v>7.6870000000000003</v>
      </c>
      <c r="K1089" s="7">
        <v>8.3401999999999994</v>
      </c>
      <c r="L1089" s="7">
        <v>8.9486000000000008</v>
      </c>
      <c r="M1089" s="7">
        <v>10.1073</v>
      </c>
      <c r="N1089" s="7">
        <v>11.622400000000001</v>
      </c>
      <c r="O1089" s="7">
        <v>13.894500000000001</v>
      </c>
      <c r="P1089" s="7">
        <v>15.638</v>
      </c>
      <c r="Q1089" s="7">
        <v>18.3325</v>
      </c>
    </row>
    <row r="1090" spans="1:17">
      <c r="A1090" s="5">
        <v>43046</v>
      </c>
      <c r="B1090" s="5" t="str">
        <f t="shared" si="16"/>
        <v>2017 q4</v>
      </c>
      <c r="C1090" s="7">
        <v>5.5431999999999997</v>
      </c>
      <c r="D1090" s="7">
        <v>5.6078999999999999</v>
      </c>
      <c r="E1090" s="7">
        <v>5.7415000000000003</v>
      </c>
      <c r="F1090" s="7">
        <v>5.9401000000000002</v>
      </c>
      <c r="G1090" s="7">
        <v>6.1361999999999997</v>
      </c>
      <c r="H1090" s="7">
        <v>6.3323</v>
      </c>
      <c r="I1090" s="7">
        <v>7.077</v>
      </c>
      <c r="J1090" s="7">
        <v>7.7882999999999996</v>
      </c>
      <c r="K1090" s="7">
        <v>8.4556000000000004</v>
      </c>
      <c r="L1090" s="7">
        <v>9.0717999999999996</v>
      </c>
      <c r="M1090" s="7">
        <v>10.2293</v>
      </c>
      <c r="N1090" s="7">
        <v>11.606</v>
      </c>
      <c r="O1090" s="7">
        <v>13.610799999999999</v>
      </c>
      <c r="P1090" s="7">
        <v>15.4489</v>
      </c>
      <c r="Q1090" s="7">
        <v>17.828700000000001</v>
      </c>
    </row>
    <row r="1091" spans="1:17">
      <c r="A1091" s="5">
        <v>43047</v>
      </c>
      <c r="B1091" s="5" t="str">
        <f t="shared" ref="B1091:B1154" si="17">YEAR(A1091)&amp;" q"&amp;ROUNDUP(MONTH(A1091)/3,0)</f>
        <v>2017 q4</v>
      </c>
      <c r="C1091" s="7">
        <v>5.5662000000000003</v>
      </c>
      <c r="D1091" s="7">
        <v>5.6273</v>
      </c>
      <c r="E1091" s="7">
        <v>5.7534000000000001</v>
      </c>
      <c r="F1091" s="7">
        <v>5.9410999999999996</v>
      </c>
      <c r="G1091" s="7">
        <v>6.1269999999999998</v>
      </c>
      <c r="H1091" s="7">
        <v>6.3127000000000004</v>
      </c>
      <c r="I1091" s="7">
        <v>7.0243000000000002</v>
      </c>
      <c r="J1091" s="7">
        <v>7.7089999999999996</v>
      </c>
      <c r="K1091" s="7">
        <v>8.3591999999999995</v>
      </c>
      <c r="L1091" s="7">
        <v>8.9636999999999993</v>
      </c>
      <c r="M1091" s="7">
        <v>10.113200000000001</v>
      </c>
      <c r="N1091" s="7">
        <v>11.5174</v>
      </c>
      <c r="O1091" s="7">
        <v>13.6007</v>
      </c>
      <c r="P1091" s="7">
        <v>15.5228</v>
      </c>
      <c r="Q1091" s="7">
        <v>18.1159</v>
      </c>
    </row>
    <row r="1092" spans="1:17">
      <c r="A1092" s="5">
        <v>43048</v>
      </c>
      <c r="B1092" s="5" t="str">
        <f t="shared" si="17"/>
        <v>2017 q4</v>
      </c>
      <c r="C1092" s="7">
        <v>5.5327999999999999</v>
      </c>
      <c r="D1092" s="7">
        <v>5.5983999999999998</v>
      </c>
      <c r="E1092" s="7">
        <v>5.7339000000000002</v>
      </c>
      <c r="F1092" s="7">
        <v>5.9348000000000001</v>
      </c>
      <c r="G1092" s="7">
        <v>6.1332000000000004</v>
      </c>
      <c r="H1092" s="7">
        <v>6.3314000000000004</v>
      </c>
      <c r="I1092" s="7">
        <v>7.0811999999999999</v>
      </c>
      <c r="J1092" s="7">
        <v>7.7946</v>
      </c>
      <c r="K1092" s="7">
        <v>8.4602000000000004</v>
      </c>
      <c r="L1092" s="7">
        <v>9.0704999999999991</v>
      </c>
      <c r="M1092" s="7">
        <v>10.2119</v>
      </c>
      <c r="N1092" s="7">
        <v>11.5463</v>
      </c>
      <c r="O1092" s="7">
        <v>13.468500000000001</v>
      </c>
      <c r="P1092" s="7">
        <v>15.2216</v>
      </c>
      <c r="Q1092" s="7">
        <v>17.420100000000001</v>
      </c>
    </row>
    <row r="1093" spans="1:17">
      <c r="A1093" s="5">
        <v>43049</v>
      </c>
      <c r="B1093" s="5" t="str">
        <f t="shared" si="17"/>
        <v>2017 q4</v>
      </c>
      <c r="C1093" s="7">
        <v>5.5675999999999997</v>
      </c>
      <c r="D1093" s="7">
        <v>5.63</v>
      </c>
      <c r="E1093" s="7">
        <v>5.7587000000000002</v>
      </c>
      <c r="F1093" s="7">
        <v>5.9497999999999998</v>
      </c>
      <c r="G1093" s="7">
        <v>6.1387</v>
      </c>
      <c r="H1093" s="7">
        <v>6.3273999999999999</v>
      </c>
      <c r="I1093" s="7">
        <v>7.0449999999999999</v>
      </c>
      <c r="J1093" s="7">
        <v>7.7192999999999996</v>
      </c>
      <c r="K1093" s="7">
        <v>8.3674999999999997</v>
      </c>
      <c r="L1093" s="7">
        <v>8.9685000000000006</v>
      </c>
      <c r="M1093" s="7">
        <v>10.0869</v>
      </c>
      <c r="N1093" s="7">
        <v>11.418100000000001</v>
      </c>
      <c r="O1093" s="7">
        <v>13.3612</v>
      </c>
      <c r="P1093" s="7">
        <v>15.1426</v>
      </c>
      <c r="Q1093" s="7">
        <v>17.459099999999999</v>
      </c>
    </row>
    <row r="1094" spans="1:17">
      <c r="A1094" s="5">
        <v>43052</v>
      </c>
      <c r="B1094" s="5" t="str">
        <f t="shared" si="17"/>
        <v>2017 q4</v>
      </c>
      <c r="C1094" s="7">
        <v>5.7141000000000002</v>
      </c>
      <c r="D1094" s="7">
        <v>5.7633999999999999</v>
      </c>
      <c r="E1094" s="7">
        <v>5.8651999999999997</v>
      </c>
      <c r="F1094" s="7">
        <v>6.0174000000000003</v>
      </c>
      <c r="G1094" s="7">
        <v>6.1689999999999996</v>
      </c>
      <c r="H1094" s="7">
        <v>6.3205</v>
      </c>
      <c r="I1094" s="7">
        <v>6.9150999999999998</v>
      </c>
      <c r="J1094" s="7">
        <v>7.4957000000000003</v>
      </c>
      <c r="K1094" s="7">
        <v>8.0678000000000001</v>
      </c>
      <c r="L1094" s="7">
        <v>8.6228999999999996</v>
      </c>
      <c r="M1094" s="7">
        <v>9.7034000000000002</v>
      </c>
      <c r="N1094" s="7">
        <v>11.260400000000001</v>
      </c>
      <c r="O1094" s="7">
        <v>13.532500000000001</v>
      </c>
      <c r="P1094" s="7">
        <v>15.7166</v>
      </c>
      <c r="Q1094" s="7">
        <v>19.409300000000002</v>
      </c>
    </row>
    <row r="1095" spans="1:17">
      <c r="A1095" s="5">
        <v>43053</v>
      </c>
      <c r="B1095" s="5" t="str">
        <f t="shared" si="17"/>
        <v>2017 q4</v>
      </c>
      <c r="C1095" s="7">
        <v>5.5936000000000003</v>
      </c>
      <c r="D1095" s="7">
        <v>5.6501000000000001</v>
      </c>
      <c r="E1095" s="7">
        <v>5.7667000000000002</v>
      </c>
      <c r="F1095" s="7">
        <v>5.9409000000000001</v>
      </c>
      <c r="G1095" s="7">
        <v>6.1139000000000001</v>
      </c>
      <c r="H1095" s="7">
        <v>6.2838000000000003</v>
      </c>
      <c r="I1095" s="7">
        <v>6.9513999999999996</v>
      </c>
      <c r="J1095" s="7">
        <v>7.5898000000000003</v>
      </c>
      <c r="K1095" s="7">
        <v>8.2118000000000002</v>
      </c>
      <c r="L1095" s="7">
        <v>8.8010999999999999</v>
      </c>
      <c r="M1095" s="7">
        <v>9.9244000000000003</v>
      </c>
      <c r="N1095" s="7">
        <v>11.343299999999999</v>
      </c>
      <c r="O1095" s="7">
        <v>13.5001</v>
      </c>
      <c r="P1095" s="7">
        <v>15.509499999999999</v>
      </c>
      <c r="Q1095" s="7">
        <v>18.406600000000001</v>
      </c>
    </row>
    <row r="1096" spans="1:17">
      <c r="A1096" s="5">
        <v>43054</v>
      </c>
      <c r="B1096" s="5" t="str">
        <f t="shared" si="17"/>
        <v>2017 q4</v>
      </c>
      <c r="C1096" s="7">
        <v>5.5970000000000004</v>
      </c>
      <c r="D1096" s="7">
        <v>5.6520000000000001</v>
      </c>
      <c r="E1096" s="7">
        <v>5.7653999999999996</v>
      </c>
      <c r="F1096" s="7">
        <v>5.9347000000000003</v>
      </c>
      <c r="G1096" s="7">
        <v>6.1029999999999998</v>
      </c>
      <c r="H1096" s="7">
        <v>6.2683999999999997</v>
      </c>
      <c r="I1096" s="7">
        <v>6.9192</v>
      </c>
      <c r="J1096" s="7">
        <v>7.5430000000000001</v>
      </c>
      <c r="K1096" s="7">
        <v>8.1517999999999997</v>
      </c>
      <c r="L1096" s="7">
        <v>8.7302999999999997</v>
      </c>
      <c r="M1096" s="7">
        <v>9.8361000000000001</v>
      </c>
      <c r="N1096" s="7">
        <v>11.245200000000001</v>
      </c>
      <c r="O1096" s="7">
        <v>13.398999999999999</v>
      </c>
      <c r="P1096" s="7">
        <v>15.4115</v>
      </c>
      <c r="Q1096" s="7">
        <v>18.365200000000002</v>
      </c>
    </row>
    <row r="1097" spans="1:17">
      <c r="A1097" s="5">
        <v>43055</v>
      </c>
      <c r="B1097" s="5" t="str">
        <f t="shared" si="17"/>
        <v>2017 q4</v>
      </c>
      <c r="C1097" s="7">
        <v>5.6075999999999997</v>
      </c>
      <c r="D1097" s="7">
        <v>5.6638000000000002</v>
      </c>
      <c r="E1097" s="7">
        <v>5.7797000000000001</v>
      </c>
      <c r="F1097" s="7">
        <v>5.9524999999999997</v>
      </c>
      <c r="G1097" s="7">
        <v>6.1242999999999999</v>
      </c>
      <c r="H1097" s="7">
        <v>6.2927</v>
      </c>
      <c r="I1097" s="7">
        <v>6.9539</v>
      </c>
      <c r="J1097" s="7">
        <v>7.5846</v>
      </c>
      <c r="K1097" s="7">
        <v>8.1982999999999997</v>
      </c>
      <c r="L1097" s="7">
        <v>8.7777999999999992</v>
      </c>
      <c r="M1097" s="7">
        <v>9.8800000000000008</v>
      </c>
      <c r="N1097" s="7">
        <v>11.2608</v>
      </c>
      <c r="O1097" s="7">
        <v>13.3505</v>
      </c>
      <c r="P1097" s="7">
        <v>15.2918</v>
      </c>
      <c r="Q1097" s="7">
        <v>18.053699999999999</v>
      </c>
    </row>
    <row r="1098" spans="1:17">
      <c r="A1098" s="5">
        <v>43056</v>
      </c>
      <c r="B1098" s="5" t="str">
        <f t="shared" si="17"/>
        <v>2017 q4</v>
      </c>
      <c r="C1098" s="7">
        <v>5.5972999999999997</v>
      </c>
      <c r="D1098" s="7">
        <v>5.6536</v>
      </c>
      <c r="E1098" s="7">
        <v>5.7698999999999998</v>
      </c>
      <c r="F1098" s="7">
        <v>5.9433999999999996</v>
      </c>
      <c r="G1098" s="7">
        <v>6.1155999999999997</v>
      </c>
      <c r="H1098" s="7">
        <v>6.2846000000000002</v>
      </c>
      <c r="I1098" s="7">
        <v>6.9482999999999997</v>
      </c>
      <c r="J1098" s="7">
        <v>7.5815999999999999</v>
      </c>
      <c r="K1098" s="7">
        <v>8.1982999999999997</v>
      </c>
      <c r="L1098" s="7">
        <v>8.7806999999999995</v>
      </c>
      <c r="M1098" s="7">
        <v>9.8894000000000002</v>
      </c>
      <c r="N1098" s="7">
        <v>11.2803</v>
      </c>
      <c r="O1098" s="7">
        <v>13.388</v>
      </c>
      <c r="P1098" s="7">
        <v>15.3466</v>
      </c>
      <c r="Q1098" s="7">
        <v>18.141300000000001</v>
      </c>
    </row>
    <row r="1099" spans="1:17">
      <c r="A1099" s="5">
        <v>43059</v>
      </c>
      <c r="B1099" s="5" t="str">
        <f t="shared" si="17"/>
        <v>2017 q4</v>
      </c>
      <c r="C1099" s="7">
        <v>5.5613999999999999</v>
      </c>
      <c r="D1099" s="7">
        <v>5.6177000000000001</v>
      </c>
      <c r="E1099" s="7">
        <v>5.734</v>
      </c>
      <c r="F1099" s="7">
        <v>5.9076000000000004</v>
      </c>
      <c r="G1099" s="7">
        <v>6.0799000000000003</v>
      </c>
      <c r="H1099" s="7">
        <v>6.2492000000000001</v>
      </c>
      <c r="I1099" s="7">
        <v>6.9141000000000004</v>
      </c>
      <c r="J1099" s="7">
        <v>7.5495000000000001</v>
      </c>
      <c r="K1099" s="7">
        <v>8.1687999999999992</v>
      </c>
      <c r="L1099" s="7">
        <v>8.7545000000000002</v>
      </c>
      <c r="M1099" s="7">
        <v>9.8714999999999993</v>
      </c>
      <c r="N1099" s="7">
        <v>11.279</v>
      </c>
      <c r="O1099" s="7">
        <v>13.4185</v>
      </c>
      <c r="P1099" s="7">
        <v>15.4092</v>
      </c>
      <c r="Q1099" s="7">
        <v>18.274100000000001</v>
      </c>
    </row>
    <row r="1100" spans="1:17">
      <c r="A1100" s="5">
        <v>43060</v>
      </c>
      <c r="B1100" s="5" t="str">
        <f t="shared" si="17"/>
        <v>2017 q4</v>
      </c>
      <c r="C1100" s="7">
        <v>5.6162000000000001</v>
      </c>
      <c r="D1100" s="7">
        <v>5.6692999999999998</v>
      </c>
      <c r="E1100" s="7">
        <v>5.7788000000000004</v>
      </c>
      <c r="F1100" s="7">
        <v>5.9429999999999996</v>
      </c>
      <c r="G1100" s="7">
        <v>6.1056999999999997</v>
      </c>
      <c r="H1100" s="7">
        <v>6.2667000000000002</v>
      </c>
      <c r="I1100" s="7">
        <v>6.9024000000000001</v>
      </c>
      <c r="J1100" s="7">
        <v>7.5174000000000003</v>
      </c>
      <c r="K1100" s="7">
        <v>8.1213999999999995</v>
      </c>
      <c r="L1100" s="7">
        <v>8.7011000000000003</v>
      </c>
      <c r="M1100" s="7">
        <v>9.8223000000000003</v>
      </c>
      <c r="N1100" s="7">
        <v>11.298999999999999</v>
      </c>
      <c r="O1100" s="7">
        <v>13.604100000000001</v>
      </c>
      <c r="P1100" s="7">
        <v>15.7834</v>
      </c>
      <c r="Q1100" s="7">
        <v>19.206600000000002</v>
      </c>
    </row>
    <row r="1101" spans="1:17">
      <c r="A1101" s="5">
        <v>43061</v>
      </c>
      <c r="B1101" s="5" t="str">
        <f t="shared" si="17"/>
        <v>2017 q4</v>
      </c>
      <c r="C1101" s="7">
        <v>5.5869</v>
      </c>
      <c r="D1101" s="7">
        <v>5.6425000000000001</v>
      </c>
      <c r="E1101" s="7">
        <v>5.7572999999999999</v>
      </c>
      <c r="F1101" s="7">
        <v>5.9294000000000002</v>
      </c>
      <c r="G1101" s="7">
        <v>6.0995999999999997</v>
      </c>
      <c r="H1101" s="7">
        <v>6.2674000000000003</v>
      </c>
      <c r="I1101" s="7">
        <v>6.9272999999999998</v>
      </c>
      <c r="J1101" s="7">
        <v>7.5597000000000003</v>
      </c>
      <c r="K1101" s="7">
        <v>8.1775000000000002</v>
      </c>
      <c r="L1101" s="7">
        <v>8.7634000000000007</v>
      </c>
      <c r="M1101" s="7">
        <v>9.8856000000000002</v>
      </c>
      <c r="N1101" s="7">
        <v>11.3131</v>
      </c>
      <c r="O1101" s="7">
        <v>13.498900000000001</v>
      </c>
      <c r="P1101" s="7">
        <v>15.5383</v>
      </c>
      <c r="Q1101" s="7">
        <v>18.534199999999998</v>
      </c>
    </row>
    <row r="1102" spans="1:17">
      <c r="A1102" s="5">
        <v>43062</v>
      </c>
      <c r="B1102" s="5" t="str">
        <f t="shared" si="17"/>
        <v>2017 q4</v>
      </c>
      <c r="C1102" s="7">
        <v>5.6021000000000001</v>
      </c>
      <c r="D1102" s="7">
        <v>5.6563999999999997</v>
      </c>
      <c r="E1102" s="7">
        <v>5.7686999999999999</v>
      </c>
      <c r="F1102" s="7">
        <v>5.9370000000000003</v>
      </c>
      <c r="G1102" s="7">
        <v>6.1036000000000001</v>
      </c>
      <c r="H1102" s="7">
        <v>6.2680999999999996</v>
      </c>
      <c r="I1102" s="7">
        <v>6.9161000000000001</v>
      </c>
      <c r="J1102" s="7">
        <v>7.5396000000000001</v>
      </c>
      <c r="K1102" s="7">
        <v>8.1502999999999997</v>
      </c>
      <c r="L1102" s="7">
        <v>8.7323000000000004</v>
      </c>
      <c r="M1102" s="7">
        <v>9.8521000000000001</v>
      </c>
      <c r="N1102" s="7">
        <v>11.297599999999999</v>
      </c>
      <c r="O1102" s="7">
        <v>13.530099999999999</v>
      </c>
      <c r="P1102" s="7">
        <v>15.6242</v>
      </c>
      <c r="Q1102" s="7">
        <v>18.790199999999999</v>
      </c>
    </row>
    <row r="1103" spans="1:17">
      <c r="A1103" s="5">
        <v>43063</v>
      </c>
      <c r="B1103" s="5" t="str">
        <f t="shared" si="17"/>
        <v>2017 q4</v>
      </c>
      <c r="C1103" s="7">
        <v>5.6093999999999999</v>
      </c>
      <c r="D1103" s="7">
        <v>5.6646000000000001</v>
      </c>
      <c r="E1103" s="7">
        <v>5.7786</v>
      </c>
      <c r="F1103" s="7">
        <v>5.9493999999999998</v>
      </c>
      <c r="G1103" s="7">
        <v>6.1184000000000003</v>
      </c>
      <c r="H1103" s="7">
        <v>6.2851999999999997</v>
      </c>
      <c r="I1103" s="7">
        <v>6.9417</v>
      </c>
      <c r="J1103" s="7">
        <v>7.5792999999999999</v>
      </c>
      <c r="K1103" s="7">
        <v>8.1928999999999998</v>
      </c>
      <c r="L1103" s="7">
        <v>8.7758000000000003</v>
      </c>
      <c r="M1103" s="7">
        <v>9.9024999999999999</v>
      </c>
      <c r="N1103" s="7">
        <v>11.347</v>
      </c>
      <c r="O1103" s="7">
        <v>13.5702</v>
      </c>
      <c r="P1103" s="7">
        <v>15.649900000000001</v>
      </c>
      <c r="Q1103" s="7">
        <v>18.7544</v>
      </c>
    </row>
    <row r="1104" spans="1:17">
      <c r="A1104" s="5">
        <v>43066</v>
      </c>
      <c r="B1104" s="5" t="str">
        <f t="shared" si="17"/>
        <v>2017 q4</v>
      </c>
      <c r="C1104" s="7">
        <v>5.6349</v>
      </c>
      <c r="D1104" s="7">
        <v>5.6875</v>
      </c>
      <c r="E1104" s="7">
        <v>5.7961</v>
      </c>
      <c r="F1104" s="7">
        <v>5.9588999999999999</v>
      </c>
      <c r="G1104" s="7">
        <v>6.1199000000000003</v>
      </c>
      <c r="H1104" s="7">
        <v>6.2789999999999999</v>
      </c>
      <c r="I1104" s="7">
        <v>6.9055999999999997</v>
      </c>
      <c r="J1104" s="7">
        <v>7.5082000000000004</v>
      </c>
      <c r="K1104" s="7">
        <v>8.0985999999999994</v>
      </c>
      <c r="L1104" s="7">
        <v>8.6607000000000003</v>
      </c>
      <c r="M1104" s="7">
        <v>9.7425999999999995</v>
      </c>
      <c r="N1104" s="7">
        <v>11.2041</v>
      </c>
      <c r="O1104" s="7">
        <v>13.4617</v>
      </c>
      <c r="P1104" s="7">
        <v>15.312900000000001</v>
      </c>
      <c r="Q1104" s="7">
        <v>18.367100000000001</v>
      </c>
    </row>
    <row r="1105" spans="1:17">
      <c r="A1105" s="5">
        <v>43067</v>
      </c>
      <c r="B1105" s="5" t="str">
        <f t="shared" si="17"/>
        <v>2017 q4</v>
      </c>
      <c r="C1105" s="7">
        <v>5.5895999999999999</v>
      </c>
      <c r="D1105" s="7">
        <v>5.6467000000000001</v>
      </c>
      <c r="E1105" s="7">
        <v>5.7645999999999997</v>
      </c>
      <c r="F1105" s="7">
        <v>5.9413</v>
      </c>
      <c r="G1105" s="7">
        <v>6.1153000000000004</v>
      </c>
      <c r="H1105" s="7">
        <v>6.2864000000000004</v>
      </c>
      <c r="I1105" s="7">
        <v>6.9558999999999997</v>
      </c>
      <c r="J1105" s="7">
        <v>7.5896999999999997</v>
      </c>
      <c r="K1105" s="7">
        <v>8.2057000000000002</v>
      </c>
      <c r="L1105" s="7">
        <v>8.7809000000000008</v>
      </c>
      <c r="M1105" s="7">
        <v>9.8721999999999994</v>
      </c>
      <c r="N1105" s="7">
        <v>11.209199999999999</v>
      </c>
      <c r="O1105" s="7">
        <v>13.2163</v>
      </c>
      <c r="P1105" s="7">
        <v>15.0662</v>
      </c>
      <c r="Q1105" s="7">
        <v>17.623799999999999</v>
      </c>
    </row>
    <row r="1106" spans="1:17">
      <c r="A1106" s="5">
        <v>43068</v>
      </c>
      <c r="B1106" s="5" t="str">
        <f t="shared" si="17"/>
        <v>2017 q4</v>
      </c>
      <c r="C1106" s="7">
        <v>5.6231999999999998</v>
      </c>
      <c r="D1106" s="7">
        <v>5.6779999999999999</v>
      </c>
      <c r="E1106" s="7">
        <v>5.7911000000000001</v>
      </c>
      <c r="F1106" s="7">
        <v>5.9607000000000001</v>
      </c>
      <c r="G1106" s="7">
        <v>6.1283000000000003</v>
      </c>
      <c r="H1106" s="7">
        <v>6.2938000000000001</v>
      </c>
      <c r="I1106" s="7">
        <v>6.9446000000000003</v>
      </c>
      <c r="J1106" s="7">
        <v>7.5759999999999996</v>
      </c>
      <c r="K1106" s="7">
        <v>8.1828000000000003</v>
      </c>
      <c r="L1106" s="7">
        <v>8.7582000000000004</v>
      </c>
      <c r="M1106" s="7">
        <v>9.8702000000000005</v>
      </c>
      <c r="N1106" s="7">
        <v>11.288</v>
      </c>
      <c r="O1106" s="7">
        <v>13.4673</v>
      </c>
      <c r="P1106" s="7">
        <v>15.501099999999999</v>
      </c>
      <c r="Q1106" s="7">
        <v>18.515799999999999</v>
      </c>
    </row>
    <row r="1107" spans="1:17">
      <c r="A1107" s="5">
        <v>43069</v>
      </c>
      <c r="B1107" s="5" t="str">
        <f t="shared" si="17"/>
        <v>2017 q4</v>
      </c>
      <c r="C1107" s="7">
        <v>5.6412000000000004</v>
      </c>
      <c r="D1107" s="7">
        <v>5.6925999999999997</v>
      </c>
      <c r="E1107" s="7">
        <v>5.7988</v>
      </c>
      <c r="F1107" s="7">
        <v>5.9577999999999998</v>
      </c>
      <c r="G1107" s="7">
        <v>6.1155999999999997</v>
      </c>
      <c r="H1107" s="7">
        <v>6.2720000000000002</v>
      </c>
      <c r="I1107" s="7">
        <v>6.8902000000000001</v>
      </c>
      <c r="J1107" s="7">
        <v>7.4904999999999999</v>
      </c>
      <c r="K1107" s="7">
        <v>8.0816999999999997</v>
      </c>
      <c r="L1107" s="7">
        <v>8.6509</v>
      </c>
      <c r="M1107" s="7">
        <v>9.7578999999999994</v>
      </c>
      <c r="N1107" s="7">
        <v>11.2347</v>
      </c>
      <c r="O1107" s="7">
        <v>13.5617</v>
      </c>
      <c r="P1107" s="7">
        <v>15.771599999999999</v>
      </c>
      <c r="Q1107" s="7">
        <v>19.346599999999999</v>
      </c>
    </row>
    <row r="1108" spans="1:17">
      <c r="A1108" s="5">
        <v>43070</v>
      </c>
      <c r="B1108" s="5" t="str">
        <f t="shared" si="17"/>
        <v>2017 q4</v>
      </c>
      <c r="C1108" s="7">
        <v>5.6407999999999996</v>
      </c>
      <c r="D1108" s="7">
        <v>5.6916000000000002</v>
      </c>
      <c r="E1108" s="7">
        <v>5.7965</v>
      </c>
      <c r="F1108" s="7">
        <v>5.9538000000000002</v>
      </c>
      <c r="G1108" s="7">
        <v>6.1098999999999997</v>
      </c>
      <c r="H1108" s="7">
        <v>6.2647000000000004</v>
      </c>
      <c r="I1108" s="7">
        <v>6.8771000000000004</v>
      </c>
      <c r="J1108" s="7">
        <v>7.4729999999999999</v>
      </c>
      <c r="K1108" s="7">
        <v>8.0604999999999993</v>
      </c>
      <c r="L1108" s="7">
        <v>8.6274999999999995</v>
      </c>
      <c r="M1108" s="7">
        <v>9.7325999999999997</v>
      </c>
      <c r="N1108" s="7">
        <v>11.2181</v>
      </c>
      <c r="O1108" s="7">
        <v>13.5684</v>
      </c>
      <c r="P1108" s="7">
        <v>15.8073</v>
      </c>
      <c r="Q1108" s="7">
        <v>19.483699999999999</v>
      </c>
    </row>
    <row r="1109" spans="1:17">
      <c r="A1109" s="5">
        <v>43073</v>
      </c>
      <c r="B1109" s="5" t="str">
        <f t="shared" si="17"/>
        <v>2017 q4</v>
      </c>
      <c r="C1109" s="7">
        <v>5.6097000000000001</v>
      </c>
      <c r="D1109" s="7">
        <v>5.6627999999999998</v>
      </c>
      <c r="E1109" s="7">
        <v>5.7723000000000004</v>
      </c>
      <c r="F1109" s="7">
        <v>5.9363999999999999</v>
      </c>
      <c r="G1109" s="7">
        <v>6.0987</v>
      </c>
      <c r="H1109" s="7">
        <v>6.2591999999999999</v>
      </c>
      <c r="I1109" s="7">
        <v>6.8914</v>
      </c>
      <c r="J1109" s="7">
        <v>7.5</v>
      </c>
      <c r="K1109" s="7">
        <v>8.0968999999999998</v>
      </c>
      <c r="L1109" s="7">
        <v>8.6651000000000007</v>
      </c>
      <c r="M1109" s="7">
        <v>9.7615999999999996</v>
      </c>
      <c r="N1109" s="7">
        <v>11.1785</v>
      </c>
      <c r="O1109" s="7">
        <v>13.374599999999999</v>
      </c>
      <c r="P1109" s="7">
        <v>15.4338</v>
      </c>
      <c r="Q1109" s="7">
        <v>18.570900000000002</v>
      </c>
    </row>
    <row r="1110" spans="1:17">
      <c r="A1110" s="5">
        <v>43074</v>
      </c>
      <c r="B1110" s="5" t="str">
        <f t="shared" si="17"/>
        <v>2017 q4</v>
      </c>
      <c r="C1110" s="7">
        <v>5.6317000000000004</v>
      </c>
      <c r="D1110" s="7">
        <v>5.6835000000000004</v>
      </c>
      <c r="E1110" s="7">
        <v>5.7906000000000004</v>
      </c>
      <c r="F1110" s="7">
        <v>5.9509999999999996</v>
      </c>
      <c r="G1110" s="7">
        <v>6.1097999999999999</v>
      </c>
      <c r="H1110" s="7">
        <v>6.2671999999999999</v>
      </c>
      <c r="I1110" s="7">
        <v>6.8879999999999999</v>
      </c>
      <c r="J1110" s="7">
        <v>7.4880000000000004</v>
      </c>
      <c r="K1110" s="7">
        <v>8.0780999999999992</v>
      </c>
      <c r="L1110" s="7">
        <v>8.6425000000000001</v>
      </c>
      <c r="M1110" s="7">
        <v>9.7370000000000001</v>
      </c>
      <c r="N1110" s="7">
        <v>11.172800000000001</v>
      </c>
      <c r="O1110" s="7">
        <v>13.4185</v>
      </c>
      <c r="P1110" s="7">
        <v>15.536199999999999</v>
      </c>
      <c r="Q1110" s="7">
        <v>18.862500000000001</v>
      </c>
    </row>
    <row r="1111" spans="1:17">
      <c r="A1111" s="5">
        <v>43075</v>
      </c>
      <c r="B1111" s="5" t="str">
        <f t="shared" si="17"/>
        <v>2017 q4</v>
      </c>
      <c r="C1111" s="7">
        <v>5.6289999999999996</v>
      </c>
      <c r="D1111" s="7">
        <v>5.6807999999999996</v>
      </c>
      <c r="E1111" s="7">
        <v>5.7876000000000003</v>
      </c>
      <c r="F1111" s="7">
        <v>5.9477000000000002</v>
      </c>
      <c r="G1111" s="7">
        <v>6.1063000000000001</v>
      </c>
      <c r="H1111" s="7">
        <v>6.2633999999999999</v>
      </c>
      <c r="I1111" s="7">
        <v>6.8833000000000002</v>
      </c>
      <c r="J1111" s="7">
        <v>7.4828999999999999</v>
      </c>
      <c r="K1111" s="7">
        <v>8.0726999999999993</v>
      </c>
      <c r="L1111" s="7">
        <v>8.6371000000000002</v>
      </c>
      <c r="M1111" s="7">
        <v>9.7324000000000002</v>
      </c>
      <c r="N1111" s="7">
        <v>11.172000000000001</v>
      </c>
      <c r="O1111" s="7">
        <v>13.426500000000001</v>
      </c>
      <c r="P1111" s="7">
        <v>15.553900000000001</v>
      </c>
      <c r="Q1111" s="7">
        <v>18.909099999999999</v>
      </c>
    </row>
    <row r="1112" spans="1:17">
      <c r="A1112" s="5">
        <v>43076</v>
      </c>
      <c r="B1112" s="5" t="str">
        <f t="shared" si="17"/>
        <v>2017 q4</v>
      </c>
      <c r="C1112" s="7">
        <v>5.6285999999999996</v>
      </c>
      <c r="D1112" s="7">
        <v>5.6803999999999997</v>
      </c>
      <c r="E1112" s="7">
        <v>5.7873999999999999</v>
      </c>
      <c r="F1112" s="7">
        <v>5.9476000000000004</v>
      </c>
      <c r="G1112" s="7">
        <v>6.1062000000000003</v>
      </c>
      <c r="H1112" s="7">
        <v>6.2633999999999999</v>
      </c>
      <c r="I1112" s="7">
        <v>6.8834999999999997</v>
      </c>
      <c r="J1112" s="7">
        <v>7.4828999999999999</v>
      </c>
      <c r="K1112" s="7">
        <v>8.0724999999999998</v>
      </c>
      <c r="L1112" s="7">
        <v>8.6362000000000005</v>
      </c>
      <c r="M1112" s="7">
        <v>9.7296999999999993</v>
      </c>
      <c r="N1112" s="7">
        <v>11.164099999999999</v>
      </c>
      <c r="O1112" s="7">
        <v>13.4086</v>
      </c>
      <c r="P1112" s="7">
        <v>15.5246</v>
      </c>
      <c r="Q1112" s="7">
        <v>18.850300000000001</v>
      </c>
    </row>
    <row r="1113" spans="1:17">
      <c r="A1113" s="5">
        <v>43077</v>
      </c>
      <c r="B1113" s="5" t="str">
        <f t="shared" si="17"/>
        <v>2017 q4</v>
      </c>
      <c r="C1113" s="7">
        <v>5.6425999999999998</v>
      </c>
      <c r="D1113" s="7">
        <v>5.6947999999999999</v>
      </c>
      <c r="E1113" s="7">
        <v>5.8023999999999996</v>
      </c>
      <c r="F1113" s="7">
        <v>5.9634999999999998</v>
      </c>
      <c r="G1113" s="7">
        <v>6.1228999999999996</v>
      </c>
      <c r="H1113" s="7">
        <v>6.2807000000000004</v>
      </c>
      <c r="I1113" s="7">
        <v>6.9024000000000001</v>
      </c>
      <c r="J1113" s="7">
        <v>7.5014000000000003</v>
      </c>
      <c r="K1113" s="7">
        <v>8.0897000000000006</v>
      </c>
      <c r="L1113" s="7">
        <v>8.6498000000000008</v>
      </c>
      <c r="M1113" s="7">
        <v>9.7332999999999998</v>
      </c>
      <c r="N1113" s="7">
        <v>11.1378</v>
      </c>
      <c r="O1113" s="7">
        <v>13.322699999999999</v>
      </c>
      <c r="P1113" s="7">
        <v>15.3728</v>
      </c>
      <c r="Q1113" s="7">
        <v>18.5258</v>
      </c>
    </row>
    <row r="1114" spans="1:17">
      <c r="A1114" s="5">
        <v>43080</v>
      </c>
      <c r="B1114" s="5" t="str">
        <f t="shared" si="17"/>
        <v>2017 q4</v>
      </c>
      <c r="C1114" s="7">
        <v>5.6327999999999996</v>
      </c>
      <c r="D1114" s="7">
        <v>5.6845999999999997</v>
      </c>
      <c r="E1114" s="7">
        <v>5.7915999999999999</v>
      </c>
      <c r="F1114" s="7">
        <v>5.9518000000000004</v>
      </c>
      <c r="G1114" s="7">
        <v>6.1101999999999999</v>
      </c>
      <c r="H1114" s="7">
        <v>6.2671999999999999</v>
      </c>
      <c r="I1114" s="7">
        <v>6.8853999999999997</v>
      </c>
      <c r="J1114" s="7">
        <v>7.4809000000000001</v>
      </c>
      <c r="K1114" s="7">
        <v>8.0660000000000007</v>
      </c>
      <c r="L1114" s="7">
        <v>8.6227999999999998</v>
      </c>
      <c r="M1114" s="7">
        <v>9.7004000000000001</v>
      </c>
      <c r="N1114" s="7">
        <v>11.1616</v>
      </c>
      <c r="O1114" s="7">
        <v>13.4299</v>
      </c>
      <c r="P1114" s="7">
        <v>15.309200000000001</v>
      </c>
      <c r="Q1114" s="7">
        <v>18.4466</v>
      </c>
    </row>
    <row r="1115" spans="1:17">
      <c r="A1115" s="5">
        <v>43081</v>
      </c>
      <c r="B1115" s="5" t="str">
        <f t="shared" si="17"/>
        <v>2017 q4</v>
      </c>
      <c r="C1115" s="7">
        <v>5.6470000000000002</v>
      </c>
      <c r="D1115" s="7">
        <v>5.6978</v>
      </c>
      <c r="E1115" s="7">
        <v>5.8026999999999997</v>
      </c>
      <c r="F1115" s="7">
        <v>5.9596999999999998</v>
      </c>
      <c r="G1115" s="7">
        <v>6.1147999999999998</v>
      </c>
      <c r="H1115" s="7">
        <v>6.2685000000000004</v>
      </c>
      <c r="I1115" s="7">
        <v>6.8727999999999998</v>
      </c>
      <c r="J1115" s="7">
        <v>7.4603000000000002</v>
      </c>
      <c r="K1115" s="7">
        <v>8.0265000000000004</v>
      </c>
      <c r="L1115" s="7">
        <v>8.5643999999999991</v>
      </c>
      <c r="M1115" s="7">
        <v>9.6092999999999993</v>
      </c>
      <c r="N1115" s="7">
        <v>11.0175</v>
      </c>
      <c r="O1115" s="7">
        <v>13.195</v>
      </c>
      <c r="P1115" s="7">
        <v>14.9808</v>
      </c>
      <c r="Q1115" s="7">
        <v>17.936199999999999</v>
      </c>
    </row>
    <row r="1116" spans="1:17">
      <c r="A1116" s="5">
        <v>43082</v>
      </c>
      <c r="B1116" s="5" t="str">
        <f t="shared" si="17"/>
        <v>2017 q4</v>
      </c>
      <c r="C1116" s="7">
        <v>5.5670000000000002</v>
      </c>
      <c r="D1116" s="7">
        <v>5.6208</v>
      </c>
      <c r="E1116" s="7">
        <v>5.7320000000000002</v>
      </c>
      <c r="F1116" s="7">
        <v>5.8982999999999999</v>
      </c>
      <c r="G1116" s="7">
        <v>6.0625</v>
      </c>
      <c r="H1116" s="7">
        <v>6.2251000000000003</v>
      </c>
      <c r="I1116" s="7">
        <v>6.8643000000000001</v>
      </c>
      <c r="J1116" s="7">
        <v>7.4772999999999996</v>
      </c>
      <c r="K1116" s="7">
        <v>8.0785999999999998</v>
      </c>
      <c r="L1116" s="7">
        <v>8.6472999999999995</v>
      </c>
      <c r="M1116" s="7">
        <v>9.7448999999999995</v>
      </c>
      <c r="N1116" s="7">
        <v>11.145300000000001</v>
      </c>
      <c r="O1116" s="7">
        <v>13.309200000000001</v>
      </c>
      <c r="P1116" s="7">
        <v>15.326599999999999</v>
      </c>
      <c r="Q1116" s="7">
        <v>18.3476</v>
      </c>
    </row>
    <row r="1117" spans="1:17">
      <c r="A1117" s="5">
        <v>43083</v>
      </c>
      <c r="B1117" s="5" t="str">
        <f t="shared" si="17"/>
        <v>2017 q4</v>
      </c>
      <c r="C1117" s="7">
        <v>5.5972</v>
      </c>
      <c r="D1117" s="7">
        <v>5.6486999999999998</v>
      </c>
      <c r="E1117" s="7">
        <v>5.7549999999999999</v>
      </c>
      <c r="F1117" s="7">
        <v>5.9139999999999997</v>
      </c>
      <c r="G1117" s="7">
        <v>6.0712999999999999</v>
      </c>
      <c r="H1117" s="7">
        <v>6.2271999999999998</v>
      </c>
      <c r="I1117" s="7">
        <v>6.8407999999999998</v>
      </c>
      <c r="J1117" s="7">
        <v>7.4317000000000002</v>
      </c>
      <c r="K1117" s="7">
        <v>8.0122999999999998</v>
      </c>
      <c r="L1117" s="7">
        <v>8.5640999999999998</v>
      </c>
      <c r="M1117" s="7">
        <v>9.6328999999999994</v>
      </c>
      <c r="N1117" s="7">
        <v>11.08</v>
      </c>
      <c r="O1117" s="7">
        <v>13.325799999999999</v>
      </c>
      <c r="P1117" s="7">
        <v>15.1836</v>
      </c>
      <c r="Q1117" s="7">
        <v>18.283200000000001</v>
      </c>
    </row>
    <row r="1118" spans="1:17">
      <c r="A1118" s="5">
        <v>43084</v>
      </c>
      <c r="B1118" s="5" t="str">
        <f t="shared" si="17"/>
        <v>2017 q4</v>
      </c>
      <c r="C1118" s="7">
        <v>5.5872999999999999</v>
      </c>
      <c r="D1118" s="7">
        <v>5.6395999999999997</v>
      </c>
      <c r="E1118" s="7">
        <v>5.7476000000000003</v>
      </c>
      <c r="F1118" s="7">
        <v>5.9090999999999996</v>
      </c>
      <c r="G1118" s="7">
        <v>6.0686</v>
      </c>
      <c r="H1118" s="7">
        <v>6.2266000000000004</v>
      </c>
      <c r="I1118" s="7">
        <v>6.8475999999999999</v>
      </c>
      <c r="J1118" s="7">
        <v>7.4435000000000002</v>
      </c>
      <c r="K1118" s="7">
        <v>8.0283999999999995</v>
      </c>
      <c r="L1118" s="7">
        <v>8.5815999999999999</v>
      </c>
      <c r="M1118" s="7">
        <v>9.6501999999999999</v>
      </c>
      <c r="N1118" s="7">
        <v>11.015700000000001</v>
      </c>
      <c r="O1118" s="7">
        <v>13.1289</v>
      </c>
      <c r="P1118" s="7">
        <v>15.1</v>
      </c>
      <c r="Q1118" s="7">
        <v>18.0655</v>
      </c>
    </row>
    <row r="1119" spans="1:17">
      <c r="A1119" s="5">
        <v>43087</v>
      </c>
      <c r="B1119" s="5" t="str">
        <f t="shared" si="17"/>
        <v>2017 q4</v>
      </c>
      <c r="C1119" s="7">
        <v>5.5858999999999996</v>
      </c>
      <c r="D1119" s="7">
        <v>5.6382000000000003</v>
      </c>
      <c r="E1119" s="7">
        <v>5.7460000000000004</v>
      </c>
      <c r="F1119" s="7">
        <v>5.9074999999999998</v>
      </c>
      <c r="G1119" s="7">
        <v>6.0670000000000002</v>
      </c>
      <c r="H1119" s="7">
        <v>6.2252999999999998</v>
      </c>
      <c r="I1119" s="7">
        <v>6.8480999999999996</v>
      </c>
      <c r="J1119" s="7">
        <v>7.4477000000000002</v>
      </c>
      <c r="K1119" s="7">
        <v>8.0373000000000001</v>
      </c>
      <c r="L1119" s="7">
        <v>8.5974000000000004</v>
      </c>
      <c r="M1119" s="7">
        <v>9.6828000000000003</v>
      </c>
      <c r="N1119" s="7">
        <v>11.086399999999999</v>
      </c>
      <c r="O1119" s="7">
        <v>13.2729</v>
      </c>
      <c r="P1119" s="7">
        <v>15.321400000000001</v>
      </c>
      <c r="Q1119" s="7">
        <v>18.472300000000001</v>
      </c>
    </row>
    <row r="1120" spans="1:17">
      <c r="A1120" s="5">
        <v>43088</v>
      </c>
      <c r="B1120" s="5" t="str">
        <f t="shared" si="17"/>
        <v>2017 q4</v>
      </c>
      <c r="C1120" s="7">
        <v>5.5610999999999997</v>
      </c>
      <c r="D1120" s="7">
        <v>5.6130000000000004</v>
      </c>
      <c r="E1120" s="7">
        <v>5.7201000000000004</v>
      </c>
      <c r="F1120" s="7">
        <v>5.8804999999999996</v>
      </c>
      <c r="G1120" s="7">
        <v>6.0389999999999997</v>
      </c>
      <c r="H1120" s="7">
        <v>6.1963999999999997</v>
      </c>
      <c r="I1120" s="7">
        <v>6.8156999999999996</v>
      </c>
      <c r="J1120" s="7">
        <v>7.4180999999999999</v>
      </c>
      <c r="K1120" s="7">
        <v>8.0030000000000001</v>
      </c>
      <c r="L1120" s="7">
        <v>8.5580999999999996</v>
      </c>
      <c r="M1120" s="7">
        <v>9.6417000000000002</v>
      </c>
      <c r="N1120" s="7">
        <v>11.047499999999999</v>
      </c>
      <c r="O1120" s="7">
        <v>13.242599999999999</v>
      </c>
      <c r="P1120" s="7">
        <v>15.3012</v>
      </c>
      <c r="Q1120" s="7">
        <v>18.491299999999999</v>
      </c>
    </row>
    <row r="1121" spans="1:17">
      <c r="A1121" s="5">
        <v>43089</v>
      </c>
      <c r="B1121" s="5" t="str">
        <f t="shared" si="17"/>
        <v>2017 q4</v>
      </c>
      <c r="C1121" s="7">
        <v>5.5180999999999996</v>
      </c>
      <c r="D1121" s="7">
        <v>5.5773999999999999</v>
      </c>
      <c r="E1121" s="7">
        <v>5.6997</v>
      </c>
      <c r="F1121" s="7">
        <v>5.8822000000000001</v>
      </c>
      <c r="G1121" s="7">
        <v>6.0609999999999999</v>
      </c>
      <c r="H1121" s="7">
        <v>6.2373000000000003</v>
      </c>
      <c r="I1121" s="7">
        <v>6.9222999999999999</v>
      </c>
      <c r="J1121" s="7">
        <v>7.5758000000000001</v>
      </c>
      <c r="K1121" s="7">
        <v>8.1914999999999996</v>
      </c>
      <c r="L1121" s="7">
        <v>8.7551000000000005</v>
      </c>
      <c r="M1121" s="7">
        <v>9.8346999999999998</v>
      </c>
      <c r="N1121" s="7">
        <v>11.111599999999999</v>
      </c>
      <c r="O1121" s="7">
        <v>13.0105</v>
      </c>
      <c r="P1121" s="7">
        <v>14.738899999999999</v>
      </c>
      <c r="Q1121" s="7">
        <v>17.040199999999999</v>
      </c>
    </row>
    <row r="1122" spans="1:17">
      <c r="A1122" s="5">
        <v>43090</v>
      </c>
      <c r="B1122" s="5" t="str">
        <f t="shared" si="17"/>
        <v>2017 q4</v>
      </c>
      <c r="C1122" s="7">
        <v>5.4795999999999996</v>
      </c>
      <c r="D1122" s="7">
        <v>5.5430999999999999</v>
      </c>
      <c r="E1122" s="7">
        <v>5.6741999999999999</v>
      </c>
      <c r="F1122" s="7">
        <v>5.8696000000000002</v>
      </c>
      <c r="G1122" s="7">
        <v>6.0598999999999998</v>
      </c>
      <c r="H1122" s="7">
        <v>6.2470999999999997</v>
      </c>
      <c r="I1122" s="7">
        <v>6.9691000000000001</v>
      </c>
      <c r="J1122" s="7">
        <v>7.6501999999999999</v>
      </c>
      <c r="K1122" s="7">
        <v>8.2828999999999997</v>
      </c>
      <c r="L1122" s="7">
        <v>8.8505000000000003</v>
      </c>
      <c r="M1122" s="7">
        <v>9.9270999999999994</v>
      </c>
      <c r="N1122" s="7">
        <v>11.142099999999999</v>
      </c>
      <c r="O1122" s="7">
        <v>12.900600000000001</v>
      </c>
      <c r="P1122" s="7">
        <v>14.478</v>
      </c>
      <c r="Q1122" s="7">
        <v>16.4102</v>
      </c>
    </row>
    <row r="1123" spans="1:17">
      <c r="A1123" s="5">
        <v>43091</v>
      </c>
      <c r="B1123" s="5" t="str">
        <f t="shared" si="17"/>
        <v>2017 q4</v>
      </c>
      <c r="C1123" s="7">
        <v>5.5589000000000004</v>
      </c>
      <c r="D1123" s="7">
        <v>5.6123000000000003</v>
      </c>
      <c r="E1123" s="7">
        <v>5.7224000000000004</v>
      </c>
      <c r="F1123" s="7">
        <v>5.8871000000000002</v>
      </c>
      <c r="G1123" s="7">
        <v>6.0496999999999996</v>
      </c>
      <c r="H1123" s="7">
        <v>6.2110000000000003</v>
      </c>
      <c r="I1123" s="7">
        <v>6.8451000000000004</v>
      </c>
      <c r="J1123" s="7">
        <v>7.4539</v>
      </c>
      <c r="K1123" s="7">
        <v>8.0524000000000004</v>
      </c>
      <c r="L1123" s="7">
        <v>8.6183999999999994</v>
      </c>
      <c r="M1123" s="7">
        <v>9.7148000000000003</v>
      </c>
      <c r="N1123" s="7">
        <v>11.119300000000001</v>
      </c>
      <c r="O1123" s="7">
        <v>13.300700000000001</v>
      </c>
      <c r="P1123" s="7">
        <v>15.335900000000001</v>
      </c>
      <c r="Q1123" s="7">
        <v>18.4224</v>
      </c>
    </row>
    <row r="1124" spans="1:17">
      <c r="A1124" s="5">
        <v>43094</v>
      </c>
      <c r="B1124" s="5" t="str">
        <f t="shared" si="17"/>
        <v>2017 q4</v>
      </c>
      <c r="C1124" s="7">
        <v>5.5662000000000003</v>
      </c>
      <c r="D1124" s="7">
        <v>5.6191000000000004</v>
      </c>
      <c r="E1124" s="7">
        <v>5.7285000000000004</v>
      </c>
      <c r="F1124" s="7">
        <v>5.8921000000000001</v>
      </c>
      <c r="G1124" s="7">
        <v>6.0536000000000003</v>
      </c>
      <c r="H1124" s="7">
        <v>6.2140000000000004</v>
      </c>
      <c r="I1124" s="7">
        <v>6.8444000000000003</v>
      </c>
      <c r="J1124" s="7">
        <v>7.4504000000000001</v>
      </c>
      <c r="K1124" s="7">
        <v>8.0463000000000005</v>
      </c>
      <c r="L1124" s="7">
        <v>8.6106999999999996</v>
      </c>
      <c r="M1124" s="7">
        <v>9.7049000000000003</v>
      </c>
      <c r="N1124" s="7">
        <v>11.111700000000001</v>
      </c>
      <c r="O1124" s="7">
        <v>13.3012</v>
      </c>
      <c r="P1124" s="7">
        <v>15.346500000000001</v>
      </c>
      <c r="Q1124" s="7">
        <v>18.470099999999999</v>
      </c>
    </row>
    <row r="1125" spans="1:17">
      <c r="A1125" s="5">
        <v>43095</v>
      </c>
      <c r="B1125" s="5" t="str">
        <f t="shared" si="17"/>
        <v>2017 q4</v>
      </c>
      <c r="C1125" s="7">
        <v>5.6641000000000004</v>
      </c>
      <c r="D1125" s="7">
        <v>5.7104999999999997</v>
      </c>
      <c r="E1125" s="7">
        <v>5.8061999999999996</v>
      </c>
      <c r="F1125" s="7">
        <v>5.9494999999999996</v>
      </c>
      <c r="G1125" s="7">
        <v>6.0918000000000001</v>
      </c>
      <c r="H1125" s="7">
        <v>6.2333999999999996</v>
      </c>
      <c r="I1125" s="7">
        <v>6.7937000000000003</v>
      </c>
      <c r="J1125" s="7">
        <v>7.3406000000000002</v>
      </c>
      <c r="K1125" s="7">
        <v>7.8819999999999997</v>
      </c>
      <c r="L1125" s="7">
        <v>8.4050999999999991</v>
      </c>
      <c r="M1125" s="7">
        <v>9.4322999999999997</v>
      </c>
      <c r="N1125" s="7">
        <v>10.907999999999999</v>
      </c>
      <c r="O1125" s="7">
        <v>13.0984</v>
      </c>
      <c r="P1125" s="7">
        <v>15.200900000000001</v>
      </c>
      <c r="Q1125" s="7">
        <v>18.822199999999999</v>
      </c>
    </row>
    <row r="1126" spans="1:17">
      <c r="A1126" s="5">
        <v>43096</v>
      </c>
      <c r="B1126" s="5" t="str">
        <f t="shared" si="17"/>
        <v>2017 q4</v>
      </c>
      <c r="C1126" s="7">
        <v>5.6428000000000003</v>
      </c>
      <c r="D1126" s="7">
        <v>5.6905999999999999</v>
      </c>
      <c r="E1126" s="7">
        <v>5.7892999999999999</v>
      </c>
      <c r="F1126" s="7">
        <v>5.9368999999999996</v>
      </c>
      <c r="G1126" s="7">
        <v>6.0834000000000001</v>
      </c>
      <c r="H1126" s="7">
        <v>6.2293000000000003</v>
      </c>
      <c r="I1126" s="7">
        <v>6.8063000000000002</v>
      </c>
      <c r="J1126" s="7">
        <v>7.3689</v>
      </c>
      <c r="K1126" s="7">
        <v>7.9257999999999997</v>
      </c>
      <c r="L1126" s="7">
        <v>8.4702000000000002</v>
      </c>
      <c r="M1126" s="7">
        <v>9.5248000000000008</v>
      </c>
      <c r="N1126" s="7">
        <v>11.031599999999999</v>
      </c>
      <c r="O1126" s="7">
        <v>13.270300000000001</v>
      </c>
      <c r="P1126" s="7">
        <v>15.416399999999999</v>
      </c>
      <c r="Q1126" s="7">
        <v>19.095700000000001</v>
      </c>
    </row>
    <row r="1127" spans="1:17">
      <c r="A1127" s="5">
        <v>43097</v>
      </c>
      <c r="B1127" s="5" t="str">
        <f t="shared" si="17"/>
        <v>2017 q4</v>
      </c>
      <c r="C1127" s="7">
        <v>5.6383000000000001</v>
      </c>
      <c r="D1127" s="7">
        <v>5.6863000000000001</v>
      </c>
      <c r="E1127" s="7">
        <v>5.7851999999999997</v>
      </c>
      <c r="F1127" s="7">
        <v>5.9333</v>
      </c>
      <c r="G1127" s="7">
        <v>6.0803000000000003</v>
      </c>
      <c r="H1127" s="7">
        <v>6.2266000000000004</v>
      </c>
      <c r="I1127" s="7">
        <v>6.8052999999999999</v>
      </c>
      <c r="J1127" s="7">
        <v>7.3695000000000004</v>
      </c>
      <c r="K1127" s="7">
        <v>7.9279999999999999</v>
      </c>
      <c r="L1127" s="7">
        <v>8.4669000000000008</v>
      </c>
      <c r="M1127" s="7">
        <v>9.5246999999999993</v>
      </c>
      <c r="N1127" s="7">
        <v>11.045199999999999</v>
      </c>
      <c r="O1127" s="7">
        <v>13.360300000000001</v>
      </c>
      <c r="P1127" s="7">
        <v>15.4359</v>
      </c>
      <c r="Q1127" s="7">
        <v>19.121300000000002</v>
      </c>
    </row>
    <row r="1128" spans="1:17">
      <c r="A1128" s="5">
        <v>43098</v>
      </c>
      <c r="B1128" s="5" t="str">
        <f t="shared" si="17"/>
        <v>2017 q4</v>
      </c>
      <c r="C1128" s="7">
        <v>5.5811999999999999</v>
      </c>
      <c r="D1128" s="7">
        <v>5.6345000000000001</v>
      </c>
      <c r="E1128" s="7">
        <v>5.7446000000000002</v>
      </c>
      <c r="F1128" s="7">
        <v>5.9092000000000002</v>
      </c>
      <c r="G1128" s="7">
        <v>6.0716999999999999</v>
      </c>
      <c r="H1128" s="7">
        <v>6.2331000000000003</v>
      </c>
      <c r="I1128" s="7">
        <v>6.8677999999999999</v>
      </c>
      <c r="J1128" s="7">
        <v>7.4779999999999998</v>
      </c>
      <c r="K1128" s="7">
        <v>8.0786999999999995</v>
      </c>
      <c r="L1128" s="7">
        <v>8.6471999999999998</v>
      </c>
      <c r="M1128" s="7">
        <v>9.7515000000000001</v>
      </c>
      <c r="N1128" s="7">
        <v>11.1722</v>
      </c>
      <c r="O1128" s="7">
        <v>13.388400000000001</v>
      </c>
      <c r="P1128" s="7">
        <v>15.4581</v>
      </c>
      <c r="Q1128" s="7">
        <v>18.632899999999999</v>
      </c>
    </row>
    <row r="1129" spans="1:17">
      <c r="A1129" s="5">
        <v>43108</v>
      </c>
      <c r="B1129" s="5" t="str">
        <f t="shared" si="17"/>
        <v>2018 q1</v>
      </c>
      <c r="C1129" s="7">
        <v>5.6540999999999997</v>
      </c>
      <c r="D1129" s="7">
        <v>5.7016999999999998</v>
      </c>
      <c r="E1129" s="7">
        <v>5.7999000000000001</v>
      </c>
      <c r="F1129" s="7">
        <v>5.9470000000000001</v>
      </c>
      <c r="G1129" s="7">
        <v>6.0928000000000004</v>
      </c>
      <c r="H1129" s="7">
        <v>6.2380000000000004</v>
      </c>
      <c r="I1129" s="7">
        <v>6.8125</v>
      </c>
      <c r="J1129" s="7">
        <v>7.3726000000000003</v>
      </c>
      <c r="K1129" s="7">
        <v>7.9272999999999998</v>
      </c>
      <c r="L1129" s="7">
        <v>8.4624000000000006</v>
      </c>
      <c r="M1129" s="7">
        <v>9.5131999999999994</v>
      </c>
      <c r="N1129" s="7">
        <v>11.0204</v>
      </c>
      <c r="O1129" s="7">
        <v>13.252000000000001</v>
      </c>
      <c r="P1129" s="7">
        <v>15.3911</v>
      </c>
      <c r="Q1129" s="7">
        <v>19.062100000000001</v>
      </c>
    </row>
    <row r="1130" spans="1:17">
      <c r="A1130" s="5">
        <v>43109</v>
      </c>
      <c r="B1130" s="5" t="str">
        <f t="shared" si="17"/>
        <v>2018 q1</v>
      </c>
      <c r="C1130" s="7">
        <v>5.6835000000000004</v>
      </c>
      <c r="D1130" s="7">
        <v>5.7309000000000001</v>
      </c>
      <c r="E1130" s="7">
        <v>5.8287000000000004</v>
      </c>
      <c r="F1130" s="7">
        <v>5.9748000000000001</v>
      </c>
      <c r="G1130" s="7">
        <v>6.1204999999999998</v>
      </c>
      <c r="H1130" s="7">
        <v>6.2648999999999999</v>
      </c>
      <c r="I1130" s="7">
        <v>6.8362999999999996</v>
      </c>
      <c r="J1130" s="7">
        <v>7.3936999999999999</v>
      </c>
      <c r="K1130" s="7">
        <v>7.9459999999999997</v>
      </c>
      <c r="L1130" s="7">
        <v>8.4711999999999996</v>
      </c>
      <c r="M1130" s="7">
        <v>9.4977999999999998</v>
      </c>
      <c r="N1130" s="7">
        <v>11.0244</v>
      </c>
      <c r="O1130" s="7">
        <v>13.248900000000001</v>
      </c>
      <c r="P1130" s="7">
        <v>15.3794</v>
      </c>
      <c r="Q1130" s="7">
        <v>19.041899999999998</v>
      </c>
    </row>
    <row r="1131" spans="1:17">
      <c r="A1131" s="5">
        <v>43110</v>
      </c>
      <c r="B1131" s="5" t="str">
        <f t="shared" si="17"/>
        <v>2018 q1</v>
      </c>
      <c r="C1131" s="7">
        <v>5.6896000000000004</v>
      </c>
      <c r="D1131" s="7">
        <v>5.7366000000000001</v>
      </c>
      <c r="E1131" s="7">
        <v>5.8334000000000001</v>
      </c>
      <c r="F1131" s="7">
        <v>5.9782000000000002</v>
      </c>
      <c r="G1131" s="7">
        <v>6.1224999999999996</v>
      </c>
      <c r="H1131" s="7">
        <v>6.2656000000000001</v>
      </c>
      <c r="I1131" s="7">
        <v>6.8319000000000001</v>
      </c>
      <c r="J1131" s="7">
        <v>7.3842999999999996</v>
      </c>
      <c r="K1131" s="7">
        <v>7.9318999999999997</v>
      </c>
      <c r="L1131" s="7">
        <v>8.4527000000000001</v>
      </c>
      <c r="M1131" s="7">
        <v>9.4710000000000001</v>
      </c>
      <c r="N1131" s="7">
        <v>10.985300000000001</v>
      </c>
      <c r="O1131" s="7">
        <v>13.194900000000001</v>
      </c>
      <c r="P1131" s="7">
        <v>15.3118</v>
      </c>
      <c r="Q1131" s="7">
        <v>18.956499999999998</v>
      </c>
    </row>
    <row r="1132" spans="1:17">
      <c r="A1132" s="5">
        <v>43111</v>
      </c>
      <c r="B1132" s="5" t="str">
        <f t="shared" si="17"/>
        <v>2018 q1</v>
      </c>
      <c r="C1132" s="7">
        <v>5.7061000000000002</v>
      </c>
      <c r="D1132" s="7">
        <v>5.7526999999999999</v>
      </c>
      <c r="E1132" s="7">
        <v>5.8487999999999998</v>
      </c>
      <c r="F1132" s="7">
        <v>5.9924999999999997</v>
      </c>
      <c r="G1132" s="7">
        <v>6.1356999999999999</v>
      </c>
      <c r="H1132" s="7">
        <v>6.2777000000000003</v>
      </c>
      <c r="I1132" s="7">
        <v>6.8398000000000003</v>
      </c>
      <c r="J1132" s="7">
        <v>7.3882000000000003</v>
      </c>
      <c r="K1132" s="7">
        <v>7.9318</v>
      </c>
      <c r="L1132" s="7">
        <v>8.4489000000000001</v>
      </c>
      <c r="M1132" s="7">
        <v>9.4605999999999995</v>
      </c>
      <c r="N1132" s="7">
        <v>10.964700000000001</v>
      </c>
      <c r="O1132" s="7">
        <v>13.162000000000001</v>
      </c>
      <c r="P1132" s="7">
        <v>15.2675</v>
      </c>
      <c r="Q1132" s="7">
        <v>18.897099999999998</v>
      </c>
    </row>
    <row r="1133" spans="1:17">
      <c r="A1133" s="5">
        <v>43112</v>
      </c>
      <c r="B1133" s="5" t="str">
        <f t="shared" si="17"/>
        <v>2018 q1</v>
      </c>
      <c r="C1133" s="7">
        <v>5.6940999999999997</v>
      </c>
      <c r="D1133" s="7">
        <v>5.7412999999999998</v>
      </c>
      <c r="E1133" s="7">
        <v>5.8387000000000002</v>
      </c>
      <c r="F1133" s="7">
        <v>5.9843000000000002</v>
      </c>
      <c r="G1133" s="7">
        <v>6.1294000000000004</v>
      </c>
      <c r="H1133" s="7">
        <v>6.2732000000000001</v>
      </c>
      <c r="I1133" s="7">
        <v>6.8426</v>
      </c>
      <c r="J1133" s="7">
        <v>7.3978999999999999</v>
      </c>
      <c r="K1133" s="7">
        <v>7.9482999999999997</v>
      </c>
      <c r="L1133" s="7">
        <v>8.4713999999999992</v>
      </c>
      <c r="M1133" s="7">
        <v>9.4946999999999999</v>
      </c>
      <c r="N1133" s="7">
        <v>11.0159</v>
      </c>
      <c r="O1133" s="7">
        <v>13.234500000000001</v>
      </c>
      <c r="P1133" s="7">
        <v>15.359</v>
      </c>
      <c r="Q1133" s="7">
        <v>19.014299999999999</v>
      </c>
    </row>
    <row r="1134" spans="1:17">
      <c r="A1134" s="5">
        <v>43115</v>
      </c>
      <c r="B1134" s="5" t="str">
        <f t="shared" si="17"/>
        <v>2018 q1</v>
      </c>
      <c r="C1134" s="7">
        <v>5.6988000000000003</v>
      </c>
      <c r="D1134" s="7">
        <v>5.7458999999999998</v>
      </c>
      <c r="E1134" s="7">
        <v>5.8430999999999997</v>
      </c>
      <c r="F1134" s="7">
        <v>5.9882999999999997</v>
      </c>
      <c r="G1134" s="7">
        <v>6.133</v>
      </c>
      <c r="H1134" s="7">
        <v>6.2765000000000004</v>
      </c>
      <c r="I1134" s="7">
        <v>6.8445</v>
      </c>
      <c r="J1134" s="7">
        <v>7.3983999999999996</v>
      </c>
      <c r="K1134" s="7">
        <v>7.9476000000000004</v>
      </c>
      <c r="L1134" s="7">
        <v>8.4695999999999998</v>
      </c>
      <c r="M1134" s="7">
        <v>9.4907000000000004</v>
      </c>
      <c r="N1134" s="7">
        <v>11.0085</v>
      </c>
      <c r="O1134" s="7">
        <v>13.2232</v>
      </c>
      <c r="P1134" s="7">
        <v>15.343999999999999</v>
      </c>
      <c r="Q1134" s="7">
        <v>18.994700000000002</v>
      </c>
    </row>
    <row r="1135" spans="1:17">
      <c r="A1135" s="5">
        <v>43116</v>
      </c>
      <c r="B1135" s="5" t="str">
        <f t="shared" si="17"/>
        <v>2018 q1</v>
      </c>
      <c r="C1135" s="7">
        <v>5.7381000000000002</v>
      </c>
      <c r="D1135" s="7">
        <v>5.7853000000000003</v>
      </c>
      <c r="E1135" s="7">
        <v>5.8829000000000002</v>
      </c>
      <c r="F1135" s="7">
        <v>6.0285000000000002</v>
      </c>
      <c r="G1135" s="7">
        <v>6.1734999999999998</v>
      </c>
      <c r="H1135" s="7">
        <v>6.3186</v>
      </c>
      <c r="I1135" s="7">
        <v>6.8883999999999999</v>
      </c>
      <c r="J1135" s="7">
        <v>7.4489999999999998</v>
      </c>
      <c r="K1135" s="7">
        <v>7.9969999999999999</v>
      </c>
      <c r="L1135" s="7">
        <v>8.5192999999999994</v>
      </c>
      <c r="M1135" s="7">
        <v>9.5441000000000003</v>
      </c>
      <c r="N1135" s="7">
        <v>11.066800000000001</v>
      </c>
      <c r="O1135" s="7">
        <v>13.287800000000001</v>
      </c>
      <c r="P1135" s="7">
        <v>15.4137</v>
      </c>
      <c r="Q1135" s="7">
        <v>19.071300000000001</v>
      </c>
    </row>
    <row r="1136" spans="1:17">
      <c r="A1136" s="5">
        <v>43117</v>
      </c>
      <c r="B1136" s="5" t="str">
        <f t="shared" si="17"/>
        <v>2018 q1</v>
      </c>
      <c r="C1136" s="7">
        <v>5.7168999999999999</v>
      </c>
      <c r="D1136" s="7">
        <v>5.7622</v>
      </c>
      <c r="E1136" s="7">
        <v>5.8556999999999997</v>
      </c>
      <c r="F1136" s="7">
        <v>5.9950999999999999</v>
      </c>
      <c r="G1136" s="7">
        <v>6.1341000000000001</v>
      </c>
      <c r="H1136" s="7">
        <v>6.2729999999999997</v>
      </c>
      <c r="I1136" s="7">
        <v>6.8193999999999999</v>
      </c>
      <c r="J1136" s="7">
        <v>7.3531000000000004</v>
      </c>
      <c r="K1136" s="7">
        <v>7.8825000000000003</v>
      </c>
      <c r="L1136" s="7">
        <v>8.3996999999999993</v>
      </c>
      <c r="M1136" s="7">
        <v>9.3930000000000007</v>
      </c>
      <c r="N1136" s="7">
        <v>10.8447</v>
      </c>
      <c r="O1136" s="7">
        <v>13.0601</v>
      </c>
      <c r="P1136" s="7">
        <v>15.0573</v>
      </c>
      <c r="Q1136" s="7">
        <v>18.633099999999999</v>
      </c>
    </row>
    <row r="1137" spans="1:17">
      <c r="A1137" s="5">
        <v>43118</v>
      </c>
      <c r="B1137" s="5" t="str">
        <f t="shared" si="17"/>
        <v>2018 q1</v>
      </c>
      <c r="C1137" s="7">
        <v>5.7682000000000002</v>
      </c>
      <c r="D1137" s="7">
        <v>5.8136000000000001</v>
      </c>
      <c r="E1137" s="7">
        <v>5.9071999999999996</v>
      </c>
      <c r="F1137" s="7">
        <v>6.0468000000000002</v>
      </c>
      <c r="G1137" s="7">
        <v>6.1859999999999999</v>
      </c>
      <c r="H1137" s="7">
        <v>6.3251999999999997</v>
      </c>
      <c r="I1137" s="7">
        <v>6.8723999999999998</v>
      </c>
      <c r="J1137" s="7">
        <v>7.4111000000000002</v>
      </c>
      <c r="K1137" s="7">
        <v>7.9381000000000004</v>
      </c>
      <c r="L1137" s="7">
        <v>8.4480000000000004</v>
      </c>
      <c r="M1137" s="7">
        <v>9.4550999999999998</v>
      </c>
      <c r="N1137" s="7">
        <v>10.902799999999999</v>
      </c>
      <c r="O1137" s="7">
        <v>13.1203</v>
      </c>
      <c r="P1137" s="7">
        <v>15.1187</v>
      </c>
      <c r="Q1137" s="7">
        <v>18.695900000000002</v>
      </c>
    </row>
    <row r="1138" spans="1:17">
      <c r="A1138" s="5">
        <v>43119</v>
      </c>
      <c r="B1138" s="5" t="str">
        <f t="shared" si="17"/>
        <v>2018 q1</v>
      </c>
      <c r="C1138" s="7">
        <v>5.7237</v>
      </c>
      <c r="D1138" s="7">
        <v>5.7697000000000003</v>
      </c>
      <c r="E1138" s="7">
        <v>5.8647999999999998</v>
      </c>
      <c r="F1138" s="7">
        <v>6.0065</v>
      </c>
      <c r="G1138" s="7">
        <v>6.1478999999999999</v>
      </c>
      <c r="H1138" s="7">
        <v>6.2891000000000004</v>
      </c>
      <c r="I1138" s="7">
        <v>6.8445</v>
      </c>
      <c r="J1138" s="7">
        <v>7.3867000000000003</v>
      </c>
      <c r="K1138" s="7">
        <v>7.9245000000000001</v>
      </c>
      <c r="L1138" s="7">
        <v>8.4357000000000006</v>
      </c>
      <c r="M1138" s="7">
        <v>9.4374000000000002</v>
      </c>
      <c r="N1138" s="7">
        <v>10.9255</v>
      </c>
      <c r="O1138" s="7">
        <v>13.104900000000001</v>
      </c>
      <c r="P1138" s="7">
        <v>15.192500000000001</v>
      </c>
      <c r="Q1138" s="7">
        <v>18.800599999999999</v>
      </c>
    </row>
    <row r="1139" spans="1:17">
      <c r="A1139" s="5">
        <v>43122</v>
      </c>
      <c r="B1139" s="5" t="str">
        <f t="shared" si="17"/>
        <v>2018 q1</v>
      </c>
      <c r="C1139" s="7">
        <v>5.7660999999999998</v>
      </c>
      <c r="D1139" s="7">
        <v>5.8113000000000001</v>
      </c>
      <c r="E1139" s="7">
        <v>5.9044999999999996</v>
      </c>
      <c r="F1139" s="7">
        <v>6.0444000000000004</v>
      </c>
      <c r="G1139" s="7">
        <v>6.1844000000000001</v>
      </c>
      <c r="H1139" s="7">
        <v>6.3242000000000003</v>
      </c>
      <c r="I1139" s="7">
        <v>6.8739999999999997</v>
      </c>
      <c r="J1139" s="7">
        <v>7.4108999999999998</v>
      </c>
      <c r="K1139" s="7">
        <v>7.9436</v>
      </c>
      <c r="L1139" s="7">
        <v>8.4499999999999993</v>
      </c>
      <c r="M1139" s="7">
        <v>9.4427000000000003</v>
      </c>
      <c r="N1139" s="7">
        <v>10.9175</v>
      </c>
      <c r="O1139" s="7">
        <v>13.0802</v>
      </c>
      <c r="P1139" s="7">
        <v>15.1525</v>
      </c>
      <c r="Q1139" s="7">
        <v>18.7395</v>
      </c>
    </row>
    <row r="1140" spans="1:17">
      <c r="A1140" s="5">
        <v>43123</v>
      </c>
      <c r="B1140" s="5" t="str">
        <f t="shared" si="17"/>
        <v>2018 q1</v>
      </c>
      <c r="C1140" s="7">
        <v>5.7460000000000004</v>
      </c>
      <c r="D1140" s="7">
        <v>5.7933000000000003</v>
      </c>
      <c r="E1140" s="7">
        <v>5.8910999999999998</v>
      </c>
      <c r="F1140" s="7">
        <v>6.0374999999999996</v>
      </c>
      <c r="G1140" s="7">
        <v>6.1828000000000003</v>
      </c>
      <c r="H1140" s="7">
        <v>6.3278999999999996</v>
      </c>
      <c r="I1140" s="7">
        <v>6.8963999999999999</v>
      </c>
      <c r="J1140" s="7">
        <v>7.4531999999999998</v>
      </c>
      <c r="K1140" s="7">
        <v>7.9939999999999998</v>
      </c>
      <c r="L1140" s="7">
        <v>8.5023</v>
      </c>
      <c r="M1140" s="7">
        <v>9.4962</v>
      </c>
      <c r="N1140" s="7">
        <v>10.967700000000001</v>
      </c>
      <c r="O1140" s="7">
        <v>13.0412</v>
      </c>
      <c r="P1140" s="7">
        <v>15.0032</v>
      </c>
      <c r="Q1140" s="7">
        <v>18.247199999999999</v>
      </c>
    </row>
    <row r="1141" spans="1:17">
      <c r="A1141" s="5">
        <v>43124</v>
      </c>
      <c r="B1141" s="5" t="str">
        <f t="shared" si="17"/>
        <v>2018 q1</v>
      </c>
      <c r="C1141" s="7">
        <v>5.7202000000000002</v>
      </c>
      <c r="D1141" s="7">
        <v>5.7659000000000002</v>
      </c>
      <c r="E1141" s="7">
        <v>5.8602999999999996</v>
      </c>
      <c r="F1141" s="7">
        <v>6.0015999999999998</v>
      </c>
      <c r="G1141" s="7">
        <v>6.1421999999999999</v>
      </c>
      <c r="H1141" s="7">
        <v>6.2826000000000004</v>
      </c>
      <c r="I1141" s="7">
        <v>6.8353999999999999</v>
      </c>
      <c r="J1141" s="7">
        <v>7.3750999999999998</v>
      </c>
      <c r="K1141" s="7">
        <v>7.9108000000000001</v>
      </c>
      <c r="L1141" s="7">
        <v>8.4193999999999996</v>
      </c>
      <c r="M1141" s="7">
        <v>9.4172999999999991</v>
      </c>
      <c r="N1141" s="7">
        <v>10.898899999999999</v>
      </c>
      <c r="O1141" s="7">
        <v>13.0715</v>
      </c>
      <c r="P1141" s="7">
        <v>15.151899999999999</v>
      </c>
      <c r="Q1141" s="7">
        <v>18.752099999999999</v>
      </c>
    </row>
    <row r="1142" spans="1:17">
      <c r="A1142" s="5">
        <v>43125</v>
      </c>
      <c r="B1142" s="5" t="str">
        <f t="shared" si="17"/>
        <v>2018 q1</v>
      </c>
      <c r="C1142" s="7">
        <v>5.7393000000000001</v>
      </c>
      <c r="D1142" s="7">
        <v>5.7842000000000002</v>
      </c>
      <c r="E1142" s="7">
        <v>5.8768000000000002</v>
      </c>
      <c r="F1142" s="7">
        <v>6.0155000000000003</v>
      </c>
      <c r="G1142" s="7">
        <v>6.1535000000000002</v>
      </c>
      <c r="H1142" s="7">
        <v>6.2914000000000003</v>
      </c>
      <c r="I1142" s="7">
        <v>6.8342000000000001</v>
      </c>
      <c r="J1142" s="7">
        <v>7.3643000000000001</v>
      </c>
      <c r="K1142" s="7">
        <v>7.8906000000000001</v>
      </c>
      <c r="L1142" s="7">
        <v>8.3905999999999992</v>
      </c>
      <c r="M1142" s="7">
        <v>9.3719999999999999</v>
      </c>
      <c r="N1142" s="7">
        <v>10.8293</v>
      </c>
      <c r="O1142" s="7">
        <v>12.970800000000001</v>
      </c>
      <c r="P1142" s="7">
        <v>15.022600000000001</v>
      </c>
      <c r="Q1142" s="7">
        <v>18.582000000000001</v>
      </c>
    </row>
    <row r="1143" spans="1:17">
      <c r="A1143" s="5">
        <v>43126</v>
      </c>
      <c r="B1143" s="5" t="str">
        <f t="shared" si="17"/>
        <v>2018 q1</v>
      </c>
      <c r="C1143" s="7">
        <v>5.7308000000000003</v>
      </c>
      <c r="D1143" s="7">
        <v>5.7759999999999998</v>
      </c>
      <c r="E1143" s="7">
        <v>5.8692000000000002</v>
      </c>
      <c r="F1143" s="7">
        <v>6.0087000000000002</v>
      </c>
      <c r="G1143" s="7">
        <v>6.1475</v>
      </c>
      <c r="H1143" s="7">
        <v>6.2862</v>
      </c>
      <c r="I1143" s="7">
        <v>6.8322000000000003</v>
      </c>
      <c r="J1143" s="7">
        <v>7.3654000000000002</v>
      </c>
      <c r="K1143" s="7">
        <v>7.8948</v>
      </c>
      <c r="L1143" s="7">
        <v>8.4044000000000008</v>
      </c>
      <c r="M1143" s="7">
        <v>9.4099000000000004</v>
      </c>
      <c r="N1143" s="7">
        <v>10.8498</v>
      </c>
      <c r="O1143" s="7">
        <v>13.0023</v>
      </c>
      <c r="P1143" s="7">
        <v>15.0642</v>
      </c>
      <c r="Q1143" s="7">
        <v>18.639900000000001</v>
      </c>
    </row>
    <row r="1144" spans="1:17">
      <c r="A1144" s="5">
        <v>43129</v>
      </c>
      <c r="B1144" s="5" t="str">
        <f t="shared" si="17"/>
        <v>2018 q1</v>
      </c>
      <c r="C1144" s="7">
        <v>5.7358000000000002</v>
      </c>
      <c r="D1144" s="7">
        <v>5.7815000000000003</v>
      </c>
      <c r="E1144" s="7">
        <v>5.8756000000000004</v>
      </c>
      <c r="F1144" s="7">
        <v>6.0166000000000004</v>
      </c>
      <c r="G1144" s="7">
        <v>6.1566000000000001</v>
      </c>
      <c r="H1144" s="7">
        <v>6.2965</v>
      </c>
      <c r="I1144" s="7">
        <v>6.8463000000000003</v>
      </c>
      <c r="J1144" s="7">
        <v>7.3853999999999997</v>
      </c>
      <c r="K1144" s="7">
        <v>7.9131</v>
      </c>
      <c r="L1144" s="7">
        <v>8.4116999999999997</v>
      </c>
      <c r="M1144" s="7">
        <v>9.391</v>
      </c>
      <c r="N1144" s="7">
        <v>10.842599999999999</v>
      </c>
      <c r="O1144" s="7">
        <v>12.936999999999999</v>
      </c>
      <c r="P1144" s="7">
        <v>14.931699999999999</v>
      </c>
      <c r="Q1144" s="7">
        <v>18.319800000000001</v>
      </c>
    </row>
    <row r="1145" spans="1:17">
      <c r="A1145" s="5">
        <v>43130</v>
      </c>
      <c r="B1145" s="5" t="str">
        <f t="shared" si="17"/>
        <v>2018 q1</v>
      </c>
      <c r="C1145" s="7">
        <v>5.7309000000000001</v>
      </c>
      <c r="D1145" s="7">
        <v>5.7769000000000004</v>
      </c>
      <c r="E1145" s="7">
        <v>5.8719000000000001</v>
      </c>
      <c r="F1145" s="7">
        <v>6.0138999999999996</v>
      </c>
      <c r="G1145" s="7">
        <v>6.1548999999999996</v>
      </c>
      <c r="H1145" s="7">
        <v>6.2956000000000003</v>
      </c>
      <c r="I1145" s="7">
        <v>6.8459000000000003</v>
      </c>
      <c r="J1145" s="7">
        <v>7.3773999999999997</v>
      </c>
      <c r="K1145" s="7">
        <v>7.9034000000000004</v>
      </c>
      <c r="L1145" s="7">
        <v>8.3910999999999998</v>
      </c>
      <c r="M1145" s="7">
        <v>9.3414999999999999</v>
      </c>
      <c r="N1145" s="7">
        <v>10.745699999999999</v>
      </c>
      <c r="O1145" s="7">
        <v>12.6968</v>
      </c>
      <c r="P1145" s="7">
        <v>14.5336</v>
      </c>
      <c r="Q1145" s="7">
        <v>17.523700000000002</v>
      </c>
    </row>
    <row r="1146" spans="1:17">
      <c r="A1146" s="5">
        <v>43131</v>
      </c>
      <c r="B1146" s="5" t="str">
        <f t="shared" si="17"/>
        <v>2018 q1</v>
      </c>
      <c r="C1146" s="7">
        <v>5.7263999999999999</v>
      </c>
      <c r="D1146" s="7">
        <v>5.7717999999999998</v>
      </c>
      <c r="E1146" s="7">
        <v>5.8653000000000004</v>
      </c>
      <c r="F1146" s="7">
        <v>6.0053999999999998</v>
      </c>
      <c r="G1146" s="7">
        <v>6.1444999999999999</v>
      </c>
      <c r="H1146" s="7">
        <v>6.2835000000000001</v>
      </c>
      <c r="I1146" s="7">
        <v>6.8293999999999997</v>
      </c>
      <c r="J1146" s="7">
        <v>7.3601999999999999</v>
      </c>
      <c r="K1146" s="7">
        <v>7.8865999999999996</v>
      </c>
      <c r="L1146" s="7">
        <v>8.3818000000000001</v>
      </c>
      <c r="M1146" s="7">
        <v>9.3519000000000005</v>
      </c>
      <c r="N1146" s="7">
        <v>10.7887</v>
      </c>
      <c r="O1146" s="7">
        <v>12.856199999999999</v>
      </c>
      <c r="P1146" s="7">
        <v>14.8225</v>
      </c>
      <c r="Q1146" s="7">
        <v>18.151599999999998</v>
      </c>
    </row>
    <row r="1147" spans="1:17">
      <c r="A1147" s="5">
        <v>43132</v>
      </c>
      <c r="B1147" s="5" t="str">
        <f t="shared" si="17"/>
        <v>2018 q1</v>
      </c>
      <c r="C1147" s="7">
        <v>5.7346000000000004</v>
      </c>
      <c r="D1147" s="7">
        <v>5.7801</v>
      </c>
      <c r="E1147" s="7">
        <v>5.8738999999999999</v>
      </c>
      <c r="F1147" s="7">
        <v>6.0143000000000004</v>
      </c>
      <c r="G1147" s="7">
        <v>6.1538000000000004</v>
      </c>
      <c r="H1147" s="7">
        <v>6.2930000000000001</v>
      </c>
      <c r="I1147" s="7">
        <v>6.8396999999999997</v>
      </c>
      <c r="J1147" s="7">
        <v>7.3705999999999996</v>
      </c>
      <c r="K1147" s="7">
        <v>7.8970000000000002</v>
      </c>
      <c r="L1147" s="7">
        <v>8.3908000000000005</v>
      </c>
      <c r="M1147" s="7">
        <v>9.3575999999999997</v>
      </c>
      <c r="N1147" s="7">
        <v>10.7887</v>
      </c>
      <c r="O1147" s="7">
        <v>12.835900000000001</v>
      </c>
      <c r="P1147" s="7">
        <v>14.779</v>
      </c>
      <c r="Q1147" s="7">
        <v>18.046900000000001</v>
      </c>
    </row>
    <row r="1148" spans="1:17">
      <c r="A1148" s="5">
        <v>43133</v>
      </c>
      <c r="B1148" s="5" t="str">
        <f t="shared" si="17"/>
        <v>2018 q1</v>
      </c>
      <c r="C1148" s="7">
        <v>5.7428999999999997</v>
      </c>
      <c r="D1148" s="7">
        <v>5.7878999999999996</v>
      </c>
      <c r="E1148" s="7">
        <v>5.8806000000000003</v>
      </c>
      <c r="F1148" s="7">
        <v>6.0194000000000001</v>
      </c>
      <c r="G1148" s="7">
        <v>6.1574</v>
      </c>
      <c r="H1148" s="7">
        <v>6.2950999999999997</v>
      </c>
      <c r="I1148" s="7">
        <v>6.8362999999999996</v>
      </c>
      <c r="J1148" s="7">
        <v>7.3624999999999998</v>
      </c>
      <c r="K1148" s="7">
        <v>7.8845999999999998</v>
      </c>
      <c r="L1148" s="7">
        <v>8.3835999999999995</v>
      </c>
      <c r="M1148" s="7">
        <v>9.3668999999999993</v>
      </c>
      <c r="N1148" s="7">
        <v>10.7631</v>
      </c>
      <c r="O1148" s="7">
        <v>12.816000000000001</v>
      </c>
      <c r="P1148" s="7">
        <v>14.7684</v>
      </c>
      <c r="Q1148" s="7">
        <v>18.0778</v>
      </c>
    </row>
    <row r="1149" spans="1:17">
      <c r="A1149" s="5">
        <v>43136</v>
      </c>
      <c r="B1149" s="5" t="str">
        <f t="shared" si="17"/>
        <v>2018 q1</v>
      </c>
      <c r="C1149" s="7">
        <v>5.7083000000000004</v>
      </c>
      <c r="D1149" s="7">
        <v>5.7557</v>
      </c>
      <c r="E1149" s="7">
        <v>5.8536999999999999</v>
      </c>
      <c r="F1149" s="7">
        <v>5.9999000000000002</v>
      </c>
      <c r="G1149" s="7">
        <v>6.1448999999999998</v>
      </c>
      <c r="H1149" s="7">
        <v>6.2895000000000003</v>
      </c>
      <c r="I1149" s="7">
        <v>6.8524000000000003</v>
      </c>
      <c r="J1149" s="7">
        <v>7.3918999999999997</v>
      </c>
      <c r="K1149" s="7">
        <v>7.9249999999999998</v>
      </c>
      <c r="L1149" s="7">
        <v>8.4111999999999991</v>
      </c>
      <c r="M1149" s="7">
        <v>9.3545999999999996</v>
      </c>
      <c r="N1149" s="7">
        <v>10.743600000000001</v>
      </c>
      <c r="O1149" s="7">
        <v>12.607100000000001</v>
      </c>
      <c r="P1149" s="7">
        <v>14.3436</v>
      </c>
      <c r="Q1149" s="7">
        <v>17.065100000000001</v>
      </c>
    </row>
    <row r="1150" spans="1:17">
      <c r="A1150" s="5">
        <v>43137</v>
      </c>
      <c r="B1150" s="5" t="str">
        <f t="shared" si="17"/>
        <v>2018 q1</v>
      </c>
      <c r="C1150" s="7">
        <v>5.6883999999999997</v>
      </c>
      <c r="D1150" s="7">
        <v>5.7362000000000002</v>
      </c>
      <c r="E1150" s="7">
        <v>5.8350999999999997</v>
      </c>
      <c r="F1150" s="7">
        <v>5.9824999999999999</v>
      </c>
      <c r="G1150" s="7">
        <v>6.1284999999999998</v>
      </c>
      <c r="H1150" s="7">
        <v>6.2746000000000004</v>
      </c>
      <c r="I1150" s="7">
        <v>6.8407</v>
      </c>
      <c r="J1150" s="7">
        <v>7.3815999999999997</v>
      </c>
      <c r="K1150" s="7">
        <v>7.9157999999999999</v>
      </c>
      <c r="L1150" s="7">
        <v>8.3994999999999997</v>
      </c>
      <c r="M1150" s="7">
        <v>9.3370999999999995</v>
      </c>
      <c r="N1150" s="7">
        <v>10.7151</v>
      </c>
      <c r="O1150" s="7">
        <v>12.5396</v>
      </c>
      <c r="P1150" s="7">
        <v>14.2331</v>
      </c>
      <c r="Q1150" s="7">
        <v>16.852399999999999</v>
      </c>
    </row>
    <row r="1151" spans="1:17">
      <c r="A1151" s="5">
        <v>43138</v>
      </c>
      <c r="B1151" s="5" t="str">
        <f t="shared" si="17"/>
        <v>2018 q1</v>
      </c>
      <c r="C1151" s="7">
        <v>5.6688000000000001</v>
      </c>
      <c r="D1151" s="7">
        <v>5.7184999999999997</v>
      </c>
      <c r="E1151" s="7">
        <v>5.8211000000000004</v>
      </c>
      <c r="F1151" s="7">
        <v>5.9739000000000004</v>
      </c>
      <c r="G1151" s="7">
        <v>6.1247999999999996</v>
      </c>
      <c r="H1151" s="7">
        <v>6.2755999999999998</v>
      </c>
      <c r="I1151" s="7">
        <v>6.8543000000000003</v>
      </c>
      <c r="J1151" s="7">
        <v>7.3990999999999998</v>
      </c>
      <c r="K1151" s="7">
        <v>7.9351000000000003</v>
      </c>
      <c r="L1151" s="7">
        <v>8.4061000000000003</v>
      </c>
      <c r="M1151" s="7">
        <v>9.3102</v>
      </c>
      <c r="N1151" s="7">
        <v>10.6326</v>
      </c>
      <c r="O1151" s="7">
        <v>12.2773</v>
      </c>
      <c r="P1151" s="7">
        <v>13.7828</v>
      </c>
      <c r="Q1151" s="7">
        <v>15.98</v>
      </c>
    </row>
    <row r="1152" spans="1:17">
      <c r="A1152" s="5">
        <v>43139</v>
      </c>
      <c r="B1152" s="5" t="str">
        <f t="shared" si="17"/>
        <v>2018 q1</v>
      </c>
      <c r="C1152" s="7">
        <v>5.6938000000000004</v>
      </c>
      <c r="D1152" s="7">
        <v>5.742</v>
      </c>
      <c r="E1152" s="7">
        <v>5.8414000000000001</v>
      </c>
      <c r="F1152" s="7">
        <v>5.9894999999999996</v>
      </c>
      <c r="G1152" s="7">
        <v>6.1359000000000004</v>
      </c>
      <c r="H1152" s="7">
        <v>6.2823000000000002</v>
      </c>
      <c r="I1152" s="7">
        <v>6.8465999999999996</v>
      </c>
      <c r="J1152" s="7">
        <v>7.3811999999999998</v>
      </c>
      <c r="K1152" s="7">
        <v>7.9081000000000001</v>
      </c>
      <c r="L1152" s="7">
        <v>8.3770000000000007</v>
      </c>
      <c r="M1152" s="7">
        <v>9.2813999999999997</v>
      </c>
      <c r="N1152" s="7">
        <v>10.6068</v>
      </c>
      <c r="O1152" s="7">
        <v>12.304600000000001</v>
      </c>
      <c r="P1152" s="7">
        <v>13.8695</v>
      </c>
      <c r="Q1152" s="7">
        <v>16.224399999999999</v>
      </c>
    </row>
    <row r="1153" spans="1:17">
      <c r="A1153" s="5">
        <v>43140</v>
      </c>
      <c r="B1153" s="5" t="str">
        <f t="shared" si="17"/>
        <v>2018 q1</v>
      </c>
      <c r="C1153" s="7">
        <v>5.6745000000000001</v>
      </c>
      <c r="D1153" s="7">
        <v>5.7239000000000004</v>
      </c>
      <c r="E1153" s="7">
        <v>5.8259999999999996</v>
      </c>
      <c r="F1153" s="7">
        <v>5.9778000000000002</v>
      </c>
      <c r="G1153" s="7">
        <v>6.1279000000000003</v>
      </c>
      <c r="H1153" s="7">
        <v>6.2778</v>
      </c>
      <c r="I1153" s="7">
        <v>6.8536999999999999</v>
      </c>
      <c r="J1153" s="7">
        <v>7.4058000000000002</v>
      </c>
      <c r="K1153" s="7">
        <v>7.9329000000000001</v>
      </c>
      <c r="L1153" s="7">
        <v>8.3998000000000008</v>
      </c>
      <c r="M1153" s="7">
        <v>9.3026999999999997</v>
      </c>
      <c r="N1153" s="7">
        <v>10.6229</v>
      </c>
      <c r="O1153" s="7">
        <v>12.2721</v>
      </c>
      <c r="P1153" s="7">
        <v>13.782500000000001</v>
      </c>
      <c r="Q1153" s="7">
        <v>15.996499999999999</v>
      </c>
    </row>
    <row r="1154" spans="1:17">
      <c r="A1154" s="5">
        <v>43143</v>
      </c>
      <c r="B1154" s="5" t="str">
        <f t="shared" si="17"/>
        <v>2018 q1</v>
      </c>
      <c r="C1154" s="7">
        <v>5.6314000000000002</v>
      </c>
      <c r="D1154" s="7">
        <v>5.6828000000000003</v>
      </c>
      <c r="E1154" s="7">
        <v>5.7888999999999999</v>
      </c>
      <c r="F1154" s="7">
        <v>5.9466000000000001</v>
      </c>
      <c r="G1154" s="7">
        <v>6.1018999999999997</v>
      </c>
      <c r="H1154" s="7">
        <v>6.2571000000000003</v>
      </c>
      <c r="I1154" s="7">
        <v>6.8472999999999997</v>
      </c>
      <c r="J1154" s="7">
        <v>7.3955000000000002</v>
      </c>
      <c r="K1154" s="7">
        <v>7.9333</v>
      </c>
      <c r="L1154" s="7">
        <v>8.3925000000000001</v>
      </c>
      <c r="M1154" s="7">
        <v>9.2675000000000001</v>
      </c>
      <c r="N1154" s="7">
        <v>10.5406</v>
      </c>
      <c r="O1154" s="7">
        <v>12.0337</v>
      </c>
      <c r="P1154" s="7">
        <v>13.381399999999999</v>
      </c>
      <c r="Q1154" s="7">
        <v>15.2334</v>
      </c>
    </row>
    <row r="1155" spans="1:17">
      <c r="A1155" s="5">
        <v>43144</v>
      </c>
      <c r="B1155" s="5" t="str">
        <f t="shared" ref="B1155:B1218" si="18">YEAR(A1155)&amp;" q"&amp;ROUNDUP(MONTH(A1155)/3,0)</f>
        <v>2018 q1</v>
      </c>
      <c r="C1155" s="7">
        <v>5.6437999999999997</v>
      </c>
      <c r="D1155" s="7">
        <v>5.6958000000000002</v>
      </c>
      <c r="E1155" s="7">
        <v>5.8032000000000004</v>
      </c>
      <c r="F1155" s="7">
        <v>5.9633000000000003</v>
      </c>
      <c r="G1155" s="7">
        <v>6.1210000000000004</v>
      </c>
      <c r="H1155" s="7">
        <v>6.2760999999999996</v>
      </c>
      <c r="I1155" s="7">
        <v>6.8701999999999996</v>
      </c>
      <c r="J1155" s="7">
        <v>7.4189999999999996</v>
      </c>
      <c r="K1155" s="7">
        <v>7.9569999999999999</v>
      </c>
      <c r="L1155" s="7">
        <v>8.4110999999999994</v>
      </c>
      <c r="M1155" s="7">
        <v>9.2748000000000008</v>
      </c>
      <c r="N1155" s="7">
        <v>10.528600000000001</v>
      </c>
      <c r="O1155" s="7">
        <v>11.968400000000001</v>
      </c>
      <c r="P1155" s="7">
        <v>13.261100000000001</v>
      </c>
      <c r="Q1155" s="7">
        <v>15.000400000000001</v>
      </c>
    </row>
    <row r="1156" spans="1:17">
      <c r="A1156" s="5">
        <v>43145</v>
      </c>
      <c r="B1156" s="5" t="str">
        <f t="shared" si="18"/>
        <v>2018 q1</v>
      </c>
      <c r="C1156" s="7">
        <v>5.6528</v>
      </c>
      <c r="D1156" s="7">
        <v>5.7037000000000004</v>
      </c>
      <c r="E1156" s="7">
        <v>5.8087</v>
      </c>
      <c r="F1156" s="7">
        <v>5.9653</v>
      </c>
      <c r="G1156" s="7">
        <v>6.1196999999999999</v>
      </c>
      <c r="H1156" s="7">
        <v>6.2717000000000001</v>
      </c>
      <c r="I1156" s="7">
        <v>6.8559000000000001</v>
      </c>
      <c r="J1156" s="7">
        <v>7.3982000000000001</v>
      </c>
      <c r="K1156" s="7">
        <v>7.9306999999999999</v>
      </c>
      <c r="L1156" s="7">
        <v>8.3847000000000005</v>
      </c>
      <c r="M1156" s="7">
        <v>9.2516999999999996</v>
      </c>
      <c r="N1156" s="7">
        <v>10.512</v>
      </c>
      <c r="O1156" s="7">
        <v>11.993499999999999</v>
      </c>
      <c r="P1156" s="7">
        <v>13.329700000000001</v>
      </c>
      <c r="Q1156" s="7">
        <v>15.1698</v>
      </c>
    </row>
    <row r="1157" spans="1:17">
      <c r="A1157" s="5">
        <v>43146</v>
      </c>
      <c r="B1157" s="5" t="str">
        <f t="shared" si="18"/>
        <v>2018 q1</v>
      </c>
      <c r="C1157" s="7">
        <v>5.7222999999999997</v>
      </c>
      <c r="D1157" s="7">
        <v>5.7686000000000002</v>
      </c>
      <c r="E1157" s="7">
        <v>5.8642000000000003</v>
      </c>
      <c r="F1157" s="7">
        <v>6.0068999999999999</v>
      </c>
      <c r="G1157" s="7">
        <v>6.1481000000000003</v>
      </c>
      <c r="H1157" s="7">
        <v>6.2877000000000001</v>
      </c>
      <c r="I1157" s="7">
        <v>6.8289999999999997</v>
      </c>
      <c r="J1157" s="7">
        <v>7.3490000000000002</v>
      </c>
      <c r="K1157" s="7">
        <v>7.8470000000000004</v>
      </c>
      <c r="L1157" s="7">
        <v>8.32</v>
      </c>
      <c r="M1157" s="7">
        <v>9.1890000000000001</v>
      </c>
      <c r="N1157" s="7">
        <v>10.419</v>
      </c>
      <c r="O1157" s="7">
        <v>12.113200000000001</v>
      </c>
      <c r="P1157" s="7">
        <v>13.479200000000001</v>
      </c>
      <c r="Q1157" s="7">
        <v>15.6713</v>
      </c>
    </row>
    <row r="1158" spans="1:17">
      <c r="A1158" s="5">
        <v>43147</v>
      </c>
      <c r="B1158" s="5" t="str">
        <f t="shared" si="18"/>
        <v>2018 q1</v>
      </c>
      <c r="C1158" s="7">
        <v>5.6456999999999997</v>
      </c>
      <c r="D1158" s="7">
        <v>5.6980000000000004</v>
      </c>
      <c r="E1158" s="7">
        <v>5.8057999999999996</v>
      </c>
      <c r="F1158" s="7">
        <v>5.9664000000000001</v>
      </c>
      <c r="G1158" s="7">
        <v>6.1246999999999998</v>
      </c>
      <c r="H1158" s="7">
        <v>6.2805</v>
      </c>
      <c r="I1158" s="7">
        <v>6.8780000000000001</v>
      </c>
      <c r="J1158" s="7">
        <v>7.4306999999999999</v>
      </c>
      <c r="K1158" s="7">
        <v>7.9733000000000001</v>
      </c>
      <c r="L1158" s="7">
        <v>8.4321999999999999</v>
      </c>
      <c r="M1158" s="7">
        <v>9.3078000000000003</v>
      </c>
      <c r="N1158" s="7">
        <v>10.589600000000001</v>
      </c>
      <c r="O1158" s="7">
        <v>12.177899999999999</v>
      </c>
      <c r="P1158" s="7">
        <v>13.375999999999999</v>
      </c>
      <c r="Q1158" s="7">
        <v>15.1744</v>
      </c>
    </row>
    <row r="1159" spans="1:17">
      <c r="A1159" s="5">
        <v>43150</v>
      </c>
      <c r="B1159" s="5" t="str">
        <f t="shared" si="18"/>
        <v>2018 q1</v>
      </c>
      <c r="C1159" s="7">
        <v>5.6449999999999996</v>
      </c>
      <c r="D1159" s="7">
        <v>5.6962000000000002</v>
      </c>
      <c r="E1159" s="7">
        <v>5.8021000000000003</v>
      </c>
      <c r="F1159" s="7">
        <v>5.9598000000000004</v>
      </c>
      <c r="G1159" s="7">
        <v>6.1154000000000002</v>
      </c>
      <c r="H1159" s="7">
        <v>6.2686999999999999</v>
      </c>
      <c r="I1159" s="7">
        <v>6.8583999999999996</v>
      </c>
      <c r="J1159" s="7">
        <v>7.4069000000000003</v>
      </c>
      <c r="K1159" s="7">
        <v>7.9462000000000002</v>
      </c>
      <c r="L1159" s="7">
        <v>8.4070999999999998</v>
      </c>
      <c r="M1159" s="7">
        <v>9.2904</v>
      </c>
      <c r="N1159" s="7">
        <v>10.584899999999999</v>
      </c>
      <c r="O1159" s="7">
        <v>12.2211</v>
      </c>
      <c r="P1159" s="7">
        <v>13.4765</v>
      </c>
      <c r="Q1159" s="7">
        <v>15.3934</v>
      </c>
    </row>
    <row r="1160" spans="1:17">
      <c r="A1160" s="5">
        <v>43151</v>
      </c>
      <c r="B1160" s="5" t="str">
        <f t="shared" si="18"/>
        <v>2018 q1</v>
      </c>
      <c r="C1160" s="7">
        <v>5.6661999999999999</v>
      </c>
      <c r="D1160" s="7">
        <v>5.7153</v>
      </c>
      <c r="E1160" s="7">
        <v>5.8166000000000002</v>
      </c>
      <c r="F1160" s="7">
        <v>5.9676999999999998</v>
      </c>
      <c r="G1160" s="7">
        <v>6.1169000000000002</v>
      </c>
      <c r="H1160" s="7">
        <v>6.2641</v>
      </c>
      <c r="I1160" s="7">
        <v>6.8327999999999998</v>
      </c>
      <c r="J1160" s="7">
        <v>7.3654000000000002</v>
      </c>
      <c r="K1160" s="7">
        <v>7.8902000000000001</v>
      </c>
      <c r="L1160" s="7">
        <v>8.3445999999999998</v>
      </c>
      <c r="M1160" s="7">
        <v>9.2207000000000008</v>
      </c>
      <c r="N1160" s="7">
        <v>10.495900000000001</v>
      </c>
      <c r="O1160" s="7">
        <v>12.0603</v>
      </c>
      <c r="P1160" s="7">
        <v>13.4825</v>
      </c>
      <c r="Q1160" s="7">
        <v>15.527200000000001</v>
      </c>
    </row>
    <row r="1161" spans="1:17">
      <c r="A1161" s="5">
        <v>43152</v>
      </c>
      <c r="B1161" s="5" t="str">
        <f t="shared" si="18"/>
        <v>2018 q1</v>
      </c>
      <c r="C1161" s="7">
        <v>5.6538000000000004</v>
      </c>
      <c r="D1161" s="7">
        <v>5.7011000000000003</v>
      </c>
      <c r="E1161" s="7">
        <v>5.7988</v>
      </c>
      <c r="F1161" s="7">
        <v>5.9443000000000001</v>
      </c>
      <c r="G1161" s="7">
        <v>6.0883000000000003</v>
      </c>
      <c r="H1161" s="7">
        <v>6.2305999999999999</v>
      </c>
      <c r="I1161" s="7">
        <v>6.7820999999999998</v>
      </c>
      <c r="J1161" s="7">
        <v>7.3018999999999998</v>
      </c>
      <c r="K1161" s="7">
        <v>7.8150000000000004</v>
      </c>
      <c r="L1161" s="7">
        <v>8.2653999999999996</v>
      </c>
      <c r="M1161" s="7">
        <v>9.1373999999999995</v>
      </c>
      <c r="N1161" s="7">
        <v>10.4095</v>
      </c>
      <c r="O1161" s="7">
        <v>12.017099999999999</v>
      </c>
      <c r="P1161" s="7">
        <v>13.488899999999999</v>
      </c>
      <c r="Q1161" s="7">
        <v>15.6706</v>
      </c>
    </row>
    <row r="1162" spans="1:17">
      <c r="A1162" s="5">
        <v>43153</v>
      </c>
      <c r="B1162" s="5" t="str">
        <f t="shared" si="18"/>
        <v>2018 q1</v>
      </c>
      <c r="C1162" s="7">
        <v>5.6032000000000002</v>
      </c>
      <c r="D1162" s="7">
        <v>5.6516999999999999</v>
      </c>
      <c r="E1162" s="7">
        <v>5.7519</v>
      </c>
      <c r="F1162" s="7">
        <v>5.9012000000000002</v>
      </c>
      <c r="G1162" s="7">
        <v>6.0488999999999997</v>
      </c>
      <c r="H1162" s="7">
        <v>6.1947999999999999</v>
      </c>
      <c r="I1162" s="7">
        <v>6.7598000000000003</v>
      </c>
      <c r="J1162" s="7">
        <v>7.2915000000000001</v>
      </c>
      <c r="K1162" s="7">
        <v>7.8163</v>
      </c>
      <c r="L1162" s="7">
        <v>8.2752999999999997</v>
      </c>
      <c r="M1162" s="7">
        <v>9.1636000000000006</v>
      </c>
      <c r="N1162" s="7">
        <v>10.458500000000001</v>
      </c>
      <c r="O1162" s="7">
        <v>12.0844</v>
      </c>
      <c r="P1162" s="7">
        <v>13.5703</v>
      </c>
      <c r="Q1162" s="7">
        <v>15.7582</v>
      </c>
    </row>
    <row r="1163" spans="1:17">
      <c r="A1163" s="5">
        <v>43154</v>
      </c>
      <c r="B1163" s="5" t="str">
        <f t="shared" si="18"/>
        <v>2018 q1</v>
      </c>
      <c r="C1163" s="7">
        <v>5.6106999999999996</v>
      </c>
      <c r="D1163" s="7">
        <v>5.6597</v>
      </c>
      <c r="E1163" s="7">
        <v>5.7610000000000001</v>
      </c>
      <c r="F1163" s="7">
        <v>5.9118000000000004</v>
      </c>
      <c r="G1163" s="7">
        <v>6.0608000000000004</v>
      </c>
      <c r="H1163" s="7">
        <v>6.2080000000000002</v>
      </c>
      <c r="I1163" s="7">
        <v>6.7774999999999999</v>
      </c>
      <c r="J1163" s="7">
        <v>7.3221999999999996</v>
      </c>
      <c r="K1163" s="7">
        <v>7.8415999999999997</v>
      </c>
      <c r="L1163" s="7">
        <v>8.2979000000000003</v>
      </c>
      <c r="M1163" s="7">
        <v>9.1845999999999997</v>
      </c>
      <c r="N1163" s="7">
        <v>10.4757</v>
      </c>
      <c r="O1163" s="7">
        <v>12.079800000000001</v>
      </c>
      <c r="P1163" s="7">
        <v>13.541600000000001</v>
      </c>
      <c r="Q1163" s="7">
        <v>15.670500000000001</v>
      </c>
    </row>
    <row r="1164" spans="1:17">
      <c r="A1164" s="5">
        <v>43157</v>
      </c>
      <c r="B1164" s="5" t="str">
        <f t="shared" si="18"/>
        <v>2018 q1</v>
      </c>
      <c r="C1164" s="7">
        <v>5.6120000000000001</v>
      </c>
      <c r="D1164" s="7">
        <v>5.6608000000000001</v>
      </c>
      <c r="E1164" s="7">
        <v>5.7614999999999998</v>
      </c>
      <c r="F1164" s="7">
        <v>5.9115000000000002</v>
      </c>
      <c r="G1164" s="7">
        <v>6.0597000000000003</v>
      </c>
      <c r="H1164" s="7">
        <v>6.2061999999999999</v>
      </c>
      <c r="I1164" s="7">
        <v>6.7733999999999996</v>
      </c>
      <c r="J1164" s="7">
        <v>7.3163999999999998</v>
      </c>
      <c r="K1164" s="7">
        <v>7.8348000000000004</v>
      </c>
      <c r="L1164" s="7">
        <v>8.2913999999999994</v>
      </c>
      <c r="M1164" s="7">
        <v>9.1797000000000004</v>
      </c>
      <c r="N1164" s="7">
        <v>10.4734</v>
      </c>
      <c r="O1164" s="7">
        <v>12.0916</v>
      </c>
      <c r="P1164" s="7">
        <v>13.568300000000001</v>
      </c>
      <c r="Q1164" s="7">
        <v>15.733700000000001</v>
      </c>
    </row>
    <row r="1165" spans="1:17">
      <c r="A1165" s="5">
        <v>43158</v>
      </c>
      <c r="B1165" s="5" t="str">
        <f t="shared" si="18"/>
        <v>2018 q1</v>
      </c>
      <c r="C1165" s="7">
        <v>5.6596000000000002</v>
      </c>
      <c r="D1165" s="7">
        <v>5.7058999999999997</v>
      </c>
      <c r="E1165" s="7">
        <v>5.8014000000000001</v>
      </c>
      <c r="F1165" s="7">
        <v>5.9432</v>
      </c>
      <c r="G1165" s="7">
        <v>6.0842000000000001</v>
      </c>
      <c r="H1165" s="7">
        <v>6.2233999999999998</v>
      </c>
      <c r="I1165" s="7">
        <v>6.7668999999999997</v>
      </c>
      <c r="J1165" s="7">
        <v>7.2824999999999998</v>
      </c>
      <c r="K1165" s="7">
        <v>7.7929000000000004</v>
      </c>
      <c r="L1165" s="7">
        <v>8.2471999999999994</v>
      </c>
      <c r="M1165" s="7">
        <v>9.1327999999999996</v>
      </c>
      <c r="N1165" s="7">
        <v>10.4269</v>
      </c>
      <c r="O1165" s="7">
        <v>12.1213</v>
      </c>
      <c r="P1165" s="7">
        <v>13.6844</v>
      </c>
      <c r="Q1165" s="7">
        <v>16.086200000000002</v>
      </c>
    </row>
    <row r="1166" spans="1:17">
      <c r="A1166" s="5">
        <v>43159</v>
      </c>
      <c r="B1166" s="5" t="str">
        <f t="shared" si="18"/>
        <v>2018 q1</v>
      </c>
      <c r="C1166" s="7">
        <v>5.6550000000000002</v>
      </c>
      <c r="D1166" s="7">
        <v>5.7013999999999996</v>
      </c>
      <c r="E1166" s="7">
        <v>5.7971000000000004</v>
      </c>
      <c r="F1166" s="7">
        <v>5.9390999999999998</v>
      </c>
      <c r="G1166" s="7">
        <v>6.0804</v>
      </c>
      <c r="H1166" s="7">
        <v>6.2198000000000002</v>
      </c>
      <c r="I1166" s="7">
        <v>6.7640000000000002</v>
      </c>
      <c r="J1166" s="7">
        <v>7.2797999999999998</v>
      </c>
      <c r="K1166" s="7">
        <v>7.7903000000000002</v>
      </c>
      <c r="L1166" s="7">
        <v>8.2439</v>
      </c>
      <c r="M1166" s="7">
        <v>9.1280000000000001</v>
      </c>
      <c r="N1166" s="7">
        <v>10.4194</v>
      </c>
      <c r="O1166" s="7">
        <v>12.106299999999999</v>
      </c>
      <c r="P1166" s="7">
        <v>13.6615</v>
      </c>
      <c r="Q1166" s="7">
        <v>16.0474</v>
      </c>
    </row>
    <row r="1167" spans="1:17">
      <c r="A1167" s="5">
        <v>43160</v>
      </c>
      <c r="B1167" s="5" t="str">
        <f t="shared" si="18"/>
        <v>2018 q1</v>
      </c>
      <c r="C1167" s="7">
        <v>5.6580000000000004</v>
      </c>
      <c r="D1167" s="7">
        <v>5.7039999999999997</v>
      </c>
      <c r="E1167" s="7">
        <v>5.7990000000000004</v>
      </c>
      <c r="F1167" s="7">
        <v>5.94</v>
      </c>
      <c r="G1167" s="7">
        <v>6.0801999999999996</v>
      </c>
      <c r="H1167" s="7">
        <v>6.2187000000000001</v>
      </c>
      <c r="I1167" s="7">
        <v>6.7599</v>
      </c>
      <c r="J1167" s="7">
        <v>7.2740999999999998</v>
      </c>
      <c r="K1167" s="7">
        <v>7.7835000000000001</v>
      </c>
      <c r="L1167" s="7">
        <v>8.2380999999999993</v>
      </c>
      <c r="M1167" s="7">
        <v>9.1257999999999999</v>
      </c>
      <c r="N1167" s="7">
        <v>10.423299999999999</v>
      </c>
      <c r="O1167" s="7">
        <v>12.1335</v>
      </c>
      <c r="P1167" s="7">
        <v>13.7127</v>
      </c>
      <c r="Q1167" s="7">
        <v>16.151599999999998</v>
      </c>
    </row>
    <row r="1168" spans="1:17">
      <c r="A1168" s="5">
        <v>43161</v>
      </c>
      <c r="B1168" s="5" t="str">
        <f t="shared" si="18"/>
        <v>2018 q1</v>
      </c>
      <c r="C1168" s="7">
        <v>5.6637000000000004</v>
      </c>
      <c r="D1168" s="7">
        <v>5.7098000000000004</v>
      </c>
      <c r="E1168" s="7">
        <v>5.8048000000000002</v>
      </c>
      <c r="F1168" s="7">
        <v>5.9458000000000002</v>
      </c>
      <c r="G1168" s="7">
        <v>6.0861000000000001</v>
      </c>
      <c r="H1168" s="7">
        <v>6.2248000000000001</v>
      </c>
      <c r="I1168" s="7">
        <v>6.7666000000000004</v>
      </c>
      <c r="J1168" s="7">
        <v>7.2813999999999997</v>
      </c>
      <c r="K1168" s="7">
        <v>7.7915999999999999</v>
      </c>
      <c r="L1168" s="7">
        <v>8.2470999999999997</v>
      </c>
      <c r="M1168" s="7">
        <v>9.1371000000000002</v>
      </c>
      <c r="N1168" s="7">
        <v>10.4376</v>
      </c>
      <c r="O1168" s="7">
        <v>12.154500000000001</v>
      </c>
      <c r="P1168" s="7">
        <v>13.74</v>
      </c>
      <c r="Q1168" s="7">
        <v>16.191299999999998</v>
      </c>
    </row>
    <row r="1169" spans="1:17">
      <c r="A1169" s="5">
        <v>43164</v>
      </c>
      <c r="B1169" s="5" t="str">
        <f t="shared" si="18"/>
        <v>2018 q1</v>
      </c>
      <c r="C1169" s="7">
        <v>5.6638000000000002</v>
      </c>
      <c r="D1169" s="7">
        <v>5.7100999999999997</v>
      </c>
      <c r="E1169" s="7">
        <v>5.8057999999999996</v>
      </c>
      <c r="F1169" s="7">
        <v>5.9477000000000002</v>
      </c>
      <c r="G1169" s="7">
        <v>6.0888</v>
      </c>
      <c r="H1169" s="7">
        <v>6.2282000000000002</v>
      </c>
      <c r="I1169" s="7">
        <v>6.7727000000000004</v>
      </c>
      <c r="J1169" s="7">
        <v>7.2892999999999999</v>
      </c>
      <c r="K1169" s="7">
        <v>7.8010999999999999</v>
      </c>
      <c r="L1169" s="7">
        <v>8.2566000000000006</v>
      </c>
      <c r="M1169" s="7">
        <v>9.1463000000000001</v>
      </c>
      <c r="N1169" s="7">
        <v>10.445499999999999</v>
      </c>
      <c r="O1169" s="7">
        <v>12.152100000000001</v>
      </c>
      <c r="P1169" s="7">
        <v>13.725899999999999</v>
      </c>
      <c r="Q1169" s="7">
        <v>16.149100000000001</v>
      </c>
    </row>
    <row r="1170" spans="1:17">
      <c r="A1170" s="5">
        <v>43165</v>
      </c>
      <c r="B1170" s="5" t="str">
        <f t="shared" si="18"/>
        <v>2018 q1</v>
      </c>
      <c r="C1170" s="7">
        <v>5.5570000000000004</v>
      </c>
      <c r="D1170" s="7">
        <v>5.6067999999999998</v>
      </c>
      <c r="E1170" s="7">
        <v>5.7096</v>
      </c>
      <c r="F1170" s="7">
        <v>5.8631000000000002</v>
      </c>
      <c r="G1170" s="7">
        <v>6.0145</v>
      </c>
      <c r="H1170" s="7">
        <v>6.1658999999999997</v>
      </c>
      <c r="I1170" s="7">
        <v>6.7464000000000004</v>
      </c>
      <c r="J1170" s="7">
        <v>7.2892999999999999</v>
      </c>
      <c r="K1170" s="7">
        <v>7.8259999999999996</v>
      </c>
      <c r="L1170" s="7">
        <v>8.2874999999999996</v>
      </c>
      <c r="M1170" s="7">
        <v>9.1837999999999997</v>
      </c>
      <c r="N1170" s="7">
        <v>10.483700000000001</v>
      </c>
      <c r="O1170" s="7">
        <v>12.085800000000001</v>
      </c>
      <c r="P1170" s="7">
        <v>13.538500000000001</v>
      </c>
      <c r="Q1170" s="7">
        <v>15.6349</v>
      </c>
    </row>
    <row r="1171" spans="1:17">
      <c r="A1171" s="5">
        <v>43166</v>
      </c>
      <c r="B1171" s="5" t="str">
        <f t="shared" si="18"/>
        <v>2018 q1</v>
      </c>
      <c r="C1171" s="7">
        <v>5.5610999999999997</v>
      </c>
      <c r="D1171" s="7">
        <v>5.6104000000000003</v>
      </c>
      <c r="E1171" s="7">
        <v>5.7119999999999997</v>
      </c>
      <c r="F1171" s="7">
        <v>5.8636999999999997</v>
      </c>
      <c r="G1171" s="7">
        <v>6.0134999999999996</v>
      </c>
      <c r="H1171" s="7">
        <v>6.1632999999999996</v>
      </c>
      <c r="I1171" s="7">
        <v>6.7389999999999999</v>
      </c>
      <c r="J1171" s="7">
        <v>7.2792000000000003</v>
      </c>
      <c r="K1171" s="7">
        <v>7.8136000000000001</v>
      </c>
      <c r="L1171" s="7">
        <v>8.2766000000000002</v>
      </c>
      <c r="M1171" s="7">
        <v>9.1775000000000002</v>
      </c>
      <c r="N1171" s="7">
        <v>10.485799999999999</v>
      </c>
      <c r="O1171" s="7">
        <v>12.1234</v>
      </c>
      <c r="P1171" s="7">
        <v>13.613799999999999</v>
      </c>
      <c r="Q1171" s="7">
        <v>15.799200000000001</v>
      </c>
    </row>
    <row r="1172" spans="1:17">
      <c r="A1172" s="5">
        <v>43171</v>
      </c>
      <c r="B1172" s="5" t="str">
        <f t="shared" si="18"/>
        <v>2018 q1</v>
      </c>
      <c r="C1172" s="7">
        <v>5.5603999999999996</v>
      </c>
      <c r="D1172" s="7">
        <v>5.6096000000000004</v>
      </c>
      <c r="E1172" s="7">
        <v>5.7111999999999998</v>
      </c>
      <c r="F1172" s="7">
        <v>5.8628</v>
      </c>
      <c r="G1172" s="7">
        <v>6.0125000000000002</v>
      </c>
      <c r="H1172" s="7">
        <v>6.1622000000000003</v>
      </c>
      <c r="I1172" s="7">
        <v>6.7374000000000001</v>
      </c>
      <c r="J1172" s="7">
        <v>7.2770999999999999</v>
      </c>
      <c r="K1172" s="7">
        <v>7.8110999999999997</v>
      </c>
      <c r="L1172" s="7">
        <v>8.2733000000000008</v>
      </c>
      <c r="M1172" s="7">
        <v>9.1731999999999996</v>
      </c>
      <c r="N1172" s="7">
        <v>10.4795</v>
      </c>
      <c r="O1172" s="7">
        <v>12.1142</v>
      </c>
      <c r="P1172" s="7">
        <v>13.6013</v>
      </c>
      <c r="Q1172" s="7">
        <v>15.7812</v>
      </c>
    </row>
    <row r="1173" spans="1:17">
      <c r="A1173" s="5">
        <v>43172</v>
      </c>
      <c r="B1173" s="5" t="str">
        <f t="shared" si="18"/>
        <v>2018 q1</v>
      </c>
      <c r="C1173" s="7">
        <v>5.6360000000000001</v>
      </c>
      <c r="D1173" s="7">
        <v>5.6837999999999997</v>
      </c>
      <c r="E1173" s="7">
        <v>5.7824999999999998</v>
      </c>
      <c r="F1173" s="7">
        <v>5.9303999999999997</v>
      </c>
      <c r="G1173" s="7">
        <v>6.0758999999999999</v>
      </c>
      <c r="H1173" s="7">
        <v>6.2211999999999996</v>
      </c>
      <c r="I1173" s="7">
        <v>6.7805</v>
      </c>
      <c r="J1173" s="7">
        <v>7.3045999999999998</v>
      </c>
      <c r="K1173" s="7">
        <v>7.8236999999999997</v>
      </c>
      <c r="L1173" s="7">
        <v>8.2713999999999999</v>
      </c>
      <c r="M1173" s="7">
        <v>9.1448999999999998</v>
      </c>
      <c r="N1173" s="7">
        <v>10.4229</v>
      </c>
      <c r="O1173" s="7">
        <v>12.102</v>
      </c>
      <c r="P1173" s="7">
        <v>13.4306</v>
      </c>
      <c r="Q1173" s="7">
        <v>15.5341</v>
      </c>
    </row>
    <row r="1174" spans="1:17">
      <c r="A1174" s="5">
        <v>43173</v>
      </c>
      <c r="B1174" s="5" t="str">
        <f t="shared" si="18"/>
        <v>2018 q1</v>
      </c>
      <c r="C1174" s="7">
        <v>5.6395999999999997</v>
      </c>
      <c r="D1174" s="7">
        <v>5.6871</v>
      </c>
      <c r="E1174" s="7">
        <v>5.7851999999999997</v>
      </c>
      <c r="F1174" s="7">
        <v>5.9321000000000002</v>
      </c>
      <c r="G1174" s="7">
        <v>6.0766</v>
      </c>
      <c r="H1174" s="7">
        <v>6.2210000000000001</v>
      </c>
      <c r="I1174" s="7">
        <v>6.7771999999999997</v>
      </c>
      <c r="J1174" s="7">
        <v>7.2988999999999997</v>
      </c>
      <c r="K1174" s="7">
        <v>7.8158000000000003</v>
      </c>
      <c r="L1174" s="7">
        <v>8.2624999999999993</v>
      </c>
      <c r="M1174" s="7">
        <v>9.1349999999999998</v>
      </c>
      <c r="N1174" s="7">
        <v>10.411799999999999</v>
      </c>
      <c r="O1174" s="7">
        <v>12.096299999999999</v>
      </c>
      <c r="P1174" s="7">
        <v>13.434100000000001</v>
      </c>
      <c r="Q1174" s="7">
        <v>15.5603</v>
      </c>
    </row>
    <row r="1175" spans="1:17">
      <c r="A1175" s="5">
        <v>43174</v>
      </c>
      <c r="B1175" s="5" t="str">
        <f t="shared" si="18"/>
        <v>2018 q1</v>
      </c>
      <c r="C1175" s="7">
        <v>5.7454000000000001</v>
      </c>
      <c r="D1175" s="7">
        <v>5.7912999999999997</v>
      </c>
      <c r="E1175" s="7">
        <v>5.8861999999999997</v>
      </c>
      <c r="F1175" s="7">
        <v>6.0279999999999996</v>
      </c>
      <c r="G1175" s="7">
        <v>6.1680999999999999</v>
      </c>
      <c r="H1175" s="7">
        <v>6.3068999999999997</v>
      </c>
      <c r="I1175" s="7">
        <v>6.8468</v>
      </c>
      <c r="J1175" s="7">
        <v>7.3550000000000004</v>
      </c>
      <c r="K1175" s="7">
        <v>7.8589000000000002</v>
      </c>
      <c r="L1175" s="7">
        <v>8.2986000000000004</v>
      </c>
      <c r="M1175" s="7">
        <v>9.1594999999999995</v>
      </c>
      <c r="N1175" s="7">
        <v>10.409599999999999</v>
      </c>
      <c r="O1175" s="7">
        <v>12.0116</v>
      </c>
      <c r="P1175" s="7">
        <v>13.4755</v>
      </c>
      <c r="Q1175" s="7">
        <v>15.674200000000001</v>
      </c>
    </row>
    <row r="1176" spans="1:17">
      <c r="A1176" s="5">
        <v>43175</v>
      </c>
      <c r="B1176" s="5" t="str">
        <f t="shared" si="18"/>
        <v>2018 q1</v>
      </c>
      <c r="C1176" s="7">
        <v>5.7588999999999997</v>
      </c>
      <c r="D1176" s="7">
        <v>5.8059000000000003</v>
      </c>
      <c r="E1176" s="7">
        <v>5.9029999999999996</v>
      </c>
      <c r="F1176" s="7">
        <v>6.048</v>
      </c>
      <c r="G1176" s="7">
        <v>6.1909999999999998</v>
      </c>
      <c r="H1176" s="7">
        <v>6.3326000000000002</v>
      </c>
      <c r="I1176" s="7">
        <v>6.8811999999999998</v>
      </c>
      <c r="J1176" s="7">
        <v>7.4046000000000003</v>
      </c>
      <c r="K1176" s="7">
        <v>7.9032</v>
      </c>
      <c r="L1176" s="7">
        <v>8.3374000000000006</v>
      </c>
      <c r="M1176" s="7">
        <v>9.1887000000000008</v>
      </c>
      <c r="N1176" s="7">
        <v>10.4206</v>
      </c>
      <c r="O1176" s="7">
        <v>11.952</v>
      </c>
      <c r="P1176" s="7">
        <v>13.339600000000001</v>
      </c>
      <c r="Q1176" s="7">
        <v>15.3584</v>
      </c>
    </row>
    <row r="1177" spans="1:17">
      <c r="A1177" s="5">
        <v>43176</v>
      </c>
      <c r="B1177" s="5" t="str">
        <f t="shared" si="18"/>
        <v>2018 q1</v>
      </c>
      <c r="C1177" s="7">
        <v>5.7638999999999996</v>
      </c>
      <c r="D1177" s="7">
        <v>5.8105000000000002</v>
      </c>
      <c r="E1177" s="7">
        <v>5.9067999999999996</v>
      </c>
      <c r="F1177" s="7">
        <v>6.0506000000000002</v>
      </c>
      <c r="G1177" s="7">
        <v>6.1927000000000003</v>
      </c>
      <c r="H1177" s="7">
        <v>6.3334000000000001</v>
      </c>
      <c r="I1177" s="7">
        <v>6.8795999999999999</v>
      </c>
      <c r="J1177" s="7">
        <v>7.4020999999999999</v>
      </c>
      <c r="K1177" s="7">
        <v>7.9013999999999998</v>
      </c>
      <c r="L1177" s="7">
        <v>8.3396000000000008</v>
      </c>
      <c r="M1177" s="7">
        <v>9.1998999999999995</v>
      </c>
      <c r="N1177" s="7">
        <v>10.446899999999999</v>
      </c>
      <c r="O1177" s="7">
        <v>12.023400000000001</v>
      </c>
      <c r="P1177" s="7">
        <v>13.458</v>
      </c>
      <c r="Q1177" s="7">
        <v>15.5822</v>
      </c>
    </row>
    <row r="1178" spans="1:17">
      <c r="A1178" s="5">
        <v>43178</v>
      </c>
      <c r="B1178" s="5" t="str">
        <f t="shared" si="18"/>
        <v>2018 q1</v>
      </c>
      <c r="C1178" s="7">
        <v>5.7695999999999996</v>
      </c>
      <c r="D1178" s="7">
        <v>5.8156999999999996</v>
      </c>
      <c r="E1178" s="7">
        <v>5.9107000000000003</v>
      </c>
      <c r="F1178" s="7">
        <v>6.0526999999999997</v>
      </c>
      <c r="G1178" s="7">
        <v>6.1929999999999996</v>
      </c>
      <c r="H1178" s="7">
        <v>6.3319999999999999</v>
      </c>
      <c r="I1178" s="7">
        <v>6.8724999999999996</v>
      </c>
      <c r="J1178" s="7">
        <v>7.3808999999999996</v>
      </c>
      <c r="K1178" s="7">
        <v>7.8852000000000002</v>
      </c>
      <c r="L1178" s="7">
        <v>8.3240999999999996</v>
      </c>
      <c r="M1178" s="7">
        <v>9.1844999999999999</v>
      </c>
      <c r="N1178" s="7">
        <v>10.432700000000001</v>
      </c>
      <c r="O1178" s="7">
        <v>12.0297</v>
      </c>
      <c r="P1178" s="7">
        <v>13.487299999999999</v>
      </c>
      <c r="Q1178" s="7">
        <v>15.672700000000001</v>
      </c>
    </row>
    <row r="1179" spans="1:17">
      <c r="A1179" s="5">
        <v>43179</v>
      </c>
      <c r="B1179" s="5" t="str">
        <f t="shared" si="18"/>
        <v>2018 q1</v>
      </c>
      <c r="C1179" s="7">
        <v>5.7725</v>
      </c>
      <c r="D1179" s="7">
        <v>5.8186</v>
      </c>
      <c r="E1179" s="7">
        <v>5.9138000000000002</v>
      </c>
      <c r="F1179" s="7">
        <v>6.056</v>
      </c>
      <c r="G1179" s="7">
        <v>6.1963999999999997</v>
      </c>
      <c r="H1179" s="7">
        <v>6.3356000000000003</v>
      </c>
      <c r="I1179" s="7">
        <v>6.8765000000000001</v>
      </c>
      <c r="J1179" s="7">
        <v>7.3845999999999998</v>
      </c>
      <c r="K1179" s="7">
        <v>7.8888999999999996</v>
      </c>
      <c r="L1179" s="7">
        <v>8.3264999999999993</v>
      </c>
      <c r="M1179" s="7">
        <v>9.1847999999999992</v>
      </c>
      <c r="N1179" s="7">
        <v>10.428900000000001</v>
      </c>
      <c r="O1179" s="7">
        <v>12.0158</v>
      </c>
      <c r="P1179" s="7">
        <v>13.462199999999999</v>
      </c>
      <c r="Q1179" s="7">
        <v>15.6233</v>
      </c>
    </row>
    <row r="1180" spans="1:17">
      <c r="A1180" s="5">
        <v>43180</v>
      </c>
      <c r="B1180" s="5" t="str">
        <f t="shared" si="18"/>
        <v>2018 q1</v>
      </c>
      <c r="C1180" s="7">
        <v>5.8143000000000002</v>
      </c>
      <c r="D1180" s="7">
        <v>5.8587999999999996</v>
      </c>
      <c r="E1180" s="7">
        <v>5.9507000000000003</v>
      </c>
      <c r="F1180" s="7">
        <v>6.0880999999999998</v>
      </c>
      <c r="G1180" s="7">
        <v>6.2239000000000004</v>
      </c>
      <c r="H1180" s="7">
        <v>6.3586</v>
      </c>
      <c r="I1180" s="7">
        <v>6.8837000000000002</v>
      </c>
      <c r="J1180" s="7">
        <v>7.3800999999999997</v>
      </c>
      <c r="K1180" s="7">
        <v>7.8731999999999998</v>
      </c>
      <c r="L1180" s="7">
        <v>8.3069000000000006</v>
      </c>
      <c r="M1180" s="7">
        <v>9.1597000000000008</v>
      </c>
      <c r="N1180" s="7">
        <v>10.3992</v>
      </c>
      <c r="O1180" s="7">
        <v>12.0222</v>
      </c>
      <c r="P1180" s="7">
        <v>13.5122</v>
      </c>
      <c r="Q1180" s="7">
        <v>15.801</v>
      </c>
    </row>
    <row r="1181" spans="1:17">
      <c r="A1181" s="5">
        <v>43181</v>
      </c>
      <c r="B1181" s="5" t="str">
        <f t="shared" si="18"/>
        <v>2018 q1</v>
      </c>
      <c r="C1181" s="7">
        <v>5.7582000000000004</v>
      </c>
      <c r="D1181" s="7">
        <v>5.8025000000000002</v>
      </c>
      <c r="E1181" s="7">
        <v>5.8940000000000001</v>
      </c>
      <c r="F1181" s="7">
        <v>6.0308000000000002</v>
      </c>
      <c r="G1181" s="7">
        <v>6.1661000000000001</v>
      </c>
      <c r="H1181" s="7">
        <v>6.3005000000000004</v>
      </c>
      <c r="I1181" s="7">
        <v>6.8243</v>
      </c>
      <c r="J1181" s="7">
        <v>7.3205</v>
      </c>
      <c r="K1181" s="7">
        <v>7.8136000000000001</v>
      </c>
      <c r="L1181" s="7">
        <v>8.2632999999999992</v>
      </c>
      <c r="M1181" s="7">
        <v>9.1523000000000003</v>
      </c>
      <c r="N1181" s="7">
        <v>10.353</v>
      </c>
      <c r="O1181" s="7">
        <v>11.999499999999999</v>
      </c>
      <c r="P1181" s="7">
        <v>13.5143</v>
      </c>
      <c r="Q1181" s="7">
        <v>15.8621</v>
      </c>
    </row>
    <row r="1182" spans="1:17">
      <c r="A1182" s="5">
        <v>43182</v>
      </c>
      <c r="B1182" s="5" t="str">
        <f t="shared" si="18"/>
        <v>2018 q1</v>
      </c>
      <c r="C1182" s="7">
        <v>5.8080999999999996</v>
      </c>
      <c r="D1182" s="7">
        <v>5.8532999999999999</v>
      </c>
      <c r="E1182" s="7">
        <v>5.9466999999999999</v>
      </c>
      <c r="F1182" s="7">
        <v>6.0862999999999996</v>
      </c>
      <c r="G1182" s="7">
        <v>6.2241</v>
      </c>
      <c r="H1182" s="7">
        <v>6.3609999999999998</v>
      </c>
      <c r="I1182" s="7">
        <v>6.8932000000000002</v>
      </c>
      <c r="J1182" s="7">
        <v>7.3948</v>
      </c>
      <c r="K1182" s="7">
        <v>7.8932000000000002</v>
      </c>
      <c r="L1182" s="7">
        <v>8.3283000000000005</v>
      </c>
      <c r="M1182" s="7">
        <v>9.1837999999999997</v>
      </c>
      <c r="N1182" s="7">
        <v>10.4251</v>
      </c>
      <c r="O1182" s="7">
        <v>12.0319</v>
      </c>
      <c r="P1182" s="7">
        <v>13.5015</v>
      </c>
      <c r="Q1182" s="7">
        <v>15.731400000000001</v>
      </c>
    </row>
    <row r="1183" spans="1:17">
      <c r="A1183" s="5">
        <v>43185</v>
      </c>
      <c r="B1183" s="5" t="str">
        <f t="shared" si="18"/>
        <v>2018 q1</v>
      </c>
      <c r="C1183" s="7">
        <v>5.8044000000000002</v>
      </c>
      <c r="D1183" s="7">
        <v>5.8501000000000003</v>
      </c>
      <c r="E1183" s="7">
        <v>5.9443000000000001</v>
      </c>
      <c r="F1183" s="7">
        <v>6.085</v>
      </c>
      <c r="G1183" s="7">
        <v>6.2240000000000002</v>
      </c>
      <c r="H1183" s="7">
        <v>6.3619000000000003</v>
      </c>
      <c r="I1183" s="7">
        <v>6.8981000000000003</v>
      </c>
      <c r="J1183" s="7">
        <v>7.4028</v>
      </c>
      <c r="K1183" s="7">
        <v>7.9042000000000003</v>
      </c>
      <c r="L1183" s="7">
        <v>8.3407</v>
      </c>
      <c r="M1183" s="7">
        <v>9.1989000000000001</v>
      </c>
      <c r="N1183" s="7">
        <v>10.443</v>
      </c>
      <c r="O1183" s="7">
        <v>12.046099999999999</v>
      </c>
      <c r="P1183" s="7">
        <v>13.51</v>
      </c>
      <c r="Q1183" s="7">
        <v>15.7202</v>
      </c>
    </row>
    <row r="1184" spans="1:17">
      <c r="A1184" s="5">
        <v>43186</v>
      </c>
      <c r="B1184" s="5" t="str">
        <f t="shared" si="18"/>
        <v>2018 q1</v>
      </c>
      <c r="C1184" s="7">
        <v>5.8080999999999996</v>
      </c>
      <c r="D1184" s="7">
        <v>5.8537999999999997</v>
      </c>
      <c r="E1184" s="7">
        <v>5.9480000000000004</v>
      </c>
      <c r="F1184" s="7">
        <v>6.0880999999999998</v>
      </c>
      <c r="G1184" s="7">
        <v>6.2267999999999999</v>
      </c>
      <c r="H1184" s="7">
        <v>6.3643999999999998</v>
      </c>
      <c r="I1184" s="7">
        <v>6.899</v>
      </c>
      <c r="J1184" s="7">
        <v>7.4016999999999999</v>
      </c>
      <c r="K1184" s="7">
        <v>7.9013</v>
      </c>
      <c r="L1184" s="7">
        <v>8.3350000000000009</v>
      </c>
      <c r="M1184" s="7">
        <v>9.1887000000000008</v>
      </c>
      <c r="N1184" s="7">
        <v>10.425000000000001</v>
      </c>
      <c r="O1184" s="7">
        <v>12.014799999999999</v>
      </c>
      <c r="P1184" s="7">
        <v>13.464600000000001</v>
      </c>
      <c r="Q1184" s="7">
        <v>15.648300000000001</v>
      </c>
    </row>
    <row r="1185" spans="1:17">
      <c r="A1185" s="5">
        <v>43187</v>
      </c>
      <c r="B1185" s="5" t="str">
        <f t="shared" si="18"/>
        <v>2018 q1</v>
      </c>
      <c r="C1185" s="7">
        <v>5.8150000000000004</v>
      </c>
      <c r="D1185" s="7">
        <v>5.8601999999999999</v>
      </c>
      <c r="E1185" s="7">
        <v>5.9535999999999998</v>
      </c>
      <c r="F1185" s="7">
        <v>6.0925000000000002</v>
      </c>
      <c r="G1185" s="7">
        <v>6.2301000000000002</v>
      </c>
      <c r="H1185" s="7">
        <v>6.3665000000000003</v>
      </c>
      <c r="I1185" s="7">
        <v>6.8971</v>
      </c>
      <c r="J1185" s="7">
        <v>7.3967999999999998</v>
      </c>
      <c r="K1185" s="7">
        <v>7.8935000000000004</v>
      </c>
      <c r="L1185" s="7">
        <v>8.3416999999999994</v>
      </c>
      <c r="M1185" s="7">
        <v>9.2283000000000008</v>
      </c>
      <c r="N1185" s="7">
        <v>10.4124</v>
      </c>
      <c r="O1185" s="7">
        <v>12.0098</v>
      </c>
      <c r="P1185" s="7">
        <v>13.4687</v>
      </c>
      <c r="Q1185" s="7">
        <v>15.6806</v>
      </c>
    </row>
    <row r="1186" spans="1:17">
      <c r="A1186" s="5">
        <v>43188</v>
      </c>
      <c r="B1186" s="5" t="str">
        <f t="shared" si="18"/>
        <v>2018 q1</v>
      </c>
      <c r="C1186" s="7">
        <v>5.7801</v>
      </c>
      <c r="D1186" s="7">
        <v>5.8259999999999996</v>
      </c>
      <c r="E1186" s="7">
        <v>5.9208999999999996</v>
      </c>
      <c r="F1186" s="7">
        <v>6.0620000000000003</v>
      </c>
      <c r="G1186" s="7">
        <v>6.2016</v>
      </c>
      <c r="H1186" s="7">
        <v>6.3400999999999996</v>
      </c>
      <c r="I1186" s="7">
        <v>6.8779000000000003</v>
      </c>
      <c r="J1186" s="7">
        <v>7.383</v>
      </c>
      <c r="K1186" s="7">
        <v>7.8852000000000002</v>
      </c>
      <c r="L1186" s="7">
        <v>8.3198000000000008</v>
      </c>
      <c r="M1186" s="7">
        <v>9.1760000000000002</v>
      </c>
      <c r="N1186" s="7">
        <v>10.4148</v>
      </c>
      <c r="O1186" s="7">
        <v>12.002599999999999</v>
      </c>
      <c r="P1186" s="7">
        <v>13.448399999999999</v>
      </c>
      <c r="Q1186" s="7">
        <v>15.618499999999999</v>
      </c>
    </row>
    <row r="1187" spans="1:17">
      <c r="A1187" s="5">
        <v>43189</v>
      </c>
      <c r="B1187" s="5" t="str">
        <f t="shared" si="18"/>
        <v>2018 q1</v>
      </c>
      <c r="C1187" s="7">
        <v>5.8071000000000002</v>
      </c>
      <c r="D1187" s="7">
        <v>5.8531000000000004</v>
      </c>
      <c r="E1187" s="7">
        <v>5.9481000000000002</v>
      </c>
      <c r="F1187" s="7">
        <v>6.0892999999999997</v>
      </c>
      <c r="G1187" s="7">
        <v>6.2289000000000003</v>
      </c>
      <c r="H1187" s="7">
        <v>6.3673999999999999</v>
      </c>
      <c r="I1187" s="7">
        <v>6.9042000000000003</v>
      </c>
      <c r="J1187" s="7">
        <v>7.407</v>
      </c>
      <c r="K1187" s="7">
        <v>7.9066999999999998</v>
      </c>
      <c r="L1187" s="7">
        <v>8.3361000000000001</v>
      </c>
      <c r="M1187" s="7">
        <v>9.1818000000000008</v>
      </c>
      <c r="N1187" s="7">
        <v>10.4033</v>
      </c>
      <c r="O1187" s="7">
        <v>11.950699999999999</v>
      </c>
      <c r="P1187" s="7">
        <v>13.354799999999999</v>
      </c>
      <c r="Q1187" s="7">
        <v>15.436400000000001</v>
      </c>
    </row>
    <row r="1188" spans="1:17">
      <c r="A1188" s="5">
        <v>43193</v>
      </c>
      <c r="B1188" s="5" t="str">
        <f t="shared" si="18"/>
        <v>2018 q2</v>
      </c>
      <c r="C1188" s="7">
        <v>5.8129</v>
      </c>
      <c r="D1188" s="7">
        <v>5.8586</v>
      </c>
      <c r="E1188" s="7">
        <v>5.9530000000000003</v>
      </c>
      <c r="F1188" s="7">
        <v>6.0933000000000002</v>
      </c>
      <c r="G1188" s="7">
        <v>6.2321</v>
      </c>
      <c r="H1188" s="7">
        <v>6.3699000000000003</v>
      </c>
      <c r="I1188" s="7">
        <v>6.9050000000000002</v>
      </c>
      <c r="J1188" s="7">
        <v>7.4077000000000002</v>
      </c>
      <c r="K1188" s="7">
        <v>7.9076000000000004</v>
      </c>
      <c r="L1188" s="7">
        <v>8.3401999999999994</v>
      </c>
      <c r="M1188" s="7">
        <v>9.1933000000000007</v>
      </c>
      <c r="N1188" s="7">
        <v>10.427099999999999</v>
      </c>
      <c r="O1188" s="7">
        <v>12.0116</v>
      </c>
      <c r="P1188" s="7">
        <v>13.454499999999999</v>
      </c>
      <c r="Q1188" s="7">
        <v>15.6242</v>
      </c>
    </row>
    <row r="1189" spans="1:17">
      <c r="A1189" s="5">
        <v>43194</v>
      </c>
      <c r="B1189" s="5" t="str">
        <f t="shared" si="18"/>
        <v>2018 q2</v>
      </c>
      <c r="C1189" s="7">
        <v>5.8438999999999997</v>
      </c>
      <c r="D1189" s="7">
        <v>5.8898999999999999</v>
      </c>
      <c r="E1189" s="7">
        <v>5.9848999999999997</v>
      </c>
      <c r="F1189" s="7">
        <v>6.1266999999999996</v>
      </c>
      <c r="G1189" s="7">
        <v>6.2667999999999999</v>
      </c>
      <c r="H1189" s="7">
        <v>6.4053000000000004</v>
      </c>
      <c r="I1189" s="7">
        <v>6.9448999999999996</v>
      </c>
      <c r="J1189" s="7">
        <v>7.4604999999999997</v>
      </c>
      <c r="K1189" s="7">
        <v>7.9531000000000001</v>
      </c>
      <c r="L1189" s="7">
        <v>8.3833000000000002</v>
      </c>
      <c r="M1189" s="7">
        <v>9.2344000000000008</v>
      </c>
      <c r="N1189" s="7">
        <v>10.4757</v>
      </c>
      <c r="O1189" s="7">
        <v>12.124499999999999</v>
      </c>
      <c r="P1189" s="7">
        <v>13.438499999999999</v>
      </c>
      <c r="Q1189" s="7">
        <v>15.543100000000001</v>
      </c>
    </row>
    <row r="1190" spans="1:17">
      <c r="A1190" s="5">
        <v>43195</v>
      </c>
      <c r="B1190" s="5" t="str">
        <f t="shared" si="18"/>
        <v>2018 q2</v>
      </c>
      <c r="C1190" s="7">
        <v>5.8601000000000001</v>
      </c>
      <c r="D1190" s="7">
        <v>5.9048999999999996</v>
      </c>
      <c r="E1190" s="7">
        <v>5.9974999999999996</v>
      </c>
      <c r="F1190" s="7">
        <v>6.1356000000000002</v>
      </c>
      <c r="G1190" s="7">
        <v>6.2723000000000004</v>
      </c>
      <c r="H1190" s="7">
        <v>6.4074</v>
      </c>
      <c r="I1190" s="7">
        <v>6.9352999999999998</v>
      </c>
      <c r="J1190" s="7">
        <v>7.4410999999999996</v>
      </c>
      <c r="K1190" s="7">
        <v>7.9260000000000002</v>
      </c>
      <c r="L1190" s="7">
        <v>8.3693000000000008</v>
      </c>
      <c r="M1190" s="7">
        <v>9.2499000000000002</v>
      </c>
      <c r="N1190" s="7">
        <v>10.4353</v>
      </c>
      <c r="O1190" s="7">
        <v>12.102399999999999</v>
      </c>
      <c r="P1190" s="7">
        <v>13.4496</v>
      </c>
      <c r="Q1190" s="7">
        <v>15.637700000000001</v>
      </c>
    </row>
    <row r="1191" spans="1:17">
      <c r="A1191" s="5">
        <v>43196</v>
      </c>
      <c r="B1191" s="5" t="str">
        <f t="shared" si="18"/>
        <v>2018 q2</v>
      </c>
      <c r="C1191" s="7">
        <v>5.8417000000000003</v>
      </c>
      <c r="D1191" s="7">
        <v>5.8880999999999997</v>
      </c>
      <c r="E1191" s="7">
        <v>5.9837999999999996</v>
      </c>
      <c r="F1191" s="7">
        <v>6.1265999999999998</v>
      </c>
      <c r="G1191" s="7">
        <v>6.2676999999999996</v>
      </c>
      <c r="H1191" s="7">
        <v>6.407</v>
      </c>
      <c r="I1191" s="7">
        <v>6.9494999999999996</v>
      </c>
      <c r="J1191" s="7">
        <v>7.4667000000000003</v>
      </c>
      <c r="K1191" s="7">
        <v>7.9598000000000004</v>
      </c>
      <c r="L1191" s="7">
        <v>8.3877000000000006</v>
      </c>
      <c r="M1191" s="7">
        <v>9.2345000000000006</v>
      </c>
      <c r="N1191" s="7">
        <v>10.4679</v>
      </c>
      <c r="O1191" s="7">
        <v>12.0907</v>
      </c>
      <c r="P1191" s="7">
        <v>13.372400000000001</v>
      </c>
      <c r="Q1191" s="7">
        <v>15.408300000000001</v>
      </c>
    </row>
    <row r="1192" spans="1:17">
      <c r="A1192" s="5">
        <v>43197</v>
      </c>
      <c r="B1192" s="5" t="str">
        <f t="shared" si="18"/>
        <v>2018 q2</v>
      </c>
      <c r="C1192" s="7">
        <v>5.9356</v>
      </c>
      <c r="D1192" s="7">
        <v>5.9762000000000004</v>
      </c>
      <c r="E1192" s="7">
        <v>6.0602</v>
      </c>
      <c r="F1192" s="7">
        <v>6.1856</v>
      </c>
      <c r="G1192" s="7">
        <v>6.3098999999999998</v>
      </c>
      <c r="H1192" s="7">
        <v>6.4329000000000001</v>
      </c>
      <c r="I1192" s="7">
        <v>6.9157000000000002</v>
      </c>
      <c r="J1192" s="7">
        <v>7.3815</v>
      </c>
      <c r="K1192" s="7">
        <v>7.8308999999999997</v>
      </c>
      <c r="L1192" s="7">
        <v>8.2346000000000004</v>
      </c>
      <c r="M1192" s="7">
        <v>9.0358999999999998</v>
      </c>
      <c r="N1192" s="7">
        <v>10.2105</v>
      </c>
      <c r="O1192" s="7">
        <v>11.8474</v>
      </c>
      <c r="P1192" s="7">
        <v>13.2112</v>
      </c>
      <c r="Q1192" s="7">
        <v>15.4948</v>
      </c>
    </row>
    <row r="1193" spans="1:17">
      <c r="A1193" s="5">
        <v>43199</v>
      </c>
      <c r="B1193" s="5" t="str">
        <f t="shared" si="18"/>
        <v>2018 q2</v>
      </c>
      <c r="C1193" s="7">
        <v>5.86</v>
      </c>
      <c r="D1193" s="7">
        <v>5.9055</v>
      </c>
      <c r="E1193" s="7">
        <v>5.9992999999999999</v>
      </c>
      <c r="F1193" s="7">
        <v>6.1391999999999998</v>
      </c>
      <c r="G1193" s="7">
        <v>6.2774999999999999</v>
      </c>
      <c r="H1193" s="7">
        <v>6.4138999999999999</v>
      </c>
      <c r="I1193" s="7">
        <v>6.9465000000000003</v>
      </c>
      <c r="J1193" s="7">
        <v>7.4549000000000003</v>
      </c>
      <c r="K1193" s="7">
        <v>7.9402999999999997</v>
      </c>
      <c r="L1193" s="7">
        <v>8.3630999999999993</v>
      </c>
      <c r="M1193" s="7">
        <v>9.2011000000000003</v>
      </c>
      <c r="N1193" s="7">
        <v>10.4084</v>
      </c>
      <c r="O1193" s="7">
        <v>11.940300000000001</v>
      </c>
      <c r="P1193" s="7">
        <v>13.327500000000001</v>
      </c>
      <c r="Q1193" s="7">
        <v>15.3858</v>
      </c>
    </row>
    <row r="1194" spans="1:17">
      <c r="A1194" s="5">
        <v>43200</v>
      </c>
      <c r="B1194" s="5" t="str">
        <f t="shared" si="18"/>
        <v>2018 q2</v>
      </c>
      <c r="C1194" s="7">
        <v>5.8137999999999996</v>
      </c>
      <c r="D1194" s="7">
        <v>5.8623000000000003</v>
      </c>
      <c r="E1194" s="7">
        <v>5.9623999999999997</v>
      </c>
      <c r="F1194" s="7">
        <v>6.1111000000000004</v>
      </c>
      <c r="G1194" s="7">
        <v>6.2576000000000001</v>
      </c>
      <c r="H1194" s="7">
        <v>6.4039000000000001</v>
      </c>
      <c r="I1194" s="7">
        <v>6.9612999999999996</v>
      </c>
      <c r="J1194" s="7">
        <v>7.4871999999999996</v>
      </c>
      <c r="K1194" s="7">
        <v>7.9828000000000001</v>
      </c>
      <c r="L1194" s="7">
        <v>8.3978000000000002</v>
      </c>
      <c r="M1194" s="7">
        <v>9.2187999999999999</v>
      </c>
      <c r="N1194" s="7">
        <v>10.405900000000001</v>
      </c>
      <c r="O1194" s="7">
        <v>11.883900000000001</v>
      </c>
      <c r="P1194" s="7">
        <v>12.994400000000001</v>
      </c>
      <c r="Q1194" s="7">
        <v>14.676299999999999</v>
      </c>
    </row>
    <row r="1195" spans="1:17">
      <c r="A1195" s="5">
        <v>43201</v>
      </c>
      <c r="B1195" s="5" t="str">
        <f t="shared" si="18"/>
        <v>2018 q2</v>
      </c>
      <c r="C1195" s="7">
        <v>5.8693999999999997</v>
      </c>
      <c r="D1195" s="7">
        <v>5.9146000000000001</v>
      </c>
      <c r="E1195" s="7">
        <v>6.0076999999999998</v>
      </c>
      <c r="F1195" s="7">
        <v>6.1463000000000001</v>
      </c>
      <c r="G1195" s="7">
        <v>6.2832999999999997</v>
      </c>
      <c r="H1195" s="7">
        <v>6.4200999999999997</v>
      </c>
      <c r="I1195" s="7">
        <v>6.9466000000000001</v>
      </c>
      <c r="J1195" s="7">
        <v>7.4489999999999998</v>
      </c>
      <c r="K1195" s="7">
        <v>7.9279999999999999</v>
      </c>
      <c r="L1195" s="7">
        <v>8.3797999999999995</v>
      </c>
      <c r="M1195" s="7">
        <v>9.2028999999999996</v>
      </c>
      <c r="N1195" s="7">
        <v>10.348599999999999</v>
      </c>
      <c r="O1195" s="7">
        <v>11.836</v>
      </c>
      <c r="P1195" s="7">
        <v>13.1783</v>
      </c>
      <c r="Q1195" s="7">
        <v>15.1508</v>
      </c>
    </row>
    <row r="1196" spans="1:17">
      <c r="A1196" s="5">
        <v>43202</v>
      </c>
      <c r="B1196" s="5" t="str">
        <f t="shared" si="18"/>
        <v>2018 q2</v>
      </c>
      <c r="C1196" s="7">
        <v>5.8555000000000001</v>
      </c>
      <c r="D1196" s="7">
        <v>5.9012000000000002</v>
      </c>
      <c r="E1196" s="7">
        <v>5.9958</v>
      </c>
      <c r="F1196" s="7">
        <v>6.1364000000000001</v>
      </c>
      <c r="G1196" s="7">
        <v>6.2752999999999997</v>
      </c>
      <c r="H1196" s="7">
        <v>6.4141000000000004</v>
      </c>
      <c r="I1196" s="7">
        <v>6.9478</v>
      </c>
      <c r="J1196" s="7">
        <v>7.4568000000000003</v>
      </c>
      <c r="K1196" s="7">
        <v>7.9417</v>
      </c>
      <c r="L1196" s="7">
        <v>8.3605999999999998</v>
      </c>
      <c r="M1196" s="7">
        <v>9.1917000000000009</v>
      </c>
      <c r="N1196" s="7">
        <v>10.385899999999999</v>
      </c>
      <c r="O1196" s="7">
        <v>11.8818</v>
      </c>
      <c r="P1196" s="7">
        <v>13.229799999999999</v>
      </c>
      <c r="Q1196" s="7">
        <v>15.2028</v>
      </c>
    </row>
    <row r="1197" spans="1:17">
      <c r="A1197" s="5">
        <v>43203</v>
      </c>
      <c r="B1197" s="5" t="str">
        <f t="shared" si="18"/>
        <v>2018 q2</v>
      </c>
      <c r="C1197" s="7">
        <v>5.8517999999999999</v>
      </c>
      <c r="D1197" s="7">
        <v>5.8983999999999996</v>
      </c>
      <c r="E1197" s="7">
        <v>5.9943999999999997</v>
      </c>
      <c r="F1197" s="7">
        <v>6.1371000000000002</v>
      </c>
      <c r="G1197" s="7">
        <v>6.2781000000000002</v>
      </c>
      <c r="H1197" s="7">
        <v>6.4188999999999998</v>
      </c>
      <c r="I1197" s="7">
        <v>6.9598000000000004</v>
      </c>
      <c r="J1197" s="7">
        <v>7.4745999999999997</v>
      </c>
      <c r="K1197" s="7">
        <v>7.9641999999999999</v>
      </c>
      <c r="L1197" s="7">
        <v>8.4245000000000001</v>
      </c>
      <c r="M1197" s="7">
        <v>9.2875999999999994</v>
      </c>
      <c r="N1197" s="7">
        <v>10.4168</v>
      </c>
      <c r="O1197" s="7">
        <v>11.901899999999999</v>
      </c>
      <c r="P1197" s="7">
        <v>13.2363</v>
      </c>
      <c r="Q1197" s="7">
        <v>15.1693</v>
      </c>
    </row>
    <row r="1198" spans="1:17">
      <c r="A1198" s="5">
        <v>43206</v>
      </c>
      <c r="B1198" s="5" t="str">
        <f t="shared" si="18"/>
        <v>2018 q2</v>
      </c>
      <c r="C1198" s="7">
        <v>5.8769999999999998</v>
      </c>
      <c r="D1198" s="7">
        <v>5.9226000000000001</v>
      </c>
      <c r="E1198" s="7">
        <v>6.0168999999999997</v>
      </c>
      <c r="F1198" s="7">
        <v>6.157</v>
      </c>
      <c r="G1198" s="7">
        <v>6.2956000000000003</v>
      </c>
      <c r="H1198" s="7">
        <v>6.4337999999999997</v>
      </c>
      <c r="I1198" s="7">
        <v>6.9660000000000002</v>
      </c>
      <c r="J1198" s="7">
        <v>7.4734999999999996</v>
      </c>
      <c r="K1198" s="7">
        <v>7.9569000000000001</v>
      </c>
      <c r="L1198" s="7">
        <v>8.3744999999999994</v>
      </c>
      <c r="M1198" s="7">
        <v>9.2036999999999995</v>
      </c>
      <c r="N1198" s="7">
        <v>10.394600000000001</v>
      </c>
      <c r="O1198" s="7">
        <v>11.8879</v>
      </c>
      <c r="P1198" s="7">
        <v>13.2334</v>
      </c>
      <c r="Q1198" s="7">
        <v>15.204499999999999</v>
      </c>
    </row>
    <row r="1199" spans="1:17">
      <c r="A1199" s="5">
        <v>43207</v>
      </c>
      <c r="B1199" s="5" t="str">
        <f t="shared" si="18"/>
        <v>2018 q2</v>
      </c>
      <c r="C1199" s="7">
        <v>5.9340000000000002</v>
      </c>
      <c r="D1199" s="7">
        <v>5.9772999999999996</v>
      </c>
      <c r="E1199" s="7">
        <v>6.0667999999999997</v>
      </c>
      <c r="F1199" s="7">
        <v>6.2001999999999997</v>
      </c>
      <c r="G1199" s="7">
        <v>6.3327</v>
      </c>
      <c r="H1199" s="7">
        <v>6.4604999999999997</v>
      </c>
      <c r="I1199" s="7">
        <v>6.9718999999999998</v>
      </c>
      <c r="J1199" s="7">
        <v>7.4595000000000002</v>
      </c>
      <c r="K1199" s="7">
        <v>7.9264000000000001</v>
      </c>
      <c r="L1199" s="7">
        <v>8.3355999999999995</v>
      </c>
      <c r="M1199" s="7">
        <v>9.1498000000000008</v>
      </c>
      <c r="N1199" s="7">
        <v>10.322800000000001</v>
      </c>
      <c r="O1199" s="7">
        <v>11.8391</v>
      </c>
      <c r="P1199" s="7">
        <v>13.2163</v>
      </c>
      <c r="Q1199" s="7">
        <v>15.299200000000001</v>
      </c>
    </row>
    <row r="1200" spans="1:17">
      <c r="A1200" s="5">
        <v>43208</v>
      </c>
      <c r="B1200" s="5" t="str">
        <f t="shared" si="18"/>
        <v>2018 q2</v>
      </c>
      <c r="C1200" s="7">
        <v>5.9024000000000001</v>
      </c>
      <c r="D1200" s="7">
        <v>5.9478</v>
      </c>
      <c r="E1200" s="7">
        <v>6.0415999999999999</v>
      </c>
      <c r="F1200" s="7">
        <v>6.1813000000000002</v>
      </c>
      <c r="G1200" s="7">
        <v>6.3197000000000001</v>
      </c>
      <c r="H1200" s="7">
        <v>6.4524999999999997</v>
      </c>
      <c r="I1200" s="7">
        <v>6.9839000000000002</v>
      </c>
      <c r="J1200" s="7">
        <v>7.4861000000000004</v>
      </c>
      <c r="K1200" s="7">
        <v>7.9634999999999998</v>
      </c>
      <c r="L1200" s="7">
        <v>8.3726000000000003</v>
      </c>
      <c r="M1200" s="7">
        <v>9.1860999999999997</v>
      </c>
      <c r="N1200" s="7">
        <v>10.3514</v>
      </c>
      <c r="O1200" s="7">
        <v>11.7959</v>
      </c>
      <c r="P1200" s="7">
        <v>13.091699999999999</v>
      </c>
      <c r="Q1200" s="7">
        <v>14.9672</v>
      </c>
    </row>
    <row r="1201" spans="1:17">
      <c r="A1201" s="5">
        <v>43209</v>
      </c>
      <c r="B1201" s="5" t="str">
        <f t="shared" si="18"/>
        <v>2018 q2</v>
      </c>
      <c r="C1201" s="7">
        <v>5.9047999999999998</v>
      </c>
      <c r="D1201" s="7">
        <v>5.9507000000000003</v>
      </c>
      <c r="E1201" s="7">
        <v>6.0454999999999997</v>
      </c>
      <c r="F1201" s="7">
        <v>6.1866000000000003</v>
      </c>
      <c r="G1201" s="7">
        <v>6.3262999999999998</v>
      </c>
      <c r="H1201" s="7">
        <v>6.4603999999999999</v>
      </c>
      <c r="I1201" s="7">
        <v>6.9965000000000002</v>
      </c>
      <c r="J1201" s="7">
        <v>7.5025000000000004</v>
      </c>
      <c r="K1201" s="7">
        <v>7.9828999999999999</v>
      </c>
      <c r="L1201" s="7">
        <v>8.3928999999999991</v>
      </c>
      <c r="M1201" s="7">
        <v>9.2086000000000006</v>
      </c>
      <c r="N1201" s="7">
        <v>10.3756</v>
      </c>
      <c r="O1201" s="7">
        <v>11.812900000000001</v>
      </c>
      <c r="P1201" s="7">
        <v>13.099500000000001</v>
      </c>
      <c r="Q1201" s="7">
        <v>14.9488</v>
      </c>
    </row>
    <row r="1202" spans="1:17">
      <c r="A1202" s="5">
        <v>43210</v>
      </c>
      <c r="B1202" s="5" t="str">
        <f t="shared" si="18"/>
        <v>2018 q2</v>
      </c>
      <c r="C1202" s="7">
        <v>5.9230999999999998</v>
      </c>
      <c r="D1202" s="7">
        <v>5.9676999999999998</v>
      </c>
      <c r="E1202" s="7">
        <v>6.0598999999999998</v>
      </c>
      <c r="F1202" s="7">
        <v>6.1971999999999996</v>
      </c>
      <c r="G1202" s="7">
        <v>6.3333000000000004</v>
      </c>
      <c r="H1202" s="7">
        <v>6.4642999999999997</v>
      </c>
      <c r="I1202" s="7">
        <v>6.9882999999999997</v>
      </c>
      <c r="J1202" s="7">
        <v>7.4851999999999999</v>
      </c>
      <c r="K1202" s="7">
        <v>7.9588999999999999</v>
      </c>
      <c r="L1202" s="7">
        <v>8.3681000000000001</v>
      </c>
      <c r="M1202" s="7">
        <v>9.1829999999999998</v>
      </c>
      <c r="N1202" s="7">
        <v>10.3521</v>
      </c>
      <c r="O1202" s="7">
        <v>11.8264</v>
      </c>
      <c r="P1202" s="7">
        <v>13.1546</v>
      </c>
      <c r="Q1202" s="7">
        <v>15.1112</v>
      </c>
    </row>
    <row r="1203" spans="1:17">
      <c r="A1203" s="5">
        <v>43213</v>
      </c>
      <c r="B1203" s="5" t="str">
        <f t="shared" si="18"/>
        <v>2018 q2</v>
      </c>
      <c r="C1203" s="7">
        <v>5.9066000000000001</v>
      </c>
      <c r="D1203" s="7">
        <v>5.9526000000000003</v>
      </c>
      <c r="E1203" s="7">
        <v>6.0476000000000001</v>
      </c>
      <c r="F1203" s="7">
        <v>6.1889000000000003</v>
      </c>
      <c r="G1203" s="7">
        <v>6.3288000000000002</v>
      </c>
      <c r="H1203" s="7">
        <v>6.4631999999999996</v>
      </c>
      <c r="I1203" s="7">
        <v>7.0008999999999997</v>
      </c>
      <c r="J1203" s="7">
        <v>7.5084999999999997</v>
      </c>
      <c r="K1203" s="7">
        <v>7.9908000000000001</v>
      </c>
      <c r="L1203" s="7">
        <v>8.4031000000000002</v>
      </c>
      <c r="M1203" s="7">
        <v>9.2241</v>
      </c>
      <c r="N1203" s="7">
        <v>10.4139</v>
      </c>
      <c r="O1203" s="7">
        <v>11.9556</v>
      </c>
      <c r="P1203" s="7">
        <v>13.1538</v>
      </c>
      <c r="Q1203" s="7">
        <v>15.0336</v>
      </c>
    </row>
    <row r="1204" spans="1:17">
      <c r="A1204" s="5">
        <v>43215</v>
      </c>
      <c r="B1204" s="5" t="str">
        <f t="shared" si="18"/>
        <v>2018 q2</v>
      </c>
      <c r="C1204" s="7">
        <v>5.9531000000000001</v>
      </c>
      <c r="D1204" s="7">
        <v>5.9973000000000001</v>
      </c>
      <c r="E1204" s="7">
        <v>6.0884999999999998</v>
      </c>
      <c r="F1204" s="7">
        <v>6.2245999999999997</v>
      </c>
      <c r="G1204" s="7">
        <v>6.3555999999999999</v>
      </c>
      <c r="H1204" s="7">
        <v>6.4859</v>
      </c>
      <c r="I1204" s="7">
        <v>7.0072999999999999</v>
      </c>
      <c r="J1204" s="7">
        <v>7.4997999999999996</v>
      </c>
      <c r="K1204" s="7">
        <v>7.9698000000000002</v>
      </c>
      <c r="L1204" s="7">
        <v>8.3767999999999994</v>
      </c>
      <c r="M1204" s="7">
        <v>9.1887000000000008</v>
      </c>
      <c r="N1204" s="7">
        <v>10.353400000000001</v>
      </c>
      <c r="O1204" s="7">
        <v>11.833299999999999</v>
      </c>
      <c r="P1204" s="7">
        <v>13.167999999999999</v>
      </c>
      <c r="Q1204" s="7">
        <v>15.1494</v>
      </c>
    </row>
    <row r="1205" spans="1:17">
      <c r="A1205" s="5">
        <v>43216</v>
      </c>
      <c r="B1205" s="5" t="str">
        <f t="shared" si="18"/>
        <v>2018 q2</v>
      </c>
      <c r="C1205" s="7">
        <v>5.9268000000000001</v>
      </c>
      <c r="D1205" s="7">
        <v>5.9725999999999999</v>
      </c>
      <c r="E1205" s="7">
        <v>6.0671999999999997</v>
      </c>
      <c r="F1205" s="7">
        <v>6.2081999999999997</v>
      </c>
      <c r="G1205" s="7">
        <v>6.3434999999999997</v>
      </c>
      <c r="H1205" s="7">
        <v>6.4782000000000002</v>
      </c>
      <c r="I1205" s="7">
        <v>7.0167999999999999</v>
      </c>
      <c r="J1205" s="7">
        <v>7.5228999999999999</v>
      </c>
      <c r="K1205" s="7">
        <v>8.0042000000000009</v>
      </c>
      <c r="L1205" s="7">
        <v>8.4159000000000006</v>
      </c>
      <c r="M1205" s="7">
        <v>9.2377000000000002</v>
      </c>
      <c r="N1205" s="7">
        <v>10.4125</v>
      </c>
      <c r="O1205" s="7">
        <v>11.8744</v>
      </c>
      <c r="P1205" s="7">
        <v>13.184100000000001</v>
      </c>
      <c r="Q1205" s="7">
        <v>15.0861</v>
      </c>
    </row>
    <row r="1206" spans="1:17">
      <c r="A1206" s="5">
        <v>43217</v>
      </c>
      <c r="B1206" s="5" t="str">
        <f t="shared" si="18"/>
        <v>2018 q2</v>
      </c>
      <c r="C1206" s="7">
        <v>5.9824999999999999</v>
      </c>
      <c r="D1206" s="7">
        <v>6.0236999999999998</v>
      </c>
      <c r="E1206" s="7">
        <v>6.1089000000000002</v>
      </c>
      <c r="F1206" s="7">
        <v>6.2362000000000002</v>
      </c>
      <c r="G1206" s="7">
        <v>6.3604000000000003</v>
      </c>
      <c r="H1206" s="7">
        <v>6.4843000000000002</v>
      </c>
      <c r="I1206" s="7">
        <v>6.98</v>
      </c>
      <c r="J1206" s="7">
        <v>7.4579000000000004</v>
      </c>
      <c r="K1206" s="7">
        <v>7.9218999999999999</v>
      </c>
      <c r="L1206" s="7">
        <v>8.3442000000000007</v>
      </c>
      <c r="M1206" s="7">
        <v>9.1881000000000004</v>
      </c>
      <c r="N1206" s="7">
        <v>10.4146</v>
      </c>
      <c r="O1206" s="7">
        <v>12.123200000000001</v>
      </c>
      <c r="P1206" s="7">
        <v>13.707000000000001</v>
      </c>
      <c r="Q1206" s="7">
        <v>16.286899999999999</v>
      </c>
    </row>
    <row r="1207" spans="1:17">
      <c r="A1207" s="5">
        <v>43222</v>
      </c>
      <c r="B1207" s="5" t="str">
        <f t="shared" si="18"/>
        <v>2018 q2</v>
      </c>
      <c r="C1207" s="7">
        <v>5.9817999999999998</v>
      </c>
      <c r="D1207" s="7">
        <v>6.0228999999999999</v>
      </c>
      <c r="E1207" s="7">
        <v>6.1077000000000004</v>
      </c>
      <c r="F1207" s="7">
        <v>6.2344999999999997</v>
      </c>
      <c r="G1207" s="7">
        <v>6.3581000000000003</v>
      </c>
      <c r="H1207" s="7">
        <v>6.4816000000000003</v>
      </c>
      <c r="I1207" s="7">
        <v>6.9752000000000001</v>
      </c>
      <c r="J1207" s="7">
        <v>7.4511000000000003</v>
      </c>
      <c r="K1207" s="7">
        <v>7.9131999999999998</v>
      </c>
      <c r="L1207" s="7">
        <v>8.3336000000000006</v>
      </c>
      <c r="M1207" s="7">
        <v>9.1739999999999995</v>
      </c>
      <c r="N1207" s="7">
        <v>10.395200000000001</v>
      </c>
      <c r="O1207" s="7">
        <v>12.0967</v>
      </c>
      <c r="P1207" s="7">
        <v>13.6736</v>
      </c>
      <c r="Q1207" s="7">
        <v>16.242899999999999</v>
      </c>
    </row>
    <row r="1208" spans="1:17">
      <c r="A1208" s="5">
        <v>43223</v>
      </c>
      <c r="B1208" s="5" t="str">
        <f t="shared" si="18"/>
        <v>2018 q2</v>
      </c>
      <c r="C1208" s="7">
        <v>5.9291999999999998</v>
      </c>
      <c r="D1208" s="7">
        <v>5.9759000000000002</v>
      </c>
      <c r="E1208" s="7">
        <v>6.0724</v>
      </c>
      <c r="F1208" s="7">
        <v>6.2161</v>
      </c>
      <c r="G1208" s="7">
        <v>6.3539000000000003</v>
      </c>
      <c r="H1208" s="7">
        <v>6.4915000000000003</v>
      </c>
      <c r="I1208" s="7">
        <v>7.0415999999999999</v>
      </c>
      <c r="J1208" s="7">
        <v>7.5593000000000004</v>
      </c>
      <c r="K1208" s="7">
        <v>8.0523000000000007</v>
      </c>
      <c r="L1208" s="7">
        <v>8.4763000000000002</v>
      </c>
      <c r="M1208" s="7">
        <v>9.3241999999999994</v>
      </c>
      <c r="N1208" s="7">
        <v>10.5359</v>
      </c>
      <c r="O1208" s="7">
        <v>12.062099999999999</v>
      </c>
      <c r="P1208" s="7">
        <v>13.4315</v>
      </c>
      <c r="Q1208" s="7">
        <v>15.4445</v>
      </c>
    </row>
    <row r="1209" spans="1:17">
      <c r="A1209" s="5">
        <v>43224</v>
      </c>
      <c r="B1209" s="5" t="str">
        <f t="shared" si="18"/>
        <v>2018 q2</v>
      </c>
      <c r="C1209" s="7">
        <v>5.9935</v>
      </c>
      <c r="D1209" s="7">
        <v>6.0351999999999997</v>
      </c>
      <c r="E1209" s="7">
        <v>6.1214000000000004</v>
      </c>
      <c r="F1209" s="7">
        <v>6.2503000000000002</v>
      </c>
      <c r="G1209" s="7">
        <v>6.3757000000000001</v>
      </c>
      <c r="H1209" s="7">
        <v>6.5011000000000001</v>
      </c>
      <c r="I1209" s="7">
        <v>7.0023999999999997</v>
      </c>
      <c r="J1209" s="7">
        <v>7.4843999999999999</v>
      </c>
      <c r="K1209" s="7">
        <v>7.9516</v>
      </c>
      <c r="L1209" s="7">
        <v>8.4009999999999998</v>
      </c>
      <c r="M1209" s="7">
        <v>9.2443000000000008</v>
      </c>
      <c r="N1209" s="7">
        <v>10.4442</v>
      </c>
      <c r="O1209" s="7">
        <v>12.135300000000001</v>
      </c>
      <c r="P1209" s="7">
        <v>13.6957</v>
      </c>
      <c r="Q1209" s="7">
        <v>16.212800000000001</v>
      </c>
    </row>
    <row r="1210" spans="1:17">
      <c r="A1210" s="5">
        <v>43225</v>
      </c>
      <c r="B1210" s="5" t="str">
        <f t="shared" si="18"/>
        <v>2018 q2</v>
      </c>
      <c r="C1210" s="7">
        <v>5.9839000000000002</v>
      </c>
      <c r="D1210" s="7">
        <v>6.0267999999999997</v>
      </c>
      <c r="E1210" s="7">
        <v>6.1153000000000004</v>
      </c>
      <c r="F1210" s="7">
        <v>6.2476000000000003</v>
      </c>
      <c r="G1210" s="7">
        <v>6.3757999999999999</v>
      </c>
      <c r="H1210" s="7">
        <v>6.5038999999999998</v>
      </c>
      <c r="I1210" s="7">
        <v>7.0160999999999998</v>
      </c>
      <c r="J1210" s="7">
        <v>7.5057</v>
      </c>
      <c r="K1210" s="7">
        <v>7.9779</v>
      </c>
      <c r="L1210" s="7">
        <v>8.4296000000000006</v>
      </c>
      <c r="M1210" s="7">
        <v>9.2695000000000007</v>
      </c>
      <c r="N1210" s="7">
        <v>10.4565</v>
      </c>
      <c r="O1210" s="7">
        <v>12.0939</v>
      </c>
      <c r="P1210" s="7">
        <v>13.593500000000001</v>
      </c>
      <c r="Q1210" s="7">
        <v>15.957599999999999</v>
      </c>
    </row>
    <row r="1211" spans="1:17">
      <c r="A1211" s="5">
        <v>43227</v>
      </c>
      <c r="B1211" s="5" t="str">
        <f t="shared" si="18"/>
        <v>2018 q2</v>
      </c>
      <c r="C1211" s="7">
        <v>5.9901</v>
      </c>
      <c r="D1211" s="7">
        <v>6.0317999999999996</v>
      </c>
      <c r="E1211" s="7">
        <v>6.1180000000000003</v>
      </c>
      <c r="F1211" s="7">
        <v>6.2466999999999997</v>
      </c>
      <c r="G1211" s="7">
        <v>6.3719999999999999</v>
      </c>
      <c r="H1211" s="7">
        <v>6.4973000000000001</v>
      </c>
      <c r="I1211" s="7">
        <v>6.9980000000000002</v>
      </c>
      <c r="J1211" s="7">
        <v>7.4794999999999998</v>
      </c>
      <c r="K1211" s="7">
        <v>7.9455999999999998</v>
      </c>
      <c r="L1211" s="7">
        <v>8.3676999999999992</v>
      </c>
      <c r="M1211" s="7">
        <v>9.2117000000000004</v>
      </c>
      <c r="N1211" s="7">
        <v>10.434200000000001</v>
      </c>
      <c r="O1211" s="7">
        <v>12.1214</v>
      </c>
      <c r="P1211" s="7">
        <v>13.677300000000001</v>
      </c>
      <c r="Q1211" s="7">
        <v>16.186399999999999</v>
      </c>
    </row>
    <row r="1212" spans="1:17">
      <c r="A1212" s="5">
        <v>43228</v>
      </c>
      <c r="B1212" s="5" t="str">
        <f t="shared" si="18"/>
        <v>2018 q2</v>
      </c>
      <c r="C1212" s="7">
        <v>5.9702999999999999</v>
      </c>
      <c r="D1212" s="7">
        <v>6.0129000000000001</v>
      </c>
      <c r="E1212" s="7">
        <v>6.1009000000000002</v>
      </c>
      <c r="F1212" s="7">
        <v>6.2317</v>
      </c>
      <c r="G1212" s="7">
        <v>6.3619000000000003</v>
      </c>
      <c r="H1212" s="7">
        <v>6.492</v>
      </c>
      <c r="I1212" s="7">
        <v>6.9978999999999996</v>
      </c>
      <c r="J1212" s="7">
        <v>7.4870999999999999</v>
      </c>
      <c r="K1212" s="7">
        <v>7.9592000000000001</v>
      </c>
      <c r="L1212" s="7">
        <v>8.3838000000000008</v>
      </c>
      <c r="M1212" s="7">
        <v>9.2331000000000003</v>
      </c>
      <c r="N1212" s="7">
        <v>10.459899999999999</v>
      </c>
      <c r="O1212" s="7">
        <v>12.1319</v>
      </c>
      <c r="P1212" s="7">
        <v>13.667</v>
      </c>
      <c r="Q1212" s="7">
        <v>16.1111</v>
      </c>
    </row>
    <row r="1213" spans="1:17">
      <c r="A1213" s="5">
        <v>43230</v>
      </c>
      <c r="B1213" s="5" t="str">
        <f t="shared" si="18"/>
        <v>2018 q2</v>
      </c>
      <c r="C1213" s="7">
        <v>5.9702999999999999</v>
      </c>
      <c r="D1213" s="7">
        <v>6.0125999999999999</v>
      </c>
      <c r="E1213" s="7">
        <v>6.1</v>
      </c>
      <c r="F1213" s="7">
        <v>6.2297000000000002</v>
      </c>
      <c r="G1213" s="7">
        <v>6.3589000000000002</v>
      </c>
      <c r="H1213" s="7">
        <v>6.4880000000000004</v>
      </c>
      <c r="I1213" s="7">
        <v>6.9904999999999999</v>
      </c>
      <c r="J1213" s="7">
        <v>7.4767999999999999</v>
      </c>
      <c r="K1213" s="7">
        <v>7.9465000000000003</v>
      </c>
      <c r="L1213" s="7">
        <v>8.3703000000000003</v>
      </c>
      <c r="M1213" s="7">
        <v>9.2179000000000002</v>
      </c>
      <c r="N1213" s="7">
        <v>10.443</v>
      </c>
      <c r="O1213" s="7">
        <v>12.1214</v>
      </c>
      <c r="P1213" s="7">
        <v>13.6645</v>
      </c>
      <c r="Q1213" s="7">
        <v>16.133700000000001</v>
      </c>
    </row>
    <row r="1214" spans="1:17">
      <c r="A1214" s="5">
        <v>43231</v>
      </c>
      <c r="B1214" s="5" t="str">
        <f t="shared" si="18"/>
        <v>2018 q2</v>
      </c>
      <c r="C1214" s="7">
        <v>5.9550000000000001</v>
      </c>
      <c r="D1214" s="7">
        <v>5.9965000000000002</v>
      </c>
      <c r="E1214" s="7">
        <v>6.0819999999999999</v>
      </c>
      <c r="F1214" s="7">
        <v>6.2092000000000001</v>
      </c>
      <c r="G1214" s="7">
        <v>6.3360000000000003</v>
      </c>
      <c r="H1214" s="7">
        <v>6.4626999999999999</v>
      </c>
      <c r="I1214" s="7">
        <v>6.9573999999999998</v>
      </c>
      <c r="J1214" s="7">
        <v>7.4381000000000004</v>
      </c>
      <c r="K1214" s="7">
        <v>7.9039999999999999</v>
      </c>
      <c r="L1214" s="7">
        <v>8.3294999999999995</v>
      </c>
      <c r="M1214" s="7">
        <v>9.1804000000000006</v>
      </c>
      <c r="N1214" s="7">
        <v>10.414400000000001</v>
      </c>
      <c r="O1214" s="7">
        <v>12.1412</v>
      </c>
      <c r="P1214" s="7">
        <v>13.739599999999999</v>
      </c>
      <c r="Q1214" s="7">
        <v>16.353899999999999</v>
      </c>
    </row>
    <row r="1215" spans="1:17">
      <c r="A1215" s="5">
        <v>43234</v>
      </c>
      <c r="B1215" s="5" t="str">
        <f t="shared" si="18"/>
        <v>2018 q2</v>
      </c>
      <c r="C1215" s="7">
        <v>5.9340000000000002</v>
      </c>
      <c r="D1215" s="7">
        <v>5.9775</v>
      </c>
      <c r="E1215" s="7">
        <v>6.0673000000000004</v>
      </c>
      <c r="F1215" s="7">
        <v>6.2003000000000004</v>
      </c>
      <c r="G1215" s="7">
        <v>6.3329000000000004</v>
      </c>
      <c r="H1215" s="7">
        <v>6.4652000000000003</v>
      </c>
      <c r="I1215" s="7">
        <v>6.9785000000000004</v>
      </c>
      <c r="J1215" s="7">
        <v>7.4729000000000001</v>
      </c>
      <c r="K1215" s="7">
        <v>7.9480000000000004</v>
      </c>
      <c r="L1215" s="7">
        <v>8.3712999999999997</v>
      </c>
      <c r="M1215" s="7">
        <v>9.2179000000000002</v>
      </c>
      <c r="N1215" s="7">
        <v>10.436400000000001</v>
      </c>
      <c r="O1215" s="7">
        <v>12.069800000000001</v>
      </c>
      <c r="P1215" s="7">
        <v>13.561400000000001</v>
      </c>
      <c r="Q1215" s="7">
        <v>15.903</v>
      </c>
    </row>
    <row r="1216" spans="1:17">
      <c r="A1216" s="5">
        <v>43235</v>
      </c>
      <c r="B1216" s="5" t="str">
        <f t="shared" si="18"/>
        <v>2018 q2</v>
      </c>
      <c r="C1216" s="7">
        <v>6.0052000000000003</v>
      </c>
      <c r="D1216" s="7">
        <v>6.0471000000000004</v>
      </c>
      <c r="E1216" s="7">
        <v>6.1336000000000004</v>
      </c>
      <c r="F1216" s="7">
        <v>6.2624000000000004</v>
      </c>
      <c r="G1216" s="7">
        <v>6.3906000000000001</v>
      </c>
      <c r="H1216" s="7">
        <v>6.5157999999999996</v>
      </c>
      <c r="I1216" s="7">
        <v>7.0157999999999996</v>
      </c>
      <c r="J1216" s="7">
        <v>7.4983000000000004</v>
      </c>
      <c r="K1216" s="7">
        <v>7.9654999999999996</v>
      </c>
      <c r="L1216" s="7">
        <v>8.4152000000000005</v>
      </c>
      <c r="M1216" s="7">
        <v>9.2568999999999999</v>
      </c>
      <c r="N1216" s="7">
        <v>10.4529</v>
      </c>
      <c r="O1216" s="7">
        <v>12.137</v>
      </c>
      <c r="P1216" s="7">
        <v>13.6868</v>
      </c>
      <c r="Q1216" s="7">
        <v>16.1831</v>
      </c>
    </row>
    <row r="1217" spans="1:17">
      <c r="A1217" s="5">
        <v>43236</v>
      </c>
      <c r="B1217" s="5" t="str">
        <f t="shared" si="18"/>
        <v>2018 q2</v>
      </c>
      <c r="C1217" s="7">
        <v>5.9814999999999996</v>
      </c>
      <c r="D1217" s="7">
        <v>6.0232999999999999</v>
      </c>
      <c r="E1217" s="7">
        <v>6.1094999999999997</v>
      </c>
      <c r="F1217" s="7">
        <v>6.2380000000000004</v>
      </c>
      <c r="G1217" s="7">
        <v>6.3658000000000001</v>
      </c>
      <c r="H1217" s="7">
        <v>6.4905999999999997</v>
      </c>
      <c r="I1217" s="7">
        <v>6.9892000000000003</v>
      </c>
      <c r="J1217" s="7">
        <v>7.4702000000000002</v>
      </c>
      <c r="K1217" s="7">
        <v>7.9345999999999997</v>
      </c>
      <c r="L1217" s="7">
        <v>8.3554999999999993</v>
      </c>
      <c r="M1217" s="7">
        <v>9.1972000000000005</v>
      </c>
      <c r="N1217" s="7">
        <v>10.4131</v>
      </c>
      <c r="O1217" s="7">
        <v>12.088900000000001</v>
      </c>
      <c r="P1217" s="7">
        <v>13.6303</v>
      </c>
      <c r="Q1217" s="7">
        <v>16.111599999999999</v>
      </c>
    </row>
    <row r="1218" spans="1:17">
      <c r="A1218" s="5">
        <v>43237</v>
      </c>
      <c r="B1218" s="5" t="str">
        <f t="shared" si="18"/>
        <v>2018 q2</v>
      </c>
      <c r="C1218" s="7">
        <v>5.9846000000000004</v>
      </c>
      <c r="D1218" s="7">
        <v>6.0266999999999999</v>
      </c>
      <c r="E1218" s="7">
        <v>6.1136999999999997</v>
      </c>
      <c r="F1218" s="7">
        <v>6.2431000000000001</v>
      </c>
      <c r="G1218" s="7">
        <v>6.3719000000000001</v>
      </c>
      <c r="H1218" s="7">
        <v>6.4973999999999998</v>
      </c>
      <c r="I1218" s="7">
        <v>6.9988000000000001</v>
      </c>
      <c r="J1218" s="7">
        <v>7.4813999999999998</v>
      </c>
      <c r="K1218" s="7">
        <v>7.9477000000000002</v>
      </c>
      <c r="L1218" s="7">
        <v>8.3978999999999999</v>
      </c>
      <c r="M1218" s="7">
        <v>9.2486999999999995</v>
      </c>
      <c r="N1218" s="7">
        <v>10.423999999999999</v>
      </c>
      <c r="O1218" s="7">
        <v>12.1378</v>
      </c>
      <c r="P1218" s="7">
        <v>13.5662</v>
      </c>
      <c r="Q1218" s="7">
        <v>15.972</v>
      </c>
    </row>
    <row r="1219" spans="1:17">
      <c r="A1219" s="5">
        <v>43238</v>
      </c>
      <c r="B1219" s="5" t="str">
        <f t="shared" ref="B1219:B1282" si="19">YEAR(A1219)&amp;" q"&amp;ROUNDUP(MONTH(A1219)/3,0)</f>
        <v>2018 q2</v>
      </c>
      <c r="C1219" s="7">
        <v>5.9863999999999997</v>
      </c>
      <c r="D1219" s="7">
        <v>6.0301</v>
      </c>
      <c r="E1219" s="7">
        <v>6.1203000000000003</v>
      </c>
      <c r="F1219" s="7">
        <v>6.2542999999999997</v>
      </c>
      <c r="G1219" s="7">
        <v>6.3875000000000002</v>
      </c>
      <c r="H1219" s="7">
        <v>6.5167999999999999</v>
      </c>
      <c r="I1219" s="7">
        <v>7.0328999999999997</v>
      </c>
      <c r="J1219" s="7">
        <v>7.5263</v>
      </c>
      <c r="K1219" s="7">
        <v>8.0001999999999995</v>
      </c>
      <c r="L1219" s="7">
        <v>8.4541000000000004</v>
      </c>
      <c r="M1219" s="7">
        <v>9.2733000000000008</v>
      </c>
      <c r="N1219" s="7">
        <v>10.4512</v>
      </c>
      <c r="O1219" s="7">
        <v>12.0358</v>
      </c>
      <c r="P1219" s="7">
        <v>13.473800000000001</v>
      </c>
      <c r="Q1219" s="7">
        <v>15.6967</v>
      </c>
    </row>
    <row r="1220" spans="1:17">
      <c r="A1220" s="5">
        <v>43241</v>
      </c>
      <c r="B1220" s="5" t="str">
        <f t="shared" si="19"/>
        <v>2018 q2</v>
      </c>
      <c r="C1220" s="7">
        <v>5.9836999999999998</v>
      </c>
      <c r="D1220" s="7">
        <v>6.0274000000000001</v>
      </c>
      <c r="E1220" s="7">
        <v>6.1176000000000004</v>
      </c>
      <c r="F1220" s="7">
        <v>6.2516999999999996</v>
      </c>
      <c r="G1220" s="7">
        <v>6.3846999999999996</v>
      </c>
      <c r="H1220" s="7">
        <v>6.5138999999999996</v>
      </c>
      <c r="I1220" s="7">
        <v>7.0294999999999996</v>
      </c>
      <c r="J1220" s="7">
        <v>7.5217000000000001</v>
      </c>
      <c r="K1220" s="7">
        <v>7.9919000000000002</v>
      </c>
      <c r="L1220" s="7">
        <v>8.4071999999999996</v>
      </c>
      <c r="M1220" s="7">
        <v>9.2378</v>
      </c>
      <c r="N1220" s="7">
        <v>10.4269</v>
      </c>
      <c r="O1220" s="7">
        <v>11.989699999999999</v>
      </c>
      <c r="P1220" s="7">
        <v>13.4048</v>
      </c>
      <c r="Q1220" s="7">
        <v>15.5783</v>
      </c>
    </row>
    <row r="1221" spans="1:17">
      <c r="A1221" s="5">
        <v>43242</v>
      </c>
      <c r="B1221" s="5" t="str">
        <f t="shared" si="19"/>
        <v>2018 q2</v>
      </c>
      <c r="C1221" s="7">
        <v>5.9588000000000001</v>
      </c>
      <c r="D1221" s="7">
        <v>6.0014000000000003</v>
      </c>
      <c r="E1221" s="7">
        <v>6.0895999999999999</v>
      </c>
      <c r="F1221" s="7">
        <v>6.2206999999999999</v>
      </c>
      <c r="G1221" s="7">
        <v>6.3510999999999997</v>
      </c>
      <c r="H1221" s="7">
        <v>6.4783999999999997</v>
      </c>
      <c r="I1221" s="7">
        <v>6.9867999999999997</v>
      </c>
      <c r="J1221" s="7">
        <v>7.4764999999999997</v>
      </c>
      <c r="K1221" s="7">
        <v>7.9500999999999999</v>
      </c>
      <c r="L1221" s="7">
        <v>8.4067000000000007</v>
      </c>
      <c r="M1221" s="7">
        <v>9.2452000000000005</v>
      </c>
      <c r="N1221" s="7">
        <v>10.4566</v>
      </c>
      <c r="O1221" s="7">
        <v>12.1402</v>
      </c>
      <c r="P1221" s="7">
        <v>13.6835</v>
      </c>
      <c r="Q1221" s="7">
        <v>16.1511</v>
      </c>
    </row>
    <row r="1222" spans="1:17">
      <c r="A1222" s="5">
        <v>43243</v>
      </c>
      <c r="B1222" s="5" t="str">
        <f t="shared" si="19"/>
        <v>2018 q2</v>
      </c>
      <c r="C1222" s="7">
        <v>5.9802999999999997</v>
      </c>
      <c r="D1222" s="7">
        <v>6.0223000000000004</v>
      </c>
      <c r="E1222" s="7">
        <v>6.109</v>
      </c>
      <c r="F1222" s="7">
        <v>6.2381000000000002</v>
      </c>
      <c r="G1222" s="7">
        <v>6.3663999999999996</v>
      </c>
      <c r="H1222" s="7">
        <v>6.4919000000000002</v>
      </c>
      <c r="I1222" s="7">
        <v>6.9931000000000001</v>
      </c>
      <c r="J1222" s="7">
        <v>7.4768999999999997</v>
      </c>
      <c r="K1222" s="7">
        <v>7.9436</v>
      </c>
      <c r="L1222" s="7">
        <v>8.3678000000000008</v>
      </c>
      <c r="M1222" s="7">
        <v>9.2161000000000008</v>
      </c>
      <c r="N1222" s="7">
        <v>10.4405</v>
      </c>
      <c r="O1222" s="7">
        <v>12.1334</v>
      </c>
      <c r="P1222" s="7">
        <v>13.6898</v>
      </c>
      <c r="Q1222" s="7">
        <v>16.202000000000002</v>
      </c>
    </row>
    <row r="1223" spans="1:17">
      <c r="A1223" s="5">
        <v>43244</v>
      </c>
      <c r="B1223" s="5" t="str">
        <f t="shared" si="19"/>
        <v>2018 q2</v>
      </c>
      <c r="C1223" s="7">
        <v>5.9809000000000001</v>
      </c>
      <c r="D1223" s="7">
        <v>6.0239000000000003</v>
      </c>
      <c r="E1223" s="7">
        <v>6.1127000000000002</v>
      </c>
      <c r="F1223" s="7">
        <v>6.2446999999999999</v>
      </c>
      <c r="G1223" s="7">
        <v>6.3757000000000001</v>
      </c>
      <c r="H1223" s="7">
        <v>6.5034999999999998</v>
      </c>
      <c r="I1223" s="7">
        <v>7.0129999999999999</v>
      </c>
      <c r="J1223" s="7">
        <v>7.5015999999999998</v>
      </c>
      <c r="K1223" s="7">
        <v>7.9698000000000002</v>
      </c>
      <c r="L1223" s="7">
        <v>8.3884000000000007</v>
      </c>
      <c r="M1223" s="7">
        <v>9.2256999999999998</v>
      </c>
      <c r="N1223" s="7">
        <v>10.4274</v>
      </c>
      <c r="O1223" s="7">
        <v>12.0413</v>
      </c>
      <c r="P1223" s="7">
        <v>13.511799999999999</v>
      </c>
      <c r="Q1223" s="7">
        <v>15.8232</v>
      </c>
    </row>
    <row r="1224" spans="1:17">
      <c r="A1224" s="5">
        <v>43245</v>
      </c>
      <c r="B1224" s="5" t="str">
        <f t="shared" si="19"/>
        <v>2018 q2</v>
      </c>
      <c r="C1224" s="7">
        <v>5.9805999999999999</v>
      </c>
      <c r="D1224" s="7">
        <v>6.0239000000000003</v>
      </c>
      <c r="E1224" s="7">
        <v>6.1134000000000004</v>
      </c>
      <c r="F1224" s="7">
        <v>6.2462999999999997</v>
      </c>
      <c r="G1224" s="7">
        <v>6.3780000000000001</v>
      </c>
      <c r="H1224" s="7">
        <v>6.5063000000000004</v>
      </c>
      <c r="I1224" s="7">
        <v>7.0179999999999998</v>
      </c>
      <c r="J1224" s="7">
        <v>7.5072000000000001</v>
      </c>
      <c r="K1224" s="7">
        <v>7.9745999999999997</v>
      </c>
      <c r="L1224" s="7">
        <v>8.3896999999999995</v>
      </c>
      <c r="M1224" s="7">
        <v>9.2199000000000009</v>
      </c>
      <c r="N1224" s="7">
        <v>10.408200000000001</v>
      </c>
      <c r="O1224" s="7">
        <v>11.982900000000001</v>
      </c>
      <c r="P1224" s="7">
        <v>13.410500000000001</v>
      </c>
      <c r="Q1224" s="7">
        <v>15.6218</v>
      </c>
    </row>
    <row r="1225" spans="1:17">
      <c r="A1225" s="5">
        <v>43249</v>
      </c>
      <c r="B1225" s="5" t="str">
        <f t="shared" si="19"/>
        <v>2018 q2</v>
      </c>
      <c r="C1225" s="7">
        <v>5.9801000000000002</v>
      </c>
      <c r="D1225" s="7">
        <v>6.0228999999999999</v>
      </c>
      <c r="E1225" s="7">
        <v>6.1112000000000002</v>
      </c>
      <c r="F1225" s="7">
        <v>6.2423999999999999</v>
      </c>
      <c r="G1225" s="7">
        <v>6.3724999999999996</v>
      </c>
      <c r="H1225" s="7">
        <v>6.4995000000000003</v>
      </c>
      <c r="I1225" s="7">
        <v>7.0061</v>
      </c>
      <c r="J1225" s="7">
        <v>7.4919000000000002</v>
      </c>
      <c r="K1225" s="7">
        <v>7.9573</v>
      </c>
      <c r="L1225" s="7">
        <v>8.3741000000000003</v>
      </c>
      <c r="M1225" s="7">
        <v>9.2075999999999993</v>
      </c>
      <c r="N1225" s="7">
        <v>10.419</v>
      </c>
      <c r="O1225" s="7">
        <v>12.097</v>
      </c>
      <c r="P1225" s="7">
        <v>13.4795</v>
      </c>
      <c r="Q1225" s="7">
        <v>15.7889</v>
      </c>
    </row>
    <row r="1226" spans="1:17">
      <c r="A1226" s="5">
        <v>43250</v>
      </c>
      <c r="B1226" s="5" t="str">
        <f t="shared" si="19"/>
        <v>2018 q2</v>
      </c>
      <c r="C1226" s="7">
        <v>5.9824999999999999</v>
      </c>
      <c r="D1226" s="7">
        <v>6.0255000000000001</v>
      </c>
      <c r="E1226" s="7">
        <v>6.1144999999999996</v>
      </c>
      <c r="F1226" s="7">
        <v>6.2464000000000004</v>
      </c>
      <c r="G1226" s="7">
        <v>6.3773</v>
      </c>
      <c r="H1226" s="7">
        <v>6.5049000000000001</v>
      </c>
      <c r="I1226" s="7">
        <v>7.0138999999999996</v>
      </c>
      <c r="J1226" s="7">
        <v>7.5011999999999999</v>
      </c>
      <c r="K1226" s="7">
        <v>7.9668999999999999</v>
      </c>
      <c r="L1226" s="7">
        <v>8.3825000000000003</v>
      </c>
      <c r="M1226" s="7">
        <v>9.2138000000000009</v>
      </c>
      <c r="N1226" s="7">
        <v>10.403700000000001</v>
      </c>
      <c r="O1226" s="7">
        <v>11.9925</v>
      </c>
      <c r="P1226" s="7">
        <v>13.434799999999999</v>
      </c>
      <c r="Q1226" s="7">
        <v>15.6867</v>
      </c>
    </row>
    <row r="1227" spans="1:17">
      <c r="A1227" s="5">
        <v>43251</v>
      </c>
      <c r="B1227" s="5" t="str">
        <f t="shared" si="19"/>
        <v>2018 q2</v>
      </c>
      <c r="C1227" s="7">
        <v>5.9885999999999999</v>
      </c>
      <c r="D1227" s="7">
        <v>6.0317999999999996</v>
      </c>
      <c r="E1227" s="7">
        <v>6.1208999999999998</v>
      </c>
      <c r="F1227" s="7">
        <v>6.2531999999999996</v>
      </c>
      <c r="G1227" s="7">
        <v>6.3842999999999996</v>
      </c>
      <c r="H1227" s="7">
        <v>6.5121000000000002</v>
      </c>
      <c r="I1227" s="7">
        <v>7.0217000000000001</v>
      </c>
      <c r="J1227" s="7">
        <v>7.5091000000000001</v>
      </c>
      <c r="K1227" s="7">
        <v>7.9741999999999997</v>
      </c>
      <c r="L1227" s="7">
        <v>8.3881999999999994</v>
      </c>
      <c r="M1227" s="7">
        <v>9.2162000000000006</v>
      </c>
      <c r="N1227" s="7">
        <v>10.399900000000001</v>
      </c>
      <c r="O1227" s="7">
        <v>11.9718</v>
      </c>
      <c r="P1227" s="7">
        <v>13.3956</v>
      </c>
      <c r="Q1227" s="7">
        <v>15.6052</v>
      </c>
    </row>
    <row r="1228" spans="1:17">
      <c r="A1228" s="5">
        <v>43252</v>
      </c>
      <c r="B1228" s="5" t="str">
        <f t="shared" si="19"/>
        <v>2018 q2</v>
      </c>
      <c r="C1228" s="7">
        <v>5.9915000000000003</v>
      </c>
      <c r="D1228" s="7">
        <v>6.0350000000000001</v>
      </c>
      <c r="E1228" s="7">
        <v>6.1249000000000002</v>
      </c>
      <c r="F1228" s="7">
        <v>6.258</v>
      </c>
      <c r="G1228" s="7">
        <v>6.3898999999999999</v>
      </c>
      <c r="H1228" s="7">
        <v>6.5185000000000004</v>
      </c>
      <c r="I1228" s="7">
        <v>7.0309999999999997</v>
      </c>
      <c r="J1228" s="7">
        <v>7.5205000000000002</v>
      </c>
      <c r="K1228" s="7">
        <v>7.9882</v>
      </c>
      <c r="L1228" s="7">
        <v>8.4184999999999999</v>
      </c>
      <c r="M1228" s="7">
        <v>9.2791999999999994</v>
      </c>
      <c r="N1228" s="7">
        <v>10.409599999999999</v>
      </c>
      <c r="O1228" s="7">
        <v>11.968400000000001</v>
      </c>
      <c r="P1228" s="7">
        <v>13.376799999999999</v>
      </c>
      <c r="Q1228" s="7">
        <v>15.5471</v>
      </c>
    </row>
    <row r="1229" spans="1:17">
      <c r="A1229" s="5">
        <v>43255</v>
      </c>
      <c r="B1229" s="5" t="str">
        <f t="shared" si="19"/>
        <v>2018 q2</v>
      </c>
      <c r="C1229" s="7">
        <v>5.9943999999999997</v>
      </c>
      <c r="D1229" s="7">
        <v>6.0377999999999998</v>
      </c>
      <c r="E1229" s="7">
        <v>6.1273999999999997</v>
      </c>
      <c r="F1229" s="7">
        <v>6.2603</v>
      </c>
      <c r="G1229" s="7">
        <v>6.3918999999999997</v>
      </c>
      <c r="H1229" s="7">
        <v>6.5204000000000004</v>
      </c>
      <c r="I1229" s="7">
        <v>7.0323000000000002</v>
      </c>
      <c r="J1229" s="7">
        <v>7.5218999999999996</v>
      </c>
      <c r="K1229" s="7">
        <v>7.9888000000000003</v>
      </c>
      <c r="L1229" s="7">
        <v>8.4047999999999998</v>
      </c>
      <c r="M1229" s="7">
        <v>9.2365999999999993</v>
      </c>
      <c r="N1229" s="7">
        <v>10.4253</v>
      </c>
      <c r="O1229" s="7">
        <v>12.004200000000001</v>
      </c>
      <c r="P1229" s="7">
        <v>13.4339</v>
      </c>
      <c r="Q1229" s="7">
        <v>15.6531</v>
      </c>
    </row>
    <row r="1230" spans="1:17">
      <c r="A1230" s="5">
        <v>43256</v>
      </c>
      <c r="B1230" s="5" t="str">
        <f t="shared" si="19"/>
        <v>2018 q2</v>
      </c>
      <c r="C1230" s="7">
        <v>5.9282000000000004</v>
      </c>
      <c r="D1230" s="7">
        <v>5.9725000000000001</v>
      </c>
      <c r="E1230" s="7">
        <v>6.0640999999999998</v>
      </c>
      <c r="F1230" s="7">
        <v>6.2005999999999997</v>
      </c>
      <c r="G1230" s="7">
        <v>6.3356000000000003</v>
      </c>
      <c r="H1230" s="7">
        <v>6.4703999999999997</v>
      </c>
      <c r="I1230" s="7">
        <v>6.9927999999999999</v>
      </c>
      <c r="J1230" s="7">
        <v>7.4962</v>
      </c>
      <c r="K1230" s="7">
        <v>7.9782999999999999</v>
      </c>
      <c r="L1230" s="7">
        <v>8.4245000000000001</v>
      </c>
      <c r="M1230" s="7">
        <v>9.3170000000000002</v>
      </c>
      <c r="N1230" s="7">
        <v>10.497</v>
      </c>
      <c r="O1230" s="7">
        <v>12.1442</v>
      </c>
      <c r="P1230" s="7">
        <v>13.6389</v>
      </c>
      <c r="Q1230" s="7">
        <v>15.979100000000001</v>
      </c>
    </row>
    <row r="1231" spans="1:17">
      <c r="A1231" s="5">
        <v>43257</v>
      </c>
      <c r="B1231" s="5" t="str">
        <f t="shared" si="19"/>
        <v>2018 q2</v>
      </c>
      <c r="C1231" s="7">
        <v>5.9151999999999996</v>
      </c>
      <c r="D1231" s="7">
        <v>5.9611999999999998</v>
      </c>
      <c r="E1231" s="7">
        <v>6.0560999999999998</v>
      </c>
      <c r="F1231" s="7">
        <v>6.1974999999999998</v>
      </c>
      <c r="G1231" s="7">
        <v>6.3369</v>
      </c>
      <c r="H1231" s="7">
        <v>6.4762000000000004</v>
      </c>
      <c r="I1231" s="7">
        <v>7.0128000000000004</v>
      </c>
      <c r="J1231" s="7">
        <v>7.5263999999999998</v>
      </c>
      <c r="K1231" s="7">
        <v>8.0145</v>
      </c>
      <c r="L1231" s="7">
        <v>8.4601000000000006</v>
      </c>
      <c r="M1231" s="7">
        <v>9.3513999999999999</v>
      </c>
      <c r="N1231" s="7">
        <v>10.505100000000001</v>
      </c>
      <c r="O1231" s="7">
        <v>12.068</v>
      </c>
      <c r="P1231" s="7">
        <v>13.4671</v>
      </c>
      <c r="Q1231" s="7">
        <v>15.5703</v>
      </c>
    </row>
    <row r="1232" spans="1:17">
      <c r="A1232" s="5">
        <v>43258</v>
      </c>
      <c r="B1232" s="5" t="str">
        <f t="shared" si="19"/>
        <v>2018 q2</v>
      </c>
      <c r="C1232" s="7">
        <v>5.9279000000000002</v>
      </c>
      <c r="D1232" s="7">
        <v>5.9726999999999997</v>
      </c>
      <c r="E1232" s="7">
        <v>6.0651000000000002</v>
      </c>
      <c r="F1232" s="7">
        <v>6.2028999999999996</v>
      </c>
      <c r="G1232" s="7">
        <v>6.3388</v>
      </c>
      <c r="H1232" s="7">
        <v>6.4745999999999997</v>
      </c>
      <c r="I1232" s="7">
        <v>6.9984000000000002</v>
      </c>
      <c r="J1232" s="7">
        <v>7.5007000000000001</v>
      </c>
      <c r="K1232" s="7">
        <v>7.9770000000000003</v>
      </c>
      <c r="L1232" s="7">
        <v>8.3976000000000006</v>
      </c>
      <c r="M1232" s="7">
        <v>9.2385999999999999</v>
      </c>
      <c r="N1232" s="7">
        <v>10.4344</v>
      </c>
      <c r="O1232" s="7">
        <v>11.992100000000001</v>
      </c>
      <c r="P1232" s="7">
        <v>13.3911</v>
      </c>
      <c r="Q1232" s="7">
        <v>15.5167</v>
      </c>
    </row>
    <row r="1233" spans="1:17">
      <c r="A1233" s="5">
        <v>43259</v>
      </c>
      <c r="B1233" s="5" t="str">
        <f t="shared" si="19"/>
        <v>2018 q2</v>
      </c>
      <c r="C1233" s="7">
        <v>5.9039999999999999</v>
      </c>
      <c r="D1233" s="7">
        <v>5.9509999999999996</v>
      </c>
      <c r="E1233" s="7">
        <v>6.0479000000000003</v>
      </c>
      <c r="F1233" s="7">
        <v>6.1920000000000002</v>
      </c>
      <c r="G1233" s="7">
        <v>6.3335999999999997</v>
      </c>
      <c r="H1233" s="7">
        <v>6.4749999999999996</v>
      </c>
      <c r="I1233" s="7">
        <v>7.0151000000000003</v>
      </c>
      <c r="J1233" s="7">
        <v>7.5265000000000004</v>
      </c>
      <c r="K1233" s="7">
        <v>8.0042000000000009</v>
      </c>
      <c r="L1233" s="7">
        <v>8.4116999999999997</v>
      </c>
      <c r="M1233" s="7">
        <v>9.2266999999999992</v>
      </c>
      <c r="N1233" s="7">
        <v>10.371</v>
      </c>
      <c r="O1233" s="7">
        <v>11.7646</v>
      </c>
      <c r="P1233" s="7">
        <v>12.9886</v>
      </c>
      <c r="Q1233" s="7">
        <v>14.720599999999999</v>
      </c>
    </row>
    <row r="1234" spans="1:17">
      <c r="A1234" s="5">
        <v>43262</v>
      </c>
      <c r="B1234" s="5" t="str">
        <f t="shared" si="19"/>
        <v>2018 q2</v>
      </c>
      <c r="C1234" s="7">
        <v>5.9343000000000004</v>
      </c>
      <c r="D1234" s="7">
        <v>5.9787999999999997</v>
      </c>
      <c r="E1234" s="7">
        <v>6.0705999999999998</v>
      </c>
      <c r="F1234" s="7">
        <v>6.2073999999999998</v>
      </c>
      <c r="G1234" s="7">
        <v>6.3425000000000002</v>
      </c>
      <c r="H1234" s="7">
        <v>6.4774000000000003</v>
      </c>
      <c r="I1234" s="7">
        <v>6.9992000000000001</v>
      </c>
      <c r="J1234" s="7">
        <v>7.5006000000000004</v>
      </c>
      <c r="K1234" s="7">
        <v>7.9772999999999996</v>
      </c>
      <c r="L1234" s="7">
        <v>8.4013000000000009</v>
      </c>
      <c r="M1234" s="7">
        <v>9.2492999999999999</v>
      </c>
      <c r="N1234" s="7">
        <v>10.4574</v>
      </c>
      <c r="O1234" s="7">
        <v>12.0528</v>
      </c>
      <c r="P1234" s="7">
        <v>13.4917</v>
      </c>
      <c r="Q1234" s="7">
        <v>15.710100000000001</v>
      </c>
    </row>
    <row r="1235" spans="1:17">
      <c r="A1235" s="5">
        <v>43263</v>
      </c>
      <c r="B1235" s="5" t="str">
        <f t="shared" si="19"/>
        <v>2018 q2</v>
      </c>
      <c r="C1235" s="7">
        <v>6.0086000000000004</v>
      </c>
      <c r="D1235" s="7">
        <v>6.0514000000000001</v>
      </c>
      <c r="E1235" s="7">
        <v>6.1398000000000001</v>
      </c>
      <c r="F1235" s="7">
        <v>6.2718999999999996</v>
      </c>
      <c r="G1235" s="7">
        <v>6.4006999999999996</v>
      </c>
      <c r="H1235" s="7">
        <v>6.5282</v>
      </c>
      <c r="I1235" s="7">
        <v>7.0354999999999999</v>
      </c>
      <c r="J1235" s="7">
        <v>7.5206999999999997</v>
      </c>
      <c r="K1235" s="7">
        <v>7.9848999999999997</v>
      </c>
      <c r="L1235" s="7">
        <v>8.4148999999999994</v>
      </c>
      <c r="M1235" s="7">
        <v>9.2746999999999993</v>
      </c>
      <c r="N1235" s="7">
        <v>10.408200000000001</v>
      </c>
      <c r="O1235" s="7">
        <v>11.9907</v>
      </c>
      <c r="P1235" s="7">
        <v>13.4237</v>
      </c>
      <c r="Q1235" s="7">
        <v>15.6648</v>
      </c>
    </row>
    <row r="1236" spans="1:17">
      <c r="A1236" s="5">
        <v>43264</v>
      </c>
      <c r="B1236" s="5" t="str">
        <f t="shared" si="19"/>
        <v>2018 q2</v>
      </c>
      <c r="C1236" s="7">
        <v>6.0143000000000004</v>
      </c>
      <c r="D1236" s="7">
        <v>6.0568</v>
      </c>
      <c r="E1236" s="7">
        <v>6.1444999999999999</v>
      </c>
      <c r="F1236" s="7">
        <v>6.2756999999999996</v>
      </c>
      <c r="G1236" s="7">
        <v>6.4038000000000004</v>
      </c>
      <c r="H1236" s="7">
        <v>6.5305999999999997</v>
      </c>
      <c r="I1236" s="7">
        <v>7.0354999999999999</v>
      </c>
      <c r="J1236" s="7">
        <v>7.5197000000000003</v>
      </c>
      <c r="K1236" s="7">
        <v>7.984</v>
      </c>
      <c r="L1236" s="7">
        <v>8.4161000000000001</v>
      </c>
      <c r="M1236" s="7">
        <v>9.2800999999999991</v>
      </c>
      <c r="N1236" s="7">
        <v>10.4269</v>
      </c>
      <c r="O1236" s="7">
        <v>12.0441</v>
      </c>
      <c r="P1236" s="7">
        <v>13.515000000000001</v>
      </c>
      <c r="Q1236" s="7">
        <v>15.847</v>
      </c>
    </row>
    <row r="1237" spans="1:17">
      <c r="A1237" s="5">
        <v>43265</v>
      </c>
      <c r="B1237" s="5" t="str">
        <f t="shared" si="19"/>
        <v>2018 q2</v>
      </c>
      <c r="C1237" s="7">
        <v>5.9474</v>
      </c>
      <c r="D1237" s="7">
        <v>5.9917999999999996</v>
      </c>
      <c r="E1237" s="7">
        <v>6.0834999999999999</v>
      </c>
      <c r="F1237" s="7">
        <v>6.2199</v>
      </c>
      <c r="G1237" s="7">
        <v>6.3548999999999998</v>
      </c>
      <c r="H1237" s="7">
        <v>6.4893999999999998</v>
      </c>
      <c r="I1237" s="7">
        <v>7.0106000000000002</v>
      </c>
      <c r="J1237" s="7">
        <v>7.5115999999999996</v>
      </c>
      <c r="K1237" s="7">
        <v>7.9875999999999996</v>
      </c>
      <c r="L1237" s="7">
        <v>8.4122000000000003</v>
      </c>
      <c r="M1237" s="7">
        <v>9.2614999999999998</v>
      </c>
      <c r="N1237" s="7">
        <v>10.4704</v>
      </c>
      <c r="O1237" s="7">
        <v>12.072800000000001</v>
      </c>
      <c r="P1237" s="7">
        <v>13.517899999999999</v>
      </c>
      <c r="Q1237" s="7">
        <v>15.7537</v>
      </c>
    </row>
    <row r="1238" spans="1:17">
      <c r="A1238" s="5">
        <v>43266</v>
      </c>
      <c r="B1238" s="5" t="str">
        <f t="shared" si="19"/>
        <v>2018 q2</v>
      </c>
      <c r="C1238" s="7">
        <v>5.9549000000000003</v>
      </c>
      <c r="D1238" s="7">
        <v>5.9988000000000001</v>
      </c>
      <c r="E1238" s="7">
        <v>6.0894000000000004</v>
      </c>
      <c r="F1238" s="7">
        <v>6.2243000000000004</v>
      </c>
      <c r="G1238" s="7">
        <v>6.3578000000000001</v>
      </c>
      <c r="H1238" s="7">
        <v>6.4908999999999999</v>
      </c>
      <c r="I1238" s="7">
        <v>7.0079000000000002</v>
      </c>
      <c r="J1238" s="7">
        <v>7.5065</v>
      </c>
      <c r="K1238" s="7">
        <v>7.9817999999999998</v>
      </c>
      <c r="L1238" s="7">
        <v>8.4095999999999993</v>
      </c>
      <c r="M1238" s="7">
        <v>9.2652000000000001</v>
      </c>
      <c r="N1238" s="7">
        <v>10.487</v>
      </c>
      <c r="O1238" s="7">
        <v>12.1341</v>
      </c>
      <c r="P1238" s="7">
        <v>13.6287</v>
      </c>
      <c r="Q1238" s="7">
        <v>15.9841</v>
      </c>
    </row>
    <row r="1239" spans="1:17">
      <c r="A1239" s="5">
        <v>43269</v>
      </c>
      <c r="B1239" s="5" t="str">
        <f t="shared" si="19"/>
        <v>2018 q2</v>
      </c>
      <c r="C1239" s="7">
        <v>5.8655999999999997</v>
      </c>
      <c r="D1239" s="7">
        <v>5.9122000000000003</v>
      </c>
      <c r="E1239" s="7">
        <v>6.0084999999999997</v>
      </c>
      <c r="F1239" s="7">
        <v>6.1517999999999997</v>
      </c>
      <c r="G1239" s="7">
        <v>6.2938000000000001</v>
      </c>
      <c r="H1239" s="7">
        <v>6.4352</v>
      </c>
      <c r="I1239" s="7">
        <v>6.9817</v>
      </c>
      <c r="J1239" s="7">
        <v>7.5052000000000003</v>
      </c>
      <c r="K1239" s="7">
        <v>8.0001999999999995</v>
      </c>
      <c r="L1239" s="7">
        <v>8.4377999999999993</v>
      </c>
      <c r="M1239" s="7">
        <v>9.3129000000000008</v>
      </c>
      <c r="N1239" s="7">
        <v>10.5534</v>
      </c>
      <c r="O1239" s="7">
        <v>12.167</v>
      </c>
      <c r="P1239" s="7">
        <v>13.611599999999999</v>
      </c>
      <c r="Q1239" s="7">
        <v>15.801399999999999</v>
      </c>
    </row>
    <row r="1240" spans="1:17">
      <c r="A1240" s="5">
        <v>43270</v>
      </c>
      <c r="B1240" s="5" t="str">
        <f t="shared" si="19"/>
        <v>2018 q2</v>
      </c>
      <c r="C1240" s="7">
        <v>5.8646000000000003</v>
      </c>
      <c r="D1240" s="7">
        <v>5.9116</v>
      </c>
      <c r="E1240" s="7">
        <v>6.0087999999999999</v>
      </c>
      <c r="F1240" s="7">
        <v>6.1534000000000004</v>
      </c>
      <c r="G1240" s="7">
        <v>6.2965999999999998</v>
      </c>
      <c r="H1240" s="7">
        <v>6.4390999999999998</v>
      </c>
      <c r="I1240" s="7">
        <v>6.9888000000000003</v>
      </c>
      <c r="J1240" s="7">
        <v>7.5143000000000004</v>
      </c>
      <c r="K1240" s="7">
        <v>8.0091999999999999</v>
      </c>
      <c r="L1240" s="7">
        <v>8.4443000000000001</v>
      </c>
      <c r="M1240" s="7">
        <v>9.3143999999999991</v>
      </c>
      <c r="N1240" s="7">
        <v>10.543699999999999</v>
      </c>
      <c r="O1240" s="7">
        <v>12.1226</v>
      </c>
      <c r="P1240" s="7">
        <v>13.5289</v>
      </c>
      <c r="Q1240" s="7">
        <v>15.631500000000001</v>
      </c>
    </row>
    <row r="1241" spans="1:17">
      <c r="A1241" s="5">
        <v>43271</v>
      </c>
      <c r="B1241" s="5" t="str">
        <f t="shared" si="19"/>
        <v>2018 q2</v>
      </c>
      <c r="C1241" s="7">
        <v>5.8761000000000001</v>
      </c>
      <c r="D1241" s="7">
        <v>5.9225000000000003</v>
      </c>
      <c r="E1241" s="7">
        <v>6.0183999999999997</v>
      </c>
      <c r="F1241" s="7">
        <v>6.1612</v>
      </c>
      <c r="G1241" s="7">
        <v>6.3026999999999997</v>
      </c>
      <c r="H1241" s="7">
        <v>6.4433999999999996</v>
      </c>
      <c r="I1241" s="7">
        <v>6.9878999999999998</v>
      </c>
      <c r="J1241" s="7">
        <v>7.5096999999999996</v>
      </c>
      <c r="K1241" s="7">
        <v>8.0030000000000001</v>
      </c>
      <c r="L1241" s="7">
        <v>8.44</v>
      </c>
      <c r="M1241" s="7">
        <v>9.3140999999999998</v>
      </c>
      <c r="N1241" s="7">
        <v>10.5524</v>
      </c>
      <c r="O1241" s="7">
        <v>12.167899999999999</v>
      </c>
      <c r="P1241" s="7">
        <v>13.6142</v>
      </c>
      <c r="Q1241" s="7">
        <v>15.8132</v>
      </c>
    </row>
    <row r="1242" spans="1:17">
      <c r="A1242" s="5">
        <v>43272</v>
      </c>
      <c r="B1242" s="5" t="str">
        <f t="shared" si="19"/>
        <v>2018 q2</v>
      </c>
      <c r="C1242" s="7">
        <v>5.8802000000000003</v>
      </c>
      <c r="D1242" s="7">
        <v>5.9272</v>
      </c>
      <c r="E1242" s="7">
        <v>6.0242000000000004</v>
      </c>
      <c r="F1242" s="7">
        <v>6.1684999999999999</v>
      </c>
      <c r="G1242" s="7">
        <v>6.3114999999999997</v>
      </c>
      <c r="H1242" s="7">
        <v>6.4535999999999998</v>
      </c>
      <c r="I1242" s="7">
        <v>7.0026000000000002</v>
      </c>
      <c r="J1242" s="7">
        <v>7.5274999999999999</v>
      </c>
      <c r="K1242" s="7">
        <v>8.0219000000000005</v>
      </c>
      <c r="L1242" s="7">
        <v>8.4572000000000003</v>
      </c>
      <c r="M1242" s="7">
        <v>9.3277999999999999</v>
      </c>
      <c r="N1242" s="7">
        <v>10.557600000000001</v>
      </c>
      <c r="O1242" s="7">
        <v>12.1412</v>
      </c>
      <c r="P1242" s="7">
        <v>13.5519</v>
      </c>
      <c r="Q1242" s="7">
        <v>15.666499999999999</v>
      </c>
    </row>
    <row r="1243" spans="1:17">
      <c r="A1243" s="5">
        <v>43273</v>
      </c>
      <c r="B1243" s="5" t="str">
        <f t="shared" si="19"/>
        <v>2018 q2</v>
      </c>
      <c r="C1243" s="7">
        <v>5.8985000000000003</v>
      </c>
      <c r="D1243" s="7">
        <v>5.9459999999999997</v>
      </c>
      <c r="E1243" s="7">
        <v>6.0441000000000003</v>
      </c>
      <c r="F1243" s="7">
        <v>6.1898999999999997</v>
      </c>
      <c r="G1243" s="7">
        <v>6.3342999999999998</v>
      </c>
      <c r="H1243" s="7">
        <v>6.4778000000000002</v>
      </c>
      <c r="I1243" s="7">
        <v>7.0312000000000001</v>
      </c>
      <c r="J1243" s="7">
        <v>7.5590999999999999</v>
      </c>
      <c r="K1243" s="7">
        <v>8.0548999999999999</v>
      </c>
      <c r="L1243" s="7">
        <v>8.4892000000000003</v>
      </c>
      <c r="M1243" s="7">
        <v>9.3575999999999997</v>
      </c>
      <c r="N1243" s="7">
        <v>10.581300000000001</v>
      </c>
      <c r="O1243" s="7">
        <v>12.139099999999999</v>
      </c>
      <c r="P1243" s="7">
        <v>13.521100000000001</v>
      </c>
      <c r="Q1243" s="7">
        <v>15.567600000000001</v>
      </c>
    </row>
    <row r="1244" spans="1:17">
      <c r="A1244" s="5">
        <v>43276</v>
      </c>
      <c r="B1244" s="5" t="str">
        <f t="shared" si="19"/>
        <v>2018 q2</v>
      </c>
      <c r="C1244" s="7">
        <v>5.9071999999999996</v>
      </c>
      <c r="D1244" s="7">
        <v>5.9550999999999998</v>
      </c>
      <c r="E1244" s="7">
        <v>6.0540000000000003</v>
      </c>
      <c r="F1244" s="7">
        <v>6.2009999999999996</v>
      </c>
      <c r="G1244" s="7">
        <v>6.3464999999999998</v>
      </c>
      <c r="H1244" s="7">
        <v>6.4909999999999997</v>
      </c>
      <c r="I1244" s="7">
        <v>7.0472999999999999</v>
      </c>
      <c r="J1244" s="7">
        <v>7.5768000000000004</v>
      </c>
      <c r="K1244" s="7">
        <v>8.0725999999999996</v>
      </c>
      <c r="L1244" s="7">
        <v>8.5040999999999993</v>
      </c>
      <c r="M1244" s="7">
        <v>9.3673000000000002</v>
      </c>
      <c r="N1244" s="7">
        <v>10.5802</v>
      </c>
      <c r="O1244" s="7">
        <v>12.105499999999999</v>
      </c>
      <c r="P1244" s="7">
        <v>13.452500000000001</v>
      </c>
      <c r="Q1244" s="7">
        <v>15.4213</v>
      </c>
    </row>
    <row r="1245" spans="1:17">
      <c r="A1245" s="5">
        <v>43277</v>
      </c>
      <c r="B1245" s="5" t="str">
        <f t="shared" si="19"/>
        <v>2018 q2</v>
      </c>
      <c r="C1245" s="7">
        <v>5.9272999999999998</v>
      </c>
      <c r="D1245" s="7">
        <v>5.9745999999999997</v>
      </c>
      <c r="E1245" s="7">
        <v>6.0720999999999998</v>
      </c>
      <c r="F1245" s="7">
        <v>6.2160000000000002</v>
      </c>
      <c r="G1245" s="7">
        <v>6.3596000000000004</v>
      </c>
      <c r="H1245" s="7">
        <v>6.5019999999999998</v>
      </c>
      <c r="I1245" s="7">
        <v>7.0510000000000002</v>
      </c>
      <c r="J1245" s="7">
        <v>7.5750000000000002</v>
      </c>
      <c r="K1245" s="7">
        <v>8.0667000000000009</v>
      </c>
      <c r="L1245" s="7">
        <v>8.4984999999999999</v>
      </c>
      <c r="M1245" s="7">
        <v>9.3620000000000001</v>
      </c>
      <c r="N1245" s="7">
        <v>10.5777</v>
      </c>
      <c r="O1245" s="7">
        <v>12.13</v>
      </c>
      <c r="P1245" s="7">
        <v>13.5068</v>
      </c>
      <c r="Q1245" s="7">
        <v>15.551299999999999</v>
      </c>
    </row>
    <row r="1246" spans="1:17">
      <c r="A1246" s="5">
        <v>43278</v>
      </c>
      <c r="B1246" s="5" t="str">
        <f t="shared" si="19"/>
        <v>2018 q2</v>
      </c>
      <c r="C1246" s="7">
        <v>5.9290000000000003</v>
      </c>
      <c r="D1246" s="7">
        <v>5.9763000000000002</v>
      </c>
      <c r="E1246" s="7">
        <v>6.0738000000000003</v>
      </c>
      <c r="F1246" s="7">
        <v>6.2176999999999998</v>
      </c>
      <c r="G1246" s="7">
        <v>6.3613999999999997</v>
      </c>
      <c r="H1246" s="7">
        <v>6.5037000000000003</v>
      </c>
      <c r="I1246" s="7">
        <v>7.0526999999999997</v>
      </c>
      <c r="J1246" s="7">
        <v>7.5763999999999996</v>
      </c>
      <c r="K1246" s="7">
        <v>8.0678000000000001</v>
      </c>
      <c r="L1246" s="7">
        <v>8.4992000000000001</v>
      </c>
      <c r="M1246" s="7">
        <v>9.3619000000000003</v>
      </c>
      <c r="N1246" s="7">
        <v>10.5761</v>
      </c>
      <c r="O1246" s="7">
        <v>12.125400000000001</v>
      </c>
      <c r="P1246" s="7">
        <v>13.498799999999999</v>
      </c>
      <c r="Q1246" s="7">
        <v>15.536799999999999</v>
      </c>
    </row>
    <row r="1247" spans="1:17">
      <c r="A1247" s="5">
        <v>43279</v>
      </c>
      <c r="B1247" s="5" t="str">
        <f t="shared" si="19"/>
        <v>2018 q2</v>
      </c>
      <c r="C1247" s="7">
        <v>5.9238999999999997</v>
      </c>
      <c r="D1247" s="7">
        <v>5.9710000000000001</v>
      </c>
      <c r="E1247" s="7">
        <v>6.0682</v>
      </c>
      <c r="F1247" s="7">
        <v>6.2115999999999998</v>
      </c>
      <c r="G1247" s="7">
        <v>6.3548</v>
      </c>
      <c r="H1247" s="7">
        <v>6.4966999999999997</v>
      </c>
      <c r="I1247" s="7">
        <v>7.0442999999999998</v>
      </c>
      <c r="J1247" s="7">
        <v>7.5674000000000001</v>
      </c>
      <c r="K1247" s="7">
        <v>8.0585000000000004</v>
      </c>
      <c r="L1247" s="7">
        <v>8.4909999999999997</v>
      </c>
      <c r="M1247" s="7">
        <v>9.3559999999999999</v>
      </c>
      <c r="N1247" s="7">
        <v>10.574199999999999</v>
      </c>
      <c r="O1247" s="7">
        <v>12.1372</v>
      </c>
      <c r="P1247" s="7">
        <v>13.525</v>
      </c>
      <c r="Q1247" s="7">
        <v>15.5962</v>
      </c>
    </row>
    <row r="1248" spans="1:17">
      <c r="A1248" s="5">
        <v>43280</v>
      </c>
      <c r="B1248" s="5" t="str">
        <f t="shared" si="19"/>
        <v>2018 q2</v>
      </c>
      <c r="C1248" s="7">
        <v>5.9324000000000003</v>
      </c>
      <c r="D1248" s="7">
        <v>5.9786000000000001</v>
      </c>
      <c r="E1248" s="7">
        <v>6.0742000000000003</v>
      </c>
      <c r="F1248" s="7">
        <v>6.2150999999999996</v>
      </c>
      <c r="G1248" s="7">
        <v>6.3559999999999999</v>
      </c>
      <c r="H1248" s="7">
        <v>6.4954999999999998</v>
      </c>
      <c r="I1248" s="7">
        <v>7.0350000000000001</v>
      </c>
      <c r="J1248" s="7">
        <v>7.5511999999999997</v>
      </c>
      <c r="K1248" s="7">
        <v>8.0442999999999998</v>
      </c>
      <c r="L1248" s="7">
        <v>8.51</v>
      </c>
      <c r="M1248" s="7">
        <v>9.3504000000000005</v>
      </c>
      <c r="N1248" s="7">
        <v>10.541</v>
      </c>
      <c r="O1248" s="7">
        <v>12.114699999999999</v>
      </c>
      <c r="P1248" s="7">
        <v>13.5168</v>
      </c>
      <c r="Q1248" s="7">
        <v>15.6327</v>
      </c>
    </row>
    <row r="1249" spans="1:17">
      <c r="A1249" s="5">
        <v>43283</v>
      </c>
      <c r="B1249" s="5" t="str">
        <f t="shared" si="19"/>
        <v>2018 q3</v>
      </c>
      <c r="C1249" s="7">
        <v>5.9203000000000001</v>
      </c>
      <c r="D1249" s="7">
        <v>5.968</v>
      </c>
      <c r="E1249" s="7">
        <v>6.0663999999999998</v>
      </c>
      <c r="F1249" s="7">
        <v>6.2112999999999996</v>
      </c>
      <c r="G1249" s="7">
        <v>6.3560999999999996</v>
      </c>
      <c r="H1249" s="7">
        <v>6.4991000000000003</v>
      </c>
      <c r="I1249" s="7">
        <v>7.0500999999999996</v>
      </c>
      <c r="J1249" s="7">
        <v>7.5738000000000003</v>
      </c>
      <c r="K1249" s="7">
        <v>8.0625</v>
      </c>
      <c r="L1249" s="7">
        <v>8.4880999999999993</v>
      </c>
      <c r="M1249" s="7">
        <v>9.3392999999999997</v>
      </c>
      <c r="N1249" s="7">
        <v>10.531499999999999</v>
      </c>
      <c r="O1249" s="7">
        <v>12.025499999999999</v>
      </c>
      <c r="P1249" s="7">
        <v>13.3405</v>
      </c>
      <c r="Q1249" s="7">
        <v>15.254099999999999</v>
      </c>
    </row>
    <row r="1250" spans="1:17">
      <c r="A1250" s="5">
        <v>43284</v>
      </c>
      <c r="B1250" s="5" t="str">
        <f t="shared" si="19"/>
        <v>2018 q3</v>
      </c>
      <c r="C1250" s="7">
        <v>5.9005999999999998</v>
      </c>
      <c r="D1250" s="7">
        <v>5.9490999999999996</v>
      </c>
      <c r="E1250" s="7">
        <v>6.0491999999999999</v>
      </c>
      <c r="F1250" s="7">
        <v>6.1973000000000003</v>
      </c>
      <c r="G1250" s="7">
        <v>6.3441999999999998</v>
      </c>
      <c r="H1250" s="7">
        <v>6.4909999999999997</v>
      </c>
      <c r="I1250" s="7">
        <v>7.0495999999999999</v>
      </c>
      <c r="J1250" s="7">
        <v>7.5801999999999996</v>
      </c>
      <c r="K1250" s="7">
        <v>8.0731000000000002</v>
      </c>
      <c r="L1250" s="7">
        <v>8.4997000000000007</v>
      </c>
      <c r="M1250" s="7">
        <v>9.3529</v>
      </c>
      <c r="N1250" s="7">
        <v>10.5434</v>
      </c>
      <c r="O1250" s="7">
        <v>12.0146</v>
      </c>
      <c r="P1250" s="7">
        <v>13.302099999999999</v>
      </c>
      <c r="Q1250" s="7">
        <v>15.148</v>
      </c>
    </row>
    <row r="1251" spans="1:17">
      <c r="A1251" s="5">
        <v>43285</v>
      </c>
      <c r="B1251" s="5" t="str">
        <f t="shared" si="19"/>
        <v>2018 q3</v>
      </c>
      <c r="C1251" s="7">
        <v>5.9053000000000004</v>
      </c>
      <c r="D1251" s="7">
        <v>5.9532999999999996</v>
      </c>
      <c r="E1251" s="7">
        <v>6.0523999999999996</v>
      </c>
      <c r="F1251" s="7">
        <v>6.1989999999999998</v>
      </c>
      <c r="G1251" s="7">
        <v>6.3445</v>
      </c>
      <c r="H1251" s="7">
        <v>6.4897999999999998</v>
      </c>
      <c r="I1251" s="7">
        <v>7.0446</v>
      </c>
      <c r="J1251" s="7">
        <v>7.5730000000000004</v>
      </c>
      <c r="K1251" s="7">
        <v>8.0733999999999995</v>
      </c>
      <c r="L1251" s="7">
        <v>8.5475999999999992</v>
      </c>
      <c r="M1251" s="7">
        <v>9.3928999999999991</v>
      </c>
      <c r="N1251" s="7">
        <v>10.5556</v>
      </c>
      <c r="O1251" s="7">
        <v>12.0631</v>
      </c>
      <c r="P1251" s="7">
        <v>13.3887</v>
      </c>
      <c r="Q1251" s="7">
        <v>15.319100000000001</v>
      </c>
    </row>
    <row r="1252" spans="1:17">
      <c r="A1252" s="5">
        <v>43287</v>
      </c>
      <c r="B1252" s="5" t="str">
        <f t="shared" si="19"/>
        <v>2018 q3</v>
      </c>
      <c r="C1252" s="7">
        <v>5.9016000000000002</v>
      </c>
      <c r="D1252" s="7">
        <v>5.9497</v>
      </c>
      <c r="E1252" s="7">
        <v>6.0491999999999999</v>
      </c>
      <c r="F1252" s="7">
        <v>6.1962000000000002</v>
      </c>
      <c r="G1252" s="7">
        <v>6.3421000000000003</v>
      </c>
      <c r="H1252" s="7">
        <v>6.4878999999999998</v>
      </c>
      <c r="I1252" s="7">
        <v>7.0439999999999996</v>
      </c>
      <c r="J1252" s="7">
        <v>7.5731999999999999</v>
      </c>
      <c r="K1252" s="7">
        <v>8.0658999999999992</v>
      </c>
      <c r="L1252" s="7">
        <v>8.4948999999999995</v>
      </c>
      <c r="M1252" s="7">
        <v>9.3530999999999995</v>
      </c>
      <c r="N1252" s="7">
        <v>10.5525</v>
      </c>
      <c r="O1252" s="7">
        <v>12.0519</v>
      </c>
      <c r="P1252" s="7">
        <v>13.368399999999999</v>
      </c>
      <c r="Q1252" s="7">
        <v>15.278600000000001</v>
      </c>
    </row>
    <row r="1253" spans="1:17">
      <c r="A1253" s="5">
        <v>43290</v>
      </c>
      <c r="B1253" s="5" t="str">
        <f t="shared" si="19"/>
        <v>2018 q3</v>
      </c>
      <c r="C1253" s="7">
        <v>5.8960999999999997</v>
      </c>
      <c r="D1253" s="7">
        <v>5.9443999999999999</v>
      </c>
      <c r="E1253" s="7">
        <v>6.0441000000000003</v>
      </c>
      <c r="F1253" s="7">
        <v>6.1914999999999996</v>
      </c>
      <c r="G1253" s="7">
        <v>6.3379000000000003</v>
      </c>
      <c r="H1253" s="7">
        <v>6.4839000000000002</v>
      </c>
      <c r="I1253" s="7">
        <v>7.0418000000000003</v>
      </c>
      <c r="J1253" s="7">
        <v>7.5728999999999997</v>
      </c>
      <c r="K1253" s="7">
        <v>8.0672999999999995</v>
      </c>
      <c r="L1253" s="7">
        <v>8.4987999999999992</v>
      </c>
      <c r="M1253" s="7">
        <v>9.3618000000000006</v>
      </c>
      <c r="N1253" s="7">
        <v>10.5678</v>
      </c>
      <c r="O1253" s="7">
        <v>12.0802</v>
      </c>
      <c r="P1253" s="7">
        <v>13.4085</v>
      </c>
      <c r="Q1253" s="7">
        <v>15.3416</v>
      </c>
    </row>
    <row r="1254" spans="1:17">
      <c r="A1254" s="5">
        <v>43291</v>
      </c>
      <c r="B1254" s="5" t="str">
        <f t="shared" si="19"/>
        <v>2018 q3</v>
      </c>
      <c r="C1254" s="7">
        <v>5.9279000000000002</v>
      </c>
      <c r="D1254" s="7">
        <v>5.9756999999999998</v>
      </c>
      <c r="E1254" s="7">
        <v>6.0744999999999996</v>
      </c>
      <c r="F1254" s="7">
        <v>6.2210999999999999</v>
      </c>
      <c r="G1254" s="7">
        <v>6.3669000000000002</v>
      </c>
      <c r="H1254" s="7">
        <v>6.5068999999999999</v>
      </c>
      <c r="I1254" s="7">
        <v>7.0609000000000002</v>
      </c>
      <c r="J1254" s="7">
        <v>7.5848000000000004</v>
      </c>
      <c r="K1254" s="7">
        <v>8.0808999999999997</v>
      </c>
      <c r="L1254" s="7">
        <v>8.5434999999999999</v>
      </c>
      <c r="M1254" s="7">
        <v>9.3660999999999994</v>
      </c>
      <c r="N1254" s="7">
        <v>10.518000000000001</v>
      </c>
      <c r="O1254" s="7">
        <v>11.9834</v>
      </c>
      <c r="P1254" s="7">
        <v>13.265599999999999</v>
      </c>
      <c r="Q1254" s="7">
        <v>15.1145</v>
      </c>
    </row>
    <row r="1255" spans="1:17">
      <c r="A1255" s="5">
        <v>43292</v>
      </c>
      <c r="B1255" s="5" t="str">
        <f t="shared" si="19"/>
        <v>2018 q3</v>
      </c>
      <c r="C1255" s="7">
        <v>5.8951000000000002</v>
      </c>
      <c r="D1255" s="7">
        <v>5.9439000000000002</v>
      </c>
      <c r="E1255" s="7">
        <v>6.0446</v>
      </c>
      <c r="F1255" s="7">
        <v>6.1932999999999998</v>
      </c>
      <c r="G1255" s="7">
        <v>6.3410000000000002</v>
      </c>
      <c r="H1255" s="7">
        <v>6.4881000000000002</v>
      </c>
      <c r="I1255" s="7">
        <v>7.0492999999999997</v>
      </c>
      <c r="J1255" s="7">
        <v>7.5823</v>
      </c>
      <c r="K1255" s="7">
        <v>8.0759000000000007</v>
      </c>
      <c r="L1255" s="7">
        <v>8.5045000000000002</v>
      </c>
      <c r="M1255" s="7">
        <v>9.3618000000000006</v>
      </c>
      <c r="N1255" s="7">
        <v>10.5548</v>
      </c>
      <c r="O1255" s="7">
        <v>12.0311</v>
      </c>
      <c r="P1255" s="7">
        <v>13.320399999999999</v>
      </c>
      <c r="Q1255" s="7">
        <v>15.1701</v>
      </c>
    </row>
    <row r="1256" spans="1:17">
      <c r="A1256" s="5">
        <v>43293</v>
      </c>
      <c r="B1256" s="5" t="str">
        <f t="shared" si="19"/>
        <v>2018 q3</v>
      </c>
      <c r="C1256" s="7">
        <v>5.8963000000000001</v>
      </c>
      <c r="D1256" s="7">
        <v>5.9452999999999996</v>
      </c>
      <c r="E1256" s="7">
        <v>6.0465999999999998</v>
      </c>
      <c r="F1256" s="7">
        <v>6.1959</v>
      </c>
      <c r="G1256" s="7">
        <v>6.3442999999999996</v>
      </c>
      <c r="H1256" s="7">
        <v>6.492</v>
      </c>
      <c r="I1256" s="7">
        <v>7.0548999999999999</v>
      </c>
      <c r="J1256" s="7">
        <v>7.5884999999999998</v>
      </c>
      <c r="K1256" s="7">
        <v>8.0815999999999999</v>
      </c>
      <c r="L1256" s="7">
        <v>8.5081000000000007</v>
      </c>
      <c r="M1256" s="7">
        <v>9.3611000000000004</v>
      </c>
      <c r="N1256" s="7">
        <v>10.5457</v>
      </c>
      <c r="O1256" s="7">
        <v>11.999599999999999</v>
      </c>
      <c r="P1256" s="7">
        <v>13.2652</v>
      </c>
      <c r="Q1256" s="7">
        <v>15.065300000000001</v>
      </c>
    </row>
    <row r="1257" spans="1:17">
      <c r="A1257" s="5">
        <v>43294</v>
      </c>
      <c r="B1257" s="5" t="str">
        <f t="shared" si="19"/>
        <v>2018 q3</v>
      </c>
      <c r="C1257" s="7">
        <v>5.9043000000000001</v>
      </c>
      <c r="D1257" s="7">
        <v>5.9526000000000003</v>
      </c>
      <c r="E1257" s="7">
        <v>6.0522999999999998</v>
      </c>
      <c r="F1257" s="7">
        <v>6.1994999999999996</v>
      </c>
      <c r="G1257" s="7">
        <v>6.3457999999999997</v>
      </c>
      <c r="H1257" s="7">
        <v>6.4912999999999998</v>
      </c>
      <c r="I1257" s="7">
        <v>7.0471000000000004</v>
      </c>
      <c r="J1257" s="7">
        <v>7.5750000000000002</v>
      </c>
      <c r="K1257" s="7">
        <v>8.0734999999999992</v>
      </c>
      <c r="L1257" s="7">
        <v>8.5454000000000008</v>
      </c>
      <c r="M1257" s="7">
        <v>9.4169999999999998</v>
      </c>
      <c r="N1257" s="7">
        <v>10.5236</v>
      </c>
      <c r="O1257" s="7">
        <v>11.991899999999999</v>
      </c>
      <c r="P1257" s="7">
        <v>13.2743</v>
      </c>
      <c r="Q1257" s="7">
        <v>15.1187</v>
      </c>
    </row>
    <row r="1258" spans="1:17">
      <c r="A1258" s="5">
        <v>43297</v>
      </c>
      <c r="B1258" s="5" t="str">
        <f t="shared" si="19"/>
        <v>2018 q3</v>
      </c>
      <c r="C1258" s="7">
        <v>5.9508999999999999</v>
      </c>
      <c r="D1258" s="7">
        <v>5.9950000000000001</v>
      </c>
      <c r="E1258" s="7">
        <v>6.0861999999999998</v>
      </c>
      <c r="F1258" s="7">
        <v>6.2211999999999996</v>
      </c>
      <c r="G1258" s="7">
        <v>6.3555999999999999</v>
      </c>
      <c r="H1258" s="7">
        <v>6.4893999999999998</v>
      </c>
      <c r="I1258" s="7">
        <v>7.0063000000000004</v>
      </c>
      <c r="J1258" s="7">
        <v>7.5030999999999999</v>
      </c>
      <c r="K1258" s="7">
        <v>7.9794999999999998</v>
      </c>
      <c r="L1258" s="7">
        <v>8.4301999999999992</v>
      </c>
      <c r="M1258" s="7">
        <v>9.2535000000000007</v>
      </c>
      <c r="N1258" s="7">
        <v>10.441000000000001</v>
      </c>
      <c r="O1258" s="7">
        <v>12.083600000000001</v>
      </c>
      <c r="P1258" s="7">
        <v>13.4046</v>
      </c>
      <c r="Q1258" s="7">
        <v>15.581799999999999</v>
      </c>
    </row>
    <row r="1259" spans="1:17">
      <c r="A1259" s="5">
        <v>43298</v>
      </c>
      <c r="B1259" s="5" t="str">
        <f t="shared" si="19"/>
        <v>2018 q3</v>
      </c>
      <c r="C1259" s="7">
        <v>5.8978000000000002</v>
      </c>
      <c r="D1259" s="7">
        <v>5.9462000000000002</v>
      </c>
      <c r="E1259" s="7">
        <v>6.0461</v>
      </c>
      <c r="F1259" s="7">
        <v>6.1933999999999996</v>
      </c>
      <c r="G1259" s="7">
        <v>6.34</v>
      </c>
      <c r="H1259" s="7">
        <v>6.4855</v>
      </c>
      <c r="I1259" s="7">
        <v>7.0422000000000002</v>
      </c>
      <c r="J1259" s="7">
        <v>7.5709999999999997</v>
      </c>
      <c r="K1259" s="7">
        <v>8.0604999999999993</v>
      </c>
      <c r="L1259" s="7">
        <v>8.4871999999999996</v>
      </c>
      <c r="M1259" s="7">
        <v>9.3407999999999998</v>
      </c>
      <c r="N1259" s="7">
        <v>10.527200000000001</v>
      </c>
      <c r="O1259" s="7">
        <v>12.002800000000001</v>
      </c>
      <c r="P1259" s="7">
        <v>13.291</v>
      </c>
      <c r="Q1259" s="7">
        <v>15.148</v>
      </c>
    </row>
    <row r="1260" spans="1:17">
      <c r="A1260" s="5">
        <v>43299</v>
      </c>
      <c r="B1260" s="5" t="str">
        <f t="shared" si="19"/>
        <v>2018 q3</v>
      </c>
      <c r="C1260" s="7">
        <v>5.8714000000000004</v>
      </c>
      <c r="D1260" s="7">
        <v>5.9236000000000004</v>
      </c>
      <c r="E1260" s="7">
        <v>6.0313999999999997</v>
      </c>
      <c r="F1260" s="7">
        <v>6.1887999999999996</v>
      </c>
      <c r="G1260" s="7">
        <v>6.3451000000000004</v>
      </c>
      <c r="H1260" s="7">
        <v>6.4997999999999996</v>
      </c>
      <c r="I1260" s="7">
        <v>7.0789</v>
      </c>
      <c r="J1260" s="7">
        <v>7.6158999999999999</v>
      </c>
      <c r="K1260" s="7">
        <v>8.0959000000000003</v>
      </c>
      <c r="L1260" s="7">
        <v>8.4893999999999998</v>
      </c>
      <c r="M1260" s="7">
        <v>9.2763000000000009</v>
      </c>
      <c r="N1260" s="7">
        <v>10.3421</v>
      </c>
      <c r="O1260" s="7">
        <v>11.508599999999999</v>
      </c>
      <c r="P1260" s="7">
        <v>12.4877</v>
      </c>
      <c r="Q1260" s="7">
        <v>13.7286</v>
      </c>
    </row>
    <row r="1261" spans="1:17">
      <c r="A1261" s="5">
        <v>43300</v>
      </c>
      <c r="B1261" s="5" t="str">
        <f t="shared" si="19"/>
        <v>2018 q3</v>
      </c>
      <c r="C1261" s="7">
        <v>5.9272</v>
      </c>
      <c r="D1261" s="7">
        <v>5.9730999999999996</v>
      </c>
      <c r="E1261" s="7">
        <v>6.0677000000000003</v>
      </c>
      <c r="F1261" s="7">
        <v>6.2073</v>
      </c>
      <c r="G1261" s="7">
        <v>6.3463000000000003</v>
      </c>
      <c r="H1261" s="7">
        <v>6.4843999999999999</v>
      </c>
      <c r="I1261" s="7">
        <v>7.0147000000000004</v>
      </c>
      <c r="J1261" s="7">
        <v>7.5206999999999997</v>
      </c>
      <c r="K1261" s="7">
        <v>7.9960000000000004</v>
      </c>
      <c r="L1261" s="7">
        <v>8.4314999999999998</v>
      </c>
      <c r="M1261" s="7">
        <v>9.3026</v>
      </c>
      <c r="N1261" s="7">
        <v>10.3985</v>
      </c>
      <c r="O1261" s="7">
        <v>11.8767</v>
      </c>
      <c r="P1261" s="7">
        <v>13.177099999999999</v>
      </c>
      <c r="Q1261" s="7">
        <v>15.099500000000001</v>
      </c>
    </row>
    <row r="1262" spans="1:17">
      <c r="A1262" s="5">
        <v>43301</v>
      </c>
      <c r="B1262" s="5" t="str">
        <f t="shared" si="19"/>
        <v>2018 q3</v>
      </c>
      <c r="C1262" s="7">
        <v>5.8571</v>
      </c>
      <c r="D1262" s="7">
        <v>5.9108000000000001</v>
      </c>
      <c r="E1262" s="7">
        <v>6.0217000000000001</v>
      </c>
      <c r="F1262" s="7">
        <v>6.1830999999999996</v>
      </c>
      <c r="G1262" s="7">
        <v>6.3433000000000002</v>
      </c>
      <c r="H1262" s="7">
        <v>6.5015999999999998</v>
      </c>
      <c r="I1262" s="7">
        <v>7.0904999999999996</v>
      </c>
      <c r="J1262" s="7">
        <v>7.6322999999999999</v>
      </c>
      <c r="K1262" s="7">
        <v>8.1111000000000004</v>
      </c>
      <c r="L1262" s="7">
        <v>8.4964999999999993</v>
      </c>
      <c r="M1262" s="7">
        <v>9.2674000000000003</v>
      </c>
      <c r="N1262" s="7">
        <v>10.3032</v>
      </c>
      <c r="O1262" s="7">
        <v>11.394600000000001</v>
      </c>
      <c r="P1262" s="7">
        <v>12.3011</v>
      </c>
      <c r="Q1262" s="7">
        <v>13.409599999999999</v>
      </c>
    </row>
    <row r="1263" spans="1:17">
      <c r="A1263" s="5">
        <v>43304</v>
      </c>
      <c r="B1263" s="5" t="str">
        <f t="shared" si="19"/>
        <v>2018 q3</v>
      </c>
      <c r="C1263" s="7">
        <v>5.9076000000000004</v>
      </c>
      <c r="D1263" s="7">
        <v>5.9558</v>
      </c>
      <c r="E1263" s="7">
        <v>6.0552999999999999</v>
      </c>
      <c r="F1263" s="7">
        <v>6.2011000000000003</v>
      </c>
      <c r="G1263" s="7">
        <v>6.3460999999999999</v>
      </c>
      <c r="H1263" s="7">
        <v>6.4897</v>
      </c>
      <c r="I1263" s="7">
        <v>7.0331999999999999</v>
      </c>
      <c r="J1263" s="7">
        <v>7.5430000000000001</v>
      </c>
      <c r="K1263" s="7">
        <v>8.0191999999999997</v>
      </c>
      <c r="L1263" s="7">
        <v>8.4657999999999998</v>
      </c>
      <c r="M1263" s="7">
        <v>9.2241999999999997</v>
      </c>
      <c r="N1263" s="7">
        <v>10.2491</v>
      </c>
      <c r="O1263" s="7">
        <v>11.4938</v>
      </c>
      <c r="P1263" s="7">
        <v>12.555400000000001</v>
      </c>
      <c r="Q1263" s="7">
        <v>13.982900000000001</v>
      </c>
    </row>
    <row r="1264" spans="1:17">
      <c r="A1264" s="5">
        <v>43305</v>
      </c>
      <c r="B1264" s="5" t="str">
        <f t="shared" si="19"/>
        <v>2018 q3</v>
      </c>
      <c r="C1264" s="7">
        <v>5.8726000000000003</v>
      </c>
      <c r="D1264" s="7">
        <v>5.9253999999999998</v>
      </c>
      <c r="E1264" s="7">
        <v>6.0343999999999998</v>
      </c>
      <c r="F1264" s="7">
        <v>6.1973000000000003</v>
      </c>
      <c r="G1264" s="7">
        <v>6.3548</v>
      </c>
      <c r="H1264" s="7">
        <v>6.5103</v>
      </c>
      <c r="I1264" s="7">
        <v>7.0946999999999996</v>
      </c>
      <c r="J1264" s="7">
        <v>7.6332000000000004</v>
      </c>
      <c r="K1264" s="7">
        <v>8.1091999999999995</v>
      </c>
      <c r="L1264" s="7">
        <v>8.4948999999999995</v>
      </c>
      <c r="M1264" s="7">
        <v>9.2664000000000009</v>
      </c>
      <c r="N1264" s="7">
        <v>10.3025</v>
      </c>
      <c r="O1264" s="7">
        <v>11.4047</v>
      </c>
      <c r="P1264" s="7">
        <v>12.3207</v>
      </c>
      <c r="Q1264" s="7">
        <v>13.450200000000001</v>
      </c>
    </row>
    <row r="1265" spans="1:17">
      <c r="A1265" s="5">
        <v>43306</v>
      </c>
      <c r="B1265" s="5" t="str">
        <f t="shared" si="19"/>
        <v>2018 q3</v>
      </c>
      <c r="C1265" s="7">
        <v>5.8745000000000003</v>
      </c>
      <c r="D1265" s="7">
        <v>5.9272</v>
      </c>
      <c r="E1265" s="7">
        <v>6.0359999999999996</v>
      </c>
      <c r="F1265" s="7">
        <v>6.1986999999999997</v>
      </c>
      <c r="G1265" s="7">
        <v>6.3558000000000003</v>
      </c>
      <c r="H1265" s="7">
        <v>6.5105000000000004</v>
      </c>
      <c r="I1265" s="7">
        <v>7.0903999999999998</v>
      </c>
      <c r="J1265" s="7">
        <v>7.6222000000000003</v>
      </c>
      <c r="K1265" s="7">
        <v>8.0890000000000004</v>
      </c>
      <c r="L1265" s="7">
        <v>8.4632000000000005</v>
      </c>
      <c r="M1265" s="7">
        <v>9.2114999999999991</v>
      </c>
      <c r="N1265" s="7">
        <v>10.2119</v>
      </c>
      <c r="O1265" s="7">
        <v>11.252000000000001</v>
      </c>
      <c r="P1265" s="7">
        <v>12.1111</v>
      </c>
      <c r="Q1265" s="7">
        <v>13.148400000000001</v>
      </c>
    </row>
    <row r="1266" spans="1:17">
      <c r="A1266" s="5">
        <v>43307</v>
      </c>
      <c r="B1266" s="5" t="str">
        <f t="shared" si="19"/>
        <v>2018 q3</v>
      </c>
      <c r="C1266" s="7">
        <v>5.9066999999999998</v>
      </c>
      <c r="D1266" s="7">
        <v>5.9558</v>
      </c>
      <c r="E1266" s="7">
        <v>6.0571999999999999</v>
      </c>
      <c r="F1266" s="7">
        <v>6.2088000000000001</v>
      </c>
      <c r="G1266" s="7">
        <v>6.3559999999999999</v>
      </c>
      <c r="H1266" s="7">
        <v>6.5014000000000003</v>
      </c>
      <c r="I1266" s="7">
        <v>7.0522</v>
      </c>
      <c r="J1266" s="7">
        <v>7.5643000000000002</v>
      </c>
      <c r="K1266" s="7">
        <v>8.0226000000000006</v>
      </c>
      <c r="L1266" s="7">
        <v>8.4030000000000005</v>
      </c>
      <c r="M1266" s="7">
        <v>9.1638000000000002</v>
      </c>
      <c r="N1266" s="7">
        <v>10.193899999999999</v>
      </c>
      <c r="O1266" s="7">
        <v>11.3428</v>
      </c>
      <c r="P1266" s="7">
        <v>12.3089</v>
      </c>
      <c r="Q1266" s="7">
        <v>13.5548</v>
      </c>
    </row>
    <row r="1267" spans="1:17">
      <c r="A1267" s="5">
        <v>43308</v>
      </c>
      <c r="B1267" s="5" t="str">
        <f t="shared" si="19"/>
        <v>2018 q3</v>
      </c>
      <c r="C1267" s="7">
        <v>5.9217000000000004</v>
      </c>
      <c r="D1267" s="7">
        <v>5.9707999999999997</v>
      </c>
      <c r="E1267" s="7">
        <v>6.0723000000000003</v>
      </c>
      <c r="F1267" s="7">
        <v>6.2237999999999998</v>
      </c>
      <c r="G1267" s="7">
        <v>6.3708999999999998</v>
      </c>
      <c r="H1267" s="7">
        <v>6.5157999999999996</v>
      </c>
      <c r="I1267" s="7">
        <v>7.0636000000000001</v>
      </c>
      <c r="J1267" s="7">
        <v>7.5708000000000002</v>
      </c>
      <c r="K1267" s="7">
        <v>8.0218000000000007</v>
      </c>
      <c r="L1267" s="7">
        <v>8.3926999999999996</v>
      </c>
      <c r="M1267" s="7">
        <v>9.1344999999999992</v>
      </c>
      <c r="N1267" s="7">
        <v>10.161199999999999</v>
      </c>
      <c r="O1267" s="7">
        <v>11.3353</v>
      </c>
      <c r="P1267" s="7">
        <v>12.1401</v>
      </c>
      <c r="Q1267" s="7">
        <v>13.2948</v>
      </c>
    </row>
    <row r="1268" spans="1:17">
      <c r="A1268" s="5">
        <v>43311</v>
      </c>
      <c r="B1268" s="5" t="str">
        <f t="shared" si="19"/>
        <v>2018 q3</v>
      </c>
      <c r="C1268" s="7">
        <v>5.9112999999999998</v>
      </c>
      <c r="D1268" s="7">
        <v>5.9611000000000001</v>
      </c>
      <c r="E1268" s="7">
        <v>6.0639000000000003</v>
      </c>
      <c r="F1268" s="7">
        <v>6.2175000000000002</v>
      </c>
      <c r="G1268" s="7">
        <v>6.3662000000000001</v>
      </c>
      <c r="H1268" s="7">
        <v>6.5125999999999999</v>
      </c>
      <c r="I1268" s="7">
        <v>7.0640999999999998</v>
      </c>
      <c r="J1268" s="7">
        <v>7.5723000000000003</v>
      </c>
      <c r="K1268" s="7">
        <v>8.0210000000000008</v>
      </c>
      <c r="L1268" s="7">
        <v>8.3858999999999995</v>
      </c>
      <c r="M1268" s="7">
        <v>9.1157000000000004</v>
      </c>
      <c r="N1268" s="7">
        <v>10.121600000000001</v>
      </c>
      <c r="O1268" s="7">
        <v>11.248100000000001</v>
      </c>
      <c r="P1268" s="7">
        <v>12.0067</v>
      </c>
      <c r="Q1268" s="7">
        <v>13.079499999999999</v>
      </c>
    </row>
    <row r="1269" spans="1:17">
      <c r="A1269" s="5">
        <v>43312</v>
      </c>
      <c r="B1269" s="5" t="str">
        <f t="shared" si="19"/>
        <v>2018 q3</v>
      </c>
      <c r="C1269" s="7">
        <v>5.8764000000000003</v>
      </c>
      <c r="D1269" s="7">
        <v>5.9298000000000002</v>
      </c>
      <c r="E1269" s="7">
        <v>6.0400999999999998</v>
      </c>
      <c r="F1269" s="7">
        <v>6.2043999999999997</v>
      </c>
      <c r="G1269" s="7">
        <v>6.3630000000000004</v>
      </c>
      <c r="H1269" s="7">
        <v>6.5183999999999997</v>
      </c>
      <c r="I1269" s="7">
        <v>7.0994999999999999</v>
      </c>
      <c r="J1269" s="7">
        <v>7.6285999999999996</v>
      </c>
      <c r="K1269" s="7">
        <v>8.1050000000000004</v>
      </c>
      <c r="L1269" s="7">
        <v>8.5394000000000005</v>
      </c>
      <c r="M1269" s="7">
        <v>9.2365999999999993</v>
      </c>
      <c r="N1269" s="7">
        <v>10.138999999999999</v>
      </c>
      <c r="O1269" s="7">
        <v>11.1092</v>
      </c>
      <c r="P1269" s="7">
        <v>11.902799999999999</v>
      </c>
      <c r="Q1269" s="7">
        <v>12.8346</v>
      </c>
    </row>
    <row r="1270" spans="1:17">
      <c r="A1270" s="5">
        <v>43313</v>
      </c>
      <c r="B1270" s="5" t="str">
        <f t="shared" si="19"/>
        <v>2018 q3</v>
      </c>
      <c r="C1270" s="7">
        <v>5.9157000000000002</v>
      </c>
      <c r="D1270" s="7">
        <v>5.9660000000000002</v>
      </c>
      <c r="E1270" s="7">
        <v>6.0698999999999996</v>
      </c>
      <c r="F1270" s="7">
        <v>6.2248000000000001</v>
      </c>
      <c r="G1270" s="7">
        <v>6.3750999999999998</v>
      </c>
      <c r="H1270" s="7">
        <v>6.5225999999999997</v>
      </c>
      <c r="I1270" s="7">
        <v>7.0792000000000002</v>
      </c>
      <c r="J1270" s="7">
        <v>7.5918999999999999</v>
      </c>
      <c r="K1270" s="7">
        <v>8.0436999999999994</v>
      </c>
      <c r="L1270" s="7">
        <v>8.4117999999999995</v>
      </c>
      <c r="M1270" s="7">
        <v>9.1480999999999995</v>
      </c>
      <c r="N1270" s="7">
        <v>10.133599999999999</v>
      </c>
      <c r="O1270" s="7">
        <v>11.1861</v>
      </c>
      <c r="P1270" s="7">
        <v>12.0587</v>
      </c>
      <c r="Q1270" s="7">
        <v>13.1378</v>
      </c>
    </row>
    <row r="1271" spans="1:17">
      <c r="A1271" s="5">
        <v>43314</v>
      </c>
      <c r="B1271" s="5" t="str">
        <f t="shared" si="19"/>
        <v>2018 q3</v>
      </c>
      <c r="C1271" s="7">
        <v>5.9179000000000004</v>
      </c>
      <c r="D1271" s="7">
        <v>5.968</v>
      </c>
      <c r="E1271" s="7">
        <v>6.0715000000000003</v>
      </c>
      <c r="F1271" s="7">
        <v>6.2256</v>
      </c>
      <c r="G1271" s="7">
        <v>6.3754999999999997</v>
      </c>
      <c r="H1271" s="7">
        <v>6.5225999999999997</v>
      </c>
      <c r="I1271" s="7">
        <v>7.0796000000000001</v>
      </c>
      <c r="J1271" s="7">
        <v>7.5946999999999996</v>
      </c>
      <c r="K1271" s="7">
        <v>8.0509000000000004</v>
      </c>
      <c r="L1271" s="7">
        <v>8.4263999999999992</v>
      </c>
      <c r="M1271" s="7">
        <v>9.1775000000000002</v>
      </c>
      <c r="N1271" s="7">
        <v>10.186299999999999</v>
      </c>
      <c r="O1271" s="7">
        <v>11.285399999999999</v>
      </c>
      <c r="P1271" s="7">
        <v>12.2011</v>
      </c>
      <c r="Q1271" s="7">
        <v>13.354799999999999</v>
      </c>
    </row>
    <row r="1272" spans="1:17">
      <c r="A1272" s="5">
        <v>43315</v>
      </c>
      <c r="B1272" s="5" t="str">
        <f t="shared" si="19"/>
        <v>2018 q3</v>
      </c>
      <c r="C1272" s="7">
        <v>5.9240000000000004</v>
      </c>
      <c r="D1272" s="7">
        <v>5.9737</v>
      </c>
      <c r="E1272" s="7">
        <v>6.0762</v>
      </c>
      <c r="F1272" s="7">
        <v>6.2290000000000001</v>
      </c>
      <c r="G1272" s="7">
        <v>6.3775000000000004</v>
      </c>
      <c r="H1272" s="7">
        <v>6.5232999999999999</v>
      </c>
      <c r="I1272" s="7">
        <v>7.0747</v>
      </c>
      <c r="J1272" s="7">
        <v>7.5845000000000002</v>
      </c>
      <c r="K1272" s="7">
        <v>8.0351999999999997</v>
      </c>
      <c r="L1272" s="7">
        <v>8.4060000000000006</v>
      </c>
      <c r="M1272" s="7">
        <v>9.1473999999999993</v>
      </c>
      <c r="N1272" s="7">
        <v>10.142200000000001</v>
      </c>
      <c r="O1272" s="7">
        <v>11.2227</v>
      </c>
      <c r="P1272" s="7">
        <v>12.1218</v>
      </c>
      <c r="Q1272" s="7">
        <v>13.2514</v>
      </c>
    </row>
    <row r="1273" spans="1:17">
      <c r="A1273" s="5">
        <v>43318</v>
      </c>
      <c r="B1273" s="5" t="str">
        <f t="shared" si="19"/>
        <v>2018 q3</v>
      </c>
      <c r="C1273" s="7">
        <v>5.9116999999999997</v>
      </c>
      <c r="D1273" s="7">
        <v>5.9622999999999999</v>
      </c>
      <c r="E1273" s="7">
        <v>6.0664999999999996</v>
      </c>
      <c r="F1273" s="7">
        <v>6.2217000000000002</v>
      </c>
      <c r="G1273" s="7">
        <v>6.3719999999999999</v>
      </c>
      <c r="H1273" s="7">
        <v>6.5191999999999997</v>
      </c>
      <c r="I1273" s="7">
        <v>7.0724</v>
      </c>
      <c r="J1273" s="7">
        <v>7.5789</v>
      </c>
      <c r="K1273" s="7">
        <v>8.0376999999999992</v>
      </c>
      <c r="L1273" s="7">
        <v>8.4588000000000001</v>
      </c>
      <c r="M1273" s="7">
        <v>9.1417000000000002</v>
      </c>
      <c r="N1273" s="7">
        <v>10.0312</v>
      </c>
      <c r="O1273" s="7">
        <v>11.010999999999999</v>
      </c>
      <c r="P1273" s="7">
        <v>11.8163</v>
      </c>
      <c r="Q1273" s="7">
        <v>12.7857</v>
      </c>
    </row>
    <row r="1274" spans="1:17">
      <c r="A1274" s="5">
        <v>43319</v>
      </c>
      <c r="B1274" s="5" t="str">
        <f t="shared" si="19"/>
        <v>2018 q3</v>
      </c>
      <c r="C1274" s="7">
        <v>5.9076000000000004</v>
      </c>
      <c r="D1274" s="7">
        <v>5.9599000000000002</v>
      </c>
      <c r="E1274" s="7">
        <v>6.0679999999999996</v>
      </c>
      <c r="F1274" s="7">
        <v>6.2283999999999997</v>
      </c>
      <c r="G1274" s="7">
        <v>6.3832000000000004</v>
      </c>
      <c r="H1274" s="7">
        <v>6.5378999999999996</v>
      </c>
      <c r="I1274" s="7">
        <v>7.1052</v>
      </c>
      <c r="J1274" s="7">
        <v>7.6241000000000003</v>
      </c>
      <c r="K1274" s="7">
        <v>8.0730000000000004</v>
      </c>
      <c r="L1274" s="7">
        <v>8.4313000000000002</v>
      </c>
      <c r="M1274" s="7">
        <v>9.1478000000000002</v>
      </c>
      <c r="N1274" s="7">
        <v>10.1235</v>
      </c>
      <c r="O1274" s="7">
        <v>11.1675</v>
      </c>
      <c r="P1274" s="7">
        <v>11.844099999999999</v>
      </c>
      <c r="Q1274" s="7">
        <v>12.7738</v>
      </c>
    </row>
    <row r="1275" spans="1:17">
      <c r="A1275" s="5">
        <v>43320</v>
      </c>
      <c r="B1275" s="5" t="str">
        <f t="shared" si="19"/>
        <v>2018 q3</v>
      </c>
      <c r="C1275" s="7">
        <v>5.8631000000000002</v>
      </c>
      <c r="D1275" s="7">
        <v>5.9165999999999999</v>
      </c>
      <c r="E1275" s="7">
        <v>6.0270000000000001</v>
      </c>
      <c r="F1275" s="7">
        <v>6.1905999999999999</v>
      </c>
      <c r="G1275" s="7">
        <v>6.3483999999999998</v>
      </c>
      <c r="H1275" s="7">
        <v>6.5060000000000002</v>
      </c>
      <c r="I1275" s="7">
        <v>7.0822000000000003</v>
      </c>
      <c r="J1275" s="7">
        <v>7.6071999999999997</v>
      </c>
      <c r="K1275" s="7">
        <v>8.0587999999999997</v>
      </c>
      <c r="L1275" s="7">
        <v>8.4162999999999997</v>
      </c>
      <c r="M1275" s="7">
        <v>9.1313999999999993</v>
      </c>
      <c r="N1275" s="7">
        <v>10.073</v>
      </c>
      <c r="O1275" s="7">
        <v>11.0137</v>
      </c>
      <c r="P1275" s="7">
        <v>11.778700000000001</v>
      </c>
      <c r="Q1275" s="7">
        <v>12.669499999999999</v>
      </c>
    </row>
    <row r="1276" spans="1:17">
      <c r="A1276" s="5">
        <v>43321</v>
      </c>
      <c r="B1276" s="5" t="str">
        <f t="shared" si="19"/>
        <v>2018 q3</v>
      </c>
      <c r="C1276" s="7">
        <v>5.8700999999999999</v>
      </c>
      <c r="D1276" s="7">
        <v>5.9252000000000002</v>
      </c>
      <c r="E1276" s="7">
        <v>6.0388999999999999</v>
      </c>
      <c r="F1276" s="7">
        <v>6.2070999999999996</v>
      </c>
      <c r="G1276" s="7">
        <v>6.3691000000000004</v>
      </c>
      <c r="H1276" s="7">
        <v>6.5308000000000002</v>
      </c>
      <c r="I1276" s="7">
        <v>7.1188000000000002</v>
      </c>
      <c r="J1276" s="7">
        <v>7.6515000000000004</v>
      </c>
      <c r="K1276" s="7">
        <v>8.1057000000000006</v>
      </c>
      <c r="L1276" s="7">
        <v>8.4606999999999992</v>
      </c>
      <c r="M1276" s="7">
        <v>9.1707000000000001</v>
      </c>
      <c r="N1276" s="7">
        <v>10.1006</v>
      </c>
      <c r="O1276" s="7">
        <v>11.004799999999999</v>
      </c>
      <c r="P1276" s="7">
        <v>11.7356</v>
      </c>
      <c r="Q1276" s="7">
        <v>12.5672</v>
      </c>
    </row>
    <row r="1277" spans="1:17">
      <c r="A1277" s="5">
        <v>43322</v>
      </c>
      <c r="B1277" s="5" t="str">
        <f t="shared" si="19"/>
        <v>2018 q3</v>
      </c>
      <c r="C1277" s="7">
        <v>5.8551000000000002</v>
      </c>
      <c r="D1277" s="7">
        <v>5.9103000000000003</v>
      </c>
      <c r="E1277" s="7">
        <v>6.0244</v>
      </c>
      <c r="F1277" s="7">
        <v>6.1932</v>
      </c>
      <c r="G1277" s="7">
        <v>6.3556999999999997</v>
      </c>
      <c r="H1277" s="7">
        <v>6.5176999999999996</v>
      </c>
      <c r="I1277" s="7">
        <v>7.1069000000000004</v>
      </c>
      <c r="J1277" s="7">
        <v>7.6402999999999999</v>
      </c>
      <c r="K1277" s="7">
        <v>8.0943000000000005</v>
      </c>
      <c r="L1277" s="7">
        <v>8.4487000000000005</v>
      </c>
      <c r="M1277" s="7">
        <v>9.1576000000000004</v>
      </c>
      <c r="N1277" s="7">
        <v>10.084899999999999</v>
      </c>
      <c r="O1277" s="7">
        <v>10.983599999999999</v>
      </c>
      <c r="P1277" s="7">
        <v>11.709099999999999</v>
      </c>
      <c r="Q1277" s="7">
        <v>12.532299999999999</v>
      </c>
    </row>
    <row r="1278" spans="1:17">
      <c r="A1278" s="5">
        <v>43325</v>
      </c>
      <c r="B1278" s="5" t="str">
        <f t="shared" si="19"/>
        <v>2018 q3</v>
      </c>
      <c r="C1278" s="7">
        <v>5.8789999999999996</v>
      </c>
      <c r="D1278" s="7">
        <v>5.9324000000000003</v>
      </c>
      <c r="E1278" s="7">
        <v>6.0427</v>
      </c>
      <c r="F1278" s="7">
        <v>6.2058</v>
      </c>
      <c r="G1278" s="7">
        <v>6.3634000000000004</v>
      </c>
      <c r="H1278" s="7">
        <v>6.5202999999999998</v>
      </c>
      <c r="I1278" s="7">
        <v>7.0940000000000003</v>
      </c>
      <c r="J1278" s="7">
        <v>7.6159999999999997</v>
      </c>
      <c r="K1278" s="7">
        <v>8.0833999999999993</v>
      </c>
      <c r="L1278" s="7">
        <v>8.5091999999999999</v>
      </c>
      <c r="M1278" s="7">
        <v>9.1834000000000007</v>
      </c>
      <c r="N1278" s="7">
        <v>10.0509</v>
      </c>
      <c r="O1278" s="7">
        <v>10.9717</v>
      </c>
      <c r="P1278" s="7">
        <v>11.718400000000001</v>
      </c>
      <c r="Q1278" s="7">
        <v>12.582599999999999</v>
      </c>
    </row>
    <row r="1279" spans="1:17">
      <c r="A1279" s="5">
        <v>43326</v>
      </c>
      <c r="B1279" s="5" t="str">
        <f t="shared" si="19"/>
        <v>2018 q3</v>
      </c>
      <c r="C1279" s="7">
        <v>5.9283000000000001</v>
      </c>
      <c r="D1279" s="7">
        <v>5.9797000000000002</v>
      </c>
      <c r="E1279" s="7">
        <v>6.0857000000000001</v>
      </c>
      <c r="F1279" s="7">
        <v>6.2431999999999999</v>
      </c>
      <c r="G1279" s="7">
        <v>6.3964999999999996</v>
      </c>
      <c r="H1279" s="7">
        <v>6.5414000000000003</v>
      </c>
      <c r="I1279" s="7">
        <v>7.1058000000000003</v>
      </c>
      <c r="J1279" s="7">
        <v>7.6196999999999999</v>
      </c>
      <c r="K1279" s="7">
        <v>8.0850000000000009</v>
      </c>
      <c r="L1279" s="7">
        <v>8.5132999999999992</v>
      </c>
      <c r="M1279" s="7">
        <v>9.2056000000000004</v>
      </c>
      <c r="N1279" s="7">
        <v>10.1067</v>
      </c>
      <c r="O1279" s="7">
        <v>11.1037</v>
      </c>
      <c r="P1279" s="7">
        <v>11.920299999999999</v>
      </c>
      <c r="Q1279" s="7">
        <v>12.9068</v>
      </c>
    </row>
    <row r="1280" spans="1:17">
      <c r="A1280" s="5">
        <v>43327</v>
      </c>
      <c r="B1280" s="5" t="str">
        <f t="shared" si="19"/>
        <v>2018 q3</v>
      </c>
      <c r="C1280" s="7">
        <v>5.8979999999999997</v>
      </c>
      <c r="D1280" s="7">
        <v>5.9523000000000001</v>
      </c>
      <c r="E1280" s="7">
        <v>6.0644999999999998</v>
      </c>
      <c r="F1280" s="7">
        <v>6.2306999999999997</v>
      </c>
      <c r="G1280" s="7">
        <v>6.3918999999999997</v>
      </c>
      <c r="H1280" s="7">
        <v>6.5430000000000001</v>
      </c>
      <c r="I1280" s="7">
        <v>7.1292</v>
      </c>
      <c r="J1280" s="7">
        <v>7.6555</v>
      </c>
      <c r="K1280" s="7">
        <v>8.1034000000000006</v>
      </c>
      <c r="L1280" s="7">
        <v>8.4562000000000008</v>
      </c>
      <c r="M1280" s="7">
        <v>9.1617999999999995</v>
      </c>
      <c r="N1280" s="7">
        <v>10.0839</v>
      </c>
      <c r="O1280" s="7">
        <v>10.988099999999999</v>
      </c>
      <c r="P1280" s="7">
        <v>11.718</v>
      </c>
      <c r="Q1280" s="7">
        <v>12.554</v>
      </c>
    </row>
    <row r="1281" spans="1:17">
      <c r="A1281" s="5">
        <v>43328</v>
      </c>
      <c r="B1281" s="5" t="str">
        <f t="shared" si="19"/>
        <v>2018 q3</v>
      </c>
      <c r="C1281" s="7">
        <v>5.9138999999999999</v>
      </c>
      <c r="D1281" s="7">
        <v>5.9661999999999997</v>
      </c>
      <c r="E1281" s="7">
        <v>6.0739999999999998</v>
      </c>
      <c r="F1281" s="7">
        <v>6.234</v>
      </c>
      <c r="G1281" s="7">
        <v>6.3893000000000004</v>
      </c>
      <c r="H1281" s="7">
        <v>6.5355999999999996</v>
      </c>
      <c r="I1281" s="7">
        <v>7.1044999999999998</v>
      </c>
      <c r="J1281" s="7">
        <v>7.6191000000000004</v>
      </c>
      <c r="K1281" s="7">
        <v>8.0817999999999994</v>
      </c>
      <c r="L1281" s="7">
        <v>8.5055999999999994</v>
      </c>
      <c r="M1281" s="7">
        <v>9.1807999999999996</v>
      </c>
      <c r="N1281" s="7">
        <v>10.0534</v>
      </c>
      <c r="O1281" s="7">
        <v>10.996</v>
      </c>
      <c r="P1281" s="7">
        <v>11.7621</v>
      </c>
      <c r="Q1281" s="7">
        <v>12.6645</v>
      </c>
    </row>
    <row r="1282" spans="1:17">
      <c r="A1282" s="5">
        <v>43329</v>
      </c>
      <c r="B1282" s="5" t="str">
        <f t="shared" si="19"/>
        <v>2018 q3</v>
      </c>
      <c r="C1282" s="7">
        <v>5.8849</v>
      </c>
      <c r="D1282" s="7">
        <v>5.9406999999999996</v>
      </c>
      <c r="E1282" s="7">
        <v>6.0557999999999996</v>
      </c>
      <c r="F1282" s="7">
        <v>6.2263000000000002</v>
      </c>
      <c r="G1282" s="7">
        <v>6.3913000000000002</v>
      </c>
      <c r="H1282" s="7">
        <v>6.5458999999999996</v>
      </c>
      <c r="I1282" s="7">
        <v>7.1452999999999998</v>
      </c>
      <c r="J1282" s="7">
        <v>7.6820000000000004</v>
      </c>
      <c r="K1282" s="7">
        <v>8.1365999999999996</v>
      </c>
      <c r="L1282" s="7">
        <v>8.4931999999999999</v>
      </c>
      <c r="M1282" s="7">
        <v>9.2065999999999999</v>
      </c>
      <c r="N1282" s="7">
        <v>10.135999999999999</v>
      </c>
      <c r="O1282" s="7">
        <v>11.037800000000001</v>
      </c>
      <c r="P1282" s="7">
        <v>11.7636</v>
      </c>
      <c r="Q1282" s="7">
        <v>12.5876</v>
      </c>
    </row>
    <row r="1283" spans="1:17">
      <c r="A1283" s="5">
        <v>43332</v>
      </c>
      <c r="B1283" s="5" t="str">
        <f t="shared" ref="B1283:B1346" si="20">YEAR(A1283)&amp;" q"&amp;ROUNDUP(MONTH(A1283)/3,0)</f>
        <v>2018 q3</v>
      </c>
      <c r="C1283" s="7">
        <v>5.8654999999999999</v>
      </c>
      <c r="D1283" s="7">
        <v>5.9207000000000001</v>
      </c>
      <c r="E1283" s="7">
        <v>6.0345000000000004</v>
      </c>
      <c r="F1283" s="7">
        <v>6.202</v>
      </c>
      <c r="G1283" s="7">
        <v>6.3638000000000003</v>
      </c>
      <c r="H1283" s="7">
        <v>6.524</v>
      </c>
      <c r="I1283" s="7">
        <v>7.1069000000000004</v>
      </c>
      <c r="J1283" s="7">
        <v>7.6322999999999999</v>
      </c>
      <c r="K1283" s="7">
        <v>8.0746000000000002</v>
      </c>
      <c r="L1283" s="7">
        <v>8.4190000000000005</v>
      </c>
      <c r="M1283" s="7">
        <v>9.1077999999999992</v>
      </c>
      <c r="N1283" s="7">
        <v>10.001899999999999</v>
      </c>
      <c r="O1283" s="7">
        <v>10.8551</v>
      </c>
      <c r="P1283" s="7">
        <v>11.5389</v>
      </c>
      <c r="Q1283" s="7">
        <v>12.3047</v>
      </c>
    </row>
    <row r="1284" spans="1:17">
      <c r="A1284" s="5">
        <v>43333</v>
      </c>
      <c r="B1284" s="5" t="str">
        <f t="shared" si="20"/>
        <v>2018 q3</v>
      </c>
      <c r="C1284" s="7">
        <v>5.8930999999999996</v>
      </c>
      <c r="D1284" s="7">
        <v>5.9474</v>
      </c>
      <c r="E1284" s="7">
        <v>6.0594999999999999</v>
      </c>
      <c r="F1284" s="7">
        <v>6.2241999999999997</v>
      </c>
      <c r="G1284" s="7">
        <v>6.3840000000000003</v>
      </c>
      <c r="H1284" s="7">
        <v>6.5419</v>
      </c>
      <c r="I1284" s="7">
        <v>7.1200999999999999</v>
      </c>
      <c r="J1284" s="7">
        <v>7.6440000000000001</v>
      </c>
      <c r="K1284" s="7">
        <v>8.0984999999999996</v>
      </c>
      <c r="L1284" s="7">
        <v>8.4837000000000007</v>
      </c>
      <c r="M1284" s="7">
        <v>9.2540999999999993</v>
      </c>
      <c r="N1284" s="7">
        <v>10.083399999999999</v>
      </c>
      <c r="O1284" s="7">
        <v>11.056800000000001</v>
      </c>
      <c r="P1284" s="7">
        <v>11.6686</v>
      </c>
      <c r="Q1284" s="7">
        <v>12.492900000000001</v>
      </c>
    </row>
    <row r="1285" spans="1:17">
      <c r="A1285" s="5">
        <v>43334</v>
      </c>
      <c r="B1285" s="5" t="str">
        <f t="shared" si="20"/>
        <v>2018 q3</v>
      </c>
      <c r="C1285" s="7">
        <v>5.9137000000000004</v>
      </c>
      <c r="D1285" s="7">
        <v>5.9653</v>
      </c>
      <c r="E1285" s="7">
        <v>6.0719000000000003</v>
      </c>
      <c r="F1285" s="7">
        <v>6.2289000000000003</v>
      </c>
      <c r="G1285" s="7">
        <v>6.3815999999999997</v>
      </c>
      <c r="H1285" s="7">
        <v>6.5327000000000002</v>
      </c>
      <c r="I1285" s="7">
        <v>7.0906000000000002</v>
      </c>
      <c r="J1285" s="7">
        <v>7.6007999999999996</v>
      </c>
      <c r="K1285" s="7">
        <v>8.0604999999999993</v>
      </c>
      <c r="L1285" s="7">
        <v>8.4831000000000003</v>
      </c>
      <c r="M1285" s="7">
        <v>9.2120999999999995</v>
      </c>
      <c r="N1285" s="7">
        <v>10.0311</v>
      </c>
      <c r="O1285" s="7">
        <v>10.984299999999999</v>
      </c>
      <c r="P1285" s="7">
        <v>11.7591</v>
      </c>
      <c r="Q1285" s="7">
        <v>12.680999999999999</v>
      </c>
    </row>
    <row r="1286" spans="1:17">
      <c r="A1286" s="5">
        <v>43335</v>
      </c>
      <c r="B1286" s="5" t="str">
        <f t="shared" si="20"/>
        <v>2018 q3</v>
      </c>
      <c r="C1286" s="7">
        <v>5.8856000000000002</v>
      </c>
      <c r="D1286" s="7">
        <v>5.9397000000000002</v>
      </c>
      <c r="E1286" s="7">
        <v>6.0511999999999997</v>
      </c>
      <c r="F1286" s="7">
        <v>6.2149999999999999</v>
      </c>
      <c r="G1286" s="7">
        <v>6.3738999999999999</v>
      </c>
      <c r="H1286" s="7">
        <v>6.5308999999999999</v>
      </c>
      <c r="I1286" s="7">
        <v>7.1058000000000003</v>
      </c>
      <c r="J1286" s="7">
        <v>7.6265999999999998</v>
      </c>
      <c r="K1286" s="7">
        <v>8.0942000000000007</v>
      </c>
      <c r="L1286" s="7">
        <v>8.4954000000000001</v>
      </c>
      <c r="M1286" s="7">
        <v>9.1546000000000003</v>
      </c>
      <c r="N1286" s="7">
        <v>10.0198</v>
      </c>
      <c r="O1286" s="7">
        <v>10.9084</v>
      </c>
      <c r="P1286" s="7">
        <v>11.6228</v>
      </c>
      <c r="Q1286" s="7">
        <v>12.440200000000001</v>
      </c>
    </row>
    <row r="1287" spans="1:17">
      <c r="A1287" s="5">
        <v>43336</v>
      </c>
      <c r="B1287" s="5" t="str">
        <f t="shared" si="20"/>
        <v>2018 q3</v>
      </c>
      <c r="C1287" s="7">
        <v>5.8821000000000003</v>
      </c>
      <c r="D1287" s="7">
        <v>5.9367000000000001</v>
      </c>
      <c r="E1287" s="7">
        <v>6.0494000000000003</v>
      </c>
      <c r="F1287" s="7">
        <v>6.2149000000000001</v>
      </c>
      <c r="G1287" s="7">
        <v>6.3756000000000004</v>
      </c>
      <c r="H1287" s="7">
        <v>6.5340999999999996</v>
      </c>
      <c r="I1287" s="7">
        <v>7.1150000000000002</v>
      </c>
      <c r="J1287" s="7">
        <v>7.6410999999999998</v>
      </c>
      <c r="K1287" s="7">
        <v>8.0969999999999995</v>
      </c>
      <c r="L1287" s="7">
        <v>8.4838000000000005</v>
      </c>
      <c r="M1287" s="7">
        <v>9.2574000000000005</v>
      </c>
      <c r="N1287" s="7">
        <v>10.057600000000001</v>
      </c>
      <c r="O1287" s="7">
        <v>10.954499999999999</v>
      </c>
      <c r="P1287" s="7">
        <v>11.6754</v>
      </c>
      <c r="Q1287" s="7">
        <v>12.5</v>
      </c>
    </row>
    <row r="1288" spans="1:17">
      <c r="A1288" s="5">
        <v>43339</v>
      </c>
      <c r="B1288" s="5" t="str">
        <f t="shared" si="20"/>
        <v>2018 q3</v>
      </c>
      <c r="C1288" s="7">
        <v>5.9095000000000004</v>
      </c>
      <c r="D1288" s="7">
        <v>5.9630999999999998</v>
      </c>
      <c r="E1288" s="7">
        <v>6.0736999999999997</v>
      </c>
      <c r="F1288" s="7">
        <v>6.2359999999999998</v>
      </c>
      <c r="G1288" s="7">
        <v>6.3936000000000002</v>
      </c>
      <c r="H1288" s="7">
        <v>6.5491000000000001</v>
      </c>
      <c r="I1288" s="7">
        <v>7.1196000000000002</v>
      </c>
      <c r="J1288" s="7">
        <v>7.6365999999999996</v>
      </c>
      <c r="K1288" s="7">
        <v>8.0850000000000009</v>
      </c>
      <c r="L1288" s="7">
        <v>8.4661000000000008</v>
      </c>
      <c r="M1288" s="7">
        <v>9.2285000000000004</v>
      </c>
      <c r="N1288" s="7">
        <v>10.048400000000001</v>
      </c>
      <c r="O1288" s="7">
        <v>11.0136</v>
      </c>
      <c r="P1288" s="7">
        <v>11.620900000000001</v>
      </c>
      <c r="Q1288" s="7">
        <v>12.441000000000001</v>
      </c>
    </row>
    <row r="1289" spans="1:17">
      <c r="A1289" s="5">
        <v>43340</v>
      </c>
      <c r="B1289" s="5" t="str">
        <f t="shared" si="20"/>
        <v>2018 q3</v>
      </c>
      <c r="C1289" s="7">
        <v>5.8258000000000001</v>
      </c>
      <c r="D1289" s="7">
        <v>5.8845999999999998</v>
      </c>
      <c r="E1289" s="7">
        <v>6.0060000000000002</v>
      </c>
      <c r="F1289" s="7">
        <v>6.1840000000000002</v>
      </c>
      <c r="G1289" s="7">
        <v>6.3575999999999997</v>
      </c>
      <c r="H1289" s="7">
        <v>6.5278999999999998</v>
      </c>
      <c r="I1289" s="7">
        <v>7.1455000000000002</v>
      </c>
      <c r="J1289" s="7">
        <v>7.6967999999999996</v>
      </c>
      <c r="K1289" s="7">
        <v>8.1517999999999997</v>
      </c>
      <c r="L1289" s="7">
        <v>8.5020000000000007</v>
      </c>
      <c r="M1289" s="7">
        <v>9.2021999999999995</v>
      </c>
      <c r="N1289" s="7">
        <v>10.0992</v>
      </c>
      <c r="O1289" s="7">
        <v>10.9239</v>
      </c>
      <c r="P1289" s="7">
        <v>11.5768</v>
      </c>
      <c r="Q1289" s="7">
        <v>12.2866</v>
      </c>
    </row>
    <row r="1290" spans="1:17">
      <c r="A1290" s="5">
        <v>43341</v>
      </c>
      <c r="B1290" s="5" t="str">
        <f t="shared" si="20"/>
        <v>2018 q3</v>
      </c>
      <c r="C1290" s="7">
        <v>5.8373999999999997</v>
      </c>
      <c r="D1290" s="7">
        <v>5.8963000000000001</v>
      </c>
      <c r="E1290" s="7">
        <v>6.0178000000000003</v>
      </c>
      <c r="F1290" s="7">
        <v>6.1959999999999997</v>
      </c>
      <c r="G1290" s="7">
        <v>6.3696999999999999</v>
      </c>
      <c r="H1290" s="7">
        <v>6.54</v>
      </c>
      <c r="I1290" s="7">
        <v>7.1569000000000003</v>
      </c>
      <c r="J1290" s="7">
        <v>7.7065999999999999</v>
      </c>
      <c r="K1290" s="7">
        <v>8.1588999999999992</v>
      </c>
      <c r="L1290" s="7">
        <v>8.5060000000000002</v>
      </c>
      <c r="M1290" s="7">
        <v>9.2001000000000008</v>
      </c>
      <c r="N1290" s="7">
        <v>10.0876</v>
      </c>
      <c r="O1290" s="7">
        <v>10.8978</v>
      </c>
      <c r="P1290" s="7">
        <v>11.5381</v>
      </c>
      <c r="Q1290" s="7">
        <v>12.230399999999999</v>
      </c>
    </row>
    <row r="1291" spans="1:17">
      <c r="A1291" s="5">
        <v>43342</v>
      </c>
      <c r="B1291" s="5" t="str">
        <f t="shared" si="20"/>
        <v>2018 q3</v>
      </c>
      <c r="C1291" s="7">
        <v>5.8341000000000003</v>
      </c>
      <c r="D1291" s="7">
        <v>5.8930999999999996</v>
      </c>
      <c r="E1291" s="7">
        <v>6.0148000000000001</v>
      </c>
      <c r="F1291" s="7">
        <v>6.1932999999999998</v>
      </c>
      <c r="G1291" s="7">
        <v>6.3673999999999999</v>
      </c>
      <c r="H1291" s="7">
        <v>6.5378999999999996</v>
      </c>
      <c r="I1291" s="7">
        <v>7.1569000000000003</v>
      </c>
      <c r="J1291" s="7">
        <v>7.7092000000000001</v>
      </c>
      <c r="K1291" s="7">
        <v>8.1643000000000008</v>
      </c>
      <c r="L1291" s="7">
        <v>8.5147999999999993</v>
      </c>
      <c r="M1291" s="7">
        <v>9.2158999999999995</v>
      </c>
      <c r="N1291" s="7">
        <v>10.1128</v>
      </c>
      <c r="O1291" s="7">
        <v>10.936999999999999</v>
      </c>
      <c r="P1291" s="7">
        <v>11.588900000000001</v>
      </c>
      <c r="Q1291" s="7">
        <v>12.2972</v>
      </c>
    </row>
    <row r="1292" spans="1:17">
      <c r="A1292" s="5">
        <v>43343</v>
      </c>
      <c r="B1292" s="5" t="str">
        <f t="shared" si="20"/>
        <v>2018 q3</v>
      </c>
      <c r="C1292" s="7">
        <v>5.8216000000000001</v>
      </c>
      <c r="D1292" s="7">
        <v>5.8807</v>
      </c>
      <c r="E1292" s="7">
        <v>6.0025000000000004</v>
      </c>
      <c r="F1292" s="7">
        <v>6.181</v>
      </c>
      <c r="G1292" s="7">
        <v>6.3552999999999997</v>
      </c>
      <c r="H1292" s="7">
        <v>6.5259</v>
      </c>
      <c r="I1292" s="7">
        <v>7.1462000000000003</v>
      </c>
      <c r="J1292" s="7">
        <v>7.7003000000000004</v>
      </c>
      <c r="K1292" s="7">
        <v>8.1574000000000009</v>
      </c>
      <c r="L1292" s="7">
        <v>8.5107999999999997</v>
      </c>
      <c r="M1292" s="7">
        <v>9.2174999999999994</v>
      </c>
      <c r="N1292" s="7">
        <v>10.1219</v>
      </c>
      <c r="O1292" s="7">
        <v>10.9579</v>
      </c>
      <c r="P1292" s="7">
        <v>11.6195</v>
      </c>
      <c r="Q1292" s="7">
        <v>12.3415</v>
      </c>
    </row>
    <row r="1293" spans="1:17">
      <c r="A1293" s="5">
        <v>43346</v>
      </c>
      <c r="B1293" s="5" t="str">
        <f t="shared" si="20"/>
        <v>2018 q3</v>
      </c>
      <c r="C1293" s="7">
        <v>5.8377999999999997</v>
      </c>
      <c r="D1293" s="7">
        <v>5.8997999999999999</v>
      </c>
      <c r="E1293" s="7">
        <v>6.0277000000000003</v>
      </c>
      <c r="F1293" s="7">
        <v>6.2142999999999997</v>
      </c>
      <c r="G1293" s="7">
        <v>6.3962000000000003</v>
      </c>
      <c r="H1293" s="7">
        <v>6.5735000000000001</v>
      </c>
      <c r="I1293" s="7">
        <v>7.2111000000000001</v>
      </c>
      <c r="J1293" s="7">
        <v>7.7728000000000002</v>
      </c>
      <c r="K1293" s="7">
        <v>8.2405000000000008</v>
      </c>
      <c r="L1293" s="7">
        <v>8.6227</v>
      </c>
      <c r="M1293" s="7">
        <v>9.3871000000000002</v>
      </c>
      <c r="N1293" s="7">
        <v>10.1111</v>
      </c>
      <c r="O1293" s="7">
        <v>10.8621</v>
      </c>
      <c r="P1293" s="7">
        <v>11.4498</v>
      </c>
      <c r="Q1293" s="7">
        <v>12.0642</v>
      </c>
    </row>
    <row r="1294" spans="1:17">
      <c r="A1294" s="5">
        <v>43347</v>
      </c>
      <c r="B1294" s="5" t="str">
        <f t="shared" si="20"/>
        <v>2018 q3</v>
      </c>
      <c r="C1294" s="7">
        <v>5.8498999999999999</v>
      </c>
      <c r="D1294" s="7">
        <v>5.9119000000000002</v>
      </c>
      <c r="E1294" s="7">
        <v>6.0397999999999996</v>
      </c>
      <c r="F1294" s="7">
        <v>6.2257999999999996</v>
      </c>
      <c r="G1294" s="7">
        <v>6.4067999999999996</v>
      </c>
      <c r="H1294" s="7">
        <v>6.5876999999999999</v>
      </c>
      <c r="I1294" s="7">
        <v>7.2230999999999996</v>
      </c>
      <c r="J1294" s="7">
        <v>7.7851999999999997</v>
      </c>
      <c r="K1294" s="7">
        <v>8.2529000000000003</v>
      </c>
      <c r="L1294" s="7">
        <v>8.6363000000000003</v>
      </c>
      <c r="M1294" s="7">
        <v>9.4031000000000002</v>
      </c>
      <c r="N1294" s="7">
        <v>10.128399999999999</v>
      </c>
      <c r="O1294" s="7">
        <v>10.883699999999999</v>
      </c>
      <c r="P1294" s="7">
        <v>11.4742</v>
      </c>
      <c r="Q1294" s="7">
        <v>12.093</v>
      </c>
    </row>
    <row r="1295" spans="1:17">
      <c r="A1295" s="5">
        <v>43348</v>
      </c>
      <c r="B1295" s="5" t="str">
        <f t="shared" si="20"/>
        <v>2018 q3</v>
      </c>
      <c r="C1295" s="7">
        <v>5.8033000000000001</v>
      </c>
      <c r="D1295" s="7">
        <v>5.8720999999999997</v>
      </c>
      <c r="E1295" s="7">
        <v>6.0141</v>
      </c>
      <c r="F1295" s="7">
        <v>6.2190000000000003</v>
      </c>
      <c r="G1295" s="7">
        <v>6.4175000000000004</v>
      </c>
      <c r="H1295" s="7">
        <v>6.6155999999999997</v>
      </c>
      <c r="I1295" s="7">
        <v>7.2949999999999999</v>
      </c>
      <c r="J1295" s="7">
        <v>7.8821000000000003</v>
      </c>
      <c r="K1295" s="7">
        <v>8.3551000000000002</v>
      </c>
      <c r="L1295" s="7">
        <v>8.7294999999999998</v>
      </c>
      <c r="M1295" s="7">
        <v>9.4783000000000008</v>
      </c>
      <c r="N1295" s="7">
        <v>10.1409</v>
      </c>
      <c r="O1295" s="7">
        <v>10.789300000000001</v>
      </c>
      <c r="P1295" s="7">
        <v>11.289099999999999</v>
      </c>
      <c r="Q1295" s="7">
        <v>11.7821</v>
      </c>
    </row>
    <row r="1296" spans="1:17">
      <c r="A1296" s="5">
        <v>43349</v>
      </c>
      <c r="B1296" s="5" t="str">
        <f t="shared" si="20"/>
        <v>2018 q3</v>
      </c>
      <c r="C1296" s="7">
        <v>5.8068999999999997</v>
      </c>
      <c r="D1296" s="7">
        <v>5.8752000000000004</v>
      </c>
      <c r="E1296" s="7">
        <v>6.0160999999999998</v>
      </c>
      <c r="F1296" s="7">
        <v>6.2195</v>
      </c>
      <c r="G1296" s="7">
        <v>6.4169</v>
      </c>
      <c r="H1296" s="7">
        <v>6.6138000000000003</v>
      </c>
      <c r="I1296" s="7">
        <v>7.2927</v>
      </c>
      <c r="J1296" s="7">
        <v>7.8819999999999997</v>
      </c>
      <c r="K1296" s="7">
        <v>8.3597000000000001</v>
      </c>
      <c r="L1296" s="7">
        <v>8.7407000000000004</v>
      </c>
      <c r="M1296" s="7">
        <v>9.5028000000000006</v>
      </c>
      <c r="N1296" s="7">
        <v>10.185</v>
      </c>
      <c r="O1296" s="7">
        <v>10.8613</v>
      </c>
      <c r="P1296" s="7">
        <v>11.3835</v>
      </c>
      <c r="Q1296" s="7">
        <v>11.904400000000001</v>
      </c>
    </row>
    <row r="1297" spans="1:17">
      <c r="A1297" s="5">
        <v>43350</v>
      </c>
      <c r="B1297" s="5" t="str">
        <f t="shared" si="20"/>
        <v>2018 q3</v>
      </c>
      <c r="C1297" s="7">
        <v>5.7849000000000004</v>
      </c>
      <c r="D1297" s="7">
        <v>5.8597000000000001</v>
      </c>
      <c r="E1297" s="7">
        <v>6.0140000000000002</v>
      </c>
      <c r="F1297" s="7">
        <v>6.2352999999999996</v>
      </c>
      <c r="G1297" s="7">
        <v>6.4493</v>
      </c>
      <c r="H1297" s="7">
        <v>6.6622000000000003</v>
      </c>
      <c r="I1297" s="7">
        <v>7.3806000000000003</v>
      </c>
      <c r="J1297" s="7">
        <v>7.9908999999999999</v>
      </c>
      <c r="K1297" s="7">
        <v>8.4539000000000009</v>
      </c>
      <c r="L1297" s="7">
        <v>8.7761999999999993</v>
      </c>
      <c r="M1297" s="7">
        <v>9.4207999999999998</v>
      </c>
      <c r="N1297" s="7">
        <v>10.213200000000001</v>
      </c>
      <c r="O1297" s="7">
        <v>10.804500000000001</v>
      </c>
      <c r="P1297" s="7">
        <v>11.256500000000001</v>
      </c>
      <c r="Q1297" s="7">
        <v>11.688000000000001</v>
      </c>
    </row>
    <row r="1298" spans="1:17">
      <c r="A1298" s="5">
        <v>43353</v>
      </c>
      <c r="B1298" s="5" t="str">
        <f t="shared" si="20"/>
        <v>2018 q3</v>
      </c>
      <c r="C1298" s="7">
        <v>5.7419000000000002</v>
      </c>
      <c r="D1298" s="7">
        <v>5.8253000000000004</v>
      </c>
      <c r="E1298" s="7">
        <v>5.9976000000000003</v>
      </c>
      <c r="F1298" s="7">
        <v>6.2423999999999999</v>
      </c>
      <c r="G1298" s="7">
        <v>6.4779999999999998</v>
      </c>
      <c r="H1298" s="7">
        <v>6.7118000000000002</v>
      </c>
      <c r="I1298" s="7">
        <v>7.4804000000000004</v>
      </c>
      <c r="J1298" s="7">
        <v>8.1166</v>
      </c>
      <c r="K1298" s="7">
        <v>8.5820000000000007</v>
      </c>
      <c r="L1298" s="7">
        <v>8.8902000000000001</v>
      </c>
      <c r="M1298" s="7">
        <v>9.5067000000000004</v>
      </c>
      <c r="N1298" s="7">
        <v>10.254899999999999</v>
      </c>
      <c r="O1298" s="7">
        <v>10.7666</v>
      </c>
      <c r="P1298" s="7">
        <v>11.154500000000001</v>
      </c>
      <c r="Q1298" s="7">
        <v>11.511100000000001</v>
      </c>
    </row>
    <row r="1299" spans="1:17">
      <c r="A1299" s="5">
        <v>43354</v>
      </c>
      <c r="B1299" s="5" t="str">
        <f t="shared" si="20"/>
        <v>2018 q3</v>
      </c>
      <c r="C1299" s="7">
        <v>5.7840999999999996</v>
      </c>
      <c r="D1299" s="7">
        <v>5.8617999999999997</v>
      </c>
      <c r="E1299" s="7">
        <v>6.0223000000000004</v>
      </c>
      <c r="F1299" s="7">
        <v>6.2618999999999998</v>
      </c>
      <c r="G1299" s="7">
        <v>6.4828999999999999</v>
      </c>
      <c r="H1299" s="7">
        <v>6.7018000000000004</v>
      </c>
      <c r="I1299" s="7">
        <v>7.4432</v>
      </c>
      <c r="J1299" s="7">
        <v>8.0648999999999997</v>
      </c>
      <c r="K1299" s="7">
        <v>8.5452999999999992</v>
      </c>
      <c r="L1299" s="7">
        <v>8.9110999999999994</v>
      </c>
      <c r="M1299" s="7">
        <v>9.6428999999999991</v>
      </c>
      <c r="N1299" s="7">
        <v>10.238899999999999</v>
      </c>
      <c r="O1299" s="7">
        <v>10.787800000000001</v>
      </c>
      <c r="P1299" s="7">
        <v>11.204700000000001</v>
      </c>
      <c r="Q1299" s="7">
        <v>11.5952</v>
      </c>
    </row>
    <row r="1300" spans="1:17">
      <c r="A1300" s="5">
        <v>43355</v>
      </c>
      <c r="B1300" s="5" t="str">
        <f t="shared" si="20"/>
        <v>2018 q3</v>
      </c>
      <c r="C1300" s="7">
        <v>5.7472000000000003</v>
      </c>
      <c r="D1300" s="7">
        <v>5.8282999999999996</v>
      </c>
      <c r="E1300" s="7">
        <v>5.9958</v>
      </c>
      <c r="F1300" s="7">
        <v>6.2454000000000001</v>
      </c>
      <c r="G1300" s="7">
        <v>6.4747000000000003</v>
      </c>
      <c r="H1300" s="7">
        <v>6.7012999999999998</v>
      </c>
      <c r="I1300" s="7">
        <v>7.4618000000000002</v>
      </c>
      <c r="J1300" s="7">
        <v>8.0927000000000007</v>
      </c>
      <c r="K1300" s="7">
        <v>8.5539000000000005</v>
      </c>
      <c r="L1300" s="7">
        <v>8.8625000000000007</v>
      </c>
      <c r="M1300" s="7">
        <v>9.4797999999999991</v>
      </c>
      <c r="N1300" s="7">
        <v>10.2272</v>
      </c>
      <c r="O1300" s="7">
        <v>10.7437</v>
      </c>
      <c r="P1300" s="7">
        <v>11.1347</v>
      </c>
      <c r="Q1300" s="7">
        <v>11.495699999999999</v>
      </c>
    </row>
    <row r="1301" spans="1:17">
      <c r="A1301" s="5">
        <v>43356</v>
      </c>
      <c r="B1301" s="5" t="str">
        <f t="shared" si="20"/>
        <v>2018 q3</v>
      </c>
      <c r="C1301" s="7">
        <v>5.7808999999999999</v>
      </c>
      <c r="D1301" s="7">
        <v>5.8605</v>
      </c>
      <c r="E1301" s="7">
        <v>6.0247999999999999</v>
      </c>
      <c r="F1301" s="7">
        <v>6.2694000000000001</v>
      </c>
      <c r="G1301" s="7">
        <v>6.4949000000000003</v>
      </c>
      <c r="H1301" s="7">
        <v>6.7173999999999996</v>
      </c>
      <c r="I1301" s="7">
        <v>7.4679000000000002</v>
      </c>
      <c r="J1301" s="7">
        <v>8.0928000000000004</v>
      </c>
      <c r="K1301" s="7">
        <v>8.5709999999999997</v>
      </c>
      <c r="L1301" s="7">
        <v>8.9324999999999992</v>
      </c>
      <c r="M1301" s="7">
        <v>9.6554000000000002</v>
      </c>
      <c r="N1301" s="7">
        <v>10.233499999999999</v>
      </c>
      <c r="O1301" s="7">
        <v>10.76</v>
      </c>
      <c r="P1301" s="7">
        <v>11.158799999999999</v>
      </c>
      <c r="Q1301" s="7">
        <v>11.5291</v>
      </c>
    </row>
    <row r="1302" spans="1:17">
      <c r="A1302" s="5">
        <v>43357</v>
      </c>
      <c r="B1302" s="5" t="str">
        <f t="shared" si="20"/>
        <v>2018 q3</v>
      </c>
      <c r="C1302" s="7">
        <v>5.8085000000000004</v>
      </c>
      <c r="D1302" s="7">
        <v>5.8859000000000004</v>
      </c>
      <c r="E1302" s="7">
        <v>6.0457000000000001</v>
      </c>
      <c r="F1302" s="7">
        <v>6.2835999999999999</v>
      </c>
      <c r="G1302" s="7">
        <v>6.5034000000000001</v>
      </c>
      <c r="H1302" s="7">
        <v>6.7202000000000002</v>
      </c>
      <c r="I1302" s="7">
        <v>7.4549000000000003</v>
      </c>
      <c r="J1302" s="7">
        <v>8.0694999999999997</v>
      </c>
      <c r="K1302" s="7">
        <v>8.5422999999999991</v>
      </c>
      <c r="L1302" s="7">
        <v>8.9023000000000003</v>
      </c>
      <c r="M1302" s="7">
        <v>9.6224000000000007</v>
      </c>
      <c r="N1302" s="7">
        <v>10.2037</v>
      </c>
      <c r="O1302" s="7">
        <v>10.7386</v>
      </c>
      <c r="P1302" s="7">
        <v>11.144</v>
      </c>
      <c r="Q1302" s="7">
        <v>11.5229</v>
      </c>
    </row>
    <row r="1303" spans="1:17">
      <c r="A1303" s="5">
        <v>43360</v>
      </c>
      <c r="B1303" s="5" t="str">
        <f t="shared" si="20"/>
        <v>2018 q3</v>
      </c>
      <c r="C1303" s="7">
        <v>5.6959</v>
      </c>
      <c r="D1303" s="7">
        <v>5.7864000000000004</v>
      </c>
      <c r="E1303" s="7">
        <v>5.9733000000000001</v>
      </c>
      <c r="F1303" s="7">
        <v>6.2506000000000004</v>
      </c>
      <c r="G1303" s="7">
        <v>6.5029000000000003</v>
      </c>
      <c r="H1303" s="7">
        <v>6.7507999999999999</v>
      </c>
      <c r="I1303" s="7">
        <v>7.5640999999999998</v>
      </c>
      <c r="J1303" s="7">
        <v>8.2210999999999999</v>
      </c>
      <c r="K1303" s="7">
        <v>8.7041000000000004</v>
      </c>
      <c r="L1303" s="7">
        <v>9.0548000000000002</v>
      </c>
      <c r="M1303" s="7">
        <v>9.7562999999999995</v>
      </c>
      <c r="N1303" s="7">
        <v>10.2788</v>
      </c>
      <c r="O1303" s="7">
        <v>10.7316</v>
      </c>
      <c r="P1303" s="7">
        <v>11.071899999999999</v>
      </c>
      <c r="Q1303" s="7">
        <v>11.378299999999999</v>
      </c>
    </row>
    <row r="1304" spans="1:17">
      <c r="A1304" s="5">
        <v>43361</v>
      </c>
      <c r="B1304" s="5" t="str">
        <f t="shared" si="20"/>
        <v>2018 q3</v>
      </c>
      <c r="C1304" s="7">
        <v>5.7313999999999998</v>
      </c>
      <c r="D1304" s="7">
        <v>5.8173000000000004</v>
      </c>
      <c r="E1304" s="7">
        <v>5.9946000000000002</v>
      </c>
      <c r="F1304" s="7">
        <v>6.2571000000000003</v>
      </c>
      <c r="G1304" s="7">
        <v>6.4981</v>
      </c>
      <c r="H1304" s="7">
        <v>6.7340999999999998</v>
      </c>
      <c r="I1304" s="7">
        <v>7.52</v>
      </c>
      <c r="J1304" s="7">
        <v>8.1626999999999992</v>
      </c>
      <c r="K1304" s="7">
        <v>8.6212999999999997</v>
      </c>
      <c r="L1304" s="7">
        <v>8.9230999999999998</v>
      </c>
      <c r="M1304" s="7">
        <v>9.5265000000000004</v>
      </c>
      <c r="N1304" s="7">
        <v>10.249700000000001</v>
      </c>
      <c r="O1304" s="7">
        <v>10.730600000000001</v>
      </c>
      <c r="P1304" s="7">
        <v>11.0923</v>
      </c>
      <c r="Q1304" s="7">
        <v>11.422000000000001</v>
      </c>
    </row>
    <row r="1305" spans="1:17">
      <c r="A1305" s="5">
        <v>43362</v>
      </c>
      <c r="B1305" s="5" t="str">
        <f t="shared" si="20"/>
        <v>2018 q3</v>
      </c>
      <c r="C1305" s="7">
        <v>5.7717999999999998</v>
      </c>
      <c r="D1305" s="7">
        <v>5.8507999999999996</v>
      </c>
      <c r="E1305" s="7">
        <v>6.0141</v>
      </c>
      <c r="F1305" s="7">
        <v>6.2557999999999998</v>
      </c>
      <c r="G1305" s="7">
        <v>6.48</v>
      </c>
      <c r="H1305" s="7">
        <v>6.6994999999999996</v>
      </c>
      <c r="I1305" s="7">
        <v>7.4443000000000001</v>
      </c>
      <c r="J1305" s="7">
        <v>8.0649999999999995</v>
      </c>
      <c r="K1305" s="7">
        <v>8.5190999999999999</v>
      </c>
      <c r="L1305" s="7">
        <v>8.8289000000000009</v>
      </c>
      <c r="M1305" s="7">
        <v>9.4487000000000005</v>
      </c>
      <c r="N1305" s="7">
        <v>10.196899999999999</v>
      </c>
      <c r="O1305" s="7">
        <v>10.725099999999999</v>
      </c>
      <c r="P1305" s="7">
        <v>11.1241</v>
      </c>
      <c r="Q1305" s="7">
        <v>11.496</v>
      </c>
    </row>
    <row r="1306" spans="1:17">
      <c r="A1306" s="5">
        <v>43363</v>
      </c>
      <c r="B1306" s="5" t="str">
        <f t="shared" si="20"/>
        <v>2018 q3</v>
      </c>
      <c r="C1306" s="7">
        <v>5.8137999999999996</v>
      </c>
      <c r="D1306" s="7">
        <v>5.8887</v>
      </c>
      <c r="E1306" s="7">
        <v>6.0434999999999999</v>
      </c>
      <c r="F1306" s="7">
        <v>6.2725999999999997</v>
      </c>
      <c r="G1306" s="7">
        <v>6.4862000000000002</v>
      </c>
      <c r="H1306" s="7">
        <v>6.6954000000000002</v>
      </c>
      <c r="I1306" s="7">
        <v>7.4126000000000003</v>
      </c>
      <c r="J1306" s="7">
        <v>8.0165000000000006</v>
      </c>
      <c r="K1306" s="7">
        <v>8.484</v>
      </c>
      <c r="L1306" s="7">
        <v>8.8458000000000006</v>
      </c>
      <c r="M1306" s="7">
        <v>9.5693999999999999</v>
      </c>
      <c r="N1306" s="7">
        <v>10.159599999999999</v>
      </c>
      <c r="O1306" s="7">
        <v>10.7142</v>
      </c>
      <c r="P1306" s="7">
        <v>11.1343</v>
      </c>
      <c r="Q1306" s="7">
        <v>11.532</v>
      </c>
    </row>
    <row r="1307" spans="1:17">
      <c r="A1307" s="5">
        <v>43367</v>
      </c>
      <c r="B1307" s="5" t="str">
        <f t="shared" si="20"/>
        <v>2018 q3</v>
      </c>
      <c r="C1307" s="7">
        <v>5.7779999999999996</v>
      </c>
      <c r="D1307" s="7">
        <v>5.8586</v>
      </c>
      <c r="E1307" s="7">
        <v>6.0250000000000004</v>
      </c>
      <c r="F1307" s="7">
        <v>6.2709000000000001</v>
      </c>
      <c r="G1307" s="7">
        <v>6.4987000000000004</v>
      </c>
      <c r="H1307" s="7">
        <v>6.7211999999999996</v>
      </c>
      <c r="I1307" s="7">
        <v>7.4732000000000003</v>
      </c>
      <c r="J1307" s="7">
        <v>8.0961999999999996</v>
      </c>
      <c r="K1307" s="7">
        <v>8.5475999999999992</v>
      </c>
      <c r="L1307" s="7">
        <v>8.8533000000000008</v>
      </c>
      <c r="M1307" s="7">
        <v>9.4647000000000006</v>
      </c>
      <c r="N1307" s="7">
        <v>10.1998</v>
      </c>
      <c r="O1307" s="7">
        <v>10.710100000000001</v>
      </c>
      <c r="P1307" s="7">
        <v>11.0945</v>
      </c>
      <c r="Q1307" s="7">
        <v>11.4505</v>
      </c>
    </row>
    <row r="1308" spans="1:17">
      <c r="A1308" s="5">
        <v>43368</v>
      </c>
      <c r="B1308" s="5" t="str">
        <f t="shared" si="20"/>
        <v>2018 q3</v>
      </c>
      <c r="C1308" s="7">
        <v>5.7755999999999998</v>
      </c>
      <c r="D1308" s="7">
        <v>5.8559000000000001</v>
      </c>
      <c r="E1308" s="7">
        <v>6.0217999999999998</v>
      </c>
      <c r="F1308" s="7">
        <v>6.2545999999999999</v>
      </c>
      <c r="G1308" s="7">
        <v>6.4828000000000001</v>
      </c>
      <c r="H1308" s="7">
        <v>6.7041000000000004</v>
      </c>
      <c r="I1308" s="7">
        <v>7.4519000000000002</v>
      </c>
      <c r="J1308" s="7">
        <v>8.0768000000000004</v>
      </c>
      <c r="K1308" s="7">
        <v>8.5340000000000007</v>
      </c>
      <c r="L1308" s="7">
        <v>8.8506</v>
      </c>
      <c r="M1308" s="7">
        <v>9.4839000000000002</v>
      </c>
      <c r="N1308" s="7">
        <v>10.2464</v>
      </c>
      <c r="O1308" s="7">
        <v>10.793200000000001</v>
      </c>
      <c r="P1308" s="7">
        <v>11.205399999999999</v>
      </c>
      <c r="Q1308" s="7">
        <v>11.5924</v>
      </c>
    </row>
    <row r="1309" spans="1:17">
      <c r="A1309" s="5">
        <v>43369</v>
      </c>
      <c r="B1309" s="5" t="str">
        <f t="shared" si="20"/>
        <v>2018 q3</v>
      </c>
      <c r="C1309" s="7">
        <v>5.7633999999999999</v>
      </c>
      <c r="D1309" s="7">
        <v>5.8460000000000001</v>
      </c>
      <c r="E1309" s="7">
        <v>6.0167000000000002</v>
      </c>
      <c r="F1309" s="7">
        <v>6.2549999999999999</v>
      </c>
      <c r="G1309" s="7">
        <v>6.4885999999999999</v>
      </c>
      <c r="H1309" s="7">
        <v>6.7142999999999997</v>
      </c>
      <c r="I1309" s="7">
        <v>7.4705000000000004</v>
      </c>
      <c r="J1309" s="7">
        <v>8.0960999999999999</v>
      </c>
      <c r="K1309" s="7">
        <v>8.5466999999999995</v>
      </c>
      <c r="L1309" s="7">
        <v>8.8535000000000004</v>
      </c>
      <c r="M1309" s="7">
        <v>9.4671000000000003</v>
      </c>
      <c r="N1309" s="7">
        <v>10.2018</v>
      </c>
      <c r="O1309" s="7">
        <v>10.7118</v>
      </c>
      <c r="P1309" s="7">
        <v>11.095000000000001</v>
      </c>
      <c r="Q1309" s="7">
        <v>11.450200000000001</v>
      </c>
    </row>
    <row r="1310" spans="1:17">
      <c r="A1310" s="5">
        <v>43370</v>
      </c>
      <c r="B1310" s="5" t="str">
        <f t="shared" si="20"/>
        <v>2018 q3</v>
      </c>
      <c r="C1310" s="7">
        <v>5.7862</v>
      </c>
      <c r="D1310" s="7">
        <v>5.8657000000000004</v>
      </c>
      <c r="E1310" s="7">
        <v>6.0297000000000001</v>
      </c>
      <c r="F1310" s="7">
        <v>6.2596999999999996</v>
      </c>
      <c r="G1310" s="7">
        <v>6.4856999999999996</v>
      </c>
      <c r="H1310" s="7">
        <v>6.7042000000000002</v>
      </c>
      <c r="I1310" s="7">
        <v>7.4459999999999997</v>
      </c>
      <c r="J1310" s="7">
        <v>8.0673999999999992</v>
      </c>
      <c r="K1310" s="7">
        <v>8.5227000000000004</v>
      </c>
      <c r="L1310" s="7">
        <v>8.8404000000000007</v>
      </c>
      <c r="M1310" s="7">
        <v>9.4757999999999996</v>
      </c>
      <c r="N1310" s="7">
        <v>10.240600000000001</v>
      </c>
      <c r="O1310" s="7">
        <v>10.7943</v>
      </c>
      <c r="P1310" s="7">
        <v>11.211600000000001</v>
      </c>
      <c r="Q1310" s="7">
        <v>11.6051</v>
      </c>
    </row>
    <row r="1311" spans="1:17">
      <c r="A1311" s="5">
        <v>43371</v>
      </c>
      <c r="B1311" s="5" t="str">
        <f t="shared" si="20"/>
        <v>2018 q3</v>
      </c>
      <c r="C1311" s="7">
        <v>5.8005000000000004</v>
      </c>
      <c r="D1311" s="7">
        <v>5.8765000000000001</v>
      </c>
      <c r="E1311" s="7">
        <v>6.0335000000000001</v>
      </c>
      <c r="F1311" s="7">
        <v>6.2542</v>
      </c>
      <c r="G1311" s="7">
        <v>6.4714999999999998</v>
      </c>
      <c r="H1311" s="7">
        <v>6.6818</v>
      </c>
      <c r="I1311" s="7">
        <v>7.4031000000000002</v>
      </c>
      <c r="J1311" s="7">
        <v>8.0135000000000005</v>
      </c>
      <c r="K1311" s="7">
        <v>8.4671000000000003</v>
      </c>
      <c r="L1311" s="7">
        <v>8.7901000000000007</v>
      </c>
      <c r="M1311" s="7">
        <v>9.4359999999999999</v>
      </c>
      <c r="N1311" s="7">
        <v>10.2172</v>
      </c>
      <c r="O1311" s="7">
        <v>10.8034</v>
      </c>
      <c r="P1311" s="7">
        <v>11.246600000000001</v>
      </c>
      <c r="Q1311" s="7">
        <v>11.6714</v>
      </c>
    </row>
    <row r="1312" spans="1:17">
      <c r="A1312" s="5">
        <v>43374</v>
      </c>
      <c r="B1312" s="5" t="str">
        <f t="shared" si="20"/>
        <v>2018 q4</v>
      </c>
      <c r="C1312" s="7">
        <v>5.8018999999999998</v>
      </c>
      <c r="D1312" s="7">
        <v>5.8773999999999997</v>
      </c>
      <c r="E1312" s="7">
        <v>6.0335000000000001</v>
      </c>
      <c r="F1312" s="7">
        <v>6.2527999999999997</v>
      </c>
      <c r="G1312" s="7">
        <v>6.4688999999999997</v>
      </c>
      <c r="H1312" s="7">
        <v>6.6778000000000004</v>
      </c>
      <c r="I1312" s="7">
        <v>7.3956999999999997</v>
      </c>
      <c r="J1312" s="7">
        <v>8.0036000000000005</v>
      </c>
      <c r="K1312" s="7">
        <v>8.4555000000000007</v>
      </c>
      <c r="L1312" s="7">
        <v>8.7782</v>
      </c>
      <c r="M1312" s="7">
        <v>9.4235000000000007</v>
      </c>
      <c r="N1312" s="7">
        <v>10.203799999999999</v>
      </c>
      <c r="O1312" s="7">
        <v>10.791399999999999</v>
      </c>
      <c r="P1312" s="7">
        <v>11.2356</v>
      </c>
      <c r="Q1312" s="7">
        <v>11.6622</v>
      </c>
    </row>
    <row r="1313" spans="1:17">
      <c r="A1313" s="5">
        <v>43375</v>
      </c>
      <c r="B1313" s="5" t="str">
        <f t="shared" si="20"/>
        <v>2018 q4</v>
      </c>
      <c r="C1313" s="7">
        <v>5.9024000000000001</v>
      </c>
      <c r="D1313" s="7">
        <v>5.9629000000000003</v>
      </c>
      <c r="E1313" s="7">
        <v>6.0879000000000003</v>
      </c>
      <c r="F1313" s="7">
        <v>6.2718999999999996</v>
      </c>
      <c r="G1313" s="7">
        <v>6.4478999999999997</v>
      </c>
      <c r="H1313" s="7">
        <v>6.6237000000000004</v>
      </c>
      <c r="I1313" s="7">
        <v>7.2450000000000001</v>
      </c>
      <c r="J1313" s="7">
        <v>7.7830000000000004</v>
      </c>
      <c r="K1313" s="7">
        <v>8.2601999999999993</v>
      </c>
      <c r="L1313" s="7">
        <v>8.67</v>
      </c>
      <c r="M1313" s="7">
        <v>9.3064999999999998</v>
      </c>
      <c r="N1313" s="7">
        <v>10.107900000000001</v>
      </c>
      <c r="O1313" s="7">
        <v>10.869300000000001</v>
      </c>
      <c r="P1313" s="7">
        <v>11.458399999999999</v>
      </c>
      <c r="Q1313" s="7">
        <v>12.0861</v>
      </c>
    </row>
    <row r="1314" spans="1:17">
      <c r="A1314" s="5">
        <v>43376</v>
      </c>
      <c r="B1314" s="5" t="str">
        <f t="shared" si="20"/>
        <v>2018 q4</v>
      </c>
      <c r="C1314" s="7">
        <v>5.8815</v>
      </c>
      <c r="D1314" s="7">
        <v>5.9447000000000001</v>
      </c>
      <c r="E1314" s="7">
        <v>6.0751999999999997</v>
      </c>
      <c r="F1314" s="7">
        <v>6.2671000000000001</v>
      </c>
      <c r="G1314" s="7">
        <v>6.4501999999999997</v>
      </c>
      <c r="H1314" s="7">
        <v>6.6330999999999998</v>
      </c>
      <c r="I1314" s="7">
        <v>7.2751999999999999</v>
      </c>
      <c r="J1314" s="7">
        <v>7.8273000000000001</v>
      </c>
      <c r="K1314" s="7">
        <v>8.3140999999999998</v>
      </c>
      <c r="L1314" s="7">
        <v>8.7293000000000003</v>
      </c>
      <c r="M1314" s="7">
        <v>9.3666</v>
      </c>
      <c r="N1314" s="7">
        <v>10.1647</v>
      </c>
      <c r="O1314" s="7">
        <v>10.906000000000001</v>
      </c>
      <c r="P1314" s="7">
        <v>11.476800000000001</v>
      </c>
      <c r="Q1314" s="7">
        <v>12.074</v>
      </c>
    </row>
    <row r="1315" spans="1:17">
      <c r="A1315" s="5">
        <v>43377</v>
      </c>
      <c r="B1315" s="5" t="str">
        <f t="shared" si="20"/>
        <v>2018 q4</v>
      </c>
      <c r="C1315" s="7">
        <v>5.8468999999999998</v>
      </c>
      <c r="D1315" s="7">
        <v>5.9158999999999997</v>
      </c>
      <c r="E1315" s="7">
        <v>6.0583</v>
      </c>
      <c r="F1315" s="7">
        <v>6.2670000000000003</v>
      </c>
      <c r="G1315" s="7">
        <v>6.4649999999999999</v>
      </c>
      <c r="H1315" s="7">
        <v>6.6623999999999999</v>
      </c>
      <c r="I1315" s="7">
        <v>7.3436000000000003</v>
      </c>
      <c r="J1315" s="7">
        <v>7.9341999999999997</v>
      </c>
      <c r="K1315" s="7">
        <v>8.4372000000000007</v>
      </c>
      <c r="L1315" s="7">
        <v>8.8315000000000001</v>
      </c>
      <c r="M1315" s="7">
        <v>9.4497999999999998</v>
      </c>
      <c r="N1315" s="7">
        <v>10.2141</v>
      </c>
      <c r="O1315" s="7">
        <v>10.881600000000001</v>
      </c>
      <c r="P1315" s="7">
        <v>11.3896</v>
      </c>
      <c r="Q1315" s="7">
        <v>11.898099999999999</v>
      </c>
    </row>
    <row r="1316" spans="1:17">
      <c r="A1316" s="5">
        <v>43378</v>
      </c>
      <c r="B1316" s="5" t="str">
        <f t="shared" si="20"/>
        <v>2018 q4</v>
      </c>
      <c r="C1316" s="7">
        <v>5.8804999999999996</v>
      </c>
      <c r="D1316" s="7">
        <v>5.9440999999999997</v>
      </c>
      <c r="E1316" s="7">
        <v>6.0754999999999999</v>
      </c>
      <c r="F1316" s="7">
        <v>6.2683</v>
      </c>
      <c r="G1316" s="7">
        <v>6.4524999999999997</v>
      </c>
      <c r="H1316" s="7">
        <v>6.6360000000000001</v>
      </c>
      <c r="I1316" s="7">
        <v>7.2801</v>
      </c>
      <c r="J1316" s="7">
        <v>7.8323999999999998</v>
      </c>
      <c r="K1316" s="7">
        <v>8.3191000000000006</v>
      </c>
      <c r="L1316" s="7">
        <v>8.7324000000000002</v>
      </c>
      <c r="M1316" s="7">
        <v>9.3659999999999997</v>
      </c>
      <c r="N1316" s="7">
        <v>10.157299999999999</v>
      </c>
      <c r="O1316" s="7">
        <v>10.888199999999999</v>
      </c>
      <c r="P1316" s="7">
        <v>11.4497</v>
      </c>
      <c r="Q1316" s="7">
        <v>12.0345</v>
      </c>
    </row>
    <row r="1317" spans="1:17">
      <c r="A1317" s="5">
        <v>43381</v>
      </c>
      <c r="B1317" s="5" t="str">
        <f t="shared" si="20"/>
        <v>2018 q4</v>
      </c>
      <c r="C1317" s="7">
        <v>5.8868</v>
      </c>
      <c r="D1317" s="7">
        <v>5.9501999999999997</v>
      </c>
      <c r="E1317" s="7">
        <v>6.0810000000000004</v>
      </c>
      <c r="F1317" s="7">
        <v>6.2728000000000002</v>
      </c>
      <c r="G1317" s="7">
        <v>6.4561000000000002</v>
      </c>
      <c r="H1317" s="7">
        <v>6.6386000000000003</v>
      </c>
      <c r="I1317" s="7">
        <v>7.2792000000000003</v>
      </c>
      <c r="J1317" s="7">
        <v>7.8280000000000003</v>
      </c>
      <c r="K1317" s="7">
        <v>8.3117999999999999</v>
      </c>
      <c r="L1317" s="7">
        <v>8.7218999999999998</v>
      </c>
      <c r="M1317" s="7">
        <v>9.3507999999999996</v>
      </c>
      <c r="N1317" s="7">
        <v>10.1356</v>
      </c>
      <c r="O1317" s="7">
        <v>10.8596</v>
      </c>
      <c r="P1317" s="7">
        <v>11.4154</v>
      </c>
      <c r="Q1317" s="7">
        <v>11.9939</v>
      </c>
    </row>
    <row r="1318" spans="1:17">
      <c r="A1318" s="5">
        <v>43382</v>
      </c>
      <c r="B1318" s="5" t="str">
        <f t="shared" si="20"/>
        <v>2018 q4</v>
      </c>
      <c r="C1318" s="7">
        <v>5.8798000000000004</v>
      </c>
      <c r="D1318" s="7">
        <v>5.9436999999999998</v>
      </c>
      <c r="E1318" s="7">
        <v>6.0757000000000003</v>
      </c>
      <c r="F1318" s="7">
        <v>6.27</v>
      </c>
      <c r="G1318" s="7">
        <v>6.4569000000000001</v>
      </c>
      <c r="H1318" s="7">
        <v>6.6292</v>
      </c>
      <c r="I1318" s="7">
        <v>7.2789000000000001</v>
      </c>
      <c r="J1318" s="7">
        <v>7.8421000000000003</v>
      </c>
      <c r="K1318" s="7">
        <v>8.3280999999999992</v>
      </c>
      <c r="L1318" s="7">
        <v>8.7146000000000008</v>
      </c>
      <c r="M1318" s="7">
        <v>9.3350000000000009</v>
      </c>
      <c r="N1318" s="7">
        <v>10.106</v>
      </c>
      <c r="O1318" s="7">
        <v>10.809900000000001</v>
      </c>
      <c r="P1318" s="7">
        <v>11.3484</v>
      </c>
      <c r="Q1318" s="7">
        <v>11.904400000000001</v>
      </c>
    </row>
    <row r="1319" spans="1:17">
      <c r="A1319" s="5">
        <v>43383</v>
      </c>
      <c r="B1319" s="5" t="str">
        <f t="shared" si="20"/>
        <v>2018 q4</v>
      </c>
      <c r="C1319" s="7">
        <v>5.8795000000000002</v>
      </c>
      <c r="D1319" s="7">
        <v>5.9466000000000001</v>
      </c>
      <c r="E1319" s="7">
        <v>6.0850999999999997</v>
      </c>
      <c r="F1319" s="7">
        <v>6.2885999999999997</v>
      </c>
      <c r="G1319" s="7">
        <v>6.4836</v>
      </c>
      <c r="H1319" s="7">
        <v>6.6620999999999997</v>
      </c>
      <c r="I1319" s="7">
        <v>7.3312999999999997</v>
      </c>
      <c r="J1319" s="7">
        <v>7.9039999999999999</v>
      </c>
      <c r="K1319" s="7">
        <v>8.3916000000000004</v>
      </c>
      <c r="L1319" s="7">
        <v>8.7722999999999995</v>
      </c>
      <c r="M1319" s="7">
        <v>9.3729999999999993</v>
      </c>
      <c r="N1319" s="7">
        <v>10.1127</v>
      </c>
      <c r="O1319" s="7">
        <v>10.7606</v>
      </c>
      <c r="P1319" s="7">
        <v>11.2524</v>
      </c>
      <c r="Q1319" s="7">
        <v>11.7455</v>
      </c>
    </row>
    <row r="1320" spans="1:17">
      <c r="A1320" s="5">
        <v>43388</v>
      </c>
      <c r="B1320" s="5" t="str">
        <f t="shared" si="20"/>
        <v>2018 q4</v>
      </c>
      <c r="C1320" s="7">
        <v>5.9019000000000004</v>
      </c>
      <c r="D1320" s="7">
        <v>5.9650999999999996</v>
      </c>
      <c r="E1320" s="7">
        <v>6.0956999999999999</v>
      </c>
      <c r="F1320" s="7">
        <v>6.2877999999999998</v>
      </c>
      <c r="G1320" s="7">
        <v>6.4728000000000003</v>
      </c>
      <c r="H1320" s="7">
        <v>6.6440000000000001</v>
      </c>
      <c r="I1320" s="7">
        <v>7.2901999999999996</v>
      </c>
      <c r="J1320" s="7">
        <v>7.8376000000000001</v>
      </c>
      <c r="K1320" s="7">
        <v>8.3216999999999999</v>
      </c>
      <c r="L1320" s="7">
        <v>8.7302</v>
      </c>
      <c r="M1320" s="7">
        <v>9.3610000000000007</v>
      </c>
      <c r="N1320" s="7">
        <v>10.146100000000001</v>
      </c>
      <c r="O1320" s="7">
        <v>10.8744</v>
      </c>
      <c r="P1320" s="7">
        <v>11.432499999999999</v>
      </c>
      <c r="Q1320" s="7">
        <v>12.015700000000001</v>
      </c>
    </row>
    <row r="1321" spans="1:17">
      <c r="A1321" s="5">
        <v>43389</v>
      </c>
      <c r="B1321" s="5" t="str">
        <f t="shared" si="20"/>
        <v>2018 q4</v>
      </c>
      <c r="C1321" s="7">
        <v>5.9112999999999998</v>
      </c>
      <c r="D1321" s="7">
        <v>5.9713000000000003</v>
      </c>
      <c r="E1321" s="7">
        <v>6.0951000000000004</v>
      </c>
      <c r="F1321" s="7">
        <v>6.2756999999999996</v>
      </c>
      <c r="G1321" s="7">
        <v>6.4501999999999997</v>
      </c>
      <c r="H1321" s="7">
        <v>6.6226000000000003</v>
      </c>
      <c r="I1321" s="7">
        <v>7.2374999999999998</v>
      </c>
      <c r="J1321" s="7">
        <v>7.7695999999999996</v>
      </c>
      <c r="K1321" s="7">
        <v>8.2460000000000004</v>
      </c>
      <c r="L1321" s="7">
        <v>8.6501000000000001</v>
      </c>
      <c r="M1321" s="7">
        <v>9.2895000000000003</v>
      </c>
      <c r="N1321" s="7">
        <v>10.089700000000001</v>
      </c>
      <c r="O1321" s="7">
        <v>10.8619</v>
      </c>
      <c r="P1321" s="7">
        <v>11.457000000000001</v>
      </c>
      <c r="Q1321" s="7">
        <v>12.0984</v>
      </c>
    </row>
    <row r="1322" spans="1:17">
      <c r="A1322" s="5">
        <v>43390</v>
      </c>
      <c r="B1322" s="5" t="str">
        <f t="shared" si="20"/>
        <v>2018 q4</v>
      </c>
      <c r="C1322" s="7">
        <v>5.9123999999999999</v>
      </c>
      <c r="D1322" s="7">
        <v>5.9722</v>
      </c>
      <c r="E1322" s="7">
        <v>6.0957999999999997</v>
      </c>
      <c r="F1322" s="7">
        <v>6.2759999999999998</v>
      </c>
      <c r="G1322" s="7">
        <v>6.4500999999999999</v>
      </c>
      <c r="H1322" s="7">
        <v>6.6218000000000004</v>
      </c>
      <c r="I1322" s="7">
        <v>7.2343000000000002</v>
      </c>
      <c r="J1322" s="7">
        <v>7.7634999999999996</v>
      </c>
      <c r="K1322" s="7">
        <v>8.2369000000000003</v>
      </c>
      <c r="L1322" s="7">
        <v>8.6374999999999993</v>
      </c>
      <c r="M1322" s="7">
        <v>9.2706999999999997</v>
      </c>
      <c r="N1322" s="7">
        <v>10.0618</v>
      </c>
      <c r="O1322" s="7">
        <v>10.822100000000001</v>
      </c>
      <c r="P1322" s="7">
        <v>11.4071</v>
      </c>
      <c r="Q1322" s="7">
        <v>12.0357</v>
      </c>
    </row>
    <row r="1323" spans="1:17">
      <c r="A1323" s="5">
        <v>43391</v>
      </c>
      <c r="B1323" s="5" t="str">
        <f t="shared" si="20"/>
        <v>2018 q4</v>
      </c>
      <c r="C1323" s="7">
        <v>5.8949999999999996</v>
      </c>
      <c r="D1323" s="7">
        <v>5.9574999999999996</v>
      </c>
      <c r="E1323" s="7">
        <v>6.0865</v>
      </c>
      <c r="F1323" s="7">
        <v>6.2742000000000004</v>
      </c>
      <c r="G1323" s="7">
        <v>6.4553000000000003</v>
      </c>
      <c r="H1323" s="7">
        <v>6.6336000000000004</v>
      </c>
      <c r="I1323" s="7">
        <v>7.2656000000000001</v>
      </c>
      <c r="J1323" s="7">
        <v>7.8224</v>
      </c>
      <c r="K1323" s="7">
        <v>8.3058999999999994</v>
      </c>
      <c r="L1323" s="7">
        <v>8.6914999999999996</v>
      </c>
      <c r="M1323" s="7">
        <v>9.3213000000000008</v>
      </c>
      <c r="N1323" s="7">
        <v>10.1386</v>
      </c>
      <c r="O1323" s="7">
        <v>10.937200000000001</v>
      </c>
      <c r="P1323" s="7">
        <v>11.395</v>
      </c>
      <c r="Q1323" s="7">
        <v>11.9841</v>
      </c>
    </row>
    <row r="1324" spans="1:17">
      <c r="A1324" s="5">
        <v>43392</v>
      </c>
      <c r="B1324" s="5" t="str">
        <f t="shared" si="20"/>
        <v>2018 q4</v>
      </c>
      <c r="C1324" s="7">
        <v>5.9305000000000003</v>
      </c>
      <c r="D1324" s="7">
        <v>5.9885999999999999</v>
      </c>
      <c r="E1324" s="7">
        <v>6.1085000000000003</v>
      </c>
      <c r="F1324" s="7">
        <v>6.2835000000000001</v>
      </c>
      <c r="G1324" s="7">
        <v>6.4531999999999998</v>
      </c>
      <c r="H1324" s="7">
        <v>6.6205999999999996</v>
      </c>
      <c r="I1324" s="7">
        <v>7.2234999999999996</v>
      </c>
      <c r="J1324" s="7">
        <v>7.7497999999999996</v>
      </c>
      <c r="K1324" s="7">
        <v>8.2251999999999992</v>
      </c>
      <c r="L1324" s="7">
        <v>8.6308000000000007</v>
      </c>
      <c r="M1324" s="7">
        <v>9.2845999999999993</v>
      </c>
      <c r="N1324" s="7">
        <v>10.1073</v>
      </c>
      <c r="O1324" s="7">
        <v>10.927099999999999</v>
      </c>
      <c r="P1324" s="7">
        <v>11.5625</v>
      </c>
      <c r="Q1324" s="7">
        <v>12.266299999999999</v>
      </c>
    </row>
    <row r="1325" spans="1:17">
      <c r="A1325" s="5">
        <v>43395</v>
      </c>
      <c r="B1325" s="5" t="str">
        <f t="shared" si="20"/>
        <v>2018 q4</v>
      </c>
      <c r="C1325" s="7">
        <v>5.9287000000000001</v>
      </c>
      <c r="D1325" s="7">
        <v>5.9869000000000003</v>
      </c>
      <c r="E1325" s="7">
        <v>6.1070000000000002</v>
      </c>
      <c r="F1325" s="7">
        <v>6.2820999999999998</v>
      </c>
      <c r="G1325" s="7">
        <v>6.4523000000000001</v>
      </c>
      <c r="H1325" s="7">
        <v>6.6199000000000003</v>
      </c>
      <c r="I1325" s="7">
        <v>7.2245999999999997</v>
      </c>
      <c r="J1325" s="7">
        <v>7.7530999999999999</v>
      </c>
      <c r="K1325" s="7">
        <v>8.2311999999999994</v>
      </c>
      <c r="L1325" s="7">
        <v>8.6393000000000004</v>
      </c>
      <c r="M1325" s="7">
        <v>9.2993000000000006</v>
      </c>
      <c r="N1325" s="7">
        <v>10.167</v>
      </c>
      <c r="O1325" s="7">
        <v>11.067299999999999</v>
      </c>
      <c r="P1325" s="7">
        <v>11.6076</v>
      </c>
      <c r="Q1325" s="7">
        <v>12.3256</v>
      </c>
    </row>
    <row r="1326" spans="1:17">
      <c r="A1326" s="5">
        <v>43396</v>
      </c>
      <c r="B1326" s="5" t="str">
        <f t="shared" si="20"/>
        <v>2018 q4</v>
      </c>
      <c r="C1326" s="7">
        <v>5.9612999999999996</v>
      </c>
      <c r="D1326" s="7">
        <v>6.0202</v>
      </c>
      <c r="E1326" s="7">
        <v>6.1417000000000002</v>
      </c>
      <c r="F1326" s="7">
        <v>6.3209</v>
      </c>
      <c r="G1326" s="7">
        <v>6.4863</v>
      </c>
      <c r="H1326" s="7">
        <v>6.6496000000000004</v>
      </c>
      <c r="I1326" s="7">
        <v>7.2640000000000002</v>
      </c>
      <c r="J1326" s="7">
        <v>7.7885999999999997</v>
      </c>
      <c r="K1326" s="7">
        <v>8.2612000000000005</v>
      </c>
      <c r="L1326" s="7">
        <v>8.6601999999999997</v>
      </c>
      <c r="M1326" s="7">
        <v>9.2996999999999996</v>
      </c>
      <c r="N1326" s="7">
        <v>10.098699999999999</v>
      </c>
      <c r="O1326" s="7">
        <v>10.8804</v>
      </c>
      <c r="P1326" s="7">
        <v>11.4825</v>
      </c>
      <c r="Q1326" s="7">
        <v>12.1387</v>
      </c>
    </row>
    <row r="1327" spans="1:17">
      <c r="A1327" s="5">
        <v>43397</v>
      </c>
      <c r="B1327" s="5" t="str">
        <f t="shared" si="20"/>
        <v>2018 q4</v>
      </c>
      <c r="C1327" s="7">
        <v>5.9561999999999999</v>
      </c>
      <c r="D1327" s="7">
        <v>6.0156999999999998</v>
      </c>
      <c r="E1327" s="7">
        <v>6.1387</v>
      </c>
      <c r="F1327" s="7">
        <v>6.3197999999999999</v>
      </c>
      <c r="G1327" s="7">
        <v>6.4869000000000003</v>
      </c>
      <c r="H1327" s="7">
        <v>6.6520999999999999</v>
      </c>
      <c r="I1327" s="7">
        <v>7.2736000000000001</v>
      </c>
      <c r="J1327" s="7">
        <v>7.8193000000000001</v>
      </c>
      <c r="K1327" s="7">
        <v>8.2989999999999995</v>
      </c>
      <c r="L1327" s="7">
        <v>8.6875</v>
      </c>
      <c r="M1327" s="7">
        <v>9.3363999999999994</v>
      </c>
      <c r="N1327" s="7">
        <v>10.183999999999999</v>
      </c>
      <c r="O1327" s="7">
        <v>11.046099999999999</v>
      </c>
      <c r="P1327" s="7">
        <v>11.5549</v>
      </c>
      <c r="Q1327" s="7">
        <v>12.2239</v>
      </c>
    </row>
    <row r="1328" spans="1:17">
      <c r="A1328" s="5">
        <v>43398</v>
      </c>
      <c r="B1328" s="5" t="str">
        <f t="shared" si="20"/>
        <v>2018 q4</v>
      </c>
      <c r="C1328" s="7">
        <v>5.9756</v>
      </c>
      <c r="D1328" s="7">
        <v>6.0323000000000002</v>
      </c>
      <c r="E1328" s="7">
        <v>6.1490999999999998</v>
      </c>
      <c r="F1328" s="7">
        <v>6.3215000000000003</v>
      </c>
      <c r="G1328" s="7">
        <v>6.4812000000000003</v>
      </c>
      <c r="H1328" s="7">
        <v>6.6393000000000004</v>
      </c>
      <c r="I1328" s="7">
        <v>7.2358000000000002</v>
      </c>
      <c r="J1328" s="7">
        <v>7.7496</v>
      </c>
      <c r="K1328" s="7">
        <v>8.2158999999999995</v>
      </c>
      <c r="L1328" s="7">
        <v>8.6120999999999999</v>
      </c>
      <c r="M1328" s="7">
        <v>9.2565000000000008</v>
      </c>
      <c r="N1328" s="7">
        <v>10.065899999999999</v>
      </c>
      <c r="O1328" s="7">
        <v>10.880100000000001</v>
      </c>
      <c r="P1328" s="7">
        <v>11.5106</v>
      </c>
      <c r="Q1328" s="7">
        <v>12.214399999999999</v>
      </c>
    </row>
    <row r="1329" spans="1:17">
      <c r="A1329" s="5">
        <v>43399</v>
      </c>
      <c r="B1329" s="5" t="str">
        <f t="shared" si="20"/>
        <v>2018 q4</v>
      </c>
      <c r="C1329" s="7">
        <v>5.9673999999999996</v>
      </c>
      <c r="D1329" s="7">
        <v>6.0258000000000003</v>
      </c>
      <c r="E1329" s="7">
        <v>6.1466000000000003</v>
      </c>
      <c r="F1329" s="7">
        <v>6.3243999999999998</v>
      </c>
      <c r="G1329" s="7">
        <v>6.4885999999999999</v>
      </c>
      <c r="H1329" s="7">
        <v>6.6512000000000002</v>
      </c>
      <c r="I1329" s="7">
        <v>7.2632000000000003</v>
      </c>
      <c r="J1329" s="7">
        <v>7.8015999999999996</v>
      </c>
      <c r="K1329" s="7">
        <v>8.2760999999999996</v>
      </c>
      <c r="L1329" s="7">
        <v>8.6610999999999994</v>
      </c>
      <c r="M1329" s="7">
        <v>9.3072999999999997</v>
      </c>
      <c r="N1329" s="7">
        <v>10.1152</v>
      </c>
      <c r="O1329" s="7">
        <v>10.9148</v>
      </c>
      <c r="P1329" s="7">
        <v>11.5312</v>
      </c>
      <c r="Q1329" s="7">
        <v>12.2094</v>
      </c>
    </row>
    <row r="1330" spans="1:17">
      <c r="A1330" s="5">
        <v>43400</v>
      </c>
      <c r="B1330" s="5" t="str">
        <f t="shared" si="20"/>
        <v>2018 q4</v>
      </c>
      <c r="C1330" s="7">
        <v>6.0008999999999997</v>
      </c>
      <c r="D1330" s="7">
        <v>6.0555000000000003</v>
      </c>
      <c r="E1330" s="7">
        <v>6.1681999999999997</v>
      </c>
      <c r="F1330" s="7">
        <v>6.3345000000000002</v>
      </c>
      <c r="G1330" s="7">
        <v>6.4892000000000003</v>
      </c>
      <c r="H1330" s="7">
        <v>6.6425000000000001</v>
      </c>
      <c r="I1330" s="7">
        <v>7.2229000000000001</v>
      </c>
      <c r="J1330" s="7">
        <v>7.7397999999999998</v>
      </c>
      <c r="K1330" s="7">
        <v>8.2005999999999997</v>
      </c>
      <c r="L1330" s="7">
        <v>8.5976999999999997</v>
      </c>
      <c r="M1330" s="7">
        <v>9.3152000000000008</v>
      </c>
      <c r="N1330" s="7">
        <v>10.085699999999999</v>
      </c>
      <c r="O1330" s="7">
        <v>10.996600000000001</v>
      </c>
      <c r="P1330" s="7">
        <v>11.553900000000001</v>
      </c>
      <c r="Q1330" s="7">
        <v>12.3066</v>
      </c>
    </row>
    <row r="1331" spans="1:17">
      <c r="A1331" s="5">
        <v>43402</v>
      </c>
      <c r="B1331" s="5" t="str">
        <f t="shared" si="20"/>
        <v>2018 q4</v>
      </c>
      <c r="C1331" s="7">
        <v>5.9833999999999996</v>
      </c>
      <c r="D1331" s="7">
        <v>6.0385999999999997</v>
      </c>
      <c r="E1331" s="7">
        <v>6.1525999999999996</v>
      </c>
      <c r="F1331" s="7">
        <v>6.3207000000000004</v>
      </c>
      <c r="G1331" s="7">
        <v>6.4771000000000001</v>
      </c>
      <c r="H1331" s="7">
        <v>6.6323999999999996</v>
      </c>
      <c r="I1331" s="7">
        <v>7.22</v>
      </c>
      <c r="J1331" s="7">
        <v>7.7309999999999999</v>
      </c>
      <c r="K1331" s="7">
        <v>8.1984999999999992</v>
      </c>
      <c r="L1331" s="7">
        <v>8.5983000000000001</v>
      </c>
      <c r="M1331" s="7">
        <v>9.2593999999999994</v>
      </c>
      <c r="N1331" s="7">
        <v>10.0947</v>
      </c>
      <c r="O1331" s="7">
        <v>10.961399999999999</v>
      </c>
      <c r="P1331" s="7">
        <v>11.636900000000001</v>
      </c>
      <c r="Q1331" s="7">
        <v>12.4122</v>
      </c>
    </row>
    <row r="1332" spans="1:17">
      <c r="A1332" s="5">
        <v>43403</v>
      </c>
      <c r="B1332" s="5" t="str">
        <f t="shared" si="20"/>
        <v>2018 q4</v>
      </c>
      <c r="C1332" s="7">
        <v>5.9813000000000001</v>
      </c>
      <c r="D1332" s="7">
        <v>6.0369000000000002</v>
      </c>
      <c r="E1332" s="7">
        <v>6.1517999999999997</v>
      </c>
      <c r="F1332" s="7">
        <v>6.3209999999999997</v>
      </c>
      <c r="G1332" s="7">
        <v>6.4783999999999997</v>
      </c>
      <c r="H1332" s="7">
        <v>6.6348000000000003</v>
      </c>
      <c r="I1332" s="7">
        <v>7.2266000000000004</v>
      </c>
      <c r="J1332" s="7">
        <v>7.7411000000000003</v>
      </c>
      <c r="K1332" s="7">
        <v>8.2123000000000008</v>
      </c>
      <c r="L1332" s="7">
        <v>8.6145999999999994</v>
      </c>
      <c r="M1332" s="7">
        <v>9.2812999999999999</v>
      </c>
      <c r="N1332" s="7">
        <v>10.1228</v>
      </c>
      <c r="O1332" s="7">
        <v>10.997199999999999</v>
      </c>
      <c r="P1332" s="7">
        <v>11.6784</v>
      </c>
      <c r="Q1332" s="7">
        <v>12.4611</v>
      </c>
    </row>
    <row r="1333" spans="1:17">
      <c r="A1333" s="5">
        <v>43404</v>
      </c>
      <c r="B1333" s="5" t="str">
        <f t="shared" si="20"/>
        <v>2018 q4</v>
      </c>
      <c r="C1333" s="7">
        <v>5.9912999999999998</v>
      </c>
      <c r="D1333" s="7">
        <v>6.0452000000000004</v>
      </c>
      <c r="E1333" s="7">
        <v>6.1563999999999997</v>
      </c>
      <c r="F1333" s="7">
        <v>6.3202999999999996</v>
      </c>
      <c r="G1333" s="7">
        <v>6.4730999999999996</v>
      </c>
      <c r="H1333" s="7">
        <v>6.6250999999999998</v>
      </c>
      <c r="I1333" s="7">
        <v>7.2012</v>
      </c>
      <c r="J1333" s="7">
        <v>7.7043999999999997</v>
      </c>
      <c r="K1333" s="7">
        <v>8.1669999999999998</v>
      </c>
      <c r="L1333" s="7">
        <v>8.5634999999999994</v>
      </c>
      <c r="M1333" s="7">
        <v>9.2255000000000003</v>
      </c>
      <c r="N1333" s="7">
        <v>10.1015</v>
      </c>
      <c r="O1333" s="7">
        <v>11.0512</v>
      </c>
      <c r="P1333" s="7">
        <v>11.641</v>
      </c>
      <c r="Q1333" s="7">
        <v>12.4475</v>
      </c>
    </row>
    <row r="1334" spans="1:17">
      <c r="A1334" s="5">
        <v>43405</v>
      </c>
      <c r="B1334" s="5" t="str">
        <f t="shared" si="20"/>
        <v>2018 q4</v>
      </c>
      <c r="C1334" s="7">
        <v>5.9776999999999996</v>
      </c>
      <c r="D1334" s="7">
        <v>6.0326000000000004</v>
      </c>
      <c r="E1334" s="7">
        <v>6.1460999999999997</v>
      </c>
      <c r="F1334" s="7">
        <v>6.3132000000000001</v>
      </c>
      <c r="G1334" s="7">
        <v>6.4687000000000001</v>
      </c>
      <c r="H1334" s="7">
        <v>6.6235999999999997</v>
      </c>
      <c r="I1334" s="7">
        <v>7.2096999999999998</v>
      </c>
      <c r="J1334" s="7">
        <v>7.7207999999999997</v>
      </c>
      <c r="K1334" s="7">
        <v>8.1902000000000008</v>
      </c>
      <c r="L1334" s="7">
        <v>8.5913000000000004</v>
      </c>
      <c r="M1334" s="7">
        <v>9.2600999999999996</v>
      </c>
      <c r="N1334" s="7">
        <v>10.105499999999999</v>
      </c>
      <c r="O1334" s="7">
        <v>10.992900000000001</v>
      </c>
      <c r="P1334" s="7">
        <v>11.6854</v>
      </c>
      <c r="Q1334" s="7">
        <v>12.4884</v>
      </c>
    </row>
    <row r="1335" spans="1:17">
      <c r="A1335" s="5">
        <v>43406</v>
      </c>
      <c r="B1335" s="5" t="str">
        <f t="shared" si="20"/>
        <v>2018 q4</v>
      </c>
      <c r="C1335" s="7">
        <v>5.9808000000000003</v>
      </c>
      <c r="D1335" s="7">
        <v>6.0357000000000003</v>
      </c>
      <c r="E1335" s="7">
        <v>6.1490999999999998</v>
      </c>
      <c r="F1335" s="7">
        <v>6.3159999999999998</v>
      </c>
      <c r="G1335" s="7">
        <v>6.4711999999999996</v>
      </c>
      <c r="H1335" s="7">
        <v>6.6257999999999999</v>
      </c>
      <c r="I1335" s="7">
        <v>7.2106000000000003</v>
      </c>
      <c r="J1335" s="7">
        <v>7.7196999999999996</v>
      </c>
      <c r="K1335" s="7">
        <v>8.1872000000000007</v>
      </c>
      <c r="L1335" s="7">
        <v>8.5858000000000008</v>
      </c>
      <c r="M1335" s="7">
        <v>9.25</v>
      </c>
      <c r="N1335" s="7">
        <v>10.0884</v>
      </c>
      <c r="O1335" s="7">
        <v>10.9656</v>
      </c>
      <c r="P1335" s="7">
        <v>11.6492</v>
      </c>
      <c r="Q1335" s="7">
        <v>12.439500000000001</v>
      </c>
    </row>
    <row r="1336" spans="1:17">
      <c r="A1336" s="5">
        <v>43407</v>
      </c>
      <c r="B1336" s="5" t="str">
        <f t="shared" si="20"/>
        <v>2018 q4</v>
      </c>
      <c r="C1336" s="7">
        <v>5.9617000000000004</v>
      </c>
      <c r="D1336" s="7">
        <v>6.0167999999999999</v>
      </c>
      <c r="E1336" s="7">
        <v>6.1307</v>
      </c>
      <c r="F1336" s="7">
        <v>6.2973999999999997</v>
      </c>
      <c r="G1336" s="7">
        <v>6.4583000000000004</v>
      </c>
      <c r="H1336" s="7">
        <v>6.6124000000000001</v>
      </c>
      <c r="I1336" s="7">
        <v>7.1984000000000004</v>
      </c>
      <c r="J1336" s="7">
        <v>7.7119999999999997</v>
      </c>
      <c r="K1336" s="7">
        <v>8.1845999999999997</v>
      </c>
      <c r="L1336" s="7">
        <v>8.5882000000000005</v>
      </c>
      <c r="M1336" s="7">
        <v>9.2632999999999992</v>
      </c>
      <c r="N1336" s="7">
        <v>10.1166</v>
      </c>
      <c r="O1336" s="7">
        <v>11.016400000000001</v>
      </c>
      <c r="P1336" s="7">
        <v>11.7187</v>
      </c>
      <c r="Q1336" s="7">
        <v>12.5364</v>
      </c>
    </row>
    <row r="1337" spans="1:17">
      <c r="A1337" s="5">
        <v>43409</v>
      </c>
      <c r="B1337" s="5" t="str">
        <f t="shared" si="20"/>
        <v>2018 q4</v>
      </c>
      <c r="C1337" s="7">
        <v>5.9508000000000001</v>
      </c>
      <c r="D1337" s="7">
        <v>6.0046999999999997</v>
      </c>
      <c r="E1337" s="7">
        <v>6.1159999999999997</v>
      </c>
      <c r="F1337" s="7">
        <v>6.2830000000000004</v>
      </c>
      <c r="G1337" s="7">
        <v>6.4462000000000002</v>
      </c>
      <c r="H1337" s="7">
        <v>6.6024000000000003</v>
      </c>
      <c r="I1337" s="7">
        <v>7.1957000000000004</v>
      </c>
      <c r="J1337" s="7">
        <v>7.7141999999999999</v>
      </c>
      <c r="K1337" s="7">
        <v>8.1905999999999999</v>
      </c>
      <c r="L1337" s="7">
        <v>8.5959000000000003</v>
      </c>
      <c r="M1337" s="7">
        <v>9.2721</v>
      </c>
      <c r="N1337" s="7">
        <v>10.124499999999999</v>
      </c>
      <c r="O1337" s="7">
        <v>11.0161</v>
      </c>
      <c r="P1337" s="7">
        <v>11.710100000000001</v>
      </c>
      <c r="Q1337" s="7">
        <v>12.5122</v>
      </c>
    </row>
    <row r="1338" spans="1:17">
      <c r="A1338" s="5">
        <v>43410</v>
      </c>
      <c r="B1338" s="5" t="str">
        <f t="shared" si="20"/>
        <v>2018 q4</v>
      </c>
      <c r="C1338" s="7">
        <v>5.91</v>
      </c>
      <c r="D1338" s="7">
        <v>5.9657</v>
      </c>
      <c r="E1338" s="7">
        <v>6.0805999999999996</v>
      </c>
      <c r="F1338" s="7">
        <v>6.2477</v>
      </c>
      <c r="G1338" s="7">
        <v>6.4123000000000001</v>
      </c>
      <c r="H1338" s="7">
        <v>6.5766999999999998</v>
      </c>
      <c r="I1338" s="7">
        <v>7.1669999999999998</v>
      </c>
      <c r="J1338" s="7">
        <v>7.6883999999999997</v>
      </c>
      <c r="K1338" s="7">
        <v>8.1681000000000008</v>
      </c>
      <c r="L1338" s="7">
        <v>8.5757999999999992</v>
      </c>
      <c r="M1338" s="7">
        <v>9.2578999999999994</v>
      </c>
      <c r="N1338" s="7">
        <v>10.1174</v>
      </c>
      <c r="O1338" s="7">
        <v>11.019500000000001</v>
      </c>
      <c r="P1338" s="7">
        <v>11.7216</v>
      </c>
      <c r="Q1338" s="7">
        <v>12.535299999999999</v>
      </c>
    </row>
    <row r="1339" spans="1:17">
      <c r="A1339" s="5">
        <v>43411</v>
      </c>
      <c r="B1339" s="5" t="str">
        <f t="shared" si="20"/>
        <v>2018 q4</v>
      </c>
      <c r="C1339" s="7">
        <v>5.9181999999999997</v>
      </c>
      <c r="D1339" s="7">
        <v>5.9733000000000001</v>
      </c>
      <c r="E1339" s="7">
        <v>6.0869</v>
      </c>
      <c r="F1339" s="7">
        <v>6.2522000000000002</v>
      </c>
      <c r="G1339" s="7">
        <v>6.4151999999999996</v>
      </c>
      <c r="H1339" s="7">
        <v>6.5778999999999996</v>
      </c>
      <c r="I1339" s="7">
        <v>7.1638999999999999</v>
      </c>
      <c r="J1339" s="7">
        <v>7.6829000000000001</v>
      </c>
      <c r="K1339" s="7">
        <v>8.1616999999999997</v>
      </c>
      <c r="L1339" s="7">
        <v>8.5695999999999994</v>
      </c>
      <c r="M1339" s="7">
        <v>9.2559000000000005</v>
      </c>
      <c r="N1339" s="7">
        <v>10.1226</v>
      </c>
      <c r="O1339" s="7">
        <v>11.042</v>
      </c>
      <c r="P1339" s="7">
        <v>11.759399999999999</v>
      </c>
      <c r="Q1339" s="7">
        <v>12.599299999999999</v>
      </c>
    </row>
    <row r="1340" spans="1:17">
      <c r="A1340" s="5">
        <v>43412</v>
      </c>
      <c r="B1340" s="5" t="str">
        <f t="shared" si="20"/>
        <v>2018 q4</v>
      </c>
      <c r="C1340" s="7">
        <v>5.9248000000000003</v>
      </c>
      <c r="D1340" s="7">
        <v>5.9794</v>
      </c>
      <c r="E1340" s="7">
        <v>6.0921000000000003</v>
      </c>
      <c r="F1340" s="7">
        <v>6.2560000000000002</v>
      </c>
      <c r="G1340" s="7">
        <v>6.4177999999999997</v>
      </c>
      <c r="H1340" s="7">
        <v>6.5792000000000002</v>
      </c>
      <c r="I1340" s="7">
        <v>7.1614000000000004</v>
      </c>
      <c r="J1340" s="7">
        <v>7.6778000000000004</v>
      </c>
      <c r="K1340" s="7">
        <v>8.1548999999999996</v>
      </c>
      <c r="L1340" s="7">
        <v>8.5617000000000001</v>
      </c>
      <c r="M1340" s="7">
        <v>9.2482000000000006</v>
      </c>
      <c r="N1340" s="7">
        <v>10.1159</v>
      </c>
      <c r="O1340" s="7">
        <v>11.041499999999999</v>
      </c>
      <c r="P1340" s="7">
        <v>11.7646</v>
      </c>
      <c r="Q1340" s="7">
        <v>12.615600000000001</v>
      </c>
    </row>
    <row r="1341" spans="1:17">
      <c r="A1341" s="5">
        <v>43413</v>
      </c>
      <c r="B1341" s="5" t="str">
        <f t="shared" si="20"/>
        <v>2018 q4</v>
      </c>
      <c r="C1341" s="7">
        <v>5.9250999999999996</v>
      </c>
      <c r="D1341" s="7">
        <v>5.9798999999999998</v>
      </c>
      <c r="E1341" s="7">
        <v>6.0930999999999997</v>
      </c>
      <c r="F1341" s="7">
        <v>6.2576000000000001</v>
      </c>
      <c r="G1341" s="7">
        <v>6.4199000000000002</v>
      </c>
      <c r="H1341" s="7">
        <v>6.5818000000000003</v>
      </c>
      <c r="I1341" s="7">
        <v>7.1643999999999997</v>
      </c>
      <c r="J1341" s="7">
        <v>7.6795</v>
      </c>
      <c r="K1341" s="7">
        <v>8.1547000000000001</v>
      </c>
      <c r="L1341" s="7">
        <v>8.5582999999999991</v>
      </c>
      <c r="M1341" s="7">
        <v>9.2371999999999996</v>
      </c>
      <c r="N1341" s="7">
        <v>10.092700000000001</v>
      </c>
      <c r="O1341" s="7">
        <v>10.997299999999999</v>
      </c>
      <c r="P1341" s="7">
        <v>11.701599999999999</v>
      </c>
      <c r="Q1341" s="7">
        <v>12.5235</v>
      </c>
    </row>
    <row r="1342" spans="1:17">
      <c r="A1342" s="5">
        <v>43416</v>
      </c>
      <c r="B1342" s="5" t="str">
        <f t="shared" si="20"/>
        <v>2018 q4</v>
      </c>
      <c r="C1342" s="7">
        <v>5.9288999999999996</v>
      </c>
      <c r="D1342" s="7">
        <v>5.9833999999999996</v>
      </c>
      <c r="E1342" s="7">
        <v>6.0960999999999999</v>
      </c>
      <c r="F1342" s="7">
        <v>6.2599</v>
      </c>
      <c r="G1342" s="7">
        <v>6.4215999999999998</v>
      </c>
      <c r="H1342" s="7">
        <v>6.5827999999999998</v>
      </c>
      <c r="I1342" s="7">
        <v>7.1646000000000001</v>
      </c>
      <c r="J1342" s="7">
        <v>7.6803999999999997</v>
      </c>
      <c r="K1342" s="7">
        <v>8.1572999999999993</v>
      </c>
      <c r="L1342" s="7">
        <v>8.5632999999999999</v>
      </c>
      <c r="M1342" s="7">
        <v>9.2495999999999992</v>
      </c>
      <c r="N1342" s="7">
        <v>10.116099999999999</v>
      </c>
      <c r="O1342" s="7">
        <v>11.041399999999999</v>
      </c>
      <c r="P1342" s="7">
        <v>11.7636</v>
      </c>
      <c r="Q1342" s="7">
        <v>12.614000000000001</v>
      </c>
    </row>
    <row r="1343" spans="1:17">
      <c r="A1343" s="5">
        <v>43417</v>
      </c>
      <c r="B1343" s="5" t="str">
        <f t="shared" si="20"/>
        <v>2018 q4</v>
      </c>
      <c r="C1343" s="7">
        <v>5.9255000000000004</v>
      </c>
      <c r="D1343" s="7">
        <v>5.9812000000000003</v>
      </c>
      <c r="E1343" s="7">
        <v>6.0963000000000003</v>
      </c>
      <c r="F1343" s="7">
        <v>6.2647000000000004</v>
      </c>
      <c r="G1343" s="7">
        <v>6.431</v>
      </c>
      <c r="H1343" s="7">
        <v>6.5873999999999997</v>
      </c>
      <c r="I1343" s="7">
        <v>7.1814999999999998</v>
      </c>
      <c r="J1343" s="7">
        <v>7.7018000000000004</v>
      </c>
      <c r="K1343" s="7">
        <v>8.1821000000000002</v>
      </c>
      <c r="L1343" s="7">
        <v>8.5876999999999999</v>
      </c>
      <c r="M1343" s="7">
        <v>9.2706999999999997</v>
      </c>
      <c r="N1343" s="7">
        <v>10.1282</v>
      </c>
      <c r="O1343" s="7">
        <v>11.031499999999999</v>
      </c>
      <c r="P1343" s="7">
        <v>11.7326</v>
      </c>
      <c r="Q1343" s="7">
        <v>12.5474</v>
      </c>
    </row>
    <row r="1344" spans="1:17">
      <c r="A1344" s="5">
        <v>43418</v>
      </c>
      <c r="B1344" s="5" t="str">
        <f t="shared" si="20"/>
        <v>2018 q4</v>
      </c>
      <c r="C1344" s="7">
        <v>5.9263000000000003</v>
      </c>
      <c r="D1344" s="7">
        <v>5.9817999999999998</v>
      </c>
      <c r="E1344" s="7">
        <v>6.0964</v>
      </c>
      <c r="F1344" s="7">
        <v>6.2641999999999998</v>
      </c>
      <c r="G1344" s="7">
        <v>6.4298000000000002</v>
      </c>
      <c r="H1344" s="7">
        <v>6.5857999999999999</v>
      </c>
      <c r="I1344" s="7">
        <v>7.1783000000000001</v>
      </c>
      <c r="J1344" s="7">
        <v>7.6977000000000002</v>
      </c>
      <c r="K1344" s="7">
        <v>8.1776</v>
      </c>
      <c r="L1344" s="7">
        <v>8.5830000000000002</v>
      </c>
      <c r="M1344" s="7">
        <v>9.2674000000000003</v>
      </c>
      <c r="N1344" s="7">
        <v>10.126899999999999</v>
      </c>
      <c r="O1344" s="7">
        <v>11.0358</v>
      </c>
      <c r="P1344" s="7">
        <v>11.7417</v>
      </c>
      <c r="Q1344" s="7">
        <v>12.5649</v>
      </c>
    </row>
    <row r="1345" spans="1:17">
      <c r="A1345" s="5">
        <v>43419</v>
      </c>
      <c r="B1345" s="5" t="str">
        <f t="shared" si="20"/>
        <v>2018 q4</v>
      </c>
      <c r="C1345" s="7">
        <v>5.9306000000000001</v>
      </c>
      <c r="D1345" s="7">
        <v>5.9867999999999997</v>
      </c>
      <c r="E1345" s="7">
        <v>6.1029</v>
      </c>
      <c r="F1345" s="7">
        <v>6.2727000000000004</v>
      </c>
      <c r="G1345" s="7">
        <v>6.4401999999999999</v>
      </c>
      <c r="H1345" s="7">
        <v>6.5978000000000003</v>
      </c>
      <c r="I1345" s="7">
        <v>7.1957000000000004</v>
      </c>
      <c r="J1345" s="7">
        <v>7.7180999999999997</v>
      </c>
      <c r="K1345" s="7">
        <v>8.2001000000000008</v>
      </c>
      <c r="L1345" s="7">
        <v>8.6054999999999993</v>
      </c>
      <c r="M1345" s="7">
        <v>9.2878000000000007</v>
      </c>
      <c r="N1345" s="7">
        <v>10.142099999999999</v>
      </c>
      <c r="O1345" s="7">
        <v>11.0375</v>
      </c>
      <c r="P1345" s="7">
        <v>11.7308</v>
      </c>
      <c r="Q1345" s="7">
        <v>12.532500000000001</v>
      </c>
    </row>
    <row r="1346" spans="1:17">
      <c r="A1346" s="5">
        <v>43420</v>
      </c>
      <c r="B1346" s="5" t="str">
        <f t="shared" si="20"/>
        <v>2018 q4</v>
      </c>
      <c r="C1346" s="7">
        <v>5.9387999999999996</v>
      </c>
      <c r="D1346" s="7">
        <v>5.9939999999999998</v>
      </c>
      <c r="E1346" s="7">
        <v>6.1081000000000003</v>
      </c>
      <c r="F1346" s="7">
        <v>6.2750000000000004</v>
      </c>
      <c r="G1346" s="7">
        <v>6.4397000000000002</v>
      </c>
      <c r="H1346" s="7">
        <v>6.5951000000000004</v>
      </c>
      <c r="I1346" s="7">
        <v>7.1853999999999996</v>
      </c>
      <c r="J1346" s="7">
        <v>7.7032999999999996</v>
      </c>
      <c r="K1346" s="7">
        <v>8.1827000000000005</v>
      </c>
      <c r="L1346" s="7">
        <v>8.5874000000000006</v>
      </c>
      <c r="M1346" s="7">
        <v>9.2729999999999997</v>
      </c>
      <c r="N1346" s="7">
        <v>10.1341</v>
      </c>
      <c r="O1346" s="7">
        <v>11.049200000000001</v>
      </c>
      <c r="P1346" s="7">
        <v>11.7601</v>
      </c>
      <c r="Q1346" s="7">
        <v>12.5929</v>
      </c>
    </row>
    <row r="1347" spans="1:17">
      <c r="A1347" s="5">
        <v>43423</v>
      </c>
      <c r="B1347" s="5" t="str">
        <f t="shared" ref="B1347:B1410" si="21">YEAR(A1347)&amp;" q"&amp;ROUNDUP(MONTH(A1347)/3,0)</f>
        <v>2018 q4</v>
      </c>
      <c r="C1347" s="7">
        <v>5.9459</v>
      </c>
      <c r="D1347" s="7">
        <v>6.0015999999999998</v>
      </c>
      <c r="E1347" s="7">
        <v>6.1166</v>
      </c>
      <c r="F1347" s="7">
        <v>6.2847</v>
      </c>
      <c r="G1347" s="7">
        <v>6.4504000000000001</v>
      </c>
      <c r="H1347" s="7">
        <v>6.6067</v>
      </c>
      <c r="I1347" s="7">
        <v>7.1993999999999998</v>
      </c>
      <c r="J1347" s="7">
        <v>7.7176</v>
      </c>
      <c r="K1347" s="7">
        <v>8.1965000000000003</v>
      </c>
      <c r="L1347" s="7">
        <v>8.5990000000000002</v>
      </c>
      <c r="M1347" s="7">
        <v>9.2787000000000006</v>
      </c>
      <c r="N1347" s="7">
        <v>10.1295</v>
      </c>
      <c r="O1347" s="7">
        <v>11.0253</v>
      </c>
      <c r="P1347" s="7">
        <v>11.7189</v>
      </c>
      <c r="Q1347" s="7">
        <v>12.524100000000001</v>
      </c>
    </row>
    <row r="1348" spans="1:17">
      <c r="A1348" s="5">
        <v>43424</v>
      </c>
      <c r="B1348" s="5" t="str">
        <f t="shared" si="21"/>
        <v>2018 q4</v>
      </c>
      <c r="C1348" s="7">
        <v>5.9566999999999997</v>
      </c>
      <c r="D1348" s="7">
        <v>6.0118999999999998</v>
      </c>
      <c r="E1348" s="7">
        <v>6.1258999999999997</v>
      </c>
      <c r="F1348" s="7">
        <v>6.2925000000000004</v>
      </c>
      <c r="G1348" s="7">
        <v>6.4565000000000001</v>
      </c>
      <c r="H1348" s="7">
        <v>6.6116999999999999</v>
      </c>
      <c r="I1348" s="7">
        <v>7.2004000000000001</v>
      </c>
      <c r="J1348" s="7">
        <v>7.7160000000000002</v>
      </c>
      <c r="K1348" s="7">
        <v>8.1938999999999993</v>
      </c>
      <c r="L1348" s="7">
        <v>8.5953999999999997</v>
      </c>
      <c r="M1348" s="7">
        <v>9.2773000000000003</v>
      </c>
      <c r="N1348" s="7">
        <v>10.131399999999999</v>
      </c>
      <c r="O1348" s="7">
        <v>11.0383</v>
      </c>
      <c r="P1348" s="7">
        <v>11.741099999999999</v>
      </c>
      <c r="Q1348" s="7">
        <v>12.563499999999999</v>
      </c>
    </row>
    <row r="1349" spans="1:17">
      <c r="A1349" s="5">
        <v>43425</v>
      </c>
      <c r="B1349" s="5" t="str">
        <f t="shared" si="21"/>
        <v>2018 q4</v>
      </c>
      <c r="C1349" s="7">
        <v>5.9356999999999998</v>
      </c>
      <c r="D1349" s="7">
        <v>5.9939</v>
      </c>
      <c r="E1349" s="7">
        <v>6.1140999999999996</v>
      </c>
      <c r="F1349" s="7">
        <v>6.2888999999999999</v>
      </c>
      <c r="G1349" s="7">
        <v>6.4608999999999996</v>
      </c>
      <c r="H1349" s="7">
        <v>6.6224999999999996</v>
      </c>
      <c r="I1349" s="7">
        <v>7.2319000000000004</v>
      </c>
      <c r="J1349" s="7">
        <v>7.7576999999999998</v>
      </c>
      <c r="K1349" s="7">
        <v>8.2408999999999999</v>
      </c>
      <c r="L1349" s="7">
        <v>8.6397999999999993</v>
      </c>
      <c r="M1349" s="7">
        <v>9.3051999999999992</v>
      </c>
      <c r="N1349" s="7">
        <v>10.1279</v>
      </c>
      <c r="O1349" s="7">
        <v>10.963900000000001</v>
      </c>
      <c r="P1349" s="7">
        <v>11.603400000000001</v>
      </c>
      <c r="Q1349" s="7">
        <v>12.3218</v>
      </c>
    </row>
    <row r="1350" spans="1:17">
      <c r="A1350" s="5">
        <v>43426</v>
      </c>
      <c r="B1350" s="5" t="str">
        <f t="shared" si="21"/>
        <v>2018 q4</v>
      </c>
      <c r="C1350" s="7">
        <v>5.9363999999999999</v>
      </c>
      <c r="D1350" s="7">
        <v>5.9947999999999997</v>
      </c>
      <c r="E1350" s="7">
        <v>6.1154000000000002</v>
      </c>
      <c r="F1350" s="7">
        <v>6.2908999999999997</v>
      </c>
      <c r="G1350" s="7">
        <v>6.4634999999999998</v>
      </c>
      <c r="H1350" s="7">
        <v>6.6261000000000001</v>
      </c>
      <c r="I1350" s="7">
        <v>7.2392000000000003</v>
      </c>
      <c r="J1350" s="7">
        <v>7.7693000000000003</v>
      </c>
      <c r="K1350" s="7">
        <v>8.2574000000000005</v>
      </c>
      <c r="L1350" s="7">
        <v>8.6608000000000001</v>
      </c>
      <c r="M1350" s="7">
        <v>9.3364999999999991</v>
      </c>
      <c r="N1350" s="7">
        <v>10.1729</v>
      </c>
      <c r="O1350" s="7">
        <v>11.0288</v>
      </c>
      <c r="P1350" s="7">
        <v>11.6844</v>
      </c>
      <c r="Q1350" s="7">
        <v>12.4255</v>
      </c>
    </row>
    <row r="1351" spans="1:17">
      <c r="A1351" s="5">
        <v>43427</v>
      </c>
      <c r="B1351" s="5" t="str">
        <f t="shared" si="21"/>
        <v>2018 q4</v>
      </c>
      <c r="C1351" s="7">
        <v>5.9439000000000002</v>
      </c>
      <c r="D1351" s="7">
        <v>6.0018000000000002</v>
      </c>
      <c r="E1351" s="7">
        <v>6.1212999999999997</v>
      </c>
      <c r="F1351" s="7">
        <v>6.2953000000000001</v>
      </c>
      <c r="G1351" s="7">
        <v>6.4664000000000001</v>
      </c>
      <c r="H1351" s="7">
        <v>6.6277999999999997</v>
      </c>
      <c r="I1351" s="7">
        <v>7.2370999999999999</v>
      </c>
      <c r="J1351" s="7">
        <v>7.7651000000000003</v>
      </c>
      <c r="K1351" s="7">
        <v>8.2521000000000004</v>
      </c>
      <c r="L1351" s="7">
        <v>8.6554000000000002</v>
      </c>
      <c r="M1351" s="7">
        <v>9.3336000000000006</v>
      </c>
      <c r="N1351" s="7">
        <v>10.174300000000001</v>
      </c>
      <c r="O1351" s="7">
        <v>11.0413</v>
      </c>
      <c r="P1351" s="7">
        <v>11.7065</v>
      </c>
      <c r="Q1351" s="7">
        <v>12.4636</v>
      </c>
    </row>
    <row r="1352" spans="1:17">
      <c r="A1352" s="5">
        <v>43430</v>
      </c>
      <c r="B1352" s="5" t="str">
        <f t="shared" si="21"/>
        <v>2018 q4</v>
      </c>
      <c r="C1352" s="7">
        <v>5.9612999999999996</v>
      </c>
      <c r="D1352" s="7">
        <v>6.0175000000000001</v>
      </c>
      <c r="E1352" s="7">
        <v>6.1334</v>
      </c>
      <c r="F1352" s="7">
        <v>6.3002000000000002</v>
      </c>
      <c r="G1352" s="7">
        <v>6.4660000000000002</v>
      </c>
      <c r="H1352" s="7">
        <v>6.6295999999999999</v>
      </c>
      <c r="I1352" s="7">
        <v>7.2192999999999996</v>
      </c>
      <c r="J1352" s="7">
        <v>7.7356999999999996</v>
      </c>
      <c r="K1352" s="7">
        <v>8.2134</v>
      </c>
      <c r="L1352" s="7">
        <v>8.6104000000000003</v>
      </c>
      <c r="M1352" s="7">
        <v>9.2819000000000003</v>
      </c>
      <c r="N1352" s="7">
        <v>10.157400000000001</v>
      </c>
      <c r="O1352" s="7">
        <v>11.0906</v>
      </c>
      <c r="P1352" s="7">
        <v>11.6585</v>
      </c>
      <c r="Q1352" s="7">
        <v>12.430199999999999</v>
      </c>
    </row>
    <row r="1353" spans="1:17">
      <c r="A1353" s="5">
        <v>43431</v>
      </c>
      <c r="B1353" s="5" t="str">
        <f t="shared" si="21"/>
        <v>2018 q4</v>
      </c>
      <c r="C1353" s="7">
        <v>5.9375</v>
      </c>
      <c r="D1353" s="7">
        <v>5.9958999999999998</v>
      </c>
      <c r="E1353" s="7">
        <v>6.1166</v>
      </c>
      <c r="F1353" s="7">
        <v>6.2893999999999997</v>
      </c>
      <c r="G1353" s="7">
        <v>6.4615999999999998</v>
      </c>
      <c r="H1353" s="7">
        <v>6.6307999999999998</v>
      </c>
      <c r="I1353" s="7">
        <v>7.2390999999999996</v>
      </c>
      <c r="J1353" s="7">
        <v>7.7682000000000002</v>
      </c>
      <c r="K1353" s="7">
        <v>8.2566000000000006</v>
      </c>
      <c r="L1353" s="7">
        <v>8.6583000000000006</v>
      </c>
      <c r="M1353" s="7">
        <v>9.3346</v>
      </c>
      <c r="N1353" s="7">
        <v>10.1693</v>
      </c>
      <c r="O1353" s="7">
        <v>11.0261</v>
      </c>
      <c r="P1353" s="7">
        <v>11.681100000000001</v>
      </c>
      <c r="Q1353" s="7">
        <v>12.423</v>
      </c>
    </row>
    <row r="1354" spans="1:17">
      <c r="A1354" s="5">
        <v>43432</v>
      </c>
      <c r="B1354" s="5" t="str">
        <f t="shared" si="21"/>
        <v>2018 q4</v>
      </c>
      <c r="C1354" s="7">
        <v>5.944</v>
      </c>
      <c r="D1354" s="7">
        <v>6.0010000000000003</v>
      </c>
      <c r="E1354" s="7">
        <v>6.1188000000000002</v>
      </c>
      <c r="F1354" s="7">
        <v>6.2877999999999998</v>
      </c>
      <c r="G1354" s="7">
        <v>6.4561999999999999</v>
      </c>
      <c r="H1354" s="7">
        <v>6.6218000000000004</v>
      </c>
      <c r="I1354" s="7">
        <v>7.2207999999999997</v>
      </c>
      <c r="J1354" s="7">
        <v>7.7455999999999996</v>
      </c>
      <c r="K1354" s="7">
        <v>8.2324000000000002</v>
      </c>
      <c r="L1354" s="7">
        <v>8.6359999999999992</v>
      </c>
      <c r="M1354" s="7">
        <v>9.3225999999999996</v>
      </c>
      <c r="N1354" s="7">
        <v>10.1752</v>
      </c>
      <c r="O1354" s="7">
        <v>11.0709</v>
      </c>
      <c r="P1354" s="7">
        <v>11.7599</v>
      </c>
      <c r="Q1354" s="7">
        <v>12.5571</v>
      </c>
    </row>
    <row r="1355" spans="1:17">
      <c r="A1355" s="5">
        <v>43433</v>
      </c>
      <c r="B1355" s="5" t="str">
        <f t="shared" si="21"/>
        <v>2018 q4</v>
      </c>
      <c r="C1355" s="7">
        <v>5.968</v>
      </c>
      <c r="D1355" s="7">
        <v>6.0237999999999996</v>
      </c>
      <c r="E1355" s="7">
        <v>6.1391999999999998</v>
      </c>
      <c r="F1355" s="7">
        <v>6.3048000000000002</v>
      </c>
      <c r="G1355" s="7">
        <v>6.47</v>
      </c>
      <c r="H1355" s="7">
        <v>6.6323999999999996</v>
      </c>
      <c r="I1355" s="7">
        <v>7.2217000000000002</v>
      </c>
      <c r="J1355" s="7">
        <v>7.7393999999999998</v>
      </c>
      <c r="K1355" s="7">
        <v>8.2209000000000003</v>
      </c>
      <c r="L1355" s="7">
        <v>8.6417999999999999</v>
      </c>
      <c r="M1355" s="7">
        <v>9.3904999999999994</v>
      </c>
      <c r="N1355" s="7">
        <v>10.1584</v>
      </c>
      <c r="O1355" s="7">
        <v>11.063700000000001</v>
      </c>
      <c r="P1355" s="7">
        <v>11.761900000000001</v>
      </c>
      <c r="Q1355" s="7">
        <v>12.578099999999999</v>
      </c>
    </row>
    <row r="1356" spans="1:17">
      <c r="A1356" s="5">
        <v>43434</v>
      </c>
      <c r="B1356" s="5" t="str">
        <f t="shared" si="21"/>
        <v>2018 q4</v>
      </c>
      <c r="C1356" s="7">
        <v>5.9473000000000003</v>
      </c>
      <c r="D1356" s="7">
        <v>6.0045000000000002</v>
      </c>
      <c r="E1356" s="7">
        <v>6.1223999999999998</v>
      </c>
      <c r="F1356" s="7">
        <v>6.2915000000000001</v>
      </c>
      <c r="G1356" s="7">
        <v>6.4602000000000004</v>
      </c>
      <c r="H1356" s="7">
        <v>6.6258999999999997</v>
      </c>
      <c r="I1356" s="7">
        <v>7.2252999999999998</v>
      </c>
      <c r="J1356" s="7">
        <v>7.7496999999999998</v>
      </c>
      <c r="K1356" s="7">
        <v>8.2363999999999997</v>
      </c>
      <c r="L1356" s="7">
        <v>8.6387999999999998</v>
      </c>
      <c r="M1356" s="7">
        <v>9.3239000000000001</v>
      </c>
      <c r="N1356" s="7">
        <v>10.173299999999999</v>
      </c>
      <c r="O1356" s="7">
        <v>11.064399999999999</v>
      </c>
      <c r="P1356" s="7">
        <v>11.748799999999999</v>
      </c>
      <c r="Q1356" s="7">
        <v>12.5397</v>
      </c>
    </row>
    <row r="1357" spans="1:17">
      <c r="A1357" s="5">
        <v>43437</v>
      </c>
      <c r="B1357" s="5" t="str">
        <f t="shared" si="21"/>
        <v>2018 q4</v>
      </c>
      <c r="C1357" s="7">
        <v>5.9532999999999996</v>
      </c>
      <c r="D1357" s="7">
        <v>6.0102000000000002</v>
      </c>
      <c r="E1357" s="7">
        <v>6.1276999999999999</v>
      </c>
      <c r="F1357" s="7">
        <v>6.2958999999999996</v>
      </c>
      <c r="G1357" s="7">
        <v>6.4637000000000002</v>
      </c>
      <c r="H1357" s="7">
        <v>6.6284000000000001</v>
      </c>
      <c r="I1357" s="7">
        <v>7.2234999999999996</v>
      </c>
      <c r="J1357" s="7">
        <v>7.7430000000000003</v>
      </c>
      <c r="K1357" s="7">
        <v>8.2247000000000003</v>
      </c>
      <c r="L1357" s="7">
        <v>8.6214999999999993</v>
      </c>
      <c r="M1357" s="7">
        <v>9.2962000000000007</v>
      </c>
      <c r="N1357" s="7">
        <v>10.1724</v>
      </c>
      <c r="O1357" s="7">
        <v>11.103400000000001</v>
      </c>
      <c r="P1357" s="7">
        <v>11.6675</v>
      </c>
      <c r="Q1357" s="7">
        <v>12.4336</v>
      </c>
    </row>
    <row r="1358" spans="1:17">
      <c r="A1358" s="5">
        <v>43438</v>
      </c>
      <c r="B1358" s="5" t="str">
        <f t="shared" si="21"/>
        <v>2018 q4</v>
      </c>
      <c r="C1358" s="7">
        <v>5.9001000000000001</v>
      </c>
      <c r="D1358" s="7">
        <v>5.9580000000000002</v>
      </c>
      <c r="E1358" s="7">
        <v>6.0777000000000001</v>
      </c>
      <c r="F1358" s="7">
        <v>6.2548000000000004</v>
      </c>
      <c r="G1358" s="7">
        <v>6.4261999999999997</v>
      </c>
      <c r="H1358" s="7">
        <v>6.5975000000000001</v>
      </c>
      <c r="I1358" s="7">
        <v>7.2107000000000001</v>
      </c>
      <c r="J1358" s="7">
        <v>7.7445000000000004</v>
      </c>
      <c r="K1358" s="7">
        <v>8.2390000000000008</v>
      </c>
      <c r="L1358" s="7">
        <v>8.6428999999999991</v>
      </c>
      <c r="M1358" s="7">
        <v>9.3282000000000007</v>
      </c>
      <c r="N1358" s="7">
        <v>10.171200000000001</v>
      </c>
      <c r="O1358" s="7">
        <v>11.0406</v>
      </c>
      <c r="P1358" s="7">
        <v>11.7035</v>
      </c>
      <c r="Q1358" s="7">
        <v>12.4572</v>
      </c>
    </row>
    <row r="1359" spans="1:17">
      <c r="A1359" s="5">
        <v>43439</v>
      </c>
      <c r="B1359" s="5" t="str">
        <f t="shared" si="21"/>
        <v>2018 q4</v>
      </c>
      <c r="C1359" s="7">
        <v>5.899</v>
      </c>
      <c r="D1359" s="7">
        <v>5.9561999999999999</v>
      </c>
      <c r="E1359" s="7">
        <v>6.0743</v>
      </c>
      <c r="F1359" s="7">
        <v>6.2491000000000003</v>
      </c>
      <c r="G1359" s="7">
        <v>6.4184999999999999</v>
      </c>
      <c r="H1359" s="7">
        <v>6.5876000000000001</v>
      </c>
      <c r="I1359" s="7">
        <v>7.1954000000000002</v>
      </c>
      <c r="J1359" s="7">
        <v>7.7260999999999997</v>
      </c>
      <c r="K1359" s="7">
        <v>8.2190999999999992</v>
      </c>
      <c r="L1359" s="7">
        <v>8.6233000000000004</v>
      </c>
      <c r="M1359" s="7">
        <v>9.3126999999999995</v>
      </c>
      <c r="N1359" s="7">
        <v>10.1631</v>
      </c>
      <c r="O1359" s="7">
        <v>11.0505</v>
      </c>
      <c r="P1359" s="7">
        <v>11.728999999999999</v>
      </c>
      <c r="Q1359" s="7">
        <v>12.508699999999999</v>
      </c>
    </row>
    <row r="1360" spans="1:17">
      <c r="A1360" s="5">
        <v>43440</v>
      </c>
      <c r="B1360" s="5" t="str">
        <f t="shared" si="21"/>
        <v>2018 q4</v>
      </c>
      <c r="C1360" s="7">
        <v>5.8996000000000004</v>
      </c>
      <c r="D1360" s="7">
        <v>5.9568000000000003</v>
      </c>
      <c r="E1360" s="7">
        <v>6.0750000000000002</v>
      </c>
      <c r="F1360" s="7">
        <v>6.2496999999999998</v>
      </c>
      <c r="G1360" s="7">
        <v>6.4191000000000003</v>
      </c>
      <c r="H1360" s="7">
        <v>6.5881999999999996</v>
      </c>
      <c r="I1360" s="7">
        <v>7.1958000000000002</v>
      </c>
      <c r="J1360" s="7">
        <v>7.7263000000000002</v>
      </c>
      <c r="K1360" s="7">
        <v>8.2192000000000007</v>
      </c>
      <c r="L1360" s="7">
        <v>8.6228999999999996</v>
      </c>
      <c r="M1360" s="7">
        <v>9.3119999999999994</v>
      </c>
      <c r="N1360" s="7">
        <v>10.1615</v>
      </c>
      <c r="O1360" s="7">
        <v>11.0482</v>
      </c>
      <c r="P1360" s="7">
        <v>11.7257</v>
      </c>
      <c r="Q1360" s="7">
        <v>12.5044</v>
      </c>
    </row>
    <row r="1361" spans="1:17">
      <c r="A1361" s="5">
        <v>43441</v>
      </c>
      <c r="B1361" s="5" t="str">
        <f t="shared" si="21"/>
        <v>2018 q4</v>
      </c>
      <c r="C1361" s="7">
        <v>5.9085999999999999</v>
      </c>
      <c r="D1361" s="7">
        <v>5.9619999999999997</v>
      </c>
      <c r="E1361" s="7">
        <v>6.0723000000000003</v>
      </c>
      <c r="F1361" s="7">
        <v>6.2356999999999996</v>
      </c>
      <c r="G1361" s="7">
        <v>6.3947000000000003</v>
      </c>
      <c r="H1361" s="7">
        <v>6.5533999999999999</v>
      </c>
      <c r="I1361" s="7">
        <v>7.1315999999999997</v>
      </c>
      <c r="J1361" s="7">
        <v>7.6445999999999996</v>
      </c>
      <c r="K1361" s="7">
        <v>8.1258999999999997</v>
      </c>
      <c r="L1361" s="7">
        <v>8.5282</v>
      </c>
      <c r="M1361" s="7">
        <v>9.2294</v>
      </c>
      <c r="N1361" s="7">
        <v>10.106999999999999</v>
      </c>
      <c r="O1361" s="7">
        <v>11.0717</v>
      </c>
      <c r="P1361" s="7">
        <v>11.8207</v>
      </c>
      <c r="Q1361" s="7">
        <v>12.7254</v>
      </c>
    </row>
    <row r="1362" spans="1:17">
      <c r="A1362" s="5">
        <v>43444</v>
      </c>
      <c r="B1362" s="5" t="str">
        <f t="shared" si="21"/>
        <v>2018 q4</v>
      </c>
      <c r="C1362" s="7">
        <v>5.899</v>
      </c>
      <c r="D1362" s="7">
        <v>5.9531999999999998</v>
      </c>
      <c r="E1362" s="7">
        <v>6.0651000000000002</v>
      </c>
      <c r="F1362" s="7">
        <v>6.2308000000000003</v>
      </c>
      <c r="G1362" s="7">
        <v>6.3918999999999997</v>
      </c>
      <c r="H1362" s="7">
        <v>6.5526999999999997</v>
      </c>
      <c r="I1362" s="7">
        <v>7.1364999999999998</v>
      </c>
      <c r="J1362" s="7">
        <v>7.6521999999999997</v>
      </c>
      <c r="K1362" s="7">
        <v>8.1351999999999993</v>
      </c>
      <c r="L1362" s="7">
        <v>8.5364000000000004</v>
      </c>
      <c r="M1362" s="7">
        <v>9.2329000000000008</v>
      </c>
      <c r="N1362" s="7">
        <v>10.1439</v>
      </c>
      <c r="O1362" s="7">
        <v>11.146100000000001</v>
      </c>
      <c r="P1362" s="7">
        <v>11.771000000000001</v>
      </c>
      <c r="Q1362" s="7">
        <v>12.6396</v>
      </c>
    </row>
    <row r="1363" spans="1:17">
      <c r="A1363" s="5">
        <v>43445</v>
      </c>
      <c r="B1363" s="5" t="str">
        <f t="shared" si="21"/>
        <v>2018 q4</v>
      </c>
      <c r="C1363" s="7">
        <v>5.9021999999999997</v>
      </c>
      <c r="D1363" s="7">
        <v>5.9566999999999997</v>
      </c>
      <c r="E1363" s="7">
        <v>6.0690999999999997</v>
      </c>
      <c r="F1363" s="7">
        <v>6.2352999999999996</v>
      </c>
      <c r="G1363" s="7">
        <v>6.3973000000000004</v>
      </c>
      <c r="H1363" s="7">
        <v>6.5585000000000004</v>
      </c>
      <c r="I1363" s="7">
        <v>7.1451000000000002</v>
      </c>
      <c r="J1363" s="7">
        <v>7.6631999999999998</v>
      </c>
      <c r="K1363" s="7">
        <v>8.1492000000000004</v>
      </c>
      <c r="L1363" s="7">
        <v>8.5521999999999991</v>
      </c>
      <c r="M1363" s="7">
        <v>9.2540999999999993</v>
      </c>
      <c r="N1363" s="7">
        <v>10.128</v>
      </c>
      <c r="O1363" s="7">
        <v>11.079800000000001</v>
      </c>
      <c r="P1363" s="7">
        <v>11.815099999999999</v>
      </c>
      <c r="Q1363" s="7">
        <v>12.694699999999999</v>
      </c>
    </row>
    <row r="1364" spans="1:17">
      <c r="A1364" s="5">
        <v>43446</v>
      </c>
      <c r="B1364" s="5" t="str">
        <f t="shared" si="21"/>
        <v>2018 q4</v>
      </c>
      <c r="C1364" s="7">
        <v>5.9021999999999997</v>
      </c>
      <c r="D1364" s="7">
        <v>5.9588999999999999</v>
      </c>
      <c r="E1364" s="7">
        <v>6.0761000000000003</v>
      </c>
      <c r="F1364" s="7">
        <v>6.2489999999999997</v>
      </c>
      <c r="G1364" s="7">
        <v>6.4170999999999996</v>
      </c>
      <c r="H1364" s="7">
        <v>6.5842999999999998</v>
      </c>
      <c r="I1364" s="7">
        <v>7.1875</v>
      </c>
      <c r="J1364" s="7">
        <v>7.7141000000000002</v>
      </c>
      <c r="K1364" s="7">
        <v>8.2055000000000007</v>
      </c>
      <c r="L1364" s="7">
        <v>8.6062999999999992</v>
      </c>
      <c r="M1364" s="7">
        <v>9.2963000000000005</v>
      </c>
      <c r="N1364" s="7">
        <v>10.1454</v>
      </c>
      <c r="O1364" s="7">
        <v>11.039300000000001</v>
      </c>
      <c r="P1364" s="7">
        <v>11.7219</v>
      </c>
      <c r="Q1364" s="7">
        <v>12.511900000000001</v>
      </c>
    </row>
    <row r="1365" spans="1:17">
      <c r="A1365" s="5">
        <v>43447</v>
      </c>
      <c r="B1365" s="5" t="str">
        <f t="shared" si="21"/>
        <v>2018 q4</v>
      </c>
      <c r="C1365" s="7">
        <v>5.8834</v>
      </c>
      <c r="D1365" s="7">
        <v>5.9424999999999999</v>
      </c>
      <c r="E1365" s="7">
        <v>6.0647000000000002</v>
      </c>
      <c r="F1365" s="7">
        <v>6.2446999999999999</v>
      </c>
      <c r="G1365" s="7">
        <v>6.4194000000000004</v>
      </c>
      <c r="H1365" s="7">
        <v>6.5930999999999997</v>
      </c>
      <c r="I1365" s="7">
        <v>7.2153</v>
      </c>
      <c r="J1365" s="7">
        <v>7.7725999999999997</v>
      </c>
      <c r="K1365" s="7">
        <v>8.2653999999999996</v>
      </c>
      <c r="L1365" s="7">
        <v>8.6567000000000007</v>
      </c>
      <c r="M1365" s="7">
        <v>9.3438999999999997</v>
      </c>
      <c r="N1365" s="7">
        <v>10.182399999999999</v>
      </c>
      <c r="O1365" s="7">
        <v>11.042400000000001</v>
      </c>
      <c r="P1365" s="7">
        <v>11.6938</v>
      </c>
      <c r="Q1365" s="7">
        <v>12.43</v>
      </c>
    </row>
    <row r="1366" spans="1:17">
      <c r="A1366" s="5">
        <v>43448</v>
      </c>
      <c r="B1366" s="5" t="str">
        <f t="shared" si="21"/>
        <v>2018 q4</v>
      </c>
      <c r="C1366" s="7">
        <v>5.9116999999999997</v>
      </c>
      <c r="D1366" s="7">
        <v>5.9668999999999999</v>
      </c>
      <c r="E1366" s="7">
        <v>6.0808</v>
      </c>
      <c r="F1366" s="7">
        <v>6.2488000000000001</v>
      </c>
      <c r="G1366" s="7">
        <v>6.4126000000000003</v>
      </c>
      <c r="H1366" s="7">
        <v>6.5753000000000004</v>
      </c>
      <c r="I1366" s="7">
        <v>7.1654999999999998</v>
      </c>
      <c r="J1366" s="7">
        <v>7.6837999999999997</v>
      </c>
      <c r="K1366" s="7">
        <v>8.1694999999999993</v>
      </c>
      <c r="L1366" s="7">
        <v>8.5680999999999994</v>
      </c>
      <c r="M1366" s="7">
        <v>9.2606000000000002</v>
      </c>
      <c r="N1366" s="7">
        <v>10.1608</v>
      </c>
      <c r="O1366" s="7">
        <v>11.1394</v>
      </c>
      <c r="P1366" s="7">
        <v>11.7423</v>
      </c>
      <c r="Q1366" s="7">
        <v>12.5746</v>
      </c>
    </row>
    <row r="1367" spans="1:17">
      <c r="A1367" s="5">
        <v>43451</v>
      </c>
      <c r="B1367" s="5" t="str">
        <f t="shared" si="21"/>
        <v>2018 q4</v>
      </c>
      <c r="C1367" s="7">
        <v>5.9055999999999997</v>
      </c>
      <c r="D1367" s="7">
        <v>5.9617000000000004</v>
      </c>
      <c r="E1367" s="7">
        <v>6.0777000000000001</v>
      </c>
      <c r="F1367" s="7">
        <v>6.2484999999999999</v>
      </c>
      <c r="G1367" s="7">
        <v>6.415</v>
      </c>
      <c r="H1367" s="7">
        <v>6.5803000000000003</v>
      </c>
      <c r="I1367" s="7">
        <v>7.1779999999999999</v>
      </c>
      <c r="J1367" s="7">
        <v>7.7004000000000001</v>
      </c>
      <c r="K1367" s="7">
        <v>8.1890000000000001</v>
      </c>
      <c r="L1367" s="7">
        <v>8.6100999999999992</v>
      </c>
      <c r="M1367" s="7">
        <v>9.3614999999999995</v>
      </c>
      <c r="N1367" s="7">
        <v>10.168699999999999</v>
      </c>
      <c r="O1367" s="7">
        <v>11.126799999999999</v>
      </c>
      <c r="P1367" s="7">
        <v>11.710599999999999</v>
      </c>
      <c r="Q1367" s="7">
        <v>12.5106</v>
      </c>
    </row>
    <row r="1368" spans="1:17">
      <c r="A1368" s="5">
        <v>43452</v>
      </c>
      <c r="B1368" s="5" t="str">
        <f t="shared" si="21"/>
        <v>2018 q4</v>
      </c>
      <c r="C1368" s="7">
        <v>5.8997000000000002</v>
      </c>
      <c r="D1368" s="7">
        <v>5.9553000000000003</v>
      </c>
      <c r="E1368" s="7">
        <v>6.0702999999999996</v>
      </c>
      <c r="F1368" s="7">
        <v>6.2416</v>
      </c>
      <c r="G1368" s="7">
        <v>6.4069000000000003</v>
      </c>
      <c r="H1368" s="7">
        <v>6.5707000000000004</v>
      </c>
      <c r="I1368" s="7">
        <v>7.1679000000000004</v>
      </c>
      <c r="J1368" s="7">
        <v>7.6913999999999998</v>
      </c>
      <c r="K1368" s="7">
        <v>8.1824999999999992</v>
      </c>
      <c r="L1368" s="7">
        <v>8.5837000000000003</v>
      </c>
      <c r="M1368" s="7">
        <v>9.2826000000000004</v>
      </c>
      <c r="N1368" s="7">
        <v>10.144299999999999</v>
      </c>
      <c r="O1368" s="7">
        <v>11.0693</v>
      </c>
      <c r="P1368" s="7">
        <v>11.7776</v>
      </c>
      <c r="Q1368" s="7">
        <v>12.612</v>
      </c>
    </row>
    <row r="1369" spans="1:17">
      <c r="A1369" s="5">
        <v>43453</v>
      </c>
      <c r="B1369" s="5" t="str">
        <f t="shared" si="21"/>
        <v>2018 q4</v>
      </c>
      <c r="C1369" s="7">
        <v>5.8906000000000001</v>
      </c>
      <c r="D1369" s="7">
        <v>5.9474999999999998</v>
      </c>
      <c r="E1369" s="7">
        <v>6.0648999999999997</v>
      </c>
      <c r="F1369" s="7">
        <v>6.2397</v>
      </c>
      <c r="G1369" s="7">
        <v>6.4080000000000004</v>
      </c>
      <c r="H1369" s="7">
        <v>6.5746000000000002</v>
      </c>
      <c r="I1369" s="7">
        <v>7.1779999999999999</v>
      </c>
      <c r="J1369" s="7">
        <v>7.7020999999999997</v>
      </c>
      <c r="K1369" s="7">
        <v>8.1917000000000009</v>
      </c>
      <c r="L1369" s="7">
        <v>8.6306999999999992</v>
      </c>
      <c r="M1369" s="7">
        <v>9.3544999999999998</v>
      </c>
      <c r="N1369" s="7">
        <v>10.1004</v>
      </c>
      <c r="O1369" s="7">
        <v>10.970499999999999</v>
      </c>
      <c r="P1369" s="7">
        <v>11.6309</v>
      </c>
      <c r="Q1369" s="7">
        <v>12.3895</v>
      </c>
    </row>
    <row r="1370" spans="1:17">
      <c r="A1370" s="5">
        <v>43454</v>
      </c>
      <c r="B1370" s="5" t="str">
        <f t="shared" si="21"/>
        <v>2018 q4</v>
      </c>
      <c r="C1370" s="7">
        <v>5.8985000000000003</v>
      </c>
      <c r="D1370" s="7">
        <v>5.9546000000000001</v>
      </c>
      <c r="E1370" s="7">
        <v>6.0705</v>
      </c>
      <c r="F1370" s="7">
        <v>6.2431000000000001</v>
      </c>
      <c r="G1370" s="7">
        <v>6.4093999999999998</v>
      </c>
      <c r="H1370" s="7">
        <v>6.5740999999999996</v>
      </c>
      <c r="I1370" s="7">
        <v>7.1727999999999996</v>
      </c>
      <c r="J1370" s="7">
        <v>7.6950000000000003</v>
      </c>
      <c r="K1370" s="7">
        <v>8.1843000000000004</v>
      </c>
      <c r="L1370" s="7">
        <v>8.5807000000000002</v>
      </c>
      <c r="M1370" s="7">
        <v>9.2691999999999997</v>
      </c>
      <c r="N1370" s="7">
        <v>10.1136</v>
      </c>
      <c r="O1370" s="7">
        <v>11.008699999999999</v>
      </c>
      <c r="P1370" s="7">
        <v>11.6904</v>
      </c>
      <c r="Q1370" s="7">
        <v>12.484</v>
      </c>
    </row>
    <row r="1371" spans="1:17">
      <c r="A1371" s="5">
        <v>43455</v>
      </c>
      <c r="B1371" s="5" t="str">
        <f t="shared" si="21"/>
        <v>2018 q4</v>
      </c>
      <c r="C1371" s="7">
        <v>5.9059999999999997</v>
      </c>
      <c r="D1371" s="7">
        <v>5.9619</v>
      </c>
      <c r="E1371" s="7">
        <v>6.0773000000000001</v>
      </c>
      <c r="F1371" s="7">
        <v>6.2492000000000001</v>
      </c>
      <c r="G1371" s="7">
        <v>6.415</v>
      </c>
      <c r="H1371" s="7">
        <v>6.5792000000000002</v>
      </c>
      <c r="I1371" s="7">
        <v>7.1776999999999997</v>
      </c>
      <c r="J1371" s="7">
        <v>7.7012999999999998</v>
      </c>
      <c r="K1371" s="7">
        <v>8.1928999999999998</v>
      </c>
      <c r="L1371" s="7">
        <v>8.5925999999999991</v>
      </c>
      <c r="M1371" s="7">
        <v>9.2899999999999991</v>
      </c>
      <c r="N1371" s="7">
        <v>10.147500000000001</v>
      </c>
      <c r="O1371" s="7">
        <v>11.065899999999999</v>
      </c>
      <c r="P1371" s="7">
        <v>11.7674</v>
      </c>
      <c r="Q1371" s="7">
        <v>12.591799999999999</v>
      </c>
    </row>
    <row r="1372" spans="1:17">
      <c r="A1372" s="5">
        <v>43458</v>
      </c>
      <c r="B1372" s="5" t="str">
        <f t="shared" si="21"/>
        <v>2018 q4</v>
      </c>
      <c r="C1372" s="7">
        <v>5.9234999999999998</v>
      </c>
      <c r="D1372" s="7">
        <v>5.9775</v>
      </c>
      <c r="E1372" s="7">
        <v>6.0891000000000002</v>
      </c>
      <c r="F1372" s="7">
        <v>6.2552000000000003</v>
      </c>
      <c r="G1372" s="7">
        <v>6.4157999999999999</v>
      </c>
      <c r="H1372" s="7">
        <v>6.5747999999999998</v>
      </c>
      <c r="I1372" s="7">
        <v>7.1563999999999997</v>
      </c>
      <c r="J1372" s="7">
        <v>7.6677</v>
      </c>
      <c r="K1372" s="7">
        <v>8.1491000000000007</v>
      </c>
      <c r="L1372" s="7">
        <v>8.5428999999999995</v>
      </c>
      <c r="M1372" s="7">
        <v>9.2341999999999995</v>
      </c>
      <c r="N1372" s="7">
        <v>10.132300000000001</v>
      </c>
      <c r="O1372" s="7">
        <v>11.117800000000001</v>
      </c>
      <c r="P1372" s="7">
        <v>11.7287</v>
      </c>
      <c r="Q1372" s="7">
        <v>12.5785</v>
      </c>
    </row>
    <row r="1373" spans="1:17">
      <c r="A1373" s="5">
        <v>43459</v>
      </c>
      <c r="B1373" s="5" t="str">
        <f t="shared" si="21"/>
        <v>2018 q4</v>
      </c>
      <c r="C1373" s="7">
        <v>5.9428000000000001</v>
      </c>
      <c r="D1373" s="7">
        <v>6.0008999999999997</v>
      </c>
      <c r="E1373" s="7">
        <v>6.1208</v>
      </c>
      <c r="F1373" s="7">
        <v>6.2988</v>
      </c>
      <c r="G1373" s="7">
        <v>6.4703999999999997</v>
      </c>
      <c r="H1373" s="7">
        <v>6.6395999999999997</v>
      </c>
      <c r="I1373" s="7">
        <v>7.2569999999999997</v>
      </c>
      <c r="J1373" s="7">
        <v>7.8010000000000002</v>
      </c>
      <c r="K1373" s="7">
        <v>8.2866999999999997</v>
      </c>
      <c r="L1373" s="7">
        <v>8.6957000000000004</v>
      </c>
      <c r="M1373" s="7">
        <v>9.4413</v>
      </c>
      <c r="N1373" s="7">
        <v>10.2264</v>
      </c>
      <c r="O1373" s="7">
        <v>11.1418</v>
      </c>
      <c r="P1373" s="7">
        <v>11.687099999999999</v>
      </c>
      <c r="Q1373" s="7">
        <v>12.4251</v>
      </c>
    </row>
    <row r="1374" spans="1:17">
      <c r="A1374" s="5">
        <v>43460</v>
      </c>
      <c r="B1374" s="5" t="str">
        <f t="shared" si="21"/>
        <v>2018 q4</v>
      </c>
      <c r="C1374" s="7">
        <v>5.9116</v>
      </c>
      <c r="D1374" s="7">
        <v>5.968</v>
      </c>
      <c r="E1374" s="7">
        <v>6.0843999999999996</v>
      </c>
      <c r="F1374" s="7">
        <v>6.2572000000000001</v>
      </c>
      <c r="G1374" s="7">
        <v>6.4241000000000001</v>
      </c>
      <c r="H1374" s="7">
        <v>6.5888</v>
      </c>
      <c r="I1374" s="7">
        <v>7.1875999999999998</v>
      </c>
      <c r="J1374" s="7">
        <v>7.7077999999999998</v>
      </c>
      <c r="K1374" s="7">
        <v>8.1959999999999997</v>
      </c>
      <c r="L1374" s="7">
        <v>8.5878999999999994</v>
      </c>
      <c r="M1374" s="7">
        <v>9.2707999999999995</v>
      </c>
      <c r="N1374" s="7">
        <v>10.1037</v>
      </c>
      <c r="O1374" s="7">
        <v>10.983000000000001</v>
      </c>
      <c r="P1374" s="7">
        <v>11.6495</v>
      </c>
      <c r="Q1374" s="7">
        <v>12.421900000000001</v>
      </c>
    </row>
    <row r="1375" spans="1:17">
      <c r="A1375" s="5">
        <v>43461</v>
      </c>
      <c r="B1375" s="5" t="str">
        <f t="shared" si="21"/>
        <v>2018 q4</v>
      </c>
      <c r="C1375" s="7">
        <v>5.9145000000000003</v>
      </c>
      <c r="D1375" s="7">
        <v>5.9706000000000001</v>
      </c>
      <c r="E1375" s="7">
        <v>6.0864000000000003</v>
      </c>
      <c r="F1375" s="7">
        <v>6.2583000000000002</v>
      </c>
      <c r="G1375" s="7">
        <v>6.4245999999999999</v>
      </c>
      <c r="H1375" s="7">
        <v>6.5887000000000002</v>
      </c>
      <c r="I1375" s="7">
        <v>7.1871999999999998</v>
      </c>
      <c r="J1375" s="7">
        <v>7.7092000000000001</v>
      </c>
      <c r="K1375" s="7">
        <v>8.2004000000000001</v>
      </c>
      <c r="L1375" s="7">
        <v>8.5966000000000005</v>
      </c>
      <c r="M1375" s="7">
        <v>9.2906999999999993</v>
      </c>
      <c r="N1375" s="7">
        <v>10.1403</v>
      </c>
      <c r="O1375" s="7">
        <v>11.0488</v>
      </c>
      <c r="P1375" s="7">
        <v>11.74</v>
      </c>
      <c r="Q1375" s="7">
        <v>12.550599999999999</v>
      </c>
    </row>
    <row r="1376" spans="1:17">
      <c r="A1376" s="5">
        <v>43462</v>
      </c>
      <c r="B1376" s="5" t="str">
        <f t="shared" si="21"/>
        <v>2018 q4</v>
      </c>
      <c r="C1376" s="7">
        <v>5.8975999999999997</v>
      </c>
      <c r="D1376" s="7">
        <v>5.9557000000000002</v>
      </c>
      <c r="E1376" s="7">
        <v>6.0755999999999997</v>
      </c>
      <c r="F1376" s="7">
        <v>6.2534000000000001</v>
      </c>
      <c r="G1376" s="7">
        <v>6.4250999999999996</v>
      </c>
      <c r="H1376" s="7">
        <v>6.5941999999999998</v>
      </c>
      <c r="I1376" s="7">
        <v>7.2069000000000001</v>
      </c>
      <c r="J1376" s="7">
        <v>7.7358000000000002</v>
      </c>
      <c r="K1376" s="7">
        <v>8.2314000000000007</v>
      </c>
      <c r="L1376" s="7">
        <v>8.6251999999999995</v>
      </c>
      <c r="M1376" s="7">
        <v>9.3089999999999993</v>
      </c>
      <c r="N1376" s="7">
        <v>10.137600000000001</v>
      </c>
      <c r="O1376" s="7">
        <v>10.998900000000001</v>
      </c>
      <c r="P1376" s="7">
        <v>11.648</v>
      </c>
      <c r="Q1376" s="7">
        <v>12.3893</v>
      </c>
    </row>
    <row r="1377" spans="1:17">
      <c r="A1377" s="5">
        <v>43473</v>
      </c>
      <c r="B1377" s="5" t="str">
        <f t="shared" si="21"/>
        <v>2019 q1</v>
      </c>
      <c r="C1377" s="7">
        <v>5.9333</v>
      </c>
      <c r="D1377" s="7">
        <v>5.9874999999999998</v>
      </c>
      <c r="E1377" s="7">
        <v>6.0993000000000004</v>
      </c>
      <c r="F1377" s="7">
        <v>6.2652999999999999</v>
      </c>
      <c r="G1377" s="7">
        <v>6.4263000000000003</v>
      </c>
      <c r="H1377" s="7">
        <v>6.585</v>
      </c>
      <c r="I1377" s="7">
        <v>7.1670999999999996</v>
      </c>
      <c r="J1377" s="7">
        <v>7.6776999999999997</v>
      </c>
      <c r="K1377" s="7">
        <v>8.16</v>
      </c>
      <c r="L1377" s="7">
        <v>8.5747999999999998</v>
      </c>
      <c r="M1377" s="7">
        <v>9.3234999999999992</v>
      </c>
      <c r="N1377" s="7">
        <v>10.0952</v>
      </c>
      <c r="O1377" s="7">
        <v>11.0238</v>
      </c>
      <c r="P1377" s="7">
        <v>11.734</v>
      </c>
      <c r="Q1377" s="7">
        <v>12.5829</v>
      </c>
    </row>
    <row r="1378" spans="1:17">
      <c r="A1378" s="5">
        <v>43474</v>
      </c>
      <c r="B1378" s="5" t="str">
        <f t="shared" si="21"/>
        <v>2019 q1</v>
      </c>
      <c r="C1378" s="7">
        <v>5.9109999999999996</v>
      </c>
      <c r="D1378" s="7">
        <v>5.9673999999999996</v>
      </c>
      <c r="E1378" s="7">
        <v>6.0837000000000003</v>
      </c>
      <c r="F1378" s="7">
        <v>6.2553000000000001</v>
      </c>
      <c r="G1378" s="7">
        <v>6.4223999999999997</v>
      </c>
      <c r="H1378" s="7">
        <v>6.5860000000000003</v>
      </c>
      <c r="I1378" s="7">
        <v>7.1638000000000002</v>
      </c>
      <c r="J1378" s="7">
        <v>7.7169999999999996</v>
      </c>
      <c r="K1378" s="7">
        <v>8.2096999999999998</v>
      </c>
      <c r="L1378" s="7">
        <v>8.5946999999999996</v>
      </c>
      <c r="M1378" s="7">
        <v>9.2935999999999996</v>
      </c>
      <c r="N1378" s="7">
        <v>10.1432</v>
      </c>
      <c r="O1378" s="7">
        <v>11.0593</v>
      </c>
      <c r="P1378" s="7">
        <v>11.753</v>
      </c>
      <c r="Q1378" s="7">
        <v>12.5715</v>
      </c>
    </row>
    <row r="1379" spans="1:17">
      <c r="A1379" s="5">
        <v>43475</v>
      </c>
      <c r="B1379" s="5" t="str">
        <f t="shared" si="21"/>
        <v>2019 q1</v>
      </c>
      <c r="C1379" s="7">
        <v>5.907</v>
      </c>
      <c r="D1379" s="7">
        <v>5.9641000000000002</v>
      </c>
      <c r="E1379" s="7">
        <v>6.0819000000000001</v>
      </c>
      <c r="F1379" s="7">
        <v>6.2554999999999996</v>
      </c>
      <c r="G1379" s="7">
        <v>6.4245000000000001</v>
      </c>
      <c r="H1379" s="7">
        <v>6.5896999999999997</v>
      </c>
      <c r="I1379" s="7">
        <v>7.1704999999999997</v>
      </c>
      <c r="J1379" s="7">
        <v>7.7257999999999996</v>
      </c>
      <c r="K1379" s="7">
        <v>8.218</v>
      </c>
      <c r="L1379" s="7">
        <v>8.5992999999999995</v>
      </c>
      <c r="M1379" s="7">
        <v>9.2893000000000008</v>
      </c>
      <c r="N1379" s="7">
        <v>10.1235</v>
      </c>
      <c r="O1379" s="7">
        <v>11.010300000000001</v>
      </c>
      <c r="P1379" s="7">
        <v>11.6782</v>
      </c>
      <c r="Q1379" s="7">
        <v>12.4557</v>
      </c>
    </row>
    <row r="1380" spans="1:17">
      <c r="A1380" s="5">
        <v>43476</v>
      </c>
      <c r="B1380" s="5" t="str">
        <f t="shared" si="21"/>
        <v>2019 q1</v>
      </c>
      <c r="C1380" s="7">
        <v>5.9057000000000004</v>
      </c>
      <c r="D1380" s="7">
        <v>5.9630000000000001</v>
      </c>
      <c r="E1380" s="7">
        <v>6.0812999999999997</v>
      </c>
      <c r="F1380" s="7">
        <v>6.2556000000000003</v>
      </c>
      <c r="G1380" s="7">
        <v>6.4253</v>
      </c>
      <c r="H1380" s="7">
        <v>6.5910000000000002</v>
      </c>
      <c r="I1380" s="7">
        <v>7.1742999999999997</v>
      </c>
      <c r="J1380" s="7">
        <v>7.7323000000000004</v>
      </c>
      <c r="K1380" s="7">
        <v>8.2268000000000008</v>
      </c>
      <c r="L1380" s="7">
        <v>8.6098999999999997</v>
      </c>
      <c r="M1380" s="7">
        <v>9.3040000000000003</v>
      </c>
      <c r="N1380" s="7">
        <v>10.142899999999999</v>
      </c>
      <c r="O1380" s="7">
        <v>11.036199999999999</v>
      </c>
      <c r="P1380" s="7">
        <v>11.709</v>
      </c>
      <c r="Q1380" s="7">
        <v>12.4932</v>
      </c>
    </row>
    <row r="1381" spans="1:17">
      <c r="A1381" s="5">
        <v>43479</v>
      </c>
      <c r="B1381" s="5" t="str">
        <f t="shared" si="21"/>
        <v>2019 q1</v>
      </c>
      <c r="C1381" s="7">
        <v>5.9183000000000003</v>
      </c>
      <c r="D1381" s="7">
        <v>5.9748000000000001</v>
      </c>
      <c r="E1381" s="7">
        <v>6.0914000000000001</v>
      </c>
      <c r="F1381" s="7">
        <v>6.2632000000000003</v>
      </c>
      <c r="G1381" s="7">
        <v>6.4303999999999997</v>
      </c>
      <c r="H1381" s="7">
        <v>6.5937999999999999</v>
      </c>
      <c r="I1381" s="7">
        <v>7.1684999999999999</v>
      </c>
      <c r="J1381" s="7">
        <v>7.7184999999999997</v>
      </c>
      <c r="K1381" s="7">
        <v>8.2056000000000004</v>
      </c>
      <c r="L1381" s="7">
        <v>8.6087000000000007</v>
      </c>
      <c r="M1381" s="7">
        <v>9.3495000000000008</v>
      </c>
      <c r="N1381" s="7">
        <v>10.1496</v>
      </c>
      <c r="O1381" s="7">
        <v>11.0723</v>
      </c>
      <c r="P1381" s="7">
        <v>11.6342</v>
      </c>
      <c r="Q1381" s="7">
        <v>12.405900000000001</v>
      </c>
    </row>
    <row r="1382" spans="1:17">
      <c r="A1382" s="5">
        <v>43480</v>
      </c>
      <c r="B1382" s="5" t="str">
        <f t="shared" si="21"/>
        <v>2019 q1</v>
      </c>
      <c r="C1382" s="7">
        <v>5.9081999999999999</v>
      </c>
      <c r="D1382" s="7">
        <v>5.9650999999999996</v>
      </c>
      <c r="E1382" s="7">
        <v>6.0823999999999998</v>
      </c>
      <c r="F1382" s="7">
        <v>6.2542999999999997</v>
      </c>
      <c r="G1382" s="7">
        <v>6.4215</v>
      </c>
      <c r="H1382" s="7">
        <v>6.5884999999999998</v>
      </c>
      <c r="I1382" s="7">
        <v>7.1661999999999999</v>
      </c>
      <c r="J1382" s="7">
        <v>7.7213000000000003</v>
      </c>
      <c r="K1382" s="7">
        <v>8.2132000000000005</v>
      </c>
      <c r="L1382" s="7">
        <v>8.6212</v>
      </c>
      <c r="M1382" s="7">
        <v>9.3726000000000003</v>
      </c>
      <c r="N1382" s="7">
        <v>10.129799999999999</v>
      </c>
      <c r="O1382" s="7">
        <v>11.0311</v>
      </c>
      <c r="P1382" s="7">
        <v>11.71</v>
      </c>
      <c r="Q1382" s="7">
        <v>12.5069</v>
      </c>
    </row>
    <row r="1383" spans="1:17">
      <c r="A1383" s="5">
        <v>43481</v>
      </c>
      <c r="B1383" s="5" t="str">
        <f t="shared" si="21"/>
        <v>2019 q1</v>
      </c>
      <c r="C1383" s="7">
        <v>5.9006999999999996</v>
      </c>
      <c r="D1383" s="7">
        <v>5.9584999999999999</v>
      </c>
      <c r="E1383" s="7">
        <v>6.0777000000000001</v>
      </c>
      <c r="F1383" s="7">
        <v>6.2527999999999997</v>
      </c>
      <c r="G1383" s="7">
        <v>6.4236000000000004</v>
      </c>
      <c r="H1383" s="7">
        <v>6.5941000000000001</v>
      </c>
      <c r="I1383" s="7">
        <v>7.1909000000000001</v>
      </c>
      <c r="J1383" s="7">
        <v>7.7664999999999997</v>
      </c>
      <c r="K1383" s="7">
        <v>8.2812000000000001</v>
      </c>
      <c r="L1383" s="7">
        <v>8.6882000000000001</v>
      </c>
      <c r="M1383" s="7">
        <v>9.4354999999999993</v>
      </c>
      <c r="N1383" s="7">
        <v>10.409599999999999</v>
      </c>
      <c r="O1383" s="7">
        <v>11.467700000000001</v>
      </c>
      <c r="P1383" s="7">
        <v>12.132</v>
      </c>
      <c r="Q1383" s="7">
        <v>13.0664</v>
      </c>
    </row>
    <row r="1384" spans="1:17">
      <c r="A1384" s="5">
        <v>43482</v>
      </c>
      <c r="B1384" s="5" t="str">
        <f t="shared" si="21"/>
        <v>2019 q1</v>
      </c>
      <c r="C1384" s="7">
        <v>5.8826999999999998</v>
      </c>
      <c r="D1384" s="7">
        <v>5.9440999999999997</v>
      </c>
      <c r="E1384" s="7">
        <v>6.0708000000000002</v>
      </c>
      <c r="F1384" s="7">
        <v>6.2564000000000002</v>
      </c>
      <c r="G1384" s="7">
        <v>6.4370000000000003</v>
      </c>
      <c r="H1384" s="7">
        <v>6.6173999999999999</v>
      </c>
      <c r="I1384" s="7">
        <v>7.2419000000000002</v>
      </c>
      <c r="J1384" s="7">
        <v>7.8426999999999998</v>
      </c>
      <c r="K1384" s="7">
        <v>8.3748000000000005</v>
      </c>
      <c r="L1384" s="7">
        <v>8.7882999999999996</v>
      </c>
      <c r="M1384" s="7">
        <v>9.5427999999999997</v>
      </c>
      <c r="N1384" s="7">
        <v>10.454599999999999</v>
      </c>
      <c r="O1384" s="7">
        <v>11.4368</v>
      </c>
      <c r="P1384" s="7">
        <v>12.1768</v>
      </c>
      <c r="Q1384" s="7">
        <v>13.048400000000001</v>
      </c>
    </row>
    <row r="1385" spans="1:17">
      <c r="A1385" s="5">
        <v>43483</v>
      </c>
      <c r="B1385" s="5" t="str">
        <f t="shared" si="21"/>
        <v>2019 q1</v>
      </c>
      <c r="C1385" s="7">
        <v>5.8742000000000001</v>
      </c>
      <c r="D1385" s="7">
        <v>5.9348999999999998</v>
      </c>
      <c r="E1385" s="7">
        <v>6.0602</v>
      </c>
      <c r="F1385" s="7">
        <v>6.2445000000000004</v>
      </c>
      <c r="G1385" s="7">
        <v>6.4252000000000002</v>
      </c>
      <c r="H1385" s="7">
        <v>6.6055999999999999</v>
      </c>
      <c r="I1385" s="7">
        <v>7.2477</v>
      </c>
      <c r="J1385" s="7">
        <v>7.8700999999999999</v>
      </c>
      <c r="K1385" s="7">
        <v>8.4311000000000007</v>
      </c>
      <c r="L1385" s="7">
        <v>8.8742000000000001</v>
      </c>
      <c r="M1385" s="7">
        <v>9.6869999999999994</v>
      </c>
      <c r="N1385" s="7">
        <v>10.629300000000001</v>
      </c>
      <c r="O1385" s="7">
        <v>11.525700000000001</v>
      </c>
      <c r="P1385" s="7">
        <v>12.0265</v>
      </c>
      <c r="Q1385" s="7">
        <v>12.037000000000001</v>
      </c>
    </row>
    <row r="1386" spans="1:17">
      <c r="A1386" s="5">
        <v>43486</v>
      </c>
      <c r="B1386" s="5" t="str">
        <f t="shared" si="21"/>
        <v>2019 q1</v>
      </c>
      <c r="C1386" s="7">
        <v>5.8498999999999999</v>
      </c>
      <c r="D1386" s="7">
        <v>5.9123999999999999</v>
      </c>
      <c r="E1386" s="7">
        <v>6.0414000000000003</v>
      </c>
      <c r="F1386" s="7">
        <v>6.2309999999999999</v>
      </c>
      <c r="G1386" s="7">
        <v>6.4165999999999999</v>
      </c>
      <c r="H1386" s="7">
        <v>6.6017000000000001</v>
      </c>
      <c r="I1386" s="7">
        <v>7.2561999999999998</v>
      </c>
      <c r="J1386" s="7">
        <v>7.8894000000000002</v>
      </c>
      <c r="K1386" s="7">
        <v>8.4558</v>
      </c>
      <c r="L1386" s="7">
        <v>8.8956</v>
      </c>
      <c r="M1386" s="7">
        <v>9.6975999999999996</v>
      </c>
      <c r="N1386" s="7">
        <v>10.6096</v>
      </c>
      <c r="O1386" s="7">
        <v>11.4247</v>
      </c>
      <c r="P1386" s="7">
        <v>11.8415</v>
      </c>
      <c r="Q1386" s="7">
        <v>11.6797</v>
      </c>
    </row>
    <row r="1387" spans="1:17">
      <c r="A1387" s="5">
        <v>43487</v>
      </c>
      <c r="B1387" s="5" t="str">
        <f t="shared" si="21"/>
        <v>2019 q1</v>
      </c>
      <c r="C1387" s="7">
        <v>5.9218000000000002</v>
      </c>
      <c r="D1387" s="7">
        <v>5.9842000000000004</v>
      </c>
      <c r="E1387" s="7">
        <v>6.1132</v>
      </c>
      <c r="F1387" s="7">
        <v>6.3045999999999998</v>
      </c>
      <c r="G1387" s="7">
        <v>6.4884000000000004</v>
      </c>
      <c r="H1387" s="7">
        <v>6.6714000000000002</v>
      </c>
      <c r="I1387" s="7">
        <v>7.3327999999999998</v>
      </c>
      <c r="J1387" s="7">
        <v>7.9257999999999997</v>
      </c>
      <c r="K1387" s="7">
        <v>8.4503000000000004</v>
      </c>
      <c r="L1387" s="7">
        <v>8.8848000000000003</v>
      </c>
      <c r="M1387" s="7">
        <v>9.6769999999999996</v>
      </c>
      <c r="N1387" s="7">
        <v>10.399800000000001</v>
      </c>
      <c r="O1387" s="7">
        <v>11.1463</v>
      </c>
      <c r="P1387" s="7">
        <v>11.6121</v>
      </c>
      <c r="Q1387" s="7">
        <v>11.8469</v>
      </c>
    </row>
    <row r="1388" spans="1:17">
      <c r="A1388" s="5">
        <v>43488</v>
      </c>
      <c r="B1388" s="5" t="str">
        <f t="shared" si="21"/>
        <v>2019 q1</v>
      </c>
      <c r="C1388" s="7">
        <v>5.8964999999999996</v>
      </c>
      <c r="D1388" s="7">
        <v>5.9588000000000001</v>
      </c>
      <c r="E1388" s="7">
        <v>6.0873999999999997</v>
      </c>
      <c r="F1388" s="7">
        <v>6.2782999999999998</v>
      </c>
      <c r="G1388" s="7">
        <v>6.4622000000000002</v>
      </c>
      <c r="H1388" s="7">
        <v>6.6452</v>
      </c>
      <c r="I1388" s="7">
        <v>7.2862999999999998</v>
      </c>
      <c r="J1388" s="7">
        <v>7.9051</v>
      </c>
      <c r="K1388" s="7">
        <v>8.4527999999999999</v>
      </c>
      <c r="L1388" s="7">
        <v>8.8757999999999999</v>
      </c>
      <c r="M1388" s="7">
        <v>9.6496999999999993</v>
      </c>
      <c r="N1388" s="7">
        <v>10.563000000000001</v>
      </c>
      <c r="O1388" s="7">
        <v>11.4945</v>
      </c>
      <c r="P1388" s="7">
        <v>12.1492</v>
      </c>
      <c r="Q1388" s="7">
        <v>12.7729</v>
      </c>
    </row>
    <row r="1389" spans="1:17">
      <c r="A1389" s="5">
        <v>43489</v>
      </c>
      <c r="B1389" s="5" t="str">
        <f t="shared" si="21"/>
        <v>2019 q1</v>
      </c>
      <c r="C1389" s="7">
        <v>5.8994999999999997</v>
      </c>
      <c r="D1389" s="7">
        <v>5.9619</v>
      </c>
      <c r="E1389" s="7">
        <v>6.0909000000000004</v>
      </c>
      <c r="F1389" s="7">
        <v>6.2820999999999998</v>
      </c>
      <c r="G1389" s="7">
        <v>6.4664000000000001</v>
      </c>
      <c r="H1389" s="7">
        <v>6.6497000000000002</v>
      </c>
      <c r="I1389" s="7">
        <v>7.2923</v>
      </c>
      <c r="J1389" s="7">
        <v>7.9131</v>
      </c>
      <c r="K1389" s="7">
        <v>8.4641999999999999</v>
      </c>
      <c r="L1389" s="7">
        <v>8.8958999999999993</v>
      </c>
      <c r="M1389" s="7">
        <v>9.6914999999999996</v>
      </c>
      <c r="N1389" s="7">
        <v>10.710900000000001</v>
      </c>
      <c r="O1389" s="7">
        <v>11.8302</v>
      </c>
      <c r="P1389" s="7">
        <v>12.5189</v>
      </c>
      <c r="Q1389" s="7">
        <v>13.483000000000001</v>
      </c>
    </row>
    <row r="1390" spans="1:17">
      <c r="A1390" s="5">
        <v>43490</v>
      </c>
      <c r="B1390" s="5" t="str">
        <f t="shared" si="21"/>
        <v>2019 q1</v>
      </c>
      <c r="C1390" s="7">
        <v>5.9013999999999998</v>
      </c>
      <c r="D1390" s="7">
        <v>5.9630000000000001</v>
      </c>
      <c r="E1390" s="7">
        <v>6.0902000000000003</v>
      </c>
      <c r="F1390" s="7">
        <v>6.2792000000000003</v>
      </c>
      <c r="G1390" s="7">
        <v>6.4626999999999999</v>
      </c>
      <c r="H1390" s="7">
        <v>6.6452</v>
      </c>
      <c r="I1390" s="7">
        <v>7.2976999999999999</v>
      </c>
      <c r="J1390" s="7">
        <v>7.9314</v>
      </c>
      <c r="K1390" s="7">
        <v>8.5010999999999992</v>
      </c>
      <c r="L1390" s="7">
        <v>8.9517000000000007</v>
      </c>
      <c r="M1390" s="7">
        <v>9.7844999999999995</v>
      </c>
      <c r="N1390" s="7">
        <v>10.759399999999999</v>
      </c>
      <c r="O1390" s="7">
        <v>11.734500000000001</v>
      </c>
      <c r="P1390" s="7">
        <v>12.3363</v>
      </c>
      <c r="Q1390" s="7">
        <v>12.6195</v>
      </c>
    </row>
    <row r="1391" spans="1:17">
      <c r="A1391" s="5">
        <v>43494</v>
      </c>
      <c r="B1391" s="5" t="str">
        <f t="shared" si="21"/>
        <v>2019 q1</v>
      </c>
      <c r="C1391" s="7">
        <v>5.9036</v>
      </c>
      <c r="D1391" s="7">
        <v>5.9652000000000003</v>
      </c>
      <c r="E1391" s="7">
        <v>6.0925000000000002</v>
      </c>
      <c r="F1391" s="7">
        <v>6.2813999999999997</v>
      </c>
      <c r="G1391" s="7">
        <v>6.4648000000000003</v>
      </c>
      <c r="H1391" s="7">
        <v>6.6473000000000004</v>
      </c>
      <c r="I1391" s="7">
        <v>7.2995999999999999</v>
      </c>
      <c r="J1391" s="7">
        <v>7.9333</v>
      </c>
      <c r="K1391" s="7">
        <v>8.5028000000000006</v>
      </c>
      <c r="L1391" s="7">
        <v>8.9528999999999996</v>
      </c>
      <c r="M1391" s="7">
        <v>9.7856000000000005</v>
      </c>
      <c r="N1391" s="7">
        <v>10.7598</v>
      </c>
      <c r="O1391" s="7">
        <v>11.734400000000001</v>
      </c>
      <c r="P1391" s="7">
        <v>12.3353</v>
      </c>
      <c r="Q1391" s="7">
        <v>12.6172</v>
      </c>
    </row>
    <row r="1392" spans="1:17">
      <c r="A1392" s="5">
        <v>43495</v>
      </c>
      <c r="B1392" s="5" t="str">
        <f t="shared" si="21"/>
        <v>2019 q1</v>
      </c>
      <c r="C1392" s="7">
        <v>5.9142999999999999</v>
      </c>
      <c r="D1392" s="7">
        <v>5.9757999999999996</v>
      </c>
      <c r="E1392" s="7">
        <v>6.1029</v>
      </c>
      <c r="F1392" s="7">
        <v>6.2911999999999999</v>
      </c>
      <c r="G1392" s="7">
        <v>6.4743000000000004</v>
      </c>
      <c r="H1392" s="7">
        <v>6.6561000000000003</v>
      </c>
      <c r="I1392" s="7">
        <v>7.3055000000000003</v>
      </c>
      <c r="J1392" s="7">
        <v>7.9367999999999999</v>
      </c>
      <c r="K1392" s="7">
        <v>8.5025999999999993</v>
      </c>
      <c r="L1392" s="7">
        <v>8.9487000000000005</v>
      </c>
      <c r="M1392" s="7">
        <v>9.7765000000000004</v>
      </c>
      <c r="N1392" s="7">
        <v>10.7453</v>
      </c>
      <c r="O1392" s="7">
        <v>11.725899999999999</v>
      </c>
      <c r="P1392" s="7">
        <v>12.3454</v>
      </c>
      <c r="Q1392" s="7">
        <v>12.704000000000001</v>
      </c>
    </row>
    <row r="1393" spans="1:17">
      <c r="A1393" s="5">
        <v>43496</v>
      </c>
      <c r="B1393" s="5" t="str">
        <f t="shared" si="21"/>
        <v>2019 q1</v>
      </c>
      <c r="C1393" s="7">
        <v>5.8947000000000003</v>
      </c>
      <c r="D1393" s="7">
        <v>5.9568000000000003</v>
      </c>
      <c r="E1393" s="7">
        <v>6.0850999999999997</v>
      </c>
      <c r="F1393" s="7">
        <v>6.2746000000000004</v>
      </c>
      <c r="G1393" s="7">
        <v>6.4581</v>
      </c>
      <c r="H1393" s="7">
        <v>6.6398999999999999</v>
      </c>
      <c r="I1393" s="7">
        <v>7.2788000000000004</v>
      </c>
      <c r="J1393" s="7">
        <v>7.8975999999999997</v>
      </c>
      <c r="K1393" s="7">
        <v>8.4452999999999996</v>
      </c>
      <c r="L1393" s="7">
        <v>8.8727999999999998</v>
      </c>
      <c r="M1393" s="7">
        <v>9.6648999999999994</v>
      </c>
      <c r="N1393" s="7">
        <v>10.6174</v>
      </c>
      <c r="O1393" s="7">
        <v>11.6591</v>
      </c>
      <c r="P1393" s="7">
        <v>12.4368</v>
      </c>
      <c r="Q1393" s="7">
        <v>13.3497</v>
      </c>
    </row>
    <row r="1394" spans="1:17">
      <c r="A1394" s="5">
        <v>43497</v>
      </c>
      <c r="B1394" s="5" t="str">
        <f t="shared" si="21"/>
        <v>2019 q1</v>
      </c>
      <c r="C1394" s="7">
        <v>5.9139999999999997</v>
      </c>
      <c r="D1394" s="7">
        <v>5.9739000000000004</v>
      </c>
      <c r="E1394" s="7">
        <v>6.0975999999999999</v>
      </c>
      <c r="F1394" s="7">
        <v>6.2801999999999998</v>
      </c>
      <c r="G1394" s="7">
        <v>6.4568000000000003</v>
      </c>
      <c r="H1394" s="7">
        <v>6.6318999999999999</v>
      </c>
      <c r="I1394" s="7">
        <v>7.2462999999999997</v>
      </c>
      <c r="J1394" s="7">
        <v>7.8414999999999999</v>
      </c>
      <c r="K1394" s="7">
        <v>8.3679000000000006</v>
      </c>
      <c r="L1394" s="7">
        <v>8.7789999999999999</v>
      </c>
      <c r="M1394" s="7">
        <v>9.5417000000000005</v>
      </c>
      <c r="N1394" s="7">
        <v>10.5158</v>
      </c>
      <c r="O1394" s="7">
        <v>11.5867</v>
      </c>
      <c r="P1394" s="7">
        <v>12.244999999999999</v>
      </c>
      <c r="Q1394" s="7">
        <v>13.1685</v>
      </c>
    </row>
    <row r="1395" spans="1:17">
      <c r="A1395" s="5">
        <v>43500</v>
      </c>
      <c r="B1395" s="5" t="str">
        <f t="shared" si="21"/>
        <v>2019 q1</v>
      </c>
      <c r="C1395" s="7">
        <v>5.9470999999999998</v>
      </c>
      <c r="D1395" s="7">
        <v>5.9981</v>
      </c>
      <c r="E1395" s="7">
        <v>6.1035000000000004</v>
      </c>
      <c r="F1395" s="7">
        <v>6.2637</v>
      </c>
      <c r="G1395" s="7">
        <v>6.4280999999999997</v>
      </c>
      <c r="H1395" s="7">
        <v>6.5930999999999997</v>
      </c>
      <c r="I1395" s="7">
        <v>7.2450999999999999</v>
      </c>
      <c r="J1395" s="7">
        <v>7.8917999999999999</v>
      </c>
      <c r="K1395" s="7">
        <v>8.4837000000000007</v>
      </c>
      <c r="L1395" s="7">
        <v>8.9357000000000006</v>
      </c>
      <c r="M1395" s="7">
        <v>9.7626000000000008</v>
      </c>
      <c r="N1395" s="7">
        <v>10.702199999999999</v>
      </c>
      <c r="O1395" s="7">
        <v>11.576599999999999</v>
      </c>
      <c r="P1395" s="7">
        <v>12.195499999999999</v>
      </c>
      <c r="Q1395" s="7">
        <v>12.814</v>
      </c>
    </row>
    <row r="1396" spans="1:17">
      <c r="A1396" s="5">
        <v>43501</v>
      </c>
      <c r="B1396" s="5" t="str">
        <f t="shared" si="21"/>
        <v>2019 q1</v>
      </c>
      <c r="C1396" s="7">
        <v>5.9668000000000001</v>
      </c>
      <c r="D1396" s="7">
        <v>6.0141999999999998</v>
      </c>
      <c r="E1396" s="7">
        <v>6.1119000000000003</v>
      </c>
      <c r="F1396" s="7">
        <v>6.2628000000000004</v>
      </c>
      <c r="G1396" s="7">
        <v>6.4208999999999996</v>
      </c>
      <c r="H1396" s="7">
        <v>6.5789</v>
      </c>
      <c r="I1396" s="7">
        <v>7.2301000000000002</v>
      </c>
      <c r="J1396" s="7">
        <v>7.8799000000000001</v>
      </c>
      <c r="K1396" s="7">
        <v>8.4797999999999991</v>
      </c>
      <c r="L1396" s="7">
        <v>8.9370999999999992</v>
      </c>
      <c r="M1396" s="7">
        <v>9.7751999999999999</v>
      </c>
      <c r="N1396" s="7">
        <v>10.7203</v>
      </c>
      <c r="O1396" s="7">
        <v>11.5867</v>
      </c>
      <c r="P1396" s="7">
        <v>12.196899999999999</v>
      </c>
      <c r="Q1396" s="7">
        <v>12.800599999999999</v>
      </c>
    </row>
    <row r="1397" spans="1:17">
      <c r="A1397" s="5">
        <v>43502</v>
      </c>
      <c r="B1397" s="5" t="str">
        <f t="shared" si="21"/>
        <v>2019 q1</v>
      </c>
      <c r="C1397" s="7">
        <v>5.9756</v>
      </c>
      <c r="D1397" s="7">
        <v>6.0194999999999999</v>
      </c>
      <c r="E1397" s="7">
        <v>6.1101000000000001</v>
      </c>
      <c r="F1397" s="7">
        <v>6.2530999999999999</v>
      </c>
      <c r="G1397" s="7">
        <v>6.407</v>
      </c>
      <c r="H1397" s="7">
        <v>6.5612000000000004</v>
      </c>
      <c r="I1397" s="7">
        <v>7.2248999999999999</v>
      </c>
      <c r="J1397" s="7">
        <v>7.8909000000000002</v>
      </c>
      <c r="K1397" s="7">
        <v>8.5075000000000003</v>
      </c>
      <c r="L1397" s="7">
        <v>8.9702000000000002</v>
      </c>
      <c r="M1397" s="7">
        <v>9.8133999999999997</v>
      </c>
      <c r="N1397" s="7">
        <v>10.7532</v>
      </c>
      <c r="O1397" s="7">
        <v>11.583399999999999</v>
      </c>
      <c r="P1397" s="7">
        <v>12.1646</v>
      </c>
      <c r="Q1397" s="7">
        <v>12.728899999999999</v>
      </c>
    </row>
    <row r="1398" spans="1:17">
      <c r="A1398" s="5">
        <v>43503</v>
      </c>
      <c r="B1398" s="5" t="str">
        <f t="shared" si="21"/>
        <v>2019 q1</v>
      </c>
      <c r="C1398" s="7">
        <v>5.9748000000000001</v>
      </c>
      <c r="D1398" s="7">
        <v>6.0141999999999998</v>
      </c>
      <c r="E1398" s="7">
        <v>6.0956000000000001</v>
      </c>
      <c r="F1398" s="7">
        <v>6.2268999999999997</v>
      </c>
      <c r="G1398" s="7">
        <v>6.3720999999999997</v>
      </c>
      <c r="H1398" s="7">
        <v>6.5178000000000003</v>
      </c>
      <c r="I1398" s="7">
        <v>7.1749999999999998</v>
      </c>
      <c r="J1398" s="7">
        <v>7.8387000000000002</v>
      </c>
      <c r="K1398" s="7">
        <v>8.4604999999999997</v>
      </c>
      <c r="L1398" s="7">
        <v>8.9291999999999998</v>
      </c>
      <c r="M1398" s="7">
        <v>9.7849000000000004</v>
      </c>
      <c r="N1398" s="7">
        <v>10.7362</v>
      </c>
      <c r="O1398" s="7">
        <v>11.5724</v>
      </c>
      <c r="P1398" s="7">
        <v>12.1568</v>
      </c>
      <c r="Q1398" s="7">
        <v>12.722300000000001</v>
      </c>
    </row>
    <row r="1399" spans="1:17">
      <c r="A1399" s="5">
        <v>43504</v>
      </c>
      <c r="B1399" s="5" t="str">
        <f t="shared" si="21"/>
        <v>2019 q1</v>
      </c>
      <c r="C1399" s="7">
        <v>6.0258000000000003</v>
      </c>
      <c r="D1399" s="7">
        <v>6.0484</v>
      </c>
      <c r="E1399" s="7">
        <v>6.0951000000000004</v>
      </c>
      <c r="F1399" s="7">
        <v>6.1863999999999999</v>
      </c>
      <c r="G1399" s="7">
        <v>6.3080999999999996</v>
      </c>
      <c r="H1399" s="7">
        <v>6.4311999999999996</v>
      </c>
      <c r="I1399" s="7">
        <v>7.1146000000000003</v>
      </c>
      <c r="J1399" s="7">
        <v>7.8190999999999997</v>
      </c>
      <c r="K1399" s="7">
        <v>8.4864999999999995</v>
      </c>
      <c r="L1399" s="7">
        <v>8.9704999999999995</v>
      </c>
      <c r="M1399" s="7">
        <v>9.8396000000000008</v>
      </c>
      <c r="N1399" s="7">
        <v>10.7828</v>
      </c>
      <c r="O1399" s="7">
        <v>11.545</v>
      </c>
      <c r="P1399" s="7">
        <v>12.072699999999999</v>
      </c>
      <c r="Q1399" s="7">
        <v>12.5677</v>
      </c>
    </row>
    <row r="1400" spans="1:17">
      <c r="A1400" s="5">
        <v>43507</v>
      </c>
      <c r="B1400" s="5" t="str">
        <f t="shared" si="21"/>
        <v>2019 q1</v>
      </c>
      <c r="C1400" s="7">
        <v>6.0304000000000002</v>
      </c>
      <c r="D1400" s="7">
        <v>6.0528000000000004</v>
      </c>
      <c r="E1400" s="7">
        <v>6.0991</v>
      </c>
      <c r="F1400" s="7">
        <v>6.1913</v>
      </c>
      <c r="G1400" s="7">
        <v>6.3151999999999999</v>
      </c>
      <c r="H1400" s="7">
        <v>6.4408000000000003</v>
      </c>
      <c r="I1400" s="7">
        <v>7.1272000000000002</v>
      </c>
      <c r="J1400" s="7">
        <v>7.8320999999999996</v>
      </c>
      <c r="K1400" s="7">
        <v>8.4856999999999996</v>
      </c>
      <c r="L1400" s="7">
        <v>8.9440000000000008</v>
      </c>
      <c r="M1400" s="7">
        <v>9.7584999999999997</v>
      </c>
      <c r="N1400" s="7">
        <v>10.633699999999999</v>
      </c>
      <c r="O1400" s="7">
        <v>11.316599999999999</v>
      </c>
      <c r="P1400" s="7">
        <v>11.7882</v>
      </c>
      <c r="Q1400" s="7">
        <v>12.226800000000001</v>
      </c>
    </row>
    <row r="1401" spans="1:17">
      <c r="A1401" s="5">
        <v>43508</v>
      </c>
      <c r="B1401" s="5" t="str">
        <f t="shared" si="21"/>
        <v>2019 q1</v>
      </c>
      <c r="C1401" s="7">
        <v>6.0034999999999998</v>
      </c>
      <c r="D1401" s="7">
        <v>6.0332999999999997</v>
      </c>
      <c r="E1401" s="7">
        <v>6.0948000000000002</v>
      </c>
      <c r="F1401" s="7">
        <v>6.2045000000000003</v>
      </c>
      <c r="G1401" s="7">
        <v>6.3352000000000004</v>
      </c>
      <c r="H1401" s="7">
        <v>6.468</v>
      </c>
      <c r="I1401" s="7">
        <v>7.1353999999999997</v>
      </c>
      <c r="J1401" s="7">
        <v>7.8167999999999997</v>
      </c>
      <c r="K1401" s="7">
        <v>8.4601000000000006</v>
      </c>
      <c r="L1401" s="7">
        <v>8.9329000000000001</v>
      </c>
      <c r="M1401" s="7">
        <v>9.7927</v>
      </c>
      <c r="N1401" s="7">
        <v>10.7311</v>
      </c>
      <c r="O1401" s="7">
        <v>11.517899999999999</v>
      </c>
      <c r="P1401" s="7">
        <v>12.0631</v>
      </c>
      <c r="Q1401" s="7">
        <v>12.5809</v>
      </c>
    </row>
    <row r="1402" spans="1:17">
      <c r="A1402" s="5">
        <v>43509</v>
      </c>
      <c r="B1402" s="5" t="str">
        <f t="shared" si="21"/>
        <v>2019 q1</v>
      </c>
      <c r="C1402" s="7">
        <v>5.9973000000000001</v>
      </c>
      <c r="D1402" s="7">
        <v>6.0304000000000002</v>
      </c>
      <c r="E1402" s="7">
        <v>6.0987</v>
      </c>
      <c r="F1402" s="7">
        <v>6.2176</v>
      </c>
      <c r="G1402" s="7">
        <v>6.3555000000000001</v>
      </c>
      <c r="H1402" s="7">
        <v>6.4955999999999996</v>
      </c>
      <c r="I1402" s="7">
        <v>7.1722999999999999</v>
      </c>
      <c r="J1402" s="7">
        <v>7.86</v>
      </c>
      <c r="K1402" s="7">
        <v>8.5014000000000003</v>
      </c>
      <c r="L1402" s="7">
        <v>8.9675999999999991</v>
      </c>
      <c r="M1402" s="7">
        <v>9.8139000000000003</v>
      </c>
      <c r="N1402" s="7">
        <v>10.735300000000001</v>
      </c>
      <c r="O1402" s="7">
        <v>11.503399999999999</v>
      </c>
      <c r="P1402" s="7">
        <v>12.0351</v>
      </c>
      <c r="Q1402" s="7">
        <v>12.5395</v>
      </c>
    </row>
    <row r="1403" spans="1:17">
      <c r="A1403" s="5">
        <v>43510</v>
      </c>
      <c r="B1403" s="5" t="str">
        <f t="shared" si="21"/>
        <v>2019 q1</v>
      </c>
      <c r="C1403" s="7">
        <v>6.0143000000000004</v>
      </c>
      <c r="D1403" s="7">
        <v>6.0407999999999999</v>
      </c>
      <c r="E1403" s="7">
        <v>6.0955000000000004</v>
      </c>
      <c r="F1403" s="7">
        <v>6.2007000000000003</v>
      </c>
      <c r="G1403" s="7">
        <v>6.3311000000000002</v>
      </c>
      <c r="H1403" s="7">
        <v>6.4648000000000003</v>
      </c>
      <c r="I1403" s="7">
        <v>7.1619000000000002</v>
      </c>
      <c r="J1403" s="7">
        <v>7.8752000000000004</v>
      </c>
      <c r="K1403" s="7">
        <v>8.5411000000000001</v>
      </c>
      <c r="L1403" s="7">
        <v>9.0152999999999999</v>
      </c>
      <c r="M1403" s="7">
        <v>9.8704999999999998</v>
      </c>
      <c r="N1403" s="7">
        <v>10.792199999999999</v>
      </c>
      <c r="O1403" s="7">
        <v>11.534599999999999</v>
      </c>
      <c r="P1403" s="7">
        <v>12.0466</v>
      </c>
      <c r="Q1403" s="7">
        <v>12.5274</v>
      </c>
    </row>
    <row r="1404" spans="1:17">
      <c r="A1404" s="5">
        <v>43511</v>
      </c>
      <c r="B1404" s="5" t="str">
        <f t="shared" si="21"/>
        <v>2019 q1</v>
      </c>
      <c r="C1404" s="7">
        <v>5.9999000000000002</v>
      </c>
      <c r="D1404" s="7">
        <v>6.0308000000000002</v>
      </c>
      <c r="E1404" s="7">
        <v>6.0944000000000003</v>
      </c>
      <c r="F1404" s="7">
        <v>6.2085999999999997</v>
      </c>
      <c r="G1404" s="7">
        <v>6.3425000000000002</v>
      </c>
      <c r="H1404" s="7">
        <v>6.4791999999999996</v>
      </c>
      <c r="I1404" s="7">
        <v>7.1565000000000003</v>
      </c>
      <c r="J1404" s="7">
        <v>7.8468</v>
      </c>
      <c r="K1404" s="7">
        <v>8.4954999999999998</v>
      </c>
      <c r="L1404" s="7">
        <v>8.9687000000000001</v>
      </c>
      <c r="M1404" s="7">
        <v>9.8312000000000008</v>
      </c>
      <c r="N1404" s="7">
        <v>10.7692</v>
      </c>
      <c r="O1404" s="7">
        <v>11.5543</v>
      </c>
      <c r="P1404" s="7">
        <v>12.097200000000001</v>
      </c>
      <c r="Q1404" s="7">
        <v>12.6129</v>
      </c>
    </row>
    <row r="1405" spans="1:17">
      <c r="A1405" s="5">
        <v>43514</v>
      </c>
      <c r="B1405" s="5" t="str">
        <f t="shared" si="21"/>
        <v>2019 q1</v>
      </c>
      <c r="C1405" s="7">
        <v>6.0079000000000002</v>
      </c>
      <c r="D1405" s="7">
        <v>6.0369999999999999</v>
      </c>
      <c r="E1405" s="7">
        <v>6.0970000000000004</v>
      </c>
      <c r="F1405" s="7">
        <v>6.2081</v>
      </c>
      <c r="G1405" s="7">
        <v>6.3402000000000003</v>
      </c>
      <c r="H1405" s="7">
        <v>6.4756</v>
      </c>
      <c r="I1405" s="7">
        <v>7.1570999999999998</v>
      </c>
      <c r="J1405" s="7">
        <v>7.8521999999999998</v>
      </c>
      <c r="K1405" s="7">
        <v>8.5020000000000007</v>
      </c>
      <c r="L1405" s="7">
        <v>8.9694000000000003</v>
      </c>
      <c r="M1405" s="7">
        <v>9.8181999999999992</v>
      </c>
      <c r="N1405" s="7">
        <v>10.735900000000001</v>
      </c>
      <c r="O1405" s="7">
        <v>11.4901</v>
      </c>
      <c r="P1405" s="7">
        <v>12.0105</v>
      </c>
      <c r="Q1405" s="7">
        <v>12.5021</v>
      </c>
    </row>
    <row r="1406" spans="1:17">
      <c r="A1406" s="5">
        <v>43515</v>
      </c>
      <c r="B1406" s="5" t="str">
        <f t="shared" si="21"/>
        <v>2019 q1</v>
      </c>
      <c r="C1406" s="7">
        <v>5.8739999999999997</v>
      </c>
      <c r="D1406" s="7">
        <v>5.9393000000000002</v>
      </c>
      <c r="E1406" s="7">
        <v>6.0739999999999998</v>
      </c>
      <c r="F1406" s="7">
        <v>6.2716000000000003</v>
      </c>
      <c r="G1406" s="7">
        <v>6.4637000000000002</v>
      </c>
      <c r="H1406" s="7">
        <v>6.6475999999999997</v>
      </c>
      <c r="I1406" s="7">
        <v>7.3310000000000004</v>
      </c>
      <c r="J1406" s="7">
        <v>7.9391999999999996</v>
      </c>
      <c r="K1406" s="7">
        <v>8.4779</v>
      </c>
      <c r="L1406" s="7">
        <v>8.8908000000000005</v>
      </c>
      <c r="M1406" s="7">
        <v>9.6628000000000007</v>
      </c>
      <c r="N1406" s="7">
        <v>10.5702</v>
      </c>
      <c r="O1406" s="7">
        <v>11.5421</v>
      </c>
      <c r="P1406" s="7">
        <v>12.2582</v>
      </c>
      <c r="Q1406" s="7">
        <v>13.093500000000001</v>
      </c>
    </row>
    <row r="1407" spans="1:17">
      <c r="A1407" s="5">
        <v>43516</v>
      </c>
      <c r="B1407" s="5" t="str">
        <f t="shared" si="21"/>
        <v>2019 q1</v>
      </c>
      <c r="C1407" s="7">
        <v>5.7140000000000004</v>
      </c>
      <c r="D1407" s="7">
        <v>5.7816999999999998</v>
      </c>
      <c r="E1407" s="7">
        <v>5.9212999999999996</v>
      </c>
      <c r="F1407" s="7">
        <v>6.1260000000000003</v>
      </c>
      <c r="G1407" s="7">
        <v>6.3244999999999996</v>
      </c>
      <c r="H1407" s="7">
        <v>6.5144000000000002</v>
      </c>
      <c r="I1407" s="7">
        <v>7.1837</v>
      </c>
      <c r="J1407" s="7">
        <v>7.8319999999999999</v>
      </c>
      <c r="K1407" s="7">
        <v>8.3882999999999992</v>
      </c>
      <c r="L1407" s="7">
        <v>8.8041999999999998</v>
      </c>
      <c r="M1407" s="7">
        <v>9.5801999999999996</v>
      </c>
      <c r="N1407" s="7">
        <v>10.5449</v>
      </c>
      <c r="O1407" s="7">
        <v>11.551399999999999</v>
      </c>
      <c r="P1407" s="7">
        <v>12.1396</v>
      </c>
      <c r="Q1407" s="7">
        <v>12.9428</v>
      </c>
    </row>
    <row r="1408" spans="1:17">
      <c r="A1408" s="5">
        <v>43517</v>
      </c>
      <c r="B1408" s="5" t="str">
        <f t="shared" si="21"/>
        <v>2019 q1</v>
      </c>
      <c r="C1408" s="7">
        <v>5.6981000000000002</v>
      </c>
      <c r="D1408" s="7">
        <v>5.7697000000000003</v>
      </c>
      <c r="E1408" s="7">
        <v>5.9173999999999998</v>
      </c>
      <c r="F1408" s="7">
        <v>6.1334</v>
      </c>
      <c r="G1408" s="7">
        <v>6.3422999999999998</v>
      </c>
      <c r="H1408" s="7">
        <v>6.5414000000000003</v>
      </c>
      <c r="I1408" s="7">
        <v>7.2352999999999996</v>
      </c>
      <c r="J1408" s="7">
        <v>7.9057000000000004</v>
      </c>
      <c r="K1408" s="7">
        <v>8.4732000000000003</v>
      </c>
      <c r="L1408" s="7">
        <v>8.8876000000000008</v>
      </c>
      <c r="M1408" s="7">
        <v>9.6570999999999998</v>
      </c>
      <c r="N1408" s="7">
        <v>10.543100000000001</v>
      </c>
      <c r="O1408" s="7">
        <v>11.445499999999999</v>
      </c>
      <c r="P1408" s="7">
        <v>12.099</v>
      </c>
      <c r="Q1408" s="7">
        <v>12.8278</v>
      </c>
    </row>
    <row r="1409" spans="1:17">
      <c r="A1409" s="5">
        <v>43518</v>
      </c>
      <c r="B1409" s="5" t="str">
        <f t="shared" si="21"/>
        <v>2019 q1</v>
      </c>
      <c r="C1409" s="7">
        <v>5.7148000000000003</v>
      </c>
      <c r="D1409" s="7">
        <v>5.7847999999999997</v>
      </c>
      <c r="E1409" s="7">
        <v>5.9291999999999998</v>
      </c>
      <c r="F1409" s="7">
        <v>6.1403999999999996</v>
      </c>
      <c r="G1409" s="7">
        <v>6.3446999999999996</v>
      </c>
      <c r="H1409" s="7">
        <v>6.5397999999999996</v>
      </c>
      <c r="I1409" s="7">
        <v>7.2213000000000003</v>
      </c>
      <c r="J1409" s="7">
        <v>7.8804999999999996</v>
      </c>
      <c r="K1409" s="7">
        <v>8.4400999999999993</v>
      </c>
      <c r="L1409" s="7">
        <v>8.8508999999999993</v>
      </c>
      <c r="M1409" s="7">
        <v>9.6156000000000006</v>
      </c>
      <c r="N1409" s="7">
        <v>10.4984</v>
      </c>
      <c r="O1409" s="7">
        <v>11.405900000000001</v>
      </c>
      <c r="P1409" s="7">
        <v>12.064500000000001</v>
      </c>
      <c r="Q1409" s="7">
        <v>12.8047</v>
      </c>
    </row>
    <row r="1410" spans="1:17">
      <c r="A1410" s="5">
        <v>43521</v>
      </c>
      <c r="B1410" s="5" t="str">
        <f t="shared" si="21"/>
        <v>2019 q1</v>
      </c>
      <c r="C1410" s="7">
        <v>5.7016</v>
      </c>
      <c r="D1410" s="7">
        <v>5.7736000000000001</v>
      </c>
      <c r="E1410" s="7">
        <v>5.9219999999999997</v>
      </c>
      <c r="F1410" s="7">
        <v>6.1386000000000003</v>
      </c>
      <c r="G1410" s="7">
        <v>6.3479000000000001</v>
      </c>
      <c r="H1410" s="7">
        <v>6.5475000000000003</v>
      </c>
      <c r="I1410" s="7">
        <v>7.2401</v>
      </c>
      <c r="J1410" s="7">
        <v>7.9093999999999998</v>
      </c>
      <c r="K1410" s="7">
        <v>8.4730000000000008</v>
      </c>
      <c r="L1410" s="7">
        <v>8.8818000000000001</v>
      </c>
      <c r="M1410" s="7">
        <v>9.641</v>
      </c>
      <c r="N1410" s="7">
        <v>10.510999999999999</v>
      </c>
      <c r="O1410" s="7">
        <v>11.389900000000001</v>
      </c>
      <c r="P1410" s="7">
        <v>12.023999999999999</v>
      </c>
      <c r="Q1410" s="7">
        <v>12.7262</v>
      </c>
    </row>
    <row r="1411" spans="1:17">
      <c r="A1411" s="5">
        <v>43522</v>
      </c>
      <c r="B1411" s="5" t="str">
        <f t="shared" ref="B1411:B1474" si="22">YEAR(A1411)&amp;" q"&amp;ROUNDUP(MONTH(A1411)/3,0)</f>
        <v>2019 q1</v>
      </c>
      <c r="C1411" s="7">
        <v>5.7908999999999997</v>
      </c>
      <c r="D1411" s="7">
        <v>5.8597000000000001</v>
      </c>
      <c r="E1411" s="7">
        <v>6.0019</v>
      </c>
      <c r="F1411" s="7">
        <v>6.2061999999999999</v>
      </c>
      <c r="G1411" s="7">
        <v>6.4066000000000001</v>
      </c>
      <c r="H1411" s="7">
        <v>6.5978000000000003</v>
      </c>
      <c r="I1411" s="7">
        <v>7.3014999999999999</v>
      </c>
      <c r="J1411" s="7">
        <v>7.9200999999999997</v>
      </c>
      <c r="K1411" s="7">
        <v>8.4616000000000007</v>
      </c>
      <c r="L1411" s="7">
        <v>8.8653999999999993</v>
      </c>
      <c r="M1411" s="7">
        <v>9.6207999999999991</v>
      </c>
      <c r="N1411" s="7">
        <v>10.492100000000001</v>
      </c>
      <c r="O1411" s="7">
        <v>11.394600000000001</v>
      </c>
      <c r="P1411" s="7">
        <v>12.0494</v>
      </c>
      <c r="Q1411" s="7">
        <v>12.7896</v>
      </c>
    </row>
    <row r="1412" spans="1:17">
      <c r="A1412" s="5">
        <v>43523</v>
      </c>
      <c r="B1412" s="5" t="str">
        <f t="shared" si="22"/>
        <v>2019 q1</v>
      </c>
      <c r="C1412" s="7">
        <v>5.7892000000000001</v>
      </c>
      <c r="D1412" s="7">
        <v>5.8551000000000002</v>
      </c>
      <c r="E1412" s="7">
        <v>5.9912000000000001</v>
      </c>
      <c r="F1412" s="7">
        <v>6.1885000000000003</v>
      </c>
      <c r="G1412" s="7">
        <v>6.3822999999999999</v>
      </c>
      <c r="H1412" s="7">
        <v>6.5679999999999996</v>
      </c>
      <c r="I1412" s="7">
        <v>7.2221000000000002</v>
      </c>
      <c r="J1412" s="7">
        <v>7.8581000000000003</v>
      </c>
      <c r="K1412" s="7">
        <v>8.4034999999999993</v>
      </c>
      <c r="L1412" s="7">
        <v>8.8122000000000007</v>
      </c>
      <c r="M1412" s="7">
        <v>9.5813000000000006</v>
      </c>
      <c r="N1412" s="7">
        <v>10.478199999999999</v>
      </c>
      <c r="O1412" s="7">
        <v>11.4352</v>
      </c>
      <c r="P1412" s="7">
        <v>12.135899999999999</v>
      </c>
      <c r="Q1412" s="7">
        <v>12.9496</v>
      </c>
    </row>
    <row r="1413" spans="1:17">
      <c r="A1413" s="5">
        <v>43524</v>
      </c>
      <c r="B1413" s="5" t="str">
        <f t="shared" si="22"/>
        <v>2019 q1</v>
      </c>
      <c r="C1413" s="7">
        <v>5.7965999999999998</v>
      </c>
      <c r="D1413" s="7">
        <v>5.8620999999999999</v>
      </c>
      <c r="E1413" s="7">
        <v>5.9973000000000001</v>
      </c>
      <c r="F1413" s="7">
        <v>6.1933999999999996</v>
      </c>
      <c r="G1413" s="7">
        <v>6.3860999999999999</v>
      </c>
      <c r="H1413" s="7">
        <v>6.5708000000000002</v>
      </c>
      <c r="I1413" s="7">
        <v>7.2225000000000001</v>
      </c>
      <c r="J1413" s="7">
        <v>7.8567</v>
      </c>
      <c r="K1413" s="7">
        <v>8.4013000000000009</v>
      </c>
      <c r="L1413" s="7">
        <v>8.8107000000000006</v>
      </c>
      <c r="M1413" s="7">
        <v>9.5824999999999996</v>
      </c>
      <c r="N1413" s="7">
        <v>10.483700000000001</v>
      </c>
      <c r="O1413" s="7">
        <v>11.4511</v>
      </c>
      <c r="P1413" s="7">
        <v>12.160299999999999</v>
      </c>
      <c r="Q1413" s="7">
        <v>12.988200000000001</v>
      </c>
    </row>
    <row r="1414" spans="1:17">
      <c r="A1414" s="5">
        <v>43525</v>
      </c>
      <c r="B1414" s="5" t="str">
        <f t="shared" si="22"/>
        <v>2019 q1</v>
      </c>
      <c r="C1414" s="7">
        <v>5.7910000000000004</v>
      </c>
      <c r="D1414" s="7">
        <v>5.8564999999999996</v>
      </c>
      <c r="E1414" s="7">
        <v>5.9916999999999998</v>
      </c>
      <c r="F1414" s="7">
        <v>6.1877000000000004</v>
      </c>
      <c r="G1414" s="7">
        <v>6.3803999999999998</v>
      </c>
      <c r="H1414" s="7">
        <v>6.5652999999999997</v>
      </c>
      <c r="I1414" s="7">
        <v>7.2180999999999997</v>
      </c>
      <c r="J1414" s="7">
        <v>7.8537999999999997</v>
      </c>
      <c r="K1414" s="7">
        <v>8.4003999999999994</v>
      </c>
      <c r="L1414" s="7">
        <v>8.8123000000000005</v>
      </c>
      <c r="M1414" s="7">
        <v>9.5899000000000001</v>
      </c>
      <c r="N1414" s="7">
        <v>10.499000000000001</v>
      </c>
      <c r="O1414" s="7">
        <v>11.4795</v>
      </c>
      <c r="P1414" s="7">
        <v>12.1991</v>
      </c>
      <c r="Q1414" s="7">
        <v>13.042899999999999</v>
      </c>
    </row>
    <row r="1415" spans="1:17">
      <c r="A1415" s="5">
        <v>43528</v>
      </c>
      <c r="B1415" s="5" t="str">
        <f t="shared" si="22"/>
        <v>2019 q1</v>
      </c>
      <c r="C1415" s="7">
        <v>5.798</v>
      </c>
      <c r="D1415" s="7">
        <v>5.8635999999999999</v>
      </c>
      <c r="E1415" s="7">
        <v>5.9991000000000003</v>
      </c>
      <c r="F1415" s="7">
        <v>6.1955</v>
      </c>
      <c r="G1415" s="7">
        <v>6.3883999999999999</v>
      </c>
      <c r="H1415" s="7">
        <v>6.5735000000000001</v>
      </c>
      <c r="I1415" s="7">
        <v>7.2262000000000004</v>
      </c>
      <c r="J1415" s="7">
        <v>7.8619000000000003</v>
      </c>
      <c r="K1415" s="7">
        <v>8.4074000000000009</v>
      </c>
      <c r="L1415" s="7">
        <v>8.8171999999999997</v>
      </c>
      <c r="M1415" s="7">
        <v>9.5912000000000006</v>
      </c>
      <c r="N1415" s="7">
        <v>10.494300000000001</v>
      </c>
      <c r="O1415" s="7">
        <v>11.4651</v>
      </c>
      <c r="P1415" s="7">
        <v>12.176299999999999</v>
      </c>
      <c r="Q1415" s="7">
        <v>13.0076</v>
      </c>
    </row>
    <row r="1416" spans="1:17">
      <c r="A1416" s="5">
        <v>43529</v>
      </c>
      <c r="B1416" s="5" t="str">
        <f t="shared" si="22"/>
        <v>2019 q1</v>
      </c>
      <c r="C1416" s="7">
        <v>5.6971999999999996</v>
      </c>
      <c r="D1416" s="7">
        <v>5.7648999999999999</v>
      </c>
      <c r="E1416" s="7">
        <v>5.9044999999999996</v>
      </c>
      <c r="F1416" s="7">
        <v>6.1058000000000003</v>
      </c>
      <c r="G1416" s="7">
        <v>6.3034999999999997</v>
      </c>
      <c r="H1416" s="7">
        <v>6.5008999999999997</v>
      </c>
      <c r="I1416" s="7">
        <v>7.1706000000000003</v>
      </c>
      <c r="J1416" s="7">
        <v>7.8258000000000001</v>
      </c>
      <c r="K1416" s="7">
        <v>8.3856000000000002</v>
      </c>
      <c r="L1416" s="7">
        <v>8.8039000000000005</v>
      </c>
      <c r="M1416" s="7">
        <v>9.5951000000000004</v>
      </c>
      <c r="N1416" s="7">
        <v>10.514099999999999</v>
      </c>
      <c r="O1416" s="7">
        <v>11.4971</v>
      </c>
      <c r="P1416" s="7">
        <v>12.214600000000001</v>
      </c>
      <c r="Q1416" s="7">
        <v>13.0489</v>
      </c>
    </row>
    <row r="1417" spans="1:17">
      <c r="A1417" s="5">
        <v>43530</v>
      </c>
      <c r="B1417" s="5" t="str">
        <f t="shared" si="22"/>
        <v>2019 q1</v>
      </c>
      <c r="C1417" s="7">
        <v>5.6612</v>
      </c>
      <c r="D1417" s="7">
        <v>5.7304000000000004</v>
      </c>
      <c r="E1417" s="7">
        <v>5.8733000000000004</v>
      </c>
      <c r="F1417" s="7">
        <v>6.0789999999999997</v>
      </c>
      <c r="G1417" s="7">
        <v>6.2808000000000002</v>
      </c>
      <c r="H1417" s="7">
        <v>6.4821999999999997</v>
      </c>
      <c r="I1417" s="7">
        <v>7.1611000000000002</v>
      </c>
      <c r="J1417" s="7">
        <v>7.8249000000000004</v>
      </c>
      <c r="K1417" s="7">
        <v>8.3880999999999997</v>
      </c>
      <c r="L1417" s="7">
        <v>8.8041999999999998</v>
      </c>
      <c r="M1417" s="7">
        <v>9.5902999999999992</v>
      </c>
      <c r="N1417" s="7">
        <v>10.4968</v>
      </c>
      <c r="O1417" s="7">
        <v>11.451700000000001</v>
      </c>
      <c r="P1417" s="7">
        <v>12.144500000000001</v>
      </c>
      <c r="Q1417" s="7">
        <v>12.938700000000001</v>
      </c>
    </row>
    <row r="1418" spans="1:17">
      <c r="A1418" s="5">
        <v>43531</v>
      </c>
      <c r="B1418" s="5" t="str">
        <f t="shared" si="22"/>
        <v>2019 q1</v>
      </c>
      <c r="C1418" s="7">
        <v>5.65</v>
      </c>
      <c r="D1418" s="7">
        <v>5.7202999999999999</v>
      </c>
      <c r="E1418" s="7">
        <v>5.8654000000000002</v>
      </c>
      <c r="F1418" s="7">
        <v>6.0738000000000003</v>
      </c>
      <c r="G1418" s="7">
        <v>6.2785000000000002</v>
      </c>
      <c r="H1418" s="7">
        <v>6.4825999999999997</v>
      </c>
      <c r="I1418" s="7">
        <v>7.1681999999999997</v>
      </c>
      <c r="J1418" s="7">
        <v>7.8385999999999996</v>
      </c>
      <c r="K1418" s="7">
        <v>8.4050999999999991</v>
      </c>
      <c r="L1418" s="7">
        <v>8.8210999999999995</v>
      </c>
      <c r="M1418" s="7">
        <v>9.6069999999999993</v>
      </c>
      <c r="N1418" s="7">
        <v>10.5099</v>
      </c>
      <c r="O1418" s="7">
        <v>11.4536</v>
      </c>
      <c r="P1418" s="7">
        <v>12.136200000000001</v>
      </c>
      <c r="Q1418" s="7">
        <v>12.913399999999999</v>
      </c>
    </row>
    <row r="1419" spans="1:17">
      <c r="A1419" s="5">
        <v>43535</v>
      </c>
      <c r="B1419" s="5" t="str">
        <f t="shared" si="22"/>
        <v>2019 q1</v>
      </c>
      <c r="C1419" s="7">
        <v>5.6638000000000002</v>
      </c>
      <c r="D1419" s="7">
        <v>5.7314999999999996</v>
      </c>
      <c r="E1419" s="7">
        <v>5.8711000000000002</v>
      </c>
      <c r="F1419" s="7">
        <v>6.0723000000000003</v>
      </c>
      <c r="G1419" s="7">
        <v>6.2702</v>
      </c>
      <c r="H1419" s="7">
        <v>6.4675000000000002</v>
      </c>
      <c r="I1419" s="7">
        <v>7.1391</v>
      </c>
      <c r="J1419" s="7">
        <v>7.7971000000000004</v>
      </c>
      <c r="K1419" s="7">
        <v>8.3598999999999997</v>
      </c>
      <c r="L1419" s="7">
        <v>8.7815999999999992</v>
      </c>
      <c r="M1419" s="7">
        <v>9.5824999999999996</v>
      </c>
      <c r="N1419" s="7">
        <v>10.513500000000001</v>
      </c>
      <c r="O1419" s="7">
        <v>11.5175</v>
      </c>
      <c r="P1419" s="7">
        <v>12.250999999999999</v>
      </c>
      <c r="Q1419" s="7">
        <v>13.110099999999999</v>
      </c>
    </row>
    <row r="1420" spans="1:17">
      <c r="A1420" s="5">
        <v>43536</v>
      </c>
      <c r="B1420" s="5" t="str">
        <f t="shared" si="22"/>
        <v>2019 q1</v>
      </c>
      <c r="C1420" s="7">
        <v>5.6856999999999998</v>
      </c>
      <c r="D1420" s="7">
        <v>5.7523</v>
      </c>
      <c r="E1420" s="7">
        <v>5.8898999999999999</v>
      </c>
      <c r="F1420" s="7">
        <v>6.0877999999999997</v>
      </c>
      <c r="G1420" s="7">
        <v>6.2831000000000001</v>
      </c>
      <c r="H1420" s="7">
        <v>6.4774000000000003</v>
      </c>
      <c r="I1420" s="7">
        <v>7.1414</v>
      </c>
      <c r="J1420" s="7">
        <v>7.7931999999999997</v>
      </c>
      <c r="K1420" s="7">
        <v>8.3513999999999999</v>
      </c>
      <c r="L1420" s="7">
        <v>8.7713999999999999</v>
      </c>
      <c r="M1420" s="7">
        <v>9.5730000000000004</v>
      </c>
      <c r="N1420" s="7">
        <v>10.5305</v>
      </c>
      <c r="O1420" s="7">
        <v>11.5314</v>
      </c>
      <c r="P1420" s="7">
        <v>12.2669</v>
      </c>
      <c r="Q1420" s="7">
        <v>13.146699999999999</v>
      </c>
    </row>
    <row r="1421" spans="1:17">
      <c r="A1421" s="5">
        <v>43537</v>
      </c>
      <c r="B1421" s="5" t="str">
        <f t="shared" si="22"/>
        <v>2019 q1</v>
      </c>
      <c r="C1421" s="7">
        <v>5.6813000000000002</v>
      </c>
      <c r="D1421" s="7">
        <v>5.7496</v>
      </c>
      <c r="E1421" s="7">
        <v>5.8907999999999996</v>
      </c>
      <c r="F1421" s="7">
        <v>6.0932000000000004</v>
      </c>
      <c r="G1421" s="7">
        <v>6.2929000000000004</v>
      </c>
      <c r="H1421" s="7">
        <v>6.4915000000000003</v>
      </c>
      <c r="I1421" s="7">
        <v>7.1645000000000003</v>
      </c>
      <c r="J1421" s="7">
        <v>7.8247999999999998</v>
      </c>
      <c r="K1421" s="7">
        <v>8.3853000000000009</v>
      </c>
      <c r="L1421" s="7">
        <v>8.8012999999999995</v>
      </c>
      <c r="M1421" s="7">
        <v>9.5937999999999999</v>
      </c>
      <c r="N1421" s="7">
        <v>10.5078</v>
      </c>
      <c r="O1421" s="7">
        <v>11.485200000000001</v>
      </c>
      <c r="P1421" s="7">
        <v>12.194699999999999</v>
      </c>
      <c r="Q1421" s="7">
        <v>13.018599999999999</v>
      </c>
    </row>
    <row r="1422" spans="1:17">
      <c r="A1422" s="5">
        <v>43538</v>
      </c>
      <c r="B1422" s="5" t="str">
        <f t="shared" si="22"/>
        <v>2019 q1</v>
      </c>
      <c r="C1422" s="7">
        <v>5.6726999999999999</v>
      </c>
      <c r="D1422" s="7">
        <v>5.7423000000000002</v>
      </c>
      <c r="E1422" s="7">
        <v>5.8860000000000001</v>
      </c>
      <c r="F1422" s="7">
        <v>6.0918000000000001</v>
      </c>
      <c r="G1422" s="7">
        <v>6.2949999999999999</v>
      </c>
      <c r="H1422" s="7">
        <v>6.4968000000000004</v>
      </c>
      <c r="I1422" s="7">
        <v>7.1788999999999996</v>
      </c>
      <c r="J1422" s="7">
        <v>7.8483000000000001</v>
      </c>
      <c r="K1422" s="7">
        <v>8.4144000000000005</v>
      </c>
      <c r="L1422" s="7">
        <v>8.8323999999999998</v>
      </c>
      <c r="M1422" s="7">
        <v>9.6288999999999998</v>
      </c>
      <c r="N1422" s="7">
        <v>10.5443</v>
      </c>
      <c r="O1422" s="7">
        <v>11.5169</v>
      </c>
      <c r="P1422" s="7">
        <v>12.221</v>
      </c>
      <c r="Q1422" s="7">
        <v>13.033799999999999</v>
      </c>
    </row>
    <row r="1423" spans="1:17">
      <c r="A1423" s="5">
        <v>43539</v>
      </c>
      <c r="B1423" s="5" t="str">
        <f t="shared" si="22"/>
        <v>2019 q1</v>
      </c>
      <c r="C1423" s="7">
        <v>5.6769999999999996</v>
      </c>
      <c r="D1423" s="7">
        <v>5.7451999999999996</v>
      </c>
      <c r="E1423" s="7">
        <v>5.8859000000000004</v>
      </c>
      <c r="F1423" s="7">
        <v>6.0876999999999999</v>
      </c>
      <c r="G1423" s="7">
        <v>6.2870999999999997</v>
      </c>
      <c r="H1423" s="7">
        <v>6.4851000000000001</v>
      </c>
      <c r="I1423" s="7">
        <v>7.1581999999999999</v>
      </c>
      <c r="J1423" s="7">
        <v>7.8193000000000001</v>
      </c>
      <c r="K1423" s="7">
        <v>8.3812999999999995</v>
      </c>
      <c r="L1423" s="7">
        <v>8.7995999999999999</v>
      </c>
      <c r="M1423" s="7">
        <v>9.5988000000000007</v>
      </c>
      <c r="N1423" s="7">
        <v>10.521800000000001</v>
      </c>
      <c r="O1423" s="7">
        <v>11.5158</v>
      </c>
      <c r="P1423" s="7">
        <v>12.238200000000001</v>
      </c>
      <c r="Q1423" s="7">
        <v>13.0825</v>
      </c>
    </row>
    <row r="1424" spans="1:17">
      <c r="A1424" s="5">
        <v>43542</v>
      </c>
      <c r="B1424" s="5" t="str">
        <f t="shared" si="22"/>
        <v>2019 q1</v>
      </c>
      <c r="C1424" s="7">
        <v>5.6917</v>
      </c>
      <c r="D1424" s="7">
        <v>5.7586000000000004</v>
      </c>
      <c r="E1424" s="7">
        <v>5.8967999999999998</v>
      </c>
      <c r="F1424" s="7">
        <v>6.0951000000000004</v>
      </c>
      <c r="G1424" s="7">
        <v>6.2912999999999997</v>
      </c>
      <c r="H1424" s="7">
        <v>6.4861000000000004</v>
      </c>
      <c r="I1424" s="7">
        <v>7.1528999999999998</v>
      </c>
      <c r="J1424" s="7">
        <v>7.8086000000000002</v>
      </c>
      <c r="K1424" s="7">
        <v>8.3694000000000006</v>
      </c>
      <c r="L1424" s="7">
        <v>8.7912999999999997</v>
      </c>
      <c r="M1424" s="7">
        <v>9.5998000000000001</v>
      </c>
      <c r="N1424" s="7">
        <v>10.5395</v>
      </c>
      <c r="O1424" s="7">
        <v>11.5685</v>
      </c>
      <c r="P1424" s="7">
        <v>12.3207</v>
      </c>
      <c r="Q1424" s="7">
        <v>13.2136</v>
      </c>
    </row>
    <row r="1425" spans="1:17">
      <c r="A1425" s="5">
        <v>43543</v>
      </c>
      <c r="B1425" s="5" t="str">
        <f t="shared" si="22"/>
        <v>2019 q1</v>
      </c>
      <c r="C1425" s="7">
        <v>5.7305999999999999</v>
      </c>
      <c r="D1425" s="7">
        <v>5.7968000000000002</v>
      </c>
      <c r="E1425" s="7">
        <v>5.9335000000000004</v>
      </c>
      <c r="F1425" s="7">
        <v>6.1317000000000004</v>
      </c>
      <c r="G1425" s="7">
        <v>6.327</v>
      </c>
      <c r="H1425" s="7">
        <v>6.5140000000000002</v>
      </c>
      <c r="I1425" s="7">
        <v>7.1718999999999999</v>
      </c>
      <c r="J1425" s="7">
        <v>7.8181000000000003</v>
      </c>
      <c r="K1425" s="7">
        <v>8.3684999999999992</v>
      </c>
      <c r="L1425" s="7">
        <v>8.7805</v>
      </c>
      <c r="M1425" s="7">
        <v>9.5715000000000003</v>
      </c>
      <c r="N1425" s="7">
        <v>10.4869</v>
      </c>
      <c r="O1425" s="7">
        <v>11.485099999999999</v>
      </c>
      <c r="P1425" s="7">
        <v>12.2121</v>
      </c>
      <c r="Q1425" s="7">
        <v>13.071300000000001</v>
      </c>
    </row>
    <row r="1426" spans="1:17">
      <c r="A1426" s="5">
        <v>43544</v>
      </c>
      <c r="B1426" s="5" t="str">
        <f t="shared" si="22"/>
        <v>2019 q1</v>
      </c>
      <c r="C1426" s="7">
        <v>5.7276999999999996</v>
      </c>
      <c r="D1426" s="7">
        <v>5.7937000000000003</v>
      </c>
      <c r="E1426" s="7">
        <v>5.9298000000000002</v>
      </c>
      <c r="F1426" s="7">
        <v>6.1272000000000002</v>
      </c>
      <c r="G1426" s="7">
        <v>6.3217999999999996</v>
      </c>
      <c r="H1426" s="7">
        <v>6.5083000000000002</v>
      </c>
      <c r="I1426" s="7">
        <v>7.1666999999999996</v>
      </c>
      <c r="J1426" s="7">
        <v>7.8139000000000003</v>
      </c>
      <c r="K1426" s="7">
        <v>8.3670000000000009</v>
      </c>
      <c r="L1426" s="7">
        <v>8.7834000000000003</v>
      </c>
      <c r="M1426" s="7">
        <v>9.5846</v>
      </c>
      <c r="N1426" s="7">
        <v>10.515000000000001</v>
      </c>
      <c r="O1426" s="7">
        <v>11.5396</v>
      </c>
      <c r="P1426" s="7">
        <v>12.2881</v>
      </c>
      <c r="Q1426" s="7">
        <v>13.180999999999999</v>
      </c>
    </row>
    <row r="1427" spans="1:17">
      <c r="A1427" s="5">
        <v>43545</v>
      </c>
      <c r="B1427" s="5" t="str">
        <f t="shared" si="22"/>
        <v>2019 q1</v>
      </c>
      <c r="C1427" s="7">
        <v>5.7290000000000001</v>
      </c>
      <c r="D1427" s="7">
        <v>5.7953999999999999</v>
      </c>
      <c r="E1427" s="7">
        <v>5.9325999999999999</v>
      </c>
      <c r="F1427" s="7">
        <v>6.1310000000000002</v>
      </c>
      <c r="G1427" s="7">
        <v>6.3262999999999998</v>
      </c>
      <c r="H1427" s="7">
        <v>6.5132000000000003</v>
      </c>
      <c r="I1427" s="7">
        <v>7.1668000000000003</v>
      </c>
      <c r="J1427" s="7">
        <v>7.8087999999999997</v>
      </c>
      <c r="K1427" s="7">
        <v>8.3514999999999997</v>
      </c>
      <c r="L1427" s="7">
        <v>8.7530000000000001</v>
      </c>
      <c r="M1427" s="7">
        <v>9.5242000000000004</v>
      </c>
      <c r="N1427" s="7">
        <v>10.4716</v>
      </c>
      <c r="O1427" s="7">
        <v>11.468299999999999</v>
      </c>
      <c r="P1427" s="7">
        <v>12.0503</v>
      </c>
      <c r="Q1427" s="7">
        <v>12.853300000000001</v>
      </c>
    </row>
    <row r="1428" spans="1:17">
      <c r="A1428" s="5">
        <v>43546</v>
      </c>
      <c r="B1428" s="5" t="str">
        <f t="shared" si="22"/>
        <v>2019 q1</v>
      </c>
      <c r="C1428" s="7">
        <v>5.7521000000000004</v>
      </c>
      <c r="D1428" s="7">
        <v>5.8155999999999999</v>
      </c>
      <c r="E1428" s="7">
        <v>5.9466999999999999</v>
      </c>
      <c r="F1428" s="7">
        <v>6.1371000000000002</v>
      </c>
      <c r="G1428" s="7">
        <v>6.3249000000000004</v>
      </c>
      <c r="H1428" s="7">
        <v>6.5056000000000003</v>
      </c>
      <c r="I1428" s="7">
        <v>7.1477000000000004</v>
      </c>
      <c r="J1428" s="7">
        <v>7.7801</v>
      </c>
      <c r="K1428" s="7">
        <v>8.3251000000000008</v>
      </c>
      <c r="L1428" s="7">
        <v>8.7786000000000008</v>
      </c>
      <c r="M1428" s="7">
        <v>9.6296999999999997</v>
      </c>
      <c r="N1428" s="7">
        <v>10.4895</v>
      </c>
      <c r="O1428" s="7">
        <v>11.5532</v>
      </c>
      <c r="P1428" s="7">
        <v>12.3369</v>
      </c>
      <c r="Q1428" s="7">
        <v>13.293799999999999</v>
      </c>
    </row>
    <row r="1429" spans="1:17">
      <c r="A1429" s="5">
        <v>43549</v>
      </c>
      <c r="B1429" s="5" t="str">
        <f t="shared" si="22"/>
        <v>2019 q1</v>
      </c>
      <c r="C1429" s="7">
        <v>5.7249999999999996</v>
      </c>
      <c r="D1429" s="7">
        <v>5.7908999999999997</v>
      </c>
      <c r="E1429" s="7">
        <v>5.9268000000000001</v>
      </c>
      <c r="F1429" s="7">
        <v>6.1237000000000004</v>
      </c>
      <c r="G1429" s="7">
        <v>6.3175999999999997</v>
      </c>
      <c r="H1429" s="7">
        <v>6.5038</v>
      </c>
      <c r="I1429" s="7">
        <v>7.1943000000000001</v>
      </c>
      <c r="J1429" s="7">
        <v>7.8090999999999999</v>
      </c>
      <c r="K1429" s="7">
        <v>8.3552</v>
      </c>
      <c r="L1429" s="7">
        <v>8.7683999999999997</v>
      </c>
      <c r="M1429" s="7">
        <v>9.5652000000000008</v>
      </c>
      <c r="N1429" s="7">
        <v>10.5518</v>
      </c>
      <c r="O1429" s="7">
        <v>11.6128</v>
      </c>
      <c r="P1429" s="7">
        <v>12.244199999999999</v>
      </c>
      <c r="Q1429" s="7">
        <v>13.1266</v>
      </c>
    </row>
    <row r="1430" spans="1:17">
      <c r="A1430" s="5">
        <v>43550</v>
      </c>
      <c r="B1430" s="5" t="str">
        <f t="shared" si="22"/>
        <v>2019 q1</v>
      </c>
      <c r="C1430" s="7">
        <v>5.7748999999999997</v>
      </c>
      <c r="D1430" s="7">
        <v>5.8409000000000004</v>
      </c>
      <c r="E1430" s="7">
        <v>5.9771000000000001</v>
      </c>
      <c r="F1430" s="7">
        <v>6.1760000000000002</v>
      </c>
      <c r="G1430" s="7">
        <v>6.3653000000000004</v>
      </c>
      <c r="H1430" s="7">
        <v>6.5537999999999998</v>
      </c>
      <c r="I1430" s="7">
        <v>7.2103999999999999</v>
      </c>
      <c r="J1430" s="7">
        <v>7.8566000000000003</v>
      </c>
      <c r="K1430" s="7">
        <v>8.4062000000000001</v>
      </c>
      <c r="L1430" s="7">
        <v>8.8178999999999998</v>
      </c>
      <c r="M1430" s="7">
        <v>9.6142000000000003</v>
      </c>
      <c r="N1430" s="7">
        <v>10.5341</v>
      </c>
      <c r="O1430" s="7">
        <v>11.546900000000001</v>
      </c>
      <c r="P1430" s="7">
        <v>12.283799999999999</v>
      </c>
      <c r="Q1430" s="7">
        <v>13.161799999999999</v>
      </c>
    </row>
    <row r="1431" spans="1:17">
      <c r="A1431" s="5">
        <v>43551</v>
      </c>
      <c r="B1431" s="5" t="str">
        <f t="shared" si="22"/>
        <v>2019 q1</v>
      </c>
      <c r="C1431" s="7">
        <v>5.7843999999999998</v>
      </c>
      <c r="D1431" s="7">
        <v>5.8483999999999998</v>
      </c>
      <c r="E1431" s="7">
        <v>5.9805999999999999</v>
      </c>
      <c r="F1431" s="7">
        <v>6.1738</v>
      </c>
      <c r="G1431" s="7">
        <v>6.3578999999999999</v>
      </c>
      <c r="H1431" s="7">
        <v>6.5415000000000001</v>
      </c>
      <c r="I1431" s="7">
        <v>7.2161</v>
      </c>
      <c r="J1431" s="7">
        <v>7.8188000000000004</v>
      </c>
      <c r="K1431" s="7">
        <v>8.3567999999999998</v>
      </c>
      <c r="L1431" s="7">
        <v>8.7657000000000007</v>
      </c>
      <c r="M1431" s="7">
        <v>9.5580999999999996</v>
      </c>
      <c r="N1431" s="7">
        <v>10.5527</v>
      </c>
      <c r="O1431" s="7">
        <v>11.6135</v>
      </c>
      <c r="P1431" s="7">
        <v>12.2576</v>
      </c>
      <c r="Q1431" s="7">
        <v>13.164999999999999</v>
      </c>
    </row>
    <row r="1432" spans="1:17">
      <c r="A1432" s="5">
        <v>43552</v>
      </c>
      <c r="B1432" s="5" t="str">
        <f t="shared" si="22"/>
        <v>2019 q1</v>
      </c>
      <c r="C1432" s="7">
        <v>5.7887000000000004</v>
      </c>
      <c r="D1432" s="7">
        <v>5.8551000000000002</v>
      </c>
      <c r="E1432" s="7">
        <v>5.9920999999999998</v>
      </c>
      <c r="F1432" s="7">
        <v>6.1917999999999997</v>
      </c>
      <c r="G1432" s="7">
        <v>6.3815</v>
      </c>
      <c r="H1432" s="7">
        <v>6.5707000000000004</v>
      </c>
      <c r="I1432" s="7">
        <v>7.2262000000000004</v>
      </c>
      <c r="J1432" s="7">
        <v>7.8716999999999997</v>
      </c>
      <c r="K1432" s="7">
        <v>8.4175000000000004</v>
      </c>
      <c r="L1432" s="7">
        <v>8.8230000000000004</v>
      </c>
      <c r="M1432" s="7">
        <v>9.6080000000000005</v>
      </c>
      <c r="N1432" s="7">
        <v>10.509499999999999</v>
      </c>
      <c r="O1432" s="7">
        <v>11.492599999999999</v>
      </c>
      <c r="P1432" s="7">
        <v>12.2044</v>
      </c>
      <c r="Q1432" s="7">
        <v>13.044499999999999</v>
      </c>
    </row>
    <row r="1433" spans="1:17">
      <c r="A1433" s="5">
        <v>43553</v>
      </c>
      <c r="B1433" s="5" t="str">
        <f t="shared" si="22"/>
        <v>2019 q1</v>
      </c>
      <c r="C1433" s="7">
        <v>5.8082000000000003</v>
      </c>
      <c r="D1433" s="7">
        <v>5.8723000000000001</v>
      </c>
      <c r="E1433" s="7">
        <v>6.0046999999999997</v>
      </c>
      <c r="F1433" s="7">
        <v>6.1978999999999997</v>
      </c>
      <c r="G1433" s="7">
        <v>6.3818000000000001</v>
      </c>
      <c r="H1433" s="7">
        <v>6.5652999999999997</v>
      </c>
      <c r="I1433" s="7">
        <v>7.2051999999999996</v>
      </c>
      <c r="J1433" s="7">
        <v>7.8360000000000003</v>
      </c>
      <c r="K1433" s="7">
        <v>8.3733000000000004</v>
      </c>
      <c r="L1433" s="7">
        <v>8.7773000000000003</v>
      </c>
      <c r="M1433" s="7">
        <v>9.5614000000000008</v>
      </c>
      <c r="N1433" s="7">
        <v>10.542400000000001</v>
      </c>
      <c r="O1433" s="7">
        <v>11.5824</v>
      </c>
      <c r="P1433" s="7">
        <v>12.2102</v>
      </c>
      <c r="Q1433" s="7">
        <v>13.092000000000001</v>
      </c>
    </row>
    <row r="1434" spans="1:17">
      <c r="A1434" s="5">
        <v>43556</v>
      </c>
      <c r="B1434" s="5" t="str">
        <f t="shared" si="22"/>
        <v>2019 q2</v>
      </c>
      <c r="C1434" s="7">
        <v>5.8174999999999999</v>
      </c>
      <c r="D1434" s="7">
        <v>5.8800999999999997</v>
      </c>
      <c r="E1434" s="7">
        <v>6.0094000000000003</v>
      </c>
      <c r="F1434" s="7">
        <v>6.1981999999999999</v>
      </c>
      <c r="G1434" s="7">
        <v>6.3783000000000003</v>
      </c>
      <c r="H1434" s="7">
        <v>6.5582000000000003</v>
      </c>
      <c r="I1434" s="7">
        <v>7.1890999999999998</v>
      </c>
      <c r="J1434" s="7">
        <v>7.8117999999999999</v>
      </c>
      <c r="K1434" s="7">
        <v>8.3460999999999999</v>
      </c>
      <c r="L1434" s="7">
        <v>8.7901000000000007</v>
      </c>
      <c r="M1434" s="7">
        <v>9.6247000000000007</v>
      </c>
      <c r="N1434" s="7">
        <v>10.4658</v>
      </c>
      <c r="O1434" s="7">
        <v>11.509</v>
      </c>
      <c r="P1434" s="7">
        <v>12.2744</v>
      </c>
      <c r="Q1434" s="7">
        <v>13.2105</v>
      </c>
    </row>
    <row r="1435" spans="1:17">
      <c r="A1435" s="5">
        <v>43557</v>
      </c>
      <c r="B1435" s="5" t="str">
        <f t="shared" si="22"/>
        <v>2019 q2</v>
      </c>
      <c r="C1435" s="7">
        <v>5.7610999999999999</v>
      </c>
      <c r="D1435" s="7">
        <v>5.8223000000000003</v>
      </c>
      <c r="E1435" s="7">
        <v>5.9485999999999999</v>
      </c>
      <c r="F1435" s="7">
        <v>6.1379999999999999</v>
      </c>
      <c r="G1435" s="7">
        <v>6.32</v>
      </c>
      <c r="H1435" s="7">
        <v>6.5019</v>
      </c>
      <c r="I1435" s="7">
        <v>7.1825000000000001</v>
      </c>
      <c r="J1435" s="7">
        <v>7.8</v>
      </c>
      <c r="K1435" s="7">
        <v>8.3606999999999996</v>
      </c>
      <c r="L1435" s="7">
        <v>8.7908000000000008</v>
      </c>
      <c r="M1435" s="7">
        <v>9.6301000000000005</v>
      </c>
      <c r="N1435" s="7">
        <v>10.5921</v>
      </c>
      <c r="O1435" s="7">
        <v>11.6472</v>
      </c>
      <c r="P1435" s="7">
        <v>12.4008</v>
      </c>
      <c r="Q1435" s="7">
        <v>13.267099999999999</v>
      </c>
    </row>
    <row r="1436" spans="1:17">
      <c r="A1436" s="5">
        <v>43558</v>
      </c>
      <c r="B1436" s="5" t="str">
        <f t="shared" si="22"/>
        <v>2019 q2</v>
      </c>
      <c r="C1436" s="7">
        <v>5.7268999999999997</v>
      </c>
      <c r="D1436" s="7">
        <v>5.7926000000000002</v>
      </c>
      <c r="E1436" s="7">
        <v>5.9282000000000004</v>
      </c>
      <c r="F1436" s="7">
        <v>6.1314000000000002</v>
      </c>
      <c r="G1436" s="7">
        <v>6.3231000000000002</v>
      </c>
      <c r="H1436" s="7">
        <v>6.5147000000000004</v>
      </c>
      <c r="I1436" s="7">
        <v>7.1768999999999998</v>
      </c>
      <c r="J1436" s="7">
        <v>7.8329000000000004</v>
      </c>
      <c r="K1436" s="7">
        <v>8.3902999999999999</v>
      </c>
      <c r="L1436" s="7">
        <v>8.8087</v>
      </c>
      <c r="M1436" s="7">
        <v>9.6244999999999994</v>
      </c>
      <c r="N1436" s="7">
        <v>10.590400000000001</v>
      </c>
      <c r="O1436" s="7">
        <v>11.622999999999999</v>
      </c>
      <c r="P1436" s="7">
        <v>12.3775</v>
      </c>
      <c r="Q1436" s="7">
        <v>13.2959</v>
      </c>
    </row>
    <row r="1437" spans="1:17">
      <c r="A1437" s="5">
        <v>43559</v>
      </c>
      <c r="B1437" s="5" t="str">
        <f t="shared" si="22"/>
        <v>2019 q2</v>
      </c>
      <c r="C1437" s="7">
        <v>5.7286000000000001</v>
      </c>
      <c r="D1437" s="7">
        <v>5.7933000000000003</v>
      </c>
      <c r="E1437" s="7">
        <v>5.9268000000000001</v>
      </c>
      <c r="F1437" s="7">
        <v>6.1266999999999996</v>
      </c>
      <c r="G1437" s="7">
        <v>6.3159999999999998</v>
      </c>
      <c r="H1437" s="7">
        <v>6.5050999999999997</v>
      </c>
      <c r="I1437" s="7">
        <v>7.1971999999999996</v>
      </c>
      <c r="J1437" s="7">
        <v>7.8182</v>
      </c>
      <c r="K1437" s="7">
        <v>8.3739000000000008</v>
      </c>
      <c r="L1437" s="7">
        <v>8.7981999999999996</v>
      </c>
      <c r="M1437" s="7">
        <v>9.6271000000000004</v>
      </c>
      <c r="N1437" s="7">
        <v>10.615500000000001</v>
      </c>
      <c r="O1437" s="7">
        <v>11.6928</v>
      </c>
      <c r="P1437" s="7">
        <v>12.485200000000001</v>
      </c>
      <c r="Q1437" s="7">
        <v>13.466699999999999</v>
      </c>
    </row>
    <row r="1438" spans="1:17">
      <c r="A1438" s="5">
        <v>43560</v>
      </c>
      <c r="B1438" s="5" t="str">
        <f t="shared" si="22"/>
        <v>2019 q2</v>
      </c>
      <c r="C1438" s="7">
        <v>5.6992000000000003</v>
      </c>
      <c r="D1438" s="7">
        <v>5.7666000000000004</v>
      </c>
      <c r="E1438" s="7">
        <v>5.9058999999999999</v>
      </c>
      <c r="F1438" s="7">
        <v>6.1143999999999998</v>
      </c>
      <c r="G1438" s="7">
        <v>6.3106999999999998</v>
      </c>
      <c r="H1438" s="7">
        <v>6.5065999999999997</v>
      </c>
      <c r="I1438" s="7">
        <v>7.2168999999999999</v>
      </c>
      <c r="J1438" s="7">
        <v>7.8461999999999996</v>
      </c>
      <c r="K1438" s="7">
        <v>8.4025999999999996</v>
      </c>
      <c r="L1438" s="7">
        <v>8.8156999999999996</v>
      </c>
      <c r="M1438" s="7">
        <v>9.6213999999999995</v>
      </c>
      <c r="N1438" s="7">
        <v>10.5655</v>
      </c>
      <c r="O1438" s="7">
        <v>11.553100000000001</v>
      </c>
      <c r="P1438" s="7">
        <v>12.2681</v>
      </c>
      <c r="Q1438" s="7">
        <v>13.1219</v>
      </c>
    </row>
    <row r="1439" spans="1:17">
      <c r="A1439" s="5">
        <v>43563</v>
      </c>
      <c r="B1439" s="5" t="str">
        <f t="shared" si="22"/>
        <v>2019 q2</v>
      </c>
      <c r="C1439" s="7">
        <v>5.6005000000000003</v>
      </c>
      <c r="D1439" s="7">
        <v>5.6700999999999997</v>
      </c>
      <c r="E1439" s="7">
        <v>5.8137999999999996</v>
      </c>
      <c r="F1439" s="7">
        <v>6.0289000000000001</v>
      </c>
      <c r="G1439" s="7">
        <v>6.2344999999999997</v>
      </c>
      <c r="H1439" s="7">
        <v>6.4396000000000004</v>
      </c>
      <c r="I1439" s="7">
        <v>7.1829000000000001</v>
      </c>
      <c r="J1439" s="7">
        <v>7.8410000000000002</v>
      </c>
      <c r="K1439" s="7">
        <v>8.4223999999999997</v>
      </c>
      <c r="L1439" s="7">
        <v>8.8531999999999993</v>
      </c>
      <c r="M1439" s="7">
        <v>9.6942000000000004</v>
      </c>
      <c r="N1439" s="7">
        <v>10.6524</v>
      </c>
      <c r="O1439" s="7">
        <v>11.6974</v>
      </c>
      <c r="P1439" s="7">
        <v>12.449400000000001</v>
      </c>
      <c r="Q1439" s="7">
        <v>13.335699999999999</v>
      </c>
    </row>
    <row r="1440" spans="1:17">
      <c r="A1440" s="5">
        <v>43564</v>
      </c>
      <c r="B1440" s="5" t="str">
        <f t="shared" si="22"/>
        <v>2019 q2</v>
      </c>
      <c r="C1440" s="7">
        <v>5.5796999999999999</v>
      </c>
      <c r="D1440" s="7">
        <v>5.6496000000000004</v>
      </c>
      <c r="E1440" s="7">
        <v>5.7939999999999996</v>
      </c>
      <c r="F1440" s="7">
        <v>6.0096999999999996</v>
      </c>
      <c r="G1440" s="7">
        <v>6.2163000000000004</v>
      </c>
      <c r="H1440" s="7">
        <v>6.4210000000000003</v>
      </c>
      <c r="I1440" s="7">
        <v>7.1698000000000004</v>
      </c>
      <c r="J1440" s="7">
        <v>7.8330000000000002</v>
      </c>
      <c r="K1440" s="7">
        <v>8.4199000000000002</v>
      </c>
      <c r="L1440" s="7">
        <v>8.8558000000000003</v>
      </c>
      <c r="M1440" s="7">
        <v>9.7095000000000002</v>
      </c>
      <c r="N1440" s="7">
        <v>10.6831</v>
      </c>
      <c r="O1440" s="7">
        <v>11.753</v>
      </c>
      <c r="P1440" s="7">
        <v>12.5237</v>
      </c>
      <c r="Q1440" s="7">
        <v>13.4383</v>
      </c>
    </row>
    <row r="1441" spans="1:17">
      <c r="A1441" s="5">
        <v>43565</v>
      </c>
      <c r="B1441" s="5" t="str">
        <f t="shared" si="22"/>
        <v>2019 q2</v>
      </c>
      <c r="C1441" s="7">
        <v>5.5815000000000001</v>
      </c>
      <c r="D1441" s="7">
        <v>5.6528</v>
      </c>
      <c r="E1441" s="7">
        <v>5.8</v>
      </c>
      <c r="F1441" s="7">
        <v>6.0198999999999998</v>
      </c>
      <c r="G1441" s="7">
        <v>6.2305000000000001</v>
      </c>
      <c r="H1441" s="7">
        <v>6.4402999999999997</v>
      </c>
      <c r="I1441" s="7">
        <v>7.2008000000000001</v>
      </c>
      <c r="J1441" s="7">
        <v>7.8734999999999999</v>
      </c>
      <c r="K1441" s="7">
        <v>8.4675999999999991</v>
      </c>
      <c r="L1441" s="7">
        <v>8.9062999999999999</v>
      </c>
      <c r="M1441" s="7">
        <v>9.7660999999999998</v>
      </c>
      <c r="N1441" s="7">
        <v>10.742800000000001</v>
      </c>
      <c r="O1441" s="7">
        <v>11.8093</v>
      </c>
      <c r="P1441" s="7">
        <v>12.575100000000001</v>
      </c>
      <c r="Q1441" s="7">
        <v>13.478300000000001</v>
      </c>
    </row>
    <row r="1442" spans="1:17">
      <c r="A1442" s="5">
        <v>43566</v>
      </c>
      <c r="B1442" s="5" t="str">
        <f t="shared" si="22"/>
        <v>2019 q2</v>
      </c>
      <c r="C1442" s="7">
        <v>5.6589999999999998</v>
      </c>
      <c r="D1442" s="7">
        <v>5.7257999999999996</v>
      </c>
      <c r="E1442" s="7">
        <v>5.8638000000000003</v>
      </c>
      <c r="F1442" s="7">
        <v>6.07</v>
      </c>
      <c r="G1442" s="7">
        <v>6.2686999999999999</v>
      </c>
      <c r="H1442" s="7">
        <v>6.4665999999999997</v>
      </c>
      <c r="I1442" s="7">
        <v>7.1943999999999999</v>
      </c>
      <c r="J1442" s="7">
        <v>7.8487999999999998</v>
      </c>
      <c r="K1442" s="7">
        <v>8.4367000000000001</v>
      </c>
      <c r="L1442" s="7">
        <v>8.8872999999999998</v>
      </c>
      <c r="M1442" s="7">
        <v>9.7738999999999994</v>
      </c>
      <c r="N1442" s="7">
        <v>10.8063</v>
      </c>
      <c r="O1442" s="7">
        <v>11.995699999999999</v>
      </c>
      <c r="P1442" s="7">
        <v>12.868600000000001</v>
      </c>
      <c r="Q1442" s="7">
        <v>13.9541</v>
      </c>
    </row>
    <row r="1443" spans="1:17">
      <c r="A1443" s="5">
        <v>43567</v>
      </c>
      <c r="B1443" s="5" t="str">
        <f t="shared" si="22"/>
        <v>2019 q2</v>
      </c>
      <c r="C1443" s="7">
        <v>5.6089000000000002</v>
      </c>
      <c r="D1443" s="7">
        <v>5.6802000000000001</v>
      </c>
      <c r="E1443" s="7">
        <v>5.8273000000000001</v>
      </c>
      <c r="F1443" s="7">
        <v>6.0468000000000002</v>
      </c>
      <c r="G1443" s="7">
        <v>6.2568000000000001</v>
      </c>
      <c r="H1443" s="7">
        <v>6.4656000000000002</v>
      </c>
      <c r="I1443" s="7">
        <v>7.2196999999999996</v>
      </c>
      <c r="J1443" s="7">
        <v>7.8822999999999999</v>
      </c>
      <c r="K1443" s="7">
        <v>8.4640000000000004</v>
      </c>
      <c r="L1443" s="7">
        <v>8.8873999999999995</v>
      </c>
      <c r="M1443" s="7">
        <v>9.7179000000000002</v>
      </c>
      <c r="N1443" s="7">
        <v>10.6524</v>
      </c>
      <c r="O1443" s="7">
        <v>11.6553</v>
      </c>
      <c r="P1443" s="7">
        <v>12.369899999999999</v>
      </c>
      <c r="Q1443" s="7">
        <v>13.1991</v>
      </c>
    </row>
    <row r="1444" spans="1:17">
      <c r="A1444" s="5">
        <v>43570</v>
      </c>
      <c r="B1444" s="5" t="str">
        <f t="shared" si="22"/>
        <v>2019 q2</v>
      </c>
      <c r="C1444" s="7">
        <v>5.7266000000000004</v>
      </c>
      <c r="D1444" s="7">
        <v>5.7868000000000004</v>
      </c>
      <c r="E1444" s="7">
        <v>5.9111000000000002</v>
      </c>
      <c r="F1444" s="7">
        <v>6.0968</v>
      </c>
      <c r="G1444" s="7">
        <v>6.2769000000000004</v>
      </c>
      <c r="H1444" s="7">
        <v>6.4562999999999997</v>
      </c>
      <c r="I1444" s="7">
        <v>7.1245000000000003</v>
      </c>
      <c r="J1444" s="7">
        <v>7.7347000000000001</v>
      </c>
      <c r="K1444" s="7">
        <v>8.2916000000000007</v>
      </c>
      <c r="L1444" s="7">
        <v>8.7698</v>
      </c>
      <c r="M1444" s="7">
        <v>9.6804000000000006</v>
      </c>
      <c r="N1444" s="7">
        <v>10.718999999999999</v>
      </c>
      <c r="O1444" s="7">
        <v>12.027100000000001</v>
      </c>
      <c r="P1444" s="7">
        <v>12.8706</v>
      </c>
      <c r="Q1444" s="7">
        <v>14.1244</v>
      </c>
    </row>
    <row r="1445" spans="1:17">
      <c r="A1445" s="5">
        <v>43571</v>
      </c>
      <c r="B1445" s="5" t="str">
        <f t="shared" si="22"/>
        <v>2019 q2</v>
      </c>
      <c r="C1445" s="7">
        <v>5.4579000000000004</v>
      </c>
      <c r="D1445" s="7">
        <v>5.5334000000000003</v>
      </c>
      <c r="E1445" s="7">
        <v>5.6893000000000002</v>
      </c>
      <c r="F1445" s="7">
        <v>5.9219999999999997</v>
      </c>
      <c r="G1445" s="7">
        <v>6.1462000000000003</v>
      </c>
      <c r="H1445" s="7">
        <v>6.36</v>
      </c>
      <c r="I1445" s="7">
        <v>7.1505999999999998</v>
      </c>
      <c r="J1445" s="7">
        <v>7.8360000000000003</v>
      </c>
      <c r="K1445" s="7">
        <v>8.4316999999999993</v>
      </c>
      <c r="L1445" s="7">
        <v>8.9068000000000005</v>
      </c>
      <c r="M1445" s="7">
        <v>9.7096999999999998</v>
      </c>
      <c r="N1445" s="7">
        <v>10.68</v>
      </c>
      <c r="O1445" s="7">
        <v>11.6852</v>
      </c>
      <c r="P1445" s="7">
        <v>12.249599999999999</v>
      </c>
      <c r="Q1445" s="7">
        <v>13.0174</v>
      </c>
    </row>
    <row r="1446" spans="1:17">
      <c r="A1446" s="5">
        <v>43572</v>
      </c>
      <c r="B1446" s="5" t="str">
        <f t="shared" si="22"/>
        <v>2019 q2</v>
      </c>
      <c r="C1446" s="7">
        <v>5.4543999999999997</v>
      </c>
      <c r="D1446" s="7">
        <v>5.5304000000000002</v>
      </c>
      <c r="E1446" s="7">
        <v>5.6872999999999996</v>
      </c>
      <c r="F1446" s="7">
        <v>5.9215</v>
      </c>
      <c r="G1446" s="7">
        <v>6.1467999999999998</v>
      </c>
      <c r="H1446" s="7">
        <v>6.3612000000000002</v>
      </c>
      <c r="I1446" s="7">
        <v>7.1527000000000003</v>
      </c>
      <c r="J1446" s="7">
        <v>7.8353999999999999</v>
      </c>
      <c r="K1446" s="7">
        <v>8.4261999999999997</v>
      </c>
      <c r="L1446" s="7">
        <v>8.8413000000000004</v>
      </c>
      <c r="M1446" s="7">
        <v>9.6586999999999996</v>
      </c>
      <c r="N1446" s="7">
        <v>10.628399999999999</v>
      </c>
      <c r="O1446" s="7">
        <v>11.597899999999999</v>
      </c>
      <c r="P1446" s="7">
        <v>12.136900000000001</v>
      </c>
      <c r="Q1446" s="7">
        <v>12.8659</v>
      </c>
    </row>
    <row r="1447" spans="1:17">
      <c r="A1447" s="5">
        <v>43573</v>
      </c>
      <c r="B1447" s="5" t="str">
        <f t="shared" si="22"/>
        <v>2019 q2</v>
      </c>
      <c r="C1447" s="7">
        <v>5.47</v>
      </c>
      <c r="D1447" s="7">
        <v>5.5465999999999998</v>
      </c>
      <c r="E1447" s="7">
        <v>5.7046999999999999</v>
      </c>
      <c r="F1447" s="7">
        <v>5.9405000000000001</v>
      </c>
      <c r="G1447" s="7">
        <v>6.1669999999999998</v>
      </c>
      <c r="H1447" s="7">
        <v>6.3851000000000004</v>
      </c>
      <c r="I1447" s="7">
        <v>7.1749000000000001</v>
      </c>
      <c r="J1447" s="7">
        <v>7.8548999999999998</v>
      </c>
      <c r="K1447" s="7">
        <v>8.4407999999999994</v>
      </c>
      <c r="L1447" s="7">
        <v>8.8478999999999992</v>
      </c>
      <c r="M1447" s="7">
        <v>9.6501999999999999</v>
      </c>
      <c r="N1447" s="7">
        <v>10.5966</v>
      </c>
      <c r="O1447" s="7">
        <v>11.530900000000001</v>
      </c>
      <c r="P1447" s="7">
        <v>12.045</v>
      </c>
      <c r="Q1447" s="7">
        <v>12.736499999999999</v>
      </c>
    </row>
    <row r="1448" spans="1:17">
      <c r="A1448" s="5">
        <v>43574</v>
      </c>
      <c r="B1448" s="5" t="str">
        <f t="shared" si="22"/>
        <v>2019 q2</v>
      </c>
      <c r="C1448" s="7">
        <v>5.4638999999999998</v>
      </c>
      <c r="D1448" s="7">
        <v>5.5392000000000001</v>
      </c>
      <c r="E1448" s="7">
        <v>5.6946000000000003</v>
      </c>
      <c r="F1448" s="7">
        <v>5.9264000000000001</v>
      </c>
      <c r="G1448" s="7">
        <v>6.1493000000000002</v>
      </c>
      <c r="H1448" s="7">
        <v>6.3612000000000002</v>
      </c>
      <c r="I1448" s="7">
        <v>7.1454000000000004</v>
      </c>
      <c r="J1448" s="7">
        <v>7.8213999999999997</v>
      </c>
      <c r="K1448" s="7">
        <v>8.4067000000000007</v>
      </c>
      <c r="L1448" s="7">
        <v>8.8175000000000008</v>
      </c>
      <c r="M1448" s="7">
        <v>9.6286000000000005</v>
      </c>
      <c r="N1448" s="7">
        <v>10.5901</v>
      </c>
      <c r="O1448" s="7">
        <v>11.5528</v>
      </c>
      <c r="P1448" s="7">
        <v>12.0883</v>
      </c>
      <c r="Q1448" s="7">
        <v>12.8133</v>
      </c>
    </row>
    <row r="1449" spans="1:17">
      <c r="A1449" s="5">
        <v>43577</v>
      </c>
      <c r="B1449" s="5" t="str">
        <f t="shared" si="22"/>
        <v>2019 q2</v>
      </c>
      <c r="C1449" s="7">
        <v>5.6986999999999997</v>
      </c>
      <c r="D1449" s="7">
        <v>5.7656999999999998</v>
      </c>
      <c r="E1449" s="7">
        <v>5.9040999999999997</v>
      </c>
      <c r="F1449" s="7">
        <v>6.1105</v>
      </c>
      <c r="G1449" s="7">
        <v>6.3085000000000004</v>
      </c>
      <c r="H1449" s="7">
        <v>6.5029000000000003</v>
      </c>
      <c r="I1449" s="7">
        <v>7.2137000000000002</v>
      </c>
      <c r="J1449" s="7">
        <v>7.8388</v>
      </c>
      <c r="K1449" s="7">
        <v>8.3890999999999991</v>
      </c>
      <c r="L1449" s="7">
        <v>8.7897999999999996</v>
      </c>
      <c r="M1449" s="7">
        <v>9.5829000000000004</v>
      </c>
      <c r="N1449" s="7">
        <v>10.5418</v>
      </c>
      <c r="O1449" s="7">
        <v>11.5496</v>
      </c>
      <c r="P1449" s="7">
        <v>12.132999999999999</v>
      </c>
      <c r="Q1449" s="7">
        <v>12.942399999999999</v>
      </c>
    </row>
    <row r="1450" spans="1:17">
      <c r="A1450" s="5">
        <v>43578</v>
      </c>
      <c r="B1450" s="5" t="str">
        <f t="shared" si="22"/>
        <v>2019 q2</v>
      </c>
      <c r="C1450" s="7">
        <v>5.7229999999999999</v>
      </c>
      <c r="D1450" s="7">
        <v>5.7882999999999996</v>
      </c>
      <c r="E1450" s="7">
        <v>5.9231999999999996</v>
      </c>
      <c r="F1450" s="7">
        <v>6.1243999999999996</v>
      </c>
      <c r="G1450" s="7">
        <v>6.3177000000000003</v>
      </c>
      <c r="H1450" s="7">
        <v>6.5076999999999998</v>
      </c>
      <c r="I1450" s="7">
        <v>7.2058999999999997</v>
      </c>
      <c r="J1450" s="7">
        <v>7.8236999999999997</v>
      </c>
      <c r="K1450" s="7">
        <v>8.3711000000000002</v>
      </c>
      <c r="L1450" s="7">
        <v>8.7749000000000006</v>
      </c>
      <c r="M1450" s="7">
        <v>9.5768000000000004</v>
      </c>
      <c r="N1450" s="7">
        <v>10.553100000000001</v>
      </c>
      <c r="O1450" s="7">
        <v>11.600300000000001</v>
      </c>
      <c r="P1450" s="7">
        <v>12.2166</v>
      </c>
      <c r="Q1450" s="7">
        <v>13.081899999999999</v>
      </c>
    </row>
    <row r="1451" spans="1:17">
      <c r="A1451" s="5">
        <v>43580</v>
      </c>
      <c r="B1451" s="5" t="str">
        <f t="shared" si="22"/>
        <v>2019 q2</v>
      </c>
      <c r="C1451" s="7">
        <v>5.7222999999999997</v>
      </c>
      <c r="D1451" s="7">
        <v>5.7877000000000001</v>
      </c>
      <c r="E1451" s="7">
        <v>5.9226000000000001</v>
      </c>
      <c r="F1451" s="7">
        <v>6.1238000000000001</v>
      </c>
      <c r="G1451" s="7">
        <v>6.3170999999999999</v>
      </c>
      <c r="H1451" s="7">
        <v>6.5072000000000001</v>
      </c>
      <c r="I1451" s="7">
        <v>7.2051999999999996</v>
      </c>
      <c r="J1451" s="7">
        <v>7.8226000000000004</v>
      </c>
      <c r="K1451" s="7">
        <v>8.3695000000000004</v>
      </c>
      <c r="L1451" s="7">
        <v>8.7722999999999995</v>
      </c>
      <c r="M1451" s="7">
        <v>9.5731999999999999</v>
      </c>
      <c r="N1451" s="7">
        <v>10.547499999999999</v>
      </c>
      <c r="O1451" s="7">
        <v>11.5916</v>
      </c>
      <c r="P1451" s="7">
        <v>12.2057</v>
      </c>
      <c r="Q1451" s="7">
        <v>13.067500000000001</v>
      </c>
    </row>
    <row r="1452" spans="1:17">
      <c r="A1452" s="5">
        <v>43581</v>
      </c>
      <c r="B1452" s="5" t="str">
        <f t="shared" si="22"/>
        <v>2019 q2</v>
      </c>
      <c r="C1452" s="7">
        <v>5.7290999999999999</v>
      </c>
      <c r="D1452" s="7">
        <v>5.7937000000000003</v>
      </c>
      <c r="E1452" s="7">
        <v>5.9272</v>
      </c>
      <c r="F1452" s="7">
        <v>6.1261000000000001</v>
      </c>
      <c r="G1452" s="7">
        <v>6.3171999999999997</v>
      </c>
      <c r="H1452" s="7">
        <v>6.5054999999999996</v>
      </c>
      <c r="I1452" s="7">
        <v>7.1977000000000002</v>
      </c>
      <c r="J1452" s="7">
        <v>7.8113999999999999</v>
      </c>
      <c r="K1452" s="7">
        <v>8.3564000000000007</v>
      </c>
      <c r="L1452" s="7">
        <v>8.7597000000000005</v>
      </c>
      <c r="M1452" s="7">
        <v>9.5631000000000004</v>
      </c>
      <c r="N1452" s="7">
        <v>10.542899999999999</v>
      </c>
      <c r="O1452" s="7">
        <v>11.6014</v>
      </c>
      <c r="P1452" s="7">
        <v>12.228</v>
      </c>
      <c r="Q1452" s="7">
        <v>13.1119</v>
      </c>
    </row>
    <row r="1453" spans="1:17">
      <c r="A1453" s="5">
        <v>43584</v>
      </c>
      <c r="B1453" s="5" t="str">
        <f t="shared" si="22"/>
        <v>2019 q2</v>
      </c>
      <c r="C1453" s="7">
        <v>5.7468000000000004</v>
      </c>
      <c r="D1453" s="7">
        <v>5.8106</v>
      </c>
      <c r="E1453" s="7">
        <v>5.9423000000000004</v>
      </c>
      <c r="F1453" s="7">
        <v>6.1386000000000003</v>
      </c>
      <c r="G1453" s="7">
        <v>6.3209999999999997</v>
      </c>
      <c r="H1453" s="7">
        <v>6.4962999999999997</v>
      </c>
      <c r="I1453" s="7">
        <v>7.1977000000000002</v>
      </c>
      <c r="J1453" s="7">
        <v>7.8056000000000001</v>
      </c>
      <c r="K1453" s="7">
        <v>8.3462999999999994</v>
      </c>
      <c r="L1453" s="7">
        <v>8.7476000000000003</v>
      </c>
      <c r="M1453" s="7">
        <v>9.548</v>
      </c>
      <c r="N1453" s="7">
        <v>10.4573</v>
      </c>
      <c r="O1453" s="7">
        <v>11.482200000000001</v>
      </c>
      <c r="P1453" s="7">
        <v>12.2189</v>
      </c>
      <c r="Q1453" s="7">
        <v>13.112399999999999</v>
      </c>
    </row>
    <row r="1454" spans="1:17">
      <c r="A1454" s="5">
        <v>43585</v>
      </c>
      <c r="B1454" s="5" t="str">
        <f t="shared" si="22"/>
        <v>2019 q2</v>
      </c>
      <c r="C1454" s="7">
        <v>5.7344999999999997</v>
      </c>
      <c r="D1454" s="7">
        <v>5.7996999999999996</v>
      </c>
      <c r="E1454" s="7">
        <v>5.9340999999999999</v>
      </c>
      <c r="F1454" s="7">
        <v>6.1311</v>
      </c>
      <c r="G1454" s="7">
        <v>6.3154000000000003</v>
      </c>
      <c r="H1454" s="7">
        <v>6.4923999999999999</v>
      </c>
      <c r="I1454" s="7">
        <v>7.2004000000000001</v>
      </c>
      <c r="J1454" s="7">
        <v>7.8121999999999998</v>
      </c>
      <c r="K1454" s="7">
        <v>8.3556000000000008</v>
      </c>
      <c r="L1454" s="7">
        <v>8.7568000000000001</v>
      </c>
      <c r="M1454" s="7">
        <v>9.5592000000000006</v>
      </c>
      <c r="N1454" s="7">
        <v>10.4671</v>
      </c>
      <c r="O1454" s="7">
        <v>11.487399999999999</v>
      </c>
      <c r="P1454" s="7">
        <v>12.218500000000001</v>
      </c>
      <c r="Q1454" s="7">
        <v>13.1022</v>
      </c>
    </row>
    <row r="1455" spans="1:17">
      <c r="A1455" s="5">
        <v>43587</v>
      </c>
      <c r="B1455" s="5" t="str">
        <f t="shared" si="22"/>
        <v>2019 q2</v>
      </c>
      <c r="C1455" s="7">
        <v>5.7102000000000004</v>
      </c>
      <c r="D1455" s="7">
        <v>5.7758000000000003</v>
      </c>
      <c r="E1455" s="7">
        <v>5.9112999999999998</v>
      </c>
      <c r="F1455" s="7">
        <v>6.1097000000000001</v>
      </c>
      <c r="G1455" s="7">
        <v>6.3022</v>
      </c>
      <c r="H1455" s="7">
        <v>6.4912999999999998</v>
      </c>
      <c r="I1455" s="7">
        <v>7.1855000000000002</v>
      </c>
      <c r="J1455" s="7">
        <v>7.8000999999999996</v>
      </c>
      <c r="K1455" s="7">
        <v>8.3451000000000004</v>
      </c>
      <c r="L1455" s="7">
        <v>8.7467000000000006</v>
      </c>
      <c r="M1455" s="7">
        <v>9.5497999999999994</v>
      </c>
      <c r="N1455" s="7">
        <v>10.4564</v>
      </c>
      <c r="O1455" s="7">
        <v>11.472099999999999</v>
      </c>
      <c r="P1455" s="7">
        <v>12.198499999999999</v>
      </c>
      <c r="Q1455" s="7">
        <v>13.073700000000001</v>
      </c>
    </row>
    <row r="1456" spans="1:17">
      <c r="A1456" s="5">
        <v>43588</v>
      </c>
      <c r="B1456" s="5" t="str">
        <f t="shared" si="22"/>
        <v>2019 q2</v>
      </c>
      <c r="C1456" s="7">
        <v>5.7122000000000002</v>
      </c>
      <c r="D1456" s="7">
        <v>5.7771999999999997</v>
      </c>
      <c r="E1456" s="7">
        <v>5.9112</v>
      </c>
      <c r="F1456" s="7">
        <v>6.1074999999999999</v>
      </c>
      <c r="G1456" s="7">
        <v>6.2910000000000004</v>
      </c>
      <c r="H1456" s="7">
        <v>6.4679000000000002</v>
      </c>
      <c r="I1456" s="7">
        <v>7.1746999999999996</v>
      </c>
      <c r="J1456" s="7">
        <v>7.7872000000000003</v>
      </c>
      <c r="K1456" s="7">
        <v>8.3316999999999997</v>
      </c>
      <c r="L1456" s="7">
        <v>8.7365999999999993</v>
      </c>
      <c r="M1456" s="7">
        <v>9.5463000000000005</v>
      </c>
      <c r="N1456" s="7">
        <v>10.533799999999999</v>
      </c>
      <c r="O1456" s="7">
        <v>11.609500000000001</v>
      </c>
      <c r="P1456" s="7">
        <v>12.2498</v>
      </c>
      <c r="Q1456" s="7">
        <v>13.1586</v>
      </c>
    </row>
    <row r="1457" spans="1:17">
      <c r="A1457" s="5">
        <v>43591</v>
      </c>
      <c r="B1457" s="5" t="str">
        <f t="shared" si="22"/>
        <v>2019 q2</v>
      </c>
      <c r="C1457" s="7">
        <v>5.7287999999999997</v>
      </c>
      <c r="D1457" s="7">
        <v>5.7891000000000004</v>
      </c>
      <c r="E1457" s="7">
        <v>5.9135</v>
      </c>
      <c r="F1457" s="7">
        <v>6.0963000000000003</v>
      </c>
      <c r="G1457" s="7">
        <v>6.2680999999999996</v>
      </c>
      <c r="H1457" s="7">
        <v>6.4347000000000003</v>
      </c>
      <c r="I1457" s="7">
        <v>7.1001000000000003</v>
      </c>
      <c r="J1457" s="7">
        <v>7.6859000000000002</v>
      </c>
      <c r="K1457" s="7">
        <v>8.2134999999999998</v>
      </c>
      <c r="L1457" s="7">
        <v>8.6569000000000003</v>
      </c>
      <c r="M1457" s="7">
        <v>9.4984999999999999</v>
      </c>
      <c r="N1457" s="7">
        <v>10.3597</v>
      </c>
      <c r="O1457" s="7">
        <v>11.4611</v>
      </c>
      <c r="P1457" s="7">
        <v>12.265700000000001</v>
      </c>
      <c r="Q1457" s="7">
        <v>13.2867</v>
      </c>
    </row>
    <row r="1458" spans="1:17">
      <c r="A1458" s="5">
        <v>43592</v>
      </c>
      <c r="B1458" s="5" t="str">
        <f t="shared" si="22"/>
        <v>2019 q2</v>
      </c>
      <c r="C1458" s="7">
        <v>5.5326000000000004</v>
      </c>
      <c r="D1458" s="7">
        <v>5.5976999999999997</v>
      </c>
      <c r="E1458" s="7">
        <v>5.7319000000000004</v>
      </c>
      <c r="F1458" s="7">
        <v>5.93</v>
      </c>
      <c r="G1458" s="7">
        <v>6.1230000000000002</v>
      </c>
      <c r="H1458" s="7">
        <v>6.3155999999999999</v>
      </c>
      <c r="I1458" s="7">
        <v>7.0190999999999999</v>
      </c>
      <c r="J1458" s="7">
        <v>7.6473000000000004</v>
      </c>
      <c r="K1458" s="7">
        <v>8.2081999999999997</v>
      </c>
      <c r="L1458" s="7">
        <v>8.6742000000000008</v>
      </c>
      <c r="M1458" s="7">
        <v>9.5547000000000004</v>
      </c>
      <c r="N1458" s="7">
        <v>10.5068</v>
      </c>
      <c r="O1458" s="7">
        <v>11.648999999999999</v>
      </c>
      <c r="P1458" s="7">
        <v>12.337199999999999</v>
      </c>
      <c r="Q1458" s="7">
        <v>13.3231</v>
      </c>
    </row>
    <row r="1459" spans="1:17">
      <c r="A1459" s="5">
        <v>43593</v>
      </c>
      <c r="B1459" s="5" t="str">
        <f t="shared" si="22"/>
        <v>2019 q2</v>
      </c>
      <c r="C1459" s="7">
        <v>5.5373999999999999</v>
      </c>
      <c r="D1459" s="7">
        <v>5.6007999999999996</v>
      </c>
      <c r="E1459" s="7">
        <v>5.7314999999999996</v>
      </c>
      <c r="F1459" s="7">
        <v>5.9245999999999999</v>
      </c>
      <c r="G1459" s="7">
        <v>6.1128999999999998</v>
      </c>
      <c r="H1459" s="7">
        <v>6.3007999999999997</v>
      </c>
      <c r="I1459" s="7">
        <v>6.9901</v>
      </c>
      <c r="J1459" s="7">
        <v>7.609</v>
      </c>
      <c r="K1459" s="7">
        <v>8.1643000000000008</v>
      </c>
      <c r="L1459" s="7">
        <v>8.6295000000000002</v>
      </c>
      <c r="M1459" s="7">
        <v>9.5103000000000009</v>
      </c>
      <c r="N1459" s="7">
        <v>10.403</v>
      </c>
      <c r="O1459" s="7">
        <v>11.539</v>
      </c>
      <c r="P1459" s="7">
        <v>12.3635</v>
      </c>
      <c r="Q1459" s="7">
        <v>13.4008</v>
      </c>
    </row>
    <row r="1460" spans="1:17">
      <c r="A1460" s="5">
        <v>43595</v>
      </c>
      <c r="B1460" s="5" t="str">
        <f t="shared" si="22"/>
        <v>2019 q2</v>
      </c>
      <c r="C1460" s="7">
        <v>5.5156999999999998</v>
      </c>
      <c r="D1460" s="7">
        <v>5.58</v>
      </c>
      <c r="E1460" s="7">
        <v>5.7126000000000001</v>
      </c>
      <c r="F1460" s="7">
        <v>5.9084000000000003</v>
      </c>
      <c r="G1460" s="7">
        <v>6.0995999999999997</v>
      </c>
      <c r="H1460" s="7">
        <v>6.2901999999999996</v>
      </c>
      <c r="I1460" s="7">
        <v>6.9909999999999997</v>
      </c>
      <c r="J1460" s="7">
        <v>7.6208</v>
      </c>
      <c r="K1460" s="7">
        <v>8.1856000000000009</v>
      </c>
      <c r="L1460" s="7">
        <v>8.6574000000000009</v>
      </c>
      <c r="M1460" s="7">
        <v>9.5481999999999996</v>
      </c>
      <c r="N1460" s="7">
        <v>10.506399999999999</v>
      </c>
      <c r="O1460" s="7">
        <v>11.632400000000001</v>
      </c>
      <c r="P1460" s="7">
        <v>12.2676</v>
      </c>
      <c r="Q1460" s="7">
        <v>13.1144</v>
      </c>
    </row>
    <row r="1461" spans="1:17">
      <c r="A1461" s="5">
        <v>43598</v>
      </c>
      <c r="B1461" s="5" t="str">
        <f t="shared" si="22"/>
        <v>2019 q2</v>
      </c>
      <c r="C1461" s="7">
        <v>5.5191999999999997</v>
      </c>
      <c r="D1461" s="7">
        <v>5.5841000000000003</v>
      </c>
      <c r="E1461" s="7">
        <v>5.7182000000000004</v>
      </c>
      <c r="F1461" s="7">
        <v>5.9157999999999999</v>
      </c>
      <c r="G1461" s="7">
        <v>6.1086</v>
      </c>
      <c r="H1461" s="7">
        <v>6.3003</v>
      </c>
      <c r="I1461" s="7">
        <v>7.0025000000000004</v>
      </c>
      <c r="J1461" s="7">
        <v>7.6299000000000001</v>
      </c>
      <c r="K1461" s="7">
        <v>8.1884999999999994</v>
      </c>
      <c r="L1461" s="7">
        <v>8.6109000000000009</v>
      </c>
      <c r="M1461" s="7">
        <v>9.4558</v>
      </c>
      <c r="N1461" s="7">
        <v>10.4162</v>
      </c>
      <c r="O1461" s="7">
        <v>11.525600000000001</v>
      </c>
      <c r="P1461" s="7">
        <v>12.324299999999999</v>
      </c>
      <c r="Q1461" s="7">
        <v>13.315</v>
      </c>
    </row>
    <row r="1462" spans="1:17">
      <c r="A1462" s="5">
        <v>43599</v>
      </c>
      <c r="B1462" s="5" t="str">
        <f t="shared" si="22"/>
        <v>2019 q2</v>
      </c>
      <c r="C1462" s="7">
        <v>5.5262000000000002</v>
      </c>
      <c r="D1462" s="7">
        <v>5.5909000000000004</v>
      </c>
      <c r="E1462" s="7">
        <v>5.7245999999999997</v>
      </c>
      <c r="F1462" s="7">
        <v>5.9214000000000002</v>
      </c>
      <c r="G1462" s="7">
        <v>6.1138000000000003</v>
      </c>
      <c r="H1462" s="7">
        <v>6.3045999999999998</v>
      </c>
      <c r="I1462" s="7">
        <v>7.0061999999999998</v>
      </c>
      <c r="J1462" s="7">
        <v>7.6346999999999996</v>
      </c>
      <c r="K1462" s="7">
        <v>8.1950000000000003</v>
      </c>
      <c r="L1462" s="7">
        <v>8.6219000000000001</v>
      </c>
      <c r="M1462" s="7">
        <v>9.4756</v>
      </c>
      <c r="N1462" s="7">
        <v>10.5227</v>
      </c>
      <c r="O1462" s="7">
        <v>11.6912</v>
      </c>
      <c r="P1462" s="7">
        <v>12.400700000000001</v>
      </c>
      <c r="Q1462" s="7">
        <v>13.4247</v>
      </c>
    </row>
    <row r="1463" spans="1:17">
      <c r="A1463" s="5">
        <v>43600</v>
      </c>
      <c r="B1463" s="5" t="str">
        <f t="shared" si="22"/>
        <v>2019 q2</v>
      </c>
      <c r="C1463" s="7">
        <v>5.5555000000000003</v>
      </c>
      <c r="D1463" s="7">
        <v>5.6161000000000003</v>
      </c>
      <c r="E1463" s="7">
        <v>5.7412000000000001</v>
      </c>
      <c r="F1463" s="7">
        <v>5.9256000000000002</v>
      </c>
      <c r="G1463" s="7">
        <v>6.1064999999999996</v>
      </c>
      <c r="H1463" s="7">
        <v>6.2858999999999998</v>
      </c>
      <c r="I1463" s="7">
        <v>6.9524999999999997</v>
      </c>
      <c r="J1463" s="7">
        <v>7.5572999999999997</v>
      </c>
      <c r="K1463" s="7">
        <v>8.1049000000000007</v>
      </c>
      <c r="L1463" s="7">
        <v>8.5725999999999996</v>
      </c>
      <c r="M1463" s="7">
        <v>9.4604999999999997</v>
      </c>
      <c r="N1463" s="7">
        <v>10.4598</v>
      </c>
      <c r="O1463" s="7">
        <v>11.7037</v>
      </c>
      <c r="P1463" s="7">
        <v>12.4893</v>
      </c>
      <c r="Q1463" s="7">
        <v>13.6533</v>
      </c>
    </row>
    <row r="1464" spans="1:17">
      <c r="A1464" s="5">
        <v>43601</v>
      </c>
      <c r="B1464" s="5" t="str">
        <f t="shared" si="22"/>
        <v>2019 q2</v>
      </c>
      <c r="C1464" s="7">
        <v>5.5678999999999998</v>
      </c>
      <c r="D1464" s="7">
        <v>5.6257999999999999</v>
      </c>
      <c r="E1464" s="7">
        <v>5.7454000000000001</v>
      </c>
      <c r="F1464" s="7">
        <v>5.9221000000000004</v>
      </c>
      <c r="G1464" s="7">
        <v>6.0960000000000001</v>
      </c>
      <c r="H1464" s="7">
        <v>6.2685000000000004</v>
      </c>
      <c r="I1464" s="7">
        <v>6.9165000000000001</v>
      </c>
      <c r="J1464" s="7">
        <v>7.5115999999999996</v>
      </c>
      <c r="K1464" s="7">
        <v>8.0577000000000005</v>
      </c>
      <c r="L1464" s="7">
        <v>8.5585000000000004</v>
      </c>
      <c r="M1464" s="7">
        <v>9.4286999999999992</v>
      </c>
      <c r="N1464" s="7">
        <v>10.4603</v>
      </c>
      <c r="O1464" s="7">
        <v>11.758900000000001</v>
      </c>
      <c r="P1464" s="7">
        <v>12.5852</v>
      </c>
      <c r="Q1464" s="7">
        <v>13.8116</v>
      </c>
    </row>
    <row r="1465" spans="1:17">
      <c r="A1465" s="5">
        <v>43602</v>
      </c>
      <c r="B1465" s="5" t="str">
        <f t="shared" si="22"/>
        <v>2019 q2</v>
      </c>
      <c r="C1465" s="7">
        <v>5.6210000000000004</v>
      </c>
      <c r="D1465" s="7">
        <v>5.6752000000000002</v>
      </c>
      <c r="E1465" s="7">
        <v>5.7869999999999999</v>
      </c>
      <c r="F1465" s="7">
        <v>5.9530000000000003</v>
      </c>
      <c r="G1465" s="7">
        <v>6.1172000000000004</v>
      </c>
      <c r="H1465" s="7">
        <v>6.2803000000000004</v>
      </c>
      <c r="I1465" s="7">
        <v>6.9031000000000002</v>
      </c>
      <c r="J1465" s="7">
        <v>7.4854000000000003</v>
      </c>
      <c r="K1465" s="7">
        <v>8.0273000000000003</v>
      </c>
      <c r="L1465" s="7">
        <v>8.5297000000000001</v>
      </c>
      <c r="M1465" s="7">
        <v>9.4131999999999998</v>
      </c>
      <c r="N1465" s="7">
        <v>10.469900000000001</v>
      </c>
      <c r="O1465" s="7">
        <v>11.802199999999999</v>
      </c>
      <c r="P1465" s="7">
        <v>12.642200000000001</v>
      </c>
      <c r="Q1465" s="7">
        <v>13.8767</v>
      </c>
    </row>
    <row r="1466" spans="1:17">
      <c r="A1466" s="5">
        <v>43605</v>
      </c>
      <c r="B1466" s="5" t="str">
        <f t="shared" si="22"/>
        <v>2019 q2</v>
      </c>
      <c r="C1466" s="7">
        <v>5.6280999999999999</v>
      </c>
      <c r="D1466" s="7">
        <v>5.6820000000000004</v>
      </c>
      <c r="E1466" s="7">
        <v>5.7930999999999999</v>
      </c>
      <c r="F1466" s="7">
        <v>5.9577</v>
      </c>
      <c r="G1466" s="7">
        <v>6.1204000000000001</v>
      </c>
      <c r="H1466" s="7">
        <v>6.2817999999999996</v>
      </c>
      <c r="I1466" s="7">
        <v>6.8959999999999999</v>
      </c>
      <c r="J1466" s="7">
        <v>7.4691999999999998</v>
      </c>
      <c r="K1466" s="7">
        <v>8.0021000000000004</v>
      </c>
      <c r="L1466" s="7">
        <v>8.4749999999999996</v>
      </c>
      <c r="M1466" s="7">
        <v>9.3804999999999996</v>
      </c>
      <c r="N1466" s="7">
        <v>10.4438</v>
      </c>
      <c r="O1466" s="7">
        <v>11.776999999999999</v>
      </c>
      <c r="P1466" s="7">
        <v>12.5305</v>
      </c>
      <c r="Q1466" s="7">
        <v>13.4605</v>
      </c>
    </row>
    <row r="1467" spans="1:17">
      <c r="A1467" s="5">
        <v>43606</v>
      </c>
      <c r="B1467" s="5" t="str">
        <f t="shared" si="22"/>
        <v>2019 q2</v>
      </c>
      <c r="C1467" s="7">
        <v>5.6685999999999996</v>
      </c>
      <c r="D1467" s="7">
        <v>5.7161</v>
      </c>
      <c r="E1467" s="7">
        <v>5.8143000000000002</v>
      </c>
      <c r="F1467" s="7">
        <v>5.9621000000000004</v>
      </c>
      <c r="G1467" s="7">
        <v>6.1102999999999996</v>
      </c>
      <c r="H1467" s="7">
        <v>6.2584</v>
      </c>
      <c r="I1467" s="7">
        <v>6.8502000000000001</v>
      </c>
      <c r="J1467" s="7">
        <v>7.4257999999999997</v>
      </c>
      <c r="K1467" s="7">
        <v>7.9720000000000004</v>
      </c>
      <c r="L1467" s="7">
        <v>8.4300999999999995</v>
      </c>
      <c r="M1467" s="7">
        <v>9.3461999999999996</v>
      </c>
      <c r="N1467" s="7">
        <v>10.4969</v>
      </c>
      <c r="O1467" s="7">
        <v>11.8314</v>
      </c>
      <c r="P1467" s="7">
        <v>12.632</v>
      </c>
      <c r="Q1467" s="7">
        <v>13.7668</v>
      </c>
    </row>
    <row r="1468" spans="1:17">
      <c r="A1468" s="5">
        <v>43607</v>
      </c>
      <c r="B1468" s="5" t="str">
        <f t="shared" si="22"/>
        <v>2019 q2</v>
      </c>
      <c r="C1468" s="7">
        <v>5.6439000000000004</v>
      </c>
      <c r="D1468" s="7">
        <v>5.6874000000000002</v>
      </c>
      <c r="E1468" s="7">
        <v>5.7770999999999999</v>
      </c>
      <c r="F1468" s="7">
        <v>5.9141000000000004</v>
      </c>
      <c r="G1468" s="7">
        <v>6.0545</v>
      </c>
      <c r="H1468" s="7">
        <v>6.2013999999999996</v>
      </c>
      <c r="I1468" s="7">
        <v>6.7895000000000003</v>
      </c>
      <c r="J1468" s="7">
        <v>7.3840000000000003</v>
      </c>
      <c r="K1468" s="7">
        <v>7.9537000000000004</v>
      </c>
      <c r="L1468" s="7">
        <v>8.4239999999999995</v>
      </c>
      <c r="M1468" s="7">
        <v>9.3645999999999994</v>
      </c>
      <c r="N1468" s="7">
        <v>10.5136</v>
      </c>
      <c r="O1468" s="7">
        <v>11.7682</v>
      </c>
      <c r="P1468" s="7">
        <v>12.473699999999999</v>
      </c>
      <c r="Q1468" s="7">
        <v>13.435499999999999</v>
      </c>
    </row>
    <row r="1469" spans="1:17">
      <c r="A1469" s="5">
        <v>43608</v>
      </c>
      <c r="B1469" s="5" t="str">
        <f t="shared" si="22"/>
        <v>2019 q2</v>
      </c>
      <c r="C1469" s="7">
        <v>5.6283000000000003</v>
      </c>
      <c r="D1469" s="7">
        <v>5.6771000000000003</v>
      </c>
      <c r="E1469" s="7">
        <v>5.7779999999999996</v>
      </c>
      <c r="F1469" s="7">
        <v>5.9295</v>
      </c>
      <c r="G1469" s="7">
        <v>6.0811000000000002</v>
      </c>
      <c r="H1469" s="7">
        <v>6.2319000000000004</v>
      </c>
      <c r="I1469" s="7">
        <v>6.8338999999999999</v>
      </c>
      <c r="J1469" s="7">
        <v>7.4157999999999999</v>
      </c>
      <c r="K1469" s="7">
        <v>7.9654999999999996</v>
      </c>
      <c r="L1469" s="7">
        <v>8.4247999999999994</v>
      </c>
      <c r="M1469" s="7">
        <v>9.3434000000000008</v>
      </c>
      <c r="N1469" s="7">
        <v>10.494999999999999</v>
      </c>
      <c r="O1469" s="7">
        <v>11.828900000000001</v>
      </c>
      <c r="P1469" s="7">
        <v>12.629300000000001</v>
      </c>
      <c r="Q1469" s="7">
        <v>13.7653</v>
      </c>
    </row>
    <row r="1470" spans="1:17">
      <c r="A1470" s="5">
        <v>43609</v>
      </c>
      <c r="B1470" s="5" t="str">
        <f t="shared" si="22"/>
        <v>2019 q2</v>
      </c>
      <c r="C1470" s="7">
        <v>5.6250999999999998</v>
      </c>
      <c r="D1470" s="7">
        <v>5.6753</v>
      </c>
      <c r="E1470" s="7">
        <v>5.7789999999999999</v>
      </c>
      <c r="F1470" s="7">
        <v>5.9344999999999999</v>
      </c>
      <c r="G1470" s="7">
        <v>6.0895999999999999</v>
      </c>
      <c r="H1470" s="7">
        <v>6.2431000000000001</v>
      </c>
      <c r="I1470" s="7">
        <v>6.8552</v>
      </c>
      <c r="J1470" s="7">
        <v>7.4416000000000002</v>
      </c>
      <c r="K1470" s="7">
        <v>7.9912999999999998</v>
      </c>
      <c r="L1470" s="7">
        <v>8.4444999999999997</v>
      </c>
      <c r="M1470" s="7">
        <v>9.3507999999999996</v>
      </c>
      <c r="N1470" s="7">
        <v>10.477399999999999</v>
      </c>
      <c r="O1470" s="7">
        <v>11.762499999999999</v>
      </c>
      <c r="P1470" s="7">
        <v>12.5236</v>
      </c>
      <c r="Q1470" s="7">
        <v>13.596399999999999</v>
      </c>
    </row>
    <row r="1471" spans="1:17">
      <c r="A1471" s="5">
        <v>43612</v>
      </c>
      <c r="B1471" s="5" t="str">
        <f t="shared" si="22"/>
        <v>2019 q2</v>
      </c>
      <c r="C1471" s="7">
        <v>5.67</v>
      </c>
      <c r="D1471" s="7">
        <v>5.7234999999999996</v>
      </c>
      <c r="E1471" s="7">
        <v>5.8339999999999996</v>
      </c>
      <c r="F1471" s="7">
        <v>5.9981</v>
      </c>
      <c r="G1471" s="7">
        <v>6.1593999999999998</v>
      </c>
      <c r="H1471" s="7">
        <v>6.3144999999999998</v>
      </c>
      <c r="I1471" s="7">
        <v>6.9261999999999997</v>
      </c>
      <c r="J1471" s="7">
        <v>7.4920999999999998</v>
      </c>
      <c r="K1471" s="7">
        <v>8.0191999999999997</v>
      </c>
      <c r="L1471" s="7">
        <v>8.4776000000000007</v>
      </c>
      <c r="M1471" s="7">
        <v>9.3295999999999992</v>
      </c>
      <c r="N1471" s="7">
        <v>10.428800000000001</v>
      </c>
      <c r="O1471" s="7">
        <v>11.7791</v>
      </c>
      <c r="P1471" s="7">
        <v>12.6166</v>
      </c>
      <c r="Q1471" s="7">
        <v>13.799899999999999</v>
      </c>
    </row>
    <row r="1472" spans="1:17">
      <c r="A1472" s="5">
        <v>43614</v>
      </c>
      <c r="B1472" s="5" t="str">
        <f t="shared" si="22"/>
        <v>2019 q2</v>
      </c>
      <c r="C1472" s="7">
        <v>5.6360999999999999</v>
      </c>
      <c r="D1472" s="7">
        <v>5.6829000000000001</v>
      </c>
      <c r="E1472" s="7">
        <v>5.7796000000000003</v>
      </c>
      <c r="F1472" s="7">
        <v>5.9265999999999996</v>
      </c>
      <c r="G1472" s="7">
        <v>6.0743999999999998</v>
      </c>
      <c r="H1472" s="7">
        <v>6.2243000000000004</v>
      </c>
      <c r="I1472" s="7">
        <v>6.8232999999999997</v>
      </c>
      <c r="J1472" s="7">
        <v>7.4108999999999998</v>
      </c>
      <c r="K1472" s="7">
        <v>7.9656000000000002</v>
      </c>
      <c r="L1472" s="7">
        <v>8.4223999999999997</v>
      </c>
      <c r="M1472" s="7">
        <v>9.3360000000000003</v>
      </c>
      <c r="N1472" s="7">
        <v>10.4557</v>
      </c>
      <c r="O1472" s="7">
        <v>11.6968</v>
      </c>
      <c r="P1472" s="7">
        <v>12.407</v>
      </c>
      <c r="Q1472" s="7">
        <v>13.3879</v>
      </c>
    </row>
    <row r="1473" spans="1:17">
      <c r="A1473" s="5">
        <v>43615</v>
      </c>
      <c r="B1473" s="5" t="str">
        <f t="shared" si="22"/>
        <v>2019 q2</v>
      </c>
      <c r="C1473" s="7">
        <v>5.6096000000000004</v>
      </c>
      <c r="D1473" s="7">
        <v>5.6603000000000003</v>
      </c>
      <c r="E1473" s="7">
        <v>5.7648000000000001</v>
      </c>
      <c r="F1473" s="7">
        <v>5.9192</v>
      </c>
      <c r="G1473" s="7">
        <v>6.0712999999999999</v>
      </c>
      <c r="H1473" s="7">
        <v>6.2172000000000001</v>
      </c>
      <c r="I1473" s="7">
        <v>6.7973999999999997</v>
      </c>
      <c r="J1473" s="7">
        <v>7.3358999999999996</v>
      </c>
      <c r="K1473" s="7">
        <v>7.8356000000000003</v>
      </c>
      <c r="L1473" s="7">
        <v>8.2601999999999993</v>
      </c>
      <c r="M1473" s="7">
        <v>9.1094000000000008</v>
      </c>
      <c r="N1473" s="7">
        <v>10.219799999999999</v>
      </c>
      <c r="O1473" s="7">
        <v>11.6524</v>
      </c>
      <c r="P1473" s="7">
        <v>12.6639</v>
      </c>
      <c r="Q1473" s="7">
        <v>14.2867</v>
      </c>
    </row>
    <row r="1474" spans="1:17">
      <c r="A1474" s="5">
        <v>43616</v>
      </c>
      <c r="B1474" s="5" t="str">
        <f t="shared" si="22"/>
        <v>2019 q2</v>
      </c>
      <c r="C1474" s="7">
        <v>5.6654999999999998</v>
      </c>
      <c r="D1474" s="7">
        <v>5.7169999999999996</v>
      </c>
      <c r="E1474" s="7">
        <v>5.8232999999999997</v>
      </c>
      <c r="F1474" s="7">
        <v>5.9805999999999999</v>
      </c>
      <c r="G1474" s="7">
        <v>6.1357999999999997</v>
      </c>
      <c r="H1474" s="7">
        <v>6.2862</v>
      </c>
      <c r="I1474" s="7">
        <v>6.8794000000000004</v>
      </c>
      <c r="J1474" s="7">
        <v>7.4343000000000004</v>
      </c>
      <c r="K1474" s="7">
        <v>7.9509999999999996</v>
      </c>
      <c r="L1474" s="7">
        <v>8.3907000000000007</v>
      </c>
      <c r="M1474" s="7">
        <v>9.2700999999999993</v>
      </c>
      <c r="N1474" s="7">
        <v>10.4071</v>
      </c>
      <c r="O1474" s="7">
        <v>11.8171</v>
      </c>
      <c r="P1474" s="7">
        <v>12.6784</v>
      </c>
      <c r="Q1474" s="7">
        <v>13.851900000000001</v>
      </c>
    </row>
    <row r="1475" spans="1:17">
      <c r="A1475" s="5">
        <v>43619</v>
      </c>
      <c r="B1475" s="5" t="str">
        <f t="shared" ref="B1475:B1538" si="23">YEAR(A1475)&amp;" q"&amp;ROUNDUP(MONTH(A1475)/3,0)</f>
        <v>2019 q2</v>
      </c>
      <c r="C1475" s="7">
        <v>5.6559999999999997</v>
      </c>
      <c r="D1475" s="7">
        <v>5.7001999999999997</v>
      </c>
      <c r="E1475" s="7">
        <v>5.7915000000000001</v>
      </c>
      <c r="F1475" s="7">
        <v>5.93</v>
      </c>
      <c r="G1475" s="7">
        <v>6.0693999999999999</v>
      </c>
      <c r="H1475" s="7">
        <v>6.2106000000000003</v>
      </c>
      <c r="I1475" s="7">
        <v>6.7747999999999999</v>
      </c>
      <c r="J1475" s="7">
        <v>7.3329000000000004</v>
      </c>
      <c r="K1475" s="7">
        <v>7.8670999999999998</v>
      </c>
      <c r="L1475" s="7">
        <v>8.3262</v>
      </c>
      <c r="M1475" s="7">
        <v>9.2444000000000006</v>
      </c>
      <c r="N1475" s="7">
        <v>10.404500000000001</v>
      </c>
      <c r="O1475" s="7">
        <v>11.774900000000001</v>
      </c>
      <c r="P1475" s="7">
        <v>12.605700000000001</v>
      </c>
      <c r="Q1475" s="7">
        <v>13.7949</v>
      </c>
    </row>
    <row r="1476" spans="1:17">
      <c r="A1476" s="5">
        <v>43620</v>
      </c>
      <c r="B1476" s="5" t="str">
        <f t="shared" si="23"/>
        <v>2019 q2</v>
      </c>
      <c r="C1476" s="7">
        <v>5.7289000000000003</v>
      </c>
      <c r="D1476" s="7">
        <v>5.766</v>
      </c>
      <c r="E1476" s="7">
        <v>5.8426999999999998</v>
      </c>
      <c r="F1476" s="7">
        <v>5.9640000000000004</v>
      </c>
      <c r="G1476" s="7">
        <v>6.0880000000000001</v>
      </c>
      <c r="H1476" s="7">
        <v>6.2122000000000002</v>
      </c>
      <c r="I1476" s="7">
        <v>6.7542</v>
      </c>
      <c r="J1476" s="7">
        <v>7.3135000000000003</v>
      </c>
      <c r="K1476" s="7">
        <v>7.8596000000000004</v>
      </c>
      <c r="L1476" s="7">
        <v>8.3299000000000003</v>
      </c>
      <c r="M1476" s="7">
        <v>9.2705000000000002</v>
      </c>
      <c r="N1476" s="7">
        <v>10.433400000000001</v>
      </c>
      <c r="O1476" s="7">
        <v>11.7454</v>
      </c>
      <c r="P1476" s="7">
        <v>12.497299999999999</v>
      </c>
      <c r="Q1476" s="7">
        <v>13.5372</v>
      </c>
    </row>
    <row r="1477" spans="1:17">
      <c r="A1477" s="5">
        <v>43621</v>
      </c>
      <c r="B1477" s="5" t="str">
        <f t="shared" si="23"/>
        <v>2019 q2</v>
      </c>
      <c r="C1477" s="7">
        <v>5.7323000000000004</v>
      </c>
      <c r="D1477" s="7">
        <v>5.7686999999999999</v>
      </c>
      <c r="E1477" s="7">
        <v>5.8437000000000001</v>
      </c>
      <c r="F1477" s="7">
        <v>5.9626999999999999</v>
      </c>
      <c r="G1477" s="7">
        <v>6.0843999999999996</v>
      </c>
      <c r="H1477" s="7">
        <v>6.2064000000000004</v>
      </c>
      <c r="I1477" s="7">
        <v>6.7411000000000003</v>
      </c>
      <c r="J1477" s="7">
        <v>7.2960000000000003</v>
      </c>
      <c r="K1477" s="7">
        <v>7.8410000000000002</v>
      </c>
      <c r="L1477" s="7">
        <v>8.3167000000000009</v>
      </c>
      <c r="M1477" s="7">
        <v>9.2680000000000007</v>
      </c>
      <c r="N1477" s="7">
        <v>10.4658</v>
      </c>
      <c r="O1477" s="7">
        <v>11.8125</v>
      </c>
      <c r="P1477" s="7">
        <v>12.601100000000001</v>
      </c>
      <c r="Q1477" s="7">
        <v>13.6999</v>
      </c>
    </row>
    <row r="1478" spans="1:17">
      <c r="A1478" s="5">
        <v>43622</v>
      </c>
      <c r="B1478" s="5" t="str">
        <f t="shared" si="23"/>
        <v>2019 q2</v>
      </c>
      <c r="C1478" s="7">
        <v>5.7591999999999999</v>
      </c>
      <c r="D1478" s="7">
        <v>5.7922000000000002</v>
      </c>
      <c r="E1478" s="7">
        <v>5.8601000000000001</v>
      </c>
      <c r="F1478" s="7">
        <v>5.9714999999999998</v>
      </c>
      <c r="G1478" s="7">
        <v>6.0865999999999998</v>
      </c>
      <c r="H1478" s="7">
        <v>6.2023999999999999</v>
      </c>
      <c r="I1478" s="7">
        <v>6.7336999999999998</v>
      </c>
      <c r="J1478" s="7">
        <v>7.2987000000000002</v>
      </c>
      <c r="K1478" s="7">
        <v>7.8589000000000002</v>
      </c>
      <c r="L1478" s="7">
        <v>8.3463999999999992</v>
      </c>
      <c r="M1478" s="7">
        <v>9.3214000000000006</v>
      </c>
      <c r="N1478" s="7">
        <v>10.522500000000001</v>
      </c>
      <c r="O1478" s="7">
        <v>11.8668</v>
      </c>
      <c r="P1478" s="7">
        <v>12.6273</v>
      </c>
      <c r="Q1478" s="7">
        <v>13.671799999999999</v>
      </c>
    </row>
    <row r="1479" spans="1:17">
      <c r="A1479" s="5">
        <v>43623</v>
      </c>
      <c r="B1479" s="5" t="str">
        <f t="shared" si="23"/>
        <v>2019 q2</v>
      </c>
      <c r="C1479" s="7">
        <v>5.7497999999999996</v>
      </c>
      <c r="D1479" s="7">
        <v>5.7859999999999996</v>
      </c>
      <c r="E1479" s="7">
        <v>5.8608000000000002</v>
      </c>
      <c r="F1479" s="7">
        <v>5.9797000000000002</v>
      </c>
      <c r="G1479" s="7">
        <v>6.1010999999999997</v>
      </c>
      <c r="H1479" s="7">
        <v>6.2229999999999999</v>
      </c>
      <c r="I1479" s="7">
        <v>6.7572000000000001</v>
      </c>
      <c r="J1479" s="7">
        <v>7.3121</v>
      </c>
      <c r="K1479" s="7">
        <v>7.8611000000000004</v>
      </c>
      <c r="L1479" s="7">
        <v>8.3729999999999993</v>
      </c>
      <c r="M1479" s="7">
        <v>9.3501999999999992</v>
      </c>
      <c r="N1479" s="7">
        <v>10.4818</v>
      </c>
      <c r="O1479" s="7">
        <v>11.852</v>
      </c>
      <c r="P1479" s="7">
        <v>12.648899999999999</v>
      </c>
      <c r="Q1479" s="7">
        <v>13.7614</v>
      </c>
    </row>
    <row r="1480" spans="1:17">
      <c r="A1480" s="5">
        <v>43626</v>
      </c>
      <c r="B1480" s="5" t="str">
        <f t="shared" si="23"/>
        <v>2019 q2</v>
      </c>
      <c r="C1480" s="7">
        <v>5.7649999999999997</v>
      </c>
      <c r="D1480" s="7">
        <v>5.798</v>
      </c>
      <c r="E1480" s="7">
        <v>5.8659999999999997</v>
      </c>
      <c r="F1480" s="7">
        <v>5.9779999999999998</v>
      </c>
      <c r="G1480" s="7">
        <v>6.0933999999999999</v>
      </c>
      <c r="H1480" s="7">
        <v>6.2099000000000002</v>
      </c>
      <c r="I1480" s="7">
        <v>6.7432999999999996</v>
      </c>
      <c r="J1480" s="7">
        <v>7.3083</v>
      </c>
      <c r="K1480" s="7">
        <v>7.8689</v>
      </c>
      <c r="L1480" s="7">
        <v>8.3865999999999996</v>
      </c>
      <c r="M1480" s="7">
        <v>9.3681000000000001</v>
      </c>
      <c r="N1480" s="7">
        <v>10.465199999999999</v>
      </c>
      <c r="O1480" s="7">
        <v>11.7471</v>
      </c>
      <c r="P1480" s="7">
        <v>12.4618</v>
      </c>
      <c r="Q1480" s="7">
        <v>13.4366</v>
      </c>
    </row>
    <row r="1481" spans="1:17">
      <c r="A1481" s="5">
        <v>43627</v>
      </c>
      <c r="B1481" s="5" t="str">
        <f t="shared" si="23"/>
        <v>2019 q2</v>
      </c>
      <c r="C1481" s="7">
        <v>5.7530000000000001</v>
      </c>
      <c r="D1481" s="7">
        <v>5.7896000000000001</v>
      </c>
      <c r="E1481" s="7">
        <v>5.8651999999999997</v>
      </c>
      <c r="F1481" s="7">
        <v>5.9858000000000002</v>
      </c>
      <c r="G1481" s="7">
        <v>6.1085000000000003</v>
      </c>
      <c r="H1481" s="7">
        <v>6.2324000000000002</v>
      </c>
      <c r="I1481" s="7">
        <v>6.7720000000000002</v>
      </c>
      <c r="J1481" s="7">
        <v>7.3297999999999996</v>
      </c>
      <c r="K1481" s="7">
        <v>7.8776000000000002</v>
      </c>
      <c r="L1481" s="7">
        <v>8.3834999999999997</v>
      </c>
      <c r="M1481" s="7">
        <v>9.3444000000000003</v>
      </c>
      <c r="N1481" s="7">
        <v>10.4358</v>
      </c>
      <c r="O1481" s="7">
        <v>11.7354</v>
      </c>
      <c r="P1481" s="7">
        <v>12.476800000000001</v>
      </c>
      <c r="Q1481" s="7">
        <v>13.5025</v>
      </c>
    </row>
    <row r="1482" spans="1:17">
      <c r="A1482" s="5">
        <v>43628</v>
      </c>
      <c r="B1482" s="5" t="str">
        <f t="shared" si="23"/>
        <v>2019 q2</v>
      </c>
      <c r="C1482" s="7">
        <v>5.7526999999999999</v>
      </c>
      <c r="D1482" s="7">
        <v>5.7901999999999996</v>
      </c>
      <c r="E1482" s="7">
        <v>5.8673999999999999</v>
      </c>
      <c r="F1482" s="7">
        <v>5.9904000000000002</v>
      </c>
      <c r="G1482" s="7">
        <v>6.1153000000000004</v>
      </c>
      <c r="H1482" s="7">
        <v>6.2413999999999996</v>
      </c>
      <c r="I1482" s="7">
        <v>6.7866999999999997</v>
      </c>
      <c r="J1482" s="7">
        <v>7.3478000000000003</v>
      </c>
      <c r="K1482" s="7">
        <v>7.8925999999999998</v>
      </c>
      <c r="L1482" s="7">
        <v>8.3613999999999997</v>
      </c>
      <c r="M1482" s="7">
        <v>9.2989999999999995</v>
      </c>
      <c r="N1482" s="7">
        <v>10.451499999999999</v>
      </c>
      <c r="O1482" s="7">
        <v>11.746</v>
      </c>
      <c r="P1482" s="7">
        <v>12.4838</v>
      </c>
      <c r="Q1482" s="7">
        <v>13.5046</v>
      </c>
    </row>
    <row r="1483" spans="1:17">
      <c r="A1483" s="5">
        <v>43629</v>
      </c>
      <c r="B1483" s="5" t="str">
        <f t="shared" si="23"/>
        <v>2019 q2</v>
      </c>
      <c r="C1483" s="7">
        <v>5.8330000000000002</v>
      </c>
      <c r="D1483" s="7">
        <v>5.8574999999999999</v>
      </c>
      <c r="E1483" s="7">
        <v>5.9081000000000001</v>
      </c>
      <c r="F1483" s="7">
        <v>5.9954999999999998</v>
      </c>
      <c r="G1483" s="7">
        <v>6.0857999999999999</v>
      </c>
      <c r="H1483" s="7">
        <v>6.1786000000000003</v>
      </c>
      <c r="I1483" s="7">
        <v>6.6279000000000003</v>
      </c>
      <c r="J1483" s="7">
        <v>7.1291000000000002</v>
      </c>
      <c r="K1483" s="7">
        <v>7.6508000000000003</v>
      </c>
      <c r="L1483" s="7">
        <v>8.1616</v>
      </c>
      <c r="M1483" s="7">
        <v>9.1336999999999993</v>
      </c>
      <c r="N1483" s="7">
        <v>10.2448</v>
      </c>
      <c r="O1483" s="7">
        <v>11.656599999999999</v>
      </c>
      <c r="P1483" s="7">
        <v>12.650600000000001</v>
      </c>
      <c r="Q1483" s="7">
        <v>13.879799999999999</v>
      </c>
    </row>
    <row r="1484" spans="1:17">
      <c r="A1484" s="5">
        <v>43630</v>
      </c>
      <c r="B1484" s="5" t="str">
        <f t="shared" si="23"/>
        <v>2019 q2</v>
      </c>
      <c r="C1484" s="7">
        <v>5.7854000000000001</v>
      </c>
      <c r="D1484" s="7">
        <v>5.8147000000000002</v>
      </c>
      <c r="E1484" s="7">
        <v>5.8750999999999998</v>
      </c>
      <c r="F1484" s="7">
        <v>5.9808000000000003</v>
      </c>
      <c r="G1484" s="7">
        <v>6.0900999999999996</v>
      </c>
      <c r="H1484" s="7">
        <v>6.2023999999999999</v>
      </c>
      <c r="I1484" s="7">
        <v>6.7390999999999996</v>
      </c>
      <c r="J1484" s="7">
        <v>7.3192000000000004</v>
      </c>
      <c r="K1484" s="7">
        <v>7.8898999999999999</v>
      </c>
      <c r="L1484" s="7">
        <v>8.3722999999999992</v>
      </c>
      <c r="M1484" s="7">
        <v>9.3370999999999995</v>
      </c>
      <c r="N1484" s="7">
        <v>10.4862</v>
      </c>
      <c r="O1484" s="7">
        <v>11.6991</v>
      </c>
      <c r="P1484" s="7">
        <v>12.351599999999999</v>
      </c>
      <c r="Q1484" s="7">
        <v>13.228</v>
      </c>
    </row>
    <row r="1485" spans="1:17">
      <c r="A1485" s="5">
        <v>43633</v>
      </c>
      <c r="B1485" s="5" t="str">
        <f t="shared" si="23"/>
        <v>2019 q2</v>
      </c>
      <c r="C1485" s="7">
        <v>5.7697000000000003</v>
      </c>
      <c r="D1485" s="7">
        <v>5.8003999999999998</v>
      </c>
      <c r="E1485" s="7">
        <v>5.8638000000000003</v>
      </c>
      <c r="F1485" s="7">
        <v>5.9714999999999998</v>
      </c>
      <c r="G1485" s="7">
        <v>6.0820999999999996</v>
      </c>
      <c r="H1485" s="7">
        <v>6.1955</v>
      </c>
      <c r="I1485" s="7">
        <v>6.7222999999999997</v>
      </c>
      <c r="J1485" s="7">
        <v>7.2868000000000004</v>
      </c>
      <c r="K1485" s="7">
        <v>7.8433000000000002</v>
      </c>
      <c r="L1485" s="7">
        <v>8.3217999999999996</v>
      </c>
      <c r="M1485" s="7">
        <v>9.2787000000000006</v>
      </c>
      <c r="N1485" s="7">
        <v>10.4351</v>
      </c>
      <c r="O1485" s="7">
        <v>11.6919</v>
      </c>
      <c r="P1485" s="7">
        <v>12.383699999999999</v>
      </c>
      <c r="Q1485" s="7">
        <v>13.323700000000001</v>
      </c>
    </row>
    <row r="1486" spans="1:17">
      <c r="A1486" s="5">
        <v>43634</v>
      </c>
      <c r="B1486" s="5" t="str">
        <f t="shared" si="23"/>
        <v>2019 q2</v>
      </c>
      <c r="C1486" s="7">
        <v>5.7675000000000001</v>
      </c>
      <c r="D1486" s="7">
        <v>5.7988999999999997</v>
      </c>
      <c r="E1486" s="7">
        <v>5.8638000000000003</v>
      </c>
      <c r="F1486" s="7">
        <v>5.97</v>
      </c>
      <c r="G1486" s="7">
        <v>6.0777000000000001</v>
      </c>
      <c r="H1486" s="7">
        <v>6.2003000000000004</v>
      </c>
      <c r="I1486" s="7">
        <v>6.7064000000000004</v>
      </c>
      <c r="J1486" s="7">
        <v>7.2521000000000004</v>
      </c>
      <c r="K1486" s="7">
        <v>7.7983000000000002</v>
      </c>
      <c r="L1486" s="7">
        <v>8.3122000000000007</v>
      </c>
      <c r="M1486" s="7">
        <v>9.2904999999999998</v>
      </c>
      <c r="N1486" s="7">
        <v>10.4156</v>
      </c>
      <c r="O1486" s="7">
        <v>11.762499999999999</v>
      </c>
      <c r="P1486" s="7">
        <v>12.5321</v>
      </c>
      <c r="Q1486" s="7">
        <v>13.599600000000001</v>
      </c>
    </row>
    <row r="1487" spans="1:17">
      <c r="A1487" s="5">
        <v>43635</v>
      </c>
      <c r="B1487" s="5" t="str">
        <f t="shared" si="23"/>
        <v>2019 q2</v>
      </c>
      <c r="C1487" s="7">
        <v>5.7717000000000001</v>
      </c>
      <c r="D1487" s="7">
        <v>5.8010999999999999</v>
      </c>
      <c r="E1487" s="7">
        <v>5.8616999999999999</v>
      </c>
      <c r="F1487" s="7">
        <v>5.9646999999999997</v>
      </c>
      <c r="G1487" s="7">
        <v>6.0697000000000001</v>
      </c>
      <c r="H1487" s="7">
        <v>6.1947999999999999</v>
      </c>
      <c r="I1487" s="7">
        <v>6.7145999999999999</v>
      </c>
      <c r="J1487" s="7">
        <v>7.2842000000000002</v>
      </c>
      <c r="K1487" s="7">
        <v>7.8468999999999998</v>
      </c>
      <c r="L1487" s="7">
        <v>8.3316999999999997</v>
      </c>
      <c r="M1487" s="7">
        <v>9.3012999999999995</v>
      </c>
      <c r="N1487" s="7">
        <v>10.4681</v>
      </c>
      <c r="O1487" s="7">
        <v>11.7301</v>
      </c>
      <c r="P1487" s="7">
        <v>12.4206</v>
      </c>
      <c r="Q1487" s="7">
        <v>13.3573</v>
      </c>
    </row>
    <row r="1488" spans="1:17">
      <c r="A1488" s="5">
        <v>43636</v>
      </c>
      <c r="B1488" s="5" t="str">
        <f t="shared" si="23"/>
        <v>2019 q2</v>
      </c>
      <c r="C1488" s="7">
        <v>5.7686000000000002</v>
      </c>
      <c r="D1488" s="7">
        <v>5.7965999999999998</v>
      </c>
      <c r="E1488" s="7">
        <v>5.8541999999999996</v>
      </c>
      <c r="F1488" s="7">
        <v>5.9550999999999998</v>
      </c>
      <c r="G1488" s="7">
        <v>6.0579999999999998</v>
      </c>
      <c r="H1488" s="7">
        <v>6.1841999999999997</v>
      </c>
      <c r="I1488" s="7">
        <v>6.7100999999999997</v>
      </c>
      <c r="J1488" s="7">
        <v>7.2911999999999999</v>
      </c>
      <c r="K1488" s="7">
        <v>7.8632</v>
      </c>
      <c r="L1488" s="7">
        <v>8.3485999999999994</v>
      </c>
      <c r="M1488" s="7">
        <v>9.3193000000000001</v>
      </c>
      <c r="N1488" s="7">
        <v>10.470800000000001</v>
      </c>
      <c r="O1488" s="7">
        <v>11.6838</v>
      </c>
      <c r="P1488" s="7">
        <v>12.3338</v>
      </c>
      <c r="Q1488" s="7">
        <v>13.207000000000001</v>
      </c>
    </row>
    <row r="1489" spans="1:17">
      <c r="A1489" s="5">
        <v>43637</v>
      </c>
      <c r="B1489" s="5" t="str">
        <f t="shared" si="23"/>
        <v>2019 q2</v>
      </c>
      <c r="C1489" s="7">
        <v>5.7648000000000001</v>
      </c>
      <c r="D1489" s="7">
        <v>5.7938999999999998</v>
      </c>
      <c r="E1489" s="7">
        <v>5.8539000000000003</v>
      </c>
      <c r="F1489" s="7">
        <v>5.9574999999999996</v>
      </c>
      <c r="G1489" s="7">
        <v>6.0629</v>
      </c>
      <c r="H1489" s="7">
        <v>6.1902999999999997</v>
      </c>
      <c r="I1489" s="7">
        <v>6.7187999999999999</v>
      </c>
      <c r="J1489" s="7">
        <v>7.2981999999999996</v>
      </c>
      <c r="K1489" s="7">
        <v>7.867</v>
      </c>
      <c r="L1489" s="7">
        <v>8.3504000000000005</v>
      </c>
      <c r="M1489" s="7">
        <v>9.3172999999999995</v>
      </c>
      <c r="N1489" s="7">
        <v>10.4666</v>
      </c>
      <c r="O1489" s="7">
        <v>11.6838</v>
      </c>
      <c r="P1489" s="7">
        <v>12.338800000000001</v>
      </c>
      <c r="Q1489" s="7">
        <v>13.2212</v>
      </c>
    </row>
    <row r="1490" spans="1:17">
      <c r="A1490" s="5">
        <v>43640</v>
      </c>
      <c r="B1490" s="5" t="str">
        <f t="shared" si="23"/>
        <v>2019 q2</v>
      </c>
      <c r="C1490" s="7">
        <v>5.7652999999999999</v>
      </c>
      <c r="D1490" s="7">
        <v>5.7944000000000004</v>
      </c>
      <c r="E1490" s="7">
        <v>5.8545999999999996</v>
      </c>
      <c r="F1490" s="7">
        <v>5.9592000000000001</v>
      </c>
      <c r="G1490" s="7">
        <v>6.0655000000000001</v>
      </c>
      <c r="H1490" s="7">
        <v>6.1947999999999999</v>
      </c>
      <c r="I1490" s="7">
        <v>6.7304000000000004</v>
      </c>
      <c r="J1490" s="7">
        <v>7.3163999999999998</v>
      </c>
      <c r="K1490" s="7">
        <v>7.8884999999999996</v>
      </c>
      <c r="L1490" s="7">
        <v>8.3695000000000004</v>
      </c>
      <c r="M1490" s="7">
        <v>9.3315000000000001</v>
      </c>
      <c r="N1490" s="7">
        <v>10.465299999999999</v>
      </c>
      <c r="O1490" s="7">
        <v>11.648199999999999</v>
      </c>
      <c r="P1490" s="7">
        <v>12.277900000000001</v>
      </c>
      <c r="Q1490" s="7">
        <v>13.122199999999999</v>
      </c>
    </row>
    <row r="1491" spans="1:17">
      <c r="A1491" s="5">
        <v>43641</v>
      </c>
      <c r="B1491" s="5" t="str">
        <f t="shared" si="23"/>
        <v>2019 q2</v>
      </c>
      <c r="C1491" s="7">
        <v>5.7085999999999997</v>
      </c>
      <c r="D1491" s="7">
        <v>5.7438000000000002</v>
      </c>
      <c r="E1491" s="7">
        <v>5.8162000000000003</v>
      </c>
      <c r="F1491" s="7">
        <v>5.9276999999999997</v>
      </c>
      <c r="G1491" s="7">
        <v>6.0477999999999996</v>
      </c>
      <c r="H1491" s="7">
        <v>6.1825999999999999</v>
      </c>
      <c r="I1491" s="7">
        <v>6.7323000000000004</v>
      </c>
      <c r="J1491" s="7">
        <v>7.3167</v>
      </c>
      <c r="K1491" s="7">
        <v>7.8837000000000002</v>
      </c>
      <c r="L1491" s="7">
        <v>8.3668999999999993</v>
      </c>
      <c r="M1491" s="7">
        <v>9.3335000000000008</v>
      </c>
      <c r="N1491" s="7">
        <v>10.4901</v>
      </c>
      <c r="O1491" s="7">
        <v>11.7371</v>
      </c>
      <c r="P1491" s="7">
        <v>12.418900000000001</v>
      </c>
      <c r="Q1491" s="7">
        <v>13.346399999999999</v>
      </c>
    </row>
    <row r="1492" spans="1:17">
      <c r="A1492" s="5">
        <v>43642</v>
      </c>
      <c r="B1492" s="5" t="str">
        <f t="shared" si="23"/>
        <v>2019 q2</v>
      </c>
      <c r="C1492" s="7">
        <v>5.7134999999999998</v>
      </c>
      <c r="D1492" s="7">
        <v>5.7481</v>
      </c>
      <c r="E1492" s="7">
        <v>5.8194999999999997</v>
      </c>
      <c r="F1492" s="7">
        <v>5.9297000000000004</v>
      </c>
      <c r="G1492" s="7">
        <v>6.0487000000000002</v>
      </c>
      <c r="H1492" s="7">
        <v>6.1833999999999998</v>
      </c>
      <c r="I1492" s="7">
        <v>6.7321</v>
      </c>
      <c r="J1492" s="7">
        <v>7.3162000000000003</v>
      </c>
      <c r="K1492" s="7">
        <v>7.8815999999999997</v>
      </c>
      <c r="L1492" s="7">
        <v>8.3607999999999993</v>
      </c>
      <c r="M1492" s="7">
        <v>9.3192000000000004</v>
      </c>
      <c r="N1492" s="7">
        <v>10.459099999999999</v>
      </c>
      <c r="O1492" s="7">
        <v>11.6754</v>
      </c>
      <c r="P1492" s="7">
        <v>12.334899999999999</v>
      </c>
      <c r="Q1492" s="7">
        <v>13.2286</v>
      </c>
    </row>
    <row r="1493" spans="1:17">
      <c r="A1493" s="5">
        <v>43643</v>
      </c>
      <c r="B1493" s="5" t="str">
        <f t="shared" si="23"/>
        <v>2019 q2</v>
      </c>
      <c r="C1493" s="7">
        <v>5.7009999999999996</v>
      </c>
      <c r="D1493" s="7">
        <v>5.7382</v>
      </c>
      <c r="E1493" s="7">
        <v>5.8150000000000004</v>
      </c>
      <c r="F1493" s="7">
        <v>5.9329999999999998</v>
      </c>
      <c r="G1493" s="7">
        <v>6.0590999999999999</v>
      </c>
      <c r="H1493" s="7">
        <v>6.1992000000000003</v>
      </c>
      <c r="I1493" s="7">
        <v>6.7671000000000001</v>
      </c>
      <c r="J1493" s="7">
        <v>7.3609999999999998</v>
      </c>
      <c r="K1493" s="7">
        <v>7.9284999999999997</v>
      </c>
      <c r="L1493" s="7">
        <v>8.4014000000000006</v>
      </c>
      <c r="M1493" s="7">
        <v>9.3470999999999993</v>
      </c>
      <c r="N1493" s="7">
        <v>10.461499999999999</v>
      </c>
      <c r="O1493" s="7">
        <v>11.632099999999999</v>
      </c>
      <c r="P1493" s="7">
        <v>12.260400000000001</v>
      </c>
      <c r="Q1493" s="7">
        <v>13.108499999999999</v>
      </c>
    </row>
    <row r="1494" spans="1:17">
      <c r="A1494" s="5">
        <v>43644</v>
      </c>
      <c r="B1494" s="5" t="str">
        <f t="shared" si="23"/>
        <v>2019 q2</v>
      </c>
      <c r="C1494" s="7">
        <v>5.6985999999999999</v>
      </c>
      <c r="D1494" s="7">
        <v>5.7370999999999999</v>
      </c>
      <c r="E1494" s="7">
        <v>5.8163999999999998</v>
      </c>
      <c r="F1494" s="7">
        <v>5.9381000000000004</v>
      </c>
      <c r="G1494" s="7">
        <v>6.0667999999999997</v>
      </c>
      <c r="H1494" s="7">
        <v>6.2076000000000002</v>
      </c>
      <c r="I1494" s="7">
        <v>6.7771999999999997</v>
      </c>
      <c r="J1494" s="7">
        <v>7.3676000000000004</v>
      </c>
      <c r="K1494" s="7">
        <v>7.9305000000000003</v>
      </c>
      <c r="L1494" s="7">
        <v>8.4013000000000009</v>
      </c>
      <c r="M1494" s="7">
        <v>9.343</v>
      </c>
      <c r="N1494" s="7">
        <v>10.4579</v>
      </c>
      <c r="O1494" s="7">
        <v>11.641500000000001</v>
      </c>
      <c r="P1494" s="7">
        <v>12.282400000000001</v>
      </c>
      <c r="Q1494" s="7">
        <v>13.1517</v>
      </c>
    </row>
    <row r="1495" spans="1:17">
      <c r="A1495" s="5">
        <v>43647</v>
      </c>
      <c r="B1495" s="5" t="str">
        <f t="shared" si="23"/>
        <v>2019 q3</v>
      </c>
      <c r="C1495" s="7">
        <v>5.6877000000000004</v>
      </c>
      <c r="D1495" s="7">
        <v>5.7302</v>
      </c>
      <c r="E1495" s="7">
        <v>5.8181000000000003</v>
      </c>
      <c r="F1495" s="7">
        <v>5.9505999999999997</v>
      </c>
      <c r="G1495" s="7">
        <v>6.0850999999999997</v>
      </c>
      <c r="H1495" s="7">
        <v>6.2222999999999997</v>
      </c>
      <c r="I1495" s="7">
        <v>6.7713999999999999</v>
      </c>
      <c r="J1495" s="7">
        <v>7.3164999999999996</v>
      </c>
      <c r="K1495" s="7">
        <v>7.8338000000000001</v>
      </c>
      <c r="L1495" s="7">
        <v>8.2813999999999997</v>
      </c>
      <c r="M1495" s="7">
        <v>9.1767000000000003</v>
      </c>
      <c r="N1495" s="7">
        <v>10.196400000000001</v>
      </c>
      <c r="O1495" s="7">
        <v>11.4636</v>
      </c>
      <c r="P1495" s="7">
        <v>12.3466</v>
      </c>
      <c r="Q1495" s="7">
        <v>13.438599999999999</v>
      </c>
    </row>
    <row r="1496" spans="1:17">
      <c r="A1496" s="5">
        <v>43648</v>
      </c>
      <c r="B1496" s="5" t="str">
        <f t="shared" si="23"/>
        <v>2019 q3</v>
      </c>
      <c r="C1496" s="7">
        <v>5.7083000000000004</v>
      </c>
      <c r="D1496" s="7">
        <v>5.7506000000000004</v>
      </c>
      <c r="E1496" s="7">
        <v>5.8379000000000003</v>
      </c>
      <c r="F1496" s="7">
        <v>5.9702000000000002</v>
      </c>
      <c r="G1496" s="7">
        <v>6.1054000000000004</v>
      </c>
      <c r="H1496" s="7">
        <v>6.2407000000000004</v>
      </c>
      <c r="I1496" s="7">
        <v>6.7952000000000004</v>
      </c>
      <c r="J1496" s="7">
        <v>7.3465999999999996</v>
      </c>
      <c r="K1496" s="7">
        <v>7.8696000000000002</v>
      </c>
      <c r="L1496" s="7">
        <v>8.3213000000000008</v>
      </c>
      <c r="M1496" s="7">
        <v>9.2246000000000006</v>
      </c>
      <c r="N1496" s="7">
        <v>10.244199999999999</v>
      </c>
      <c r="O1496" s="7">
        <v>11.499700000000001</v>
      </c>
      <c r="P1496" s="7">
        <v>12.367699999999999</v>
      </c>
      <c r="Q1496" s="7">
        <v>13.4285</v>
      </c>
    </row>
    <row r="1497" spans="1:17">
      <c r="A1497" s="5">
        <v>43649</v>
      </c>
      <c r="B1497" s="5" t="str">
        <f t="shared" si="23"/>
        <v>2019 q3</v>
      </c>
      <c r="C1497" s="7">
        <v>5.6988000000000003</v>
      </c>
      <c r="D1497" s="7">
        <v>5.74</v>
      </c>
      <c r="E1497" s="7">
        <v>5.8250999999999999</v>
      </c>
      <c r="F1497" s="7">
        <v>5.9546000000000001</v>
      </c>
      <c r="G1497" s="7">
        <v>6.0877999999999997</v>
      </c>
      <c r="H1497" s="7">
        <v>6.2211999999999996</v>
      </c>
      <c r="I1497" s="7">
        <v>6.7742000000000004</v>
      </c>
      <c r="J1497" s="7">
        <v>7.3277000000000001</v>
      </c>
      <c r="K1497" s="7">
        <v>7.8540000000000001</v>
      </c>
      <c r="L1497" s="7">
        <v>8.3077000000000005</v>
      </c>
      <c r="M1497" s="7">
        <v>9.2150999999999996</v>
      </c>
      <c r="N1497" s="7">
        <v>10.231199999999999</v>
      </c>
      <c r="O1497" s="7">
        <v>11.4697</v>
      </c>
      <c r="P1497" s="7">
        <v>12.319699999999999</v>
      </c>
      <c r="Q1497" s="7">
        <v>13.344799999999999</v>
      </c>
    </row>
    <row r="1498" spans="1:17">
      <c r="A1498" s="5">
        <v>43650</v>
      </c>
      <c r="B1498" s="5" t="str">
        <f t="shared" si="23"/>
        <v>2019 q3</v>
      </c>
      <c r="C1498" s="7">
        <v>5.6707000000000001</v>
      </c>
      <c r="D1498" s="7">
        <v>5.7131999999999996</v>
      </c>
      <c r="E1498" s="7">
        <v>5.8007999999999997</v>
      </c>
      <c r="F1498" s="7">
        <v>5.9337</v>
      </c>
      <c r="G1498" s="7">
        <v>6.0692000000000004</v>
      </c>
      <c r="H1498" s="7">
        <v>6.2054</v>
      </c>
      <c r="I1498" s="7">
        <v>6.7617000000000003</v>
      </c>
      <c r="J1498" s="7">
        <v>7.3148999999999997</v>
      </c>
      <c r="K1498" s="7">
        <v>7.8396999999999997</v>
      </c>
      <c r="L1498" s="7">
        <v>8.2942999999999998</v>
      </c>
      <c r="M1498" s="7">
        <v>9.2034000000000002</v>
      </c>
      <c r="N1498" s="7">
        <v>10.2311</v>
      </c>
      <c r="O1498" s="7">
        <v>11.5025</v>
      </c>
      <c r="P1498" s="7">
        <v>12.382300000000001</v>
      </c>
      <c r="Q1498" s="7">
        <v>13.462400000000001</v>
      </c>
    </row>
    <row r="1499" spans="1:17">
      <c r="A1499" s="5">
        <v>43654</v>
      </c>
      <c r="B1499" s="5" t="str">
        <f t="shared" si="23"/>
        <v>2019 q3</v>
      </c>
      <c r="C1499" s="7">
        <v>5.7051999999999996</v>
      </c>
      <c r="D1499" s="7">
        <v>5.7450999999999999</v>
      </c>
      <c r="E1499" s="7">
        <v>5.8274999999999997</v>
      </c>
      <c r="F1499" s="7">
        <v>5.9532999999999996</v>
      </c>
      <c r="G1499" s="7">
        <v>6.0833000000000004</v>
      </c>
      <c r="H1499" s="7">
        <v>6.2137000000000002</v>
      </c>
      <c r="I1499" s="7">
        <v>6.7595000000000001</v>
      </c>
      <c r="J1499" s="7">
        <v>7.3106999999999998</v>
      </c>
      <c r="K1499" s="7">
        <v>7.8384</v>
      </c>
      <c r="L1499" s="7">
        <v>8.2984000000000009</v>
      </c>
      <c r="M1499" s="7">
        <v>9.2184000000000008</v>
      </c>
      <c r="N1499" s="7">
        <v>10.2539</v>
      </c>
      <c r="O1499" s="7">
        <v>11.528600000000001</v>
      </c>
      <c r="P1499" s="7">
        <v>12.4053</v>
      </c>
      <c r="Q1499" s="7">
        <v>13.469900000000001</v>
      </c>
    </row>
    <row r="1500" spans="1:17">
      <c r="A1500" s="5">
        <v>43655</v>
      </c>
      <c r="B1500" s="5" t="str">
        <f t="shared" si="23"/>
        <v>2019 q3</v>
      </c>
      <c r="C1500" s="7">
        <v>5.7194000000000003</v>
      </c>
      <c r="D1500" s="7">
        <v>5.7573999999999996</v>
      </c>
      <c r="E1500" s="7">
        <v>5.8360000000000003</v>
      </c>
      <c r="F1500" s="7">
        <v>5.9573999999999998</v>
      </c>
      <c r="G1500" s="7">
        <v>6.0845000000000002</v>
      </c>
      <c r="H1500" s="7">
        <v>6.2125000000000004</v>
      </c>
      <c r="I1500" s="7">
        <v>6.7595999999999998</v>
      </c>
      <c r="J1500" s="7">
        <v>7.3183999999999996</v>
      </c>
      <c r="K1500" s="7">
        <v>7.8536999999999999</v>
      </c>
      <c r="L1500" s="7">
        <v>8.3171999999999997</v>
      </c>
      <c r="M1500" s="7">
        <v>9.2439999999999998</v>
      </c>
      <c r="N1500" s="7">
        <v>10.266400000000001</v>
      </c>
      <c r="O1500" s="7">
        <v>11.495900000000001</v>
      </c>
      <c r="P1500" s="7">
        <v>12.3283</v>
      </c>
      <c r="Q1500" s="7">
        <v>13.311999999999999</v>
      </c>
    </row>
    <row r="1501" spans="1:17">
      <c r="A1501" s="5">
        <v>43656</v>
      </c>
      <c r="B1501" s="5" t="str">
        <f t="shared" si="23"/>
        <v>2019 q3</v>
      </c>
      <c r="C1501" s="7">
        <v>5.6970999999999998</v>
      </c>
      <c r="D1501" s="7">
        <v>5.7404999999999999</v>
      </c>
      <c r="E1501" s="7">
        <v>5.8299000000000003</v>
      </c>
      <c r="F1501" s="7">
        <v>5.9646999999999997</v>
      </c>
      <c r="G1501" s="7">
        <v>6.1003999999999996</v>
      </c>
      <c r="H1501" s="7">
        <v>6.2359999999999998</v>
      </c>
      <c r="I1501" s="7">
        <v>6.7785000000000002</v>
      </c>
      <c r="J1501" s="7">
        <v>7.3110999999999997</v>
      </c>
      <c r="K1501" s="7">
        <v>7.8148999999999997</v>
      </c>
      <c r="L1501" s="7">
        <v>8.2585999999999995</v>
      </c>
      <c r="M1501" s="7">
        <v>9.1462000000000003</v>
      </c>
      <c r="N1501" s="7">
        <v>10.178599999999999</v>
      </c>
      <c r="O1501" s="7">
        <v>11.5153</v>
      </c>
      <c r="P1501" s="7">
        <v>12.4649</v>
      </c>
      <c r="Q1501" s="7">
        <v>13.7013</v>
      </c>
    </row>
    <row r="1502" spans="1:17">
      <c r="A1502" s="5">
        <v>43657</v>
      </c>
      <c r="B1502" s="5" t="str">
        <f t="shared" si="23"/>
        <v>2019 q3</v>
      </c>
      <c r="C1502" s="7">
        <v>5.7206999999999999</v>
      </c>
      <c r="D1502" s="7">
        <v>5.7591000000000001</v>
      </c>
      <c r="E1502" s="7">
        <v>5.8384999999999998</v>
      </c>
      <c r="F1502" s="7">
        <v>5.9608999999999996</v>
      </c>
      <c r="G1502" s="7">
        <v>6.0876999999999999</v>
      </c>
      <c r="H1502" s="7">
        <v>6.2153999999999998</v>
      </c>
      <c r="I1502" s="7">
        <v>6.7553000000000001</v>
      </c>
      <c r="J1502" s="7">
        <v>7.3047000000000004</v>
      </c>
      <c r="K1502" s="7">
        <v>7.8323999999999998</v>
      </c>
      <c r="L1502" s="7">
        <v>8.2954000000000008</v>
      </c>
      <c r="M1502" s="7">
        <v>9.2213999999999992</v>
      </c>
      <c r="N1502" s="7">
        <v>10.4176</v>
      </c>
      <c r="O1502" s="7">
        <v>11.661300000000001</v>
      </c>
      <c r="P1502" s="7">
        <v>12.4138</v>
      </c>
      <c r="Q1502" s="7">
        <v>13.475099999999999</v>
      </c>
    </row>
    <row r="1503" spans="1:17">
      <c r="A1503" s="5">
        <v>43658</v>
      </c>
      <c r="B1503" s="5" t="str">
        <f t="shared" si="23"/>
        <v>2019 q3</v>
      </c>
      <c r="C1503" s="7">
        <v>5.6627000000000001</v>
      </c>
      <c r="D1503" s="7">
        <v>5.7169999999999996</v>
      </c>
      <c r="E1503" s="7">
        <v>5.8291000000000004</v>
      </c>
      <c r="F1503" s="7">
        <v>5.9942000000000002</v>
      </c>
      <c r="G1503" s="7">
        <v>6.1553000000000004</v>
      </c>
      <c r="H1503" s="7">
        <v>6.3148999999999997</v>
      </c>
      <c r="I1503" s="7">
        <v>6.9070999999999998</v>
      </c>
      <c r="J1503" s="7">
        <v>7.4493</v>
      </c>
      <c r="K1503" s="7">
        <v>7.9301000000000004</v>
      </c>
      <c r="L1503" s="7">
        <v>8.3238000000000003</v>
      </c>
      <c r="M1503" s="7">
        <v>9.1112000000000002</v>
      </c>
      <c r="N1503" s="7">
        <v>10.1234</v>
      </c>
      <c r="O1503" s="7">
        <v>11.180300000000001</v>
      </c>
      <c r="P1503" s="7">
        <v>11.951599999999999</v>
      </c>
      <c r="Q1503" s="7">
        <v>13.052899999999999</v>
      </c>
    </row>
    <row r="1504" spans="1:17">
      <c r="A1504" s="5">
        <v>43661</v>
      </c>
      <c r="B1504" s="5" t="str">
        <f t="shared" si="23"/>
        <v>2019 q3</v>
      </c>
      <c r="C1504" s="8">
        <v>5.7306999999999997</v>
      </c>
      <c r="D1504" s="8">
        <v>5.7679999999999998</v>
      </c>
      <c r="E1504" s="8">
        <v>5.8451000000000004</v>
      </c>
      <c r="F1504" s="8">
        <v>5.9641999999999999</v>
      </c>
      <c r="G1504" s="8">
        <v>6.0879000000000003</v>
      </c>
      <c r="H1504" s="8">
        <v>6.2126999999999999</v>
      </c>
      <c r="I1504" s="8">
        <v>6.7434000000000003</v>
      </c>
      <c r="J1504" s="8">
        <v>7.2866999999999997</v>
      </c>
      <c r="K1504" s="8">
        <v>7.8114999999999997</v>
      </c>
      <c r="L1504" s="8">
        <v>8.2765000000000004</v>
      </c>
      <c r="M1504" s="8">
        <v>9.2066999999999997</v>
      </c>
      <c r="N1504" s="8">
        <v>10.414300000000001</v>
      </c>
      <c r="O1504" s="8">
        <v>11.685499999999999</v>
      </c>
      <c r="P1504" s="8">
        <v>12.46</v>
      </c>
      <c r="Q1504" s="8">
        <v>13.5578</v>
      </c>
    </row>
    <row r="1505" spans="1:17">
      <c r="A1505" s="5">
        <v>43662</v>
      </c>
      <c r="B1505" s="5" t="str">
        <f t="shared" si="23"/>
        <v>2019 q3</v>
      </c>
      <c r="C1505" s="8">
        <v>5.7480000000000002</v>
      </c>
      <c r="D1505" s="8">
        <v>5.7866999999999997</v>
      </c>
      <c r="E1505" s="8">
        <v>5.8666999999999998</v>
      </c>
      <c r="F1505" s="8">
        <v>5.9866999999999999</v>
      </c>
      <c r="G1505" s="8">
        <v>6.1101000000000001</v>
      </c>
      <c r="H1505" s="8">
        <v>6.234</v>
      </c>
      <c r="I1505" s="8">
        <v>6.7408999999999999</v>
      </c>
      <c r="J1505" s="8">
        <v>7.2507999999999999</v>
      </c>
      <c r="K1505" s="8">
        <v>7.7493999999999996</v>
      </c>
      <c r="L1505" s="8">
        <v>8.2236999999999991</v>
      </c>
      <c r="M1505" s="8">
        <v>9.1332000000000004</v>
      </c>
      <c r="N1505" s="8">
        <v>10.300599999999999</v>
      </c>
      <c r="O1505" s="8">
        <v>11.7003</v>
      </c>
      <c r="P1505" s="8">
        <v>12.6187</v>
      </c>
      <c r="Q1505" s="8">
        <v>13.991</v>
      </c>
    </row>
    <row r="1506" spans="1:17">
      <c r="A1506" s="5">
        <v>43663</v>
      </c>
      <c r="B1506" s="5" t="str">
        <f t="shared" si="23"/>
        <v>2019 q3</v>
      </c>
      <c r="C1506" s="8">
        <v>5.7481</v>
      </c>
      <c r="D1506" s="8">
        <v>5.7839</v>
      </c>
      <c r="E1506" s="8">
        <v>5.8579999999999997</v>
      </c>
      <c r="F1506" s="8">
        <v>5.9692999999999996</v>
      </c>
      <c r="G1506" s="8">
        <v>6.0903</v>
      </c>
      <c r="H1506" s="8">
        <v>6.2130000000000001</v>
      </c>
      <c r="I1506" s="8">
        <v>6.7382</v>
      </c>
      <c r="J1506" s="8">
        <v>7.28</v>
      </c>
      <c r="K1506" s="8">
        <v>7.8021000000000003</v>
      </c>
      <c r="L1506" s="8">
        <v>8.2603000000000009</v>
      </c>
      <c r="M1506" s="8">
        <v>9.1767000000000003</v>
      </c>
      <c r="N1506" s="8">
        <v>10.350300000000001</v>
      </c>
      <c r="O1506" s="8">
        <v>11.542199999999999</v>
      </c>
      <c r="P1506" s="8">
        <v>12.251300000000001</v>
      </c>
      <c r="Q1506" s="8">
        <v>13.242100000000001</v>
      </c>
    </row>
    <row r="1507" spans="1:17">
      <c r="A1507" s="5">
        <v>43664</v>
      </c>
      <c r="B1507" s="5" t="str">
        <f t="shared" si="23"/>
        <v>2019 q3</v>
      </c>
      <c r="C1507" s="8">
        <v>5.6936</v>
      </c>
      <c r="D1507" s="8">
        <v>5.7380000000000004</v>
      </c>
      <c r="E1507" s="8">
        <v>5.8295000000000003</v>
      </c>
      <c r="F1507" s="8">
        <v>5.9668999999999999</v>
      </c>
      <c r="G1507" s="8">
        <v>6.1029999999999998</v>
      </c>
      <c r="H1507" s="8">
        <v>6.2386999999999997</v>
      </c>
      <c r="I1507" s="8">
        <v>6.7698999999999998</v>
      </c>
      <c r="J1507" s="8">
        <v>7.2832999999999997</v>
      </c>
      <c r="K1507" s="8">
        <v>7.7657999999999996</v>
      </c>
      <c r="L1507" s="8">
        <v>8.1964000000000006</v>
      </c>
      <c r="M1507" s="8">
        <v>9.0574999999999992</v>
      </c>
      <c r="N1507" s="8">
        <v>10.214700000000001</v>
      </c>
      <c r="O1507" s="8">
        <v>11.551600000000001</v>
      </c>
      <c r="P1507" s="8">
        <v>12.551500000000001</v>
      </c>
      <c r="Q1507" s="8">
        <v>14.027699999999999</v>
      </c>
    </row>
    <row r="1508" spans="1:17">
      <c r="A1508" s="5">
        <v>43665</v>
      </c>
      <c r="B1508" s="5" t="str">
        <f t="shared" si="23"/>
        <v>2019 q3</v>
      </c>
      <c r="C1508" s="8">
        <v>5.7228000000000003</v>
      </c>
      <c r="D1508" s="8">
        <v>5.7624000000000004</v>
      </c>
      <c r="E1508" s="8">
        <v>5.8441000000000001</v>
      </c>
      <c r="F1508" s="8">
        <v>5.9668999999999999</v>
      </c>
      <c r="G1508" s="8">
        <v>6.0944000000000003</v>
      </c>
      <c r="H1508" s="8">
        <v>6.2226999999999997</v>
      </c>
      <c r="I1508" s="8">
        <v>6.7496</v>
      </c>
      <c r="J1508" s="8">
        <v>7.2778999999999998</v>
      </c>
      <c r="K1508" s="8">
        <v>7.7805</v>
      </c>
      <c r="L1508" s="8">
        <v>8.2227999999999994</v>
      </c>
      <c r="M1508" s="8">
        <v>9.1074000000000002</v>
      </c>
      <c r="N1508" s="8">
        <v>10.2545</v>
      </c>
      <c r="O1508" s="8">
        <v>11.470599999999999</v>
      </c>
      <c r="P1508" s="8">
        <v>12.218400000000001</v>
      </c>
      <c r="Q1508" s="8">
        <v>13.287599999999999</v>
      </c>
    </row>
    <row r="1509" spans="1:17">
      <c r="A1509" s="5">
        <v>43668</v>
      </c>
      <c r="B1509" s="5" t="str">
        <f t="shared" si="23"/>
        <v>2019 q3</v>
      </c>
      <c r="C1509" s="7">
        <v>5.7009999999999996</v>
      </c>
      <c r="D1509" s="7">
        <v>5.7442000000000002</v>
      </c>
      <c r="E1509" s="7">
        <v>5.8334999999999999</v>
      </c>
      <c r="F1509" s="7">
        <v>5.9675000000000002</v>
      </c>
      <c r="G1509" s="7">
        <v>6.1013999999999999</v>
      </c>
      <c r="H1509" s="7">
        <v>6.2348999999999997</v>
      </c>
      <c r="I1509" s="7">
        <v>6.7625999999999999</v>
      </c>
      <c r="J1509" s="7">
        <v>7.2763999999999998</v>
      </c>
      <c r="K1509" s="7">
        <v>7.7602000000000002</v>
      </c>
      <c r="L1509" s="7">
        <v>8.1911000000000005</v>
      </c>
      <c r="M1509" s="7">
        <v>9.0527999999999995</v>
      </c>
      <c r="N1509" s="7">
        <v>10.200900000000001</v>
      </c>
      <c r="O1509" s="7">
        <v>11.483000000000001</v>
      </c>
      <c r="P1509" s="7">
        <v>12.4208</v>
      </c>
      <c r="Q1509" s="7">
        <v>13.764799999999999</v>
      </c>
    </row>
    <row r="1510" spans="1:17">
      <c r="A1510" s="5">
        <v>43669</v>
      </c>
      <c r="B1510" s="5" t="str">
        <f t="shared" si="23"/>
        <v>2019 q3</v>
      </c>
      <c r="C1510" s="7">
        <v>5.7233999999999998</v>
      </c>
      <c r="D1510" s="7">
        <v>5.7645999999999997</v>
      </c>
      <c r="E1510" s="7">
        <v>5.8494999999999999</v>
      </c>
      <c r="F1510" s="7">
        <v>5.9789000000000003</v>
      </c>
      <c r="G1510" s="7">
        <v>6.1086999999999998</v>
      </c>
      <c r="H1510" s="7">
        <v>6.2388000000000003</v>
      </c>
      <c r="I1510" s="7">
        <v>6.7637</v>
      </c>
      <c r="J1510" s="7">
        <v>7.2828999999999997</v>
      </c>
      <c r="K1510" s="7">
        <v>7.7758000000000003</v>
      </c>
      <c r="L1510" s="7">
        <v>8.2162000000000006</v>
      </c>
      <c r="M1510" s="7">
        <v>9.0969999999999995</v>
      </c>
      <c r="N1510" s="7">
        <v>10.2608</v>
      </c>
      <c r="O1510" s="7">
        <v>11.5158</v>
      </c>
      <c r="P1510" s="7">
        <v>12.413600000000001</v>
      </c>
      <c r="Q1510" s="7">
        <v>13.662100000000001</v>
      </c>
    </row>
    <row r="1511" spans="1:17">
      <c r="A1511" s="5">
        <v>43670</v>
      </c>
      <c r="B1511" s="5" t="str">
        <f t="shared" si="23"/>
        <v>2019 q3</v>
      </c>
      <c r="C1511" s="7">
        <v>5.7153</v>
      </c>
      <c r="D1511" s="7">
        <v>5.7584</v>
      </c>
      <c r="E1511" s="7">
        <v>5.8472999999999997</v>
      </c>
      <c r="F1511" s="7">
        <v>5.9793000000000003</v>
      </c>
      <c r="G1511" s="7">
        <v>6.1112000000000002</v>
      </c>
      <c r="H1511" s="7">
        <v>6.2423000000000002</v>
      </c>
      <c r="I1511" s="7">
        <v>6.7542</v>
      </c>
      <c r="J1511" s="7">
        <v>7.2489999999999997</v>
      </c>
      <c r="K1511" s="7">
        <v>7.7152000000000003</v>
      </c>
      <c r="L1511" s="7">
        <v>8.1365999999999996</v>
      </c>
      <c r="M1511" s="7">
        <v>8.9792000000000005</v>
      </c>
      <c r="N1511" s="7">
        <v>10.1244</v>
      </c>
      <c r="O1511" s="7">
        <v>11.504200000000001</v>
      </c>
      <c r="P1511" s="7">
        <v>12.563000000000001</v>
      </c>
      <c r="Q1511" s="7">
        <v>14.1838</v>
      </c>
    </row>
    <row r="1512" spans="1:17">
      <c r="A1512" s="5">
        <v>43671</v>
      </c>
      <c r="B1512" s="5" t="str">
        <f t="shared" si="23"/>
        <v>2019 q3</v>
      </c>
      <c r="C1512" s="7">
        <v>5.7161999999999997</v>
      </c>
      <c r="D1512" s="7">
        <v>5.7584</v>
      </c>
      <c r="E1512" s="7">
        <v>5.8456000000000001</v>
      </c>
      <c r="F1512" s="7">
        <v>5.9755000000000003</v>
      </c>
      <c r="G1512" s="7">
        <v>6.1052999999999997</v>
      </c>
      <c r="H1512" s="7">
        <v>6.2346000000000004</v>
      </c>
      <c r="I1512" s="7">
        <v>6.7419000000000002</v>
      </c>
      <c r="J1512" s="7">
        <v>7.2344999999999997</v>
      </c>
      <c r="K1512" s="7">
        <v>7.6999000000000004</v>
      </c>
      <c r="L1512" s="7">
        <v>8.1210000000000004</v>
      </c>
      <c r="M1512" s="7">
        <v>8.9633000000000003</v>
      </c>
      <c r="N1512" s="7">
        <v>10.1051</v>
      </c>
      <c r="O1512" s="7">
        <v>11.4627</v>
      </c>
      <c r="P1512" s="7">
        <v>12.492800000000001</v>
      </c>
      <c r="Q1512" s="7">
        <v>14.0474</v>
      </c>
    </row>
    <row r="1513" spans="1:17">
      <c r="A1513" s="5">
        <v>43672</v>
      </c>
      <c r="B1513" s="5" t="str">
        <f t="shared" si="23"/>
        <v>2019 q3</v>
      </c>
      <c r="C1513" s="7">
        <v>5.7060000000000004</v>
      </c>
      <c r="D1513" s="7">
        <v>5.7511999999999999</v>
      </c>
      <c r="E1513" s="7">
        <v>5.8444000000000003</v>
      </c>
      <c r="F1513" s="7">
        <v>5.9809000000000001</v>
      </c>
      <c r="G1513" s="7">
        <v>6.1170999999999998</v>
      </c>
      <c r="H1513" s="7">
        <v>6.2514000000000003</v>
      </c>
      <c r="I1513" s="7">
        <v>6.7649999999999997</v>
      </c>
      <c r="J1513" s="7">
        <v>7.2500999999999998</v>
      </c>
      <c r="K1513" s="7">
        <v>7.6970000000000001</v>
      </c>
      <c r="L1513" s="7">
        <v>8.0914000000000001</v>
      </c>
      <c r="M1513" s="7">
        <v>8.8803999999999998</v>
      </c>
      <c r="N1513" s="7">
        <v>9.9445999999999994</v>
      </c>
      <c r="O1513" s="7">
        <v>11.238200000000001</v>
      </c>
      <c r="P1513" s="7">
        <v>12.2608</v>
      </c>
      <c r="Q1513" s="7">
        <v>13.889099999999999</v>
      </c>
    </row>
    <row r="1514" spans="1:17">
      <c r="A1514" s="5">
        <v>43675</v>
      </c>
      <c r="B1514" s="5" t="str">
        <f t="shared" si="23"/>
        <v>2019 q3</v>
      </c>
      <c r="C1514" s="7">
        <v>5.7346000000000004</v>
      </c>
      <c r="D1514" s="7">
        <v>5.7743000000000002</v>
      </c>
      <c r="E1514" s="7">
        <v>5.8560999999999996</v>
      </c>
      <c r="F1514" s="7">
        <v>5.9809999999999999</v>
      </c>
      <c r="G1514" s="7">
        <v>6.1060999999999996</v>
      </c>
      <c r="H1514" s="7">
        <v>6.2317999999999998</v>
      </c>
      <c r="I1514" s="7">
        <v>6.7390999999999996</v>
      </c>
      <c r="J1514" s="7">
        <v>7.2417999999999996</v>
      </c>
      <c r="K1514" s="7">
        <v>7.7201000000000004</v>
      </c>
      <c r="L1514" s="7">
        <v>8.1502999999999997</v>
      </c>
      <c r="M1514" s="7">
        <v>9.0105000000000004</v>
      </c>
      <c r="N1514" s="7">
        <v>10.1508</v>
      </c>
      <c r="O1514" s="7">
        <v>11.393700000000001</v>
      </c>
      <c r="P1514" s="7">
        <v>12.2864</v>
      </c>
      <c r="Q1514" s="7">
        <v>13.5375</v>
      </c>
    </row>
    <row r="1515" spans="1:17">
      <c r="A1515" s="5">
        <v>43676</v>
      </c>
      <c r="B1515" s="5" t="str">
        <f t="shared" si="23"/>
        <v>2019 q3</v>
      </c>
      <c r="C1515" s="7">
        <v>5.6803999999999997</v>
      </c>
      <c r="D1515" s="7">
        <v>5.7253999999999996</v>
      </c>
      <c r="E1515" s="7">
        <v>5.8182999999999998</v>
      </c>
      <c r="F1515" s="7">
        <v>5.9554999999999998</v>
      </c>
      <c r="G1515" s="7">
        <v>6.0926</v>
      </c>
      <c r="H1515" s="7">
        <v>6.2282000000000002</v>
      </c>
      <c r="I1515" s="7">
        <v>6.7523</v>
      </c>
      <c r="J1515" s="7">
        <v>7.2527999999999997</v>
      </c>
      <c r="K1515" s="7">
        <v>7.718</v>
      </c>
      <c r="L1515" s="7">
        <v>8.1335999999999995</v>
      </c>
      <c r="M1515" s="7">
        <v>8.9648000000000003</v>
      </c>
      <c r="N1515" s="7">
        <v>10.086499999999999</v>
      </c>
      <c r="O1515" s="7">
        <v>11.4299</v>
      </c>
      <c r="P1515" s="7">
        <v>12.4649</v>
      </c>
      <c r="Q1515" s="7">
        <v>14.061999999999999</v>
      </c>
    </row>
    <row r="1516" spans="1:17">
      <c r="A1516" s="5">
        <v>43677</v>
      </c>
      <c r="B1516" s="5" t="str">
        <f t="shared" si="23"/>
        <v>2019 q3</v>
      </c>
      <c r="C1516" s="7">
        <v>5.7146999999999997</v>
      </c>
      <c r="D1516" s="7">
        <v>5.7544000000000004</v>
      </c>
      <c r="E1516" s="7">
        <v>5.8364000000000003</v>
      </c>
      <c r="F1516" s="7">
        <v>5.9622000000000002</v>
      </c>
      <c r="G1516" s="7">
        <v>6.0881999999999996</v>
      </c>
      <c r="H1516" s="7">
        <v>6.2153999999999998</v>
      </c>
      <c r="I1516" s="7">
        <v>6.7343999999999999</v>
      </c>
      <c r="J1516" s="7">
        <v>7.2531999999999996</v>
      </c>
      <c r="K1516" s="7">
        <v>7.7481</v>
      </c>
      <c r="L1516" s="7">
        <v>8.1936</v>
      </c>
      <c r="M1516" s="7">
        <v>9.0846999999999998</v>
      </c>
      <c r="N1516" s="7">
        <v>10.258599999999999</v>
      </c>
      <c r="O1516" s="7">
        <v>11.567500000000001</v>
      </c>
      <c r="P1516" s="7">
        <v>12.4018</v>
      </c>
      <c r="Q1516" s="7">
        <v>13.6303</v>
      </c>
    </row>
    <row r="1517" spans="1:17">
      <c r="A1517" s="5">
        <v>43678</v>
      </c>
      <c r="B1517" s="5" t="str">
        <f t="shared" si="23"/>
        <v>2019 q3</v>
      </c>
      <c r="C1517" s="7">
        <v>5.6806000000000001</v>
      </c>
      <c r="D1517" s="7">
        <v>5.7271000000000001</v>
      </c>
      <c r="E1517" s="7">
        <v>5.8228999999999997</v>
      </c>
      <c r="F1517" s="7">
        <v>5.9638999999999998</v>
      </c>
      <c r="G1517" s="7">
        <v>6.1048</v>
      </c>
      <c r="H1517" s="7">
        <v>6.2436999999999996</v>
      </c>
      <c r="I1517" s="7">
        <v>6.7774000000000001</v>
      </c>
      <c r="J1517" s="7">
        <v>7.2834000000000003</v>
      </c>
      <c r="K1517" s="7">
        <v>7.7497999999999996</v>
      </c>
      <c r="L1517" s="7">
        <v>8.1629000000000005</v>
      </c>
      <c r="M1517" s="7">
        <v>8.9891000000000005</v>
      </c>
      <c r="N1517" s="7">
        <v>10.0984</v>
      </c>
      <c r="O1517" s="7">
        <v>11.418900000000001</v>
      </c>
      <c r="P1517" s="7">
        <v>12.4383</v>
      </c>
      <c r="Q1517" s="7">
        <v>14.0174</v>
      </c>
    </row>
    <row r="1518" spans="1:17">
      <c r="A1518" s="5">
        <v>43679</v>
      </c>
      <c r="B1518" s="5" t="str">
        <f t="shared" si="23"/>
        <v>2019 q3</v>
      </c>
      <c r="C1518" s="7">
        <v>5.6898</v>
      </c>
      <c r="D1518" s="7">
        <v>5.7348999999999997</v>
      </c>
      <c r="E1518" s="7">
        <v>5.8278999999999996</v>
      </c>
      <c r="F1518" s="7">
        <v>5.9672000000000001</v>
      </c>
      <c r="G1518" s="7">
        <v>6.1063999999999998</v>
      </c>
      <c r="H1518" s="7">
        <v>6.2450000000000001</v>
      </c>
      <c r="I1518" s="7">
        <v>6.7903000000000002</v>
      </c>
      <c r="J1518" s="7">
        <v>7.3174999999999999</v>
      </c>
      <c r="K1518" s="7">
        <v>7.8067000000000002</v>
      </c>
      <c r="L1518" s="7">
        <v>8.2367000000000008</v>
      </c>
      <c r="M1518" s="7">
        <v>9.0968</v>
      </c>
      <c r="N1518" s="7">
        <v>10.222</v>
      </c>
      <c r="O1518" s="7">
        <v>11.423</v>
      </c>
      <c r="P1518" s="7">
        <v>12.2822</v>
      </c>
      <c r="Q1518" s="7">
        <v>13.484</v>
      </c>
    </row>
    <row r="1519" spans="1:17">
      <c r="A1519" s="5">
        <v>43682</v>
      </c>
      <c r="B1519" s="5" t="str">
        <f t="shared" si="23"/>
        <v>2019 q3</v>
      </c>
      <c r="C1519" s="7">
        <v>5.7072000000000003</v>
      </c>
      <c r="D1519" s="7">
        <v>5.7483000000000004</v>
      </c>
      <c r="E1519" s="7">
        <v>5.8333000000000004</v>
      </c>
      <c r="F1519" s="7">
        <v>5.9637000000000002</v>
      </c>
      <c r="G1519" s="7">
        <v>6.0941999999999998</v>
      </c>
      <c r="H1519" s="7">
        <v>6.2259000000000002</v>
      </c>
      <c r="I1519" s="7">
        <v>6.7609000000000004</v>
      </c>
      <c r="J1519" s="7">
        <v>7.2923999999999998</v>
      </c>
      <c r="K1519" s="7">
        <v>7.7938999999999998</v>
      </c>
      <c r="L1519" s="7">
        <v>8.2386999999999997</v>
      </c>
      <c r="M1519" s="7">
        <v>9.1283999999999992</v>
      </c>
      <c r="N1519" s="7">
        <v>10.1326</v>
      </c>
      <c r="O1519" s="7">
        <v>11.4185</v>
      </c>
      <c r="P1519" s="7">
        <v>12.305400000000001</v>
      </c>
      <c r="Q1519" s="7">
        <v>13.4315</v>
      </c>
    </row>
    <row r="1520" spans="1:17">
      <c r="A1520" s="5">
        <v>43683</v>
      </c>
      <c r="B1520" s="5" t="str">
        <f t="shared" si="23"/>
        <v>2019 q3</v>
      </c>
      <c r="C1520" s="7">
        <v>5.7016999999999998</v>
      </c>
      <c r="D1520" s="7">
        <v>5.7411000000000003</v>
      </c>
      <c r="E1520" s="7">
        <v>5.8224999999999998</v>
      </c>
      <c r="F1520" s="7">
        <v>5.9458000000000002</v>
      </c>
      <c r="G1520" s="7">
        <v>6.0726000000000004</v>
      </c>
      <c r="H1520" s="7">
        <v>6.1994999999999996</v>
      </c>
      <c r="I1520" s="7">
        <v>6.7266000000000004</v>
      </c>
      <c r="J1520" s="7">
        <v>7.2569999999999997</v>
      </c>
      <c r="K1520" s="7">
        <v>7.7712000000000003</v>
      </c>
      <c r="L1520" s="7">
        <v>8.2562999999999995</v>
      </c>
      <c r="M1520" s="7">
        <v>9.1738999999999997</v>
      </c>
      <c r="N1520" s="7">
        <v>10.3126</v>
      </c>
      <c r="O1520" s="7">
        <v>11.597799999999999</v>
      </c>
      <c r="P1520" s="7">
        <v>12.3987</v>
      </c>
      <c r="Q1520" s="7">
        <v>13.5616</v>
      </c>
    </row>
    <row r="1521" spans="1:17">
      <c r="A1521" s="5">
        <v>43684</v>
      </c>
      <c r="B1521" s="5" t="str">
        <f t="shared" si="23"/>
        <v>2019 q3</v>
      </c>
      <c r="C1521" s="7">
        <v>5.6759000000000004</v>
      </c>
      <c r="D1521" s="7">
        <v>5.7178000000000004</v>
      </c>
      <c r="E1521" s="7">
        <v>5.8044000000000002</v>
      </c>
      <c r="F1521" s="7">
        <v>5.9344999999999999</v>
      </c>
      <c r="G1521" s="7">
        <v>6.0652999999999997</v>
      </c>
      <c r="H1521" s="7">
        <v>6.1962000000000002</v>
      </c>
      <c r="I1521" s="7">
        <v>6.7194000000000003</v>
      </c>
      <c r="J1521" s="7">
        <v>7.2342000000000004</v>
      </c>
      <c r="K1521" s="7">
        <v>7.7205000000000004</v>
      </c>
      <c r="L1521" s="7">
        <v>8.1586999999999996</v>
      </c>
      <c r="M1521" s="7">
        <v>9.0352999999999994</v>
      </c>
      <c r="N1521" s="7">
        <v>10.197100000000001</v>
      </c>
      <c r="O1521" s="7">
        <v>11.477399999999999</v>
      </c>
      <c r="P1521" s="7">
        <v>12.401999999999999</v>
      </c>
      <c r="Q1521" s="7">
        <v>13.715999999999999</v>
      </c>
    </row>
    <row r="1522" spans="1:17">
      <c r="A1522" s="5">
        <v>43685</v>
      </c>
      <c r="B1522" s="5" t="str">
        <f t="shared" si="23"/>
        <v>2019 q3</v>
      </c>
      <c r="C1522" s="7">
        <v>5.6745000000000001</v>
      </c>
      <c r="D1522" s="7">
        <v>5.7165999999999997</v>
      </c>
      <c r="E1522" s="7">
        <v>5.8037000000000001</v>
      </c>
      <c r="F1522" s="7">
        <v>5.9345999999999997</v>
      </c>
      <c r="G1522" s="7">
        <v>6.0660999999999996</v>
      </c>
      <c r="H1522" s="7">
        <v>6.1976000000000004</v>
      </c>
      <c r="I1522" s="7">
        <v>6.7218999999999998</v>
      </c>
      <c r="J1522" s="7">
        <v>7.2367999999999997</v>
      </c>
      <c r="K1522" s="7">
        <v>7.7222999999999997</v>
      </c>
      <c r="L1522" s="7">
        <v>8.1598000000000006</v>
      </c>
      <c r="M1522" s="7">
        <v>9.0348000000000006</v>
      </c>
      <c r="N1522" s="7">
        <v>10.195</v>
      </c>
      <c r="O1522" s="7">
        <v>11.476900000000001</v>
      </c>
      <c r="P1522" s="7">
        <v>12.404299999999999</v>
      </c>
      <c r="Q1522" s="7">
        <v>13.7263</v>
      </c>
    </row>
    <row r="1523" spans="1:17">
      <c r="A1523" s="5">
        <v>43686</v>
      </c>
      <c r="B1523" s="5" t="str">
        <f t="shared" si="23"/>
        <v>2019 q3</v>
      </c>
      <c r="C1523" s="7">
        <v>5.6897000000000002</v>
      </c>
      <c r="D1523" s="7">
        <v>5.7291999999999996</v>
      </c>
      <c r="E1523" s="7">
        <v>5.8108000000000004</v>
      </c>
      <c r="F1523" s="7">
        <v>5.9345999999999997</v>
      </c>
      <c r="G1523" s="7">
        <v>6.0617000000000001</v>
      </c>
      <c r="H1523" s="7">
        <v>6.1890000000000001</v>
      </c>
      <c r="I1523" s="7">
        <v>6.7167000000000003</v>
      </c>
      <c r="J1523" s="7">
        <v>7.2468000000000004</v>
      </c>
      <c r="K1523" s="7">
        <v>7.7503000000000002</v>
      </c>
      <c r="L1523" s="7">
        <v>8.2009000000000007</v>
      </c>
      <c r="M1523" s="7">
        <v>9.1021000000000001</v>
      </c>
      <c r="N1523" s="7">
        <v>10.2712</v>
      </c>
      <c r="O1523" s="7">
        <v>11.4678</v>
      </c>
      <c r="P1523" s="7">
        <v>12.3001</v>
      </c>
      <c r="Q1523" s="7">
        <v>13.422000000000001</v>
      </c>
    </row>
    <row r="1524" spans="1:17">
      <c r="A1524" s="5">
        <v>43689</v>
      </c>
      <c r="B1524" s="5" t="str">
        <f t="shared" si="23"/>
        <v>2019 q3</v>
      </c>
      <c r="C1524" s="7">
        <v>5.6821999999999999</v>
      </c>
      <c r="D1524" s="7">
        <v>5.7237</v>
      </c>
      <c r="E1524" s="7">
        <v>5.8094000000000001</v>
      </c>
      <c r="F1524" s="7">
        <v>5.9386000000000001</v>
      </c>
      <c r="G1524" s="7">
        <v>6.0692000000000004</v>
      </c>
      <c r="H1524" s="7">
        <v>6.1997999999999998</v>
      </c>
      <c r="I1524" s="7">
        <v>6.7266000000000004</v>
      </c>
      <c r="J1524" s="7">
        <v>7.2472000000000003</v>
      </c>
      <c r="K1524" s="7">
        <v>7.7385999999999999</v>
      </c>
      <c r="L1524" s="7">
        <v>8.1800999999999995</v>
      </c>
      <c r="M1524" s="7">
        <v>9.0630000000000006</v>
      </c>
      <c r="N1524" s="7">
        <v>10.222799999999999</v>
      </c>
      <c r="O1524" s="7">
        <v>11.465400000000001</v>
      </c>
      <c r="P1524" s="7">
        <v>12.349399999999999</v>
      </c>
      <c r="Q1524" s="7">
        <v>13.581099999999999</v>
      </c>
    </row>
    <row r="1525" spans="1:17">
      <c r="A1525" s="5">
        <v>43690</v>
      </c>
      <c r="B1525" s="5" t="str">
        <f t="shared" si="23"/>
        <v>2019 q3</v>
      </c>
      <c r="C1525" s="7">
        <v>5.7323000000000004</v>
      </c>
      <c r="D1525" s="7">
        <v>5.7674000000000003</v>
      </c>
      <c r="E1525" s="7">
        <v>5.8396999999999997</v>
      </c>
      <c r="F1525" s="7">
        <v>5.9511000000000003</v>
      </c>
      <c r="G1525" s="7">
        <v>6.0688000000000004</v>
      </c>
      <c r="H1525" s="7">
        <v>6.1874000000000002</v>
      </c>
      <c r="I1525" s="7">
        <v>6.7038000000000002</v>
      </c>
      <c r="J1525" s="7">
        <v>7.2389000000000001</v>
      </c>
      <c r="K1525" s="7">
        <v>7.7561999999999998</v>
      </c>
      <c r="L1525" s="7">
        <v>8.2241</v>
      </c>
      <c r="M1525" s="7">
        <v>9.1600999999999999</v>
      </c>
      <c r="N1525" s="7">
        <v>10.1968</v>
      </c>
      <c r="O1525" s="7">
        <v>11.509</v>
      </c>
      <c r="P1525" s="7">
        <v>12.3933</v>
      </c>
      <c r="Q1525" s="7">
        <v>13.482100000000001</v>
      </c>
    </row>
    <row r="1526" spans="1:17">
      <c r="A1526" s="5">
        <v>43691</v>
      </c>
      <c r="B1526" s="5" t="str">
        <f t="shared" si="23"/>
        <v>2019 q3</v>
      </c>
      <c r="C1526" s="7">
        <v>5.7126999999999999</v>
      </c>
      <c r="D1526" s="7">
        <v>5.7516999999999996</v>
      </c>
      <c r="E1526" s="7">
        <v>5.8320999999999996</v>
      </c>
      <c r="F1526" s="7">
        <v>5.9542999999999999</v>
      </c>
      <c r="G1526" s="7">
        <v>6.0796000000000001</v>
      </c>
      <c r="H1526" s="7">
        <v>6.2053000000000003</v>
      </c>
      <c r="I1526" s="7">
        <v>6.7267000000000001</v>
      </c>
      <c r="J1526" s="7">
        <v>7.2526999999999999</v>
      </c>
      <c r="K1526" s="7">
        <v>7.7563000000000004</v>
      </c>
      <c r="L1526" s="7">
        <v>8.2143999999999995</v>
      </c>
      <c r="M1526" s="7">
        <v>9.1306999999999992</v>
      </c>
      <c r="N1526" s="7">
        <v>10.1778</v>
      </c>
      <c r="O1526" s="7">
        <v>11.553900000000001</v>
      </c>
      <c r="P1526" s="7">
        <v>12.5075</v>
      </c>
      <c r="Q1526" s="7">
        <v>13.744899999999999</v>
      </c>
    </row>
    <row r="1527" spans="1:17">
      <c r="A1527" s="5">
        <v>43692</v>
      </c>
      <c r="B1527" s="5" t="str">
        <f t="shared" si="23"/>
        <v>2019 q3</v>
      </c>
      <c r="C1527" s="7">
        <v>5.6981999999999999</v>
      </c>
      <c r="D1527" s="7">
        <v>5.74</v>
      </c>
      <c r="E1527" s="7">
        <v>5.8263999999999996</v>
      </c>
      <c r="F1527" s="7">
        <v>5.9565000000000001</v>
      </c>
      <c r="G1527" s="7">
        <v>6.0872000000000002</v>
      </c>
      <c r="H1527" s="7">
        <v>6.218</v>
      </c>
      <c r="I1527" s="7">
        <v>6.7408999999999999</v>
      </c>
      <c r="J1527" s="7">
        <v>7.2557</v>
      </c>
      <c r="K1527" s="7">
        <v>7.7545000000000002</v>
      </c>
      <c r="L1527" s="7">
        <v>8.2301000000000002</v>
      </c>
      <c r="M1527" s="7">
        <v>9.1015999999999995</v>
      </c>
      <c r="N1527" s="7">
        <v>10.090400000000001</v>
      </c>
      <c r="O1527" s="7">
        <v>11.4749</v>
      </c>
      <c r="P1527" s="7">
        <v>12.46</v>
      </c>
      <c r="Q1527" s="7">
        <v>13.798299999999999</v>
      </c>
    </row>
    <row r="1528" spans="1:17">
      <c r="A1528" s="5">
        <v>43693</v>
      </c>
      <c r="B1528" s="5" t="str">
        <f t="shared" si="23"/>
        <v>2019 q3</v>
      </c>
      <c r="C1528" s="7">
        <v>5.7209000000000003</v>
      </c>
      <c r="D1528" s="7">
        <v>5.7592999999999996</v>
      </c>
      <c r="E1528" s="7">
        <v>5.8384</v>
      </c>
      <c r="F1528" s="7">
        <v>5.9592000000000001</v>
      </c>
      <c r="G1528" s="7">
        <v>6.0835999999999997</v>
      </c>
      <c r="H1528" s="7">
        <v>6.2085999999999997</v>
      </c>
      <c r="I1528" s="7">
        <v>6.7320000000000002</v>
      </c>
      <c r="J1528" s="7">
        <v>7.2622</v>
      </c>
      <c r="K1528" s="7">
        <v>7.7690999999999999</v>
      </c>
      <c r="L1528" s="7">
        <v>8.2279</v>
      </c>
      <c r="M1528" s="7">
        <v>9.1456999999999997</v>
      </c>
      <c r="N1528" s="7">
        <v>10.178800000000001</v>
      </c>
      <c r="O1528" s="7">
        <v>11.516299999999999</v>
      </c>
      <c r="P1528" s="7">
        <v>12.4314</v>
      </c>
      <c r="Q1528" s="7">
        <v>13.595000000000001</v>
      </c>
    </row>
    <row r="1529" spans="1:17">
      <c r="A1529" s="5">
        <v>43696</v>
      </c>
      <c r="B1529" s="5" t="str">
        <f t="shared" si="23"/>
        <v>2019 q3</v>
      </c>
      <c r="C1529" s="7">
        <v>5.7244999999999999</v>
      </c>
      <c r="D1529" s="7">
        <v>5.7621000000000002</v>
      </c>
      <c r="E1529" s="7">
        <v>5.8395000000000001</v>
      </c>
      <c r="F1529" s="7">
        <v>5.9581</v>
      </c>
      <c r="G1529" s="7">
        <v>6.0808</v>
      </c>
      <c r="H1529" s="7">
        <v>6.2043999999999997</v>
      </c>
      <c r="I1529" s="7">
        <v>6.726</v>
      </c>
      <c r="J1529" s="7">
        <v>7.2577999999999996</v>
      </c>
      <c r="K1529" s="7">
        <v>7.7685000000000004</v>
      </c>
      <c r="L1529" s="7">
        <v>8.2327999999999992</v>
      </c>
      <c r="M1529" s="7">
        <v>9.1611999999999991</v>
      </c>
      <c r="N1529" s="7">
        <v>10.370799999999999</v>
      </c>
      <c r="O1529" s="7">
        <v>11.6755</v>
      </c>
      <c r="P1529" s="7">
        <v>12.484299999999999</v>
      </c>
      <c r="Q1529" s="7">
        <v>13.6578</v>
      </c>
    </row>
    <row r="1530" spans="1:17">
      <c r="A1530" s="5">
        <v>43697</v>
      </c>
      <c r="B1530" s="5" t="str">
        <f t="shared" si="23"/>
        <v>2019 q3</v>
      </c>
      <c r="C1530" s="7">
        <v>5.6856</v>
      </c>
      <c r="D1530" s="7">
        <v>5.7316000000000003</v>
      </c>
      <c r="E1530" s="7">
        <v>5.8266</v>
      </c>
      <c r="F1530" s="7">
        <v>5.9682000000000004</v>
      </c>
      <c r="G1530" s="7">
        <v>6.1082000000000001</v>
      </c>
      <c r="H1530" s="7">
        <v>6.2439</v>
      </c>
      <c r="I1530" s="7">
        <v>6.7754000000000003</v>
      </c>
      <c r="J1530" s="7">
        <v>7.2788000000000004</v>
      </c>
      <c r="K1530" s="7">
        <v>7.7488000000000001</v>
      </c>
      <c r="L1530" s="7">
        <v>8.1873000000000005</v>
      </c>
      <c r="M1530" s="7">
        <v>9.0215999999999994</v>
      </c>
      <c r="N1530" s="7">
        <v>10.103899999999999</v>
      </c>
      <c r="O1530" s="7">
        <v>11.46</v>
      </c>
      <c r="P1530" s="7">
        <v>12.521000000000001</v>
      </c>
      <c r="Q1530" s="7">
        <v>14.2037</v>
      </c>
    </row>
    <row r="1531" spans="1:17">
      <c r="A1531" s="5">
        <v>43698</v>
      </c>
      <c r="B1531" s="5" t="str">
        <f t="shared" si="23"/>
        <v>2019 q3</v>
      </c>
      <c r="C1531" s="7">
        <v>5.7310999999999996</v>
      </c>
      <c r="D1531" s="7">
        <v>5.77</v>
      </c>
      <c r="E1531" s="7">
        <v>5.8502999999999998</v>
      </c>
      <c r="F1531" s="7">
        <v>5.9722999999999997</v>
      </c>
      <c r="G1531" s="7">
        <v>6.0961999999999996</v>
      </c>
      <c r="H1531" s="7">
        <v>6.2237</v>
      </c>
      <c r="I1531" s="7">
        <v>6.7385999999999999</v>
      </c>
      <c r="J1531" s="7">
        <v>7.2572999999999999</v>
      </c>
      <c r="K1531" s="7">
        <v>7.7518000000000002</v>
      </c>
      <c r="L1531" s="7">
        <v>8.2021999999999995</v>
      </c>
      <c r="M1531" s="7">
        <v>9.1030999999999995</v>
      </c>
      <c r="N1531" s="7">
        <v>10.1557</v>
      </c>
      <c r="O1531" s="7">
        <v>11.496</v>
      </c>
      <c r="P1531" s="7">
        <v>12.4283</v>
      </c>
      <c r="Q1531" s="7">
        <v>13.656000000000001</v>
      </c>
    </row>
    <row r="1532" spans="1:17">
      <c r="A1532" s="5">
        <v>43699</v>
      </c>
      <c r="B1532" s="5" t="str">
        <f t="shared" si="23"/>
        <v>2019 q3</v>
      </c>
      <c r="C1532" s="7">
        <v>5.6970000000000001</v>
      </c>
      <c r="D1532" s="7">
        <v>5.7423999999999999</v>
      </c>
      <c r="E1532" s="7">
        <v>5.8360000000000003</v>
      </c>
      <c r="F1532" s="7">
        <v>5.9755000000000003</v>
      </c>
      <c r="G1532" s="7">
        <v>6.1135000000000002</v>
      </c>
      <c r="H1532" s="7">
        <v>6.2473999999999998</v>
      </c>
      <c r="I1532" s="7">
        <v>6.7725</v>
      </c>
      <c r="J1532" s="7">
        <v>7.2713000000000001</v>
      </c>
      <c r="K1532" s="7">
        <v>7.7324000000000002</v>
      </c>
      <c r="L1532" s="7">
        <v>8.1501000000000001</v>
      </c>
      <c r="M1532" s="7">
        <v>8.9853000000000005</v>
      </c>
      <c r="N1532" s="7">
        <v>10.1213</v>
      </c>
      <c r="O1532" s="7">
        <v>11.555</v>
      </c>
      <c r="P1532" s="7">
        <v>12.711600000000001</v>
      </c>
      <c r="Q1532" s="7">
        <v>14.614100000000001</v>
      </c>
    </row>
    <row r="1533" spans="1:17">
      <c r="A1533" s="5">
        <v>43700</v>
      </c>
      <c r="B1533" s="5" t="str">
        <f t="shared" si="23"/>
        <v>2019 q3</v>
      </c>
      <c r="C1533" s="7">
        <v>5.7018000000000004</v>
      </c>
      <c r="D1533" s="7">
        <v>5.7465999999999999</v>
      </c>
      <c r="E1533" s="7">
        <v>5.8391000000000002</v>
      </c>
      <c r="F1533" s="7">
        <v>5.9768999999999997</v>
      </c>
      <c r="G1533" s="7">
        <v>6.1136999999999997</v>
      </c>
      <c r="H1533" s="7">
        <v>6.2469000000000001</v>
      </c>
      <c r="I1533" s="7">
        <v>6.7706999999999997</v>
      </c>
      <c r="J1533" s="7">
        <v>7.2705000000000002</v>
      </c>
      <c r="K1533" s="7">
        <v>7.7324000000000002</v>
      </c>
      <c r="L1533" s="7">
        <v>8.1486999999999998</v>
      </c>
      <c r="M1533" s="7">
        <v>8.9814000000000007</v>
      </c>
      <c r="N1533" s="7">
        <v>10.0585</v>
      </c>
      <c r="O1533" s="7">
        <v>11.4725</v>
      </c>
      <c r="P1533" s="7">
        <v>12.4499</v>
      </c>
      <c r="Q1533" s="7">
        <v>14.024100000000001</v>
      </c>
    </row>
    <row r="1534" spans="1:17">
      <c r="A1534" s="5">
        <v>43703</v>
      </c>
      <c r="B1534" s="5" t="str">
        <f t="shared" si="23"/>
        <v>2019 q3</v>
      </c>
      <c r="C1534" s="7">
        <v>5.7285000000000004</v>
      </c>
      <c r="D1534" s="7">
        <v>5.7697000000000003</v>
      </c>
      <c r="E1534" s="7">
        <v>5.8547000000000002</v>
      </c>
      <c r="F1534" s="7">
        <v>5.9824999999999999</v>
      </c>
      <c r="G1534" s="7">
        <v>6.1105999999999998</v>
      </c>
      <c r="H1534" s="7">
        <v>6.2388000000000003</v>
      </c>
      <c r="I1534" s="7">
        <v>6.7488999999999999</v>
      </c>
      <c r="J1534" s="7">
        <v>7.2492999999999999</v>
      </c>
      <c r="K1534" s="7">
        <v>7.7275</v>
      </c>
      <c r="L1534" s="7">
        <v>8.1800999999999995</v>
      </c>
      <c r="M1534" s="7">
        <v>9.0396000000000001</v>
      </c>
      <c r="N1534" s="7">
        <v>10.0893</v>
      </c>
      <c r="O1534" s="7">
        <v>11.456899999999999</v>
      </c>
      <c r="P1534" s="7">
        <v>12.331099999999999</v>
      </c>
      <c r="Q1534" s="7">
        <v>13.6656</v>
      </c>
    </row>
    <row r="1535" spans="1:17">
      <c r="A1535" s="5">
        <v>43704</v>
      </c>
      <c r="B1535" s="5" t="str">
        <f t="shared" si="23"/>
        <v>2019 q3</v>
      </c>
      <c r="C1535" s="7">
        <v>5.6909999999999998</v>
      </c>
      <c r="D1535" s="7">
        <v>5.7350000000000003</v>
      </c>
      <c r="E1535" s="7">
        <v>5.8258000000000001</v>
      </c>
      <c r="F1535" s="7">
        <v>5.9615999999999998</v>
      </c>
      <c r="G1535" s="7">
        <v>6.0972999999999997</v>
      </c>
      <c r="H1535" s="7">
        <v>6.2313999999999998</v>
      </c>
      <c r="I1535" s="7">
        <v>6.7628000000000004</v>
      </c>
      <c r="J1535" s="7">
        <v>7.2785000000000002</v>
      </c>
      <c r="K1535" s="7">
        <v>7.76</v>
      </c>
      <c r="L1535" s="7">
        <v>8.1978000000000009</v>
      </c>
      <c r="M1535" s="7">
        <v>9.0732999999999997</v>
      </c>
      <c r="N1535" s="7">
        <v>10.109400000000001</v>
      </c>
      <c r="O1535" s="7">
        <v>11.5389</v>
      </c>
      <c r="P1535" s="7">
        <v>12.5771</v>
      </c>
      <c r="Q1535" s="7">
        <v>14.051</v>
      </c>
    </row>
    <row r="1536" spans="1:17">
      <c r="A1536" s="5">
        <v>43705</v>
      </c>
      <c r="B1536" s="5" t="str">
        <f t="shared" si="23"/>
        <v>2019 q3</v>
      </c>
      <c r="C1536" s="7">
        <v>5.7008999999999999</v>
      </c>
      <c r="D1536" s="7">
        <v>5.7455999999999996</v>
      </c>
      <c r="E1536" s="7">
        <v>5.8379000000000003</v>
      </c>
      <c r="F1536" s="7">
        <v>5.9741999999999997</v>
      </c>
      <c r="G1536" s="7">
        <v>6.1101999999999999</v>
      </c>
      <c r="H1536" s="7">
        <v>6.2416999999999998</v>
      </c>
      <c r="I1536" s="7">
        <v>6.7582000000000004</v>
      </c>
      <c r="J1536" s="7">
        <v>7.2496</v>
      </c>
      <c r="K1536" s="7">
        <v>7.7042000000000002</v>
      </c>
      <c r="L1536" s="7">
        <v>8.1180000000000003</v>
      </c>
      <c r="M1536" s="7">
        <v>8.9454999999999991</v>
      </c>
      <c r="N1536" s="7">
        <v>10.072800000000001</v>
      </c>
      <c r="O1536" s="7">
        <v>11.5061</v>
      </c>
      <c r="P1536" s="7">
        <v>12.667299999999999</v>
      </c>
      <c r="Q1536" s="7">
        <v>14.589399999999999</v>
      </c>
    </row>
    <row r="1537" spans="1:17">
      <c r="A1537" s="5">
        <v>43706</v>
      </c>
      <c r="B1537" s="5" t="str">
        <f t="shared" si="23"/>
        <v>2019 q3</v>
      </c>
      <c r="C1537" s="7">
        <v>5.7066999999999997</v>
      </c>
      <c r="D1537" s="7">
        <v>5.7492999999999999</v>
      </c>
      <c r="E1537" s="7">
        <v>5.8373999999999997</v>
      </c>
      <c r="F1537" s="7">
        <v>5.9692999999999996</v>
      </c>
      <c r="G1537" s="7">
        <v>6.1010999999999997</v>
      </c>
      <c r="H1537" s="7">
        <v>6.2314999999999996</v>
      </c>
      <c r="I1537" s="7">
        <v>6.7484000000000002</v>
      </c>
      <c r="J1537" s="7">
        <v>7.2507000000000001</v>
      </c>
      <c r="K1537" s="7">
        <v>7.7282999999999999</v>
      </c>
      <c r="L1537" s="7">
        <v>8.1803000000000008</v>
      </c>
      <c r="M1537" s="7">
        <v>9.0396000000000001</v>
      </c>
      <c r="N1537" s="7">
        <v>10.019299999999999</v>
      </c>
      <c r="O1537" s="7">
        <v>11.422800000000001</v>
      </c>
      <c r="P1537" s="7">
        <v>12.442500000000001</v>
      </c>
      <c r="Q1537" s="7">
        <v>13.8935</v>
      </c>
    </row>
    <row r="1538" spans="1:17">
      <c r="A1538" s="5">
        <v>43707</v>
      </c>
      <c r="B1538" s="5" t="str">
        <f t="shared" si="23"/>
        <v>2019 q3</v>
      </c>
      <c r="C1538" s="7">
        <v>5.7041000000000004</v>
      </c>
      <c r="D1538" s="7">
        <v>5.7488000000000001</v>
      </c>
      <c r="E1538" s="7">
        <v>5.8411999999999997</v>
      </c>
      <c r="F1538" s="7">
        <v>5.9774000000000003</v>
      </c>
      <c r="G1538" s="7">
        <v>6.1135999999999999</v>
      </c>
      <c r="H1538" s="7">
        <v>6.2449000000000003</v>
      </c>
      <c r="I1538" s="7">
        <v>6.7614000000000001</v>
      </c>
      <c r="J1538" s="7">
        <v>7.2525000000000004</v>
      </c>
      <c r="K1538" s="7">
        <v>7.7064000000000004</v>
      </c>
      <c r="L1538" s="7">
        <v>8.1195000000000004</v>
      </c>
      <c r="M1538" s="7">
        <v>8.9458000000000002</v>
      </c>
      <c r="N1538" s="7">
        <v>10.070399999999999</v>
      </c>
      <c r="O1538" s="7">
        <v>11.4976</v>
      </c>
      <c r="P1538" s="7">
        <v>12.6523</v>
      </c>
      <c r="Q1538" s="7">
        <v>14.561999999999999</v>
      </c>
    </row>
    <row r="1539" spans="1:17">
      <c r="A1539" s="5">
        <v>43710</v>
      </c>
      <c r="B1539" s="5" t="str">
        <f t="shared" ref="B1539:B1602" si="24">YEAR(A1539)&amp;" q"&amp;ROUNDUP(MONTH(A1539)/3,0)</f>
        <v>2019 q3</v>
      </c>
      <c r="C1539" s="7">
        <v>5.7135999999999996</v>
      </c>
      <c r="D1539" s="7">
        <v>5.758</v>
      </c>
      <c r="E1539" s="7">
        <v>5.8494999999999999</v>
      </c>
      <c r="F1539" s="7">
        <v>5.9846000000000004</v>
      </c>
      <c r="G1539" s="7">
        <v>6.1196000000000002</v>
      </c>
      <c r="H1539" s="7">
        <v>6.2499000000000002</v>
      </c>
      <c r="I1539" s="7">
        <v>6.7626999999999997</v>
      </c>
      <c r="J1539" s="7">
        <v>7.2510000000000003</v>
      </c>
      <c r="K1539" s="7">
        <v>7.7031999999999998</v>
      </c>
      <c r="L1539" s="7">
        <v>8.1159999999999997</v>
      </c>
      <c r="M1539" s="7">
        <v>8.9414999999999996</v>
      </c>
      <c r="N1539" s="7">
        <v>10.0677</v>
      </c>
      <c r="O1539" s="7">
        <v>11.5069</v>
      </c>
      <c r="P1539" s="7">
        <v>12.676600000000001</v>
      </c>
      <c r="Q1539" s="7">
        <v>14.6211</v>
      </c>
    </row>
    <row r="1540" spans="1:17">
      <c r="A1540" s="5">
        <v>43711</v>
      </c>
      <c r="B1540" s="5" t="str">
        <f t="shared" si="24"/>
        <v>2019 q3</v>
      </c>
      <c r="C1540" s="7">
        <v>5.6783999999999999</v>
      </c>
      <c r="D1540" s="7">
        <v>5.7214</v>
      </c>
      <c r="E1540" s="7">
        <v>5.8101000000000003</v>
      </c>
      <c r="F1540" s="7">
        <v>5.9431000000000003</v>
      </c>
      <c r="G1540" s="7">
        <v>6.0759999999999996</v>
      </c>
      <c r="H1540" s="7">
        <v>6.2088999999999999</v>
      </c>
      <c r="I1540" s="7">
        <v>6.7328000000000001</v>
      </c>
      <c r="J1540" s="7">
        <v>7.2443</v>
      </c>
      <c r="K1540" s="7">
        <v>7.7233000000000001</v>
      </c>
      <c r="L1540" s="7">
        <v>8.1615000000000002</v>
      </c>
      <c r="M1540" s="7">
        <v>9.0380000000000003</v>
      </c>
      <c r="N1540" s="7">
        <v>10.0731</v>
      </c>
      <c r="O1540" s="7">
        <v>11.5062</v>
      </c>
      <c r="P1540" s="7">
        <v>12.5419</v>
      </c>
      <c r="Q1540" s="7">
        <v>14.0108</v>
      </c>
    </row>
    <row r="1541" spans="1:17">
      <c r="A1541" s="5">
        <v>43712</v>
      </c>
      <c r="B1541" s="5" t="str">
        <f t="shared" si="24"/>
        <v>2019 q3</v>
      </c>
      <c r="C1541" s="7">
        <v>5.6753</v>
      </c>
      <c r="D1541" s="7">
        <v>5.7198000000000002</v>
      </c>
      <c r="E1541" s="7">
        <v>5.8117999999999999</v>
      </c>
      <c r="F1541" s="7">
        <v>5.9485999999999999</v>
      </c>
      <c r="G1541" s="7">
        <v>6.0849000000000002</v>
      </c>
      <c r="H1541" s="7">
        <v>6.2210999999999999</v>
      </c>
      <c r="I1541" s="7">
        <v>6.7504999999999997</v>
      </c>
      <c r="J1541" s="7">
        <v>7.2622</v>
      </c>
      <c r="K1541" s="7">
        <v>7.7374999999999998</v>
      </c>
      <c r="L1541" s="7">
        <v>8.1701999999999995</v>
      </c>
      <c r="M1541" s="7">
        <v>9.0357000000000003</v>
      </c>
      <c r="N1541" s="7">
        <v>10.0648</v>
      </c>
      <c r="O1541" s="7">
        <v>11.5</v>
      </c>
      <c r="P1541" s="7">
        <v>12.5524</v>
      </c>
      <c r="Q1541" s="7">
        <v>14.0786</v>
      </c>
    </row>
    <row r="1542" spans="1:17">
      <c r="A1542" s="5">
        <v>43713</v>
      </c>
      <c r="B1542" s="5" t="str">
        <f t="shared" si="24"/>
        <v>2019 q3</v>
      </c>
      <c r="C1542" s="7">
        <v>5.6791999999999998</v>
      </c>
      <c r="D1542" s="7">
        <v>5.7243000000000004</v>
      </c>
      <c r="E1542" s="7">
        <v>5.8174000000000001</v>
      </c>
      <c r="F1542" s="7">
        <v>5.9546000000000001</v>
      </c>
      <c r="G1542" s="7">
        <v>6.0906000000000002</v>
      </c>
      <c r="H1542" s="7">
        <v>6.2264999999999997</v>
      </c>
      <c r="I1542" s="7">
        <v>6.7443999999999997</v>
      </c>
      <c r="J1542" s="7">
        <v>7.2388000000000003</v>
      </c>
      <c r="K1542" s="7">
        <v>7.6947999999999999</v>
      </c>
      <c r="L1542" s="7">
        <v>8.1103000000000005</v>
      </c>
      <c r="M1542" s="7">
        <v>8.9413</v>
      </c>
      <c r="N1542" s="7">
        <v>10.0702</v>
      </c>
      <c r="O1542" s="7">
        <v>11.4991</v>
      </c>
      <c r="P1542" s="7">
        <v>12.6525</v>
      </c>
      <c r="Q1542" s="7">
        <v>14.558999999999999</v>
      </c>
    </row>
    <row r="1543" spans="1:17">
      <c r="A1543" s="5">
        <v>43714</v>
      </c>
      <c r="B1543" s="5" t="str">
        <f t="shared" si="24"/>
        <v>2019 q3</v>
      </c>
      <c r="C1543" s="7">
        <v>5.6844999999999999</v>
      </c>
      <c r="D1543" s="7">
        <v>5.7272999999999996</v>
      </c>
      <c r="E1543" s="7">
        <v>5.8155999999999999</v>
      </c>
      <c r="F1543" s="7">
        <v>5.9477000000000002</v>
      </c>
      <c r="G1543" s="7">
        <v>6.0795000000000003</v>
      </c>
      <c r="H1543" s="7">
        <v>6.2111999999999998</v>
      </c>
      <c r="I1543" s="7">
        <v>6.7279999999999998</v>
      </c>
      <c r="J1543" s="7">
        <v>7.2308000000000003</v>
      </c>
      <c r="K1543" s="7">
        <v>7.7001999999999997</v>
      </c>
      <c r="L1543" s="7">
        <v>8.1295000000000002</v>
      </c>
      <c r="M1543" s="7">
        <v>8.9880999999999993</v>
      </c>
      <c r="N1543" s="7">
        <v>10.0045</v>
      </c>
      <c r="O1543" s="7">
        <v>11.417999999999999</v>
      </c>
      <c r="P1543" s="7">
        <v>12.4444</v>
      </c>
      <c r="Q1543" s="7">
        <v>13.9145</v>
      </c>
    </row>
    <row r="1544" spans="1:17">
      <c r="A1544" s="5">
        <v>43717</v>
      </c>
      <c r="B1544" s="5" t="str">
        <f t="shared" si="24"/>
        <v>2019 q3</v>
      </c>
      <c r="C1544" s="7">
        <v>5.6875999999999998</v>
      </c>
      <c r="D1544" s="7">
        <v>5.7295999999999996</v>
      </c>
      <c r="E1544" s="7">
        <v>5.8163999999999998</v>
      </c>
      <c r="F1544" s="7">
        <v>5.9470000000000001</v>
      </c>
      <c r="G1544" s="7">
        <v>6.0776000000000003</v>
      </c>
      <c r="H1544" s="7">
        <v>6.2083000000000004</v>
      </c>
      <c r="I1544" s="7">
        <v>6.7256999999999998</v>
      </c>
      <c r="J1544" s="7">
        <v>7.2320000000000002</v>
      </c>
      <c r="K1544" s="7">
        <v>7.7051999999999996</v>
      </c>
      <c r="L1544" s="7">
        <v>8.1372999999999998</v>
      </c>
      <c r="M1544" s="7">
        <v>9.0014000000000003</v>
      </c>
      <c r="N1544" s="7">
        <v>10.0068</v>
      </c>
      <c r="O1544" s="7">
        <v>11.3835</v>
      </c>
      <c r="P1544" s="7">
        <v>12.3626</v>
      </c>
      <c r="Q1544" s="7">
        <v>13.7232</v>
      </c>
    </row>
    <row r="1545" spans="1:17">
      <c r="A1545" s="5">
        <v>43718</v>
      </c>
      <c r="B1545" s="5" t="str">
        <f t="shared" si="24"/>
        <v>2019 q3</v>
      </c>
      <c r="C1545" s="7">
        <v>5.6509</v>
      </c>
      <c r="D1545" s="7">
        <v>5.6967999999999996</v>
      </c>
      <c r="E1545" s="7">
        <v>5.7915000000000001</v>
      </c>
      <c r="F1545" s="7">
        <v>5.9316000000000004</v>
      </c>
      <c r="G1545" s="7">
        <v>6.0705999999999998</v>
      </c>
      <c r="H1545" s="7">
        <v>6.2089999999999996</v>
      </c>
      <c r="I1545" s="7">
        <v>6.7342000000000004</v>
      </c>
      <c r="J1545" s="7">
        <v>7.2324000000000002</v>
      </c>
      <c r="K1545" s="7">
        <v>7.6863999999999999</v>
      </c>
      <c r="L1545" s="7">
        <v>8.0959000000000003</v>
      </c>
      <c r="M1545" s="7">
        <v>8.9148999999999994</v>
      </c>
      <c r="N1545" s="7">
        <v>10.0128</v>
      </c>
      <c r="O1545" s="7">
        <v>11.356</v>
      </c>
      <c r="P1545" s="7">
        <v>12.416399999999999</v>
      </c>
      <c r="Q1545" s="7">
        <v>14.1302</v>
      </c>
    </row>
    <row r="1546" spans="1:17">
      <c r="A1546" s="5">
        <v>43719</v>
      </c>
      <c r="B1546" s="5" t="str">
        <f t="shared" si="24"/>
        <v>2019 q3</v>
      </c>
      <c r="C1546" s="7">
        <v>5.6498999999999997</v>
      </c>
      <c r="D1546" s="7">
        <v>5.6959</v>
      </c>
      <c r="E1546" s="7">
        <v>5.7908999999999997</v>
      </c>
      <c r="F1546" s="7">
        <v>5.9314</v>
      </c>
      <c r="G1546" s="7">
        <v>6.0708000000000002</v>
      </c>
      <c r="H1546" s="7">
        <v>6.2096</v>
      </c>
      <c r="I1546" s="7">
        <v>6.7367999999999997</v>
      </c>
      <c r="J1546" s="7">
        <v>7.2371999999999996</v>
      </c>
      <c r="K1546" s="7">
        <v>7.6936999999999998</v>
      </c>
      <c r="L1546" s="7">
        <v>8.1061999999999994</v>
      </c>
      <c r="M1546" s="7">
        <v>8.9312000000000005</v>
      </c>
      <c r="N1546" s="7">
        <v>10.038600000000001</v>
      </c>
      <c r="O1546" s="7">
        <v>11.3987</v>
      </c>
      <c r="P1546" s="7">
        <v>12.475199999999999</v>
      </c>
      <c r="Q1546" s="7">
        <v>14.22</v>
      </c>
    </row>
    <row r="1547" spans="1:17">
      <c r="A1547" s="5">
        <v>43720</v>
      </c>
      <c r="B1547" s="5" t="str">
        <f t="shared" si="24"/>
        <v>2019 q3</v>
      </c>
      <c r="C1547" s="7">
        <v>5.6432000000000002</v>
      </c>
      <c r="D1547" s="7">
        <v>5.6887999999999996</v>
      </c>
      <c r="E1547" s="7">
        <v>5.7828999999999997</v>
      </c>
      <c r="F1547" s="7">
        <v>5.9222000000000001</v>
      </c>
      <c r="G1547" s="7">
        <v>6.0602999999999998</v>
      </c>
      <c r="H1547" s="7">
        <v>6.1978</v>
      </c>
      <c r="I1547" s="7">
        <v>6.7198000000000002</v>
      </c>
      <c r="J1547" s="7">
        <v>7.2149999999999999</v>
      </c>
      <c r="K1547" s="7">
        <v>7.6661999999999999</v>
      </c>
      <c r="L1547" s="7">
        <v>8.0737000000000005</v>
      </c>
      <c r="M1547" s="7">
        <v>8.8886000000000003</v>
      </c>
      <c r="N1547" s="7">
        <v>9.9809999999999999</v>
      </c>
      <c r="O1547" s="7">
        <v>11.3186</v>
      </c>
      <c r="P1547" s="7">
        <v>12.375</v>
      </c>
      <c r="Q1547" s="7">
        <v>14.084099999999999</v>
      </c>
    </row>
    <row r="1548" spans="1:17">
      <c r="A1548" s="5">
        <v>43721</v>
      </c>
      <c r="B1548" s="5" t="str">
        <f t="shared" si="24"/>
        <v>2019 q3</v>
      </c>
      <c r="C1548" s="7">
        <v>5.6706000000000003</v>
      </c>
      <c r="D1548" s="7">
        <v>5.7134</v>
      </c>
      <c r="E1548" s="7">
        <v>5.8018000000000001</v>
      </c>
      <c r="F1548" s="7">
        <v>5.9328000000000003</v>
      </c>
      <c r="G1548" s="7">
        <v>6.0629999999999997</v>
      </c>
      <c r="H1548" s="7">
        <v>6.1925999999999997</v>
      </c>
      <c r="I1548" s="7">
        <v>6.69</v>
      </c>
      <c r="J1548" s="7">
        <v>7.1664000000000003</v>
      </c>
      <c r="K1548" s="7">
        <v>7.6079999999999997</v>
      </c>
      <c r="L1548" s="7">
        <v>8.0145</v>
      </c>
      <c r="M1548" s="7">
        <v>8.8276000000000003</v>
      </c>
      <c r="N1548" s="7">
        <v>9.9395000000000007</v>
      </c>
      <c r="O1548" s="7">
        <v>11.377599999999999</v>
      </c>
      <c r="P1548" s="7">
        <v>12.554</v>
      </c>
      <c r="Q1548" s="7">
        <v>14.530900000000001</v>
      </c>
    </row>
    <row r="1549" spans="1:17">
      <c r="A1549" s="5">
        <v>43724</v>
      </c>
      <c r="B1549" s="5" t="str">
        <f t="shared" si="24"/>
        <v>2019 q3</v>
      </c>
      <c r="C1549" s="7">
        <v>5.6779000000000002</v>
      </c>
      <c r="D1549" s="7">
        <v>5.7202000000000002</v>
      </c>
      <c r="E1549" s="7">
        <v>5.8075999999999999</v>
      </c>
      <c r="F1549" s="7">
        <v>5.9372999999999996</v>
      </c>
      <c r="G1549" s="7">
        <v>6.0662000000000003</v>
      </c>
      <c r="H1549" s="7">
        <v>6.1944999999999997</v>
      </c>
      <c r="I1549" s="7">
        <v>6.6872999999999996</v>
      </c>
      <c r="J1549" s="7">
        <v>7.1599000000000004</v>
      </c>
      <c r="K1549" s="7">
        <v>7.5983999999999998</v>
      </c>
      <c r="L1549" s="7">
        <v>8.0030000000000001</v>
      </c>
      <c r="M1549" s="7">
        <v>8.8122000000000007</v>
      </c>
      <c r="N1549" s="7">
        <v>9.8308</v>
      </c>
      <c r="O1549" s="7">
        <v>11.333</v>
      </c>
      <c r="P1549" s="7">
        <v>12.545199999999999</v>
      </c>
      <c r="Q1549" s="7">
        <v>14.5411</v>
      </c>
    </row>
    <row r="1550" spans="1:17">
      <c r="A1550" s="5">
        <v>43725</v>
      </c>
      <c r="B1550" s="5" t="str">
        <f t="shared" si="24"/>
        <v>2019 q3</v>
      </c>
      <c r="C1550" s="7">
        <v>5.6643999999999997</v>
      </c>
      <c r="D1550" s="7">
        <v>5.7070999999999996</v>
      </c>
      <c r="E1550" s="7">
        <v>5.7952000000000004</v>
      </c>
      <c r="F1550" s="7">
        <v>5.9260999999999999</v>
      </c>
      <c r="G1550" s="7">
        <v>6.0564999999999998</v>
      </c>
      <c r="H1550" s="7">
        <v>6.1835000000000004</v>
      </c>
      <c r="I1550" s="7">
        <v>6.6811999999999996</v>
      </c>
      <c r="J1550" s="7">
        <v>7.1571999999999996</v>
      </c>
      <c r="K1550" s="7">
        <v>7.5987</v>
      </c>
      <c r="L1550" s="7">
        <v>8.0063999999999993</v>
      </c>
      <c r="M1550" s="7">
        <v>8.8218999999999994</v>
      </c>
      <c r="N1550" s="7">
        <v>9.9384999999999994</v>
      </c>
      <c r="O1550" s="7">
        <v>11.3903</v>
      </c>
      <c r="P1550" s="7">
        <v>12.5817</v>
      </c>
      <c r="Q1550" s="7">
        <v>14.592700000000001</v>
      </c>
    </row>
    <row r="1551" spans="1:17">
      <c r="A1551" s="5">
        <v>43726</v>
      </c>
      <c r="B1551" s="5" t="str">
        <f t="shared" si="24"/>
        <v>2019 q3</v>
      </c>
      <c r="C1551" s="7">
        <v>5.6584000000000003</v>
      </c>
      <c r="D1551" s="7">
        <v>5.702</v>
      </c>
      <c r="E1551" s="7">
        <v>5.7919999999999998</v>
      </c>
      <c r="F1551" s="7">
        <v>5.9257</v>
      </c>
      <c r="G1551" s="7">
        <v>6.0587</v>
      </c>
      <c r="H1551" s="7">
        <v>6.1879</v>
      </c>
      <c r="I1551" s="7">
        <v>6.6932</v>
      </c>
      <c r="J1551" s="7">
        <v>7.1742999999999997</v>
      </c>
      <c r="K1551" s="7">
        <v>7.6311</v>
      </c>
      <c r="L1551" s="7">
        <v>8.0553000000000008</v>
      </c>
      <c r="M1551" s="7">
        <v>8.8457000000000008</v>
      </c>
      <c r="N1551" s="7">
        <v>9.9350000000000005</v>
      </c>
      <c r="O1551" s="7">
        <v>11.3324</v>
      </c>
      <c r="P1551" s="7">
        <v>12.460900000000001</v>
      </c>
      <c r="Q1551" s="7">
        <v>14.3347</v>
      </c>
    </row>
    <row r="1552" spans="1:17">
      <c r="A1552" s="5">
        <v>43727</v>
      </c>
      <c r="B1552" s="5" t="str">
        <f t="shared" si="24"/>
        <v>2019 q3</v>
      </c>
      <c r="C1552" s="7">
        <v>5.6378000000000004</v>
      </c>
      <c r="D1552" s="7">
        <v>5.6833</v>
      </c>
      <c r="E1552" s="7">
        <v>5.7771999999999997</v>
      </c>
      <c r="F1552" s="7">
        <v>5.9165000000000001</v>
      </c>
      <c r="G1552" s="7">
        <v>6.0552000000000001</v>
      </c>
      <c r="H1552" s="7">
        <v>6.1896000000000004</v>
      </c>
      <c r="I1552" s="7">
        <v>6.7149999999999999</v>
      </c>
      <c r="J1552" s="7">
        <v>7.2135999999999996</v>
      </c>
      <c r="K1552" s="7">
        <v>7.6688000000000001</v>
      </c>
      <c r="L1552" s="7">
        <v>8.0821000000000005</v>
      </c>
      <c r="M1552" s="7">
        <v>8.9088999999999992</v>
      </c>
      <c r="N1552" s="7">
        <v>9.9034999999999993</v>
      </c>
      <c r="O1552" s="7">
        <v>11.3203</v>
      </c>
      <c r="P1552" s="7">
        <v>12.3973</v>
      </c>
      <c r="Q1552" s="7">
        <v>14.0548</v>
      </c>
    </row>
    <row r="1553" spans="1:17">
      <c r="A1553" s="5">
        <v>43728</v>
      </c>
      <c r="B1553" s="5" t="str">
        <f t="shared" si="24"/>
        <v>2019 q3</v>
      </c>
      <c r="C1553" s="7">
        <v>5.6452</v>
      </c>
      <c r="D1553" s="7">
        <v>5.6902999999999997</v>
      </c>
      <c r="E1553" s="7">
        <v>5.7835999999999999</v>
      </c>
      <c r="F1553" s="7">
        <v>5.9218000000000002</v>
      </c>
      <c r="G1553" s="7">
        <v>6.0594999999999999</v>
      </c>
      <c r="H1553" s="7">
        <v>6.1927000000000003</v>
      </c>
      <c r="I1553" s="7">
        <v>6.7133000000000003</v>
      </c>
      <c r="J1553" s="7">
        <v>7.2070999999999996</v>
      </c>
      <c r="K1553" s="7">
        <v>7.6585999999999999</v>
      </c>
      <c r="L1553" s="7">
        <v>8.0701000000000001</v>
      </c>
      <c r="M1553" s="7">
        <v>8.8932000000000002</v>
      </c>
      <c r="N1553" s="7">
        <v>9.8986999999999998</v>
      </c>
      <c r="O1553" s="7">
        <v>11.3508</v>
      </c>
      <c r="P1553" s="7">
        <v>12.4861</v>
      </c>
      <c r="Q1553" s="7">
        <v>14.2943</v>
      </c>
    </row>
    <row r="1554" spans="1:17">
      <c r="A1554" s="5">
        <v>43731</v>
      </c>
      <c r="B1554" s="5" t="str">
        <f t="shared" si="24"/>
        <v>2019 q3</v>
      </c>
      <c r="C1554" s="7">
        <v>5.6867999999999999</v>
      </c>
      <c r="D1554" s="7">
        <v>5.7279</v>
      </c>
      <c r="E1554" s="7">
        <v>5.8127000000000004</v>
      </c>
      <c r="F1554" s="7">
        <v>5.9387999999999996</v>
      </c>
      <c r="G1554" s="7">
        <v>6.0644999999999998</v>
      </c>
      <c r="H1554" s="7">
        <v>6.1870000000000003</v>
      </c>
      <c r="I1554" s="7">
        <v>6.6685999999999996</v>
      </c>
      <c r="J1554" s="7">
        <v>7.1310000000000002</v>
      </c>
      <c r="K1554" s="7">
        <v>7.5740999999999996</v>
      </c>
      <c r="L1554" s="7">
        <v>7.9905999999999997</v>
      </c>
      <c r="M1554" s="7">
        <v>8.7768999999999995</v>
      </c>
      <c r="N1554" s="7">
        <v>9.8757000000000001</v>
      </c>
      <c r="O1554" s="7">
        <v>11.3475</v>
      </c>
      <c r="P1554" s="7">
        <v>12.5726</v>
      </c>
      <c r="Q1554" s="7">
        <v>14.672599999999999</v>
      </c>
    </row>
    <row r="1555" spans="1:17">
      <c r="A1555" s="5">
        <v>43732</v>
      </c>
      <c r="B1555" s="5" t="str">
        <f t="shared" si="24"/>
        <v>2019 q3</v>
      </c>
      <c r="C1555" s="7">
        <v>5.6733000000000002</v>
      </c>
      <c r="D1555" s="7">
        <v>5.7146999999999997</v>
      </c>
      <c r="E1555" s="7">
        <v>5.8</v>
      </c>
      <c r="F1555" s="7">
        <v>5.9272999999999998</v>
      </c>
      <c r="G1555" s="7">
        <v>6.0510999999999999</v>
      </c>
      <c r="H1555" s="7">
        <v>6.1745999999999999</v>
      </c>
      <c r="I1555" s="7">
        <v>6.6595000000000004</v>
      </c>
      <c r="J1555" s="7">
        <v>7.1227</v>
      </c>
      <c r="K1555" s="7">
        <v>7.5532000000000004</v>
      </c>
      <c r="L1555" s="7">
        <v>7.9534000000000002</v>
      </c>
      <c r="M1555" s="7">
        <v>8.7538</v>
      </c>
      <c r="N1555" s="7">
        <v>9.8536000000000001</v>
      </c>
      <c r="O1555" s="7">
        <v>11.3009</v>
      </c>
      <c r="P1555" s="7">
        <v>12.4976</v>
      </c>
      <c r="Q1555" s="7">
        <v>14.537000000000001</v>
      </c>
    </row>
    <row r="1556" spans="1:17">
      <c r="A1556" s="5">
        <v>43733</v>
      </c>
      <c r="B1556" s="5" t="str">
        <f t="shared" si="24"/>
        <v>2019 q3</v>
      </c>
      <c r="C1556" s="7">
        <v>5.6543999999999999</v>
      </c>
      <c r="D1556" s="7">
        <v>5.6985999999999999</v>
      </c>
      <c r="E1556" s="7">
        <v>5.7896999999999998</v>
      </c>
      <c r="F1556" s="7">
        <v>5.9253999999999998</v>
      </c>
      <c r="G1556" s="7">
        <v>6.0564999999999998</v>
      </c>
      <c r="H1556" s="7">
        <v>6.1871999999999998</v>
      </c>
      <c r="I1556" s="7">
        <v>6.6985999999999999</v>
      </c>
      <c r="J1556" s="7">
        <v>7.1821000000000002</v>
      </c>
      <c r="K1556" s="7">
        <v>7.6332000000000004</v>
      </c>
      <c r="L1556" s="7">
        <v>8.0594000000000001</v>
      </c>
      <c r="M1556" s="7">
        <v>8.8684999999999992</v>
      </c>
      <c r="N1556" s="7">
        <v>9.9319000000000006</v>
      </c>
      <c r="O1556" s="7">
        <v>11.3018</v>
      </c>
      <c r="P1556" s="7">
        <v>12.398400000000001</v>
      </c>
      <c r="Q1556" s="7">
        <v>14.206799999999999</v>
      </c>
    </row>
    <row r="1557" spans="1:17">
      <c r="A1557" s="5">
        <v>43734</v>
      </c>
      <c r="B1557" s="5" t="str">
        <f t="shared" si="24"/>
        <v>2019 q3</v>
      </c>
      <c r="C1557" s="7">
        <v>5.6292</v>
      </c>
      <c r="D1557" s="7">
        <v>5.6750999999999996</v>
      </c>
      <c r="E1557" s="7">
        <v>5.77</v>
      </c>
      <c r="F1557" s="7">
        <v>5.9111000000000002</v>
      </c>
      <c r="G1557" s="7">
        <v>6.0468999999999999</v>
      </c>
      <c r="H1557" s="7">
        <v>6.1824000000000003</v>
      </c>
      <c r="I1557" s="7">
        <v>6.7111999999999998</v>
      </c>
      <c r="J1557" s="7">
        <v>7.2085999999999997</v>
      </c>
      <c r="K1557" s="7">
        <v>7.6696</v>
      </c>
      <c r="L1557" s="7">
        <v>8.1030999999999995</v>
      </c>
      <c r="M1557" s="7">
        <v>8.9219000000000008</v>
      </c>
      <c r="N1557" s="7">
        <v>9.8773999999999997</v>
      </c>
      <c r="O1557" s="7">
        <v>11.292199999999999</v>
      </c>
      <c r="P1557" s="7">
        <v>12.3827</v>
      </c>
      <c r="Q1557" s="7">
        <v>14.096500000000001</v>
      </c>
    </row>
    <row r="1558" spans="1:17">
      <c r="A1558" s="5">
        <v>43735</v>
      </c>
      <c r="B1558" s="5" t="str">
        <f t="shared" si="24"/>
        <v>2019 q3</v>
      </c>
      <c r="C1558" s="7">
        <v>5.6913</v>
      </c>
      <c r="D1558" s="7">
        <v>5.7324999999999999</v>
      </c>
      <c r="E1558" s="7">
        <v>5.8177000000000003</v>
      </c>
      <c r="F1558" s="7">
        <v>5.9447999999999999</v>
      </c>
      <c r="G1558" s="7">
        <v>6.0683999999999996</v>
      </c>
      <c r="H1558" s="7">
        <v>6.1919000000000004</v>
      </c>
      <c r="I1558" s="7">
        <v>6.6767000000000003</v>
      </c>
      <c r="J1558" s="7">
        <v>7.1407999999999996</v>
      </c>
      <c r="K1558" s="7">
        <v>7.5730000000000004</v>
      </c>
      <c r="L1558" s="7">
        <v>7.9763000000000002</v>
      </c>
      <c r="M1558" s="7">
        <v>8.7827999999999999</v>
      </c>
      <c r="N1558" s="7">
        <v>9.8941999999999997</v>
      </c>
      <c r="O1558" s="7">
        <v>11.369400000000001</v>
      </c>
      <c r="P1558" s="7">
        <v>12.596299999999999</v>
      </c>
      <c r="Q1558" s="7">
        <v>14.700799999999999</v>
      </c>
    </row>
    <row r="1559" spans="1:17">
      <c r="A1559" s="5">
        <v>43738</v>
      </c>
      <c r="B1559" s="5" t="str">
        <f t="shared" si="24"/>
        <v>2019 q3</v>
      </c>
      <c r="C1559" s="7">
        <v>5.6893000000000002</v>
      </c>
      <c r="D1559" s="7">
        <v>5.7305999999999999</v>
      </c>
      <c r="E1559" s="7">
        <v>5.8158000000000003</v>
      </c>
      <c r="F1559" s="7">
        <v>5.9428000000000001</v>
      </c>
      <c r="G1559" s="7">
        <v>6.0662000000000003</v>
      </c>
      <c r="H1559" s="7">
        <v>6.1894</v>
      </c>
      <c r="I1559" s="7">
        <v>6.673</v>
      </c>
      <c r="J1559" s="7">
        <v>7.1348000000000003</v>
      </c>
      <c r="K1559" s="7">
        <v>7.5633999999999997</v>
      </c>
      <c r="L1559" s="7">
        <v>7.9621000000000004</v>
      </c>
      <c r="M1559" s="7">
        <v>8.7593999999999994</v>
      </c>
      <c r="N1559" s="7">
        <v>9.8537999999999997</v>
      </c>
      <c r="O1559" s="7">
        <v>11.2913</v>
      </c>
      <c r="P1559" s="7">
        <v>12.4781</v>
      </c>
      <c r="Q1559" s="7">
        <v>14.499599999999999</v>
      </c>
    </row>
    <row r="1560" spans="1:17">
      <c r="A1560" s="5">
        <v>43739</v>
      </c>
      <c r="B1560" s="5" t="str">
        <f t="shared" si="24"/>
        <v>2019 q4</v>
      </c>
      <c r="C1560" s="7">
        <v>5.6634000000000002</v>
      </c>
      <c r="D1560" s="7">
        <v>5.7039</v>
      </c>
      <c r="E1560" s="7">
        <v>5.7873000000000001</v>
      </c>
      <c r="F1560" s="7">
        <v>5.9124999999999996</v>
      </c>
      <c r="G1560" s="7">
        <v>6.0358999999999998</v>
      </c>
      <c r="H1560" s="7">
        <v>6.1582999999999997</v>
      </c>
      <c r="I1560" s="7">
        <v>6.6340000000000003</v>
      </c>
      <c r="J1560" s="7">
        <v>7.0926</v>
      </c>
      <c r="K1560" s="7">
        <v>7.5328999999999997</v>
      </c>
      <c r="L1560" s="7">
        <v>7.9474999999999998</v>
      </c>
      <c r="M1560" s="7">
        <v>8.7341999999999995</v>
      </c>
      <c r="N1560" s="7">
        <v>9.8359000000000005</v>
      </c>
      <c r="O1560" s="7">
        <v>11.3261</v>
      </c>
      <c r="P1560" s="7">
        <v>12.5746</v>
      </c>
      <c r="Q1560" s="7">
        <v>14.733599999999999</v>
      </c>
    </row>
    <row r="1561" spans="1:17">
      <c r="A1561" s="5">
        <v>43740</v>
      </c>
      <c r="B1561" s="5" t="str">
        <f t="shared" si="24"/>
        <v>2019 q4</v>
      </c>
      <c r="C1561" s="7">
        <v>5.6310000000000002</v>
      </c>
      <c r="D1561" s="7">
        <v>5.6702000000000004</v>
      </c>
      <c r="E1561" s="7">
        <v>5.7511999999999999</v>
      </c>
      <c r="F1561" s="7">
        <v>5.8726000000000003</v>
      </c>
      <c r="G1561" s="7">
        <v>5.9924999999999997</v>
      </c>
      <c r="H1561" s="7">
        <v>6.1108000000000002</v>
      </c>
      <c r="I1561" s="7">
        <v>6.5728</v>
      </c>
      <c r="J1561" s="7">
        <v>7.0256999999999996</v>
      </c>
      <c r="K1561" s="7">
        <v>7.4596999999999998</v>
      </c>
      <c r="L1561" s="7">
        <v>7.8658999999999999</v>
      </c>
      <c r="M1561" s="7">
        <v>8.6262000000000008</v>
      </c>
      <c r="N1561" s="7">
        <v>9.7666000000000004</v>
      </c>
      <c r="O1561" s="7">
        <v>11.3087</v>
      </c>
      <c r="P1561" s="7">
        <v>12.623699999999999</v>
      </c>
      <c r="Q1561" s="7">
        <v>14.9391</v>
      </c>
    </row>
    <row r="1562" spans="1:17">
      <c r="A1562" s="5">
        <v>43741</v>
      </c>
      <c r="B1562" s="5" t="str">
        <f t="shared" si="24"/>
        <v>2019 q4</v>
      </c>
      <c r="C1562" s="7">
        <v>5.6166</v>
      </c>
      <c r="D1562" s="7">
        <v>5.6558999999999999</v>
      </c>
      <c r="E1562" s="7">
        <v>5.7370999999999999</v>
      </c>
      <c r="F1562" s="7">
        <v>5.8589000000000002</v>
      </c>
      <c r="G1562" s="7">
        <v>5.9790999999999999</v>
      </c>
      <c r="H1562" s="7">
        <v>6.0978000000000003</v>
      </c>
      <c r="I1562" s="7">
        <v>6.5613000000000001</v>
      </c>
      <c r="J1562" s="7">
        <v>7.0157999999999996</v>
      </c>
      <c r="K1562" s="7">
        <v>7.4516</v>
      </c>
      <c r="L1562" s="7">
        <v>7.8596000000000004</v>
      </c>
      <c r="M1562" s="7">
        <v>8.6242000000000001</v>
      </c>
      <c r="N1562" s="7">
        <v>9.7710000000000008</v>
      </c>
      <c r="O1562" s="7">
        <v>11.3248</v>
      </c>
      <c r="P1562" s="7">
        <v>12.6518</v>
      </c>
      <c r="Q1562" s="7">
        <v>14.992000000000001</v>
      </c>
    </row>
    <row r="1563" spans="1:17">
      <c r="A1563" s="5">
        <v>43742</v>
      </c>
      <c r="B1563" s="5" t="str">
        <f t="shared" si="24"/>
        <v>2019 q4</v>
      </c>
      <c r="C1563" s="7">
        <v>5.5953999999999997</v>
      </c>
      <c r="D1563" s="7">
        <v>5.6393000000000004</v>
      </c>
      <c r="E1563" s="7">
        <v>5.7301000000000002</v>
      </c>
      <c r="F1563" s="7">
        <v>5.8662999999999998</v>
      </c>
      <c r="G1563" s="7">
        <v>5.9997999999999996</v>
      </c>
      <c r="H1563" s="7">
        <v>6.1318999999999999</v>
      </c>
      <c r="I1563" s="7">
        <v>6.641</v>
      </c>
      <c r="J1563" s="7">
        <v>7.1261000000000001</v>
      </c>
      <c r="K1563" s="7">
        <v>7.5861999999999998</v>
      </c>
      <c r="L1563" s="7">
        <v>8.0202000000000009</v>
      </c>
      <c r="M1563" s="7">
        <v>8.8053000000000008</v>
      </c>
      <c r="N1563" s="7">
        <v>9.8948</v>
      </c>
      <c r="O1563" s="7">
        <v>11.285</v>
      </c>
      <c r="P1563" s="7">
        <v>12.3996</v>
      </c>
      <c r="Q1563" s="7">
        <v>14.2477</v>
      </c>
    </row>
    <row r="1564" spans="1:17">
      <c r="A1564" s="5">
        <v>43745</v>
      </c>
      <c r="B1564" s="5" t="str">
        <f t="shared" si="24"/>
        <v>2019 q4</v>
      </c>
      <c r="C1564" s="7">
        <v>5.6576000000000004</v>
      </c>
      <c r="D1564" s="7">
        <v>5.6966999999999999</v>
      </c>
      <c r="E1564" s="7">
        <v>5.7773000000000003</v>
      </c>
      <c r="F1564" s="7">
        <v>5.8982999999999999</v>
      </c>
      <c r="G1564" s="7">
        <v>6.0176999999999996</v>
      </c>
      <c r="H1564" s="7">
        <v>6.1363000000000003</v>
      </c>
      <c r="I1564" s="7">
        <v>6.5989000000000004</v>
      </c>
      <c r="J1564" s="7">
        <v>7.0468999999999999</v>
      </c>
      <c r="K1564" s="7">
        <v>7.4793000000000003</v>
      </c>
      <c r="L1564" s="7">
        <v>7.8837000000000002</v>
      </c>
      <c r="M1564" s="7">
        <v>8.6412999999999993</v>
      </c>
      <c r="N1564" s="7">
        <v>9.7775999999999996</v>
      </c>
      <c r="O1564" s="7">
        <v>11.3134</v>
      </c>
      <c r="P1564" s="7">
        <v>12.622999999999999</v>
      </c>
      <c r="Q1564" s="7">
        <v>14.9299</v>
      </c>
    </row>
    <row r="1565" spans="1:17">
      <c r="A1565" s="5">
        <v>43746</v>
      </c>
      <c r="B1565" s="5" t="str">
        <f t="shared" si="24"/>
        <v>2019 q4</v>
      </c>
      <c r="C1565" s="7">
        <v>5.6321000000000003</v>
      </c>
      <c r="D1565" s="7">
        <v>5.6729000000000003</v>
      </c>
      <c r="E1565" s="7">
        <v>5.7571000000000003</v>
      </c>
      <c r="F1565" s="7">
        <v>5.8833000000000002</v>
      </c>
      <c r="G1565" s="7">
        <v>6.0076999999999998</v>
      </c>
      <c r="H1565" s="7">
        <v>6.1310000000000002</v>
      </c>
      <c r="I1565" s="7">
        <v>6.6101000000000001</v>
      </c>
      <c r="J1565" s="7">
        <v>7.0715000000000003</v>
      </c>
      <c r="K1565" s="7">
        <v>7.5141999999999998</v>
      </c>
      <c r="L1565" s="7">
        <v>7.93</v>
      </c>
      <c r="M1565" s="7">
        <v>8.7193000000000005</v>
      </c>
      <c r="N1565" s="7">
        <v>9.8222000000000005</v>
      </c>
      <c r="O1565" s="7">
        <v>11.3073</v>
      </c>
      <c r="P1565" s="7">
        <v>12.5465</v>
      </c>
      <c r="Q1565" s="7">
        <v>14.6851</v>
      </c>
    </row>
    <row r="1566" spans="1:17">
      <c r="A1566" s="5">
        <v>43747</v>
      </c>
      <c r="B1566" s="5" t="str">
        <f t="shared" si="24"/>
        <v>2019 q4</v>
      </c>
      <c r="C1566" s="7">
        <v>5.6623000000000001</v>
      </c>
      <c r="D1566" s="7">
        <v>5.6993</v>
      </c>
      <c r="E1566" s="7">
        <v>5.7755000000000001</v>
      </c>
      <c r="F1566" s="7">
        <v>5.8898000000000001</v>
      </c>
      <c r="G1566" s="7">
        <v>6.0030000000000001</v>
      </c>
      <c r="H1566" s="7">
        <v>6.1154000000000002</v>
      </c>
      <c r="I1566" s="7">
        <v>6.5566000000000004</v>
      </c>
      <c r="J1566" s="7">
        <v>6.9866000000000001</v>
      </c>
      <c r="K1566" s="7">
        <v>7.4046000000000003</v>
      </c>
      <c r="L1566" s="7">
        <v>7.8002000000000002</v>
      </c>
      <c r="M1566" s="7">
        <v>8.5515000000000008</v>
      </c>
      <c r="N1566" s="7">
        <v>9.6784999999999997</v>
      </c>
      <c r="O1566" s="7">
        <v>11.2597</v>
      </c>
      <c r="P1566" s="7">
        <v>12.6409</v>
      </c>
      <c r="Q1566" s="7">
        <v>15.1286</v>
      </c>
    </row>
    <row r="1567" spans="1:17">
      <c r="A1567" s="5">
        <v>43748</v>
      </c>
      <c r="B1567" s="5" t="str">
        <f t="shared" si="24"/>
        <v>2019 q4</v>
      </c>
      <c r="C1567" s="7">
        <v>5.4875999999999996</v>
      </c>
      <c r="D1567" s="7">
        <v>5.5255000000000001</v>
      </c>
      <c r="E1567" s="7">
        <v>5.6036999999999999</v>
      </c>
      <c r="F1567" s="7">
        <v>5.7210000000000001</v>
      </c>
      <c r="G1567" s="7">
        <v>5.8372999999999999</v>
      </c>
      <c r="H1567" s="7">
        <v>5.9530000000000003</v>
      </c>
      <c r="I1567" s="7">
        <v>6.4074999999999998</v>
      </c>
      <c r="J1567" s="7">
        <v>6.8520000000000003</v>
      </c>
      <c r="K1567" s="7">
        <v>7.2853000000000003</v>
      </c>
      <c r="L1567" s="7">
        <v>7.6978999999999997</v>
      </c>
      <c r="M1567" s="7">
        <v>8.4860000000000007</v>
      </c>
      <c r="N1567" s="7">
        <v>9.6683000000000003</v>
      </c>
      <c r="O1567" s="7">
        <v>11.356400000000001</v>
      </c>
      <c r="P1567" s="7">
        <v>12.8484</v>
      </c>
      <c r="Q1567" s="7">
        <v>15.563000000000001</v>
      </c>
    </row>
    <row r="1568" spans="1:17">
      <c r="A1568" s="5">
        <v>43749</v>
      </c>
      <c r="B1568" s="5" t="str">
        <f t="shared" si="24"/>
        <v>2019 q4</v>
      </c>
      <c r="C1568" s="7">
        <v>5.5835999999999997</v>
      </c>
      <c r="D1568" s="7">
        <v>5.6227999999999998</v>
      </c>
      <c r="E1568" s="7">
        <v>5.7035999999999998</v>
      </c>
      <c r="F1568" s="7">
        <v>5.8247</v>
      </c>
      <c r="G1568" s="7">
        <v>5.9443000000000001</v>
      </c>
      <c r="H1568" s="7">
        <v>6.0618999999999996</v>
      </c>
      <c r="I1568" s="7">
        <v>6.5220000000000002</v>
      </c>
      <c r="J1568" s="7">
        <v>6.9720000000000004</v>
      </c>
      <c r="K1568" s="7">
        <v>7.4024999999999999</v>
      </c>
      <c r="L1568" s="7">
        <v>7.8093000000000004</v>
      </c>
      <c r="M1568" s="7">
        <v>8.5861000000000001</v>
      </c>
      <c r="N1568" s="7">
        <v>9.6788000000000007</v>
      </c>
      <c r="O1568" s="7">
        <v>11.1806</v>
      </c>
      <c r="P1568" s="7">
        <v>12.452999999999999</v>
      </c>
      <c r="Q1568" s="7">
        <v>14.682499999999999</v>
      </c>
    </row>
    <row r="1569" spans="1:17">
      <c r="A1569" s="5">
        <v>43752</v>
      </c>
      <c r="B1569" s="5" t="str">
        <f t="shared" si="24"/>
        <v>2019 q4</v>
      </c>
      <c r="C1569" s="7">
        <v>5.6322999999999999</v>
      </c>
      <c r="D1569" s="7">
        <v>5.6707999999999998</v>
      </c>
      <c r="E1569" s="7">
        <v>5.7503000000000002</v>
      </c>
      <c r="F1569" s="7">
        <v>5.8693</v>
      </c>
      <c r="G1569" s="7">
        <v>5.9867999999999997</v>
      </c>
      <c r="H1569" s="7">
        <v>6.1031000000000004</v>
      </c>
      <c r="I1569" s="7">
        <v>6.5559000000000003</v>
      </c>
      <c r="J1569" s="7">
        <v>6.9926000000000004</v>
      </c>
      <c r="K1569" s="7">
        <v>7.4120999999999997</v>
      </c>
      <c r="L1569" s="7">
        <v>7.8005000000000004</v>
      </c>
      <c r="M1569" s="7">
        <v>8.5237999999999996</v>
      </c>
      <c r="N1569" s="7">
        <v>9.6087000000000007</v>
      </c>
      <c r="O1569" s="7">
        <v>11.036</v>
      </c>
      <c r="P1569" s="7">
        <v>12.2318</v>
      </c>
      <c r="Q1569" s="7">
        <v>14.307399999999999</v>
      </c>
    </row>
    <row r="1570" spans="1:17">
      <c r="A1570" s="5">
        <v>43753</v>
      </c>
      <c r="B1570" s="5" t="str">
        <f t="shared" si="24"/>
        <v>2019 q4</v>
      </c>
      <c r="C1570" s="7">
        <v>5.6048</v>
      </c>
      <c r="D1570" s="7">
        <v>5.6432000000000002</v>
      </c>
      <c r="E1570" s="7">
        <v>5.7226999999999997</v>
      </c>
      <c r="F1570" s="7">
        <v>5.8415999999999997</v>
      </c>
      <c r="G1570" s="7">
        <v>5.9588999999999999</v>
      </c>
      <c r="H1570" s="7">
        <v>6.0758999999999999</v>
      </c>
      <c r="I1570" s="7">
        <v>6.5282999999999998</v>
      </c>
      <c r="J1570" s="7">
        <v>6.9650999999999996</v>
      </c>
      <c r="K1570" s="7">
        <v>7.3848000000000003</v>
      </c>
      <c r="L1570" s="7">
        <v>7.7797999999999998</v>
      </c>
      <c r="M1570" s="7">
        <v>8.5325000000000006</v>
      </c>
      <c r="N1570" s="7">
        <v>9.5866000000000007</v>
      </c>
      <c r="O1570" s="7">
        <v>11.018000000000001</v>
      </c>
      <c r="P1570" s="7">
        <v>12.2196</v>
      </c>
      <c r="Q1570" s="7">
        <v>14.3085</v>
      </c>
    </row>
    <row r="1571" spans="1:17">
      <c r="A1571" s="5">
        <v>43754</v>
      </c>
      <c r="B1571" s="5" t="str">
        <f t="shared" si="24"/>
        <v>2019 q4</v>
      </c>
      <c r="C1571" s="7">
        <v>5.5919999999999996</v>
      </c>
      <c r="D1571" s="7">
        <v>5.6310000000000002</v>
      </c>
      <c r="E1571" s="7">
        <v>5.7115</v>
      </c>
      <c r="F1571" s="7">
        <v>5.8319999999999999</v>
      </c>
      <c r="G1571" s="7">
        <v>5.9505999999999997</v>
      </c>
      <c r="H1571" s="7">
        <v>6.0688000000000004</v>
      </c>
      <c r="I1571" s="7">
        <v>6.5237999999999996</v>
      </c>
      <c r="J1571" s="7">
        <v>6.9608999999999996</v>
      </c>
      <c r="K1571" s="7">
        <v>7.3785999999999996</v>
      </c>
      <c r="L1571" s="7">
        <v>7.7759</v>
      </c>
      <c r="M1571" s="7">
        <v>8.5185999999999993</v>
      </c>
      <c r="N1571" s="7">
        <v>9.5289000000000001</v>
      </c>
      <c r="O1571" s="7">
        <v>10.8805</v>
      </c>
      <c r="P1571" s="7">
        <v>11.991899999999999</v>
      </c>
      <c r="Q1571" s="7">
        <v>13.887499999999999</v>
      </c>
    </row>
    <row r="1572" spans="1:17">
      <c r="A1572" s="5">
        <v>43755</v>
      </c>
      <c r="B1572" s="5" t="str">
        <f t="shared" si="24"/>
        <v>2019 q4</v>
      </c>
      <c r="C1572" s="7">
        <v>5.6055999999999999</v>
      </c>
      <c r="D1572" s="7">
        <v>5.6406999999999998</v>
      </c>
      <c r="E1572" s="7">
        <v>5.7131999999999996</v>
      </c>
      <c r="F1572" s="7">
        <v>5.8217999999999996</v>
      </c>
      <c r="G1572" s="7">
        <v>5.9295999999999998</v>
      </c>
      <c r="H1572" s="7">
        <v>6.0372000000000003</v>
      </c>
      <c r="I1572" s="7">
        <v>6.4588000000000001</v>
      </c>
      <c r="J1572" s="7">
        <v>6.875</v>
      </c>
      <c r="K1572" s="7">
        <v>7.2808999999999999</v>
      </c>
      <c r="L1572" s="7">
        <v>7.6694000000000004</v>
      </c>
      <c r="M1572" s="7">
        <v>8.4174000000000007</v>
      </c>
      <c r="N1572" s="7">
        <v>9.5394000000000005</v>
      </c>
      <c r="O1572" s="7">
        <v>11.1736</v>
      </c>
      <c r="P1572" s="7">
        <v>12.639799999999999</v>
      </c>
      <c r="Q1572" s="7">
        <v>15.3439</v>
      </c>
    </row>
    <row r="1573" spans="1:17">
      <c r="A1573" s="5">
        <v>43756</v>
      </c>
      <c r="B1573" s="5" t="str">
        <f t="shared" si="24"/>
        <v>2019 q4</v>
      </c>
      <c r="C1573" s="7">
        <v>5.5910000000000002</v>
      </c>
      <c r="D1573" s="7">
        <v>5.6276999999999999</v>
      </c>
      <c r="E1573" s="7">
        <v>5.7035999999999998</v>
      </c>
      <c r="F1573" s="7">
        <v>5.8171999999999997</v>
      </c>
      <c r="G1573" s="7">
        <v>5.9295999999999998</v>
      </c>
      <c r="H1573" s="7">
        <v>6.0415999999999999</v>
      </c>
      <c r="I1573" s="7">
        <v>6.4779999999999998</v>
      </c>
      <c r="J1573" s="7">
        <v>6.907</v>
      </c>
      <c r="K1573" s="7">
        <v>7.3216999999999999</v>
      </c>
      <c r="L1573" s="7">
        <v>7.7130999999999998</v>
      </c>
      <c r="M1573" s="7">
        <v>8.4572000000000003</v>
      </c>
      <c r="N1573" s="7">
        <v>9.5734999999999992</v>
      </c>
      <c r="O1573" s="7">
        <v>11.1325</v>
      </c>
      <c r="P1573" s="7">
        <v>12.491300000000001</v>
      </c>
      <c r="Q1573" s="7">
        <v>14.937200000000001</v>
      </c>
    </row>
    <row r="1574" spans="1:17">
      <c r="A1574" s="5">
        <v>43759</v>
      </c>
      <c r="B1574" s="5" t="str">
        <f t="shared" si="24"/>
        <v>2019 q4</v>
      </c>
      <c r="C1574" s="7">
        <v>5.5446</v>
      </c>
      <c r="D1574" s="7">
        <v>5.5843999999999996</v>
      </c>
      <c r="E1574" s="7">
        <v>5.6665000000000001</v>
      </c>
      <c r="F1574" s="7">
        <v>5.7892999999999999</v>
      </c>
      <c r="G1574" s="7">
        <v>5.9104999999999999</v>
      </c>
      <c r="H1574" s="7">
        <v>6.0309999999999997</v>
      </c>
      <c r="I1574" s="7">
        <v>6.4969999999999999</v>
      </c>
      <c r="J1574" s="7">
        <v>6.9524999999999997</v>
      </c>
      <c r="K1574" s="7">
        <v>7.3883999999999999</v>
      </c>
      <c r="L1574" s="7">
        <v>7.7995000000000001</v>
      </c>
      <c r="M1574" s="7">
        <v>8.5852000000000004</v>
      </c>
      <c r="N1574" s="7">
        <v>9.6882999999999999</v>
      </c>
      <c r="O1574" s="7">
        <v>11.1991</v>
      </c>
      <c r="P1574" s="7">
        <v>12.475199999999999</v>
      </c>
      <c r="Q1574" s="7">
        <v>14.708500000000001</v>
      </c>
    </row>
    <row r="1575" spans="1:17">
      <c r="A1575" s="5">
        <v>43760</v>
      </c>
      <c r="B1575" s="5" t="str">
        <f t="shared" si="24"/>
        <v>2019 q4</v>
      </c>
      <c r="C1575" s="7">
        <v>5.5926</v>
      </c>
      <c r="D1575" s="7">
        <v>5.6308999999999996</v>
      </c>
      <c r="E1575" s="7">
        <v>5.7100999999999997</v>
      </c>
      <c r="F1575" s="7">
        <v>5.8287000000000004</v>
      </c>
      <c r="G1575" s="7">
        <v>5.9421999999999997</v>
      </c>
      <c r="H1575" s="7">
        <v>6.0549999999999997</v>
      </c>
      <c r="I1575" s="7">
        <v>6.5061</v>
      </c>
      <c r="J1575" s="7">
        <v>6.9440999999999997</v>
      </c>
      <c r="K1575" s="7">
        <v>7.3597999999999999</v>
      </c>
      <c r="L1575" s="7">
        <v>7.7427000000000001</v>
      </c>
      <c r="M1575" s="7">
        <v>8.4565999999999999</v>
      </c>
      <c r="N1575" s="7">
        <v>9.5274999999999999</v>
      </c>
      <c r="O1575" s="7">
        <v>10.923500000000001</v>
      </c>
      <c r="P1575" s="7">
        <v>12.0869</v>
      </c>
      <c r="Q1575" s="7">
        <v>14.1005</v>
      </c>
    </row>
    <row r="1576" spans="1:17">
      <c r="A1576" s="5">
        <v>43761</v>
      </c>
      <c r="B1576" s="5" t="str">
        <f t="shared" si="24"/>
        <v>2019 q4</v>
      </c>
      <c r="C1576" s="7">
        <v>5.6135999999999999</v>
      </c>
      <c r="D1576" s="7">
        <v>5.6494999999999997</v>
      </c>
      <c r="E1576" s="7">
        <v>5.7237</v>
      </c>
      <c r="F1576" s="7">
        <v>5.8349000000000002</v>
      </c>
      <c r="G1576" s="7">
        <v>5.9429999999999996</v>
      </c>
      <c r="H1576" s="7">
        <v>6.0507</v>
      </c>
      <c r="I1576" s="7">
        <v>6.4813999999999998</v>
      </c>
      <c r="J1576" s="7">
        <v>6.9039999999999999</v>
      </c>
      <c r="K1576" s="7">
        <v>7.3125999999999998</v>
      </c>
      <c r="L1576" s="7">
        <v>7.7092000000000001</v>
      </c>
      <c r="M1576" s="7">
        <v>8.4715000000000007</v>
      </c>
      <c r="N1576" s="7">
        <v>9.5498999999999992</v>
      </c>
      <c r="O1576" s="7">
        <v>11.12</v>
      </c>
      <c r="P1576" s="7">
        <v>12.5008</v>
      </c>
      <c r="Q1576" s="7">
        <v>15.006600000000001</v>
      </c>
    </row>
    <row r="1577" spans="1:17">
      <c r="A1577" s="5">
        <v>43762</v>
      </c>
      <c r="B1577" s="5" t="str">
        <f t="shared" si="24"/>
        <v>2019 q4</v>
      </c>
      <c r="C1577" s="7">
        <v>5.6051000000000002</v>
      </c>
      <c r="D1577" s="7">
        <v>5.6420000000000003</v>
      </c>
      <c r="E1577" s="7">
        <v>5.7180999999999997</v>
      </c>
      <c r="F1577" s="7">
        <v>5.8320999999999996</v>
      </c>
      <c r="G1577" s="7">
        <v>5.9420000000000002</v>
      </c>
      <c r="H1577" s="7">
        <v>6.0513000000000003</v>
      </c>
      <c r="I1577" s="7">
        <v>6.4885000000000002</v>
      </c>
      <c r="J1577" s="7">
        <v>6.9147999999999996</v>
      </c>
      <c r="K1577" s="7">
        <v>7.3226000000000004</v>
      </c>
      <c r="L1577" s="7">
        <v>7.7084999999999999</v>
      </c>
      <c r="M1577" s="7">
        <v>8.4494000000000007</v>
      </c>
      <c r="N1577" s="7">
        <v>9.4940999999999995</v>
      </c>
      <c r="O1577" s="7">
        <v>10.944800000000001</v>
      </c>
      <c r="P1577" s="7">
        <v>12.182700000000001</v>
      </c>
      <c r="Q1577" s="7">
        <v>14.3718</v>
      </c>
    </row>
    <row r="1578" spans="1:17">
      <c r="A1578" s="5">
        <v>43763</v>
      </c>
      <c r="B1578" s="5" t="str">
        <f t="shared" si="24"/>
        <v>2019 q4</v>
      </c>
      <c r="C1578" s="7">
        <v>5.6017000000000001</v>
      </c>
      <c r="D1578" s="7">
        <v>5.6394000000000002</v>
      </c>
      <c r="E1578" s="7">
        <v>5.7172000000000001</v>
      </c>
      <c r="F1578" s="7">
        <v>5.8337000000000003</v>
      </c>
      <c r="G1578" s="7">
        <v>5.9473000000000003</v>
      </c>
      <c r="H1578" s="7">
        <v>6.0606</v>
      </c>
      <c r="I1578" s="7">
        <v>6.5053000000000001</v>
      </c>
      <c r="J1578" s="7">
        <v>6.9328000000000003</v>
      </c>
      <c r="K1578" s="7">
        <v>7.3437999999999999</v>
      </c>
      <c r="L1578" s="7">
        <v>7.7234999999999996</v>
      </c>
      <c r="M1578" s="7">
        <v>8.4345999999999997</v>
      </c>
      <c r="N1578" s="7">
        <v>9.5012000000000008</v>
      </c>
      <c r="O1578" s="7">
        <v>10.906599999999999</v>
      </c>
      <c r="P1578" s="7">
        <v>12.0863</v>
      </c>
      <c r="Q1578" s="7">
        <v>14.1426</v>
      </c>
    </row>
    <row r="1579" spans="1:17">
      <c r="A1579" s="5">
        <v>43766</v>
      </c>
      <c r="B1579" s="5" t="str">
        <f t="shared" si="24"/>
        <v>2019 q4</v>
      </c>
      <c r="C1579" s="7">
        <v>5.6010999999999997</v>
      </c>
      <c r="D1579" s="7">
        <v>5.6395</v>
      </c>
      <c r="E1579" s="7">
        <v>5.7187999999999999</v>
      </c>
      <c r="F1579" s="7">
        <v>5.8375000000000004</v>
      </c>
      <c r="G1579" s="7">
        <v>5.9528999999999996</v>
      </c>
      <c r="H1579" s="7">
        <v>6.0679999999999996</v>
      </c>
      <c r="I1579" s="7">
        <v>6.5189000000000004</v>
      </c>
      <c r="J1579" s="7">
        <v>6.9508000000000001</v>
      </c>
      <c r="K1579" s="7">
        <v>7.3643999999999998</v>
      </c>
      <c r="L1579" s="7">
        <v>7.7436999999999996</v>
      </c>
      <c r="M1579" s="7">
        <v>8.4498999999999995</v>
      </c>
      <c r="N1579" s="7">
        <v>9.5091999999999999</v>
      </c>
      <c r="O1579" s="7">
        <v>10.875500000000001</v>
      </c>
      <c r="P1579" s="7">
        <v>12.0068</v>
      </c>
      <c r="Q1579" s="7">
        <v>13.954499999999999</v>
      </c>
    </row>
    <row r="1580" spans="1:17">
      <c r="A1580" s="5">
        <v>43767</v>
      </c>
      <c r="B1580" s="5" t="str">
        <f t="shared" si="24"/>
        <v>2019 q4</v>
      </c>
      <c r="C1580" s="7">
        <v>5.5856000000000003</v>
      </c>
      <c r="D1580" s="7">
        <v>5.6242000000000001</v>
      </c>
      <c r="E1580" s="7">
        <v>5.7039</v>
      </c>
      <c r="F1580" s="7">
        <v>5.8224</v>
      </c>
      <c r="G1580" s="7">
        <v>5.9378000000000002</v>
      </c>
      <c r="H1580" s="7">
        <v>6.0529999999999999</v>
      </c>
      <c r="I1580" s="7">
        <v>6.5035999999999996</v>
      </c>
      <c r="J1580" s="7">
        <v>6.9344000000000001</v>
      </c>
      <c r="K1580" s="7">
        <v>7.3464</v>
      </c>
      <c r="L1580" s="7">
        <v>7.7229000000000001</v>
      </c>
      <c r="M1580" s="7">
        <v>8.423</v>
      </c>
      <c r="N1580" s="7">
        <v>9.4730000000000008</v>
      </c>
      <c r="O1580" s="7">
        <v>10.815200000000001</v>
      </c>
      <c r="P1580" s="7">
        <v>11.920500000000001</v>
      </c>
      <c r="Q1580" s="7">
        <v>13.8148</v>
      </c>
    </row>
    <row r="1581" spans="1:17">
      <c r="A1581" s="5">
        <v>43768</v>
      </c>
      <c r="B1581" s="5" t="str">
        <f t="shared" si="24"/>
        <v>2019 q4</v>
      </c>
      <c r="C1581" s="7">
        <v>5.5705999999999998</v>
      </c>
      <c r="D1581" s="7">
        <v>5.609</v>
      </c>
      <c r="E1581" s="7">
        <v>5.6882999999999999</v>
      </c>
      <c r="F1581" s="7">
        <v>5.8061999999999996</v>
      </c>
      <c r="G1581" s="7">
        <v>5.9187000000000003</v>
      </c>
      <c r="H1581" s="7">
        <v>6.0308999999999999</v>
      </c>
      <c r="I1581" s="7">
        <v>6.4797000000000002</v>
      </c>
      <c r="J1581" s="7">
        <v>6.9141000000000004</v>
      </c>
      <c r="K1581" s="7">
        <v>7.3250999999999999</v>
      </c>
      <c r="L1581" s="7">
        <v>7.7087000000000003</v>
      </c>
      <c r="M1581" s="7">
        <v>8.4388000000000005</v>
      </c>
      <c r="N1581" s="7">
        <v>9.4526000000000003</v>
      </c>
      <c r="O1581" s="7">
        <v>10.8018</v>
      </c>
      <c r="P1581" s="7">
        <v>11.916</v>
      </c>
      <c r="Q1581" s="7">
        <v>13.831300000000001</v>
      </c>
    </row>
    <row r="1582" spans="1:17">
      <c r="A1582" s="5">
        <v>43769</v>
      </c>
      <c r="B1582" s="5" t="str">
        <f t="shared" si="24"/>
        <v>2019 q4</v>
      </c>
      <c r="C1582" s="7">
        <v>5.6360000000000001</v>
      </c>
      <c r="D1582" s="7">
        <v>5.67</v>
      </c>
      <c r="E1582" s="7">
        <v>5.7401999999999997</v>
      </c>
      <c r="F1582" s="7">
        <v>5.8449</v>
      </c>
      <c r="G1582" s="7">
        <v>5.9462000000000002</v>
      </c>
      <c r="H1582" s="7">
        <v>6.0473999999999997</v>
      </c>
      <c r="I1582" s="7">
        <v>6.452</v>
      </c>
      <c r="J1582" s="7">
        <v>6.8474000000000004</v>
      </c>
      <c r="K1582" s="7">
        <v>7.2281000000000004</v>
      </c>
      <c r="L1582" s="7">
        <v>7.5856000000000003</v>
      </c>
      <c r="M1582" s="7">
        <v>8.2662999999999993</v>
      </c>
      <c r="N1582" s="7">
        <v>9.2871000000000006</v>
      </c>
      <c r="O1582" s="7">
        <v>10.702500000000001</v>
      </c>
      <c r="P1582" s="7">
        <v>11.9322</v>
      </c>
      <c r="Q1582" s="7">
        <v>14.144500000000001</v>
      </c>
    </row>
    <row r="1583" spans="1:17">
      <c r="A1583" s="5">
        <v>43770</v>
      </c>
      <c r="B1583" s="5" t="str">
        <f t="shared" si="24"/>
        <v>2019 q4</v>
      </c>
      <c r="C1583" s="7">
        <v>5.5731000000000002</v>
      </c>
      <c r="D1583" s="7">
        <v>5.6111000000000004</v>
      </c>
      <c r="E1583" s="7">
        <v>5.6896000000000004</v>
      </c>
      <c r="F1583" s="7">
        <v>5.8064</v>
      </c>
      <c r="G1583" s="7">
        <v>5.9181999999999997</v>
      </c>
      <c r="H1583" s="7">
        <v>6.0297999999999998</v>
      </c>
      <c r="I1583" s="7">
        <v>6.476</v>
      </c>
      <c r="J1583" s="7">
        <v>6.9089999999999998</v>
      </c>
      <c r="K1583" s="7">
        <v>7.3204000000000002</v>
      </c>
      <c r="L1583" s="7">
        <v>7.6992000000000003</v>
      </c>
      <c r="M1583" s="7">
        <v>8.4088999999999992</v>
      </c>
      <c r="N1583" s="7">
        <v>9.4728999999999992</v>
      </c>
      <c r="O1583" s="7">
        <v>10.8657</v>
      </c>
      <c r="P1583" s="7">
        <v>12.029299999999999</v>
      </c>
      <c r="Q1583" s="7">
        <v>14.0527</v>
      </c>
    </row>
    <row r="1584" spans="1:17">
      <c r="A1584" s="5">
        <v>43773</v>
      </c>
      <c r="B1584" s="5" t="str">
        <f t="shared" si="24"/>
        <v>2019 q4</v>
      </c>
      <c r="C1584" s="7">
        <v>5.5533000000000001</v>
      </c>
      <c r="D1584" s="7">
        <v>5.5937000000000001</v>
      </c>
      <c r="E1584" s="7">
        <v>5.6771000000000003</v>
      </c>
      <c r="F1584" s="7">
        <v>5.8006000000000002</v>
      </c>
      <c r="G1584" s="7">
        <v>5.9164000000000003</v>
      </c>
      <c r="H1584" s="7">
        <v>6.0319000000000003</v>
      </c>
      <c r="I1584" s="7">
        <v>6.4939</v>
      </c>
      <c r="J1584" s="7">
        <v>6.9358000000000004</v>
      </c>
      <c r="K1584" s="7">
        <v>7.3459000000000003</v>
      </c>
      <c r="L1584" s="7">
        <v>7.7099000000000002</v>
      </c>
      <c r="M1584" s="7">
        <v>8.3720999999999997</v>
      </c>
      <c r="N1584" s="7">
        <v>9.3648000000000007</v>
      </c>
      <c r="O1584" s="7">
        <v>10.565300000000001</v>
      </c>
      <c r="P1584" s="7">
        <v>11.453900000000001</v>
      </c>
      <c r="Q1584" s="7">
        <v>12.9558</v>
      </c>
    </row>
    <row r="1585" spans="1:17">
      <c r="A1585" s="5">
        <v>43774</v>
      </c>
      <c r="B1585" s="5" t="str">
        <f t="shared" si="24"/>
        <v>2019 q4</v>
      </c>
      <c r="C1585" s="7">
        <v>5.5125999999999999</v>
      </c>
      <c r="D1585" s="7">
        <v>5.5514000000000001</v>
      </c>
      <c r="E1585" s="7">
        <v>5.6315</v>
      </c>
      <c r="F1585" s="7">
        <v>5.7518000000000002</v>
      </c>
      <c r="G1585" s="7">
        <v>5.87</v>
      </c>
      <c r="H1585" s="7">
        <v>5.9882</v>
      </c>
      <c r="I1585" s="7">
        <v>6.4432999999999998</v>
      </c>
      <c r="J1585" s="7">
        <v>6.8811</v>
      </c>
      <c r="K1585" s="7">
        <v>7.3002000000000002</v>
      </c>
      <c r="L1585" s="7">
        <v>7.6908000000000003</v>
      </c>
      <c r="M1585" s="7">
        <v>8.4356000000000009</v>
      </c>
      <c r="N1585" s="7">
        <v>9.4681999999999995</v>
      </c>
      <c r="O1585" s="7">
        <v>10.8443</v>
      </c>
      <c r="P1585" s="7">
        <v>11.9794</v>
      </c>
      <c r="Q1585" s="7">
        <v>13.932600000000001</v>
      </c>
    </row>
    <row r="1586" spans="1:17">
      <c r="A1586" s="5">
        <v>43775</v>
      </c>
      <c r="B1586" s="5" t="str">
        <f t="shared" si="24"/>
        <v>2019 q4</v>
      </c>
      <c r="C1586" s="7">
        <v>5.4240000000000004</v>
      </c>
      <c r="D1586" s="7">
        <v>5.4646999999999997</v>
      </c>
      <c r="E1586" s="7">
        <v>5.5486000000000004</v>
      </c>
      <c r="F1586" s="7">
        <v>5.6745999999999999</v>
      </c>
      <c r="G1586" s="7">
        <v>5.7988999999999997</v>
      </c>
      <c r="H1586" s="7">
        <v>5.9226999999999999</v>
      </c>
      <c r="I1586" s="7">
        <v>6.4001000000000001</v>
      </c>
      <c r="J1586" s="7">
        <v>6.8654000000000002</v>
      </c>
      <c r="K1586" s="7">
        <v>7.3102</v>
      </c>
      <c r="L1586" s="7">
        <v>7.7182000000000004</v>
      </c>
      <c r="M1586" s="7">
        <v>8.4823000000000004</v>
      </c>
      <c r="N1586" s="7">
        <v>9.6265999999999998</v>
      </c>
      <c r="O1586" s="7">
        <v>11.085599999999999</v>
      </c>
      <c r="P1586" s="7">
        <v>12.2486</v>
      </c>
      <c r="Q1586" s="7">
        <v>14.186</v>
      </c>
    </row>
    <row r="1587" spans="1:17">
      <c r="A1587" s="5">
        <v>43776</v>
      </c>
      <c r="B1587" s="5" t="str">
        <f t="shared" si="24"/>
        <v>2019 q4</v>
      </c>
      <c r="C1587" s="7">
        <v>5.4531000000000001</v>
      </c>
      <c r="D1587" s="7">
        <v>5.4943</v>
      </c>
      <c r="E1587" s="7">
        <v>5.5792999999999999</v>
      </c>
      <c r="F1587" s="7">
        <v>5.7068000000000003</v>
      </c>
      <c r="G1587" s="7">
        <v>5.8322000000000003</v>
      </c>
      <c r="H1587" s="7">
        <v>5.9569000000000001</v>
      </c>
      <c r="I1587" s="7">
        <v>6.4348999999999998</v>
      </c>
      <c r="J1587" s="7">
        <v>6.8917000000000002</v>
      </c>
      <c r="K1587" s="7">
        <v>7.3254000000000001</v>
      </c>
      <c r="L1587" s="7">
        <v>7.7154999999999996</v>
      </c>
      <c r="M1587" s="7">
        <v>8.4352999999999998</v>
      </c>
      <c r="N1587" s="7">
        <v>9.5129999999999999</v>
      </c>
      <c r="O1587" s="7">
        <v>10.840199999999999</v>
      </c>
      <c r="P1587" s="7">
        <v>11.9054</v>
      </c>
      <c r="Q1587" s="7">
        <v>13.6929</v>
      </c>
    </row>
    <row r="1588" spans="1:17">
      <c r="A1588" s="5">
        <v>43777</v>
      </c>
      <c r="B1588" s="5" t="str">
        <f t="shared" si="24"/>
        <v>2019 q4</v>
      </c>
      <c r="C1588" s="7">
        <v>5.4253999999999998</v>
      </c>
      <c r="D1588" s="7">
        <v>5.4675000000000002</v>
      </c>
      <c r="E1588" s="7">
        <v>5.5542999999999996</v>
      </c>
      <c r="F1588" s="7">
        <v>5.6845999999999997</v>
      </c>
      <c r="G1588" s="7">
        <v>5.8125</v>
      </c>
      <c r="H1588" s="7">
        <v>5.9394999999999998</v>
      </c>
      <c r="I1588" s="7">
        <v>6.4233000000000002</v>
      </c>
      <c r="J1588" s="7">
        <v>6.8905000000000003</v>
      </c>
      <c r="K1588" s="7">
        <v>7.33</v>
      </c>
      <c r="L1588" s="7">
        <v>7.7233999999999998</v>
      </c>
      <c r="M1588" s="7">
        <v>8.4469999999999992</v>
      </c>
      <c r="N1588" s="7">
        <v>9.5305999999999997</v>
      </c>
      <c r="O1588" s="7">
        <v>10.876799999999999</v>
      </c>
      <c r="P1588" s="7">
        <v>11.894399999999999</v>
      </c>
      <c r="Q1588" s="7">
        <v>13.639799999999999</v>
      </c>
    </row>
    <row r="1589" spans="1:17">
      <c r="A1589" s="5">
        <v>43780</v>
      </c>
      <c r="B1589" s="5" t="str">
        <f t="shared" si="24"/>
        <v>2019 q4</v>
      </c>
      <c r="C1589" s="7">
        <v>5.4665999999999997</v>
      </c>
      <c r="D1589" s="7">
        <v>5.5069999999999997</v>
      </c>
      <c r="E1589" s="7">
        <v>5.5903999999999998</v>
      </c>
      <c r="F1589" s="7">
        <v>5.7153999999999998</v>
      </c>
      <c r="G1589" s="7">
        <v>5.8383000000000003</v>
      </c>
      <c r="H1589" s="7">
        <v>5.9606000000000003</v>
      </c>
      <c r="I1589" s="7">
        <v>6.4297000000000004</v>
      </c>
      <c r="J1589" s="7">
        <v>6.8781999999999996</v>
      </c>
      <c r="K1589" s="7">
        <v>7.3045</v>
      </c>
      <c r="L1589" s="7">
        <v>7.6974</v>
      </c>
      <c r="M1589" s="7">
        <v>8.4418000000000006</v>
      </c>
      <c r="N1589" s="7">
        <v>9.4611999999999998</v>
      </c>
      <c r="O1589" s="7">
        <v>10.8041</v>
      </c>
      <c r="P1589" s="7">
        <v>11.833600000000001</v>
      </c>
      <c r="Q1589" s="7">
        <v>13.614800000000001</v>
      </c>
    </row>
    <row r="1590" spans="1:17">
      <c r="A1590" s="5">
        <v>43781</v>
      </c>
      <c r="B1590" s="5" t="str">
        <f t="shared" si="24"/>
        <v>2019 q4</v>
      </c>
      <c r="C1590" s="7">
        <v>5.4420999999999999</v>
      </c>
      <c r="D1590" s="7">
        <v>5.4829999999999997</v>
      </c>
      <c r="E1590" s="7">
        <v>5.5675999999999997</v>
      </c>
      <c r="F1590" s="7">
        <v>5.6943000000000001</v>
      </c>
      <c r="G1590" s="7">
        <v>5.819</v>
      </c>
      <c r="H1590" s="7">
        <v>5.9425999999999997</v>
      </c>
      <c r="I1590" s="7">
        <v>6.4151999999999996</v>
      </c>
      <c r="J1590" s="7">
        <v>6.8719000000000001</v>
      </c>
      <c r="K1590" s="7">
        <v>7.3029000000000002</v>
      </c>
      <c r="L1590" s="7">
        <v>7.6898</v>
      </c>
      <c r="M1590" s="7">
        <v>8.4053000000000004</v>
      </c>
      <c r="N1590" s="7">
        <v>9.4751999999999992</v>
      </c>
      <c r="O1590" s="7">
        <v>10.793699999999999</v>
      </c>
      <c r="P1590" s="7">
        <v>11.8505</v>
      </c>
      <c r="Q1590" s="7">
        <v>13.6252</v>
      </c>
    </row>
    <row r="1591" spans="1:17">
      <c r="A1591" s="5">
        <v>43782</v>
      </c>
      <c r="B1591" s="5" t="str">
        <f t="shared" si="24"/>
        <v>2019 q4</v>
      </c>
      <c r="C1591" s="7">
        <v>5.4824000000000002</v>
      </c>
      <c r="D1591" s="7">
        <v>5.5194999999999999</v>
      </c>
      <c r="E1591" s="7">
        <v>5.5960999999999999</v>
      </c>
      <c r="F1591" s="7">
        <v>5.7108999999999996</v>
      </c>
      <c r="G1591" s="7">
        <v>5.8243</v>
      </c>
      <c r="H1591" s="7">
        <v>5.9368999999999996</v>
      </c>
      <c r="I1591" s="7">
        <v>6.3727999999999998</v>
      </c>
      <c r="J1591" s="7">
        <v>6.7976000000000001</v>
      </c>
      <c r="K1591" s="7">
        <v>7.2045000000000003</v>
      </c>
      <c r="L1591" s="7">
        <v>7.5865999999999998</v>
      </c>
      <c r="M1591" s="7">
        <v>8.3204999999999991</v>
      </c>
      <c r="N1591" s="7">
        <v>9.3453999999999997</v>
      </c>
      <c r="O1591" s="7">
        <v>10.7492</v>
      </c>
      <c r="P1591" s="7">
        <v>11.928100000000001</v>
      </c>
      <c r="Q1591" s="7">
        <v>13.9954</v>
      </c>
    </row>
    <row r="1592" spans="1:17">
      <c r="A1592" s="5">
        <v>43783</v>
      </c>
      <c r="B1592" s="5" t="str">
        <f t="shared" si="24"/>
        <v>2019 q4</v>
      </c>
      <c r="C1592" s="7">
        <v>5.4753999999999996</v>
      </c>
      <c r="D1592" s="7">
        <v>5.5095000000000001</v>
      </c>
      <c r="E1592" s="7">
        <v>5.5796999999999999</v>
      </c>
      <c r="F1592" s="7">
        <v>5.6851000000000003</v>
      </c>
      <c r="G1592" s="7">
        <v>5.7896999999999998</v>
      </c>
      <c r="H1592" s="7">
        <v>5.8939000000000004</v>
      </c>
      <c r="I1592" s="7">
        <v>6.3026</v>
      </c>
      <c r="J1592" s="7">
        <v>6.7023999999999999</v>
      </c>
      <c r="K1592" s="7">
        <v>7.0923999999999996</v>
      </c>
      <c r="L1592" s="7">
        <v>7.4715999999999996</v>
      </c>
      <c r="M1592" s="7">
        <v>8.2026000000000003</v>
      </c>
      <c r="N1592" s="7">
        <v>9.2394999999999996</v>
      </c>
      <c r="O1592" s="7">
        <v>10.7652</v>
      </c>
      <c r="P1592" s="7">
        <v>12.1144</v>
      </c>
      <c r="Q1592" s="7">
        <v>14.585100000000001</v>
      </c>
    </row>
    <row r="1593" spans="1:17">
      <c r="A1593" s="5">
        <v>43784</v>
      </c>
      <c r="B1593" s="5" t="str">
        <f t="shared" si="24"/>
        <v>2019 q4</v>
      </c>
      <c r="C1593" s="7">
        <v>5.4055999999999997</v>
      </c>
      <c r="D1593" s="7">
        <v>5.4478</v>
      </c>
      <c r="E1593" s="7">
        <v>5.5349000000000004</v>
      </c>
      <c r="F1593" s="7">
        <v>5.6654</v>
      </c>
      <c r="G1593" s="7">
        <v>5.7935999999999996</v>
      </c>
      <c r="H1593" s="7">
        <v>5.9203000000000001</v>
      </c>
      <c r="I1593" s="7">
        <v>6.4036999999999997</v>
      </c>
      <c r="J1593" s="7">
        <v>6.8689</v>
      </c>
      <c r="K1593" s="7">
        <v>7.3052000000000001</v>
      </c>
      <c r="L1593" s="7">
        <v>7.7030000000000003</v>
      </c>
      <c r="M1593" s="7">
        <v>8.4532000000000007</v>
      </c>
      <c r="N1593" s="7">
        <v>9.4681999999999995</v>
      </c>
      <c r="O1593" s="7">
        <v>10.770799999999999</v>
      </c>
      <c r="P1593" s="7">
        <v>11.7422</v>
      </c>
      <c r="Q1593" s="7">
        <v>13.398</v>
      </c>
    </row>
    <row r="1594" spans="1:17">
      <c r="A1594" s="5">
        <v>43787</v>
      </c>
      <c r="B1594" s="5" t="str">
        <f t="shared" si="24"/>
        <v>2019 q4</v>
      </c>
      <c r="C1594" s="7">
        <v>5.3827999999999996</v>
      </c>
      <c r="D1594" s="7">
        <v>5.4267000000000003</v>
      </c>
      <c r="E1594" s="7">
        <v>5.5172999999999996</v>
      </c>
      <c r="F1594" s="7">
        <v>5.6529999999999996</v>
      </c>
      <c r="G1594" s="7">
        <v>5.7861000000000002</v>
      </c>
      <c r="H1594" s="7">
        <v>5.9173</v>
      </c>
      <c r="I1594" s="7">
        <v>6.4157999999999999</v>
      </c>
      <c r="J1594" s="7">
        <v>6.8935000000000004</v>
      </c>
      <c r="K1594" s="7">
        <v>7.3384999999999998</v>
      </c>
      <c r="L1594" s="7">
        <v>7.7404999999999999</v>
      </c>
      <c r="M1594" s="7">
        <v>8.4939</v>
      </c>
      <c r="N1594" s="7">
        <v>9.5013000000000005</v>
      </c>
      <c r="O1594" s="7">
        <v>10.7331</v>
      </c>
      <c r="P1594" s="7">
        <v>11.6846</v>
      </c>
      <c r="Q1594" s="7">
        <v>13.2279</v>
      </c>
    </row>
    <row r="1595" spans="1:17">
      <c r="A1595" s="5">
        <v>43788</v>
      </c>
      <c r="B1595" s="5" t="str">
        <f t="shared" si="24"/>
        <v>2019 q4</v>
      </c>
      <c r="C1595" s="7">
        <v>5.5381</v>
      </c>
      <c r="D1595" s="7">
        <v>5.5712000000000002</v>
      </c>
      <c r="E1595" s="7">
        <v>5.6395999999999997</v>
      </c>
      <c r="F1595" s="7">
        <v>5.7420999999999998</v>
      </c>
      <c r="G1595" s="7">
        <v>5.8437999999999999</v>
      </c>
      <c r="H1595" s="7">
        <v>5.9432999999999998</v>
      </c>
      <c r="I1595" s="7">
        <v>6.3398000000000003</v>
      </c>
      <c r="J1595" s="7">
        <v>6.7286000000000001</v>
      </c>
      <c r="K1595" s="7">
        <v>7.1055999999999999</v>
      </c>
      <c r="L1595" s="7">
        <v>7.4611999999999998</v>
      </c>
      <c r="M1595" s="7">
        <v>8.1453000000000007</v>
      </c>
      <c r="N1595" s="7">
        <v>9.1686999999999994</v>
      </c>
      <c r="O1595" s="7">
        <v>10.6213</v>
      </c>
      <c r="P1595" s="7">
        <v>11.897600000000001</v>
      </c>
      <c r="Q1595" s="7">
        <v>14.2256</v>
      </c>
    </row>
    <row r="1596" spans="1:17">
      <c r="A1596" s="5">
        <v>43789</v>
      </c>
      <c r="B1596" s="5" t="str">
        <f t="shared" si="24"/>
        <v>2019 q4</v>
      </c>
      <c r="C1596" s="7">
        <v>5.5467000000000004</v>
      </c>
      <c r="D1596" s="7">
        <v>5.58</v>
      </c>
      <c r="E1596" s="7">
        <v>5.6487999999999996</v>
      </c>
      <c r="F1596" s="7">
        <v>5.7519</v>
      </c>
      <c r="G1596" s="7">
        <v>5.8541999999999996</v>
      </c>
      <c r="H1596" s="7">
        <v>5.9541000000000004</v>
      </c>
      <c r="I1596" s="7">
        <v>6.3521000000000001</v>
      </c>
      <c r="J1596" s="7">
        <v>6.742</v>
      </c>
      <c r="K1596" s="7">
        <v>7.1193</v>
      </c>
      <c r="L1596" s="7">
        <v>7.4741</v>
      </c>
      <c r="M1596" s="7">
        <v>8.1554000000000002</v>
      </c>
      <c r="N1596" s="7">
        <v>9.1740999999999993</v>
      </c>
      <c r="O1596" s="7">
        <v>10.609299999999999</v>
      </c>
      <c r="P1596" s="7">
        <v>11.8643</v>
      </c>
      <c r="Q1596" s="7">
        <v>14.145300000000001</v>
      </c>
    </row>
    <row r="1597" spans="1:17">
      <c r="A1597" s="5">
        <v>43790</v>
      </c>
      <c r="B1597" s="5" t="str">
        <f t="shared" si="24"/>
        <v>2019 q4</v>
      </c>
      <c r="C1597" s="7">
        <v>5.5305</v>
      </c>
      <c r="D1597" s="7">
        <v>5.5652999999999997</v>
      </c>
      <c r="E1597" s="7">
        <v>5.6369999999999996</v>
      </c>
      <c r="F1597" s="7">
        <v>5.7443999999999997</v>
      </c>
      <c r="G1597" s="7">
        <v>5.8509000000000002</v>
      </c>
      <c r="H1597" s="7">
        <v>5.9539999999999997</v>
      </c>
      <c r="I1597" s="7">
        <v>6.3651</v>
      </c>
      <c r="J1597" s="7">
        <v>6.7655000000000003</v>
      </c>
      <c r="K1597" s="7">
        <v>7.1497999999999999</v>
      </c>
      <c r="L1597" s="7">
        <v>7.5121000000000002</v>
      </c>
      <c r="M1597" s="7">
        <v>8.2113999999999994</v>
      </c>
      <c r="N1597" s="7">
        <v>9.1915999999999993</v>
      </c>
      <c r="O1597" s="7">
        <v>10.5563</v>
      </c>
      <c r="P1597" s="7">
        <v>11.7143</v>
      </c>
      <c r="Q1597" s="7">
        <v>13.7684</v>
      </c>
    </row>
    <row r="1598" spans="1:17">
      <c r="A1598" s="5">
        <v>43791</v>
      </c>
      <c r="B1598" s="5" t="str">
        <f t="shared" si="24"/>
        <v>2019 q4</v>
      </c>
      <c r="C1598" s="7">
        <v>5.5678000000000001</v>
      </c>
      <c r="D1598" s="7">
        <v>5.6009000000000002</v>
      </c>
      <c r="E1598" s="7">
        <v>5.6692999999999998</v>
      </c>
      <c r="F1598" s="7">
        <v>5.7718999999999996</v>
      </c>
      <c r="G1598" s="7">
        <v>5.8737000000000004</v>
      </c>
      <c r="H1598" s="7">
        <v>5.9729999999999999</v>
      </c>
      <c r="I1598" s="7">
        <v>6.3691000000000004</v>
      </c>
      <c r="J1598" s="7">
        <v>6.7569999999999997</v>
      </c>
      <c r="K1598" s="7">
        <v>7.1325000000000003</v>
      </c>
      <c r="L1598" s="7">
        <v>7.4855</v>
      </c>
      <c r="M1598" s="7">
        <v>8.1636000000000006</v>
      </c>
      <c r="N1598" s="7">
        <v>9.1774000000000004</v>
      </c>
      <c r="O1598" s="7">
        <v>10.6066</v>
      </c>
      <c r="P1598" s="7">
        <v>11.856299999999999</v>
      </c>
      <c r="Q1598" s="7">
        <v>14.1286</v>
      </c>
    </row>
    <row r="1599" spans="1:17">
      <c r="A1599" s="5">
        <v>43794</v>
      </c>
      <c r="B1599" s="5" t="str">
        <f t="shared" si="24"/>
        <v>2019 q4</v>
      </c>
      <c r="C1599" s="7">
        <v>5.5636000000000001</v>
      </c>
      <c r="D1599" s="7">
        <v>5.5972999999999997</v>
      </c>
      <c r="E1599" s="7">
        <v>5.6669</v>
      </c>
      <c r="F1599" s="7">
        <v>5.7709999999999999</v>
      </c>
      <c r="G1599" s="7">
        <v>5.8743999999999996</v>
      </c>
      <c r="H1599" s="7">
        <v>5.9747000000000003</v>
      </c>
      <c r="I1599" s="7">
        <v>6.3747999999999996</v>
      </c>
      <c r="J1599" s="7">
        <v>6.7649999999999997</v>
      </c>
      <c r="K1599" s="7">
        <v>7.1406999999999998</v>
      </c>
      <c r="L1599" s="7">
        <v>7.49</v>
      </c>
      <c r="M1599" s="7">
        <v>8.1567000000000007</v>
      </c>
      <c r="N1599" s="7">
        <v>9.1526999999999994</v>
      </c>
      <c r="O1599" s="7">
        <v>10.5176</v>
      </c>
      <c r="P1599" s="7">
        <v>11.6869</v>
      </c>
      <c r="Q1599" s="7">
        <v>13.778499999999999</v>
      </c>
    </row>
    <row r="1600" spans="1:17">
      <c r="A1600" s="5">
        <v>43795</v>
      </c>
      <c r="B1600" s="5" t="str">
        <f t="shared" si="24"/>
        <v>2019 q4</v>
      </c>
      <c r="C1600" s="7">
        <v>5.5308000000000002</v>
      </c>
      <c r="D1600" s="7">
        <v>5.5648</v>
      </c>
      <c r="E1600" s="7">
        <v>5.6349</v>
      </c>
      <c r="F1600" s="7">
        <v>5.7390999999999996</v>
      </c>
      <c r="G1600" s="7">
        <v>5.8433000000000002</v>
      </c>
      <c r="H1600" s="7">
        <v>5.944</v>
      </c>
      <c r="I1600" s="7">
        <v>6.3460000000000001</v>
      </c>
      <c r="J1600" s="7">
        <v>6.7380000000000004</v>
      </c>
      <c r="K1600" s="7">
        <v>7.1154999999999999</v>
      </c>
      <c r="L1600" s="7">
        <v>7.4663000000000004</v>
      </c>
      <c r="M1600" s="7">
        <v>8.1365999999999996</v>
      </c>
      <c r="N1600" s="7">
        <v>9.1374999999999993</v>
      </c>
      <c r="O1600" s="7">
        <v>10.5106</v>
      </c>
      <c r="P1600" s="7">
        <v>11.6867</v>
      </c>
      <c r="Q1600" s="7">
        <v>13.792299999999999</v>
      </c>
    </row>
    <row r="1601" spans="1:17">
      <c r="A1601" s="5">
        <v>43796</v>
      </c>
      <c r="B1601" s="5" t="str">
        <f t="shared" si="24"/>
        <v>2019 q4</v>
      </c>
      <c r="C1601" s="7">
        <v>5.5641999999999996</v>
      </c>
      <c r="D1601" s="7">
        <v>5.5970000000000004</v>
      </c>
      <c r="E1601" s="7">
        <v>5.665</v>
      </c>
      <c r="F1601" s="7">
        <v>5.766</v>
      </c>
      <c r="G1601" s="7">
        <v>5.867</v>
      </c>
      <c r="H1601" s="7">
        <v>5.9648000000000003</v>
      </c>
      <c r="I1601" s="7">
        <v>6.3554000000000004</v>
      </c>
      <c r="J1601" s="7">
        <v>6.7366999999999999</v>
      </c>
      <c r="K1601" s="7">
        <v>7.1047000000000002</v>
      </c>
      <c r="L1601" s="7">
        <v>7.4481999999999999</v>
      </c>
      <c r="M1601" s="7">
        <v>8.1060999999999996</v>
      </c>
      <c r="N1601" s="7">
        <v>9.0885999999999996</v>
      </c>
      <c r="O1601" s="7">
        <v>10.4513</v>
      </c>
      <c r="P1601" s="7">
        <v>11.6274</v>
      </c>
      <c r="Q1601" s="7">
        <v>13.7464</v>
      </c>
    </row>
    <row r="1602" spans="1:17">
      <c r="A1602" s="5">
        <v>43797</v>
      </c>
      <c r="B1602" s="5" t="str">
        <f t="shared" si="24"/>
        <v>2019 q4</v>
      </c>
      <c r="C1602" s="7">
        <v>5.5781000000000001</v>
      </c>
      <c r="D1602" s="7">
        <v>5.6098999999999997</v>
      </c>
      <c r="E1602" s="7">
        <v>5.6755000000000004</v>
      </c>
      <c r="F1602" s="7">
        <v>5.7732000000000001</v>
      </c>
      <c r="G1602" s="7">
        <v>5.8708</v>
      </c>
      <c r="H1602" s="7">
        <v>5.9667000000000003</v>
      </c>
      <c r="I1602" s="7">
        <v>6.3444000000000003</v>
      </c>
      <c r="J1602" s="7">
        <v>6.7112999999999996</v>
      </c>
      <c r="K1602" s="7">
        <v>7.0670000000000002</v>
      </c>
      <c r="L1602" s="7">
        <v>7.4043999999999999</v>
      </c>
      <c r="M1602" s="7">
        <v>8.0595999999999997</v>
      </c>
      <c r="N1602" s="7">
        <v>8.9842999999999993</v>
      </c>
      <c r="O1602" s="7">
        <v>10.301600000000001</v>
      </c>
      <c r="P1602" s="7">
        <v>11.4384</v>
      </c>
      <c r="Q1602" s="7">
        <v>13.487</v>
      </c>
    </row>
    <row r="1603" spans="1:17">
      <c r="A1603" s="5">
        <v>43798</v>
      </c>
      <c r="B1603" s="5" t="str">
        <f t="shared" ref="B1603:B1666" si="25">YEAR(A1603)&amp;" q"&amp;ROUNDUP(MONTH(A1603)/3,0)</f>
        <v>2019 q4</v>
      </c>
      <c r="C1603" s="7">
        <v>5.5940000000000003</v>
      </c>
      <c r="D1603" s="7">
        <v>5.6254999999999997</v>
      </c>
      <c r="E1603" s="7">
        <v>5.6904000000000003</v>
      </c>
      <c r="F1603" s="7">
        <v>5.7869999999999999</v>
      </c>
      <c r="G1603" s="7">
        <v>5.8834999999999997</v>
      </c>
      <c r="H1603" s="7">
        <v>5.9782000000000002</v>
      </c>
      <c r="I1603" s="7">
        <v>6.3507999999999996</v>
      </c>
      <c r="J1603" s="7">
        <v>6.7119999999999997</v>
      </c>
      <c r="K1603" s="7">
        <v>7.0614999999999997</v>
      </c>
      <c r="L1603" s="7">
        <v>7.3917999999999999</v>
      </c>
      <c r="M1603" s="7">
        <v>8.0320999999999998</v>
      </c>
      <c r="N1603" s="7">
        <v>8.9321000000000002</v>
      </c>
      <c r="O1603" s="7">
        <v>10.201499999999999</v>
      </c>
      <c r="P1603" s="7">
        <v>11.2875</v>
      </c>
      <c r="Q1603" s="7">
        <v>13.231400000000001</v>
      </c>
    </row>
    <row r="1604" spans="1:17">
      <c r="A1604" s="5">
        <v>43801</v>
      </c>
      <c r="B1604" s="5" t="str">
        <f t="shared" si="25"/>
        <v>2019 q4</v>
      </c>
      <c r="C1604" s="7">
        <v>5.5755999999999997</v>
      </c>
      <c r="D1604" s="7">
        <v>5.6071</v>
      </c>
      <c r="E1604" s="7">
        <v>5.6719999999999997</v>
      </c>
      <c r="F1604" s="7">
        <v>5.7685000000000004</v>
      </c>
      <c r="G1604" s="7">
        <v>5.8650000000000002</v>
      </c>
      <c r="H1604" s="7">
        <v>5.9580000000000002</v>
      </c>
      <c r="I1604" s="7">
        <v>6.3299000000000003</v>
      </c>
      <c r="J1604" s="7">
        <v>6.6920000000000002</v>
      </c>
      <c r="K1604" s="7">
        <v>7.0403000000000002</v>
      </c>
      <c r="L1604" s="7">
        <v>7.3631000000000002</v>
      </c>
      <c r="M1604" s="7">
        <v>7.9794999999999998</v>
      </c>
      <c r="N1604" s="7">
        <v>8.8991000000000007</v>
      </c>
      <c r="O1604" s="7">
        <v>10.1539</v>
      </c>
      <c r="P1604" s="7">
        <v>11.2234</v>
      </c>
      <c r="Q1604" s="7">
        <v>13.132199999999999</v>
      </c>
    </row>
    <row r="1605" spans="1:17">
      <c r="A1605" s="5">
        <v>43802</v>
      </c>
      <c r="B1605" s="5" t="str">
        <f t="shared" si="25"/>
        <v>2019 q4</v>
      </c>
      <c r="C1605" s="7">
        <v>5.5743999999999998</v>
      </c>
      <c r="D1605" s="7">
        <v>5.6063000000000001</v>
      </c>
      <c r="E1605" s="7">
        <v>5.6722000000000001</v>
      </c>
      <c r="F1605" s="7">
        <v>5.7701000000000002</v>
      </c>
      <c r="G1605" s="7">
        <v>5.8672000000000004</v>
      </c>
      <c r="H1605" s="7">
        <v>5.9641999999999999</v>
      </c>
      <c r="I1605" s="7">
        <v>6.3400999999999996</v>
      </c>
      <c r="J1605" s="7">
        <v>6.7045000000000003</v>
      </c>
      <c r="K1605" s="7">
        <v>7.0561999999999996</v>
      </c>
      <c r="L1605" s="7">
        <v>7.3810000000000002</v>
      </c>
      <c r="M1605" s="7">
        <v>8.0007999999999999</v>
      </c>
      <c r="N1605" s="7">
        <v>8.9248999999999992</v>
      </c>
      <c r="O1605" s="7">
        <v>10.1777</v>
      </c>
      <c r="P1605" s="7">
        <v>11.2395</v>
      </c>
      <c r="Q1605" s="7">
        <v>13.1279</v>
      </c>
    </row>
    <row r="1606" spans="1:17">
      <c r="A1606" s="5">
        <v>43803</v>
      </c>
      <c r="B1606" s="5" t="str">
        <f t="shared" si="25"/>
        <v>2019 q4</v>
      </c>
      <c r="C1606" s="7">
        <v>5.5465999999999998</v>
      </c>
      <c r="D1606" s="7">
        <v>5.5778999999999996</v>
      </c>
      <c r="E1606" s="7">
        <v>5.6425000000000001</v>
      </c>
      <c r="F1606" s="7">
        <v>5.7386999999999997</v>
      </c>
      <c r="G1606" s="7">
        <v>5.8341000000000003</v>
      </c>
      <c r="H1606" s="7">
        <v>5.9294000000000002</v>
      </c>
      <c r="I1606" s="7">
        <v>6.2990000000000004</v>
      </c>
      <c r="J1606" s="7">
        <v>6.6601999999999997</v>
      </c>
      <c r="K1606" s="7">
        <v>7.0090000000000003</v>
      </c>
      <c r="L1606" s="7">
        <v>7.3334000000000001</v>
      </c>
      <c r="M1606" s="7">
        <v>7.9553000000000003</v>
      </c>
      <c r="N1606" s="7">
        <v>8.8847000000000005</v>
      </c>
      <c r="O1606" s="7">
        <v>10.1815</v>
      </c>
      <c r="P1606" s="7">
        <v>11.2644</v>
      </c>
      <c r="Q1606" s="7">
        <v>13.242699999999999</v>
      </c>
    </row>
    <row r="1607" spans="1:17">
      <c r="A1607" s="5">
        <v>43804</v>
      </c>
      <c r="B1607" s="5" t="str">
        <f t="shared" si="25"/>
        <v>2019 q4</v>
      </c>
      <c r="C1607" s="7">
        <v>5.5408999999999997</v>
      </c>
      <c r="D1607" s="7">
        <v>5.5727000000000002</v>
      </c>
      <c r="E1607" s="7">
        <v>5.6382000000000003</v>
      </c>
      <c r="F1607" s="7">
        <v>5.7355999999999998</v>
      </c>
      <c r="G1607" s="7">
        <v>5.8323</v>
      </c>
      <c r="H1607" s="7">
        <v>5.9288999999999996</v>
      </c>
      <c r="I1607" s="7">
        <v>6.3030999999999997</v>
      </c>
      <c r="J1607" s="7">
        <v>6.6685999999999996</v>
      </c>
      <c r="K1607" s="7">
        <v>7.0212000000000003</v>
      </c>
      <c r="L1607" s="7">
        <v>7.3484999999999996</v>
      </c>
      <c r="M1607" s="7">
        <v>7.9753999999999996</v>
      </c>
      <c r="N1607" s="7">
        <v>8.9101999999999997</v>
      </c>
      <c r="O1607" s="7">
        <v>10.1953</v>
      </c>
      <c r="P1607" s="7">
        <v>11.2951</v>
      </c>
      <c r="Q1607" s="7">
        <v>13.267300000000001</v>
      </c>
    </row>
    <row r="1608" spans="1:17">
      <c r="A1608" s="5">
        <v>43805</v>
      </c>
      <c r="B1608" s="5" t="str">
        <f t="shared" si="25"/>
        <v>2019 q4</v>
      </c>
      <c r="C1608" s="7">
        <v>5.5260999999999996</v>
      </c>
      <c r="D1608" s="7">
        <v>5.5590000000000002</v>
      </c>
      <c r="E1608" s="7">
        <v>5.6269</v>
      </c>
      <c r="F1608" s="7">
        <v>5.7278000000000002</v>
      </c>
      <c r="G1608" s="7">
        <v>5.8277000000000001</v>
      </c>
      <c r="H1608" s="7">
        <v>5.9273999999999996</v>
      </c>
      <c r="I1608" s="7">
        <v>6.3117000000000001</v>
      </c>
      <c r="J1608" s="7">
        <v>6.6852</v>
      </c>
      <c r="K1608" s="7">
        <v>7.0430000000000001</v>
      </c>
      <c r="L1608" s="7">
        <v>7.3773999999999997</v>
      </c>
      <c r="M1608" s="7">
        <v>8.0229999999999997</v>
      </c>
      <c r="N1608" s="7">
        <v>8.9182000000000006</v>
      </c>
      <c r="O1608" s="7">
        <v>10.145799999999999</v>
      </c>
      <c r="P1608" s="7">
        <v>11.1692</v>
      </c>
      <c r="Q1608" s="7">
        <v>12.966100000000001</v>
      </c>
    </row>
    <row r="1609" spans="1:17">
      <c r="A1609" s="5">
        <v>43808</v>
      </c>
      <c r="B1609" s="5" t="str">
        <f t="shared" si="25"/>
        <v>2019 q4</v>
      </c>
      <c r="C1609" s="7">
        <v>5.5650000000000004</v>
      </c>
      <c r="D1609" s="7">
        <v>5.5949</v>
      </c>
      <c r="E1609" s="7">
        <v>5.6566000000000001</v>
      </c>
      <c r="F1609" s="7">
        <v>5.7484999999999999</v>
      </c>
      <c r="G1609" s="7">
        <v>5.8398000000000003</v>
      </c>
      <c r="H1609" s="7">
        <v>5.9310999999999998</v>
      </c>
      <c r="I1609" s="7">
        <v>6.2873999999999999</v>
      </c>
      <c r="J1609" s="7">
        <v>6.6372999999999998</v>
      </c>
      <c r="K1609" s="7">
        <v>6.9776999999999996</v>
      </c>
      <c r="L1609" s="7">
        <v>7.3036000000000003</v>
      </c>
      <c r="M1609" s="7">
        <v>7.9408000000000003</v>
      </c>
      <c r="N1609" s="7">
        <v>8.8488000000000007</v>
      </c>
      <c r="O1609" s="7">
        <v>10.181800000000001</v>
      </c>
      <c r="P1609" s="7">
        <v>11.3598</v>
      </c>
      <c r="Q1609" s="7">
        <v>13.5267</v>
      </c>
    </row>
    <row r="1610" spans="1:17">
      <c r="A1610" s="5">
        <v>43809</v>
      </c>
      <c r="B1610" s="5" t="str">
        <f t="shared" si="25"/>
        <v>2019 q4</v>
      </c>
      <c r="C1610" s="7">
        <v>5.5659000000000001</v>
      </c>
      <c r="D1610" s="7">
        <v>5.5987</v>
      </c>
      <c r="E1610" s="7">
        <v>5.6665000000000001</v>
      </c>
      <c r="F1610" s="7">
        <v>5.7675000000000001</v>
      </c>
      <c r="G1610" s="7">
        <v>5.8676000000000004</v>
      </c>
      <c r="H1610" s="7">
        <v>5.9673999999999996</v>
      </c>
      <c r="I1610" s="7">
        <v>6.3521000000000001</v>
      </c>
      <c r="J1610" s="7">
        <v>6.7225999999999999</v>
      </c>
      <c r="K1610" s="7">
        <v>7.0777000000000001</v>
      </c>
      <c r="L1610" s="7">
        <v>7.4001000000000001</v>
      </c>
      <c r="M1610" s="7">
        <v>8.0111000000000008</v>
      </c>
      <c r="N1610" s="7">
        <v>8.9199000000000002</v>
      </c>
      <c r="O1610" s="7">
        <v>10.1058</v>
      </c>
      <c r="P1610" s="7">
        <v>11.0825</v>
      </c>
      <c r="Q1610" s="7">
        <v>12.7821</v>
      </c>
    </row>
    <row r="1611" spans="1:17">
      <c r="A1611" s="5">
        <v>43810</v>
      </c>
      <c r="B1611" s="5" t="str">
        <f t="shared" si="25"/>
        <v>2019 q4</v>
      </c>
      <c r="C1611" s="7">
        <v>5.5289000000000001</v>
      </c>
      <c r="D1611" s="7">
        <v>5.5587</v>
      </c>
      <c r="E1611" s="7">
        <v>5.6203000000000003</v>
      </c>
      <c r="F1611" s="7">
        <v>5.7122999999999999</v>
      </c>
      <c r="G1611" s="7">
        <v>5.8037999999999998</v>
      </c>
      <c r="H1611" s="7">
        <v>5.8949999999999996</v>
      </c>
      <c r="I1611" s="7">
        <v>6.2519</v>
      </c>
      <c r="J1611" s="7">
        <v>6.6021000000000001</v>
      </c>
      <c r="K1611" s="7">
        <v>6.9428999999999998</v>
      </c>
      <c r="L1611" s="7">
        <v>7.2690000000000001</v>
      </c>
      <c r="M1611" s="7">
        <v>7.907</v>
      </c>
      <c r="N1611" s="7">
        <v>8.8155999999999999</v>
      </c>
      <c r="O1611" s="7">
        <v>10.1502</v>
      </c>
      <c r="P1611" s="7">
        <v>11.3291</v>
      </c>
      <c r="Q1611" s="7">
        <v>13.4985</v>
      </c>
    </row>
    <row r="1612" spans="1:17">
      <c r="A1612" s="5">
        <v>43811</v>
      </c>
      <c r="B1612" s="5" t="str">
        <f t="shared" si="25"/>
        <v>2019 q4</v>
      </c>
      <c r="C1612" s="7">
        <v>5.4077999999999999</v>
      </c>
      <c r="D1612" s="7">
        <v>5.4413</v>
      </c>
      <c r="E1612" s="7">
        <v>5.5105000000000004</v>
      </c>
      <c r="F1612" s="7">
        <v>5.6138000000000003</v>
      </c>
      <c r="G1612" s="7">
        <v>5.7161999999999997</v>
      </c>
      <c r="H1612" s="7">
        <v>5.8183999999999996</v>
      </c>
      <c r="I1612" s="7">
        <v>6.2141999999999999</v>
      </c>
      <c r="J1612" s="7">
        <v>6.5972999999999997</v>
      </c>
      <c r="K1612" s="7">
        <v>6.9664000000000001</v>
      </c>
      <c r="L1612" s="7">
        <v>7.3128000000000002</v>
      </c>
      <c r="M1612" s="7">
        <v>7.9837999999999996</v>
      </c>
      <c r="N1612" s="7">
        <v>8.9177</v>
      </c>
      <c r="O1612" s="7">
        <v>10.215999999999999</v>
      </c>
      <c r="P1612" s="7">
        <v>11.308400000000001</v>
      </c>
      <c r="Q1612" s="7">
        <v>13.2445</v>
      </c>
    </row>
    <row r="1613" spans="1:17">
      <c r="A1613" s="5">
        <v>43812</v>
      </c>
      <c r="B1613" s="5" t="str">
        <f t="shared" si="25"/>
        <v>2019 q4</v>
      </c>
      <c r="C1613" s="7">
        <v>5.5049000000000001</v>
      </c>
      <c r="D1613" s="7">
        <v>5.5354999999999999</v>
      </c>
      <c r="E1613" s="7">
        <v>5.5987</v>
      </c>
      <c r="F1613" s="7">
        <v>5.6932</v>
      </c>
      <c r="G1613" s="7">
        <v>5.7870999999999997</v>
      </c>
      <c r="H1613" s="7">
        <v>5.8807</v>
      </c>
      <c r="I1613" s="7">
        <v>6.2465000000000002</v>
      </c>
      <c r="J1613" s="7">
        <v>6.6050000000000004</v>
      </c>
      <c r="K1613" s="7">
        <v>6.9534000000000002</v>
      </c>
      <c r="L1613" s="7">
        <v>7.2858000000000001</v>
      </c>
      <c r="M1613" s="7">
        <v>7.9356</v>
      </c>
      <c r="N1613" s="7">
        <v>8.8581000000000003</v>
      </c>
      <c r="O1613" s="7">
        <v>10.203900000000001</v>
      </c>
      <c r="P1613" s="7">
        <v>11.3848</v>
      </c>
      <c r="Q1613" s="7">
        <v>13.5481</v>
      </c>
    </row>
    <row r="1614" spans="1:17">
      <c r="A1614" s="5">
        <v>43815</v>
      </c>
      <c r="B1614" s="5" t="str">
        <f t="shared" si="25"/>
        <v>2019 q4</v>
      </c>
      <c r="C1614" s="7">
        <v>5.5640000000000001</v>
      </c>
      <c r="D1614" s="7">
        <v>5.5942999999999996</v>
      </c>
      <c r="E1614" s="7">
        <v>5.6567999999999996</v>
      </c>
      <c r="F1614" s="7">
        <v>5.7502000000000004</v>
      </c>
      <c r="G1614" s="7">
        <v>5.843</v>
      </c>
      <c r="H1614" s="7">
        <v>5.9356999999999998</v>
      </c>
      <c r="I1614" s="7">
        <v>6.2979000000000003</v>
      </c>
      <c r="J1614" s="7">
        <v>6.6516000000000002</v>
      </c>
      <c r="K1614" s="7">
        <v>6.9961000000000002</v>
      </c>
      <c r="L1614" s="7">
        <v>7.3247999999999998</v>
      </c>
      <c r="M1614" s="7">
        <v>7.9676</v>
      </c>
      <c r="N1614" s="7">
        <v>8.8802000000000003</v>
      </c>
      <c r="O1614" s="7">
        <v>10.2127</v>
      </c>
      <c r="P1614" s="7">
        <v>11.382400000000001</v>
      </c>
      <c r="Q1614" s="7">
        <v>13.526199999999999</v>
      </c>
    </row>
    <row r="1615" spans="1:17">
      <c r="A1615" s="5">
        <v>43816</v>
      </c>
      <c r="B1615" s="5" t="str">
        <f t="shared" si="25"/>
        <v>2019 q4</v>
      </c>
      <c r="C1615" s="7">
        <v>5.5391000000000004</v>
      </c>
      <c r="D1615" s="7">
        <v>5.5697999999999999</v>
      </c>
      <c r="E1615" s="7">
        <v>5.6330999999999998</v>
      </c>
      <c r="F1615" s="7">
        <v>5.7278000000000002</v>
      </c>
      <c r="G1615" s="7">
        <v>5.8201999999999998</v>
      </c>
      <c r="H1615" s="7">
        <v>5.9122000000000003</v>
      </c>
      <c r="I1615" s="7">
        <v>6.2801</v>
      </c>
      <c r="J1615" s="7">
        <v>6.6390000000000002</v>
      </c>
      <c r="K1615" s="7">
        <v>6.9866000000000001</v>
      </c>
      <c r="L1615" s="7">
        <v>7.3175999999999997</v>
      </c>
      <c r="M1615" s="7">
        <v>7.9645999999999999</v>
      </c>
      <c r="N1615" s="7">
        <v>8.8806999999999992</v>
      </c>
      <c r="O1615" s="7">
        <v>10.2121</v>
      </c>
      <c r="P1615" s="7">
        <v>11.3749</v>
      </c>
      <c r="Q1615" s="7">
        <v>13.4994</v>
      </c>
    </row>
    <row r="1616" spans="1:17">
      <c r="A1616" s="5">
        <v>43817</v>
      </c>
      <c r="B1616" s="5" t="str">
        <f t="shared" si="25"/>
        <v>2019 q4</v>
      </c>
      <c r="C1616" s="7">
        <v>5.5476999999999999</v>
      </c>
      <c r="D1616" s="7">
        <v>5.5780000000000003</v>
      </c>
      <c r="E1616" s="7">
        <v>5.6403999999999996</v>
      </c>
      <c r="F1616" s="7">
        <v>5.7339000000000002</v>
      </c>
      <c r="G1616" s="7">
        <v>5.8250000000000002</v>
      </c>
      <c r="H1616" s="7">
        <v>5.9158999999999997</v>
      </c>
      <c r="I1616" s="7">
        <v>6.2793000000000001</v>
      </c>
      <c r="J1616" s="7">
        <v>6.6342999999999996</v>
      </c>
      <c r="K1616" s="7">
        <v>6.9786999999999999</v>
      </c>
      <c r="L1616" s="7">
        <v>7.3075000000000001</v>
      </c>
      <c r="M1616" s="7">
        <v>7.9509999999999996</v>
      </c>
      <c r="N1616" s="7">
        <v>8.8646999999999991</v>
      </c>
      <c r="O1616" s="7">
        <v>10.2021</v>
      </c>
      <c r="P1616" s="7">
        <v>11.377599999999999</v>
      </c>
      <c r="Q1616" s="7">
        <v>13.5357</v>
      </c>
    </row>
    <row r="1617" spans="1:17">
      <c r="A1617" s="5">
        <v>43818</v>
      </c>
      <c r="B1617" s="5" t="str">
        <f t="shared" si="25"/>
        <v>2019 q4</v>
      </c>
      <c r="C1617" s="7">
        <v>5.5411999999999999</v>
      </c>
      <c r="D1617" s="7">
        <v>5.5720000000000001</v>
      </c>
      <c r="E1617" s="7">
        <v>5.6355000000000004</v>
      </c>
      <c r="F1617" s="7">
        <v>5.7306999999999997</v>
      </c>
      <c r="G1617" s="7">
        <v>5.8234000000000004</v>
      </c>
      <c r="H1617" s="7">
        <v>5.9157999999999999</v>
      </c>
      <c r="I1617" s="7">
        <v>6.2851999999999997</v>
      </c>
      <c r="J1617" s="7">
        <v>6.6454000000000004</v>
      </c>
      <c r="K1617" s="7">
        <v>6.9942000000000002</v>
      </c>
      <c r="L1617" s="7">
        <v>7.3261000000000003</v>
      </c>
      <c r="M1617" s="7">
        <v>7.9748999999999999</v>
      </c>
      <c r="N1617" s="7">
        <v>8.8925999999999998</v>
      </c>
      <c r="O1617" s="7">
        <v>10.2248</v>
      </c>
      <c r="P1617" s="7">
        <v>11.3865</v>
      </c>
      <c r="Q1617" s="7">
        <v>13.5075</v>
      </c>
    </row>
    <row r="1618" spans="1:17">
      <c r="A1618" s="5">
        <v>43819</v>
      </c>
      <c r="B1618" s="5" t="str">
        <f t="shared" si="25"/>
        <v>2019 q4</v>
      </c>
      <c r="C1618" s="7">
        <v>5.5541</v>
      </c>
      <c r="D1618" s="7">
        <v>5.5842000000000001</v>
      </c>
      <c r="E1618" s="7">
        <v>5.6463000000000001</v>
      </c>
      <c r="F1618" s="7">
        <v>5.7393000000000001</v>
      </c>
      <c r="G1618" s="7">
        <v>5.83</v>
      </c>
      <c r="H1618" s="7">
        <v>5.9203999999999999</v>
      </c>
      <c r="I1618" s="7">
        <v>6.2823000000000002</v>
      </c>
      <c r="J1618" s="7">
        <v>6.6357999999999997</v>
      </c>
      <c r="K1618" s="7">
        <v>6.9789000000000003</v>
      </c>
      <c r="L1618" s="7">
        <v>7.3068999999999997</v>
      </c>
      <c r="M1618" s="7">
        <v>7.9490999999999996</v>
      </c>
      <c r="N1618" s="7">
        <v>8.8615999999999993</v>
      </c>
      <c r="O1618" s="7">
        <v>10.2013</v>
      </c>
      <c r="P1618" s="7">
        <v>11.3813</v>
      </c>
      <c r="Q1618" s="7">
        <v>13.552</v>
      </c>
    </row>
    <row r="1619" spans="1:17">
      <c r="A1619" s="5">
        <v>43822</v>
      </c>
      <c r="B1619" s="5" t="str">
        <f t="shared" si="25"/>
        <v>2019 q4</v>
      </c>
      <c r="C1619" s="7">
        <v>5.5492999999999997</v>
      </c>
      <c r="D1619" s="7">
        <v>5.5796000000000001</v>
      </c>
      <c r="E1619" s="7">
        <v>5.6421999999999999</v>
      </c>
      <c r="F1619" s="7">
        <v>5.7359999999999998</v>
      </c>
      <c r="G1619" s="7">
        <v>5.8273000000000001</v>
      </c>
      <c r="H1619" s="7">
        <v>5.9183000000000003</v>
      </c>
      <c r="I1619" s="7">
        <v>6.2823000000000002</v>
      </c>
      <c r="J1619" s="7">
        <v>6.6372</v>
      </c>
      <c r="K1619" s="7">
        <v>6.9809000000000001</v>
      </c>
      <c r="L1619" s="7">
        <v>7.3080999999999996</v>
      </c>
      <c r="M1619" s="7">
        <v>7.9478999999999997</v>
      </c>
      <c r="N1619" s="7">
        <v>8.8529</v>
      </c>
      <c r="O1619" s="7">
        <v>10.168100000000001</v>
      </c>
      <c r="P1619" s="7">
        <v>11.3157</v>
      </c>
      <c r="Q1619" s="7">
        <v>13.4124</v>
      </c>
    </row>
    <row r="1620" spans="1:17">
      <c r="A1620" s="5">
        <v>43823</v>
      </c>
      <c r="B1620" s="5" t="str">
        <f t="shared" si="25"/>
        <v>2019 q4</v>
      </c>
      <c r="C1620" s="7">
        <v>5.5659000000000001</v>
      </c>
      <c r="D1620" s="7">
        <v>5.5964</v>
      </c>
      <c r="E1620" s="7">
        <v>5.6593</v>
      </c>
      <c r="F1620" s="7">
        <v>5.7535999999999996</v>
      </c>
      <c r="G1620" s="7">
        <v>5.8452999999999999</v>
      </c>
      <c r="H1620" s="7">
        <v>5.9367999999999999</v>
      </c>
      <c r="I1620" s="7">
        <v>6.3029000000000002</v>
      </c>
      <c r="J1620" s="7">
        <v>6.66</v>
      </c>
      <c r="K1620" s="7">
        <v>7.0060000000000002</v>
      </c>
      <c r="L1620" s="7">
        <v>7.3300999999999998</v>
      </c>
      <c r="M1620" s="7">
        <v>7.9584000000000001</v>
      </c>
      <c r="N1620" s="7">
        <v>8.8937000000000008</v>
      </c>
      <c r="O1620" s="7">
        <v>10.2247</v>
      </c>
      <c r="P1620" s="7">
        <v>11.388199999999999</v>
      </c>
      <c r="Q1620" s="7">
        <v>13.518700000000001</v>
      </c>
    </row>
    <row r="1621" spans="1:17">
      <c r="A1621" s="5">
        <v>43824</v>
      </c>
      <c r="B1621" s="5" t="str">
        <f t="shared" si="25"/>
        <v>2019 q4</v>
      </c>
      <c r="C1621" s="7">
        <v>5.5750999999999999</v>
      </c>
      <c r="D1621" s="7">
        <v>5.6051000000000002</v>
      </c>
      <c r="E1621" s="7">
        <v>5.6669999999999998</v>
      </c>
      <c r="F1621" s="7">
        <v>5.7595999999999998</v>
      </c>
      <c r="G1621" s="7">
        <v>5.8498000000000001</v>
      </c>
      <c r="H1621" s="7">
        <v>5.9398</v>
      </c>
      <c r="I1621" s="7">
        <v>6.3</v>
      </c>
      <c r="J1621" s="7">
        <v>6.6513</v>
      </c>
      <c r="K1621" s="7">
        <v>6.9920999999999998</v>
      </c>
      <c r="L1621" s="7">
        <v>7.3170000000000002</v>
      </c>
      <c r="M1621" s="7">
        <v>7.9534000000000002</v>
      </c>
      <c r="N1621" s="7">
        <v>8.8550000000000004</v>
      </c>
      <c r="O1621" s="7">
        <v>10.173500000000001</v>
      </c>
      <c r="P1621" s="7">
        <v>11.3292</v>
      </c>
      <c r="Q1621" s="7">
        <v>13.4496</v>
      </c>
    </row>
    <row r="1622" spans="1:17">
      <c r="A1622" s="5">
        <v>43825</v>
      </c>
      <c r="B1622" s="5" t="str">
        <f t="shared" si="25"/>
        <v>2019 q4</v>
      </c>
      <c r="C1622" s="7">
        <v>5.5948000000000002</v>
      </c>
      <c r="D1622" s="7">
        <v>5.6265999999999998</v>
      </c>
      <c r="E1622" s="7">
        <v>5.6924000000000001</v>
      </c>
      <c r="F1622" s="7">
        <v>5.7907000000000002</v>
      </c>
      <c r="G1622" s="7">
        <v>5.8852000000000002</v>
      </c>
      <c r="H1622" s="7">
        <v>5.9795999999999996</v>
      </c>
      <c r="I1622" s="7">
        <v>6.3571</v>
      </c>
      <c r="J1622" s="7">
        <v>6.7213000000000003</v>
      </c>
      <c r="K1622" s="7">
        <v>7.0697999999999999</v>
      </c>
      <c r="L1622" s="7">
        <v>7.3879000000000001</v>
      </c>
      <c r="M1622" s="7">
        <v>7.9969999999999999</v>
      </c>
      <c r="N1622" s="7">
        <v>8.9009</v>
      </c>
      <c r="O1622" s="7">
        <v>10.1104</v>
      </c>
      <c r="P1622" s="7">
        <v>11.119400000000001</v>
      </c>
      <c r="Q1622" s="7">
        <v>12.902799999999999</v>
      </c>
    </row>
    <row r="1623" spans="1:17">
      <c r="A1623" s="5">
        <v>43826</v>
      </c>
      <c r="B1623" s="5" t="str">
        <f t="shared" si="25"/>
        <v>2019 q4</v>
      </c>
      <c r="C1623" s="7">
        <v>5.6073000000000004</v>
      </c>
      <c r="D1623" s="7">
        <v>5.6344000000000003</v>
      </c>
      <c r="E1623" s="7">
        <v>5.6905000000000001</v>
      </c>
      <c r="F1623" s="7">
        <v>5.7744</v>
      </c>
      <c r="G1623" s="7">
        <v>5.8571999999999997</v>
      </c>
      <c r="H1623" s="7">
        <v>5.94</v>
      </c>
      <c r="I1623" s="7">
        <v>6.2710999999999997</v>
      </c>
      <c r="J1623" s="7">
        <v>6.5979999999999999</v>
      </c>
      <c r="K1623" s="7">
        <v>6.9198000000000004</v>
      </c>
      <c r="L1623" s="7">
        <v>7.2337999999999996</v>
      </c>
      <c r="M1623" s="7">
        <v>7.8551000000000002</v>
      </c>
      <c r="N1623" s="7">
        <v>8.7592999999999996</v>
      </c>
      <c r="O1623" s="7">
        <v>10.165699999999999</v>
      </c>
      <c r="P1623" s="7">
        <v>11.472</v>
      </c>
      <c r="Q1623" s="7">
        <v>13.9679</v>
      </c>
    </row>
    <row r="1624" spans="1:17">
      <c r="A1624" s="5">
        <v>43829</v>
      </c>
      <c r="B1624" s="5" t="str">
        <f t="shared" si="25"/>
        <v>2019 q4</v>
      </c>
      <c r="C1624" s="7">
        <v>5.5754000000000001</v>
      </c>
      <c r="D1624" s="7">
        <v>5.6043000000000003</v>
      </c>
      <c r="E1624" s="7">
        <v>5.6638999999999999</v>
      </c>
      <c r="F1624" s="7">
        <v>5.7531999999999996</v>
      </c>
      <c r="G1624" s="7">
        <v>5.8404999999999996</v>
      </c>
      <c r="H1624" s="7">
        <v>5.9276999999999997</v>
      </c>
      <c r="I1624" s="7">
        <v>6.2767999999999997</v>
      </c>
      <c r="J1624" s="7">
        <v>6.6188000000000002</v>
      </c>
      <c r="K1624" s="7">
        <v>6.9526000000000003</v>
      </c>
      <c r="L1624" s="7">
        <v>7.2736999999999998</v>
      </c>
      <c r="M1624" s="7">
        <v>7.9054000000000002</v>
      </c>
      <c r="N1624" s="7">
        <v>8.8094000000000001</v>
      </c>
      <c r="O1624" s="7">
        <v>10.163500000000001</v>
      </c>
      <c r="P1624" s="7">
        <v>11.3748</v>
      </c>
      <c r="Q1624" s="7">
        <v>13.631399999999999</v>
      </c>
    </row>
    <row r="1625" spans="1:17">
      <c r="A1625" s="5">
        <v>43838</v>
      </c>
      <c r="B1625" s="5" t="str">
        <f t="shared" si="25"/>
        <v>2020 q1</v>
      </c>
      <c r="C1625" s="7">
        <v>5.6005000000000003</v>
      </c>
      <c r="D1625" s="7">
        <v>5.6296999999999997</v>
      </c>
      <c r="E1625" s="7">
        <v>5.6898</v>
      </c>
      <c r="F1625" s="7">
        <v>5.7796000000000003</v>
      </c>
      <c r="G1625" s="7">
        <v>5.8689999999999998</v>
      </c>
      <c r="H1625" s="7">
        <v>5.9581</v>
      </c>
      <c r="I1625" s="7">
        <v>6.3068</v>
      </c>
      <c r="J1625" s="7">
        <v>6.6474000000000002</v>
      </c>
      <c r="K1625" s="7">
        <v>6.9791999999999996</v>
      </c>
      <c r="L1625" s="7">
        <v>7.2904</v>
      </c>
      <c r="M1625" s="7">
        <v>7.8954000000000004</v>
      </c>
      <c r="N1625" s="7">
        <v>8.7954000000000008</v>
      </c>
      <c r="O1625" s="7">
        <v>10.0853</v>
      </c>
      <c r="P1625" s="7">
        <v>11.2174</v>
      </c>
      <c r="Q1625" s="7">
        <v>13.299200000000001</v>
      </c>
    </row>
    <row r="1626" spans="1:17">
      <c r="A1626" s="5">
        <v>43839</v>
      </c>
      <c r="B1626" s="5" t="str">
        <f t="shared" si="25"/>
        <v>2020 q1</v>
      </c>
      <c r="C1626" s="7">
        <v>5.5846</v>
      </c>
      <c r="D1626" s="7">
        <v>5.6115000000000004</v>
      </c>
      <c r="E1626" s="7">
        <v>5.6672000000000002</v>
      </c>
      <c r="F1626" s="7">
        <v>5.7504999999999997</v>
      </c>
      <c r="G1626" s="7">
        <v>5.8335999999999997</v>
      </c>
      <c r="H1626" s="7">
        <v>5.9165999999999999</v>
      </c>
      <c r="I1626" s="7">
        <v>6.2453000000000003</v>
      </c>
      <c r="J1626" s="7">
        <v>6.5704000000000002</v>
      </c>
      <c r="K1626" s="7">
        <v>6.8917000000000002</v>
      </c>
      <c r="L1626" s="7">
        <v>7.2032999999999996</v>
      </c>
      <c r="M1626" s="7">
        <v>7.8189000000000002</v>
      </c>
      <c r="N1626" s="7">
        <v>8.7379999999999995</v>
      </c>
      <c r="O1626" s="7">
        <v>10.165100000000001</v>
      </c>
      <c r="P1626" s="7">
        <v>11.5008</v>
      </c>
      <c r="Q1626" s="7">
        <v>14.069100000000001</v>
      </c>
    </row>
    <row r="1627" spans="1:17">
      <c r="A1627" s="5">
        <v>43840</v>
      </c>
      <c r="B1627" s="5" t="str">
        <f t="shared" si="25"/>
        <v>2020 q1</v>
      </c>
      <c r="C1627" s="7">
        <v>5.5423999999999998</v>
      </c>
      <c r="D1627" s="7">
        <v>5.5701000000000001</v>
      </c>
      <c r="E1627" s="7">
        <v>5.6273999999999997</v>
      </c>
      <c r="F1627" s="7">
        <v>5.7129000000000003</v>
      </c>
      <c r="G1627" s="7">
        <v>5.7983000000000002</v>
      </c>
      <c r="H1627" s="7">
        <v>5.8833000000000002</v>
      </c>
      <c r="I1627" s="7">
        <v>6.2202999999999999</v>
      </c>
      <c r="J1627" s="7">
        <v>6.5536000000000003</v>
      </c>
      <c r="K1627" s="7">
        <v>6.8819999999999997</v>
      </c>
      <c r="L1627" s="7">
        <v>7.1989999999999998</v>
      </c>
      <c r="M1627" s="7">
        <v>7.8246000000000002</v>
      </c>
      <c r="N1627" s="7">
        <v>8.7596000000000007</v>
      </c>
      <c r="O1627" s="7">
        <v>10.2006</v>
      </c>
      <c r="P1627" s="7">
        <v>11.5228</v>
      </c>
      <c r="Q1627" s="7">
        <v>14.0664</v>
      </c>
    </row>
    <row r="1628" spans="1:17">
      <c r="A1628" s="5">
        <v>43843</v>
      </c>
      <c r="B1628" s="5" t="str">
        <f t="shared" si="25"/>
        <v>2020 q1</v>
      </c>
      <c r="C1628" s="7">
        <v>5.5845000000000002</v>
      </c>
      <c r="D1628" s="7">
        <v>5.6115000000000004</v>
      </c>
      <c r="E1628" s="7">
        <v>5.6673</v>
      </c>
      <c r="F1628" s="7">
        <v>5.7507000000000001</v>
      </c>
      <c r="G1628" s="7">
        <v>5.8341000000000003</v>
      </c>
      <c r="H1628" s="7">
        <v>5.9172000000000002</v>
      </c>
      <c r="I1628" s="7">
        <v>6.2469999999999999</v>
      </c>
      <c r="J1628" s="7">
        <v>6.5735000000000001</v>
      </c>
      <c r="K1628" s="7">
        <v>6.8963000000000001</v>
      </c>
      <c r="L1628" s="7">
        <v>7.2126000000000001</v>
      </c>
      <c r="M1628" s="7">
        <v>7.8402000000000003</v>
      </c>
      <c r="N1628" s="7">
        <v>8.7578999999999994</v>
      </c>
      <c r="O1628" s="7">
        <v>10.2052</v>
      </c>
      <c r="P1628" s="7">
        <v>11.5663</v>
      </c>
      <c r="Q1628" s="7">
        <v>14.191800000000001</v>
      </c>
    </row>
    <row r="1629" spans="1:17">
      <c r="A1629" s="5">
        <v>43844</v>
      </c>
      <c r="B1629" s="5" t="str">
        <f t="shared" si="25"/>
        <v>2020 q1</v>
      </c>
      <c r="C1629" s="7">
        <v>5.5462999999999996</v>
      </c>
      <c r="D1629" s="7">
        <v>5.5735999999999999</v>
      </c>
      <c r="E1629" s="7">
        <v>5.6299000000000001</v>
      </c>
      <c r="F1629" s="7">
        <v>5.7141000000000002</v>
      </c>
      <c r="G1629" s="7">
        <v>5.7983000000000002</v>
      </c>
      <c r="H1629" s="7">
        <v>5.8818999999999999</v>
      </c>
      <c r="I1629" s="7">
        <v>6.2145000000000001</v>
      </c>
      <c r="J1629" s="7">
        <v>6.5435999999999996</v>
      </c>
      <c r="K1629" s="7">
        <v>6.8685999999999998</v>
      </c>
      <c r="L1629" s="7">
        <v>7.1863000000000001</v>
      </c>
      <c r="M1629" s="7">
        <v>7.8167</v>
      </c>
      <c r="N1629" s="7">
        <v>8.7362000000000002</v>
      </c>
      <c r="O1629" s="7">
        <v>10.180300000000001</v>
      </c>
      <c r="P1629" s="7">
        <v>11.531599999999999</v>
      </c>
      <c r="Q1629" s="7">
        <v>14.1305</v>
      </c>
    </row>
    <row r="1630" spans="1:17">
      <c r="A1630" s="5">
        <v>43845</v>
      </c>
      <c r="B1630" s="5" t="str">
        <f t="shared" si="25"/>
        <v>2020 q1</v>
      </c>
      <c r="C1630" s="7">
        <v>5.5491999999999999</v>
      </c>
      <c r="D1630" s="7">
        <v>5.5763999999999996</v>
      </c>
      <c r="E1630" s="7">
        <v>5.6322999999999999</v>
      </c>
      <c r="F1630" s="7">
        <v>5.7160000000000002</v>
      </c>
      <c r="G1630" s="7">
        <v>5.7996999999999996</v>
      </c>
      <c r="H1630" s="7">
        <v>5.8827999999999996</v>
      </c>
      <c r="I1630" s="7">
        <v>6.2137000000000002</v>
      </c>
      <c r="J1630" s="7">
        <v>6.5412999999999997</v>
      </c>
      <c r="K1630" s="7">
        <v>6.8651999999999997</v>
      </c>
      <c r="L1630" s="7">
        <v>7.1798000000000002</v>
      </c>
      <c r="M1630" s="7">
        <v>7.8022999999999998</v>
      </c>
      <c r="N1630" s="7">
        <v>8.7316000000000003</v>
      </c>
      <c r="O1630" s="7">
        <v>10.1823</v>
      </c>
      <c r="P1630" s="7">
        <v>11.5459</v>
      </c>
      <c r="Q1630" s="7">
        <v>14.176</v>
      </c>
    </row>
    <row r="1631" spans="1:17">
      <c r="A1631" s="5">
        <v>43846</v>
      </c>
      <c r="B1631" s="5" t="str">
        <f t="shared" si="25"/>
        <v>2020 q1</v>
      </c>
      <c r="C1631" s="7">
        <v>5.5366</v>
      </c>
      <c r="D1631" s="7">
        <v>5.5639000000000003</v>
      </c>
      <c r="E1631" s="7">
        <v>5.6200999999999999</v>
      </c>
      <c r="F1631" s="7">
        <v>5.7042000000000002</v>
      </c>
      <c r="G1631" s="7">
        <v>5.7882999999999996</v>
      </c>
      <c r="H1631" s="7">
        <v>5.8719000000000001</v>
      </c>
      <c r="I1631" s="7">
        <v>6.2043999999999997</v>
      </c>
      <c r="J1631" s="7">
        <v>6.5336999999999996</v>
      </c>
      <c r="K1631" s="7">
        <v>6.8590999999999998</v>
      </c>
      <c r="L1631" s="7">
        <v>7.1753</v>
      </c>
      <c r="M1631" s="7">
        <v>7.8009000000000004</v>
      </c>
      <c r="N1631" s="7">
        <v>8.7347999999999999</v>
      </c>
      <c r="O1631" s="7">
        <v>10.1927</v>
      </c>
      <c r="P1631" s="7">
        <v>11.562799999999999</v>
      </c>
      <c r="Q1631" s="7">
        <v>14.2056</v>
      </c>
    </row>
    <row r="1632" spans="1:17">
      <c r="A1632" s="5">
        <v>43847</v>
      </c>
      <c r="B1632" s="5" t="str">
        <f t="shared" si="25"/>
        <v>2020 q1</v>
      </c>
      <c r="C1632" s="7">
        <v>5.5392000000000001</v>
      </c>
      <c r="D1632" s="7">
        <v>5.5664999999999996</v>
      </c>
      <c r="E1632" s="7">
        <v>5.6230000000000002</v>
      </c>
      <c r="F1632" s="7">
        <v>5.7073999999999998</v>
      </c>
      <c r="G1632" s="7">
        <v>5.7916999999999996</v>
      </c>
      <c r="H1632" s="7">
        <v>5.8754999999999997</v>
      </c>
      <c r="I1632" s="7">
        <v>6.2091000000000003</v>
      </c>
      <c r="J1632" s="7">
        <v>6.5393999999999997</v>
      </c>
      <c r="K1632" s="7">
        <v>6.8658000000000001</v>
      </c>
      <c r="L1632" s="7">
        <v>7.1829000000000001</v>
      </c>
      <c r="M1632" s="7">
        <v>7.8102999999999998</v>
      </c>
      <c r="N1632" s="7">
        <v>8.7469000000000001</v>
      </c>
      <c r="O1632" s="7">
        <v>10.2087</v>
      </c>
      <c r="P1632" s="7">
        <v>11.5822</v>
      </c>
      <c r="Q1632" s="7">
        <v>14.231299999999999</v>
      </c>
    </row>
    <row r="1633" spans="1:17">
      <c r="A1633" s="5">
        <v>43850</v>
      </c>
      <c r="B1633" s="5" t="str">
        <f t="shared" si="25"/>
        <v>2020 q1</v>
      </c>
      <c r="C1633" s="7">
        <v>5.593</v>
      </c>
      <c r="D1633" s="7">
        <v>5.6199000000000003</v>
      </c>
      <c r="E1633" s="7">
        <v>5.6753</v>
      </c>
      <c r="F1633" s="7">
        <v>5.7580999999999998</v>
      </c>
      <c r="G1633" s="7">
        <v>5.8409000000000004</v>
      </c>
      <c r="H1633" s="7">
        <v>5.9234999999999998</v>
      </c>
      <c r="I1633" s="7">
        <v>6.2510000000000003</v>
      </c>
      <c r="J1633" s="7">
        <v>6.5753000000000004</v>
      </c>
      <c r="K1633" s="7">
        <v>6.8959999999999999</v>
      </c>
      <c r="L1633" s="7">
        <v>7.2076000000000002</v>
      </c>
      <c r="M1633" s="7">
        <v>7.8244999999999996</v>
      </c>
      <c r="N1633" s="7">
        <v>8.7453000000000003</v>
      </c>
      <c r="O1633" s="7">
        <v>10.184200000000001</v>
      </c>
      <c r="P1633" s="7">
        <v>11.537599999999999</v>
      </c>
      <c r="Q1633" s="7">
        <v>14.149699999999999</v>
      </c>
    </row>
    <row r="1634" spans="1:17">
      <c r="A1634" s="5">
        <v>43851</v>
      </c>
      <c r="B1634" s="5" t="str">
        <f t="shared" si="25"/>
        <v>2020 q1</v>
      </c>
      <c r="C1634" s="7">
        <v>5.5631000000000004</v>
      </c>
      <c r="D1634" s="7">
        <v>5.5902000000000003</v>
      </c>
      <c r="E1634" s="7">
        <v>5.6462000000000003</v>
      </c>
      <c r="F1634" s="7">
        <v>5.7298999999999998</v>
      </c>
      <c r="G1634" s="7">
        <v>5.8135000000000003</v>
      </c>
      <c r="H1634" s="7">
        <v>5.8971</v>
      </c>
      <c r="I1634" s="7">
        <v>6.2281000000000004</v>
      </c>
      <c r="J1634" s="7">
        <v>6.5556999999999999</v>
      </c>
      <c r="K1634" s="7">
        <v>6.8796999999999997</v>
      </c>
      <c r="L1634" s="7">
        <v>7.1943999999999999</v>
      </c>
      <c r="M1634" s="7">
        <v>7.8174999999999999</v>
      </c>
      <c r="N1634" s="7">
        <v>8.7474000000000007</v>
      </c>
      <c r="O1634" s="7">
        <v>10.1997</v>
      </c>
      <c r="P1634" s="7">
        <v>11.5647</v>
      </c>
      <c r="Q1634" s="7">
        <v>14.198499999999999</v>
      </c>
    </row>
    <row r="1635" spans="1:17">
      <c r="A1635" s="5">
        <v>43852</v>
      </c>
      <c r="B1635" s="5" t="str">
        <f t="shared" si="25"/>
        <v>2020 q1</v>
      </c>
      <c r="C1635" s="7">
        <v>5.5182000000000002</v>
      </c>
      <c r="D1635" s="7">
        <v>5.5449999999999999</v>
      </c>
      <c r="E1635" s="7">
        <v>5.6002999999999998</v>
      </c>
      <c r="F1635" s="7">
        <v>5.6829999999999998</v>
      </c>
      <c r="G1635" s="7">
        <v>5.7656000000000001</v>
      </c>
      <c r="H1635" s="7">
        <v>5.8482000000000003</v>
      </c>
      <c r="I1635" s="7">
        <v>6.1750999999999996</v>
      </c>
      <c r="J1635" s="7">
        <v>6.4989999999999997</v>
      </c>
      <c r="K1635" s="7">
        <v>6.8192000000000004</v>
      </c>
      <c r="L1635" s="7">
        <v>7.1303000000000001</v>
      </c>
      <c r="M1635" s="7">
        <v>7.7465000000000002</v>
      </c>
      <c r="N1635" s="7">
        <v>8.6660000000000004</v>
      </c>
      <c r="O1635" s="7">
        <v>10.1035</v>
      </c>
      <c r="P1635" s="7">
        <v>11.455500000000001</v>
      </c>
      <c r="Q1635" s="7">
        <v>14.065799999999999</v>
      </c>
    </row>
    <row r="1636" spans="1:17">
      <c r="A1636" s="5">
        <v>43853</v>
      </c>
      <c r="B1636" s="5" t="str">
        <f t="shared" si="25"/>
        <v>2020 q1</v>
      </c>
      <c r="C1636" s="7">
        <v>5.4744999999999999</v>
      </c>
      <c r="D1636" s="7">
        <v>5.5019999999999998</v>
      </c>
      <c r="E1636" s="7">
        <v>5.5586000000000002</v>
      </c>
      <c r="F1636" s="7">
        <v>5.6433999999999997</v>
      </c>
      <c r="G1636" s="7">
        <v>5.7279</v>
      </c>
      <c r="H1636" s="7">
        <v>5.8124000000000002</v>
      </c>
      <c r="I1636" s="7">
        <v>6.1470000000000002</v>
      </c>
      <c r="J1636" s="7">
        <v>6.4785000000000004</v>
      </c>
      <c r="K1636" s="7">
        <v>6.8060999999999998</v>
      </c>
      <c r="L1636" s="7">
        <v>7.1242000000000001</v>
      </c>
      <c r="M1636" s="7">
        <v>7.7541000000000002</v>
      </c>
      <c r="N1636" s="7">
        <v>8.6938999999999993</v>
      </c>
      <c r="O1636" s="7">
        <v>10.161</v>
      </c>
      <c r="P1636" s="7">
        <v>11.5389</v>
      </c>
      <c r="Q1636" s="7">
        <v>14.196999999999999</v>
      </c>
    </row>
    <row r="1637" spans="1:17">
      <c r="A1637" s="5">
        <v>43854</v>
      </c>
      <c r="B1637" s="5" t="str">
        <f t="shared" si="25"/>
        <v>2020 q1</v>
      </c>
      <c r="C1637" s="7">
        <v>5.5613999999999999</v>
      </c>
      <c r="D1637" s="7">
        <v>5.5876000000000001</v>
      </c>
      <c r="E1637" s="7">
        <v>5.6417000000000002</v>
      </c>
      <c r="F1637" s="7">
        <v>5.7228000000000003</v>
      </c>
      <c r="G1637" s="7">
        <v>5.8036000000000003</v>
      </c>
      <c r="H1637" s="7">
        <v>5.8844000000000003</v>
      </c>
      <c r="I1637" s="7">
        <v>6.2045000000000003</v>
      </c>
      <c r="J1637" s="7">
        <v>6.5214999999999996</v>
      </c>
      <c r="K1637" s="7">
        <v>6.8352000000000004</v>
      </c>
      <c r="L1637" s="7">
        <v>7.1424000000000003</v>
      </c>
      <c r="M1637" s="7">
        <v>7.7529000000000003</v>
      </c>
      <c r="N1637" s="7">
        <v>8.6453000000000007</v>
      </c>
      <c r="O1637" s="7">
        <v>10.0563</v>
      </c>
      <c r="P1637" s="7">
        <v>11.385</v>
      </c>
      <c r="Q1637" s="7">
        <v>13.952500000000001</v>
      </c>
    </row>
    <row r="1638" spans="1:17">
      <c r="A1638" s="5">
        <v>43859</v>
      </c>
      <c r="B1638" s="5" t="str">
        <f t="shared" si="25"/>
        <v>2020 q1</v>
      </c>
      <c r="C1638" s="7">
        <v>5.5423</v>
      </c>
      <c r="D1638" s="7">
        <v>5.5685000000000002</v>
      </c>
      <c r="E1638" s="7">
        <v>5.6223999999999998</v>
      </c>
      <c r="F1638" s="7">
        <v>5.7031999999999998</v>
      </c>
      <c r="G1638" s="7">
        <v>5.7838000000000003</v>
      </c>
      <c r="H1638" s="7">
        <v>5.8643999999999998</v>
      </c>
      <c r="I1638" s="7">
        <v>6.1836000000000002</v>
      </c>
      <c r="J1638" s="7">
        <v>6.4996999999999998</v>
      </c>
      <c r="K1638" s="7">
        <v>6.8125</v>
      </c>
      <c r="L1638" s="7">
        <v>7.1165000000000003</v>
      </c>
      <c r="M1638" s="7">
        <v>7.7188999999999997</v>
      </c>
      <c r="N1638" s="7">
        <v>8.6178000000000008</v>
      </c>
      <c r="O1638" s="7">
        <v>10.025499999999999</v>
      </c>
      <c r="P1638" s="7">
        <v>11.3512</v>
      </c>
      <c r="Q1638" s="7">
        <v>13.9133</v>
      </c>
    </row>
    <row r="1639" spans="1:17">
      <c r="A1639" s="5">
        <v>43860</v>
      </c>
      <c r="B1639" s="5" t="str">
        <f t="shared" si="25"/>
        <v>2020 q1</v>
      </c>
      <c r="C1639" s="7">
        <v>5.5374999999999996</v>
      </c>
      <c r="D1639" s="7">
        <v>5.5631000000000004</v>
      </c>
      <c r="E1639" s="7">
        <v>5.6161000000000003</v>
      </c>
      <c r="F1639" s="7">
        <v>5.6954000000000002</v>
      </c>
      <c r="G1639" s="7">
        <v>5.7744999999999997</v>
      </c>
      <c r="H1639" s="7">
        <v>5.8535000000000004</v>
      </c>
      <c r="I1639" s="7">
        <v>6.1668000000000003</v>
      </c>
      <c r="J1639" s="7">
        <v>6.4771999999999998</v>
      </c>
      <c r="K1639" s="7">
        <v>6.7843</v>
      </c>
      <c r="L1639" s="7">
        <v>7.0827999999999998</v>
      </c>
      <c r="M1639" s="7">
        <v>7.6748000000000003</v>
      </c>
      <c r="N1639" s="7">
        <v>8.5579999999999998</v>
      </c>
      <c r="O1639" s="7">
        <v>9.9431999999999992</v>
      </c>
      <c r="P1639" s="7">
        <v>11.248799999999999</v>
      </c>
      <c r="Q1639" s="7">
        <v>13.7745</v>
      </c>
    </row>
    <row r="1640" spans="1:17">
      <c r="A1640" s="5">
        <v>43861</v>
      </c>
      <c r="B1640" s="5" t="str">
        <f t="shared" si="25"/>
        <v>2020 q1</v>
      </c>
      <c r="C1640" s="7">
        <v>5.55</v>
      </c>
      <c r="D1640" s="7">
        <v>5.5750000000000002</v>
      </c>
      <c r="E1640" s="7">
        <v>5.6265999999999998</v>
      </c>
      <c r="F1640" s="7">
        <v>5.7039999999999997</v>
      </c>
      <c r="G1640" s="7">
        <v>5.7812999999999999</v>
      </c>
      <c r="H1640" s="7">
        <v>5.8582000000000001</v>
      </c>
      <c r="I1640" s="7">
        <v>6.1641000000000004</v>
      </c>
      <c r="J1640" s="7">
        <v>6.4669999999999996</v>
      </c>
      <c r="K1640" s="7">
        <v>6.7667999999999999</v>
      </c>
      <c r="L1640" s="7">
        <v>7.0585000000000004</v>
      </c>
      <c r="M1640" s="7">
        <v>7.6369999999999996</v>
      </c>
      <c r="N1640" s="7">
        <v>8.5001999999999995</v>
      </c>
      <c r="O1640" s="7">
        <v>9.8560999999999996</v>
      </c>
      <c r="P1640" s="7">
        <v>11.1358</v>
      </c>
      <c r="Q1640" s="7">
        <v>13.6137</v>
      </c>
    </row>
    <row r="1641" spans="1:17">
      <c r="A1641" s="5">
        <v>43862</v>
      </c>
      <c r="B1641" s="5" t="str">
        <f t="shared" si="25"/>
        <v>2020 q1</v>
      </c>
      <c r="C1641" s="7">
        <v>5.4931000000000001</v>
      </c>
      <c r="D1641" s="7">
        <v>5.5185000000000004</v>
      </c>
      <c r="E1641" s="7">
        <v>5.5711000000000004</v>
      </c>
      <c r="F1641" s="7">
        <v>5.6497999999999999</v>
      </c>
      <c r="G1641" s="7">
        <v>5.7283999999999997</v>
      </c>
      <c r="H1641" s="7">
        <v>5.8061999999999996</v>
      </c>
      <c r="I1641" s="7">
        <v>6.1173999999999999</v>
      </c>
      <c r="J1641" s="7">
        <v>6.4256000000000002</v>
      </c>
      <c r="K1641" s="7">
        <v>6.7304000000000004</v>
      </c>
      <c r="L1641" s="7">
        <v>7.0313999999999997</v>
      </c>
      <c r="M1641" s="7">
        <v>7.6208999999999998</v>
      </c>
      <c r="N1641" s="7">
        <v>8.4914000000000005</v>
      </c>
      <c r="O1641" s="7">
        <v>9.8675999999999995</v>
      </c>
      <c r="P1641" s="7">
        <v>11.1652</v>
      </c>
      <c r="Q1641" s="7">
        <v>13.676500000000001</v>
      </c>
    </row>
    <row r="1642" spans="1:17">
      <c r="A1642" s="5">
        <v>43864</v>
      </c>
      <c r="B1642" s="5" t="str">
        <f t="shared" si="25"/>
        <v>2020 q1</v>
      </c>
      <c r="C1642" s="7">
        <v>5.5519999999999996</v>
      </c>
      <c r="D1642" s="7">
        <v>5.5773000000000001</v>
      </c>
      <c r="E1642" s="7">
        <v>5.6295000000000002</v>
      </c>
      <c r="F1642" s="7">
        <v>5.7077</v>
      </c>
      <c r="G1642" s="7">
        <v>5.7857000000000003</v>
      </c>
      <c r="H1642" s="7">
        <v>5.8634000000000004</v>
      </c>
      <c r="I1642" s="7">
        <v>6.1723999999999997</v>
      </c>
      <c r="J1642" s="7">
        <v>6.4783999999999997</v>
      </c>
      <c r="K1642" s="7">
        <v>6.7812999999999999</v>
      </c>
      <c r="L1642" s="7">
        <v>7.0757000000000003</v>
      </c>
      <c r="M1642" s="7">
        <v>7.6599000000000004</v>
      </c>
      <c r="N1642" s="7">
        <v>8.5312999999999999</v>
      </c>
      <c r="O1642" s="7">
        <v>9.8994</v>
      </c>
      <c r="P1642" s="7">
        <v>11.1898</v>
      </c>
      <c r="Q1642" s="7">
        <v>13.6876</v>
      </c>
    </row>
    <row r="1643" spans="1:17">
      <c r="A1643" s="5">
        <v>43865</v>
      </c>
      <c r="B1643" s="5" t="str">
        <f t="shared" si="25"/>
        <v>2020 q1</v>
      </c>
      <c r="C1643" s="7">
        <v>5.5522999999999998</v>
      </c>
      <c r="D1643" s="7">
        <v>5.5769000000000002</v>
      </c>
      <c r="E1643" s="7">
        <v>5.6277999999999997</v>
      </c>
      <c r="F1643" s="7">
        <v>5.7039</v>
      </c>
      <c r="G1643" s="7">
        <v>5.7797999999999998</v>
      </c>
      <c r="H1643" s="7">
        <v>5.8558000000000003</v>
      </c>
      <c r="I1643" s="7">
        <v>6.1567999999999996</v>
      </c>
      <c r="J1643" s="7">
        <v>6.4550999999999998</v>
      </c>
      <c r="K1643" s="7">
        <v>6.7504</v>
      </c>
      <c r="L1643" s="7">
        <v>7.0420999999999996</v>
      </c>
      <c r="M1643" s="7">
        <v>7.6136999999999997</v>
      </c>
      <c r="N1643" s="7">
        <v>8.4582999999999995</v>
      </c>
      <c r="O1643" s="7">
        <v>9.7957999999999998</v>
      </c>
      <c r="P1643" s="7">
        <v>11.059100000000001</v>
      </c>
      <c r="Q1643" s="7">
        <v>13.5069</v>
      </c>
    </row>
    <row r="1644" spans="1:17">
      <c r="A1644" s="5">
        <v>43866</v>
      </c>
      <c r="B1644" s="5" t="str">
        <f t="shared" si="25"/>
        <v>2020 q1</v>
      </c>
      <c r="C1644" s="7">
        <v>5.5602</v>
      </c>
      <c r="D1644" s="7">
        <v>5.5846</v>
      </c>
      <c r="E1644" s="7">
        <v>5.6349</v>
      </c>
      <c r="F1644" s="7">
        <v>5.7103000000000002</v>
      </c>
      <c r="G1644" s="7">
        <v>5.7855999999999996</v>
      </c>
      <c r="H1644" s="7">
        <v>5.8608000000000002</v>
      </c>
      <c r="I1644" s="7">
        <v>6.1589</v>
      </c>
      <c r="J1644" s="7">
        <v>6.4543999999999997</v>
      </c>
      <c r="K1644" s="7">
        <v>6.7469000000000001</v>
      </c>
      <c r="L1644" s="7">
        <v>7.0315000000000003</v>
      </c>
      <c r="M1644" s="7">
        <v>7.5964999999999998</v>
      </c>
      <c r="N1644" s="7">
        <v>8.4392999999999994</v>
      </c>
      <c r="O1644" s="7">
        <v>9.7655999999999992</v>
      </c>
      <c r="P1644" s="7">
        <v>11.0189</v>
      </c>
      <c r="Q1644" s="7">
        <v>13.4482</v>
      </c>
    </row>
    <row r="1645" spans="1:17">
      <c r="A1645" s="5">
        <v>43867</v>
      </c>
      <c r="B1645" s="5" t="str">
        <f t="shared" si="25"/>
        <v>2020 q1</v>
      </c>
      <c r="C1645" s="7">
        <v>5.4970999999999997</v>
      </c>
      <c r="D1645" s="7">
        <v>5.5218999999999996</v>
      </c>
      <c r="E1645" s="7">
        <v>5.5731999999999999</v>
      </c>
      <c r="F1645" s="7">
        <v>5.65</v>
      </c>
      <c r="G1645" s="7">
        <v>5.7266000000000004</v>
      </c>
      <c r="H1645" s="7">
        <v>5.8030999999999997</v>
      </c>
      <c r="I1645" s="7">
        <v>6.1066000000000003</v>
      </c>
      <c r="J1645" s="7">
        <v>6.4074</v>
      </c>
      <c r="K1645" s="7">
        <v>6.7050999999999998</v>
      </c>
      <c r="L1645" s="7">
        <v>6.9946000000000002</v>
      </c>
      <c r="M1645" s="7">
        <v>7.5693000000000001</v>
      </c>
      <c r="N1645" s="7">
        <v>8.4263999999999992</v>
      </c>
      <c r="O1645" s="7">
        <v>9.7738999999999994</v>
      </c>
      <c r="P1645" s="7">
        <v>11.046099999999999</v>
      </c>
      <c r="Q1645" s="7">
        <v>13.5107</v>
      </c>
    </row>
    <row r="1646" spans="1:17">
      <c r="A1646" s="5">
        <v>43868</v>
      </c>
      <c r="B1646" s="5" t="str">
        <f t="shared" si="25"/>
        <v>2020 q1</v>
      </c>
      <c r="C1646" s="7">
        <v>5.5614999999999997</v>
      </c>
      <c r="D1646" s="7">
        <v>5.585</v>
      </c>
      <c r="E1646" s="7">
        <v>5.6337000000000002</v>
      </c>
      <c r="F1646" s="7">
        <v>5.7065000000000001</v>
      </c>
      <c r="G1646" s="7">
        <v>5.7790999999999997</v>
      </c>
      <c r="H1646" s="7">
        <v>5.8517999999999999</v>
      </c>
      <c r="I1646" s="7">
        <v>6.1398000000000001</v>
      </c>
      <c r="J1646" s="7">
        <v>6.4253</v>
      </c>
      <c r="K1646" s="7">
        <v>6.7081</v>
      </c>
      <c r="L1646" s="7">
        <v>6.9835000000000003</v>
      </c>
      <c r="M1646" s="7">
        <v>7.5304000000000002</v>
      </c>
      <c r="N1646" s="7">
        <v>8.3462999999999994</v>
      </c>
      <c r="O1646" s="7">
        <v>9.6327999999999996</v>
      </c>
      <c r="P1646" s="7">
        <v>10.850899999999999</v>
      </c>
      <c r="Q1646" s="7">
        <v>13.214700000000001</v>
      </c>
    </row>
    <row r="1647" spans="1:17">
      <c r="A1647" s="5">
        <v>43871</v>
      </c>
      <c r="B1647" s="5" t="str">
        <f t="shared" si="25"/>
        <v>2020 q1</v>
      </c>
      <c r="C1647" s="7">
        <v>5.5730000000000004</v>
      </c>
      <c r="D1647" s="7">
        <v>5.5963000000000003</v>
      </c>
      <c r="E1647" s="7">
        <v>5.6444000000000001</v>
      </c>
      <c r="F1647" s="7">
        <v>5.7164000000000001</v>
      </c>
      <c r="G1647" s="7">
        <v>5.7882999999999996</v>
      </c>
      <c r="H1647" s="7">
        <v>5.8601999999999999</v>
      </c>
      <c r="I1647" s="7">
        <v>6.1452</v>
      </c>
      <c r="J1647" s="7">
        <v>6.4276999999999997</v>
      </c>
      <c r="K1647" s="7">
        <v>6.7074999999999996</v>
      </c>
      <c r="L1647" s="7">
        <v>6.9801000000000002</v>
      </c>
      <c r="M1647" s="7">
        <v>7.5214999999999996</v>
      </c>
      <c r="N1647" s="7">
        <v>8.3292000000000002</v>
      </c>
      <c r="O1647" s="7">
        <v>9.6036999999999999</v>
      </c>
      <c r="P1647" s="7">
        <v>10.811</v>
      </c>
      <c r="Q1647" s="7">
        <v>13.1548</v>
      </c>
    </row>
    <row r="1648" spans="1:17">
      <c r="A1648" s="5">
        <v>43872</v>
      </c>
      <c r="B1648" s="5" t="str">
        <f t="shared" si="25"/>
        <v>2020 q1</v>
      </c>
      <c r="C1648" s="7">
        <v>5.5757000000000003</v>
      </c>
      <c r="D1648" s="7">
        <v>5.5986000000000002</v>
      </c>
      <c r="E1648" s="7">
        <v>5.6459999999999999</v>
      </c>
      <c r="F1648" s="7">
        <v>5.7168999999999999</v>
      </c>
      <c r="G1648" s="7">
        <v>5.7876000000000003</v>
      </c>
      <c r="H1648" s="7">
        <v>5.8582999999999998</v>
      </c>
      <c r="I1648" s="7">
        <v>6.1388999999999996</v>
      </c>
      <c r="J1648" s="7">
        <v>6.4169999999999998</v>
      </c>
      <c r="K1648" s="7">
        <v>6.6925999999999997</v>
      </c>
      <c r="L1648" s="7">
        <v>6.9610000000000003</v>
      </c>
      <c r="M1648" s="7">
        <v>7.4943999999999997</v>
      </c>
      <c r="N1648" s="7">
        <v>8.2901000000000007</v>
      </c>
      <c r="O1648" s="7">
        <v>9.5470000000000006</v>
      </c>
      <c r="P1648" s="7">
        <v>10.7384</v>
      </c>
      <c r="Q1648" s="7">
        <v>13.0528</v>
      </c>
    </row>
    <row r="1649" spans="1:17">
      <c r="A1649" s="5">
        <v>43873</v>
      </c>
      <c r="B1649" s="5" t="str">
        <f t="shared" si="25"/>
        <v>2020 q1</v>
      </c>
      <c r="C1649" s="7">
        <v>5.4017999999999997</v>
      </c>
      <c r="D1649" s="7">
        <v>5.4261999999999997</v>
      </c>
      <c r="E1649" s="7">
        <v>5.4767000000000001</v>
      </c>
      <c r="F1649" s="7">
        <v>5.5522999999999998</v>
      </c>
      <c r="G1649" s="7">
        <v>5.6277999999999997</v>
      </c>
      <c r="H1649" s="7">
        <v>5.7031000000000001</v>
      </c>
      <c r="I1649" s="7">
        <v>6.0021000000000004</v>
      </c>
      <c r="J1649" s="7">
        <v>6.2983000000000002</v>
      </c>
      <c r="K1649" s="7">
        <v>6.5918000000000001</v>
      </c>
      <c r="L1649" s="7">
        <v>6.8769</v>
      </c>
      <c r="M1649" s="7">
        <v>7.4435000000000002</v>
      </c>
      <c r="N1649" s="7">
        <v>8.2883999999999993</v>
      </c>
      <c r="O1649" s="7">
        <v>9.6184999999999992</v>
      </c>
      <c r="P1649" s="7">
        <v>10.8751</v>
      </c>
      <c r="Q1649" s="7">
        <v>13.3117</v>
      </c>
    </row>
    <row r="1650" spans="1:17">
      <c r="A1650" s="5">
        <v>43874</v>
      </c>
      <c r="B1650" s="5" t="str">
        <f t="shared" si="25"/>
        <v>2020 q1</v>
      </c>
      <c r="C1650" s="7">
        <v>5.5109000000000004</v>
      </c>
      <c r="D1650" s="7">
        <v>5.5294999999999996</v>
      </c>
      <c r="E1650" s="7">
        <v>5.5681000000000003</v>
      </c>
      <c r="F1650" s="7">
        <v>5.6265000000000001</v>
      </c>
      <c r="G1650" s="7">
        <v>5.6852999999999998</v>
      </c>
      <c r="H1650" s="7">
        <v>5.7443</v>
      </c>
      <c r="I1650" s="7">
        <v>5.9882</v>
      </c>
      <c r="J1650" s="7">
        <v>6.2393999999999998</v>
      </c>
      <c r="K1650" s="7">
        <v>6.4973000000000001</v>
      </c>
      <c r="L1650" s="7">
        <v>6.7614999999999998</v>
      </c>
      <c r="M1650" s="7">
        <v>7.3021000000000003</v>
      </c>
      <c r="N1650" s="7">
        <v>8.1205999999999996</v>
      </c>
      <c r="O1650" s="7">
        <v>9.4771000000000001</v>
      </c>
      <c r="P1650" s="7">
        <v>10.744999999999999</v>
      </c>
      <c r="Q1650" s="7">
        <v>13.1889</v>
      </c>
    </row>
    <row r="1651" spans="1:17">
      <c r="A1651" s="5">
        <v>43875</v>
      </c>
      <c r="B1651" s="5" t="str">
        <f t="shared" si="25"/>
        <v>2020 q1</v>
      </c>
      <c r="C1651" s="7">
        <v>5.4794999999999998</v>
      </c>
      <c r="D1651" s="7">
        <v>5.5019</v>
      </c>
      <c r="E1651" s="7">
        <v>5.5480999999999998</v>
      </c>
      <c r="F1651" s="7">
        <v>5.6173999999999999</v>
      </c>
      <c r="G1651" s="7">
        <v>5.6864999999999997</v>
      </c>
      <c r="H1651" s="7">
        <v>5.7554999999999996</v>
      </c>
      <c r="I1651" s="7">
        <v>6.0297000000000001</v>
      </c>
      <c r="J1651" s="7">
        <v>6.3015999999999996</v>
      </c>
      <c r="K1651" s="7">
        <v>6.5709999999999997</v>
      </c>
      <c r="L1651" s="7">
        <v>6.8354999999999997</v>
      </c>
      <c r="M1651" s="7">
        <v>7.3621999999999996</v>
      </c>
      <c r="N1651" s="7">
        <v>8.1356000000000002</v>
      </c>
      <c r="O1651" s="7">
        <v>9.3703000000000003</v>
      </c>
      <c r="P1651" s="7">
        <v>10.534700000000001</v>
      </c>
      <c r="Q1651" s="7">
        <v>12.807600000000001</v>
      </c>
    </row>
    <row r="1652" spans="1:17">
      <c r="A1652" s="5">
        <v>43878</v>
      </c>
      <c r="B1652" s="5" t="str">
        <f t="shared" si="25"/>
        <v>2020 q1</v>
      </c>
      <c r="C1652" s="7">
        <v>5.4612999999999996</v>
      </c>
      <c r="D1652" s="7">
        <v>5.4846000000000004</v>
      </c>
      <c r="E1652" s="7">
        <v>5.5327000000000002</v>
      </c>
      <c r="F1652" s="7">
        <v>5.6047000000000002</v>
      </c>
      <c r="G1652" s="7">
        <v>5.6765999999999996</v>
      </c>
      <c r="H1652" s="7">
        <v>5.7484000000000002</v>
      </c>
      <c r="I1652" s="7">
        <v>6.0324999999999998</v>
      </c>
      <c r="J1652" s="7">
        <v>6.3132999999999999</v>
      </c>
      <c r="K1652" s="7">
        <v>6.5904999999999996</v>
      </c>
      <c r="L1652" s="7">
        <v>6.8605999999999998</v>
      </c>
      <c r="M1652" s="7">
        <v>7.3977000000000004</v>
      </c>
      <c r="N1652" s="7">
        <v>8.1774000000000004</v>
      </c>
      <c r="O1652" s="7">
        <v>9.4</v>
      </c>
      <c r="P1652" s="7">
        <v>10.536799999999999</v>
      </c>
      <c r="Q1652" s="7">
        <v>12.7217</v>
      </c>
    </row>
    <row r="1653" spans="1:17">
      <c r="A1653" s="5">
        <v>43879</v>
      </c>
      <c r="B1653" s="5" t="str">
        <f t="shared" si="25"/>
        <v>2020 q1</v>
      </c>
      <c r="C1653" s="7">
        <v>5.548</v>
      </c>
      <c r="D1653" s="7">
        <v>5.5669000000000004</v>
      </c>
      <c r="E1653" s="7">
        <v>5.6058000000000003</v>
      </c>
      <c r="F1653" s="7">
        <v>5.6642999999999999</v>
      </c>
      <c r="G1653" s="7">
        <v>5.7240000000000002</v>
      </c>
      <c r="H1653" s="7">
        <v>5.7839</v>
      </c>
      <c r="I1653" s="7">
        <v>6.0236000000000001</v>
      </c>
      <c r="J1653" s="7">
        <v>6.2682000000000002</v>
      </c>
      <c r="K1653" s="7">
        <v>6.5170000000000003</v>
      </c>
      <c r="L1653" s="7">
        <v>6.7691999999999997</v>
      </c>
      <c r="M1653" s="7">
        <v>7.2786999999999997</v>
      </c>
      <c r="N1653" s="7">
        <v>8.0470000000000006</v>
      </c>
      <c r="O1653" s="7">
        <v>9.3069000000000006</v>
      </c>
      <c r="P1653" s="7">
        <v>10.489100000000001</v>
      </c>
      <c r="Q1653" s="7">
        <v>12.773400000000001</v>
      </c>
    </row>
    <row r="1654" spans="1:17">
      <c r="A1654" s="5">
        <v>43880</v>
      </c>
      <c r="B1654" s="5" t="str">
        <f t="shared" si="25"/>
        <v>2020 q1</v>
      </c>
      <c r="C1654" s="7">
        <v>5.5317999999999996</v>
      </c>
      <c r="D1654" s="7">
        <v>5.5533999999999999</v>
      </c>
      <c r="E1654" s="7">
        <v>5.5979999999999999</v>
      </c>
      <c r="F1654" s="7">
        <v>5.6649000000000003</v>
      </c>
      <c r="G1654" s="7">
        <v>5.7313000000000001</v>
      </c>
      <c r="H1654" s="7">
        <v>5.7976000000000001</v>
      </c>
      <c r="I1654" s="7">
        <v>6.0628000000000002</v>
      </c>
      <c r="J1654" s="7">
        <v>6.3254000000000001</v>
      </c>
      <c r="K1654" s="7">
        <v>6.5857000000000001</v>
      </c>
      <c r="L1654" s="7">
        <v>6.8395000000000001</v>
      </c>
      <c r="M1654" s="7">
        <v>7.3442999999999996</v>
      </c>
      <c r="N1654" s="7">
        <v>8.0988000000000007</v>
      </c>
      <c r="O1654" s="7">
        <v>9.2949999999999999</v>
      </c>
      <c r="P1654" s="7">
        <v>10.4254</v>
      </c>
      <c r="Q1654" s="7">
        <v>12.6341</v>
      </c>
    </row>
    <row r="1655" spans="1:17">
      <c r="A1655" s="5">
        <v>43881</v>
      </c>
      <c r="B1655" s="5" t="str">
        <f t="shared" si="25"/>
        <v>2020 q1</v>
      </c>
      <c r="C1655" s="7">
        <v>5.5799000000000003</v>
      </c>
      <c r="D1655" s="7">
        <v>5.5956999999999999</v>
      </c>
      <c r="E1655" s="7">
        <v>5.6283000000000003</v>
      </c>
      <c r="F1655" s="7">
        <v>5.6776</v>
      </c>
      <c r="G1655" s="7">
        <v>5.7298999999999998</v>
      </c>
      <c r="H1655" s="7">
        <v>5.7826000000000004</v>
      </c>
      <c r="I1655" s="7">
        <v>5.9935</v>
      </c>
      <c r="J1655" s="7">
        <v>6.2172999999999998</v>
      </c>
      <c r="K1655" s="7">
        <v>6.4520999999999997</v>
      </c>
      <c r="L1655" s="7">
        <v>6.6970000000000001</v>
      </c>
      <c r="M1655" s="7">
        <v>7.2089999999999996</v>
      </c>
      <c r="N1655" s="7">
        <v>7.9936999999999996</v>
      </c>
      <c r="O1655" s="7">
        <v>9.3315999999999999</v>
      </c>
      <c r="P1655" s="7">
        <v>10.5991</v>
      </c>
      <c r="Q1655" s="7">
        <v>13.062200000000001</v>
      </c>
    </row>
    <row r="1656" spans="1:17">
      <c r="A1656" s="5">
        <v>43882</v>
      </c>
      <c r="B1656" s="5" t="str">
        <f t="shared" si="25"/>
        <v>2020 q1</v>
      </c>
      <c r="C1656" s="7">
        <v>5.5643000000000002</v>
      </c>
      <c r="D1656" s="7">
        <v>5.5805999999999996</v>
      </c>
      <c r="E1656" s="7">
        <v>5.6143000000000001</v>
      </c>
      <c r="F1656" s="7">
        <v>5.6653000000000002</v>
      </c>
      <c r="G1656" s="7">
        <v>5.7192999999999996</v>
      </c>
      <c r="H1656" s="7">
        <v>5.7737999999999996</v>
      </c>
      <c r="I1656" s="7">
        <v>5.9913999999999996</v>
      </c>
      <c r="J1656" s="7">
        <v>6.2220000000000004</v>
      </c>
      <c r="K1656" s="7">
        <v>6.4635999999999996</v>
      </c>
      <c r="L1656" s="7">
        <v>6.7149999999999999</v>
      </c>
      <c r="M1656" s="7">
        <v>7.2393000000000001</v>
      </c>
      <c r="N1656" s="7">
        <v>8.0417000000000005</v>
      </c>
      <c r="O1656" s="7">
        <v>9.4031000000000002</v>
      </c>
      <c r="P1656" s="7">
        <v>10.6873</v>
      </c>
      <c r="Q1656" s="7">
        <v>13.1768</v>
      </c>
    </row>
    <row r="1657" spans="1:17">
      <c r="A1657" s="5">
        <v>43885</v>
      </c>
      <c r="B1657" s="5" t="str">
        <f t="shared" si="25"/>
        <v>2020 q1</v>
      </c>
      <c r="C1657" s="7">
        <v>5.5430999999999999</v>
      </c>
      <c r="D1657" s="7">
        <v>5.5624000000000002</v>
      </c>
      <c r="E1657" s="7">
        <v>5.6022999999999996</v>
      </c>
      <c r="F1657" s="7">
        <v>5.6622000000000003</v>
      </c>
      <c r="G1657" s="7">
        <v>5.7237</v>
      </c>
      <c r="H1657" s="7">
        <v>5.7854000000000001</v>
      </c>
      <c r="I1657" s="7">
        <v>6.032</v>
      </c>
      <c r="J1657" s="7">
        <v>6.2850000000000001</v>
      </c>
      <c r="K1657" s="7">
        <v>6.5430000000000001</v>
      </c>
      <c r="L1657" s="7">
        <v>6.8079000000000001</v>
      </c>
      <c r="M1657" s="7">
        <v>7.3404999999999996</v>
      </c>
      <c r="N1657" s="7">
        <v>8.1382999999999992</v>
      </c>
      <c r="O1657" s="7">
        <v>9.4537999999999993</v>
      </c>
      <c r="P1657" s="7">
        <v>10.681900000000001</v>
      </c>
      <c r="Q1657" s="7">
        <v>13.0495</v>
      </c>
    </row>
    <row r="1658" spans="1:17">
      <c r="A1658" s="5">
        <v>43886</v>
      </c>
      <c r="B1658" s="5" t="str">
        <f t="shared" si="25"/>
        <v>2020 q1</v>
      </c>
      <c r="C1658" s="7">
        <v>5.5087000000000002</v>
      </c>
      <c r="D1658" s="7">
        <v>5.5311000000000003</v>
      </c>
      <c r="E1658" s="7">
        <v>5.5772000000000004</v>
      </c>
      <c r="F1658" s="7">
        <v>5.6463000000000001</v>
      </c>
      <c r="G1658" s="7">
        <v>5.7148000000000003</v>
      </c>
      <c r="H1658" s="7">
        <v>5.7834000000000003</v>
      </c>
      <c r="I1658" s="7">
        <v>6.0574000000000003</v>
      </c>
      <c r="J1658" s="7">
        <v>6.3285999999999998</v>
      </c>
      <c r="K1658" s="7">
        <v>6.5972999999999997</v>
      </c>
      <c r="L1658" s="7">
        <v>6.8606999999999996</v>
      </c>
      <c r="M1658" s="7">
        <v>7.3855000000000004</v>
      </c>
      <c r="N1658" s="7">
        <v>8.1561000000000003</v>
      </c>
      <c r="O1658" s="7">
        <v>9.3850999999999996</v>
      </c>
      <c r="P1658" s="7">
        <v>10.551</v>
      </c>
      <c r="Q1658" s="7">
        <v>12.8193</v>
      </c>
    </row>
    <row r="1659" spans="1:17">
      <c r="A1659" s="5">
        <v>43887</v>
      </c>
      <c r="B1659" s="5" t="str">
        <f t="shared" si="25"/>
        <v>2020 q1</v>
      </c>
      <c r="C1659" s="7">
        <v>5.5574000000000003</v>
      </c>
      <c r="D1659" s="7">
        <v>5.5738000000000003</v>
      </c>
      <c r="E1659" s="7">
        <v>5.6078000000000001</v>
      </c>
      <c r="F1659" s="7">
        <v>5.6593999999999998</v>
      </c>
      <c r="G1659" s="7">
        <v>5.7141000000000002</v>
      </c>
      <c r="H1659" s="7">
        <v>5.7690000000000001</v>
      </c>
      <c r="I1659" s="7">
        <v>5.9885999999999999</v>
      </c>
      <c r="J1659" s="7">
        <v>6.2211999999999996</v>
      </c>
      <c r="K1659" s="7">
        <v>6.4645000000000001</v>
      </c>
      <c r="L1659" s="7">
        <v>6.7175000000000002</v>
      </c>
      <c r="M1659" s="7">
        <v>7.2405999999999997</v>
      </c>
      <c r="N1659" s="7">
        <v>8.0500000000000007</v>
      </c>
      <c r="O1659" s="7">
        <v>9.4145000000000003</v>
      </c>
      <c r="P1659" s="7">
        <v>10.700100000000001</v>
      </c>
      <c r="Q1659" s="7">
        <v>13.191800000000001</v>
      </c>
    </row>
    <row r="1660" spans="1:17">
      <c r="A1660" s="5">
        <v>43888</v>
      </c>
      <c r="B1660" s="5" t="str">
        <f t="shared" si="25"/>
        <v>2020 q1</v>
      </c>
      <c r="C1660" s="7">
        <v>5.5258000000000003</v>
      </c>
      <c r="D1660" s="7">
        <v>5.5458999999999996</v>
      </c>
      <c r="E1660" s="7">
        <v>5.5873999999999997</v>
      </c>
      <c r="F1660" s="7">
        <v>5.65</v>
      </c>
      <c r="G1660" s="7">
        <v>5.7134</v>
      </c>
      <c r="H1660" s="7">
        <v>5.7769000000000004</v>
      </c>
      <c r="I1660" s="7">
        <v>6.0308999999999999</v>
      </c>
      <c r="J1660" s="7">
        <v>6.2884000000000002</v>
      </c>
      <c r="K1660" s="7">
        <v>6.5486000000000004</v>
      </c>
      <c r="L1660" s="7">
        <v>6.8112000000000004</v>
      </c>
      <c r="M1660" s="7">
        <v>7.3373999999999997</v>
      </c>
      <c r="N1660" s="7">
        <v>8.1235999999999997</v>
      </c>
      <c r="O1660" s="7">
        <v>9.3994999999999997</v>
      </c>
      <c r="P1660" s="7">
        <v>10.5871</v>
      </c>
      <c r="Q1660" s="7">
        <v>12.8735</v>
      </c>
    </row>
    <row r="1661" spans="1:17">
      <c r="A1661" s="5">
        <v>43889</v>
      </c>
      <c r="B1661" s="5" t="str">
        <f t="shared" si="25"/>
        <v>2020 q1</v>
      </c>
      <c r="C1661" s="7">
        <v>5.5408999999999997</v>
      </c>
      <c r="D1661" s="7">
        <v>5.5602</v>
      </c>
      <c r="E1661" s="7">
        <v>5.6</v>
      </c>
      <c r="F1661" s="7">
        <v>5.6600999999999999</v>
      </c>
      <c r="G1661" s="7">
        <v>5.7214999999999998</v>
      </c>
      <c r="H1661" s="7">
        <v>5.7828999999999997</v>
      </c>
      <c r="I1661" s="7">
        <v>6.0286</v>
      </c>
      <c r="J1661" s="7">
        <v>6.2796000000000003</v>
      </c>
      <c r="K1661" s="7">
        <v>6.5346000000000002</v>
      </c>
      <c r="L1661" s="7">
        <v>6.7944000000000004</v>
      </c>
      <c r="M1661" s="7">
        <v>7.3156999999999996</v>
      </c>
      <c r="N1661" s="7">
        <v>8.0997000000000003</v>
      </c>
      <c r="O1661" s="7">
        <v>9.3843999999999994</v>
      </c>
      <c r="P1661" s="7">
        <v>10.584899999999999</v>
      </c>
      <c r="Q1661" s="7">
        <v>12.9017</v>
      </c>
    </row>
    <row r="1662" spans="1:17">
      <c r="A1662" s="5">
        <v>43892</v>
      </c>
      <c r="B1662" s="5" t="str">
        <f t="shared" si="25"/>
        <v>2020 q1</v>
      </c>
      <c r="C1662" s="7">
        <v>5.4913999999999996</v>
      </c>
      <c r="D1662" s="7">
        <v>5.5137</v>
      </c>
      <c r="E1662" s="7">
        <v>5.5595999999999997</v>
      </c>
      <c r="F1662" s="7">
        <v>5.6284000000000001</v>
      </c>
      <c r="G1662" s="7">
        <v>5.6966999999999999</v>
      </c>
      <c r="H1662" s="7">
        <v>5.7648999999999999</v>
      </c>
      <c r="I1662" s="7">
        <v>6.0378999999999996</v>
      </c>
      <c r="J1662" s="7">
        <v>6.3080999999999996</v>
      </c>
      <c r="K1662" s="7">
        <v>6.5757000000000003</v>
      </c>
      <c r="L1662" s="7">
        <v>6.8364000000000003</v>
      </c>
      <c r="M1662" s="7">
        <v>7.3552</v>
      </c>
      <c r="N1662" s="7">
        <v>8.1287000000000003</v>
      </c>
      <c r="O1662" s="7">
        <v>9.3535000000000004</v>
      </c>
      <c r="P1662" s="7">
        <v>10.515599999999999</v>
      </c>
      <c r="Q1662" s="7">
        <v>12.776999999999999</v>
      </c>
    </row>
    <row r="1663" spans="1:17">
      <c r="A1663" s="5">
        <v>43893</v>
      </c>
      <c r="B1663" s="5" t="str">
        <f t="shared" si="25"/>
        <v>2020 q1</v>
      </c>
      <c r="C1663" s="7">
        <v>5.47</v>
      </c>
      <c r="D1663" s="7">
        <v>5.4926000000000004</v>
      </c>
      <c r="E1663" s="7">
        <v>5.5392999999999999</v>
      </c>
      <c r="F1663" s="7">
        <v>5.6092000000000004</v>
      </c>
      <c r="G1663" s="7">
        <v>5.6790000000000003</v>
      </c>
      <c r="H1663" s="7">
        <v>5.7488000000000001</v>
      </c>
      <c r="I1663" s="7">
        <v>6.0256999999999996</v>
      </c>
      <c r="J1663" s="7">
        <v>6.3003</v>
      </c>
      <c r="K1663" s="7">
        <v>6.5723000000000003</v>
      </c>
      <c r="L1663" s="7">
        <v>6.8371000000000004</v>
      </c>
      <c r="M1663" s="7">
        <v>7.3640999999999996</v>
      </c>
      <c r="N1663" s="7">
        <v>8.1495999999999995</v>
      </c>
      <c r="O1663" s="7">
        <v>9.3926999999999996</v>
      </c>
      <c r="P1663" s="7">
        <v>10.571</v>
      </c>
      <c r="Q1663" s="7">
        <v>12.863099999999999</v>
      </c>
    </row>
    <row r="1664" spans="1:17">
      <c r="A1664" s="5">
        <v>43894</v>
      </c>
      <c r="B1664" s="5" t="str">
        <f t="shared" si="25"/>
        <v>2020 q1</v>
      </c>
      <c r="C1664" s="7">
        <v>5.5095999999999998</v>
      </c>
      <c r="D1664" s="7">
        <v>5.5293000000000001</v>
      </c>
      <c r="E1664" s="7">
        <v>5.57</v>
      </c>
      <c r="F1664" s="7">
        <v>5.6315999999999997</v>
      </c>
      <c r="G1664" s="7">
        <v>5.6935000000000002</v>
      </c>
      <c r="H1664" s="7">
        <v>5.7553999999999998</v>
      </c>
      <c r="I1664" s="7">
        <v>6.0088999999999997</v>
      </c>
      <c r="J1664" s="7">
        <v>6.2674000000000003</v>
      </c>
      <c r="K1664" s="7">
        <v>6.5305999999999997</v>
      </c>
      <c r="L1664" s="7">
        <v>6.8002000000000002</v>
      </c>
      <c r="M1664" s="7">
        <v>7.3417000000000003</v>
      </c>
      <c r="N1664" s="7">
        <v>8.1524000000000001</v>
      </c>
      <c r="O1664" s="7">
        <v>9.4848999999999997</v>
      </c>
      <c r="P1664" s="7">
        <v>10.7249</v>
      </c>
      <c r="Q1664" s="7">
        <v>13.113300000000001</v>
      </c>
    </row>
    <row r="1665" spans="1:17">
      <c r="A1665" s="5">
        <v>43895</v>
      </c>
      <c r="B1665" s="5" t="str">
        <f t="shared" si="25"/>
        <v>2020 q1</v>
      </c>
      <c r="C1665" s="7">
        <v>5.4981</v>
      </c>
      <c r="D1665" s="7">
        <v>5.5179</v>
      </c>
      <c r="E1665" s="7">
        <v>5.5587999999999997</v>
      </c>
      <c r="F1665" s="7">
        <v>5.6207000000000003</v>
      </c>
      <c r="G1665" s="7">
        <v>5.6826999999999996</v>
      </c>
      <c r="H1665" s="7">
        <v>5.7449000000000003</v>
      </c>
      <c r="I1665" s="7">
        <v>5.9992000000000001</v>
      </c>
      <c r="J1665" s="7">
        <v>6.2584999999999997</v>
      </c>
      <c r="K1665" s="7">
        <v>6.5223000000000004</v>
      </c>
      <c r="L1665" s="7">
        <v>6.7925000000000004</v>
      </c>
      <c r="M1665" s="7">
        <v>7.3349000000000002</v>
      </c>
      <c r="N1665" s="7">
        <v>8.1469000000000005</v>
      </c>
      <c r="O1665" s="7">
        <v>9.4807000000000006</v>
      </c>
      <c r="P1665" s="7">
        <v>10.721299999999999</v>
      </c>
      <c r="Q1665" s="7">
        <v>13.110799999999999</v>
      </c>
    </row>
    <row r="1666" spans="1:17">
      <c r="A1666" s="5">
        <v>43896</v>
      </c>
      <c r="B1666" s="5" t="str">
        <f t="shared" si="25"/>
        <v>2020 q1</v>
      </c>
      <c r="C1666" s="7">
        <v>5.5152999999999999</v>
      </c>
      <c r="D1666" s="7">
        <v>5.5335999999999999</v>
      </c>
      <c r="E1666" s="7">
        <v>5.5713999999999997</v>
      </c>
      <c r="F1666" s="7">
        <v>5.6291000000000002</v>
      </c>
      <c r="G1666" s="7">
        <v>5.6871</v>
      </c>
      <c r="H1666" s="7">
        <v>5.7451999999999996</v>
      </c>
      <c r="I1666" s="7">
        <v>5.9870999999999999</v>
      </c>
      <c r="J1666" s="7">
        <v>6.2373000000000003</v>
      </c>
      <c r="K1666" s="7">
        <v>6.4954999999999998</v>
      </c>
      <c r="L1666" s="7">
        <v>6.7644000000000002</v>
      </c>
      <c r="M1666" s="7">
        <v>7.3056000000000001</v>
      </c>
      <c r="N1666" s="7">
        <v>8.1338000000000008</v>
      </c>
      <c r="O1666" s="7">
        <v>9.5114999999999998</v>
      </c>
      <c r="P1666" s="7">
        <v>10.7979</v>
      </c>
      <c r="Q1666" s="7">
        <v>13.280799999999999</v>
      </c>
    </row>
    <row r="1667" spans="1:17">
      <c r="A1667" s="5">
        <v>43899</v>
      </c>
      <c r="B1667" s="5" t="str">
        <f t="shared" ref="B1667:B1730" si="26">YEAR(A1667)&amp;" q"&amp;ROUNDUP(MONTH(A1667)/3,0)</f>
        <v>2020 q1</v>
      </c>
      <c r="C1667" s="7">
        <v>5.4539</v>
      </c>
      <c r="D1667" s="7">
        <v>5.4768999999999997</v>
      </c>
      <c r="E1667" s="7">
        <v>5.5242000000000004</v>
      </c>
      <c r="F1667" s="7">
        <v>5.5949999999999998</v>
      </c>
      <c r="G1667" s="7">
        <v>5.6657000000000002</v>
      </c>
      <c r="H1667" s="7">
        <v>5.7363999999999997</v>
      </c>
      <c r="I1667" s="7">
        <v>6.0170000000000003</v>
      </c>
      <c r="J1667" s="7">
        <v>6.2949999999999999</v>
      </c>
      <c r="K1667" s="7">
        <v>6.5705</v>
      </c>
      <c r="L1667" s="7">
        <v>6.8385999999999996</v>
      </c>
      <c r="M1667" s="7">
        <v>7.3722000000000003</v>
      </c>
      <c r="N1667" s="7">
        <v>8.1692999999999998</v>
      </c>
      <c r="O1667" s="7">
        <v>9.4296000000000006</v>
      </c>
      <c r="P1667" s="7">
        <v>10.616099999999999</v>
      </c>
      <c r="Q1667" s="7">
        <v>12.932700000000001</v>
      </c>
    </row>
    <row r="1668" spans="1:17">
      <c r="A1668" s="5">
        <v>43900</v>
      </c>
      <c r="B1668" s="5" t="str">
        <f t="shared" si="26"/>
        <v>2020 q1</v>
      </c>
      <c r="C1668" s="7">
        <v>5.4847999999999999</v>
      </c>
      <c r="D1668" s="7">
        <v>5.5054999999999996</v>
      </c>
      <c r="E1668" s="7">
        <v>5.5483000000000002</v>
      </c>
      <c r="F1668" s="7">
        <v>5.6132999999999997</v>
      </c>
      <c r="G1668" s="7">
        <v>5.6784999999999997</v>
      </c>
      <c r="H1668" s="7">
        <v>5.7438000000000002</v>
      </c>
      <c r="I1668" s="7">
        <v>6.0121000000000002</v>
      </c>
      <c r="J1668" s="7">
        <v>6.2866</v>
      </c>
      <c r="K1668" s="7">
        <v>6.5667</v>
      </c>
      <c r="L1668" s="7">
        <v>6.8544999999999998</v>
      </c>
      <c r="M1668" s="7">
        <v>7.4325000000000001</v>
      </c>
      <c r="N1668" s="7">
        <v>8.2973999999999997</v>
      </c>
      <c r="O1668" s="7">
        <v>9.7139000000000006</v>
      </c>
      <c r="P1668" s="7">
        <v>11.0191</v>
      </c>
      <c r="Q1668" s="7">
        <v>13.520899999999999</v>
      </c>
    </row>
    <row r="1669" spans="1:17">
      <c r="A1669" s="5">
        <v>43901</v>
      </c>
      <c r="B1669" s="5" t="str">
        <f t="shared" si="26"/>
        <v>2020 q1</v>
      </c>
      <c r="C1669" s="7">
        <v>5.4286000000000003</v>
      </c>
      <c r="D1669" s="7">
        <v>5.4537000000000004</v>
      </c>
      <c r="E1669" s="7">
        <v>5.5056000000000003</v>
      </c>
      <c r="F1669" s="7">
        <v>5.5831999999999997</v>
      </c>
      <c r="G1669" s="7">
        <v>5.6607000000000003</v>
      </c>
      <c r="H1669" s="7">
        <v>5.7381000000000002</v>
      </c>
      <c r="I1669" s="7">
        <v>6.0452000000000004</v>
      </c>
      <c r="J1669" s="7">
        <v>6.3494000000000002</v>
      </c>
      <c r="K1669" s="7">
        <v>6.6504000000000003</v>
      </c>
      <c r="L1669" s="7">
        <v>6.9424999999999999</v>
      </c>
      <c r="M1669" s="7">
        <v>7.5239000000000003</v>
      </c>
      <c r="N1669" s="7">
        <v>8.3895</v>
      </c>
      <c r="O1669" s="7">
        <v>9.7521000000000004</v>
      </c>
      <c r="P1669" s="7">
        <v>11.035500000000001</v>
      </c>
      <c r="Q1669" s="7">
        <v>13.525399999999999</v>
      </c>
    </row>
    <row r="1670" spans="1:17">
      <c r="A1670" s="5">
        <v>43902</v>
      </c>
      <c r="B1670" s="5" t="str">
        <f t="shared" si="26"/>
        <v>2020 q1</v>
      </c>
      <c r="C1670" s="7">
        <v>5.6108000000000002</v>
      </c>
      <c r="D1670" s="7">
        <v>5.6214000000000004</v>
      </c>
      <c r="E1670" s="7">
        <v>5.6433</v>
      </c>
      <c r="F1670" s="7">
        <v>5.6806000000000001</v>
      </c>
      <c r="G1670" s="7">
        <v>5.7191000000000001</v>
      </c>
      <c r="H1670" s="7">
        <v>5.7587999999999999</v>
      </c>
      <c r="I1670" s="7">
        <v>5.9572000000000003</v>
      </c>
      <c r="J1670" s="7">
        <v>6.1938000000000004</v>
      </c>
      <c r="K1670" s="7">
        <v>6.4648000000000003</v>
      </c>
      <c r="L1670" s="7">
        <v>6.7835999999999999</v>
      </c>
      <c r="M1670" s="7">
        <v>7.4344999999999999</v>
      </c>
      <c r="N1670" s="7">
        <v>8.4938000000000002</v>
      </c>
      <c r="O1670" s="7">
        <v>10.3148</v>
      </c>
      <c r="P1670" s="7">
        <v>11.952299999999999</v>
      </c>
      <c r="Q1670" s="7">
        <v>15.049200000000001</v>
      </c>
    </row>
    <row r="1671" spans="1:17">
      <c r="A1671" s="5">
        <v>43903</v>
      </c>
      <c r="B1671" s="5" t="str">
        <f t="shared" si="26"/>
        <v>2020 q1</v>
      </c>
      <c r="C1671" s="7">
        <v>5.4779</v>
      </c>
      <c r="D1671" s="7">
        <v>5.4997999999999996</v>
      </c>
      <c r="E1671" s="7">
        <v>5.5448000000000004</v>
      </c>
      <c r="F1671" s="7">
        <v>5.6143999999999998</v>
      </c>
      <c r="G1671" s="7">
        <v>5.6844999999999999</v>
      </c>
      <c r="H1671" s="7">
        <v>5.7550999999999997</v>
      </c>
      <c r="I1671" s="7">
        <v>6.0537999999999998</v>
      </c>
      <c r="J1671" s="7">
        <v>6.3666999999999998</v>
      </c>
      <c r="K1671" s="7">
        <v>6.6909999999999998</v>
      </c>
      <c r="L1671" s="7">
        <v>7.0255000000000001</v>
      </c>
      <c r="M1671" s="7">
        <v>7.6971999999999996</v>
      </c>
      <c r="N1671" s="7">
        <v>8.6963000000000008</v>
      </c>
      <c r="O1671" s="7">
        <v>10.2347</v>
      </c>
      <c r="P1671" s="7">
        <v>11.5068</v>
      </c>
      <c r="Q1671" s="7">
        <v>13.840999999999999</v>
      </c>
    </row>
    <row r="1672" spans="1:17">
      <c r="A1672" s="5">
        <v>43906</v>
      </c>
      <c r="B1672" s="5" t="str">
        <f t="shared" si="26"/>
        <v>2020 q1</v>
      </c>
      <c r="C1672" s="7">
        <v>5.5190000000000001</v>
      </c>
      <c r="D1672" s="7">
        <v>5.5339</v>
      </c>
      <c r="E1672" s="7">
        <v>5.5647000000000002</v>
      </c>
      <c r="F1672" s="7">
        <v>5.6191000000000004</v>
      </c>
      <c r="G1672" s="7">
        <v>5.6753999999999998</v>
      </c>
      <c r="H1672" s="7">
        <v>5.7339000000000002</v>
      </c>
      <c r="I1672" s="7">
        <v>6.0305</v>
      </c>
      <c r="J1672" s="7">
        <v>6.3780999999999999</v>
      </c>
      <c r="K1672" s="7">
        <v>6.7624000000000004</v>
      </c>
      <c r="L1672" s="7">
        <v>7.1707999999999998</v>
      </c>
      <c r="M1672" s="7">
        <v>7.9934000000000003</v>
      </c>
      <c r="N1672" s="7">
        <v>9.1759000000000004</v>
      </c>
      <c r="O1672" s="7">
        <v>10.796200000000001</v>
      </c>
      <c r="P1672" s="7">
        <v>11.9276</v>
      </c>
      <c r="Q1672" s="7">
        <v>13.833</v>
      </c>
    </row>
    <row r="1673" spans="1:17">
      <c r="A1673" s="5">
        <v>43907</v>
      </c>
      <c r="B1673" s="5" t="str">
        <f t="shared" si="26"/>
        <v>2020 q1</v>
      </c>
      <c r="C1673" s="7">
        <v>5.5728999999999997</v>
      </c>
      <c r="D1673" s="7">
        <v>5.5747999999999998</v>
      </c>
      <c r="E1673" s="7">
        <v>5.5785999999999998</v>
      </c>
      <c r="F1673" s="7">
        <v>5.6043000000000003</v>
      </c>
      <c r="G1673" s="7">
        <v>5.6425000000000001</v>
      </c>
      <c r="H1673" s="7">
        <v>5.7244999999999999</v>
      </c>
      <c r="I1673" s="7">
        <v>6.0523999999999996</v>
      </c>
      <c r="J1673" s="7">
        <v>6.5148000000000001</v>
      </c>
      <c r="K1673" s="7">
        <v>7.0361000000000002</v>
      </c>
      <c r="L1673" s="7">
        <v>7.5396000000000001</v>
      </c>
      <c r="M1673" s="7">
        <v>8.5404</v>
      </c>
      <c r="N1673" s="7">
        <v>9.7538999999999998</v>
      </c>
      <c r="O1673" s="7">
        <v>11.032500000000001</v>
      </c>
      <c r="P1673" s="7">
        <v>11.82</v>
      </c>
      <c r="Q1673" s="7">
        <v>12.9244</v>
      </c>
    </row>
    <row r="1674" spans="1:17">
      <c r="A1674" s="5">
        <v>43908</v>
      </c>
      <c r="B1674" s="5" t="str">
        <f t="shared" si="26"/>
        <v>2020 q1</v>
      </c>
      <c r="C1674" s="7">
        <v>5.5274999999999999</v>
      </c>
      <c r="D1674" s="7">
        <v>5.5411000000000001</v>
      </c>
      <c r="E1674" s="7">
        <v>5.5692000000000004</v>
      </c>
      <c r="F1674" s="7">
        <v>5.6223000000000001</v>
      </c>
      <c r="G1674" s="7">
        <v>5.6825999999999999</v>
      </c>
      <c r="H1674" s="7">
        <v>5.7671999999999999</v>
      </c>
      <c r="I1674" s="7">
        <v>6.1055000000000001</v>
      </c>
      <c r="J1674" s="7">
        <v>6.5250000000000004</v>
      </c>
      <c r="K1674" s="7">
        <v>6.9829999999999997</v>
      </c>
      <c r="L1674" s="7">
        <v>7.4344999999999999</v>
      </c>
      <c r="M1674" s="7">
        <v>8.3347999999999995</v>
      </c>
      <c r="N1674" s="7">
        <v>9.5065000000000008</v>
      </c>
      <c r="O1674" s="7">
        <v>10.8596</v>
      </c>
      <c r="P1674" s="7">
        <v>11.672700000000001</v>
      </c>
      <c r="Q1674" s="7">
        <v>12.9399</v>
      </c>
    </row>
    <row r="1675" spans="1:17">
      <c r="A1675" s="5">
        <v>43909</v>
      </c>
      <c r="B1675" s="5" t="str">
        <f t="shared" si="26"/>
        <v>2020 q1</v>
      </c>
      <c r="C1675" s="7">
        <v>5.5410000000000004</v>
      </c>
      <c r="D1675" s="7">
        <v>5.5555000000000003</v>
      </c>
      <c r="E1675" s="7">
        <v>5.5854999999999997</v>
      </c>
      <c r="F1675" s="7">
        <v>5.6368</v>
      </c>
      <c r="G1675" s="7">
        <v>5.6924999999999999</v>
      </c>
      <c r="H1675" s="7">
        <v>5.7630999999999997</v>
      </c>
      <c r="I1675" s="7">
        <v>6.0457999999999998</v>
      </c>
      <c r="J1675" s="7">
        <v>6.3890000000000002</v>
      </c>
      <c r="K1675" s="7">
        <v>6.7702</v>
      </c>
      <c r="L1675" s="7">
        <v>7.1718999999999999</v>
      </c>
      <c r="M1675" s="7">
        <v>7.9797000000000002</v>
      </c>
      <c r="N1675" s="7">
        <v>9.1597000000000008</v>
      </c>
      <c r="O1675" s="7">
        <v>10.768000000000001</v>
      </c>
      <c r="P1675" s="7">
        <v>11.938700000000001</v>
      </c>
      <c r="Q1675" s="7">
        <v>13.8626</v>
      </c>
    </row>
    <row r="1676" spans="1:17">
      <c r="A1676" s="5">
        <v>43910</v>
      </c>
      <c r="B1676" s="5" t="str">
        <f t="shared" si="26"/>
        <v>2020 q1</v>
      </c>
      <c r="C1676" s="7">
        <v>5.4917999999999996</v>
      </c>
      <c r="D1676" s="7">
        <v>5.5098000000000003</v>
      </c>
      <c r="E1676" s="7">
        <v>5.5468999999999999</v>
      </c>
      <c r="F1676" s="7">
        <v>5.6075999999999997</v>
      </c>
      <c r="G1676" s="7">
        <v>5.6718999999999999</v>
      </c>
      <c r="H1676" s="7">
        <v>5.7476000000000003</v>
      </c>
      <c r="I1676" s="7">
        <v>6.0506000000000002</v>
      </c>
      <c r="J1676" s="7">
        <v>6.3997999999999999</v>
      </c>
      <c r="K1676" s="7">
        <v>6.7769000000000004</v>
      </c>
      <c r="L1676" s="7">
        <v>7.1619999999999999</v>
      </c>
      <c r="M1676" s="7">
        <v>7.9337</v>
      </c>
      <c r="N1676" s="7">
        <v>9.0589999999999993</v>
      </c>
      <c r="O1676" s="7">
        <v>10.5725</v>
      </c>
      <c r="P1676" s="7">
        <v>11.674899999999999</v>
      </c>
      <c r="Q1676" s="7">
        <v>13.4884</v>
      </c>
    </row>
    <row r="1677" spans="1:17">
      <c r="A1677" s="5">
        <v>43913</v>
      </c>
      <c r="B1677" s="5" t="str">
        <f t="shared" si="26"/>
        <v>2020 q1</v>
      </c>
      <c r="C1677" s="7">
        <v>5.4901</v>
      </c>
      <c r="D1677" s="7">
        <v>5.5086000000000004</v>
      </c>
      <c r="E1677" s="7">
        <v>5.5467000000000004</v>
      </c>
      <c r="F1677" s="7">
        <v>5.6086</v>
      </c>
      <c r="G1677" s="7">
        <v>5.6738</v>
      </c>
      <c r="H1677" s="7">
        <v>5.7492999999999999</v>
      </c>
      <c r="I1677" s="7">
        <v>6.0514999999999999</v>
      </c>
      <c r="J1677" s="7">
        <v>6.3960999999999997</v>
      </c>
      <c r="K1677" s="7">
        <v>6.7663000000000002</v>
      </c>
      <c r="L1677" s="7">
        <v>7.1439000000000004</v>
      </c>
      <c r="M1677" s="7">
        <v>7.9002999999999997</v>
      </c>
      <c r="N1677" s="7">
        <v>9.0042000000000009</v>
      </c>
      <c r="O1677" s="7">
        <v>10.501799999999999</v>
      </c>
      <c r="P1677" s="7">
        <v>11.601000000000001</v>
      </c>
      <c r="Q1677" s="7">
        <v>13.4214</v>
      </c>
    </row>
    <row r="1678" spans="1:17">
      <c r="A1678" s="5">
        <v>43914</v>
      </c>
      <c r="B1678" s="5" t="str">
        <f t="shared" si="26"/>
        <v>2020 q1</v>
      </c>
      <c r="C1678" s="7">
        <v>5.5202</v>
      </c>
      <c r="D1678" s="7">
        <v>5.5380000000000003</v>
      </c>
      <c r="E1678" s="7">
        <v>5.5746000000000002</v>
      </c>
      <c r="F1678" s="7">
        <v>5.6332000000000004</v>
      </c>
      <c r="G1678" s="7">
        <v>5.7041000000000004</v>
      </c>
      <c r="H1678" s="7">
        <v>5.7769000000000004</v>
      </c>
      <c r="I1678" s="7">
        <v>6.0681000000000003</v>
      </c>
      <c r="J1678" s="7">
        <v>6.4069000000000003</v>
      </c>
      <c r="K1678" s="7">
        <v>6.7710999999999997</v>
      </c>
      <c r="L1678" s="7">
        <v>7.1391999999999998</v>
      </c>
      <c r="M1678" s="7">
        <v>7.8756000000000004</v>
      </c>
      <c r="N1678" s="7">
        <v>8.9467999999999996</v>
      </c>
      <c r="O1678" s="7">
        <v>10.368399999999999</v>
      </c>
      <c r="P1678" s="7">
        <v>11.3942</v>
      </c>
      <c r="Q1678" s="7">
        <v>13.072699999999999</v>
      </c>
    </row>
    <row r="1679" spans="1:17">
      <c r="A1679" s="5">
        <v>43915</v>
      </c>
      <c r="B1679" s="5" t="str">
        <f t="shared" si="26"/>
        <v>2020 q1</v>
      </c>
      <c r="C1679" s="7">
        <v>5.5010000000000003</v>
      </c>
      <c r="D1679" s="7">
        <v>5.5206999999999997</v>
      </c>
      <c r="E1679" s="7">
        <v>5.5613000000000001</v>
      </c>
      <c r="F1679" s="7">
        <v>5.6243999999999996</v>
      </c>
      <c r="G1679" s="7">
        <v>5.6950000000000003</v>
      </c>
      <c r="H1679" s="7">
        <v>5.7666000000000004</v>
      </c>
      <c r="I1679" s="7">
        <v>6.0530999999999997</v>
      </c>
      <c r="J1679" s="7">
        <v>6.3714000000000004</v>
      </c>
      <c r="K1679" s="7">
        <v>6.7093999999999996</v>
      </c>
      <c r="L1679" s="7">
        <v>7.0646000000000004</v>
      </c>
      <c r="M1679" s="7">
        <v>7.7782999999999998</v>
      </c>
      <c r="N1679" s="7">
        <v>8.8278999999999996</v>
      </c>
      <c r="O1679" s="7">
        <v>10.4077</v>
      </c>
      <c r="P1679" s="7">
        <v>11.674099999999999</v>
      </c>
      <c r="Q1679" s="7">
        <v>13.9122</v>
      </c>
    </row>
    <row r="1680" spans="1:17">
      <c r="A1680" s="5">
        <v>43916</v>
      </c>
      <c r="B1680" s="5" t="str">
        <f t="shared" si="26"/>
        <v>2020 q1</v>
      </c>
      <c r="C1680" s="7">
        <v>5.4372999999999996</v>
      </c>
      <c r="D1680" s="7">
        <v>5.4622000000000002</v>
      </c>
      <c r="E1680" s="7">
        <v>5.5137</v>
      </c>
      <c r="F1680" s="7">
        <v>5.5919999999999996</v>
      </c>
      <c r="G1680" s="7">
        <v>5.6738</v>
      </c>
      <c r="H1680" s="7">
        <v>5.7561</v>
      </c>
      <c r="I1680" s="7">
        <v>6.0852000000000004</v>
      </c>
      <c r="J1680" s="7">
        <v>6.4283999999999999</v>
      </c>
      <c r="K1680" s="7">
        <v>6.7793999999999999</v>
      </c>
      <c r="L1680" s="7">
        <v>7.1303000000000001</v>
      </c>
      <c r="M1680" s="7">
        <v>7.8320999999999996</v>
      </c>
      <c r="N1680" s="7">
        <v>8.8672000000000004</v>
      </c>
      <c r="O1680" s="7">
        <v>10.4055</v>
      </c>
      <c r="P1680" s="7">
        <v>11.6652</v>
      </c>
      <c r="Q1680" s="7">
        <v>13.923400000000001</v>
      </c>
    </row>
    <row r="1681" spans="1:17">
      <c r="A1681" s="5">
        <v>43917</v>
      </c>
      <c r="B1681" s="5" t="str">
        <f t="shared" si="26"/>
        <v>2020 q1</v>
      </c>
      <c r="C1681" s="7">
        <v>5.4397000000000002</v>
      </c>
      <c r="D1681" s="7">
        <v>5.4657</v>
      </c>
      <c r="E1681" s="7">
        <v>5.5194999999999999</v>
      </c>
      <c r="F1681" s="7">
        <v>5.6006</v>
      </c>
      <c r="G1681" s="7">
        <v>5.6833999999999998</v>
      </c>
      <c r="H1681" s="7">
        <v>5.7664</v>
      </c>
      <c r="I1681" s="7">
        <v>6.0983999999999998</v>
      </c>
      <c r="J1681" s="7">
        <v>6.4363000000000001</v>
      </c>
      <c r="K1681" s="7">
        <v>6.7766000000000002</v>
      </c>
      <c r="L1681" s="7">
        <v>7.1093999999999999</v>
      </c>
      <c r="M1681" s="7">
        <v>7.7732000000000001</v>
      </c>
      <c r="N1681" s="7">
        <v>8.7514000000000003</v>
      </c>
      <c r="O1681" s="7">
        <v>10.1957</v>
      </c>
      <c r="P1681" s="7">
        <v>11.3919</v>
      </c>
      <c r="Q1681" s="7">
        <v>13.552300000000001</v>
      </c>
    </row>
    <row r="1682" spans="1:17">
      <c r="A1682" s="5">
        <v>43920</v>
      </c>
      <c r="B1682" s="5" t="str">
        <f t="shared" si="26"/>
        <v>2020 q1</v>
      </c>
      <c r="C1682" s="7">
        <v>5.4358000000000004</v>
      </c>
      <c r="D1682" s="7">
        <v>5.4621000000000004</v>
      </c>
      <c r="E1682" s="7">
        <v>5.5164</v>
      </c>
      <c r="F1682" s="7">
        <v>5.5982000000000003</v>
      </c>
      <c r="G1682" s="7">
        <v>5.6807999999999996</v>
      </c>
      <c r="H1682" s="7">
        <v>5.7634999999999996</v>
      </c>
      <c r="I1682" s="7">
        <v>6.0944000000000003</v>
      </c>
      <c r="J1682" s="7">
        <v>6.4282000000000004</v>
      </c>
      <c r="K1682" s="7">
        <v>6.7630999999999997</v>
      </c>
      <c r="L1682" s="7">
        <v>7.0929000000000002</v>
      </c>
      <c r="M1682" s="7">
        <v>7.7515000000000001</v>
      </c>
      <c r="N1682" s="7">
        <v>8.7273999999999994</v>
      </c>
      <c r="O1682" s="7">
        <v>10.229799999999999</v>
      </c>
      <c r="P1682" s="7">
        <v>11.544600000000001</v>
      </c>
      <c r="Q1682" s="7">
        <v>13.999599999999999</v>
      </c>
    </row>
    <row r="1683" spans="1:17">
      <c r="A1683" s="5">
        <v>43921</v>
      </c>
      <c r="B1683" s="5" t="str">
        <f t="shared" si="26"/>
        <v>2020 q1</v>
      </c>
      <c r="C1683" s="7">
        <v>5.4279999999999999</v>
      </c>
      <c r="D1683" s="7">
        <v>5.4561999999999999</v>
      </c>
      <c r="E1683" s="7">
        <v>5.5145999999999997</v>
      </c>
      <c r="F1683" s="7">
        <v>5.6021000000000001</v>
      </c>
      <c r="G1683" s="7">
        <v>5.6890999999999998</v>
      </c>
      <c r="H1683" s="7">
        <v>5.7759999999999998</v>
      </c>
      <c r="I1683" s="7">
        <v>6.1238000000000001</v>
      </c>
      <c r="J1683" s="7">
        <v>6.4680999999999997</v>
      </c>
      <c r="K1683" s="7">
        <v>6.8086000000000002</v>
      </c>
      <c r="L1683" s="7">
        <v>7.1346999999999996</v>
      </c>
      <c r="M1683" s="7">
        <v>7.7842000000000002</v>
      </c>
      <c r="N1683" s="7">
        <v>8.7433999999999994</v>
      </c>
      <c r="O1683" s="7">
        <v>10.185600000000001</v>
      </c>
      <c r="P1683" s="7">
        <v>11.444800000000001</v>
      </c>
      <c r="Q1683" s="7">
        <v>13.7936</v>
      </c>
    </row>
    <row r="1684" spans="1:17">
      <c r="A1684" s="5">
        <v>43922</v>
      </c>
      <c r="B1684" s="5" t="str">
        <f t="shared" si="26"/>
        <v>2020 q2</v>
      </c>
      <c r="C1684" s="7">
        <v>5.4546000000000001</v>
      </c>
      <c r="D1684" s="7">
        <v>5.4781000000000004</v>
      </c>
      <c r="E1684" s="7">
        <v>5.5266000000000002</v>
      </c>
      <c r="F1684" s="7">
        <v>5.6003999999999996</v>
      </c>
      <c r="G1684" s="7">
        <v>5.6801000000000004</v>
      </c>
      <c r="H1684" s="7">
        <v>5.7601000000000004</v>
      </c>
      <c r="I1684" s="7">
        <v>6.0799000000000003</v>
      </c>
      <c r="J1684" s="7">
        <v>6.4204999999999997</v>
      </c>
      <c r="K1684" s="7">
        <v>6.7713999999999999</v>
      </c>
      <c r="L1684" s="7">
        <v>7.1188000000000002</v>
      </c>
      <c r="M1684" s="7">
        <v>7.8125999999999998</v>
      </c>
      <c r="N1684" s="7">
        <v>8.8276000000000003</v>
      </c>
      <c r="O1684" s="7">
        <v>10.2568</v>
      </c>
      <c r="P1684" s="7">
        <v>11.3582</v>
      </c>
      <c r="Q1684" s="7">
        <v>13.2583</v>
      </c>
    </row>
    <row r="1685" spans="1:17">
      <c r="A1685" s="5">
        <v>43923</v>
      </c>
      <c r="B1685" s="5" t="str">
        <f t="shared" si="26"/>
        <v>2020 q2</v>
      </c>
      <c r="C1685" s="7">
        <v>5.4448999999999996</v>
      </c>
      <c r="D1685" s="7">
        <v>5.4668999999999999</v>
      </c>
      <c r="E1685" s="7">
        <v>5.5122</v>
      </c>
      <c r="F1685" s="7">
        <v>5.5815999999999999</v>
      </c>
      <c r="G1685" s="7">
        <v>5.6589999999999998</v>
      </c>
      <c r="H1685" s="7">
        <v>5.7366999999999999</v>
      </c>
      <c r="I1685" s="7">
        <v>6.0476000000000001</v>
      </c>
      <c r="J1685" s="7">
        <v>6.3871000000000002</v>
      </c>
      <c r="K1685" s="7">
        <v>6.7416</v>
      </c>
      <c r="L1685" s="7">
        <v>7.0972</v>
      </c>
      <c r="M1685" s="7">
        <v>7.8083999999999998</v>
      </c>
      <c r="N1685" s="7">
        <v>8.8482000000000003</v>
      </c>
      <c r="O1685" s="7">
        <v>10.3078</v>
      </c>
      <c r="P1685" s="7">
        <v>11.418699999999999</v>
      </c>
      <c r="Q1685" s="7">
        <v>13.3195</v>
      </c>
    </row>
    <row r="1686" spans="1:17">
      <c r="A1686" s="5">
        <v>43924</v>
      </c>
      <c r="B1686" s="5" t="str">
        <f t="shared" si="26"/>
        <v>2020 q2</v>
      </c>
      <c r="C1686" s="7">
        <v>5.4240000000000004</v>
      </c>
      <c r="D1686" s="7">
        <v>5.4527999999999999</v>
      </c>
      <c r="E1686" s="7">
        <v>5.5122999999999998</v>
      </c>
      <c r="F1686" s="7">
        <v>5.6014999999999997</v>
      </c>
      <c r="G1686" s="7">
        <v>5.6897000000000002</v>
      </c>
      <c r="H1686" s="7">
        <v>5.7778999999999998</v>
      </c>
      <c r="I1686" s="7">
        <v>6.1307</v>
      </c>
      <c r="J1686" s="7">
        <v>6.4786000000000001</v>
      </c>
      <c r="K1686" s="7">
        <v>6.8223000000000003</v>
      </c>
      <c r="L1686" s="7">
        <v>7.1536999999999997</v>
      </c>
      <c r="M1686" s="7">
        <v>7.8146000000000004</v>
      </c>
      <c r="N1686" s="7">
        <v>8.7958999999999996</v>
      </c>
      <c r="O1686" s="7">
        <v>10.33</v>
      </c>
      <c r="P1686" s="7">
        <v>11.760300000000001</v>
      </c>
      <c r="Q1686" s="7">
        <v>14.5258</v>
      </c>
    </row>
    <row r="1687" spans="1:17">
      <c r="A1687" s="5">
        <v>43927</v>
      </c>
      <c r="B1687" s="5" t="str">
        <f t="shared" si="26"/>
        <v>2020 q2</v>
      </c>
      <c r="C1687" s="7">
        <v>5.45</v>
      </c>
      <c r="D1687" s="7">
        <v>5.4760999999999997</v>
      </c>
      <c r="E1687" s="7">
        <v>5.53</v>
      </c>
      <c r="F1687" s="7">
        <v>5.6111000000000004</v>
      </c>
      <c r="G1687" s="7">
        <v>5.6938000000000004</v>
      </c>
      <c r="H1687" s="7">
        <v>5.7763999999999998</v>
      </c>
      <c r="I1687" s="7">
        <v>6.1070000000000002</v>
      </c>
      <c r="J1687" s="7">
        <v>6.4432</v>
      </c>
      <c r="K1687" s="7">
        <v>6.7826000000000004</v>
      </c>
      <c r="L1687" s="7">
        <v>7.1237000000000004</v>
      </c>
      <c r="M1687" s="7">
        <v>7.8023999999999996</v>
      </c>
      <c r="N1687" s="7">
        <v>8.8091000000000008</v>
      </c>
      <c r="O1687" s="7">
        <v>10.3969</v>
      </c>
      <c r="P1687" s="7">
        <v>11.8094</v>
      </c>
      <c r="Q1687" s="7">
        <v>14.473699999999999</v>
      </c>
    </row>
    <row r="1688" spans="1:17">
      <c r="A1688" s="5">
        <v>43928</v>
      </c>
      <c r="B1688" s="5" t="str">
        <f t="shared" si="26"/>
        <v>2020 q2</v>
      </c>
      <c r="C1688" s="7">
        <v>5.4801000000000002</v>
      </c>
      <c r="D1688" s="7">
        <v>5.5056000000000003</v>
      </c>
      <c r="E1688" s="7">
        <v>5.5582000000000003</v>
      </c>
      <c r="F1688" s="7">
        <v>5.6379000000000001</v>
      </c>
      <c r="G1688" s="7">
        <v>5.7179000000000002</v>
      </c>
      <c r="H1688" s="7">
        <v>5.7977999999999996</v>
      </c>
      <c r="I1688" s="7">
        <v>6.1242000000000001</v>
      </c>
      <c r="J1688" s="7">
        <v>6.4560000000000004</v>
      </c>
      <c r="K1688" s="7">
        <v>6.7919</v>
      </c>
      <c r="L1688" s="7">
        <v>7.13</v>
      </c>
      <c r="M1688" s="7">
        <v>7.8064</v>
      </c>
      <c r="N1688" s="7">
        <v>8.8125999999999998</v>
      </c>
      <c r="O1688" s="7">
        <v>10.405900000000001</v>
      </c>
      <c r="P1688" s="7">
        <v>11.824999999999999</v>
      </c>
      <c r="Q1688" s="7">
        <v>14.5047</v>
      </c>
    </row>
    <row r="1689" spans="1:17">
      <c r="A1689" s="5">
        <v>43929</v>
      </c>
      <c r="B1689" s="5" t="str">
        <f t="shared" si="26"/>
        <v>2020 q2</v>
      </c>
      <c r="C1689" s="7">
        <v>5.48</v>
      </c>
      <c r="D1689" s="7">
        <v>5.5053999999999998</v>
      </c>
      <c r="E1689" s="7">
        <v>5.5578000000000003</v>
      </c>
      <c r="F1689" s="7">
        <v>5.6371000000000002</v>
      </c>
      <c r="G1689" s="7">
        <v>5.7165999999999997</v>
      </c>
      <c r="H1689" s="7">
        <v>5.7961999999999998</v>
      </c>
      <c r="I1689" s="7">
        <v>6.1204999999999998</v>
      </c>
      <c r="J1689" s="7">
        <v>6.4499000000000004</v>
      </c>
      <c r="K1689" s="7">
        <v>6.7831000000000001</v>
      </c>
      <c r="L1689" s="7">
        <v>7.1191000000000004</v>
      </c>
      <c r="M1689" s="7">
        <v>7.7912999999999997</v>
      </c>
      <c r="N1689" s="7">
        <v>8.7850000000000001</v>
      </c>
      <c r="O1689" s="7">
        <v>10.3637</v>
      </c>
      <c r="P1689" s="7">
        <v>11.772</v>
      </c>
      <c r="Q1689" s="7">
        <v>14.4338</v>
      </c>
    </row>
    <row r="1690" spans="1:17">
      <c r="A1690" s="5">
        <v>43930</v>
      </c>
      <c r="B1690" s="5" t="str">
        <f t="shared" si="26"/>
        <v>2020 q2</v>
      </c>
      <c r="C1690" s="7">
        <v>5.4179000000000004</v>
      </c>
      <c r="D1690" s="7">
        <v>5.4480000000000004</v>
      </c>
      <c r="E1690" s="7">
        <v>5.5102000000000002</v>
      </c>
      <c r="F1690" s="7">
        <v>5.6032000000000002</v>
      </c>
      <c r="G1690" s="7">
        <v>5.6959999999999997</v>
      </c>
      <c r="H1690" s="7">
        <v>5.7888000000000002</v>
      </c>
      <c r="I1690" s="7">
        <v>6.1558000000000002</v>
      </c>
      <c r="J1690" s="7">
        <v>6.5178000000000003</v>
      </c>
      <c r="K1690" s="7">
        <v>6.8742999999999999</v>
      </c>
      <c r="L1690" s="7">
        <v>7.2182000000000004</v>
      </c>
      <c r="M1690" s="7">
        <v>7.9046000000000003</v>
      </c>
      <c r="N1690" s="7">
        <v>8.8809000000000005</v>
      </c>
      <c r="O1690" s="7">
        <v>10.3719</v>
      </c>
      <c r="P1690" s="7">
        <v>11.6813</v>
      </c>
      <c r="Q1690" s="7">
        <v>14.1356</v>
      </c>
    </row>
    <row r="1691" spans="1:17">
      <c r="A1691" s="5">
        <v>43931</v>
      </c>
      <c r="B1691" s="5" t="str">
        <f t="shared" si="26"/>
        <v>2020 q2</v>
      </c>
      <c r="C1691" s="7">
        <v>5.4663000000000004</v>
      </c>
      <c r="D1691" s="7">
        <v>5.4922000000000004</v>
      </c>
      <c r="E1691" s="7">
        <v>5.5457000000000001</v>
      </c>
      <c r="F1691" s="7">
        <v>5.6265999999999998</v>
      </c>
      <c r="G1691" s="7">
        <v>5.7077</v>
      </c>
      <c r="H1691" s="7">
        <v>5.7888000000000002</v>
      </c>
      <c r="I1691" s="7">
        <v>6.1181000000000001</v>
      </c>
      <c r="J1691" s="7">
        <v>6.4516</v>
      </c>
      <c r="K1691" s="7">
        <v>6.7878999999999996</v>
      </c>
      <c r="L1691" s="7">
        <v>7.1254999999999997</v>
      </c>
      <c r="M1691" s="7">
        <v>7.8007999999999997</v>
      </c>
      <c r="N1691" s="7">
        <v>8.7949999999999999</v>
      </c>
      <c r="O1691" s="7">
        <v>10.369199999999999</v>
      </c>
      <c r="P1691" s="7">
        <v>11.771000000000001</v>
      </c>
      <c r="Q1691" s="7">
        <v>14.4193</v>
      </c>
    </row>
    <row r="1692" spans="1:17">
      <c r="A1692" s="5">
        <v>43934</v>
      </c>
      <c r="B1692" s="5" t="str">
        <f t="shared" si="26"/>
        <v>2020 q2</v>
      </c>
      <c r="C1692" s="7">
        <v>5.4180000000000001</v>
      </c>
      <c r="D1692" s="7">
        <v>5.4490999999999996</v>
      </c>
      <c r="E1692" s="7">
        <v>5.5133000000000001</v>
      </c>
      <c r="F1692" s="7">
        <v>5.6090999999999998</v>
      </c>
      <c r="G1692" s="7">
        <v>5.7046000000000001</v>
      </c>
      <c r="H1692" s="7">
        <v>5.7999000000000001</v>
      </c>
      <c r="I1692" s="7">
        <v>6.1745999999999999</v>
      </c>
      <c r="J1692" s="7">
        <v>6.5411999999999999</v>
      </c>
      <c r="K1692" s="7">
        <v>6.8997000000000002</v>
      </c>
      <c r="L1692" s="7">
        <v>7.2412999999999998</v>
      </c>
      <c r="M1692" s="7">
        <v>7.9226999999999999</v>
      </c>
      <c r="N1692" s="7">
        <v>8.8818999999999999</v>
      </c>
      <c r="O1692" s="7">
        <v>10.334199999999999</v>
      </c>
      <c r="P1692" s="7">
        <v>11.6135</v>
      </c>
      <c r="Q1692" s="7">
        <v>14.016299999999999</v>
      </c>
    </row>
    <row r="1693" spans="1:17">
      <c r="A1693" s="5">
        <v>43935</v>
      </c>
      <c r="B1693" s="5" t="str">
        <f t="shared" si="26"/>
        <v>2020 q2</v>
      </c>
      <c r="C1693" s="7">
        <v>5.4371999999999998</v>
      </c>
      <c r="D1693" s="7">
        <v>5.4659000000000004</v>
      </c>
      <c r="E1693" s="7">
        <v>5.5251999999999999</v>
      </c>
      <c r="F1693" s="7">
        <v>5.6139000000000001</v>
      </c>
      <c r="G1693" s="7">
        <v>5.7024999999999997</v>
      </c>
      <c r="H1693" s="7">
        <v>5.7910000000000004</v>
      </c>
      <c r="I1693" s="7">
        <v>6.1417000000000002</v>
      </c>
      <c r="J1693" s="7">
        <v>6.4882999999999997</v>
      </c>
      <c r="K1693" s="7">
        <v>6.8308</v>
      </c>
      <c r="L1693" s="7">
        <v>7.1608999999999998</v>
      </c>
      <c r="M1693" s="7">
        <v>7.82</v>
      </c>
      <c r="N1693" s="7">
        <v>8.7979000000000003</v>
      </c>
      <c r="O1693" s="7">
        <v>10.3279</v>
      </c>
      <c r="P1693" s="7">
        <v>11.754</v>
      </c>
      <c r="Q1693" s="7">
        <v>14.513299999999999</v>
      </c>
    </row>
    <row r="1694" spans="1:17">
      <c r="A1694" s="5">
        <v>43936</v>
      </c>
      <c r="B1694" s="5" t="str">
        <f t="shared" si="26"/>
        <v>2020 q2</v>
      </c>
      <c r="C1694" s="7">
        <v>5.4679000000000002</v>
      </c>
      <c r="D1694" s="7">
        <v>5.4931000000000001</v>
      </c>
      <c r="E1694" s="7">
        <v>5.5453000000000001</v>
      </c>
      <c r="F1694" s="7">
        <v>5.6243999999999996</v>
      </c>
      <c r="G1694" s="7">
        <v>5.7037000000000004</v>
      </c>
      <c r="H1694" s="7">
        <v>5.7831999999999999</v>
      </c>
      <c r="I1694" s="7">
        <v>6.1077000000000004</v>
      </c>
      <c r="J1694" s="7">
        <v>6.4377000000000004</v>
      </c>
      <c r="K1694" s="7">
        <v>6.7706999999999997</v>
      </c>
      <c r="L1694" s="7">
        <v>7.1025999999999998</v>
      </c>
      <c r="M1694" s="7">
        <v>7.7662000000000004</v>
      </c>
      <c r="N1694" s="7">
        <v>8.7224000000000004</v>
      </c>
      <c r="O1694" s="7">
        <v>10.176600000000001</v>
      </c>
      <c r="P1694" s="7">
        <v>11.394</v>
      </c>
      <c r="Q1694" s="7">
        <v>13.6175</v>
      </c>
    </row>
    <row r="1695" spans="1:17">
      <c r="A1695" s="5">
        <v>43937</v>
      </c>
      <c r="B1695" s="5" t="str">
        <f t="shared" si="26"/>
        <v>2020 q2</v>
      </c>
      <c r="C1695" s="7">
        <v>5.4489000000000001</v>
      </c>
      <c r="D1695" s="7">
        <v>5.4747000000000003</v>
      </c>
      <c r="E1695" s="7">
        <v>5.5278999999999998</v>
      </c>
      <c r="F1695" s="7">
        <v>5.6092000000000004</v>
      </c>
      <c r="G1695" s="7">
        <v>5.6909000000000001</v>
      </c>
      <c r="H1695" s="7">
        <v>5.7728999999999999</v>
      </c>
      <c r="I1695" s="7">
        <v>6.1108000000000002</v>
      </c>
      <c r="J1695" s="7">
        <v>6.4555999999999996</v>
      </c>
      <c r="K1695" s="7">
        <v>6.8022999999999998</v>
      </c>
      <c r="L1695" s="7">
        <v>7.1455000000000002</v>
      </c>
      <c r="M1695" s="7">
        <v>7.7987000000000002</v>
      </c>
      <c r="N1695" s="7">
        <v>8.7303999999999995</v>
      </c>
      <c r="O1695" s="7">
        <v>10.009</v>
      </c>
      <c r="P1695" s="7">
        <v>10.9693</v>
      </c>
      <c r="Q1695" s="7">
        <v>12.607100000000001</v>
      </c>
    </row>
    <row r="1696" spans="1:17">
      <c r="A1696" s="5">
        <v>43938</v>
      </c>
      <c r="B1696" s="5" t="str">
        <f t="shared" si="26"/>
        <v>2020 q2</v>
      </c>
      <c r="C1696" s="7">
        <v>5.4653</v>
      </c>
      <c r="D1696" s="7">
        <v>5.4866000000000001</v>
      </c>
      <c r="E1696" s="7">
        <v>5.5305</v>
      </c>
      <c r="F1696" s="7">
        <v>5.6025999999999998</v>
      </c>
      <c r="G1696" s="7">
        <v>5.6760999999999999</v>
      </c>
      <c r="H1696" s="7">
        <v>5.7511000000000001</v>
      </c>
      <c r="I1696" s="7">
        <v>6.0911</v>
      </c>
      <c r="J1696" s="7">
        <v>6.4607000000000001</v>
      </c>
      <c r="K1696" s="7">
        <v>6.8419999999999996</v>
      </c>
      <c r="L1696" s="7">
        <v>7.2073999999999998</v>
      </c>
      <c r="M1696" s="7">
        <v>7.9367999999999999</v>
      </c>
      <c r="N1696" s="7">
        <v>8.8698999999999995</v>
      </c>
      <c r="O1696" s="7">
        <v>10.0092</v>
      </c>
      <c r="P1696" s="7">
        <v>10.7614</v>
      </c>
      <c r="Q1696" s="7">
        <v>11.922599999999999</v>
      </c>
    </row>
    <row r="1697" spans="1:17">
      <c r="A1697" s="5">
        <v>43941</v>
      </c>
      <c r="B1697" s="5" t="str">
        <f t="shared" si="26"/>
        <v>2020 q2</v>
      </c>
      <c r="C1697" s="7">
        <v>5.4294000000000002</v>
      </c>
      <c r="D1697" s="7">
        <v>5.4570999999999996</v>
      </c>
      <c r="E1697" s="7">
        <v>5.5141999999999998</v>
      </c>
      <c r="F1697" s="7">
        <v>5.6016000000000004</v>
      </c>
      <c r="G1697" s="7">
        <v>5.6893000000000002</v>
      </c>
      <c r="H1697" s="7">
        <v>5.7773000000000003</v>
      </c>
      <c r="I1697" s="7">
        <v>6.1371000000000002</v>
      </c>
      <c r="J1697" s="7">
        <v>6.4973000000000001</v>
      </c>
      <c r="K1697" s="7">
        <v>6.8502999999999998</v>
      </c>
      <c r="L1697" s="7">
        <v>7.1706000000000003</v>
      </c>
      <c r="M1697" s="7">
        <v>7.8090999999999999</v>
      </c>
      <c r="N1697" s="7">
        <v>8.6075999999999997</v>
      </c>
      <c r="O1697" s="7">
        <v>9.5760000000000005</v>
      </c>
      <c r="P1697" s="7">
        <v>10.222099999999999</v>
      </c>
      <c r="Q1697" s="7">
        <v>11.2294</v>
      </c>
    </row>
    <row r="1698" spans="1:17">
      <c r="A1698" s="5">
        <v>43942</v>
      </c>
      <c r="B1698" s="5" t="str">
        <f t="shared" si="26"/>
        <v>2020 q2</v>
      </c>
      <c r="C1698" s="7">
        <v>5.4840999999999998</v>
      </c>
      <c r="D1698" s="7">
        <v>5.5091999999999999</v>
      </c>
      <c r="E1698" s="7">
        <v>5.5609999999999999</v>
      </c>
      <c r="F1698" s="7">
        <v>5.6382000000000003</v>
      </c>
      <c r="G1698" s="7">
        <v>5.7152000000000003</v>
      </c>
      <c r="H1698" s="7">
        <v>5.7904999999999998</v>
      </c>
      <c r="I1698" s="7">
        <v>6.0917000000000003</v>
      </c>
      <c r="J1698" s="7">
        <v>6.3840000000000003</v>
      </c>
      <c r="K1698" s="7">
        <v>6.6684000000000001</v>
      </c>
      <c r="L1698" s="7">
        <v>6.9297000000000004</v>
      </c>
      <c r="M1698" s="7">
        <v>7.4509999999999996</v>
      </c>
      <c r="N1698" s="7">
        <v>8.2143999999999995</v>
      </c>
      <c r="O1698" s="7">
        <v>9.3201999999999998</v>
      </c>
      <c r="P1698" s="7">
        <v>10.273400000000001</v>
      </c>
      <c r="Q1698" s="7">
        <v>11.9572</v>
      </c>
    </row>
    <row r="1699" spans="1:17">
      <c r="A1699" s="5">
        <v>43943</v>
      </c>
      <c r="B1699" s="5" t="str">
        <f t="shared" si="26"/>
        <v>2020 q2</v>
      </c>
      <c r="C1699" s="7">
        <v>5.4649999999999999</v>
      </c>
      <c r="D1699" s="7">
        <v>5.4908999999999999</v>
      </c>
      <c r="E1699" s="7">
        <v>5.5442999999999998</v>
      </c>
      <c r="F1699" s="7">
        <v>5.6238000000000001</v>
      </c>
      <c r="G1699" s="7">
        <v>5.7031000000000001</v>
      </c>
      <c r="H1699" s="7">
        <v>5.7801999999999998</v>
      </c>
      <c r="I1699" s="7">
        <v>6.0884999999999998</v>
      </c>
      <c r="J1699" s="7">
        <v>6.3855000000000004</v>
      </c>
      <c r="K1699" s="7">
        <v>6.6729000000000003</v>
      </c>
      <c r="L1699" s="7">
        <v>6.9318</v>
      </c>
      <c r="M1699" s="7">
        <v>7.4485000000000001</v>
      </c>
      <c r="N1699" s="7">
        <v>8.2011000000000003</v>
      </c>
      <c r="O1699" s="7">
        <v>9.2581000000000007</v>
      </c>
      <c r="P1699" s="7">
        <v>10.1425</v>
      </c>
      <c r="Q1699" s="7">
        <v>11.760199999999999</v>
      </c>
    </row>
    <row r="1700" spans="1:17">
      <c r="A1700" s="5">
        <v>43944</v>
      </c>
      <c r="B1700" s="5" t="str">
        <f t="shared" si="26"/>
        <v>2020 q2</v>
      </c>
      <c r="C1700" s="7">
        <v>5.4550000000000001</v>
      </c>
      <c r="D1700" s="7">
        <v>5.4824999999999999</v>
      </c>
      <c r="E1700" s="7">
        <v>5.5392000000000001</v>
      </c>
      <c r="F1700" s="7">
        <v>5.6233000000000004</v>
      </c>
      <c r="G1700" s="7">
        <v>5.7070999999999996</v>
      </c>
      <c r="H1700" s="7">
        <v>5.7881</v>
      </c>
      <c r="I1700" s="7">
        <v>6.1120000000000001</v>
      </c>
      <c r="J1700" s="7">
        <v>6.4211999999999998</v>
      </c>
      <c r="K1700" s="7">
        <v>6.7179000000000002</v>
      </c>
      <c r="L1700" s="7">
        <v>6.9789000000000003</v>
      </c>
      <c r="M1700" s="7">
        <v>7.4995000000000003</v>
      </c>
      <c r="N1700" s="7">
        <v>8.2530999999999999</v>
      </c>
      <c r="O1700" s="7">
        <v>9.2705000000000002</v>
      </c>
      <c r="P1700" s="7">
        <v>10.0914</v>
      </c>
      <c r="Q1700" s="7">
        <v>11.4581</v>
      </c>
    </row>
    <row r="1701" spans="1:17">
      <c r="A1701" s="5">
        <v>43948</v>
      </c>
      <c r="B1701" s="5" t="str">
        <f t="shared" si="26"/>
        <v>2020 q2</v>
      </c>
      <c r="C1701" s="7">
        <v>5.4442000000000004</v>
      </c>
      <c r="D1701" s="7">
        <v>5.4741</v>
      </c>
      <c r="E1701" s="7">
        <v>5.5357000000000003</v>
      </c>
      <c r="F1701" s="7">
        <v>5.6269999999999998</v>
      </c>
      <c r="G1701" s="7">
        <v>5.7179000000000002</v>
      </c>
      <c r="H1701" s="7">
        <v>5.8055000000000003</v>
      </c>
      <c r="I1701" s="7">
        <v>6.1561000000000003</v>
      </c>
      <c r="J1701" s="7">
        <v>6.4894999999999996</v>
      </c>
      <c r="K1701" s="7">
        <v>6.8083</v>
      </c>
      <c r="L1701" s="7">
        <v>7.0858999999999996</v>
      </c>
      <c r="M1701" s="7">
        <v>7.6397000000000004</v>
      </c>
      <c r="N1701" s="7">
        <v>8.4391999999999996</v>
      </c>
      <c r="O1701" s="7">
        <v>9.5010999999999992</v>
      </c>
      <c r="P1701" s="7">
        <v>10.345499999999999</v>
      </c>
      <c r="Q1701" s="7">
        <v>11.8447</v>
      </c>
    </row>
    <row r="1702" spans="1:17">
      <c r="A1702" s="5">
        <v>43949</v>
      </c>
      <c r="B1702" s="5" t="str">
        <f t="shared" si="26"/>
        <v>2020 q2</v>
      </c>
      <c r="C1702" s="7">
        <v>5.4382999999999999</v>
      </c>
      <c r="D1702" s="7">
        <v>5.4688999999999997</v>
      </c>
      <c r="E1702" s="7">
        <v>5.5317999999999996</v>
      </c>
      <c r="F1702" s="7">
        <v>5.6249000000000002</v>
      </c>
      <c r="G1702" s="7">
        <v>5.7175000000000002</v>
      </c>
      <c r="H1702" s="7">
        <v>5.8064</v>
      </c>
      <c r="I1702" s="7">
        <v>6.1619000000000002</v>
      </c>
      <c r="J1702" s="7">
        <v>6.4972000000000003</v>
      </c>
      <c r="K1702" s="7">
        <v>6.8156999999999996</v>
      </c>
      <c r="L1702" s="7">
        <v>7.1146000000000003</v>
      </c>
      <c r="M1702" s="7">
        <v>7.6553000000000004</v>
      </c>
      <c r="N1702" s="7">
        <v>8.4075000000000006</v>
      </c>
      <c r="O1702" s="7">
        <v>9.4085999999999999</v>
      </c>
      <c r="P1702" s="7">
        <v>10.181699999999999</v>
      </c>
      <c r="Q1702" s="7">
        <v>11.531700000000001</v>
      </c>
    </row>
    <row r="1703" spans="1:17">
      <c r="A1703" s="5">
        <v>43950</v>
      </c>
      <c r="B1703" s="5" t="str">
        <f t="shared" si="26"/>
        <v>2020 q2</v>
      </c>
      <c r="C1703" s="7">
        <v>5.4375999999999998</v>
      </c>
      <c r="D1703" s="7">
        <v>5.4690000000000003</v>
      </c>
      <c r="E1703" s="7">
        <v>5.5339</v>
      </c>
      <c r="F1703" s="7">
        <v>5.6294000000000004</v>
      </c>
      <c r="G1703" s="7">
        <v>5.7241999999999997</v>
      </c>
      <c r="H1703" s="7">
        <v>5.8144</v>
      </c>
      <c r="I1703" s="7">
        <v>6.1749000000000001</v>
      </c>
      <c r="J1703" s="7">
        <v>6.5095999999999998</v>
      </c>
      <c r="K1703" s="7">
        <v>6.8235000000000001</v>
      </c>
      <c r="L1703" s="7">
        <v>7.1132999999999997</v>
      </c>
      <c r="M1703" s="7">
        <v>7.6475999999999997</v>
      </c>
      <c r="N1703" s="7">
        <v>8.3369999999999997</v>
      </c>
      <c r="O1703" s="7">
        <v>9.2253000000000007</v>
      </c>
      <c r="P1703" s="7">
        <v>9.8549000000000007</v>
      </c>
      <c r="Q1703" s="7">
        <v>10.949299999999999</v>
      </c>
    </row>
    <row r="1704" spans="1:17">
      <c r="A1704" s="5">
        <v>43951</v>
      </c>
      <c r="B1704" s="5" t="str">
        <f t="shared" si="26"/>
        <v>2020 q2</v>
      </c>
      <c r="C1704" s="7">
        <v>5.4090999999999996</v>
      </c>
      <c r="D1704" s="7">
        <v>5.4432999999999998</v>
      </c>
      <c r="E1704" s="7">
        <v>5.5137999999999998</v>
      </c>
      <c r="F1704" s="7">
        <v>5.6170999999999998</v>
      </c>
      <c r="G1704" s="7">
        <v>5.7201000000000004</v>
      </c>
      <c r="H1704" s="7">
        <v>5.8178000000000001</v>
      </c>
      <c r="I1704" s="7">
        <v>6.2015000000000002</v>
      </c>
      <c r="J1704" s="7">
        <v>6.5541</v>
      </c>
      <c r="K1704" s="7">
        <v>6.8803999999999998</v>
      </c>
      <c r="L1704" s="7">
        <v>7.1825999999999999</v>
      </c>
      <c r="M1704" s="7">
        <v>7.6768999999999998</v>
      </c>
      <c r="N1704" s="7">
        <v>8.3773999999999997</v>
      </c>
      <c r="O1704" s="7">
        <v>9.2027999999999999</v>
      </c>
      <c r="P1704" s="7">
        <v>9.7829999999999995</v>
      </c>
      <c r="Q1704" s="7">
        <v>10.6313</v>
      </c>
    </row>
    <row r="1705" spans="1:17">
      <c r="A1705" s="5">
        <v>43955</v>
      </c>
      <c r="B1705" s="5" t="str">
        <f t="shared" si="26"/>
        <v>2020 q2</v>
      </c>
      <c r="C1705" s="7">
        <v>5.4489999999999998</v>
      </c>
      <c r="D1705" s="7">
        <v>5.4791999999999996</v>
      </c>
      <c r="E1705" s="7">
        <v>5.5415000000000001</v>
      </c>
      <c r="F1705" s="7">
        <v>5.6333000000000002</v>
      </c>
      <c r="G1705" s="7">
        <v>5.7247000000000003</v>
      </c>
      <c r="H1705" s="7">
        <v>5.8121999999999998</v>
      </c>
      <c r="I1705" s="7">
        <v>6.1571999999999996</v>
      </c>
      <c r="J1705" s="7">
        <v>6.4787999999999997</v>
      </c>
      <c r="K1705" s="7">
        <v>6.7803000000000004</v>
      </c>
      <c r="L1705" s="7">
        <v>7.0632000000000001</v>
      </c>
      <c r="M1705" s="7">
        <v>7.5707000000000004</v>
      </c>
      <c r="N1705" s="7">
        <v>8.2355999999999998</v>
      </c>
      <c r="O1705" s="7">
        <v>9.0907999999999998</v>
      </c>
      <c r="P1705" s="7">
        <v>9.6973000000000003</v>
      </c>
      <c r="Q1705" s="7">
        <v>10.650700000000001</v>
      </c>
    </row>
    <row r="1706" spans="1:17">
      <c r="A1706" s="5">
        <v>43956</v>
      </c>
      <c r="B1706" s="5" t="str">
        <f t="shared" si="26"/>
        <v>2020 q2</v>
      </c>
      <c r="C1706" s="7">
        <v>5.2911999999999999</v>
      </c>
      <c r="D1706" s="7">
        <v>5.3308999999999997</v>
      </c>
      <c r="E1706" s="7">
        <v>5.4130000000000003</v>
      </c>
      <c r="F1706" s="7">
        <v>5.5343999999999998</v>
      </c>
      <c r="G1706" s="7">
        <v>5.6519000000000004</v>
      </c>
      <c r="H1706" s="7">
        <v>5.7694000000000001</v>
      </c>
      <c r="I1706" s="7">
        <v>6.1997</v>
      </c>
      <c r="J1706" s="7">
        <v>6.5848000000000004</v>
      </c>
      <c r="K1706" s="7">
        <v>6.9282000000000004</v>
      </c>
      <c r="L1706" s="7">
        <v>7.1706000000000003</v>
      </c>
      <c r="M1706" s="7">
        <v>7.6554000000000002</v>
      </c>
      <c r="N1706" s="7">
        <v>8.3192000000000004</v>
      </c>
      <c r="O1706" s="7">
        <v>8.9138999999999999</v>
      </c>
      <c r="P1706" s="7">
        <v>9.2399000000000004</v>
      </c>
      <c r="Q1706" s="7">
        <v>9.5787999999999993</v>
      </c>
    </row>
    <row r="1707" spans="1:17">
      <c r="A1707" s="5">
        <v>43957</v>
      </c>
      <c r="B1707" s="5" t="str">
        <f t="shared" si="26"/>
        <v>2020 q2</v>
      </c>
      <c r="C1707" s="7">
        <v>5.3472999999999997</v>
      </c>
      <c r="D1707" s="7">
        <v>5.3792</v>
      </c>
      <c r="E1707" s="7">
        <v>5.4450000000000003</v>
      </c>
      <c r="F1707" s="7">
        <v>5.5427999999999997</v>
      </c>
      <c r="G1707" s="7">
        <v>5.6384999999999996</v>
      </c>
      <c r="H1707" s="7">
        <v>5.7340999999999998</v>
      </c>
      <c r="I1707" s="7">
        <v>6.0945999999999998</v>
      </c>
      <c r="J1707" s="7">
        <v>6.4287000000000001</v>
      </c>
      <c r="K1707" s="7">
        <v>6.7374000000000001</v>
      </c>
      <c r="L1707" s="7">
        <v>7.0225999999999997</v>
      </c>
      <c r="M1707" s="7">
        <v>7.4897999999999998</v>
      </c>
      <c r="N1707" s="7">
        <v>8.1105999999999998</v>
      </c>
      <c r="O1707" s="7">
        <v>8.7715999999999994</v>
      </c>
      <c r="P1707" s="7">
        <v>9.1029999999999998</v>
      </c>
      <c r="Q1707" s="7">
        <v>9.4876000000000005</v>
      </c>
    </row>
    <row r="1708" spans="1:17">
      <c r="A1708" s="5">
        <v>43958</v>
      </c>
      <c r="B1708" s="5" t="str">
        <f t="shared" si="26"/>
        <v>2020 q2</v>
      </c>
      <c r="C1708" s="7">
        <v>5.2816000000000001</v>
      </c>
      <c r="D1708" s="7">
        <v>5.3201999999999998</v>
      </c>
      <c r="E1708" s="7">
        <v>5.4</v>
      </c>
      <c r="F1708" s="7">
        <v>5.5178000000000003</v>
      </c>
      <c r="G1708" s="7">
        <v>5.6322000000000001</v>
      </c>
      <c r="H1708" s="7">
        <v>5.7462999999999997</v>
      </c>
      <c r="I1708" s="7">
        <v>6.1658999999999997</v>
      </c>
      <c r="J1708" s="7">
        <v>6.5423</v>
      </c>
      <c r="K1708" s="7">
        <v>6.8775000000000004</v>
      </c>
      <c r="L1708" s="7">
        <v>7.1109999999999998</v>
      </c>
      <c r="M1708" s="7">
        <v>7.5781999999999998</v>
      </c>
      <c r="N1708" s="7">
        <v>8.2100000000000009</v>
      </c>
      <c r="O1708" s="7">
        <v>8.7141999999999999</v>
      </c>
      <c r="P1708" s="7">
        <v>8.9050999999999991</v>
      </c>
      <c r="Q1708" s="7">
        <v>8.9197000000000006</v>
      </c>
    </row>
    <row r="1709" spans="1:17">
      <c r="A1709" s="5">
        <v>43959</v>
      </c>
      <c r="B1709" s="5" t="str">
        <f t="shared" si="26"/>
        <v>2020 q2</v>
      </c>
      <c r="C1709" s="7">
        <v>5.2927</v>
      </c>
      <c r="D1709" s="7">
        <v>5.3311000000000002</v>
      </c>
      <c r="E1709" s="7">
        <v>5.4103000000000003</v>
      </c>
      <c r="F1709" s="7">
        <v>5.5269000000000004</v>
      </c>
      <c r="G1709" s="7">
        <v>5.6394000000000002</v>
      </c>
      <c r="H1709" s="7">
        <v>5.7515000000000001</v>
      </c>
      <c r="I1709" s="7">
        <v>6.1567999999999996</v>
      </c>
      <c r="J1709" s="7">
        <v>6.5130999999999997</v>
      </c>
      <c r="K1709" s="7">
        <v>6.8249000000000004</v>
      </c>
      <c r="L1709" s="7">
        <v>7.0373000000000001</v>
      </c>
      <c r="M1709" s="7">
        <v>7.4622000000000002</v>
      </c>
      <c r="N1709" s="7">
        <v>8.0564</v>
      </c>
      <c r="O1709" s="7">
        <v>8.5683000000000007</v>
      </c>
      <c r="P1709" s="7">
        <v>8.8413000000000004</v>
      </c>
      <c r="Q1709" s="7">
        <v>9.1872000000000007</v>
      </c>
    </row>
    <row r="1710" spans="1:17">
      <c r="A1710" s="5">
        <v>43962</v>
      </c>
      <c r="B1710" s="5" t="str">
        <f t="shared" si="26"/>
        <v>2020 q2</v>
      </c>
      <c r="C1710" s="7">
        <v>5.2847999999999997</v>
      </c>
      <c r="D1710" s="7">
        <v>5.3228999999999997</v>
      </c>
      <c r="E1710" s="7">
        <v>5.4015000000000004</v>
      </c>
      <c r="F1710" s="7">
        <v>5.5185000000000004</v>
      </c>
      <c r="G1710" s="7">
        <v>5.6337000000000002</v>
      </c>
      <c r="H1710" s="7">
        <v>5.7484000000000002</v>
      </c>
      <c r="I1710" s="7">
        <v>6.1783999999999999</v>
      </c>
      <c r="J1710" s="7">
        <v>6.5636000000000001</v>
      </c>
      <c r="K1710" s="7">
        <v>6.8997000000000002</v>
      </c>
      <c r="L1710" s="7">
        <v>7.1151999999999997</v>
      </c>
      <c r="M1710" s="7">
        <v>7.5462999999999996</v>
      </c>
      <c r="N1710" s="7">
        <v>8.1264000000000003</v>
      </c>
      <c r="O1710" s="7">
        <v>8.5703999999999994</v>
      </c>
      <c r="P1710" s="7">
        <v>8.8229000000000006</v>
      </c>
      <c r="Q1710" s="7">
        <v>9.1181999999999999</v>
      </c>
    </row>
    <row r="1711" spans="1:17">
      <c r="A1711" s="5">
        <v>43963</v>
      </c>
      <c r="B1711" s="5" t="str">
        <f t="shared" si="26"/>
        <v>2020 q2</v>
      </c>
      <c r="C1711" s="7">
        <v>5.3083999999999998</v>
      </c>
      <c r="D1711" s="7">
        <v>5.3442999999999996</v>
      </c>
      <c r="E1711" s="7">
        <v>5.4184000000000001</v>
      </c>
      <c r="F1711" s="7">
        <v>5.5278</v>
      </c>
      <c r="G1711" s="7">
        <v>5.6348000000000003</v>
      </c>
      <c r="H1711" s="7">
        <v>5.7409999999999997</v>
      </c>
      <c r="I1711" s="7">
        <v>6.1372999999999998</v>
      </c>
      <c r="J1711" s="7">
        <v>6.4977</v>
      </c>
      <c r="K1711" s="7">
        <v>6.8242000000000003</v>
      </c>
      <c r="L1711" s="7">
        <v>7.1134000000000004</v>
      </c>
      <c r="M1711" s="7">
        <v>7.5807000000000002</v>
      </c>
      <c r="N1711" s="7">
        <v>8.1738999999999997</v>
      </c>
      <c r="O1711" s="7">
        <v>8.7233999999999998</v>
      </c>
      <c r="P1711" s="7">
        <v>8.9271999999999991</v>
      </c>
      <c r="Q1711" s="7">
        <v>8.9131999999999998</v>
      </c>
    </row>
    <row r="1712" spans="1:17">
      <c r="A1712" s="5">
        <v>43964</v>
      </c>
      <c r="B1712" s="5" t="str">
        <f t="shared" si="26"/>
        <v>2020 q2</v>
      </c>
      <c r="C1712" s="7">
        <v>5.3223000000000003</v>
      </c>
      <c r="D1712" s="7">
        <v>5.3567999999999998</v>
      </c>
      <c r="E1712" s="7">
        <v>5.4280999999999997</v>
      </c>
      <c r="F1712" s="7">
        <v>5.5335000000000001</v>
      </c>
      <c r="G1712" s="7">
        <v>5.6364999999999998</v>
      </c>
      <c r="H1712" s="7">
        <v>5.7388000000000003</v>
      </c>
      <c r="I1712" s="7">
        <v>6.1215999999999999</v>
      </c>
      <c r="J1712" s="7">
        <v>6.4710000000000001</v>
      </c>
      <c r="K1712" s="7">
        <v>6.7870999999999997</v>
      </c>
      <c r="L1712" s="7">
        <v>7.0206</v>
      </c>
      <c r="M1712" s="7">
        <v>7.4875999999999996</v>
      </c>
      <c r="N1712" s="7">
        <v>8.1240000000000006</v>
      </c>
      <c r="O1712" s="7">
        <v>8.6933000000000007</v>
      </c>
      <c r="P1712" s="7">
        <v>8.9298999999999999</v>
      </c>
      <c r="Q1712" s="7">
        <v>8.9946999999999999</v>
      </c>
    </row>
    <row r="1713" spans="1:17">
      <c r="A1713" s="5">
        <v>43965</v>
      </c>
      <c r="B1713" s="5" t="str">
        <f t="shared" si="26"/>
        <v>2020 q2</v>
      </c>
      <c r="C1713" s="7">
        <v>5.2911000000000001</v>
      </c>
      <c r="D1713" s="7">
        <v>5.3289</v>
      </c>
      <c r="E1713" s="7">
        <v>5.4067999999999996</v>
      </c>
      <c r="F1713" s="7">
        <v>5.5216000000000003</v>
      </c>
      <c r="G1713" s="7">
        <v>5.6334999999999997</v>
      </c>
      <c r="H1713" s="7">
        <v>5.7445000000000004</v>
      </c>
      <c r="I1713" s="7">
        <v>6.1554000000000002</v>
      </c>
      <c r="J1713" s="7">
        <v>6.5250000000000004</v>
      </c>
      <c r="K1713" s="7">
        <v>6.8566000000000003</v>
      </c>
      <c r="L1713" s="7">
        <v>7.1513999999999998</v>
      </c>
      <c r="M1713" s="7">
        <v>7.5877999999999997</v>
      </c>
      <c r="N1713" s="7">
        <v>8.2003000000000004</v>
      </c>
      <c r="O1713" s="7">
        <v>8.7173999999999996</v>
      </c>
      <c r="P1713" s="7">
        <v>8.8805999999999994</v>
      </c>
      <c r="Q1713" s="7">
        <v>8.8873999999999995</v>
      </c>
    </row>
    <row r="1714" spans="1:17">
      <c r="A1714" s="5">
        <v>43966</v>
      </c>
      <c r="B1714" s="5" t="str">
        <f t="shared" si="26"/>
        <v>2020 q2</v>
      </c>
      <c r="C1714" s="7">
        <v>5.2624000000000004</v>
      </c>
      <c r="D1714" s="7">
        <v>5.3029000000000002</v>
      </c>
      <c r="E1714" s="7">
        <v>5.3864999999999998</v>
      </c>
      <c r="F1714" s="7">
        <v>5.5095000000000001</v>
      </c>
      <c r="G1714" s="7">
        <v>5.6292999999999997</v>
      </c>
      <c r="H1714" s="7">
        <v>5.7480000000000002</v>
      </c>
      <c r="I1714" s="7">
        <v>6.1860999999999997</v>
      </c>
      <c r="J1714" s="7">
        <v>6.5780000000000003</v>
      </c>
      <c r="K1714" s="7">
        <v>6.9245000000000001</v>
      </c>
      <c r="L1714" s="7">
        <v>7.1642000000000001</v>
      </c>
      <c r="M1714" s="7">
        <v>7.6435000000000004</v>
      </c>
      <c r="N1714" s="7">
        <v>8.2843</v>
      </c>
      <c r="O1714" s="7">
        <v>8.7606999999999999</v>
      </c>
      <c r="P1714" s="7">
        <v>8.8895999999999997</v>
      </c>
      <c r="Q1714" s="7">
        <v>8.7457999999999991</v>
      </c>
    </row>
    <row r="1715" spans="1:17">
      <c r="A1715" s="5">
        <v>43969</v>
      </c>
      <c r="B1715" s="5" t="str">
        <f t="shared" si="26"/>
        <v>2020 q2</v>
      </c>
      <c r="C1715" s="7">
        <v>5.298</v>
      </c>
      <c r="D1715" s="7">
        <v>5.3360000000000003</v>
      </c>
      <c r="E1715" s="7">
        <v>5.4143999999999997</v>
      </c>
      <c r="F1715" s="7">
        <v>5.5294999999999996</v>
      </c>
      <c r="G1715" s="7">
        <v>5.6413000000000002</v>
      </c>
      <c r="H1715" s="7">
        <v>5.7518000000000002</v>
      </c>
      <c r="I1715" s="7">
        <v>6.1566000000000001</v>
      </c>
      <c r="J1715" s="7">
        <v>6.5155000000000003</v>
      </c>
      <c r="K1715" s="7">
        <v>6.8308</v>
      </c>
      <c r="L1715" s="7">
        <v>7.0510999999999999</v>
      </c>
      <c r="M1715" s="7">
        <v>7.4916999999999998</v>
      </c>
      <c r="N1715" s="7">
        <v>8.0907</v>
      </c>
      <c r="O1715" s="7">
        <v>8.6234000000000002</v>
      </c>
      <c r="P1715" s="7">
        <v>8.9242000000000008</v>
      </c>
      <c r="Q1715" s="7">
        <v>9.2649000000000008</v>
      </c>
    </row>
    <row r="1716" spans="1:17">
      <c r="A1716" s="5">
        <v>43970</v>
      </c>
      <c r="B1716" s="5" t="str">
        <f t="shared" si="26"/>
        <v>2020 q2</v>
      </c>
      <c r="C1716" s="7">
        <v>5.3582000000000001</v>
      </c>
      <c r="D1716" s="7">
        <v>5.3936999999999999</v>
      </c>
      <c r="E1716" s="7">
        <v>5.4667000000000003</v>
      </c>
      <c r="F1716" s="7">
        <v>5.5757000000000003</v>
      </c>
      <c r="G1716" s="7">
        <v>5.6814999999999998</v>
      </c>
      <c r="H1716" s="7">
        <v>5.7859999999999996</v>
      </c>
      <c r="I1716" s="7">
        <v>6.1769999999999996</v>
      </c>
      <c r="J1716" s="7">
        <v>6.5307000000000004</v>
      </c>
      <c r="K1716" s="7">
        <v>6.8470000000000004</v>
      </c>
      <c r="L1716" s="7">
        <v>7.0762</v>
      </c>
      <c r="M1716" s="7">
        <v>7.5347</v>
      </c>
      <c r="N1716" s="7">
        <v>8.1552000000000007</v>
      </c>
      <c r="O1716" s="7">
        <v>8.6920999999999999</v>
      </c>
      <c r="P1716" s="7">
        <v>8.9177999999999997</v>
      </c>
      <c r="Q1716" s="7">
        <v>9.0031999999999996</v>
      </c>
    </row>
    <row r="1717" spans="1:17">
      <c r="A1717" s="5">
        <v>43971</v>
      </c>
      <c r="B1717" s="5" t="str">
        <f t="shared" si="26"/>
        <v>2020 q2</v>
      </c>
      <c r="C1717" s="7">
        <v>5.3150000000000004</v>
      </c>
      <c r="D1717" s="7">
        <v>5.3513000000000002</v>
      </c>
      <c r="E1717" s="7">
        <v>5.4263000000000003</v>
      </c>
      <c r="F1717" s="7">
        <v>5.5381</v>
      </c>
      <c r="G1717" s="7">
        <v>5.6467999999999998</v>
      </c>
      <c r="H1717" s="7">
        <v>5.7542</v>
      </c>
      <c r="I1717" s="7">
        <v>6.1577999999999999</v>
      </c>
      <c r="J1717" s="7">
        <v>6.5247999999999999</v>
      </c>
      <c r="K1717" s="7">
        <v>6.8574999999999999</v>
      </c>
      <c r="L1717" s="7">
        <v>7.1557000000000004</v>
      </c>
      <c r="M1717" s="7">
        <v>7.6085000000000003</v>
      </c>
      <c r="N1717" s="7">
        <v>8.2218999999999998</v>
      </c>
      <c r="O1717" s="7">
        <v>8.7612000000000005</v>
      </c>
      <c r="P1717" s="7">
        <v>8.9285999999999994</v>
      </c>
      <c r="Q1717" s="7">
        <v>8.8129000000000008</v>
      </c>
    </row>
    <row r="1718" spans="1:17">
      <c r="A1718" s="5">
        <v>43972</v>
      </c>
      <c r="B1718" s="5" t="str">
        <f t="shared" si="26"/>
        <v>2020 q2</v>
      </c>
      <c r="C1718" s="7">
        <v>5.3441999999999998</v>
      </c>
      <c r="D1718" s="7">
        <v>5.3784000000000001</v>
      </c>
      <c r="E1718" s="7">
        <v>5.4492000000000003</v>
      </c>
      <c r="F1718" s="7">
        <v>5.5545999999999998</v>
      </c>
      <c r="G1718" s="7">
        <v>5.6570999999999998</v>
      </c>
      <c r="H1718" s="7">
        <v>5.7584</v>
      </c>
      <c r="I1718" s="7">
        <v>6.1393000000000004</v>
      </c>
      <c r="J1718" s="7">
        <v>6.4861000000000004</v>
      </c>
      <c r="K1718" s="7">
        <v>6.798</v>
      </c>
      <c r="L1718" s="7">
        <v>7.0293000000000001</v>
      </c>
      <c r="M1718" s="7">
        <v>7.492</v>
      </c>
      <c r="N1718" s="7">
        <v>8.1212999999999997</v>
      </c>
      <c r="O1718" s="7">
        <v>8.6966000000000001</v>
      </c>
      <c r="P1718" s="7">
        <v>8.9611000000000001</v>
      </c>
      <c r="Q1718" s="7">
        <v>9.1195000000000004</v>
      </c>
    </row>
    <row r="1719" spans="1:17">
      <c r="A1719" s="5">
        <v>43973</v>
      </c>
      <c r="B1719" s="5" t="str">
        <f t="shared" si="26"/>
        <v>2020 q2</v>
      </c>
      <c r="C1719" s="7">
        <v>5.3136999999999999</v>
      </c>
      <c r="D1719" s="7">
        <v>5.3513000000000002</v>
      </c>
      <c r="E1719" s="7">
        <v>5.4287999999999998</v>
      </c>
      <c r="F1719" s="7">
        <v>5.5442999999999998</v>
      </c>
      <c r="G1719" s="7">
        <v>5.6562000000000001</v>
      </c>
      <c r="H1719" s="7">
        <v>5.7666000000000004</v>
      </c>
      <c r="I1719" s="7">
        <v>6.1787999999999998</v>
      </c>
      <c r="J1719" s="7">
        <v>6.5499000000000001</v>
      </c>
      <c r="K1719" s="7">
        <v>6.8794000000000004</v>
      </c>
      <c r="L1719" s="7">
        <v>7.1151</v>
      </c>
      <c r="M1719" s="7">
        <v>7.5865999999999998</v>
      </c>
      <c r="N1719" s="7">
        <v>8.2210000000000001</v>
      </c>
      <c r="O1719" s="7">
        <v>8.7490000000000006</v>
      </c>
      <c r="P1719" s="7">
        <v>8.9550999999999998</v>
      </c>
      <c r="Q1719" s="7">
        <v>8.9962</v>
      </c>
    </row>
    <row r="1720" spans="1:17">
      <c r="A1720" s="5">
        <v>43974</v>
      </c>
      <c r="B1720" s="5" t="str">
        <f t="shared" si="26"/>
        <v>2020 q2</v>
      </c>
      <c r="C1720" s="7">
        <v>5.3372999999999999</v>
      </c>
      <c r="D1720" s="7">
        <v>5.3733000000000004</v>
      </c>
      <c r="E1720" s="7">
        <v>5.4478</v>
      </c>
      <c r="F1720" s="7">
        <v>5.5585000000000004</v>
      </c>
      <c r="G1720" s="7">
        <v>5.6657999999999999</v>
      </c>
      <c r="H1720" s="7">
        <v>5.7713000000000001</v>
      </c>
      <c r="I1720" s="7">
        <v>6.1647999999999996</v>
      </c>
      <c r="J1720" s="7">
        <v>6.5179999999999998</v>
      </c>
      <c r="K1720" s="7">
        <v>6.835</v>
      </c>
      <c r="L1720" s="7">
        <v>7.1166</v>
      </c>
      <c r="M1720" s="7">
        <v>7.5446999999999997</v>
      </c>
      <c r="N1720" s="7">
        <v>8.1312999999999995</v>
      </c>
      <c r="O1720" s="7">
        <v>8.7081999999999997</v>
      </c>
      <c r="P1720" s="7">
        <v>9.0335000000000001</v>
      </c>
      <c r="Q1720" s="7">
        <v>9.3981999999999992</v>
      </c>
    </row>
    <row r="1721" spans="1:17">
      <c r="A1721" s="5">
        <v>43976</v>
      </c>
      <c r="B1721" s="5" t="str">
        <f t="shared" si="26"/>
        <v>2020 q2</v>
      </c>
      <c r="C1721" s="7">
        <v>5.3305999999999996</v>
      </c>
      <c r="D1721" s="7">
        <v>5.3677999999999999</v>
      </c>
      <c r="E1721" s="7">
        <v>5.4444999999999997</v>
      </c>
      <c r="F1721" s="7">
        <v>5.5587</v>
      </c>
      <c r="G1721" s="7">
        <v>5.6692</v>
      </c>
      <c r="H1721" s="7">
        <v>5.7777000000000003</v>
      </c>
      <c r="I1721" s="7">
        <v>6.1810999999999998</v>
      </c>
      <c r="J1721" s="7">
        <v>6.5415000000000001</v>
      </c>
      <c r="K1721" s="7">
        <v>6.8589000000000002</v>
      </c>
      <c r="L1721" s="7">
        <v>7.0853000000000002</v>
      </c>
      <c r="M1721" s="7">
        <v>7.5381999999999998</v>
      </c>
      <c r="N1721" s="7">
        <v>8.1513000000000009</v>
      </c>
      <c r="O1721" s="7">
        <v>8.6990999999999996</v>
      </c>
      <c r="P1721" s="7">
        <v>8.9917999999999996</v>
      </c>
      <c r="Q1721" s="7">
        <v>9.2914999999999992</v>
      </c>
    </row>
    <row r="1722" spans="1:17">
      <c r="A1722" s="5">
        <v>43977</v>
      </c>
      <c r="B1722" s="5" t="str">
        <f t="shared" si="26"/>
        <v>2020 q2</v>
      </c>
      <c r="C1722" s="7">
        <v>5.3776000000000002</v>
      </c>
      <c r="D1722" s="7">
        <v>5.4127000000000001</v>
      </c>
      <c r="E1722" s="7">
        <v>5.4851999999999999</v>
      </c>
      <c r="F1722" s="7">
        <v>5.5904999999999996</v>
      </c>
      <c r="G1722" s="7">
        <v>5.6955999999999998</v>
      </c>
      <c r="H1722" s="7">
        <v>5.7988</v>
      </c>
      <c r="I1722" s="7">
        <v>6.1856999999999998</v>
      </c>
      <c r="J1722" s="7">
        <v>6.5381</v>
      </c>
      <c r="K1722" s="7">
        <v>6.8543000000000003</v>
      </c>
      <c r="L1722" s="7">
        <v>7.0894000000000004</v>
      </c>
      <c r="M1722" s="7">
        <v>7.5594999999999999</v>
      </c>
      <c r="N1722" s="7">
        <v>8.1964000000000006</v>
      </c>
      <c r="O1722" s="7">
        <v>8.7722999999999995</v>
      </c>
      <c r="P1722" s="7">
        <v>9.0213999999999999</v>
      </c>
      <c r="Q1722" s="7">
        <v>9.1313999999999993</v>
      </c>
    </row>
    <row r="1723" spans="1:17">
      <c r="A1723" s="5">
        <v>43978</v>
      </c>
      <c r="B1723" s="5" t="str">
        <f t="shared" si="26"/>
        <v>2020 q2</v>
      </c>
      <c r="C1723" s="7">
        <v>5.3769999999999998</v>
      </c>
      <c r="D1723" s="7">
        <v>5.4123000000000001</v>
      </c>
      <c r="E1723" s="7">
        <v>5.4851999999999999</v>
      </c>
      <c r="F1723" s="7">
        <v>5.5910000000000002</v>
      </c>
      <c r="G1723" s="7">
        <v>5.6966000000000001</v>
      </c>
      <c r="H1723" s="7">
        <v>5.8002000000000002</v>
      </c>
      <c r="I1723" s="7">
        <v>6.1879999999999997</v>
      </c>
      <c r="J1723" s="7">
        <v>6.5401999999999996</v>
      </c>
      <c r="K1723" s="7">
        <v>6.8550000000000004</v>
      </c>
      <c r="L1723" s="7">
        <v>7.0865</v>
      </c>
      <c r="M1723" s="7">
        <v>7.5495000000000001</v>
      </c>
      <c r="N1723" s="7">
        <v>8.1946999999999992</v>
      </c>
      <c r="O1723" s="7">
        <v>8.7417999999999996</v>
      </c>
      <c r="P1723" s="7">
        <v>8.9257000000000009</v>
      </c>
      <c r="Q1723" s="7">
        <v>8.9527999999999999</v>
      </c>
    </row>
    <row r="1724" spans="1:17">
      <c r="A1724" s="5">
        <v>43983</v>
      </c>
      <c r="B1724" s="5" t="str">
        <f t="shared" si="26"/>
        <v>2020 q2</v>
      </c>
      <c r="C1724" s="7">
        <v>5.3906999999999998</v>
      </c>
      <c r="D1724" s="7">
        <v>5.4245000000000001</v>
      </c>
      <c r="E1724" s="7">
        <v>5.4943</v>
      </c>
      <c r="F1724" s="7">
        <v>5.5959000000000003</v>
      </c>
      <c r="G1724" s="7">
        <v>5.6974</v>
      </c>
      <c r="H1724" s="7">
        <v>5.7971000000000004</v>
      </c>
      <c r="I1724" s="7">
        <v>6.1731999999999996</v>
      </c>
      <c r="J1724" s="7">
        <v>6.5183</v>
      </c>
      <c r="K1724" s="7">
        <v>6.83</v>
      </c>
      <c r="L1724" s="7">
        <v>7.0663999999999998</v>
      </c>
      <c r="M1724" s="7">
        <v>7.5392999999999999</v>
      </c>
      <c r="N1724" s="7">
        <v>8.1811000000000007</v>
      </c>
      <c r="O1724" s="7">
        <v>8.7767999999999997</v>
      </c>
      <c r="P1724" s="7">
        <v>9.0239999999999991</v>
      </c>
      <c r="Q1724" s="7">
        <v>9.0930999999999997</v>
      </c>
    </row>
    <row r="1725" spans="1:17">
      <c r="A1725" s="5">
        <v>43984</v>
      </c>
      <c r="B1725" s="5" t="str">
        <f t="shared" si="26"/>
        <v>2020 q2</v>
      </c>
      <c r="C1725" s="7">
        <v>5.4351000000000003</v>
      </c>
      <c r="D1725" s="7">
        <v>5.4668000000000001</v>
      </c>
      <c r="E1725" s="7">
        <v>5.5323000000000002</v>
      </c>
      <c r="F1725" s="7">
        <v>5.6295000000000002</v>
      </c>
      <c r="G1725" s="7">
        <v>5.7248999999999999</v>
      </c>
      <c r="H1725" s="7">
        <v>5.8201999999999998</v>
      </c>
      <c r="I1725" s="7">
        <v>6.1772999999999998</v>
      </c>
      <c r="J1725" s="7">
        <v>6.5079000000000002</v>
      </c>
      <c r="K1725" s="7">
        <v>6.8078000000000003</v>
      </c>
      <c r="L1725" s="7">
        <v>7.0404999999999998</v>
      </c>
      <c r="M1725" s="7">
        <v>7.5058999999999996</v>
      </c>
      <c r="N1725" s="7">
        <v>8.1601999999999997</v>
      </c>
      <c r="O1725" s="7">
        <v>8.7832000000000008</v>
      </c>
      <c r="P1725" s="7">
        <v>9.0404</v>
      </c>
      <c r="Q1725" s="7">
        <v>9.1862999999999992</v>
      </c>
    </row>
    <row r="1726" spans="1:17">
      <c r="A1726" s="5">
        <v>43985</v>
      </c>
      <c r="B1726" s="5" t="str">
        <f t="shared" si="26"/>
        <v>2020 q2</v>
      </c>
      <c r="C1726" s="7">
        <v>5.4076000000000004</v>
      </c>
      <c r="D1726" s="7">
        <v>5.4402999999999997</v>
      </c>
      <c r="E1726" s="7">
        <v>5.5079000000000002</v>
      </c>
      <c r="F1726" s="7">
        <v>5.6083999999999996</v>
      </c>
      <c r="G1726" s="7">
        <v>5.7068000000000003</v>
      </c>
      <c r="H1726" s="7">
        <v>5.8052000000000001</v>
      </c>
      <c r="I1726" s="7">
        <v>6.1734</v>
      </c>
      <c r="J1726" s="7">
        <v>6.5143000000000004</v>
      </c>
      <c r="K1726" s="7">
        <v>6.8216999999999999</v>
      </c>
      <c r="L1726" s="7">
        <v>7.0594999999999999</v>
      </c>
      <c r="M1726" s="7">
        <v>7.5350999999999999</v>
      </c>
      <c r="N1726" s="7">
        <v>8.1814</v>
      </c>
      <c r="O1726" s="7">
        <v>8.8041</v>
      </c>
      <c r="P1726" s="7">
        <v>9.0780999999999992</v>
      </c>
      <c r="Q1726" s="7">
        <v>9.1997</v>
      </c>
    </row>
    <row r="1727" spans="1:17">
      <c r="A1727" s="5">
        <v>43986</v>
      </c>
      <c r="B1727" s="5" t="str">
        <f t="shared" si="26"/>
        <v>2020 q2</v>
      </c>
      <c r="C1727" s="7">
        <v>5.3882000000000003</v>
      </c>
      <c r="D1727" s="7">
        <v>5.4219999999999997</v>
      </c>
      <c r="E1727" s="7">
        <v>5.4916999999999998</v>
      </c>
      <c r="F1727" s="7">
        <v>5.5951000000000004</v>
      </c>
      <c r="G1727" s="7">
        <v>5.6963999999999997</v>
      </c>
      <c r="H1727" s="7">
        <v>5.7976000000000001</v>
      </c>
      <c r="I1727" s="7">
        <v>6.1753999999999998</v>
      </c>
      <c r="J1727" s="7">
        <v>6.5232999999999999</v>
      </c>
      <c r="K1727" s="7">
        <v>6.8367000000000004</v>
      </c>
      <c r="L1727" s="7">
        <v>7.0758000000000001</v>
      </c>
      <c r="M1727" s="7">
        <v>7.5540000000000003</v>
      </c>
      <c r="N1727" s="7">
        <v>8.2006999999999994</v>
      </c>
      <c r="O1727" s="7">
        <v>8.8025000000000002</v>
      </c>
      <c r="P1727" s="7">
        <v>9.0463000000000005</v>
      </c>
      <c r="Q1727" s="7">
        <v>9.1007999999999996</v>
      </c>
    </row>
    <row r="1728" spans="1:17">
      <c r="A1728" s="5">
        <v>43987</v>
      </c>
      <c r="B1728" s="5" t="str">
        <f t="shared" si="26"/>
        <v>2020 q2</v>
      </c>
      <c r="C1728" s="7">
        <v>5.3902000000000001</v>
      </c>
      <c r="D1728" s="7">
        <v>5.4249999999999998</v>
      </c>
      <c r="E1728" s="7">
        <v>5.4969999999999999</v>
      </c>
      <c r="F1728" s="7">
        <v>5.6036000000000001</v>
      </c>
      <c r="G1728" s="7">
        <v>5.7077</v>
      </c>
      <c r="H1728" s="7">
        <v>5.8116000000000003</v>
      </c>
      <c r="I1728" s="7">
        <v>6.1961000000000004</v>
      </c>
      <c r="J1728" s="7">
        <v>6.5462999999999996</v>
      </c>
      <c r="K1728" s="7">
        <v>6.8578000000000001</v>
      </c>
      <c r="L1728" s="7">
        <v>7.0896999999999997</v>
      </c>
      <c r="M1728" s="7">
        <v>7.5534999999999997</v>
      </c>
      <c r="N1728" s="7">
        <v>8.1996000000000002</v>
      </c>
      <c r="O1728" s="7">
        <v>8.7739999999999991</v>
      </c>
      <c r="P1728" s="7">
        <v>9.0145</v>
      </c>
      <c r="Q1728" s="7">
        <v>9.1913999999999998</v>
      </c>
    </row>
    <row r="1729" spans="1:17">
      <c r="A1729" s="5">
        <v>43990</v>
      </c>
      <c r="B1729" s="5" t="str">
        <f t="shared" si="26"/>
        <v>2020 q2</v>
      </c>
      <c r="C1729" s="7">
        <v>5.4013</v>
      </c>
      <c r="D1729" s="7">
        <v>5.4349999999999996</v>
      </c>
      <c r="E1729" s="7">
        <v>5.5045000000000002</v>
      </c>
      <c r="F1729" s="7">
        <v>5.6075999999999997</v>
      </c>
      <c r="G1729" s="7">
        <v>5.7087000000000003</v>
      </c>
      <c r="H1729" s="7">
        <v>5.8094000000000001</v>
      </c>
      <c r="I1729" s="7">
        <v>6.1860999999999997</v>
      </c>
      <c r="J1729" s="7">
        <v>6.5330000000000004</v>
      </c>
      <c r="K1729" s="7">
        <v>6.8498999999999999</v>
      </c>
      <c r="L1729" s="7">
        <v>7.1360999999999999</v>
      </c>
      <c r="M1729" s="7">
        <v>7.6035000000000004</v>
      </c>
      <c r="N1729" s="7">
        <v>8.2050000000000001</v>
      </c>
      <c r="O1729" s="7">
        <v>8.8053000000000008</v>
      </c>
      <c r="P1729" s="7">
        <v>9.0478000000000005</v>
      </c>
      <c r="Q1729" s="7">
        <v>9.1013999999999999</v>
      </c>
    </row>
    <row r="1730" spans="1:17">
      <c r="A1730" s="5">
        <v>43991</v>
      </c>
      <c r="B1730" s="5" t="str">
        <f t="shared" si="26"/>
        <v>2020 q2</v>
      </c>
      <c r="C1730" s="7">
        <v>5.3887</v>
      </c>
      <c r="D1730" s="7">
        <v>5.4234999999999998</v>
      </c>
      <c r="E1730" s="7">
        <v>5.4953000000000003</v>
      </c>
      <c r="F1730" s="7">
        <v>5.6018999999999997</v>
      </c>
      <c r="G1730" s="7">
        <v>5.7064000000000004</v>
      </c>
      <c r="H1730" s="7">
        <v>5.8105000000000002</v>
      </c>
      <c r="I1730" s="7">
        <v>6.1989999999999998</v>
      </c>
      <c r="J1730" s="7">
        <v>6.5540000000000003</v>
      </c>
      <c r="K1730" s="7">
        <v>6.8689</v>
      </c>
      <c r="L1730" s="7">
        <v>7.1021999999999998</v>
      </c>
      <c r="M1730" s="7">
        <v>7.5686999999999998</v>
      </c>
      <c r="N1730" s="7">
        <v>8.1997</v>
      </c>
      <c r="O1730" s="7">
        <v>8.8018000000000001</v>
      </c>
      <c r="P1730" s="7">
        <v>9.1644000000000005</v>
      </c>
      <c r="Q1730" s="7">
        <v>9.7050999999999998</v>
      </c>
    </row>
    <row r="1731" spans="1:17">
      <c r="A1731" s="5">
        <v>43992</v>
      </c>
      <c r="B1731" s="5" t="str">
        <f t="shared" ref="B1731:B1794" si="27">YEAR(A1731)&amp;" q"&amp;ROUNDUP(MONTH(A1731)/3,0)</f>
        <v>2020 q2</v>
      </c>
      <c r="C1731" s="7">
        <v>5.3883000000000001</v>
      </c>
      <c r="D1731" s="7">
        <v>5.4242999999999997</v>
      </c>
      <c r="E1731" s="7">
        <v>5.4984000000000002</v>
      </c>
      <c r="F1731" s="7">
        <v>5.6078999999999999</v>
      </c>
      <c r="G1731" s="7">
        <v>5.7149000000000001</v>
      </c>
      <c r="H1731" s="7">
        <v>5.8211000000000004</v>
      </c>
      <c r="I1731" s="7">
        <v>6.2126999999999999</v>
      </c>
      <c r="J1731" s="7">
        <v>6.5667999999999997</v>
      </c>
      <c r="K1731" s="7">
        <v>6.8792</v>
      </c>
      <c r="L1731" s="7">
        <v>7.1120000000000001</v>
      </c>
      <c r="M1731" s="7">
        <v>7.5777000000000001</v>
      </c>
      <c r="N1731" s="7">
        <v>8.2090999999999994</v>
      </c>
      <c r="O1731" s="7">
        <v>8.8249999999999993</v>
      </c>
      <c r="P1731" s="7">
        <v>9.1862999999999992</v>
      </c>
      <c r="Q1731" s="7">
        <v>9.7129999999999992</v>
      </c>
    </row>
    <row r="1732" spans="1:17">
      <c r="A1732" s="5">
        <v>43993</v>
      </c>
      <c r="B1732" s="5" t="str">
        <f t="shared" si="27"/>
        <v>2020 q2</v>
      </c>
      <c r="C1732" s="7">
        <v>5.3829000000000002</v>
      </c>
      <c r="D1732" s="7">
        <v>5.4202000000000004</v>
      </c>
      <c r="E1732" s="7">
        <v>5.4973000000000001</v>
      </c>
      <c r="F1732" s="7">
        <v>5.6106999999999996</v>
      </c>
      <c r="G1732" s="7">
        <v>5.7214</v>
      </c>
      <c r="H1732" s="7">
        <v>5.8310000000000004</v>
      </c>
      <c r="I1732" s="7">
        <v>6.2319000000000004</v>
      </c>
      <c r="J1732" s="7">
        <v>6.5909000000000004</v>
      </c>
      <c r="K1732" s="7">
        <v>6.9047000000000001</v>
      </c>
      <c r="L1732" s="7">
        <v>7.1360000000000001</v>
      </c>
      <c r="M1732" s="7">
        <v>7.5983999999999998</v>
      </c>
      <c r="N1732" s="7">
        <v>8.2439999999999998</v>
      </c>
      <c r="O1732" s="7">
        <v>8.8687000000000005</v>
      </c>
      <c r="P1732" s="7">
        <v>9.2402999999999995</v>
      </c>
      <c r="Q1732" s="7">
        <v>9.8445</v>
      </c>
    </row>
    <row r="1733" spans="1:17">
      <c r="A1733" s="5">
        <v>43994</v>
      </c>
      <c r="B1733" s="5" t="str">
        <f t="shared" si="27"/>
        <v>2020 q2</v>
      </c>
      <c r="C1733" s="7">
        <v>5.3985000000000003</v>
      </c>
      <c r="D1733" s="7">
        <v>5.4341999999999997</v>
      </c>
      <c r="E1733" s="7">
        <v>5.508</v>
      </c>
      <c r="F1733" s="7">
        <v>5.6169000000000002</v>
      </c>
      <c r="G1733" s="7">
        <v>5.7234999999999996</v>
      </c>
      <c r="H1733" s="7">
        <v>5.8292000000000002</v>
      </c>
      <c r="I1733" s="7">
        <v>6.2202000000000002</v>
      </c>
      <c r="J1733" s="7">
        <v>6.5753000000000004</v>
      </c>
      <c r="K1733" s="7">
        <v>6.8906999999999998</v>
      </c>
      <c r="L1733" s="7">
        <v>7.1317000000000004</v>
      </c>
      <c r="M1733" s="7">
        <v>7.6136999999999997</v>
      </c>
      <c r="N1733" s="7">
        <v>8.2736999999999998</v>
      </c>
      <c r="O1733" s="7">
        <v>8.968</v>
      </c>
      <c r="P1733" s="7">
        <v>9.4191000000000003</v>
      </c>
      <c r="Q1733" s="7">
        <v>10.135199999999999</v>
      </c>
    </row>
    <row r="1734" spans="1:17">
      <c r="A1734" s="5">
        <v>43997</v>
      </c>
      <c r="B1734" s="5" t="str">
        <f t="shared" si="27"/>
        <v>2020 q2</v>
      </c>
      <c r="C1734" s="7">
        <v>5.4051</v>
      </c>
      <c r="D1734" s="7">
        <v>5.4408000000000003</v>
      </c>
      <c r="E1734" s="7">
        <v>5.5144000000000002</v>
      </c>
      <c r="F1734" s="7">
        <v>5.6231999999999998</v>
      </c>
      <c r="G1734" s="7">
        <v>5.7295999999999996</v>
      </c>
      <c r="H1734" s="7">
        <v>5.8350999999999997</v>
      </c>
      <c r="I1734" s="7">
        <v>6.2263999999999999</v>
      </c>
      <c r="J1734" s="7">
        <v>6.5824999999999996</v>
      </c>
      <c r="K1734" s="7">
        <v>6.8992000000000004</v>
      </c>
      <c r="L1734" s="7">
        <v>7.1428000000000003</v>
      </c>
      <c r="M1734" s="7">
        <v>7.6298000000000004</v>
      </c>
      <c r="N1734" s="7">
        <v>8.2972999999999999</v>
      </c>
      <c r="O1734" s="7">
        <v>9.0058000000000007</v>
      </c>
      <c r="P1734" s="7">
        <v>9.4684000000000008</v>
      </c>
      <c r="Q1734" s="7">
        <v>10.206099999999999</v>
      </c>
    </row>
    <row r="1735" spans="1:17">
      <c r="A1735" s="5">
        <v>43998</v>
      </c>
      <c r="B1735" s="5" t="str">
        <f t="shared" si="27"/>
        <v>2020 q2</v>
      </c>
      <c r="C1735" s="7">
        <v>5.3567999999999998</v>
      </c>
      <c r="D1735" s="7">
        <v>5.3943000000000003</v>
      </c>
      <c r="E1735" s="7">
        <v>5.4717000000000002</v>
      </c>
      <c r="F1735" s="7">
        <v>5.5861000000000001</v>
      </c>
      <c r="G1735" s="7">
        <v>5.6985999999999999</v>
      </c>
      <c r="H1735" s="7">
        <v>5.8042999999999996</v>
      </c>
      <c r="I1735" s="7">
        <v>6.2138999999999998</v>
      </c>
      <c r="J1735" s="7">
        <v>6.5808</v>
      </c>
      <c r="K1735" s="7">
        <v>6.9036</v>
      </c>
      <c r="L1735" s="7">
        <v>7.1471999999999998</v>
      </c>
      <c r="M1735" s="7">
        <v>7.6342999999999996</v>
      </c>
      <c r="N1735" s="7">
        <v>8.2975999999999992</v>
      </c>
      <c r="O1735" s="7">
        <v>8.9784000000000006</v>
      </c>
      <c r="P1735" s="7">
        <v>9.4129000000000005</v>
      </c>
      <c r="Q1735" s="7">
        <v>10.095499999999999</v>
      </c>
    </row>
    <row r="1736" spans="1:17">
      <c r="A1736" s="5">
        <v>43999</v>
      </c>
      <c r="B1736" s="5" t="str">
        <f t="shared" si="27"/>
        <v>2020 q2</v>
      </c>
      <c r="C1736" s="7">
        <v>5.3619000000000003</v>
      </c>
      <c r="D1736" s="7">
        <v>5.3986000000000001</v>
      </c>
      <c r="E1736" s="7">
        <v>5.4743000000000004</v>
      </c>
      <c r="F1736" s="7">
        <v>5.5862999999999996</v>
      </c>
      <c r="G1736" s="7">
        <v>5.6967999999999996</v>
      </c>
      <c r="H1736" s="7">
        <v>5.8014000000000001</v>
      </c>
      <c r="I1736" s="7">
        <v>6.2083000000000004</v>
      </c>
      <c r="J1736" s="7">
        <v>6.5770999999999997</v>
      </c>
      <c r="K1736" s="7">
        <v>6.9039000000000001</v>
      </c>
      <c r="L1736" s="7">
        <v>7.1506999999999996</v>
      </c>
      <c r="M1736" s="7">
        <v>7.6444000000000001</v>
      </c>
      <c r="N1736" s="7">
        <v>8.3065999999999995</v>
      </c>
      <c r="O1736" s="7">
        <v>8.9207999999999998</v>
      </c>
      <c r="P1736" s="7">
        <v>9.2022999999999993</v>
      </c>
      <c r="Q1736" s="7">
        <v>9.3895999999999997</v>
      </c>
    </row>
    <row r="1737" spans="1:17">
      <c r="A1737" s="5">
        <v>44000</v>
      </c>
      <c r="B1737" s="5" t="str">
        <f t="shared" si="27"/>
        <v>2020 q2</v>
      </c>
      <c r="C1737" s="7">
        <v>5.2670000000000003</v>
      </c>
      <c r="D1737" s="7">
        <v>5.2991000000000001</v>
      </c>
      <c r="E1737" s="7">
        <v>5.3653000000000004</v>
      </c>
      <c r="F1737" s="7">
        <v>5.4645000000000001</v>
      </c>
      <c r="G1737" s="7">
        <v>5.5635000000000003</v>
      </c>
      <c r="H1737" s="7">
        <v>5.6600999999999999</v>
      </c>
      <c r="I1737" s="7">
        <v>6.0406000000000004</v>
      </c>
      <c r="J1737" s="7">
        <v>6.3945999999999996</v>
      </c>
      <c r="K1737" s="7">
        <v>6.7088000000000001</v>
      </c>
      <c r="L1737" s="7">
        <v>6.9379999999999997</v>
      </c>
      <c r="M1737" s="7">
        <v>7.3963999999999999</v>
      </c>
      <c r="N1737" s="7">
        <v>8.0071999999999992</v>
      </c>
      <c r="O1737" s="7">
        <v>8.5464000000000002</v>
      </c>
      <c r="P1737" s="7">
        <v>8.8553999999999995</v>
      </c>
      <c r="Q1737" s="7">
        <v>9.2355</v>
      </c>
    </row>
    <row r="1738" spans="1:17">
      <c r="A1738" s="5">
        <v>44001</v>
      </c>
      <c r="B1738" s="5" t="str">
        <f t="shared" si="27"/>
        <v>2020 q2</v>
      </c>
      <c r="C1738" s="7">
        <v>5.2531999999999996</v>
      </c>
      <c r="D1738" s="7">
        <v>5.2889999999999997</v>
      </c>
      <c r="E1738" s="7">
        <v>5.3628</v>
      </c>
      <c r="F1738" s="7">
        <v>5.4718</v>
      </c>
      <c r="G1738" s="7">
        <v>5.5789</v>
      </c>
      <c r="H1738" s="7">
        <v>5.6792999999999996</v>
      </c>
      <c r="I1738" s="7">
        <v>6.0686</v>
      </c>
      <c r="J1738" s="7">
        <v>6.4165999999999999</v>
      </c>
      <c r="K1738" s="7">
        <v>6.7215999999999996</v>
      </c>
      <c r="L1738" s="7">
        <v>6.9511000000000003</v>
      </c>
      <c r="M1738" s="7">
        <v>7.4100999999999999</v>
      </c>
      <c r="N1738" s="7">
        <v>8.0334000000000003</v>
      </c>
      <c r="O1738" s="7">
        <v>8.6687999999999992</v>
      </c>
      <c r="P1738" s="7">
        <v>9.0716999999999999</v>
      </c>
      <c r="Q1738" s="7">
        <v>9.7032000000000007</v>
      </c>
    </row>
    <row r="1739" spans="1:17">
      <c r="A1739" s="5">
        <v>44004</v>
      </c>
      <c r="B1739" s="5" t="str">
        <f t="shared" si="27"/>
        <v>2020 q2</v>
      </c>
      <c r="C1739" s="7">
        <v>5.2554999999999996</v>
      </c>
      <c r="D1739" s="7">
        <v>5.2925000000000004</v>
      </c>
      <c r="E1739" s="7">
        <v>5.3691000000000004</v>
      </c>
      <c r="F1739" s="7">
        <v>5.4817999999999998</v>
      </c>
      <c r="G1739" s="7">
        <v>5.5925000000000002</v>
      </c>
      <c r="H1739" s="7">
        <v>5.6951000000000001</v>
      </c>
      <c r="I1739" s="7">
        <v>6.0918999999999999</v>
      </c>
      <c r="J1739" s="7">
        <v>6.4416000000000002</v>
      </c>
      <c r="K1739" s="7">
        <v>6.7431000000000001</v>
      </c>
      <c r="L1739" s="7">
        <v>6.9626000000000001</v>
      </c>
      <c r="M1739" s="7">
        <v>7.4017999999999997</v>
      </c>
      <c r="N1739" s="7">
        <v>7.9931000000000001</v>
      </c>
      <c r="O1739" s="7">
        <v>8.5641999999999996</v>
      </c>
      <c r="P1739" s="7">
        <v>8.9149999999999991</v>
      </c>
      <c r="Q1739" s="7">
        <v>9.3795000000000002</v>
      </c>
    </row>
    <row r="1740" spans="1:17">
      <c r="A1740" s="5">
        <v>44005</v>
      </c>
      <c r="B1740" s="5" t="str">
        <f t="shared" si="27"/>
        <v>2020 q2</v>
      </c>
      <c r="C1740" s="7">
        <v>5.2454000000000001</v>
      </c>
      <c r="D1740" s="7">
        <v>5.2778</v>
      </c>
      <c r="E1740" s="7">
        <v>5.3445999999999998</v>
      </c>
      <c r="F1740" s="7">
        <v>5.4447000000000001</v>
      </c>
      <c r="G1740" s="7">
        <v>5.5425000000000004</v>
      </c>
      <c r="H1740" s="7">
        <v>5.6394000000000002</v>
      </c>
      <c r="I1740" s="7">
        <v>6.0232000000000001</v>
      </c>
      <c r="J1740" s="7">
        <v>6.3784999999999998</v>
      </c>
      <c r="K1740" s="7">
        <v>6.6932999999999998</v>
      </c>
      <c r="L1740" s="7">
        <v>6.9257</v>
      </c>
      <c r="M1740" s="7">
        <v>7.3903999999999996</v>
      </c>
      <c r="N1740" s="7">
        <v>8.0089000000000006</v>
      </c>
      <c r="O1740" s="7">
        <v>8.5640000000000001</v>
      </c>
      <c r="P1740" s="7">
        <v>8.8829999999999991</v>
      </c>
      <c r="Q1740" s="7">
        <v>9.2782</v>
      </c>
    </row>
    <row r="1741" spans="1:17">
      <c r="A1741" s="5">
        <v>44006</v>
      </c>
      <c r="B1741" s="5" t="str">
        <f t="shared" si="27"/>
        <v>2020 q2</v>
      </c>
      <c r="C1741" s="7">
        <v>5.2320000000000002</v>
      </c>
      <c r="D1741" s="7">
        <v>5.2675000000000001</v>
      </c>
      <c r="E1741" s="7">
        <v>5.3409000000000004</v>
      </c>
      <c r="F1741" s="7">
        <v>5.4496000000000002</v>
      </c>
      <c r="G1741" s="7">
        <v>5.5507999999999997</v>
      </c>
      <c r="H1741" s="7">
        <v>5.6494999999999997</v>
      </c>
      <c r="I1741" s="7">
        <v>6.0369000000000002</v>
      </c>
      <c r="J1741" s="7">
        <v>6.3772000000000002</v>
      </c>
      <c r="K1741" s="7">
        <v>6.6725000000000003</v>
      </c>
      <c r="L1741" s="7">
        <v>6.8921000000000001</v>
      </c>
      <c r="M1741" s="7">
        <v>7.3312999999999997</v>
      </c>
      <c r="N1741" s="7">
        <v>7.9241000000000001</v>
      </c>
      <c r="O1741" s="7">
        <v>8.5144000000000002</v>
      </c>
      <c r="P1741" s="7">
        <v>8.8823000000000008</v>
      </c>
      <c r="Q1741" s="7">
        <v>9.3774999999999995</v>
      </c>
    </row>
    <row r="1742" spans="1:17">
      <c r="A1742" s="5">
        <v>44007</v>
      </c>
      <c r="B1742" s="5" t="str">
        <f t="shared" si="27"/>
        <v>2020 q2</v>
      </c>
      <c r="C1742" s="7">
        <v>5.2516999999999996</v>
      </c>
      <c r="D1742" s="7">
        <v>5.2866</v>
      </c>
      <c r="E1742" s="7">
        <v>5.3585000000000003</v>
      </c>
      <c r="F1742" s="7">
        <v>5.4652000000000003</v>
      </c>
      <c r="G1742" s="7">
        <v>5.5648999999999997</v>
      </c>
      <c r="H1742" s="7">
        <v>5.6623999999999999</v>
      </c>
      <c r="I1742" s="7">
        <v>6.0457000000000001</v>
      </c>
      <c r="J1742" s="7">
        <v>6.3853</v>
      </c>
      <c r="K1742" s="7">
        <v>6.6826999999999996</v>
      </c>
      <c r="L1742" s="7">
        <v>6.9081999999999999</v>
      </c>
      <c r="M1742" s="7">
        <v>7.3593999999999999</v>
      </c>
      <c r="N1742" s="7">
        <v>7.9709000000000003</v>
      </c>
      <c r="O1742" s="7">
        <v>8.5997000000000003</v>
      </c>
      <c r="P1742" s="7">
        <v>8.9986999999999995</v>
      </c>
      <c r="Q1742" s="7">
        <v>9.6274999999999995</v>
      </c>
    </row>
    <row r="1743" spans="1:17">
      <c r="A1743" s="5">
        <v>44008</v>
      </c>
      <c r="B1743" s="5" t="str">
        <f t="shared" si="27"/>
        <v>2020 q2</v>
      </c>
      <c r="C1743" s="7">
        <v>5.2359</v>
      </c>
      <c r="D1743" s="7">
        <v>5.2724000000000002</v>
      </c>
      <c r="E1743" s="7">
        <v>5.3478000000000003</v>
      </c>
      <c r="F1743" s="7">
        <v>5.4592999999999998</v>
      </c>
      <c r="G1743" s="7">
        <v>5.5629999999999997</v>
      </c>
      <c r="H1743" s="7">
        <v>5.6642999999999999</v>
      </c>
      <c r="I1743" s="7">
        <v>6.0617000000000001</v>
      </c>
      <c r="J1743" s="7">
        <v>6.4104999999999999</v>
      </c>
      <c r="K1743" s="7">
        <v>6.7126000000000001</v>
      </c>
      <c r="L1743" s="7">
        <v>6.9372999999999996</v>
      </c>
      <c r="M1743" s="7">
        <v>7.3868</v>
      </c>
      <c r="N1743" s="7">
        <v>7.9924999999999997</v>
      </c>
      <c r="O1743" s="7">
        <v>8.5947999999999993</v>
      </c>
      <c r="P1743" s="7">
        <v>8.9692000000000007</v>
      </c>
      <c r="Q1743" s="7">
        <v>9.4728999999999992</v>
      </c>
    </row>
    <row r="1744" spans="1:17">
      <c r="A1744" s="5">
        <v>44011</v>
      </c>
      <c r="B1744" s="5" t="str">
        <f t="shared" si="27"/>
        <v>2020 q2</v>
      </c>
      <c r="C1744" s="7">
        <v>5.2530000000000001</v>
      </c>
      <c r="D1744" s="7">
        <v>5.2877000000000001</v>
      </c>
      <c r="E1744" s="7">
        <v>5.3593999999999999</v>
      </c>
      <c r="F1744" s="7">
        <v>5.4657</v>
      </c>
      <c r="G1744" s="7">
        <v>5.5648999999999997</v>
      </c>
      <c r="H1744" s="7">
        <v>5.6622000000000003</v>
      </c>
      <c r="I1744" s="7">
        <v>6.0442999999999998</v>
      </c>
      <c r="J1744" s="7">
        <v>6.3832000000000004</v>
      </c>
      <c r="K1744" s="7">
        <v>6.6798999999999999</v>
      </c>
      <c r="L1744" s="7">
        <v>6.9058000000000002</v>
      </c>
      <c r="M1744" s="7">
        <v>7.3575999999999997</v>
      </c>
      <c r="N1744" s="7">
        <v>7.9698000000000002</v>
      </c>
      <c r="O1744" s="7">
        <v>8.6019000000000005</v>
      </c>
      <c r="P1744" s="7">
        <v>9.0036000000000005</v>
      </c>
      <c r="Q1744" s="7">
        <v>9.6379999999999999</v>
      </c>
    </row>
    <row r="1745" spans="1:17">
      <c r="A1745" s="5">
        <v>44012</v>
      </c>
      <c r="B1745" s="5" t="str">
        <f t="shared" si="27"/>
        <v>2020 q2</v>
      </c>
      <c r="C1745" s="7">
        <v>5.0072999999999999</v>
      </c>
      <c r="D1745" s="7">
        <v>5.0529999999999999</v>
      </c>
      <c r="E1745" s="7">
        <v>5.1475</v>
      </c>
      <c r="F1745" s="7">
        <v>5.2866999999999997</v>
      </c>
      <c r="G1745" s="7">
        <v>5.4127000000000001</v>
      </c>
      <c r="H1745" s="7">
        <v>5.5357000000000003</v>
      </c>
      <c r="I1745" s="7">
        <v>6.0144000000000002</v>
      </c>
      <c r="J1745" s="7">
        <v>6.4184000000000001</v>
      </c>
      <c r="K1745" s="7">
        <v>6.7544000000000004</v>
      </c>
      <c r="L1745" s="7">
        <v>6.9863999999999997</v>
      </c>
      <c r="M1745" s="7">
        <v>7.4504000000000001</v>
      </c>
      <c r="N1745" s="7">
        <v>8.0635999999999992</v>
      </c>
      <c r="O1745" s="7">
        <v>8.6021000000000001</v>
      </c>
      <c r="P1745" s="7">
        <v>8.9158000000000008</v>
      </c>
      <c r="Q1745" s="7">
        <v>9.3796999999999997</v>
      </c>
    </row>
    <row r="1746" spans="1:17">
      <c r="A1746" s="5">
        <v>44013</v>
      </c>
      <c r="B1746" s="5" t="str">
        <f t="shared" si="27"/>
        <v>2020 q3</v>
      </c>
      <c r="C1746" s="7">
        <v>5.0347</v>
      </c>
      <c r="D1746" s="7">
        <v>5.0755999999999997</v>
      </c>
      <c r="E1746" s="7">
        <v>5.1599000000000004</v>
      </c>
      <c r="F1746" s="7">
        <v>5.2845000000000004</v>
      </c>
      <c r="G1746" s="7">
        <v>5.3992000000000004</v>
      </c>
      <c r="H1746" s="7">
        <v>5.5118</v>
      </c>
      <c r="I1746" s="7">
        <v>5.9519000000000002</v>
      </c>
      <c r="J1746" s="7">
        <v>6.3349000000000002</v>
      </c>
      <c r="K1746" s="7">
        <v>6.6673999999999998</v>
      </c>
      <c r="L1746" s="7">
        <v>6.9344000000000001</v>
      </c>
      <c r="M1746" s="7">
        <v>7.4683000000000002</v>
      </c>
      <c r="N1746" s="7">
        <v>8.0297000000000001</v>
      </c>
      <c r="O1746" s="7">
        <v>8.6536000000000008</v>
      </c>
      <c r="P1746" s="7">
        <v>9.0343</v>
      </c>
      <c r="Q1746" s="7">
        <v>9.6191999999999993</v>
      </c>
    </row>
    <row r="1747" spans="1:17">
      <c r="A1747" s="5">
        <v>44014</v>
      </c>
      <c r="B1747" s="5" t="str">
        <f t="shared" si="27"/>
        <v>2020 q3</v>
      </c>
      <c r="C1747" s="7">
        <v>4.9935</v>
      </c>
      <c r="D1747" s="7">
        <v>5.0411000000000001</v>
      </c>
      <c r="E1747" s="7">
        <v>5.1393000000000004</v>
      </c>
      <c r="F1747" s="7">
        <v>5.2836999999999996</v>
      </c>
      <c r="G1747" s="7">
        <v>5.4132999999999996</v>
      </c>
      <c r="H1747" s="7">
        <v>5.5397999999999996</v>
      </c>
      <c r="I1747" s="7">
        <v>6.0308999999999999</v>
      </c>
      <c r="J1747" s="7">
        <v>6.4360999999999997</v>
      </c>
      <c r="K1747" s="7">
        <v>6.7691999999999997</v>
      </c>
      <c r="L1747" s="7">
        <v>7.0811000000000002</v>
      </c>
      <c r="M1747" s="7">
        <v>7.4999000000000002</v>
      </c>
      <c r="N1747" s="7">
        <v>8.0554000000000006</v>
      </c>
      <c r="O1747" s="7">
        <v>8.5616000000000003</v>
      </c>
      <c r="P1747" s="7">
        <v>8.8338999999999999</v>
      </c>
      <c r="Q1747" s="7">
        <v>9.2093000000000007</v>
      </c>
    </row>
    <row r="1748" spans="1:17">
      <c r="A1748" s="5">
        <v>44015</v>
      </c>
      <c r="B1748" s="5" t="str">
        <f t="shared" si="27"/>
        <v>2020 q3</v>
      </c>
      <c r="C1748" s="7">
        <v>4.9935999999999998</v>
      </c>
      <c r="D1748" s="7">
        <v>5.0389999999999997</v>
      </c>
      <c r="E1748" s="7">
        <v>5.1326999999999998</v>
      </c>
      <c r="F1748" s="7">
        <v>5.2706999999999997</v>
      </c>
      <c r="G1748" s="7">
        <v>5.3951000000000002</v>
      </c>
      <c r="H1748" s="7">
        <v>5.5170000000000003</v>
      </c>
      <c r="I1748" s="7">
        <v>5.9907000000000004</v>
      </c>
      <c r="J1748" s="7">
        <v>6.3902000000000001</v>
      </c>
      <c r="K1748" s="7">
        <v>6.7347000000000001</v>
      </c>
      <c r="L1748" s="7">
        <v>7.0235000000000003</v>
      </c>
      <c r="M1748" s="7">
        <v>7.4474999999999998</v>
      </c>
      <c r="N1748" s="7">
        <v>8.0117999999999991</v>
      </c>
      <c r="O1748" s="7">
        <v>8.5410000000000004</v>
      </c>
      <c r="P1748" s="7">
        <v>8.8293999999999997</v>
      </c>
      <c r="Q1748" s="7">
        <v>9.2324999999999999</v>
      </c>
    </row>
    <row r="1749" spans="1:17">
      <c r="A1749" s="5">
        <v>44018</v>
      </c>
      <c r="B1749" s="5" t="str">
        <f t="shared" si="27"/>
        <v>2020 q3</v>
      </c>
      <c r="C1749" s="7">
        <v>4.9912000000000001</v>
      </c>
      <c r="D1749" s="7">
        <v>5.0373999999999999</v>
      </c>
      <c r="E1749" s="7">
        <v>5.1326999999999998</v>
      </c>
      <c r="F1749" s="7">
        <v>5.2728000000000002</v>
      </c>
      <c r="G1749" s="7">
        <v>5.3987999999999996</v>
      </c>
      <c r="H1749" s="7">
        <v>5.5224000000000002</v>
      </c>
      <c r="I1749" s="7">
        <v>6.0021000000000004</v>
      </c>
      <c r="J1749" s="7">
        <v>6.4009999999999998</v>
      </c>
      <c r="K1749" s="7">
        <v>6.7319000000000004</v>
      </c>
      <c r="L1749" s="7">
        <v>7.0416999999999996</v>
      </c>
      <c r="M1749" s="7">
        <v>7.4649999999999999</v>
      </c>
      <c r="N1749" s="7">
        <v>8.0274000000000001</v>
      </c>
      <c r="O1749" s="7">
        <v>8.5505999999999993</v>
      </c>
      <c r="P1749" s="7">
        <v>8.8343000000000007</v>
      </c>
      <c r="Q1749" s="7">
        <v>9.2294999999999998</v>
      </c>
    </row>
    <row r="1750" spans="1:17">
      <c r="A1750" s="5">
        <v>44019</v>
      </c>
      <c r="B1750" s="5" t="str">
        <f t="shared" si="27"/>
        <v>2020 q3</v>
      </c>
      <c r="C1750" s="7">
        <v>4.9466000000000001</v>
      </c>
      <c r="D1750" s="7">
        <v>4.9946999999999999</v>
      </c>
      <c r="E1750" s="7">
        <v>5.0941000000000001</v>
      </c>
      <c r="F1750" s="7">
        <v>5.2361000000000004</v>
      </c>
      <c r="G1750" s="7">
        <v>5.3752000000000004</v>
      </c>
      <c r="H1750" s="7">
        <v>5.5143000000000004</v>
      </c>
      <c r="I1750" s="7">
        <v>5.9943999999999997</v>
      </c>
      <c r="J1750" s="7">
        <v>6.4038000000000004</v>
      </c>
      <c r="K1750" s="7">
        <v>6.7417999999999996</v>
      </c>
      <c r="L1750" s="7">
        <v>7.0564999999999998</v>
      </c>
      <c r="M1750" s="7">
        <v>7.4823000000000004</v>
      </c>
      <c r="N1750" s="7">
        <v>8.0457999999999998</v>
      </c>
      <c r="O1750" s="7">
        <v>8.5617999999999999</v>
      </c>
      <c r="P1750" s="7">
        <v>8.8388000000000009</v>
      </c>
      <c r="Q1750" s="7">
        <v>9.2223000000000006</v>
      </c>
    </row>
    <row r="1751" spans="1:17">
      <c r="A1751" s="5">
        <v>44020</v>
      </c>
      <c r="B1751" s="5" t="str">
        <f t="shared" si="27"/>
        <v>2020 q3</v>
      </c>
      <c r="C1751" s="7">
        <v>4.9164000000000003</v>
      </c>
      <c r="D1751" s="7">
        <v>4.9667000000000003</v>
      </c>
      <c r="E1751" s="7">
        <v>5.0702999999999996</v>
      </c>
      <c r="F1751" s="7">
        <v>5.218</v>
      </c>
      <c r="G1751" s="7">
        <v>5.3624999999999998</v>
      </c>
      <c r="H1751" s="7">
        <v>5.5067000000000004</v>
      </c>
      <c r="I1751" s="7">
        <v>6.0008999999999997</v>
      </c>
      <c r="J1751" s="7">
        <v>6.4184999999999999</v>
      </c>
      <c r="K1751" s="7">
        <v>6.7595000000000001</v>
      </c>
      <c r="L1751" s="7">
        <v>7.0758000000000001</v>
      </c>
      <c r="M1751" s="7">
        <v>7.4954999999999998</v>
      </c>
      <c r="N1751" s="7">
        <v>8.0486000000000004</v>
      </c>
      <c r="O1751" s="7">
        <v>8.5419999999999998</v>
      </c>
      <c r="P1751" s="7">
        <v>8.8208000000000002</v>
      </c>
      <c r="Q1751" s="7">
        <v>9.1660000000000004</v>
      </c>
    </row>
    <row r="1752" spans="1:17">
      <c r="A1752" s="5">
        <v>44021</v>
      </c>
      <c r="B1752" s="5" t="str">
        <f t="shared" si="27"/>
        <v>2020 q3</v>
      </c>
      <c r="C1752" s="7">
        <v>4.9142000000000001</v>
      </c>
      <c r="D1752" s="7">
        <v>4.9640000000000004</v>
      </c>
      <c r="E1752" s="7">
        <v>5.0669000000000004</v>
      </c>
      <c r="F1752" s="7">
        <v>5.2133000000000003</v>
      </c>
      <c r="G1752" s="7">
        <v>5.3569000000000004</v>
      </c>
      <c r="H1752" s="7">
        <v>5.5000999999999998</v>
      </c>
      <c r="I1752" s="7">
        <v>5.9923999999999999</v>
      </c>
      <c r="J1752" s="7">
        <v>6.4095000000000004</v>
      </c>
      <c r="K1752" s="7">
        <v>6.7516999999999996</v>
      </c>
      <c r="L1752" s="7">
        <v>7.069</v>
      </c>
      <c r="M1752" s="7">
        <v>7.4935</v>
      </c>
      <c r="N1752" s="7">
        <v>8.0532000000000004</v>
      </c>
      <c r="O1752" s="7">
        <v>8.5572999999999997</v>
      </c>
      <c r="P1752" s="7">
        <v>8.8430999999999997</v>
      </c>
      <c r="Q1752" s="7">
        <v>9.1983999999999995</v>
      </c>
    </row>
    <row r="1753" spans="1:17">
      <c r="A1753" s="5">
        <v>44022</v>
      </c>
      <c r="B1753" s="5" t="str">
        <f t="shared" si="27"/>
        <v>2020 q3</v>
      </c>
      <c r="C1753" s="7">
        <v>4.9051</v>
      </c>
      <c r="D1753" s="7">
        <v>4.9550999999999998</v>
      </c>
      <c r="E1753" s="7">
        <v>5.0583999999999998</v>
      </c>
      <c r="F1753" s="7">
        <v>5.2054</v>
      </c>
      <c r="G1753" s="7">
        <v>5.3495999999999997</v>
      </c>
      <c r="H1753" s="7">
        <v>5.4931999999999999</v>
      </c>
      <c r="I1753" s="7">
        <v>5.9880000000000004</v>
      </c>
      <c r="J1753" s="7">
        <v>6.4076000000000004</v>
      </c>
      <c r="K1753" s="7">
        <v>6.7525000000000004</v>
      </c>
      <c r="L1753" s="7">
        <v>7.0720999999999998</v>
      </c>
      <c r="M1753" s="7">
        <v>7.5010000000000003</v>
      </c>
      <c r="N1753" s="7">
        <v>8.0664999999999996</v>
      </c>
      <c r="O1753" s="7">
        <v>8.5777000000000001</v>
      </c>
      <c r="P1753" s="7">
        <v>8.8676999999999992</v>
      </c>
      <c r="Q1753" s="7">
        <v>9.2288999999999994</v>
      </c>
    </row>
    <row r="1754" spans="1:17">
      <c r="A1754" s="5">
        <v>44025</v>
      </c>
      <c r="B1754" s="5" t="str">
        <f t="shared" si="27"/>
        <v>2020 q3</v>
      </c>
      <c r="C1754" s="7">
        <v>4.8958000000000004</v>
      </c>
      <c r="D1754" s="7">
        <v>4.9470999999999998</v>
      </c>
      <c r="E1754" s="7">
        <v>5.0529999999999999</v>
      </c>
      <c r="F1754" s="7">
        <v>5.2031999999999998</v>
      </c>
      <c r="G1754" s="7">
        <v>5.3506</v>
      </c>
      <c r="H1754" s="7">
        <v>5.4970999999999997</v>
      </c>
      <c r="I1754" s="7">
        <v>5.9987000000000004</v>
      </c>
      <c r="J1754" s="7">
        <v>6.4264000000000001</v>
      </c>
      <c r="K1754" s="7">
        <v>6.7876000000000003</v>
      </c>
      <c r="L1754" s="7">
        <v>7.0823999999999998</v>
      </c>
      <c r="M1754" s="7">
        <v>7.5019999999999998</v>
      </c>
      <c r="N1754" s="7">
        <v>8.0533000000000001</v>
      </c>
      <c r="O1754" s="7">
        <v>8.5411999999999999</v>
      </c>
      <c r="P1754" s="7">
        <v>8.7982999999999993</v>
      </c>
      <c r="Q1754" s="7">
        <v>9.1494999999999997</v>
      </c>
    </row>
    <row r="1755" spans="1:17">
      <c r="A1755" s="5">
        <v>44026</v>
      </c>
      <c r="B1755" s="5" t="str">
        <f t="shared" si="27"/>
        <v>2020 q3</v>
      </c>
      <c r="C1755" s="7">
        <v>4.8403</v>
      </c>
      <c r="D1755" s="7">
        <v>4.8921999999999999</v>
      </c>
      <c r="E1755" s="7">
        <v>4.9993999999999996</v>
      </c>
      <c r="F1755" s="7">
        <v>5.1513999999999998</v>
      </c>
      <c r="G1755" s="7">
        <v>5.3009000000000004</v>
      </c>
      <c r="H1755" s="7">
        <v>5.4489999999999998</v>
      </c>
      <c r="I1755" s="7">
        <v>5.9596999999999998</v>
      </c>
      <c r="J1755" s="7">
        <v>6.391</v>
      </c>
      <c r="K1755" s="7">
        <v>6.7450999999999999</v>
      </c>
      <c r="L1755" s="7">
        <v>7.0713999999999997</v>
      </c>
      <c r="M1755" s="7">
        <v>7.5083000000000002</v>
      </c>
      <c r="N1755" s="7">
        <v>8.0823999999999998</v>
      </c>
      <c r="O1755" s="7">
        <v>8.5977999999999994</v>
      </c>
      <c r="P1755" s="7">
        <v>8.8702000000000005</v>
      </c>
      <c r="Q1755" s="7">
        <v>9.2452000000000005</v>
      </c>
    </row>
    <row r="1756" spans="1:17">
      <c r="A1756" s="5">
        <v>44027</v>
      </c>
      <c r="B1756" s="5" t="str">
        <f t="shared" si="27"/>
        <v>2020 q3</v>
      </c>
      <c r="C1756" s="7">
        <v>4.8259999999999996</v>
      </c>
      <c r="D1756" s="7">
        <v>4.8796999999999997</v>
      </c>
      <c r="E1756" s="7">
        <v>4.9908000000000001</v>
      </c>
      <c r="F1756" s="7">
        <v>5.1477000000000004</v>
      </c>
      <c r="G1756" s="7">
        <v>5.3019999999999996</v>
      </c>
      <c r="H1756" s="7">
        <v>5.4546999999999999</v>
      </c>
      <c r="I1756" s="7">
        <v>5.9782000000000002</v>
      </c>
      <c r="J1756" s="7">
        <v>6.4173999999999998</v>
      </c>
      <c r="K1756" s="7">
        <v>6.7754000000000003</v>
      </c>
      <c r="L1756" s="7">
        <v>7.1040999999999999</v>
      </c>
      <c r="M1756" s="7">
        <v>7.5385</v>
      </c>
      <c r="N1756" s="7">
        <v>8.1073000000000004</v>
      </c>
      <c r="O1756" s="7">
        <v>8.609</v>
      </c>
      <c r="P1756" s="7">
        <v>8.8719000000000001</v>
      </c>
      <c r="Q1756" s="7">
        <v>9.2311999999999994</v>
      </c>
    </row>
    <row r="1757" spans="1:17">
      <c r="A1757" s="5">
        <v>44028</v>
      </c>
      <c r="B1757" s="5" t="str">
        <f t="shared" si="27"/>
        <v>2020 q3</v>
      </c>
      <c r="C1757" s="7">
        <v>4.8079000000000001</v>
      </c>
      <c r="D1757" s="7">
        <v>4.8627000000000002</v>
      </c>
      <c r="E1757" s="7">
        <v>4.9756999999999998</v>
      </c>
      <c r="F1757" s="7">
        <v>5.1352000000000002</v>
      </c>
      <c r="G1757" s="7">
        <v>5.2922000000000002</v>
      </c>
      <c r="H1757" s="7">
        <v>5.4471999999999996</v>
      </c>
      <c r="I1757" s="7">
        <v>5.9785000000000004</v>
      </c>
      <c r="J1757" s="7">
        <v>6.4233000000000002</v>
      </c>
      <c r="K1757" s="7">
        <v>6.7851999999999997</v>
      </c>
      <c r="L1757" s="7">
        <v>7.117</v>
      </c>
      <c r="M1757" s="7">
        <v>7.5541</v>
      </c>
      <c r="N1757" s="7">
        <v>8.1257000000000001</v>
      </c>
      <c r="O1757" s="7">
        <v>8.6274999999999995</v>
      </c>
      <c r="P1757" s="7">
        <v>8.8896999999999995</v>
      </c>
      <c r="Q1757" s="7">
        <v>9.2477</v>
      </c>
    </row>
    <row r="1758" spans="1:17">
      <c r="A1758" s="5">
        <v>44029</v>
      </c>
      <c r="B1758" s="5" t="str">
        <f t="shared" si="27"/>
        <v>2020 q3</v>
      </c>
      <c r="C1758" s="7">
        <v>4.8042999999999996</v>
      </c>
      <c r="D1758" s="7">
        <v>4.8601000000000001</v>
      </c>
      <c r="E1758" s="7">
        <v>4.9753999999999996</v>
      </c>
      <c r="F1758" s="7">
        <v>5.1375999999999999</v>
      </c>
      <c r="G1758" s="7">
        <v>5.2972000000000001</v>
      </c>
      <c r="H1758" s="7">
        <v>5.4546000000000001</v>
      </c>
      <c r="I1758" s="7">
        <v>5.9912999999999998</v>
      </c>
      <c r="J1758" s="7">
        <v>6.4375</v>
      </c>
      <c r="K1758" s="7">
        <v>6.798</v>
      </c>
      <c r="L1758" s="7">
        <v>7.1273999999999997</v>
      </c>
      <c r="M1758" s="7">
        <v>7.5557999999999996</v>
      </c>
      <c r="N1758" s="7">
        <v>8.1143999999999998</v>
      </c>
      <c r="O1758" s="7">
        <v>8.5966000000000005</v>
      </c>
      <c r="P1758" s="7">
        <v>8.8633000000000006</v>
      </c>
      <c r="Q1758" s="7">
        <v>9.1895000000000007</v>
      </c>
    </row>
    <row r="1759" spans="1:17">
      <c r="A1759" s="5">
        <v>44032</v>
      </c>
      <c r="B1759" s="5" t="str">
        <f t="shared" si="27"/>
        <v>2020 q3</v>
      </c>
      <c r="C1759" s="7">
        <v>4.819</v>
      </c>
      <c r="D1759" s="7">
        <v>4.8730000000000002</v>
      </c>
      <c r="E1759" s="7">
        <v>4.9846000000000004</v>
      </c>
      <c r="F1759" s="7">
        <v>5.1417000000000002</v>
      </c>
      <c r="G1759" s="7">
        <v>5.2968000000000002</v>
      </c>
      <c r="H1759" s="7">
        <v>5.4494999999999996</v>
      </c>
      <c r="I1759" s="7">
        <v>5.9751000000000003</v>
      </c>
      <c r="J1759" s="7">
        <v>6.4160000000000004</v>
      </c>
      <c r="K1759" s="7">
        <v>6.7763</v>
      </c>
      <c r="L1759" s="7">
        <v>7.1059999999999999</v>
      </c>
      <c r="M1759" s="7">
        <v>7.5438000000000001</v>
      </c>
      <c r="N1759" s="7">
        <v>8.1164000000000005</v>
      </c>
      <c r="O1759" s="7">
        <v>8.6228999999999996</v>
      </c>
      <c r="P1759" s="7">
        <v>8.8879999999999999</v>
      </c>
      <c r="Q1759" s="7">
        <v>9.2513000000000005</v>
      </c>
    </row>
    <row r="1760" spans="1:17">
      <c r="A1760" s="5">
        <v>44033</v>
      </c>
      <c r="B1760" s="5" t="str">
        <f t="shared" si="27"/>
        <v>2020 q3</v>
      </c>
      <c r="C1760" s="7">
        <v>4.8498000000000001</v>
      </c>
      <c r="D1760" s="7">
        <v>4.9032999999999998</v>
      </c>
      <c r="E1760" s="7">
        <v>5.0137999999999998</v>
      </c>
      <c r="F1760" s="7">
        <v>5.1711</v>
      </c>
      <c r="G1760" s="7">
        <v>5.3270999999999997</v>
      </c>
      <c r="H1760" s="7">
        <v>5.4668000000000001</v>
      </c>
      <c r="I1760" s="7">
        <v>5.9939999999999998</v>
      </c>
      <c r="J1760" s="7">
        <v>6.4372999999999996</v>
      </c>
      <c r="K1760" s="7">
        <v>6.8113999999999999</v>
      </c>
      <c r="L1760" s="7">
        <v>7.1147999999999998</v>
      </c>
      <c r="M1760" s="7">
        <v>7.5503</v>
      </c>
      <c r="N1760" s="7">
        <v>8.1189999999999998</v>
      </c>
      <c r="O1760" s="7">
        <v>8.6239000000000008</v>
      </c>
      <c r="P1760" s="7">
        <v>8.8877000000000006</v>
      </c>
      <c r="Q1760" s="7">
        <v>9.2502999999999993</v>
      </c>
    </row>
    <row r="1761" spans="1:17">
      <c r="A1761" s="5">
        <v>44034</v>
      </c>
      <c r="B1761" s="5" t="str">
        <f t="shared" si="27"/>
        <v>2020 q3</v>
      </c>
      <c r="C1761" s="7">
        <v>4.8654999999999999</v>
      </c>
      <c r="D1761" s="7">
        <v>4.9173999999999998</v>
      </c>
      <c r="E1761" s="7">
        <v>5.0244999999999997</v>
      </c>
      <c r="F1761" s="7">
        <v>5.1772999999999998</v>
      </c>
      <c r="G1761" s="7">
        <v>5.3289</v>
      </c>
      <c r="H1761" s="7">
        <v>5.4649000000000001</v>
      </c>
      <c r="I1761" s="7">
        <v>5.9797000000000002</v>
      </c>
      <c r="J1761" s="7">
        <v>6.4086999999999996</v>
      </c>
      <c r="K1761" s="7">
        <v>6.7625999999999999</v>
      </c>
      <c r="L1761" s="7">
        <v>7.1017000000000001</v>
      </c>
      <c r="M1761" s="7">
        <v>7.5949</v>
      </c>
      <c r="N1761" s="7">
        <v>8.0938999999999997</v>
      </c>
      <c r="O1761" s="7">
        <v>8.6091999999999995</v>
      </c>
      <c r="P1761" s="7">
        <v>8.8801000000000005</v>
      </c>
      <c r="Q1761" s="7">
        <v>9.2548999999999992</v>
      </c>
    </row>
    <row r="1762" spans="1:17">
      <c r="A1762" s="5">
        <v>44035</v>
      </c>
      <c r="B1762" s="5" t="str">
        <f t="shared" si="27"/>
        <v>2020 q3</v>
      </c>
      <c r="C1762" s="7">
        <v>4.8490000000000002</v>
      </c>
      <c r="D1762" s="7">
        <v>4.9017999999999997</v>
      </c>
      <c r="E1762" s="7">
        <v>5.0106999999999999</v>
      </c>
      <c r="F1762" s="7">
        <v>5.1657999999999999</v>
      </c>
      <c r="G1762" s="7">
        <v>5.3197000000000001</v>
      </c>
      <c r="H1762" s="7">
        <v>5.4570999999999996</v>
      </c>
      <c r="I1762" s="7">
        <v>5.9775</v>
      </c>
      <c r="J1762" s="7">
        <v>6.4089999999999998</v>
      </c>
      <c r="K1762" s="7">
        <v>6.7634999999999996</v>
      </c>
      <c r="L1762" s="7">
        <v>7.0937000000000001</v>
      </c>
      <c r="M1762" s="7">
        <v>7.59</v>
      </c>
      <c r="N1762" s="7">
        <v>8.0846999999999998</v>
      </c>
      <c r="O1762" s="7">
        <v>8.5889000000000006</v>
      </c>
      <c r="P1762" s="7">
        <v>8.8524999999999991</v>
      </c>
      <c r="Q1762" s="7">
        <v>9.2157</v>
      </c>
    </row>
    <row r="1763" spans="1:17">
      <c r="A1763" s="5">
        <v>44036</v>
      </c>
      <c r="B1763" s="5" t="str">
        <f t="shared" si="27"/>
        <v>2020 q3</v>
      </c>
      <c r="C1763" s="7">
        <v>4.8555000000000001</v>
      </c>
      <c r="D1763" s="7">
        <v>4.9078999999999997</v>
      </c>
      <c r="E1763" s="7">
        <v>5.0159000000000002</v>
      </c>
      <c r="F1763" s="7">
        <v>5.1698000000000004</v>
      </c>
      <c r="G1763" s="7">
        <v>5.3226000000000004</v>
      </c>
      <c r="H1763" s="7">
        <v>5.4591000000000003</v>
      </c>
      <c r="I1763" s="7">
        <v>5.9766000000000004</v>
      </c>
      <c r="J1763" s="7">
        <v>6.4134000000000002</v>
      </c>
      <c r="K1763" s="7">
        <v>6.7832999999999997</v>
      </c>
      <c r="L1763" s="7">
        <v>7.0911999999999997</v>
      </c>
      <c r="M1763" s="7">
        <v>7.5895999999999999</v>
      </c>
      <c r="N1763" s="7">
        <v>8.0876999999999999</v>
      </c>
      <c r="O1763" s="7">
        <v>8.5981000000000005</v>
      </c>
      <c r="P1763" s="7">
        <v>8.8653999999999993</v>
      </c>
      <c r="Q1763" s="7">
        <v>9.2347999999999999</v>
      </c>
    </row>
    <row r="1764" spans="1:17">
      <c r="A1764" s="5">
        <v>44039</v>
      </c>
      <c r="B1764" s="5" t="str">
        <f t="shared" si="27"/>
        <v>2020 q3</v>
      </c>
      <c r="C1764" s="7">
        <v>4.8906000000000001</v>
      </c>
      <c r="D1764" s="7">
        <v>4.9387999999999996</v>
      </c>
      <c r="E1764" s="7">
        <v>5.0384000000000002</v>
      </c>
      <c r="F1764" s="7">
        <v>5.181</v>
      </c>
      <c r="G1764" s="7">
        <v>5.3228</v>
      </c>
      <c r="H1764" s="7">
        <v>5.4508000000000001</v>
      </c>
      <c r="I1764" s="7">
        <v>5.9393000000000002</v>
      </c>
      <c r="J1764" s="7">
        <v>6.3621999999999996</v>
      </c>
      <c r="K1764" s="7">
        <v>6.7205000000000004</v>
      </c>
      <c r="L1764" s="7">
        <v>7.0353000000000003</v>
      </c>
      <c r="M1764" s="7">
        <v>7.5353000000000003</v>
      </c>
      <c r="N1764" s="7">
        <v>8.0547000000000004</v>
      </c>
      <c r="O1764" s="7">
        <v>8.61</v>
      </c>
      <c r="P1764" s="7">
        <v>8.9077999999999999</v>
      </c>
      <c r="Q1764" s="7">
        <v>9.3286999999999995</v>
      </c>
    </row>
    <row r="1765" spans="1:17">
      <c r="A1765" s="5">
        <v>44040</v>
      </c>
      <c r="B1765" s="5" t="str">
        <f t="shared" si="27"/>
        <v>2020 q3</v>
      </c>
      <c r="C1765" s="7">
        <v>4.9423000000000004</v>
      </c>
      <c r="D1765" s="7">
        <v>4.9913999999999996</v>
      </c>
      <c r="E1765" s="7">
        <v>5.0928000000000004</v>
      </c>
      <c r="F1765" s="7">
        <v>5.2370999999999999</v>
      </c>
      <c r="G1765" s="7">
        <v>5.3807999999999998</v>
      </c>
      <c r="H1765" s="7">
        <v>5.5091000000000001</v>
      </c>
      <c r="I1765" s="7">
        <v>5.9987000000000004</v>
      </c>
      <c r="J1765" s="7">
        <v>6.4086999999999996</v>
      </c>
      <c r="K1765" s="7">
        <v>6.7504</v>
      </c>
      <c r="L1765" s="7">
        <v>7.0773000000000001</v>
      </c>
      <c r="M1765" s="7">
        <v>7.5076000000000001</v>
      </c>
      <c r="N1765" s="7">
        <v>8.0478000000000005</v>
      </c>
      <c r="O1765" s="7">
        <v>8.5616000000000003</v>
      </c>
      <c r="P1765" s="7">
        <v>8.8325999999999993</v>
      </c>
      <c r="Q1765" s="7">
        <v>9.2114999999999991</v>
      </c>
    </row>
    <row r="1766" spans="1:17">
      <c r="A1766" s="5">
        <v>44041</v>
      </c>
      <c r="B1766" s="5" t="str">
        <f t="shared" si="27"/>
        <v>2020 q3</v>
      </c>
      <c r="C1766" s="7">
        <v>4.9541000000000004</v>
      </c>
      <c r="D1766" s="7">
        <v>5.0022000000000002</v>
      </c>
      <c r="E1766" s="7">
        <v>5.1013999999999999</v>
      </c>
      <c r="F1766" s="7">
        <v>5.2431000000000001</v>
      </c>
      <c r="G1766" s="7">
        <v>5.3842999999999996</v>
      </c>
      <c r="H1766" s="7">
        <v>5.5113000000000003</v>
      </c>
      <c r="I1766" s="7">
        <v>5.9980000000000002</v>
      </c>
      <c r="J1766" s="7">
        <v>6.4200999999999997</v>
      </c>
      <c r="K1766" s="7">
        <v>6.7686000000000002</v>
      </c>
      <c r="L1766" s="7">
        <v>7.0839999999999996</v>
      </c>
      <c r="M1766" s="7">
        <v>7.5918999999999999</v>
      </c>
      <c r="N1766" s="7">
        <v>8.1153999999999993</v>
      </c>
      <c r="O1766" s="7">
        <v>8.6758000000000006</v>
      </c>
      <c r="P1766" s="7">
        <v>8.9964999999999993</v>
      </c>
      <c r="Q1766" s="7">
        <v>9.4065999999999992</v>
      </c>
    </row>
    <row r="1767" spans="1:17">
      <c r="A1767" s="5">
        <v>44042</v>
      </c>
      <c r="B1767" s="5" t="str">
        <f t="shared" si="27"/>
        <v>2020 q3</v>
      </c>
      <c r="C1767" s="7">
        <v>4.9481999999999999</v>
      </c>
      <c r="D1767" s="7">
        <v>4.9966999999999997</v>
      </c>
      <c r="E1767" s="7">
        <v>5.0968</v>
      </c>
      <c r="F1767" s="7">
        <v>5.2393999999999998</v>
      </c>
      <c r="G1767" s="7">
        <v>5.3815999999999997</v>
      </c>
      <c r="H1767" s="7">
        <v>5.5086000000000004</v>
      </c>
      <c r="I1767" s="7">
        <v>5.9950000000000001</v>
      </c>
      <c r="J1767" s="7">
        <v>6.4105999999999996</v>
      </c>
      <c r="K1767" s="7">
        <v>6.7667999999999999</v>
      </c>
      <c r="L1767" s="7">
        <v>7.0664999999999996</v>
      </c>
      <c r="M1767" s="7">
        <v>7.5602</v>
      </c>
      <c r="N1767" s="7">
        <v>8.0623000000000005</v>
      </c>
      <c r="O1767" s="7">
        <v>8.5922999999999998</v>
      </c>
      <c r="P1767" s="7">
        <v>8.8924000000000003</v>
      </c>
      <c r="Q1767" s="7">
        <v>9.2726000000000006</v>
      </c>
    </row>
    <row r="1768" spans="1:17">
      <c r="A1768" s="5">
        <v>44043</v>
      </c>
      <c r="B1768" s="5" t="str">
        <f t="shared" si="27"/>
        <v>2020 q3</v>
      </c>
      <c r="C1768" s="7">
        <v>4.96</v>
      </c>
      <c r="D1768" s="7">
        <v>5.0068999999999999</v>
      </c>
      <c r="E1768" s="7">
        <v>5.1036999999999999</v>
      </c>
      <c r="F1768" s="7">
        <v>5.2420999999999998</v>
      </c>
      <c r="G1768" s="7">
        <v>5.3803000000000001</v>
      </c>
      <c r="H1768" s="7">
        <v>5.5048000000000004</v>
      </c>
      <c r="I1768" s="7">
        <v>5.9831000000000003</v>
      </c>
      <c r="J1768" s="7">
        <v>6.3968999999999996</v>
      </c>
      <c r="K1768" s="7">
        <v>6.7557999999999998</v>
      </c>
      <c r="L1768" s="7">
        <v>7.0542999999999996</v>
      </c>
      <c r="M1768" s="7">
        <v>7.5077999999999996</v>
      </c>
      <c r="N1768" s="7">
        <v>8.1043000000000003</v>
      </c>
      <c r="O1768" s="7">
        <v>8.6814</v>
      </c>
      <c r="P1768" s="7">
        <v>9.0142000000000007</v>
      </c>
      <c r="Q1768" s="7">
        <v>9.4435000000000002</v>
      </c>
    </row>
    <row r="1769" spans="1:17">
      <c r="A1769" s="5">
        <v>44046</v>
      </c>
      <c r="B1769" s="5" t="str">
        <f t="shared" si="27"/>
        <v>2020 q3</v>
      </c>
      <c r="C1769" s="7">
        <v>4.923</v>
      </c>
      <c r="D1769" s="7">
        <v>4.9718</v>
      </c>
      <c r="E1769" s="7">
        <v>5.0724999999999998</v>
      </c>
      <c r="F1769" s="7">
        <v>5.2157999999999998</v>
      </c>
      <c r="G1769" s="7">
        <v>5.3589000000000002</v>
      </c>
      <c r="H1769" s="7">
        <v>5.4866999999999999</v>
      </c>
      <c r="I1769" s="7">
        <v>5.9768999999999997</v>
      </c>
      <c r="J1769" s="7">
        <v>6.3902000000000001</v>
      </c>
      <c r="K1769" s="7">
        <v>6.7380000000000004</v>
      </c>
      <c r="L1769" s="7">
        <v>7.0613000000000001</v>
      </c>
      <c r="M1769" s="7">
        <v>7.5639000000000003</v>
      </c>
      <c r="N1769" s="7">
        <v>8.0762999999999998</v>
      </c>
      <c r="O1769" s="7">
        <v>8.6205999999999996</v>
      </c>
      <c r="P1769" s="7">
        <v>8.9095999999999993</v>
      </c>
      <c r="Q1769" s="7">
        <v>9.3183000000000007</v>
      </c>
    </row>
    <row r="1770" spans="1:17">
      <c r="A1770" s="5">
        <v>44047</v>
      </c>
      <c r="B1770" s="5" t="str">
        <f t="shared" si="27"/>
        <v>2020 q3</v>
      </c>
      <c r="C1770" s="7">
        <v>4.9599000000000002</v>
      </c>
      <c r="D1770" s="7">
        <v>5.0101000000000004</v>
      </c>
      <c r="E1770" s="7">
        <v>5.1135999999999999</v>
      </c>
      <c r="F1770" s="7">
        <v>5.2624000000000004</v>
      </c>
      <c r="G1770" s="7">
        <v>5.4034000000000004</v>
      </c>
      <c r="H1770" s="7">
        <v>5.5442999999999998</v>
      </c>
      <c r="I1770" s="7">
        <v>6.0327000000000002</v>
      </c>
      <c r="J1770" s="7">
        <v>6.4465000000000003</v>
      </c>
      <c r="K1770" s="7">
        <v>6.7915000000000001</v>
      </c>
      <c r="L1770" s="7">
        <v>7.1101000000000001</v>
      </c>
      <c r="M1770" s="7">
        <v>7.5990000000000002</v>
      </c>
      <c r="N1770" s="7">
        <v>8.0870999999999995</v>
      </c>
      <c r="O1770" s="7">
        <v>8.5959000000000003</v>
      </c>
      <c r="P1770" s="7">
        <v>8.8617000000000008</v>
      </c>
      <c r="Q1770" s="7">
        <v>9.2335999999999991</v>
      </c>
    </row>
    <row r="1771" spans="1:17">
      <c r="A1771" s="5">
        <v>44048</v>
      </c>
      <c r="B1771" s="5" t="str">
        <f t="shared" si="27"/>
        <v>2020 q3</v>
      </c>
      <c r="C1771" s="7">
        <v>4.9779999999999998</v>
      </c>
      <c r="D1771" s="7">
        <v>5.0256999999999996</v>
      </c>
      <c r="E1771" s="7">
        <v>5.1242000000000001</v>
      </c>
      <c r="F1771" s="7">
        <v>5.2662000000000004</v>
      </c>
      <c r="G1771" s="7">
        <v>5.4016000000000002</v>
      </c>
      <c r="H1771" s="7">
        <v>5.5366999999999997</v>
      </c>
      <c r="I1771" s="7">
        <v>6.0110999999999999</v>
      </c>
      <c r="J1771" s="7">
        <v>6.4185999999999996</v>
      </c>
      <c r="K1771" s="7">
        <v>6.7637</v>
      </c>
      <c r="L1771" s="7">
        <v>7.0839999999999996</v>
      </c>
      <c r="M1771" s="7">
        <v>7.5865999999999998</v>
      </c>
      <c r="N1771" s="7">
        <v>8.1012000000000004</v>
      </c>
      <c r="O1771" s="7">
        <v>8.6541999999999994</v>
      </c>
      <c r="P1771" s="7">
        <v>8.9689999999999994</v>
      </c>
      <c r="Q1771" s="7">
        <v>9.3721999999999994</v>
      </c>
    </row>
    <row r="1772" spans="1:17">
      <c r="A1772" s="5">
        <v>44049</v>
      </c>
      <c r="B1772" s="5" t="str">
        <f t="shared" si="27"/>
        <v>2020 q3</v>
      </c>
      <c r="C1772" s="7">
        <v>4.9645000000000001</v>
      </c>
      <c r="D1772" s="7">
        <v>5.0140000000000002</v>
      </c>
      <c r="E1772" s="7">
        <v>5.1159999999999997</v>
      </c>
      <c r="F1772" s="7">
        <v>5.2625999999999999</v>
      </c>
      <c r="G1772" s="7">
        <v>5.4020000000000001</v>
      </c>
      <c r="H1772" s="7">
        <v>5.5410000000000004</v>
      </c>
      <c r="I1772" s="7">
        <v>6.0246000000000004</v>
      </c>
      <c r="J1772" s="7">
        <v>6.4352999999999998</v>
      </c>
      <c r="K1772" s="7">
        <v>6.7792000000000003</v>
      </c>
      <c r="L1772" s="7">
        <v>7.0887000000000002</v>
      </c>
      <c r="M1772" s="7">
        <v>7.5187999999999997</v>
      </c>
      <c r="N1772" s="7">
        <v>8.0782000000000007</v>
      </c>
      <c r="O1772" s="7">
        <v>8.5943000000000005</v>
      </c>
      <c r="P1772" s="7">
        <v>8.8833000000000002</v>
      </c>
      <c r="Q1772" s="7">
        <v>9.2479999999999993</v>
      </c>
    </row>
    <row r="1773" spans="1:17">
      <c r="A1773" s="5">
        <v>44050</v>
      </c>
      <c r="B1773" s="5" t="str">
        <f t="shared" si="27"/>
        <v>2020 q3</v>
      </c>
      <c r="C1773" s="7">
        <v>4.9782000000000002</v>
      </c>
      <c r="D1773" s="7">
        <v>5.0258000000000003</v>
      </c>
      <c r="E1773" s="7">
        <v>5.1238000000000001</v>
      </c>
      <c r="F1773" s="7">
        <v>5.2652999999999999</v>
      </c>
      <c r="G1773" s="7">
        <v>5.4004000000000003</v>
      </c>
      <c r="H1773" s="7">
        <v>5.5349000000000004</v>
      </c>
      <c r="I1773" s="7">
        <v>6.0091000000000001</v>
      </c>
      <c r="J1773" s="7">
        <v>6.4169</v>
      </c>
      <c r="K1773" s="7">
        <v>6.7637</v>
      </c>
      <c r="L1773" s="7">
        <v>7.0773999999999999</v>
      </c>
      <c r="M1773" s="7">
        <v>7.5262000000000002</v>
      </c>
      <c r="N1773" s="7">
        <v>8.1134000000000004</v>
      </c>
      <c r="O1773" s="7">
        <v>8.6766000000000005</v>
      </c>
      <c r="P1773" s="7">
        <v>8.9981000000000009</v>
      </c>
      <c r="Q1773" s="7">
        <v>9.4114000000000004</v>
      </c>
    </row>
    <row r="1774" spans="1:17">
      <c r="A1774" s="5">
        <v>44053</v>
      </c>
      <c r="B1774" s="5" t="str">
        <f t="shared" si="27"/>
        <v>2020 q3</v>
      </c>
      <c r="C1774" s="7">
        <v>5.0690999999999997</v>
      </c>
      <c r="D1774" s="7">
        <v>5.1124000000000001</v>
      </c>
      <c r="E1774" s="7">
        <v>5.2018000000000004</v>
      </c>
      <c r="F1774" s="7">
        <v>5.3343999999999996</v>
      </c>
      <c r="G1774" s="7">
        <v>5.4612999999999996</v>
      </c>
      <c r="H1774" s="7">
        <v>5.5876000000000001</v>
      </c>
      <c r="I1774" s="7">
        <v>6.0347</v>
      </c>
      <c r="J1774" s="7">
        <v>6.4210000000000003</v>
      </c>
      <c r="K1774" s="7">
        <v>6.7511999999999999</v>
      </c>
      <c r="L1774" s="7">
        <v>7.0503999999999998</v>
      </c>
      <c r="M1774" s="7">
        <v>7.4829999999999997</v>
      </c>
      <c r="N1774" s="7">
        <v>8.0501000000000005</v>
      </c>
      <c r="O1774" s="7">
        <v>8.6020000000000003</v>
      </c>
      <c r="P1774" s="7">
        <v>8.8987999999999996</v>
      </c>
      <c r="Q1774" s="7">
        <v>9.3265999999999991</v>
      </c>
    </row>
    <row r="1775" spans="1:17">
      <c r="A1775" s="5">
        <v>44054</v>
      </c>
      <c r="B1775" s="5" t="str">
        <f t="shared" si="27"/>
        <v>2020 q3</v>
      </c>
      <c r="C1775" s="7">
        <v>5.0750000000000002</v>
      </c>
      <c r="D1775" s="7">
        <v>5.1178999999999997</v>
      </c>
      <c r="E1775" s="7">
        <v>5.2064000000000004</v>
      </c>
      <c r="F1775" s="7">
        <v>5.3372999999999999</v>
      </c>
      <c r="G1775" s="7">
        <v>5.4630999999999998</v>
      </c>
      <c r="H1775" s="7">
        <v>5.5877999999999997</v>
      </c>
      <c r="I1775" s="7">
        <v>6.0315000000000003</v>
      </c>
      <c r="J1775" s="7">
        <v>6.4157999999999999</v>
      </c>
      <c r="K1775" s="7">
        <v>6.7461000000000002</v>
      </c>
      <c r="L1775" s="7">
        <v>7.0446999999999997</v>
      </c>
      <c r="M1775" s="7">
        <v>7.4809000000000001</v>
      </c>
      <c r="N1775" s="7">
        <v>8.0526</v>
      </c>
      <c r="O1775" s="7">
        <v>8.6150000000000002</v>
      </c>
      <c r="P1775" s="7">
        <v>8.9186999999999994</v>
      </c>
      <c r="Q1775" s="7">
        <v>9.359</v>
      </c>
    </row>
    <row r="1776" spans="1:17">
      <c r="A1776" s="5">
        <v>44055</v>
      </c>
      <c r="B1776" s="5" t="str">
        <f t="shared" si="27"/>
        <v>2020 q3</v>
      </c>
      <c r="C1776" s="7">
        <v>5.0930999999999997</v>
      </c>
      <c r="D1776" s="7">
        <v>5.1349</v>
      </c>
      <c r="E1776" s="7">
        <v>5.2214</v>
      </c>
      <c r="F1776" s="7">
        <v>5.3494000000000002</v>
      </c>
      <c r="G1776" s="7">
        <v>5.4724000000000004</v>
      </c>
      <c r="H1776" s="7">
        <v>5.5944000000000003</v>
      </c>
      <c r="I1776" s="7">
        <v>6.0297000000000001</v>
      </c>
      <c r="J1776" s="7">
        <v>6.4077999999999999</v>
      </c>
      <c r="K1776" s="7">
        <v>6.7340999999999998</v>
      </c>
      <c r="L1776" s="7">
        <v>7.0369000000000002</v>
      </c>
      <c r="M1776" s="7">
        <v>7.5243000000000002</v>
      </c>
      <c r="N1776" s="7">
        <v>8.0342000000000002</v>
      </c>
      <c r="O1776" s="7">
        <v>8.6012000000000004</v>
      </c>
      <c r="P1776" s="7">
        <v>8.9301999999999992</v>
      </c>
      <c r="Q1776" s="7">
        <v>9.3611000000000004</v>
      </c>
    </row>
    <row r="1777" spans="1:17">
      <c r="A1777" s="5">
        <v>44056</v>
      </c>
      <c r="B1777" s="5" t="str">
        <f t="shared" si="27"/>
        <v>2020 q3</v>
      </c>
      <c r="C1777" s="7">
        <v>5.0514000000000001</v>
      </c>
      <c r="D1777" s="7">
        <v>5.0979000000000001</v>
      </c>
      <c r="E1777" s="7">
        <v>5.194</v>
      </c>
      <c r="F1777" s="7">
        <v>5.3357000000000001</v>
      </c>
      <c r="G1777" s="7">
        <v>5.4711999999999996</v>
      </c>
      <c r="H1777" s="7">
        <v>5.6052</v>
      </c>
      <c r="I1777" s="7">
        <v>6.0747999999999998</v>
      </c>
      <c r="J1777" s="7">
        <v>6.4739000000000004</v>
      </c>
      <c r="K1777" s="7">
        <v>6.8103999999999996</v>
      </c>
      <c r="L1777" s="7">
        <v>7.1195000000000004</v>
      </c>
      <c r="M1777" s="7">
        <v>7.6010999999999997</v>
      </c>
      <c r="N1777" s="7">
        <v>8.0831999999999997</v>
      </c>
      <c r="O1777" s="7">
        <v>8.5945999999999998</v>
      </c>
      <c r="P1777" s="7">
        <v>8.8620999999999999</v>
      </c>
      <c r="Q1777" s="7">
        <v>9.2408000000000001</v>
      </c>
    </row>
    <row r="1778" spans="1:17">
      <c r="A1778" s="5">
        <v>44057</v>
      </c>
      <c r="B1778" s="5" t="str">
        <f t="shared" si="27"/>
        <v>2020 q3</v>
      </c>
      <c r="C1778" s="7">
        <v>5.0671999999999997</v>
      </c>
      <c r="D1778" s="7">
        <v>5.1116999999999999</v>
      </c>
      <c r="E1778" s="7">
        <v>5.2032999999999996</v>
      </c>
      <c r="F1778" s="7">
        <v>5.3387000000000002</v>
      </c>
      <c r="G1778" s="7">
        <v>5.4686000000000003</v>
      </c>
      <c r="H1778" s="7">
        <v>5.5970000000000004</v>
      </c>
      <c r="I1778" s="7">
        <v>6.0511999999999997</v>
      </c>
      <c r="J1778" s="7">
        <v>6.4516</v>
      </c>
      <c r="K1778" s="7">
        <v>6.782</v>
      </c>
      <c r="L1778" s="7">
        <v>7.0713999999999997</v>
      </c>
      <c r="M1778" s="7">
        <v>7.5004</v>
      </c>
      <c r="N1778" s="7">
        <v>8.0593000000000004</v>
      </c>
      <c r="O1778" s="7">
        <v>8.5957000000000008</v>
      </c>
      <c r="P1778" s="7">
        <v>8.8803999999999998</v>
      </c>
      <c r="Q1778" s="7">
        <v>9.2888999999999999</v>
      </c>
    </row>
    <row r="1779" spans="1:17">
      <c r="A1779" s="5">
        <v>44060</v>
      </c>
      <c r="B1779" s="5" t="str">
        <f t="shared" si="27"/>
        <v>2020 q3</v>
      </c>
      <c r="C1779" s="7">
        <v>5.0598000000000001</v>
      </c>
      <c r="D1779" s="7">
        <v>5.1054000000000004</v>
      </c>
      <c r="E1779" s="7">
        <v>5.1993999999999998</v>
      </c>
      <c r="F1779" s="7">
        <v>5.3380999999999998</v>
      </c>
      <c r="G1779" s="7">
        <v>5.4710000000000001</v>
      </c>
      <c r="H1779" s="7">
        <v>5.6021000000000001</v>
      </c>
      <c r="I1779" s="7">
        <v>6.0640000000000001</v>
      </c>
      <c r="J1779" s="7">
        <v>6.4577999999999998</v>
      </c>
      <c r="K1779" s="7">
        <v>6.7915999999999999</v>
      </c>
      <c r="L1779" s="7">
        <v>7.0896999999999997</v>
      </c>
      <c r="M1779" s="7">
        <v>7.5137</v>
      </c>
      <c r="N1779" s="7">
        <v>8.0638000000000005</v>
      </c>
      <c r="O1779" s="7">
        <v>8.5827000000000009</v>
      </c>
      <c r="P1779" s="7">
        <v>8.8552</v>
      </c>
      <c r="Q1779" s="7">
        <v>9.2431999999999999</v>
      </c>
    </row>
    <row r="1780" spans="1:17">
      <c r="A1780" s="5">
        <v>44061</v>
      </c>
      <c r="B1780" s="5" t="str">
        <f t="shared" si="27"/>
        <v>2020 q3</v>
      </c>
      <c r="C1780" s="7">
        <v>5.0564999999999998</v>
      </c>
      <c r="D1780" s="7">
        <v>5.1032000000000002</v>
      </c>
      <c r="E1780" s="7">
        <v>5.1997</v>
      </c>
      <c r="F1780" s="7">
        <v>5.3422000000000001</v>
      </c>
      <c r="G1780" s="7">
        <v>5.4801000000000002</v>
      </c>
      <c r="H1780" s="7">
        <v>5.6060999999999996</v>
      </c>
      <c r="I1780" s="7">
        <v>6.0801999999999996</v>
      </c>
      <c r="J1780" s="7">
        <v>6.4770000000000003</v>
      </c>
      <c r="K1780" s="7">
        <v>6.8114999999999997</v>
      </c>
      <c r="L1780" s="7">
        <v>7.1081000000000003</v>
      </c>
      <c r="M1780" s="7">
        <v>7.5254000000000003</v>
      </c>
      <c r="N1780" s="7">
        <v>8.0641999999999996</v>
      </c>
      <c r="O1780" s="7">
        <v>8.5631000000000004</v>
      </c>
      <c r="P1780" s="7">
        <v>8.8219999999999992</v>
      </c>
      <c r="Q1780" s="7">
        <v>9.1882000000000001</v>
      </c>
    </row>
    <row r="1781" spans="1:17">
      <c r="A1781" s="5">
        <v>44062</v>
      </c>
      <c r="B1781" s="5" t="str">
        <f t="shared" si="27"/>
        <v>2020 q3</v>
      </c>
      <c r="C1781" s="7">
        <v>5.0780000000000003</v>
      </c>
      <c r="D1781" s="7">
        <v>5.1220999999999997</v>
      </c>
      <c r="E1781" s="7">
        <v>5.2131999999999996</v>
      </c>
      <c r="F1781" s="7">
        <v>5.3478000000000003</v>
      </c>
      <c r="G1781" s="7">
        <v>5.4783999999999997</v>
      </c>
      <c r="H1781" s="7">
        <v>5.5983000000000001</v>
      </c>
      <c r="I1781" s="7">
        <v>6.0515999999999996</v>
      </c>
      <c r="J1781" s="7">
        <v>6.4352</v>
      </c>
      <c r="K1781" s="7">
        <v>6.7622999999999998</v>
      </c>
      <c r="L1781" s="7">
        <v>7.0622999999999996</v>
      </c>
      <c r="M1781" s="7">
        <v>7.5372000000000003</v>
      </c>
      <c r="N1781" s="7">
        <v>8.0168999999999997</v>
      </c>
      <c r="O1781" s="7">
        <v>8.5359999999999996</v>
      </c>
      <c r="P1781" s="7">
        <v>8.8094000000000001</v>
      </c>
      <c r="Q1781" s="7">
        <v>9.2014999999999993</v>
      </c>
    </row>
    <row r="1782" spans="1:17">
      <c r="A1782" s="5">
        <v>44063</v>
      </c>
      <c r="B1782" s="5" t="str">
        <f t="shared" si="27"/>
        <v>2020 q3</v>
      </c>
      <c r="C1782" s="7">
        <v>5.0753000000000004</v>
      </c>
      <c r="D1782" s="7">
        <v>5.1201999999999996</v>
      </c>
      <c r="E1782" s="7">
        <v>5.2127999999999997</v>
      </c>
      <c r="F1782" s="7">
        <v>5.3495999999999997</v>
      </c>
      <c r="G1782" s="7">
        <v>5.4823000000000004</v>
      </c>
      <c r="H1782" s="7">
        <v>5.6039000000000003</v>
      </c>
      <c r="I1782" s="7">
        <v>6.0632999999999999</v>
      </c>
      <c r="J1782" s="7">
        <v>6.4512</v>
      </c>
      <c r="K1782" s="7">
        <v>6.7813999999999997</v>
      </c>
      <c r="L1782" s="7">
        <v>7.0749000000000004</v>
      </c>
      <c r="M1782" s="7">
        <v>7.4955999999999996</v>
      </c>
      <c r="N1782" s="7">
        <v>8.0404999999999998</v>
      </c>
      <c r="O1782" s="7">
        <v>8.5576000000000008</v>
      </c>
      <c r="P1782" s="7">
        <v>8.8287999999999993</v>
      </c>
      <c r="Q1782" s="7">
        <v>9.2169000000000008</v>
      </c>
    </row>
    <row r="1783" spans="1:17">
      <c r="A1783" s="5">
        <v>44064</v>
      </c>
      <c r="B1783" s="5" t="str">
        <f t="shared" si="27"/>
        <v>2020 q3</v>
      </c>
      <c r="C1783" s="7">
        <v>5.0877999999999997</v>
      </c>
      <c r="D1783" s="7">
        <v>5.1310000000000002</v>
      </c>
      <c r="E1783" s="7">
        <v>5.2201000000000004</v>
      </c>
      <c r="F1783" s="7">
        <v>5.3518999999999997</v>
      </c>
      <c r="G1783" s="7">
        <v>5.48</v>
      </c>
      <c r="H1783" s="7">
        <v>5.5979999999999999</v>
      </c>
      <c r="I1783" s="7">
        <v>6.0461999999999998</v>
      </c>
      <c r="J1783" s="7">
        <v>6.4398</v>
      </c>
      <c r="K1783" s="7">
        <v>6.7667999999999999</v>
      </c>
      <c r="L1783" s="7">
        <v>7.0533000000000001</v>
      </c>
      <c r="M1783" s="7">
        <v>7.4856999999999996</v>
      </c>
      <c r="N1783" s="7">
        <v>8.0487000000000002</v>
      </c>
      <c r="O1783" s="7">
        <v>8.6007999999999996</v>
      </c>
      <c r="P1783" s="7">
        <v>8.9161999999999999</v>
      </c>
      <c r="Q1783" s="7">
        <v>9.3268000000000004</v>
      </c>
    </row>
    <row r="1784" spans="1:17">
      <c r="A1784" s="5">
        <v>44067</v>
      </c>
      <c r="B1784" s="5" t="str">
        <f t="shared" si="27"/>
        <v>2020 q3</v>
      </c>
      <c r="C1784" s="7">
        <v>5.0510000000000002</v>
      </c>
      <c r="D1784" s="7">
        <v>5.0963000000000003</v>
      </c>
      <c r="E1784" s="7">
        <v>5.1896000000000004</v>
      </c>
      <c r="F1784" s="7">
        <v>5.3273999999999999</v>
      </c>
      <c r="G1784" s="7">
        <v>5.4611000000000001</v>
      </c>
      <c r="H1784" s="7">
        <v>5.5831</v>
      </c>
      <c r="I1784" s="7">
        <v>6.0448000000000004</v>
      </c>
      <c r="J1784" s="7">
        <v>6.4336000000000002</v>
      </c>
      <c r="K1784" s="7">
        <v>6.7641999999999998</v>
      </c>
      <c r="L1784" s="7">
        <v>7.0571000000000002</v>
      </c>
      <c r="M1784" s="7">
        <v>7.4763999999999999</v>
      </c>
      <c r="N1784" s="7">
        <v>8.0182000000000002</v>
      </c>
      <c r="O1784" s="7">
        <v>8.5299999999999994</v>
      </c>
      <c r="P1784" s="7">
        <v>8.7972999999999999</v>
      </c>
      <c r="Q1784" s="7">
        <v>9.1792999999999996</v>
      </c>
    </row>
    <row r="1785" spans="1:17">
      <c r="A1785" s="5">
        <v>44068</v>
      </c>
      <c r="B1785" s="5" t="str">
        <f t="shared" si="27"/>
        <v>2020 q3</v>
      </c>
      <c r="C1785" s="7">
        <v>5.1039000000000003</v>
      </c>
      <c r="D1785" s="7">
        <v>5.1470000000000002</v>
      </c>
      <c r="E1785" s="7">
        <v>5.2361000000000004</v>
      </c>
      <c r="F1785" s="7">
        <v>5.3685999999999998</v>
      </c>
      <c r="G1785" s="7">
        <v>5.4958</v>
      </c>
      <c r="H1785" s="7">
        <v>5.6130000000000004</v>
      </c>
      <c r="I1785" s="7">
        <v>6.0594999999999999</v>
      </c>
      <c r="J1785" s="7">
        <v>6.44</v>
      </c>
      <c r="K1785" s="7">
        <v>6.7679</v>
      </c>
      <c r="L1785" s="7">
        <v>7.0594999999999999</v>
      </c>
      <c r="M1785" s="7">
        <v>7.4877000000000002</v>
      </c>
      <c r="N1785" s="7">
        <v>8.0436999999999994</v>
      </c>
      <c r="O1785" s="7">
        <v>8.5875000000000004</v>
      </c>
      <c r="P1785" s="7">
        <v>8.8760999999999992</v>
      </c>
      <c r="Q1785" s="7">
        <v>9.2957000000000001</v>
      </c>
    </row>
    <row r="1786" spans="1:17">
      <c r="A1786" s="5">
        <v>44069</v>
      </c>
      <c r="B1786" s="5" t="str">
        <f t="shared" si="27"/>
        <v>2020 q3</v>
      </c>
      <c r="C1786" s="7">
        <v>5.0959000000000003</v>
      </c>
      <c r="D1786" s="7">
        <v>5.1375999999999999</v>
      </c>
      <c r="E1786" s="7">
        <v>5.2237999999999998</v>
      </c>
      <c r="F1786" s="7">
        <v>5.351</v>
      </c>
      <c r="G1786" s="7">
        <v>5.4751000000000003</v>
      </c>
      <c r="H1786" s="7">
        <v>5.5891999999999999</v>
      </c>
      <c r="I1786" s="7">
        <v>6.0246000000000004</v>
      </c>
      <c r="J1786" s="7">
        <v>6.3981000000000003</v>
      </c>
      <c r="K1786" s="7">
        <v>6.7225000000000001</v>
      </c>
      <c r="L1786" s="7">
        <v>7.0202999999999998</v>
      </c>
      <c r="M1786" s="7">
        <v>7.5042</v>
      </c>
      <c r="N1786" s="7">
        <v>8.0288000000000004</v>
      </c>
      <c r="O1786" s="7">
        <v>8.5821000000000005</v>
      </c>
      <c r="P1786" s="7">
        <v>8.8660999999999994</v>
      </c>
      <c r="Q1786" s="7">
        <v>9.3081999999999994</v>
      </c>
    </row>
    <row r="1787" spans="1:17">
      <c r="A1787" s="5">
        <v>44070</v>
      </c>
      <c r="B1787" s="5" t="str">
        <f t="shared" si="27"/>
        <v>2020 q3</v>
      </c>
      <c r="C1787" s="7">
        <v>5.1111000000000004</v>
      </c>
      <c r="D1787" s="7">
        <v>5.1515000000000004</v>
      </c>
      <c r="E1787" s="7">
        <v>5.2350000000000003</v>
      </c>
      <c r="F1787" s="7">
        <v>5.3582000000000001</v>
      </c>
      <c r="G1787" s="7">
        <v>5.4787999999999997</v>
      </c>
      <c r="H1787" s="7">
        <v>5.5903</v>
      </c>
      <c r="I1787" s="7">
        <v>6.0178000000000003</v>
      </c>
      <c r="J1787" s="7">
        <v>6.3888999999999996</v>
      </c>
      <c r="K1787" s="7">
        <v>6.7150999999999996</v>
      </c>
      <c r="L1787" s="7">
        <v>7.0077999999999996</v>
      </c>
      <c r="M1787" s="7">
        <v>7.4542999999999999</v>
      </c>
      <c r="N1787" s="7">
        <v>8.0647000000000002</v>
      </c>
      <c r="O1787" s="7">
        <v>8.6626999999999992</v>
      </c>
      <c r="P1787" s="7">
        <v>9.0010999999999992</v>
      </c>
      <c r="Q1787" s="7">
        <v>9.4779999999999998</v>
      </c>
    </row>
    <row r="1788" spans="1:17">
      <c r="A1788" s="5">
        <v>44071</v>
      </c>
      <c r="B1788" s="5" t="str">
        <f t="shared" si="27"/>
        <v>2020 q3</v>
      </c>
      <c r="C1788" s="7">
        <v>5.0796999999999999</v>
      </c>
      <c r="D1788" s="7">
        <v>5.1231999999999998</v>
      </c>
      <c r="E1788" s="7">
        <v>5.2129000000000003</v>
      </c>
      <c r="F1788" s="7">
        <v>5.3451000000000004</v>
      </c>
      <c r="G1788" s="7">
        <v>5.4740000000000002</v>
      </c>
      <c r="H1788" s="7">
        <v>5.5915999999999997</v>
      </c>
      <c r="I1788" s="7">
        <v>6.0399000000000003</v>
      </c>
      <c r="J1788" s="7">
        <v>6.4207999999999998</v>
      </c>
      <c r="K1788" s="7">
        <v>6.7492000000000001</v>
      </c>
      <c r="L1788" s="7">
        <v>7.0397999999999996</v>
      </c>
      <c r="M1788" s="7">
        <v>7.4665999999999997</v>
      </c>
      <c r="N1788" s="7">
        <v>8.0192999999999994</v>
      </c>
      <c r="O1788" s="7">
        <v>8.5579000000000001</v>
      </c>
      <c r="P1788" s="7">
        <v>8.8422999999999998</v>
      </c>
      <c r="Q1788" s="7">
        <v>9.2555999999999994</v>
      </c>
    </row>
    <row r="1789" spans="1:17">
      <c r="A1789" s="5">
        <v>44074</v>
      </c>
      <c r="B1789" s="5" t="str">
        <f t="shared" si="27"/>
        <v>2020 q3</v>
      </c>
      <c r="C1789" s="7">
        <v>5.0887000000000002</v>
      </c>
      <c r="D1789" s="7">
        <v>5.1313000000000004</v>
      </c>
      <c r="E1789" s="7">
        <v>5.2191000000000001</v>
      </c>
      <c r="F1789" s="7">
        <v>5.3486000000000002</v>
      </c>
      <c r="G1789" s="7">
        <v>5.4749999999999996</v>
      </c>
      <c r="H1789" s="7">
        <v>5.5906000000000002</v>
      </c>
      <c r="I1789" s="7">
        <v>6.0324</v>
      </c>
      <c r="J1789" s="7">
        <v>6.4101999999999997</v>
      </c>
      <c r="K1789" s="7">
        <v>6.7378999999999998</v>
      </c>
      <c r="L1789" s="7">
        <v>7.0286999999999997</v>
      </c>
      <c r="M1789" s="7">
        <v>7.4611000000000001</v>
      </c>
      <c r="N1789" s="7">
        <v>8.0227000000000004</v>
      </c>
      <c r="O1789" s="7">
        <v>8.5797000000000008</v>
      </c>
      <c r="P1789" s="7">
        <v>8.8767999999999994</v>
      </c>
      <c r="Q1789" s="7">
        <v>9.3120999999999992</v>
      </c>
    </row>
    <row r="1790" spans="1:17">
      <c r="A1790" s="5">
        <v>44075</v>
      </c>
      <c r="B1790" s="5" t="str">
        <f t="shared" si="27"/>
        <v>2020 q3</v>
      </c>
      <c r="C1790" s="7">
        <v>5.1920999999999999</v>
      </c>
      <c r="D1790" s="7">
        <v>5.2312000000000003</v>
      </c>
      <c r="E1790" s="7">
        <v>5.3118999999999996</v>
      </c>
      <c r="F1790" s="7">
        <v>5.4330999999999996</v>
      </c>
      <c r="G1790" s="7">
        <v>5.5498000000000003</v>
      </c>
      <c r="H1790" s="7">
        <v>5.6581999999999999</v>
      </c>
      <c r="I1790" s="7">
        <v>6.0753000000000004</v>
      </c>
      <c r="J1790" s="7">
        <v>6.4379999999999997</v>
      </c>
      <c r="K1790" s="7">
        <v>6.7580999999999998</v>
      </c>
      <c r="L1790" s="7">
        <v>7.0627000000000004</v>
      </c>
      <c r="M1790" s="7">
        <v>7.5374999999999996</v>
      </c>
      <c r="N1790" s="7">
        <v>8.0620999999999992</v>
      </c>
      <c r="O1790" s="7">
        <v>8.6641999999999992</v>
      </c>
      <c r="P1790" s="7">
        <v>9.0184999999999995</v>
      </c>
      <c r="Q1790" s="7">
        <v>9.4960000000000004</v>
      </c>
    </row>
    <row r="1791" spans="1:17">
      <c r="A1791" s="5">
        <v>44076</v>
      </c>
      <c r="B1791" s="5" t="str">
        <f t="shared" si="27"/>
        <v>2020 q3</v>
      </c>
      <c r="C1791" s="7">
        <v>5.1874000000000002</v>
      </c>
      <c r="D1791" s="7">
        <v>5.2271000000000001</v>
      </c>
      <c r="E1791" s="7">
        <v>5.3090999999999999</v>
      </c>
      <c r="F1791" s="7">
        <v>5.4321999999999999</v>
      </c>
      <c r="G1791" s="7">
        <v>5.5503</v>
      </c>
      <c r="H1791" s="7">
        <v>5.6596000000000002</v>
      </c>
      <c r="I1791" s="7">
        <v>6.0789999999999997</v>
      </c>
      <c r="J1791" s="7">
        <v>6.4401999999999999</v>
      </c>
      <c r="K1791" s="7">
        <v>6.7565999999999997</v>
      </c>
      <c r="L1791" s="7">
        <v>7.0377000000000001</v>
      </c>
      <c r="M1791" s="7">
        <v>7.4635999999999996</v>
      </c>
      <c r="N1791" s="7">
        <v>8.0182000000000002</v>
      </c>
      <c r="O1791" s="7">
        <v>8.5821000000000005</v>
      </c>
      <c r="P1791" s="7">
        <v>8.8864999999999998</v>
      </c>
      <c r="Q1791" s="7">
        <v>9.3386999999999993</v>
      </c>
    </row>
    <row r="1792" spans="1:17">
      <c r="A1792" s="5">
        <v>44077</v>
      </c>
      <c r="B1792" s="5" t="str">
        <f t="shared" si="27"/>
        <v>2020 q3</v>
      </c>
      <c r="C1792" s="7">
        <v>5.1828000000000003</v>
      </c>
      <c r="D1792" s="7">
        <v>5.2224000000000004</v>
      </c>
      <c r="E1792" s="7">
        <v>5.3041999999999998</v>
      </c>
      <c r="F1792" s="7">
        <v>5.4269999999999996</v>
      </c>
      <c r="G1792" s="7">
        <v>5.5448000000000004</v>
      </c>
      <c r="H1792" s="7">
        <v>5.6539999999999999</v>
      </c>
      <c r="I1792" s="7">
        <v>6.0731000000000002</v>
      </c>
      <c r="J1792" s="7">
        <v>6.4348000000000001</v>
      </c>
      <c r="K1792" s="7">
        <v>6.7523999999999997</v>
      </c>
      <c r="L1792" s="7">
        <v>7.0345000000000004</v>
      </c>
      <c r="M1792" s="7">
        <v>7.4641000000000002</v>
      </c>
      <c r="N1792" s="7">
        <v>8.0236999999999998</v>
      </c>
      <c r="O1792" s="7">
        <v>8.5962999999999994</v>
      </c>
      <c r="P1792" s="7">
        <v>8.9062999999999999</v>
      </c>
      <c r="Q1792" s="7">
        <v>9.3684999999999992</v>
      </c>
    </row>
    <row r="1793" spans="1:17">
      <c r="A1793" s="5">
        <v>44078</v>
      </c>
      <c r="B1793" s="5" t="str">
        <f t="shared" si="27"/>
        <v>2020 q3</v>
      </c>
      <c r="C1793" s="7">
        <v>5.1660000000000004</v>
      </c>
      <c r="D1793" s="7">
        <v>5.2050000000000001</v>
      </c>
      <c r="E1793" s="7">
        <v>5.2857000000000003</v>
      </c>
      <c r="F1793" s="7">
        <v>5.4066000000000001</v>
      </c>
      <c r="G1793" s="7">
        <v>5.5228999999999999</v>
      </c>
      <c r="H1793" s="7">
        <v>5.6311</v>
      </c>
      <c r="I1793" s="7">
        <v>6.0468999999999999</v>
      </c>
      <c r="J1793" s="7">
        <v>6.4078999999999997</v>
      </c>
      <c r="K1793" s="7">
        <v>6.7267000000000001</v>
      </c>
      <c r="L1793" s="7">
        <v>7.0182000000000002</v>
      </c>
      <c r="M1793" s="7">
        <v>7.4981999999999998</v>
      </c>
      <c r="N1793" s="7">
        <v>8.0207999999999995</v>
      </c>
      <c r="O1793" s="7">
        <v>8.6167999999999996</v>
      </c>
      <c r="P1793" s="7">
        <v>8.9431999999999992</v>
      </c>
      <c r="Q1793" s="7">
        <v>9.4344000000000001</v>
      </c>
    </row>
    <row r="1794" spans="1:17">
      <c r="A1794" s="5">
        <v>44081</v>
      </c>
      <c r="B1794" s="5" t="str">
        <f t="shared" si="27"/>
        <v>2020 q3</v>
      </c>
      <c r="C1794" s="7">
        <v>5.1830999999999996</v>
      </c>
      <c r="D1794" s="7">
        <v>5.2213000000000003</v>
      </c>
      <c r="E1794" s="7">
        <v>5.3002000000000002</v>
      </c>
      <c r="F1794" s="7">
        <v>5.4184999999999999</v>
      </c>
      <c r="G1794" s="7">
        <v>5.5321999999999996</v>
      </c>
      <c r="H1794" s="7">
        <v>5.6383000000000001</v>
      </c>
      <c r="I1794" s="7">
        <v>6.0458999999999996</v>
      </c>
      <c r="J1794" s="7">
        <v>6.4006999999999996</v>
      </c>
      <c r="K1794" s="7">
        <v>6.7146999999999997</v>
      </c>
      <c r="L1794" s="7">
        <v>6.9947999999999997</v>
      </c>
      <c r="M1794" s="7">
        <v>7.4286000000000003</v>
      </c>
      <c r="N1794" s="7">
        <v>7.9961000000000002</v>
      </c>
      <c r="O1794" s="7">
        <v>8.5915999999999997</v>
      </c>
      <c r="P1794" s="7">
        <v>8.9191000000000003</v>
      </c>
      <c r="Q1794" s="7">
        <v>9.4139999999999997</v>
      </c>
    </row>
    <row r="1795" spans="1:17">
      <c r="A1795" s="5">
        <v>44082</v>
      </c>
      <c r="B1795" s="5" t="str">
        <f t="shared" ref="B1795:B1858" si="28">YEAR(A1795)&amp;" q"&amp;ROUNDUP(MONTH(A1795)/3,0)</f>
        <v>2020 q3</v>
      </c>
      <c r="C1795" s="7">
        <v>5.1718999999999999</v>
      </c>
      <c r="D1795" s="7">
        <v>5.2119999999999997</v>
      </c>
      <c r="E1795" s="7">
        <v>5.2949000000000002</v>
      </c>
      <c r="F1795" s="7">
        <v>5.4189999999999996</v>
      </c>
      <c r="G1795" s="7">
        <v>5.5377999999999998</v>
      </c>
      <c r="H1795" s="7">
        <v>5.6482999999999999</v>
      </c>
      <c r="I1795" s="7">
        <v>6.0711000000000004</v>
      </c>
      <c r="J1795" s="7">
        <v>6.4421999999999997</v>
      </c>
      <c r="K1795" s="7">
        <v>6.7675000000000001</v>
      </c>
      <c r="L1795" s="7">
        <v>7.0359999999999996</v>
      </c>
      <c r="M1795" s="7">
        <v>7.4653999999999998</v>
      </c>
      <c r="N1795" s="7">
        <v>8.0226000000000006</v>
      </c>
      <c r="O1795" s="7">
        <v>8.5899000000000001</v>
      </c>
      <c r="P1795" s="7">
        <v>8.8947000000000003</v>
      </c>
      <c r="Q1795" s="7">
        <v>9.3488000000000007</v>
      </c>
    </row>
    <row r="1796" spans="1:17">
      <c r="A1796" s="5">
        <v>44083</v>
      </c>
      <c r="B1796" s="5" t="str">
        <f t="shared" si="28"/>
        <v>2020 q3</v>
      </c>
      <c r="C1796" s="7">
        <v>5.2378</v>
      </c>
      <c r="D1796" s="7">
        <v>5.2717999999999998</v>
      </c>
      <c r="E1796" s="7">
        <v>5.3421000000000003</v>
      </c>
      <c r="F1796" s="7">
        <v>5.4471999999999996</v>
      </c>
      <c r="G1796" s="7">
        <v>5.5488999999999997</v>
      </c>
      <c r="H1796" s="7">
        <v>5.6452</v>
      </c>
      <c r="I1796" s="7">
        <v>6.0175000000000001</v>
      </c>
      <c r="J1796" s="7">
        <v>6.3493000000000004</v>
      </c>
      <c r="K1796" s="7">
        <v>6.65</v>
      </c>
      <c r="L1796" s="7">
        <v>6.9292999999999996</v>
      </c>
      <c r="M1796" s="7">
        <v>7.4119999999999999</v>
      </c>
      <c r="N1796" s="7">
        <v>7.9493999999999998</v>
      </c>
      <c r="O1796" s="7">
        <v>8.6119000000000003</v>
      </c>
      <c r="P1796" s="7">
        <v>9.0236999999999998</v>
      </c>
      <c r="Q1796" s="7">
        <v>9.6074999999999999</v>
      </c>
    </row>
    <row r="1797" spans="1:17">
      <c r="A1797" s="5">
        <v>44084</v>
      </c>
      <c r="B1797" s="5" t="str">
        <f t="shared" si="28"/>
        <v>2020 q3</v>
      </c>
      <c r="C1797" s="7">
        <v>5.1683000000000003</v>
      </c>
      <c r="D1797" s="7">
        <v>5.2080000000000002</v>
      </c>
      <c r="E1797" s="7">
        <v>5.2897999999999996</v>
      </c>
      <c r="F1797" s="7">
        <v>5.4123000000000001</v>
      </c>
      <c r="G1797" s="7">
        <v>5.5297000000000001</v>
      </c>
      <c r="H1797" s="7">
        <v>5.6395</v>
      </c>
      <c r="I1797" s="7">
        <v>6.0605000000000002</v>
      </c>
      <c r="J1797" s="7">
        <v>6.4253999999999998</v>
      </c>
      <c r="K1797" s="7">
        <v>6.7485999999999997</v>
      </c>
      <c r="L1797" s="7">
        <v>7.0438999999999998</v>
      </c>
      <c r="M1797" s="7">
        <v>7.5373999999999999</v>
      </c>
      <c r="N1797" s="7">
        <v>8.0810999999999993</v>
      </c>
      <c r="O1797" s="7">
        <v>8.6743000000000006</v>
      </c>
      <c r="P1797" s="7">
        <v>9.0093999999999994</v>
      </c>
      <c r="Q1797" s="7">
        <v>9.4838000000000005</v>
      </c>
    </row>
    <row r="1798" spans="1:17">
      <c r="A1798" s="5">
        <v>44085</v>
      </c>
      <c r="B1798" s="5" t="str">
        <f t="shared" si="28"/>
        <v>2020 q3</v>
      </c>
      <c r="C1798" s="7">
        <v>5.1486000000000001</v>
      </c>
      <c r="D1798" s="7">
        <v>5.1914999999999996</v>
      </c>
      <c r="E1798" s="7">
        <v>5.2798999999999996</v>
      </c>
      <c r="F1798" s="7">
        <v>5.4120999999999997</v>
      </c>
      <c r="G1798" s="7">
        <v>5.5381</v>
      </c>
      <c r="H1798" s="7">
        <v>5.6547999999999998</v>
      </c>
      <c r="I1798" s="7">
        <v>6.0994999999999999</v>
      </c>
      <c r="J1798" s="7">
        <v>6.4771999999999998</v>
      </c>
      <c r="K1798" s="7">
        <v>6.8059000000000003</v>
      </c>
      <c r="L1798" s="7">
        <v>7.093</v>
      </c>
      <c r="M1798" s="7">
        <v>7.5224000000000002</v>
      </c>
      <c r="N1798" s="7">
        <v>8.1010000000000009</v>
      </c>
      <c r="O1798" s="7">
        <v>8.6372999999999998</v>
      </c>
      <c r="P1798" s="7">
        <v>8.9071999999999996</v>
      </c>
      <c r="Q1798" s="7">
        <v>9.3280999999999992</v>
      </c>
    </row>
    <row r="1799" spans="1:17">
      <c r="A1799" s="5">
        <v>44088</v>
      </c>
      <c r="B1799" s="5" t="str">
        <f t="shared" si="28"/>
        <v>2020 q3</v>
      </c>
      <c r="C1799" s="7">
        <v>5.1982999999999997</v>
      </c>
      <c r="D1799" s="7">
        <v>5.2343000000000002</v>
      </c>
      <c r="E1799" s="7">
        <v>5.3087</v>
      </c>
      <c r="F1799" s="7">
        <v>5.42</v>
      </c>
      <c r="G1799" s="7">
        <v>5.5270999999999999</v>
      </c>
      <c r="H1799" s="7">
        <v>5.6283000000000003</v>
      </c>
      <c r="I1799" s="7">
        <v>6.0176999999999996</v>
      </c>
      <c r="J1799" s="7">
        <v>6.3606999999999996</v>
      </c>
      <c r="K1799" s="7">
        <v>6.6691000000000003</v>
      </c>
      <c r="L1799" s="7">
        <v>6.9627999999999997</v>
      </c>
      <c r="M1799" s="7">
        <v>7.3979999999999997</v>
      </c>
      <c r="N1799" s="7">
        <v>7.9642999999999997</v>
      </c>
      <c r="O1799" s="7">
        <v>8.5983999999999998</v>
      </c>
      <c r="P1799" s="7">
        <v>8.9564000000000004</v>
      </c>
      <c r="Q1799" s="7">
        <v>9.5109999999999992</v>
      </c>
    </row>
    <row r="1800" spans="1:17">
      <c r="A1800" s="5">
        <v>44089</v>
      </c>
      <c r="B1800" s="5" t="str">
        <f t="shared" si="28"/>
        <v>2020 q3</v>
      </c>
      <c r="C1800" s="7">
        <v>5.1346999999999996</v>
      </c>
      <c r="D1800" s="7">
        <v>5.1757</v>
      </c>
      <c r="E1800" s="7">
        <v>5.2603</v>
      </c>
      <c r="F1800" s="7">
        <v>5.3863000000000003</v>
      </c>
      <c r="G1800" s="7">
        <v>5.5061</v>
      </c>
      <c r="H1800" s="7">
        <v>5.6257999999999999</v>
      </c>
      <c r="I1800" s="7">
        <v>6.0517000000000003</v>
      </c>
      <c r="J1800" s="7">
        <v>6.4229000000000003</v>
      </c>
      <c r="K1800" s="7">
        <v>6.7504</v>
      </c>
      <c r="L1800" s="7">
        <v>7.0594000000000001</v>
      </c>
      <c r="M1800" s="7">
        <v>7.4949000000000003</v>
      </c>
      <c r="N1800" s="7">
        <v>8.0516000000000005</v>
      </c>
      <c r="O1800" s="7">
        <v>8.6382999999999992</v>
      </c>
      <c r="P1800" s="7">
        <v>8.9756999999999998</v>
      </c>
      <c r="Q1800" s="7">
        <v>9.4268000000000001</v>
      </c>
    </row>
    <row r="1801" spans="1:17">
      <c r="A1801" s="5">
        <v>44090</v>
      </c>
      <c r="B1801" s="5" t="str">
        <f t="shared" si="28"/>
        <v>2020 q3</v>
      </c>
      <c r="C1801" s="7">
        <v>5.1268000000000002</v>
      </c>
      <c r="D1801" s="7">
        <v>5.1677</v>
      </c>
      <c r="E1801" s="7">
        <v>5.2521000000000004</v>
      </c>
      <c r="F1801" s="7">
        <v>5.3776000000000002</v>
      </c>
      <c r="G1801" s="7">
        <v>5.4968000000000004</v>
      </c>
      <c r="H1801" s="7">
        <v>5.6157000000000004</v>
      </c>
      <c r="I1801" s="7">
        <v>6.0374999999999996</v>
      </c>
      <c r="J1801" s="7">
        <v>6.4032999999999998</v>
      </c>
      <c r="K1801" s="7">
        <v>6.7247000000000003</v>
      </c>
      <c r="L1801" s="7">
        <v>7.0053999999999998</v>
      </c>
      <c r="M1801" s="7">
        <v>7.4337</v>
      </c>
      <c r="N1801" s="7">
        <v>7.9859</v>
      </c>
      <c r="O1801" s="7">
        <v>8.5446000000000009</v>
      </c>
      <c r="P1801" s="7">
        <v>8.8409999999999993</v>
      </c>
      <c r="Q1801" s="7">
        <v>9.2826000000000004</v>
      </c>
    </row>
    <row r="1802" spans="1:17">
      <c r="A1802" s="5">
        <v>44091</v>
      </c>
      <c r="B1802" s="5" t="str">
        <f t="shared" si="28"/>
        <v>2020 q3</v>
      </c>
      <c r="C1802" s="7">
        <v>5.1828000000000003</v>
      </c>
      <c r="D1802" s="7">
        <v>5.2175000000000002</v>
      </c>
      <c r="E1802" s="7">
        <v>5.2893999999999997</v>
      </c>
      <c r="F1802" s="7">
        <v>5.3963000000000001</v>
      </c>
      <c r="G1802" s="7">
        <v>5.4992000000000001</v>
      </c>
      <c r="H1802" s="7">
        <v>5.6018999999999997</v>
      </c>
      <c r="I1802" s="7">
        <v>5.9766000000000004</v>
      </c>
      <c r="J1802" s="7">
        <v>6.3181000000000003</v>
      </c>
      <c r="K1802" s="7">
        <v>6.6258999999999997</v>
      </c>
      <c r="L1802" s="7">
        <v>6.8884999999999996</v>
      </c>
      <c r="M1802" s="7">
        <v>7.3307000000000002</v>
      </c>
      <c r="N1802" s="7">
        <v>7.9142999999999999</v>
      </c>
      <c r="O1802" s="7">
        <v>8.5684000000000005</v>
      </c>
      <c r="P1802" s="7">
        <v>8.9696999999999996</v>
      </c>
      <c r="Q1802" s="7">
        <v>9.5356000000000005</v>
      </c>
    </row>
    <row r="1803" spans="1:17">
      <c r="A1803" s="5">
        <v>44092</v>
      </c>
      <c r="B1803" s="5" t="str">
        <f t="shared" si="28"/>
        <v>2020 q3</v>
      </c>
      <c r="C1803" s="7">
        <v>5.1557000000000004</v>
      </c>
      <c r="D1803" s="7">
        <v>5.1924000000000001</v>
      </c>
      <c r="E1803" s="7">
        <v>5.2680999999999996</v>
      </c>
      <c r="F1803" s="7">
        <v>5.3807999999999998</v>
      </c>
      <c r="G1803" s="7">
        <v>5.4889000000000001</v>
      </c>
      <c r="H1803" s="7">
        <v>5.5967000000000002</v>
      </c>
      <c r="I1803" s="7">
        <v>5.9867999999999997</v>
      </c>
      <c r="J1803" s="7">
        <v>6.3327999999999998</v>
      </c>
      <c r="K1803" s="7">
        <v>6.6437999999999997</v>
      </c>
      <c r="L1803" s="7">
        <v>6.9199000000000002</v>
      </c>
      <c r="M1803" s="7">
        <v>7.3602999999999996</v>
      </c>
      <c r="N1803" s="7">
        <v>7.9626000000000001</v>
      </c>
      <c r="O1803" s="7">
        <v>8.58</v>
      </c>
      <c r="P1803" s="7">
        <v>8.9391999999999996</v>
      </c>
      <c r="Q1803" s="7">
        <v>9.4580000000000002</v>
      </c>
    </row>
    <row r="1804" spans="1:17">
      <c r="A1804" s="5">
        <v>44096</v>
      </c>
      <c r="B1804" s="5" t="str">
        <f t="shared" si="28"/>
        <v>2020 q3</v>
      </c>
      <c r="C1804" s="7">
        <v>5.0260999999999996</v>
      </c>
      <c r="D1804" s="7">
        <v>5.0689000000000002</v>
      </c>
      <c r="E1804" s="7">
        <v>5.1574999999999998</v>
      </c>
      <c r="F1804" s="7">
        <v>5.2887000000000004</v>
      </c>
      <c r="G1804" s="7">
        <v>5.4130000000000003</v>
      </c>
      <c r="H1804" s="7">
        <v>5.5368000000000004</v>
      </c>
      <c r="I1804" s="7">
        <v>5.9718999999999998</v>
      </c>
      <c r="J1804" s="7">
        <v>6.3445999999999998</v>
      </c>
      <c r="K1804" s="7">
        <v>6.6692999999999998</v>
      </c>
      <c r="L1804" s="7">
        <v>6.9493999999999998</v>
      </c>
      <c r="M1804" s="7">
        <v>7.3691000000000004</v>
      </c>
      <c r="N1804" s="7">
        <v>7.9057000000000004</v>
      </c>
      <c r="O1804" s="7">
        <v>8.4313000000000002</v>
      </c>
      <c r="P1804" s="7">
        <v>8.7037999999999993</v>
      </c>
      <c r="Q1804" s="7">
        <v>9.1042000000000005</v>
      </c>
    </row>
    <row r="1805" spans="1:17">
      <c r="A1805" s="5">
        <v>44097</v>
      </c>
      <c r="B1805" s="5" t="str">
        <f t="shared" si="28"/>
        <v>2020 q3</v>
      </c>
      <c r="C1805" s="7">
        <v>4.9889999999999999</v>
      </c>
      <c r="D1805" s="7">
        <v>5.0335999999999999</v>
      </c>
      <c r="E1805" s="7">
        <v>5.1254999999999997</v>
      </c>
      <c r="F1805" s="7">
        <v>5.2613000000000003</v>
      </c>
      <c r="G1805" s="7">
        <v>5.39</v>
      </c>
      <c r="H1805" s="7">
        <v>5.5175999999999998</v>
      </c>
      <c r="I1805" s="7">
        <v>5.9650999999999996</v>
      </c>
      <c r="J1805" s="7">
        <v>6.3555999999999999</v>
      </c>
      <c r="K1805" s="7">
        <v>6.6910999999999996</v>
      </c>
      <c r="L1805" s="7">
        <v>6.9588000000000001</v>
      </c>
      <c r="M1805" s="7">
        <v>7.3795000000000002</v>
      </c>
      <c r="N1805" s="7">
        <v>7.9142000000000001</v>
      </c>
      <c r="O1805" s="7">
        <v>8.4300999999999995</v>
      </c>
      <c r="P1805" s="7">
        <v>8.6942000000000004</v>
      </c>
      <c r="Q1805" s="7">
        <v>9.0801999999999996</v>
      </c>
    </row>
    <row r="1806" spans="1:17">
      <c r="A1806" s="5">
        <v>44098</v>
      </c>
      <c r="B1806" s="5" t="str">
        <f t="shared" si="28"/>
        <v>2020 q3</v>
      </c>
      <c r="C1806" s="7">
        <v>5.0023</v>
      </c>
      <c r="D1806" s="7">
        <v>5.0477999999999996</v>
      </c>
      <c r="E1806" s="7">
        <v>5.1417999999999999</v>
      </c>
      <c r="F1806" s="7">
        <v>5.2804000000000002</v>
      </c>
      <c r="G1806" s="7">
        <v>5.4116</v>
      </c>
      <c r="H1806" s="7">
        <v>5.5415000000000001</v>
      </c>
      <c r="I1806" s="7">
        <v>5.9954000000000001</v>
      </c>
      <c r="J1806" s="7">
        <v>6.3792</v>
      </c>
      <c r="K1806" s="7">
        <v>6.7111000000000001</v>
      </c>
      <c r="L1806" s="7">
        <v>7.0030999999999999</v>
      </c>
      <c r="M1806" s="7">
        <v>7.4687999999999999</v>
      </c>
      <c r="N1806" s="7">
        <v>7.9638999999999998</v>
      </c>
      <c r="O1806" s="7">
        <v>8.4550000000000001</v>
      </c>
      <c r="P1806" s="7">
        <v>8.6936999999999998</v>
      </c>
      <c r="Q1806" s="7">
        <v>9.0634999999999994</v>
      </c>
    </row>
    <row r="1807" spans="1:17">
      <c r="A1807" s="5">
        <v>44099</v>
      </c>
      <c r="B1807" s="5" t="str">
        <f t="shared" si="28"/>
        <v>2020 q3</v>
      </c>
      <c r="C1807" s="7">
        <v>5.0720000000000001</v>
      </c>
      <c r="D1807" s="7">
        <v>5.1109999999999998</v>
      </c>
      <c r="E1807" s="7">
        <v>5.1913</v>
      </c>
      <c r="F1807" s="7">
        <v>5.3102</v>
      </c>
      <c r="G1807" s="7">
        <v>5.4242999999999997</v>
      </c>
      <c r="H1807" s="7">
        <v>5.5374999999999996</v>
      </c>
      <c r="I1807" s="7">
        <v>5.9450000000000003</v>
      </c>
      <c r="J1807" s="7">
        <v>6.3022999999999998</v>
      </c>
      <c r="K1807" s="7">
        <v>6.6215000000000002</v>
      </c>
      <c r="L1807" s="7">
        <v>6.9225000000000003</v>
      </c>
      <c r="M1807" s="7">
        <v>7.3551000000000002</v>
      </c>
      <c r="N1807" s="7">
        <v>7.9112</v>
      </c>
      <c r="O1807" s="7">
        <v>8.5140999999999991</v>
      </c>
      <c r="P1807" s="7">
        <v>8.8649000000000004</v>
      </c>
      <c r="Q1807" s="7">
        <v>9.3423999999999996</v>
      </c>
    </row>
    <row r="1808" spans="1:17">
      <c r="A1808" s="5">
        <v>44102</v>
      </c>
      <c r="B1808" s="5" t="str">
        <f t="shared" si="28"/>
        <v>2020 q3</v>
      </c>
      <c r="C1808" s="7">
        <v>5.0129999999999999</v>
      </c>
      <c r="D1808" s="7">
        <v>5.0553999999999997</v>
      </c>
      <c r="E1808" s="7">
        <v>5.1429</v>
      </c>
      <c r="F1808" s="7">
        <v>5.2721</v>
      </c>
      <c r="G1808" s="7">
        <v>5.3956</v>
      </c>
      <c r="H1808" s="7">
        <v>5.5179</v>
      </c>
      <c r="I1808" s="7">
        <v>5.9542999999999999</v>
      </c>
      <c r="J1808" s="7">
        <v>6.3320999999999996</v>
      </c>
      <c r="K1808" s="7">
        <v>6.6662999999999997</v>
      </c>
      <c r="L1808" s="7">
        <v>6.9551999999999996</v>
      </c>
      <c r="M1808" s="7">
        <v>7.4013999999999998</v>
      </c>
      <c r="N1808" s="7">
        <v>7.9743000000000004</v>
      </c>
      <c r="O1808" s="7">
        <v>8.5584000000000007</v>
      </c>
      <c r="P1808" s="7">
        <v>8.8895999999999997</v>
      </c>
      <c r="Q1808" s="7">
        <v>9.3314000000000004</v>
      </c>
    </row>
    <row r="1809" spans="1:17">
      <c r="A1809" s="5">
        <v>44103</v>
      </c>
      <c r="B1809" s="5" t="str">
        <f t="shared" si="28"/>
        <v>2020 q3</v>
      </c>
      <c r="C1809" s="7">
        <v>5.0019999999999998</v>
      </c>
      <c r="D1809" s="7">
        <v>5.0481999999999996</v>
      </c>
      <c r="E1809" s="7">
        <v>5.1436999999999999</v>
      </c>
      <c r="F1809" s="7">
        <v>5.2847999999999997</v>
      </c>
      <c r="G1809" s="7">
        <v>5.4207999999999998</v>
      </c>
      <c r="H1809" s="7">
        <v>5.5461999999999998</v>
      </c>
      <c r="I1809" s="7">
        <v>6.0175000000000001</v>
      </c>
      <c r="J1809" s="7">
        <v>6.4162999999999997</v>
      </c>
      <c r="K1809" s="7">
        <v>6.7653999999999996</v>
      </c>
      <c r="L1809" s="7">
        <v>7.0732999999999997</v>
      </c>
      <c r="M1809" s="7">
        <v>7.5735999999999999</v>
      </c>
      <c r="N1809" s="7">
        <v>8.0848999999999993</v>
      </c>
      <c r="O1809" s="7">
        <v>8.6464999999999996</v>
      </c>
      <c r="P1809" s="7">
        <v>8.9352</v>
      </c>
      <c r="Q1809" s="7">
        <v>9.3613999999999997</v>
      </c>
    </row>
    <row r="1810" spans="1:17">
      <c r="A1810" s="5">
        <v>44104</v>
      </c>
      <c r="B1810" s="5" t="str">
        <f t="shared" si="28"/>
        <v>2020 q3</v>
      </c>
      <c r="C1810" s="7">
        <v>5.1199000000000003</v>
      </c>
      <c r="D1810" s="7">
        <v>5.1543999999999999</v>
      </c>
      <c r="E1810" s="7">
        <v>5.2255000000000003</v>
      </c>
      <c r="F1810" s="7">
        <v>5.3312999999999997</v>
      </c>
      <c r="G1810" s="7">
        <v>5.4348999999999998</v>
      </c>
      <c r="H1810" s="7">
        <v>5.5338000000000003</v>
      </c>
      <c r="I1810" s="7">
        <v>5.9156000000000004</v>
      </c>
      <c r="J1810" s="7">
        <v>6.2619999999999996</v>
      </c>
      <c r="K1810" s="7">
        <v>6.5831999999999997</v>
      </c>
      <c r="L1810" s="7">
        <v>6.8909000000000002</v>
      </c>
      <c r="M1810" s="7">
        <v>7.3779000000000003</v>
      </c>
      <c r="N1810" s="7">
        <v>8.0266999999999999</v>
      </c>
      <c r="O1810" s="7">
        <v>8.8214000000000006</v>
      </c>
      <c r="P1810" s="7">
        <v>9.3364999999999991</v>
      </c>
      <c r="Q1810" s="7">
        <v>10.100099999999999</v>
      </c>
    </row>
    <row r="1811" spans="1:17">
      <c r="A1811" s="5">
        <v>44105</v>
      </c>
      <c r="B1811" s="5" t="str">
        <f t="shared" si="28"/>
        <v>2020 q4</v>
      </c>
      <c r="C1811" s="7">
        <v>5.0117000000000003</v>
      </c>
      <c r="D1811" s="7">
        <v>5.0570000000000004</v>
      </c>
      <c r="E1811" s="7">
        <v>5.1505000000000001</v>
      </c>
      <c r="F1811" s="7">
        <v>5.2884000000000002</v>
      </c>
      <c r="G1811" s="7">
        <v>5.4215999999999998</v>
      </c>
      <c r="H1811" s="7">
        <v>5.5442999999999998</v>
      </c>
      <c r="I1811" s="7">
        <v>6.0064000000000002</v>
      </c>
      <c r="J1811" s="7">
        <v>6.4138999999999999</v>
      </c>
      <c r="K1811" s="7">
        <v>6.7488999999999999</v>
      </c>
      <c r="L1811" s="7">
        <v>7.0342000000000002</v>
      </c>
      <c r="M1811" s="7">
        <v>7.4793000000000003</v>
      </c>
      <c r="N1811" s="7">
        <v>8.0449999999999999</v>
      </c>
      <c r="O1811" s="7">
        <v>8.6037999999999997</v>
      </c>
      <c r="P1811" s="7">
        <v>8.8915000000000006</v>
      </c>
      <c r="Q1811" s="7">
        <v>9.3178999999999998</v>
      </c>
    </row>
    <row r="1812" spans="1:17">
      <c r="A1812" s="5">
        <v>44106</v>
      </c>
      <c r="B1812" s="5" t="str">
        <f t="shared" si="28"/>
        <v>2020 q4</v>
      </c>
      <c r="C1812" s="7">
        <v>4.9869000000000003</v>
      </c>
      <c r="D1812" s="7">
        <v>5.0349000000000004</v>
      </c>
      <c r="E1812" s="7">
        <v>5.1341000000000001</v>
      </c>
      <c r="F1812" s="7">
        <v>5.2801999999999998</v>
      </c>
      <c r="G1812" s="7">
        <v>5.4211999999999998</v>
      </c>
      <c r="H1812" s="7">
        <v>5.5505000000000004</v>
      </c>
      <c r="I1812" s="7">
        <v>6.0364000000000004</v>
      </c>
      <c r="J1812" s="7">
        <v>6.4452999999999996</v>
      </c>
      <c r="K1812" s="7">
        <v>6.8022999999999998</v>
      </c>
      <c r="L1812" s="7">
        <v>7.1044999999999998</v>
      </c>
      <c r="M1812" s="7">
        <v>7.5594000000000001</v>
      </c>
      <c r="N1812" s="7">
        <v>8.1349999999999998</v>
      </c>
      <c r="O1812" s="7">
        <v>8.6937999999999995</v>
      </c>
      <c r="P1812" s="7">
        <v>8.9781999999999993</v>
      </c>
      <c r="Q1812" s="7">
        <v>9.3966999999999992</v>
      </c>
    </row>
    <row r="1813" spans="1:17">
      <c r="A1813" s="5">
        <v>44109</v>
      </c>
      <c r="B1813" s="5" t="str">
        <f t="shared" si="28"/>
        <v>2020 q4</v>
      </c>
      <c r="C1813" s="7">
        <v>5.0530999999999997</v>
      </c>
      <c r="D1813" s="7">
        <v>5.0948000000000002</v>
      </c>
      <c r="E1813" s="7">
        <v>5.1807999999999996</v>
      </c>
      <c r="F1813" s="7">
        <v>5.3079000000000001</v>
      </c>
      <c r="G1813" s="7">
        <v>5.4311999999999996</v>
      </c>
      <c r="H1813" s="7">
        <v>5.5457000000000001</v>
      </c>
      <c r="I1813" s="7">
        <v>5.9802999999999997</v>
      </c>
      <c r="J1813" s="7">
        <v>6.3552</v>
      </c>
      <c r="K1813" s="7">
        <v>6.6894999999999998</v>
      </c>
      <c r="L1813" s="7">
        <v>6.9776999999999996</v>
      </c>
      <c r="M1813" s="7">
        <v>7.4303999999999997</v>
      </c>
      <c r="N1813" s="7">
        <v>8.0116999999999994</v>
      </c>
      <c r="O1813" s="7">
        <v>8.6158999999999999</v>
      </c>
      <c r="P1813" s="7">
        <v>8.9370999999999992</v>
      </c>
      <c r="Q1813" s="7">
        <v>9.4250000000000007</v>
      </c>
    </row>
    <row r="1814" spans="1:17">
      <c r="A1814" s="5">
        <v>44110</v>
      </c>
      <c r="B1814" s="5" t="str">
        <f t="shared" si="28"/>
        <v>2020 q4</v>
      </c>
      <c r="C1814" s="7">
        <v>4.9663000000000004</v>
      </c>
      <c r="D1814" s="7">
        <v>5.0180999999999996</v>
      </c>
      <c r="E1814" s="7">
        <v>5.1249000000000002</v>
      </c>
      <c r="F1814" s="7">
        <v>5.2816000000000001</v>
      </c>
      <c r="G1814" s="7">
        <v>5.4321999999999999</v>
      </c>
      <c r="H1814" s="7">
        <v>5.5750000000000002</v>
      </c>
      <c r="I1814" s="7">
        <v>6.0759999999999996</v>
      </c>
      <c r="J1814" s="7">
        <v>6.4931000000000001</v>
      </c>
      <c r="K1814" s="7">
        <v>6.8513999999999999</v>
      </c>
      <c r="L1814" s="7">
        <v>7.1478999999999999</v>
      </c>
      <c r="M1814" s="7">
        <v>7.5803000000000003</v>
      </c>
      <c r="N1814" s="7">
        <v>8.1194000000000006</v>
      </c>
      <c r="O1814" s="7">
        <v>8.6143999999999998</v>
      </c>
      <c r="P1814" s="7">
        <v>8.8579000000000008</v>
      </c>
      <c r="Q1814" s="7">
        <v>9.2088000000000001</v>
      </c>
    </row>
    <row r="1815" spans="1:17">
      <c r="A1815" s="5">
        <v>44111</v>
      </c>
      <c r="B1815" s="5" t="str">
        <f t="shared" si="28"/>
        <v>2020 q4</v>
      </c>
      <c r="C1815" s="7">
        <v>4.9143999999999997</v>
      </c>
      <c r="D1815" s="7">
        <v>4.9648000000000003</v>
      </c>
      <c r="E1815" s="7">
        <v>5.0688000000000004</v>
      </c>
      <c r="F1815" s="7">
        <v>5.2215999999999996</v>
      </c>
      <c r="G1815" s="7">
        <v>5.3691000000000004</v>
      </c>
      <c r="H1815" s="7">
        <v>5.5033000000000003</v>
      </c>
      <c r="I1815" s="7">
        <v>6.0083000000000002</v>
      </c>
      <c r="J1815" s="7">
        <v>6.4302000000000001</v>
      </c>
      <c r="K1815" s="7">
        <v>6.798</v>
      </c>
      <c r="L1815" s="7">
        <v>7.1059999999999999</v>
      </c>
      <c r="M1815" s="7">
        <v>7.5681000000000003</v>
      </c>
      <c r="N1815" s="7">
        <v>8.1491000000000007</v>
      </c>
      <c r="O1815" s="7">
        <v>8.7062000000000008</v>
      </c>
      <c r="P1815" s="7">
        <v>8.9863</v>
      </c>
      <c r="Q1815" s="7">
        <v>9.3971</v>
      </c>
    </row>
    <row r="1816" spans="1:17">
      <c r="A1816" s="5">
        <v>44112</v>
      </c>
      <c r="B1816" s="5" t="str">
        <f t="shared" si="28"/>
        <v>2020 q4</v>
      </c>
      <c r="C1816" s="7">
        <v>4.9480000000000004</v>
      </c>
      <c r="D1816" s="7">
        <v>4.9973999999999998</v>
      </c>
      <c r="E1816" s="7">
        <v>5.0994000000000002</v>
      </c>
      <c r="F1816" s="7">
        <v>5.2480000000000002</v>
      </c>
      <c r="G1816" s="7">
        <v>5.39</v>
      </c>
      <c r="H1816" s="7">
        <v>5.5315000000000003</v>
      </c>
      <c r="I1816" s="7">
        <v>6.0217000000000001</v>
      </c>
      <c r="J1816" s="7">
        <v>6.4367999999999999</v>
      </c>
      <c r="K1816" s="7">
        <v>6.7992999999999997</v>
      </c>
      <c r="L1816" s="7">
        <v>7.1029</v>
      </c>
      <c r="M1816" s="7">
        <v>7.5602999999999998</v>
      </c>
      <c r="N1816" s="7">
        <v>8.1355000000000004</v>
      </c>
      <c r="O1816" s="7">
        <v>8.6897000000000002</v>
      </c>
      <c r="P1816" s="7">
        <v>8.9688999999999997</v>
      </c>
      <c r="Q1816" s="7">
        <v>9.3790999999999993</v>
      </c>
    </row>
    <row r="1817" spans="1:17">
      <c r="A1817" s="5">
        <v>44113</v>
      </c>
      <c r="B1817" s="5" t="str">
        <f t="shared" si="28"/>
        <v>2020 q4</v>
      </c>
      <c r="C1817" s="7">
        <v>4.9854000000000003</v>
      </c>
      <c r="D1817" s="7">
        <v>5.0308999999999999</v>
      </c>
      <c r="E1817" s="7">
        <v>5.1246</v>
      </c>
      <c r="F1817" s="7">
        <v>5.2625000000000002</v>
      </c>
      <c r="G1817" s="7">
        <v>5.3964999999999996</v>
      </c>
      <c r="H1817" s="7">
        <v>5.5247000000000002</v>
      </c>
      <c r="I1817" s="7">
        <v>5.9880000000000004</v>
      </c>
      <c r="J1817" s="7">
        <v>6.3883000000000001</v>
      </c>
      <c r="K1817" s="7">
        <v>6.7441000000000004</v>
      </c>
      <c r="L1817" s="7">
        <v>7.0754999999999999</v>
      </c>
      <c r="M1817" s="7">
        <v>7.5913000000000004</v>
      </c>
      <c r="N1817" s="7">
        <v>8.1529000000000007</v>
      </c>
      <c r="O1817" s="7">
        <v>8.7535000000000007</v>
      </c>
      <c r="P1817" s="7">
        <v>9.0572999999999997</v>
      </c>
      <c r="Q1817" s="7">
        <v>9.5410000000000004</v>
      </c>
    </row>
    <row r="1818" spans="1:17">
      <c r="A1818" s="5">
        <v>44116</v>
      </c>
      <c r="B1818" s="5" t="str">
        <f t="shared" si="28"/>
        <v>2020 q4</v>
      </c>
      <c r="C1818" s="7">
        <v>5.0644999999999998</v>
      </c>
      <c r="D1818" s="7">
        <v>5.1056999999999997</v>
      </c>
      <c r="E1818" s="7">
        <v>5.1905999999999999</v>
      </c>
      <c r="F1818" s="7">
        <v>5.3159999999999998</v>
      </c>
      <c r="G1818" s="7">
        <v>5.4382000000000001</v>
      </c>
      <c r="H1818" s="7">
        <v>5.556</v>
      </c>
      <c r="I1818" s="7">
        <v>5.9884000000000004</v>
      </c>
      <c r="J1818" s="7">
        <v>6.3697999999999997</v>
      </c>
      <c r="K1818" s="7">
        <v>6.7150999999999996</v>
      </c>
      <c r="L1818" s="7">
        <v>7.0145999999999997</v>
      </c>
      <c r="M1818" s="7">
        <v>7.4996999999999998</v>
      </c>
      <c r="N1818" s="7">
        <v>8.1271000000000004</v>
      </c>
      <c r="O1818" s="7">
        <v>8.8094000000000001</v>
      </c>
      <c r="P1818" s="7">
        <v>9.1826000000000008</v>
      </c>
      <c r="Q1818" s="7">
        <v>9.7638999999999996</v>
      </c>
    </row>
    <row r="1819" spans="1:17">
      <c r="A1819" s="5">
        <v>44117</v>
      </c>
      <c r="B1819" s="5" t="str">
        <f t="shared" si="28"/>
        <v>2020 q4</v>
      </c>
      <c r="C1819" s="7">
        <v>5.0831999999999997</v>
      </c>
      <c r="D1819" s="7">
        <v>5.1226000000000003</v>
      </c>
      <c r="E1819" s="7">
        <v>5.2037000000000004</v>
      </c>
      <c r="F1819" s="7">
        <v>5.3235000000000001</v>
      </c>
      <c r="G1819" s="7">
        <v>5.4405999999999999</v>
      </c>
      <c r="H1819" s="7">
        <v>5.5537999999999998</v>
      </c>
      <c r="I1819" s="7">
        <v>5.9722999999999997</v>
      </c>
      <c r="J1819" s="7">
        <v>6.3449999999999998</v>
      </c>
      <c r="K1819" s="7">
        <v>6.6856</v>
      </c>
      <c r="L1819" s="7">
        <v>6.9942000000000002</v>
      </c>
      <c r="M1819" s="7">
        <v>7.5340999999999996</v>
      </c>
      <c r="N1819" s="7">
        <v>8.1144999999999996</v>
      </c>
      <c r="O1819" s="7">
        <v>8.8332999999999995</v>
      </c>
      <c r="P1819" s="7">
        <v>9.2364999999999995</v>
      </c>
      <c r="Q1819" s="7">
        <v>9.8757000000000001</v>
      </c>
    </row>
    <row r="1820" spans="1:17">
      <c r="A1820" s="5">
        <v>44118</v>
      </c>
      <c r="B1820" s="5" t="str">
        <f t="shared" si="28"/>
        <v>2020 q4</v>
      </c>
      <c r="C1820" s="7">
        <v>5.1029</v>
      </c>
      <c r="D1820" s="7">
        <v>5.1403999999999996</v>
      </c>
      <c r="E1820" s="7">
        <v>5.2178000000000004</v>
      </c>
      <c r="F1820" s="7">
        <v>5.3322000000000003</v>
      </c>
      <c r="G1820" s="7">
        <v>5.4444999999999997</v>
      </c>
      <c r="H1820" s="7">
        <v>5.5534999999999997</v>
      </c>
      <c r="I1820" s="7">
        <v>5.9615999999999998</v>
      </c>
      <c r="J1820" s="7">
        <v>6.3310000000000004</v>
      </c>
      <c r="K1820" s="7">
        <v>6.6734</v>
      </c>
      <c r="L1820" s="7">
        <v>6.9874999999999998</v>
      </c>
      <c r="M1820" s="7">
        <v>7.5484</v>
      </c>
      <c r="N1820" s="7">
        <v>8.1770999999999994</v>
      </c>
      <c r="O1820" s="7">
        <v>8.9863999999999997</v>
      </c>
      <c r="P1820" s="7">
        <v>9.4641000000000002</v>
      </c>
      <c r="Q1820" s="7">
        <v>10.2445</v>
      </c>
    </row>
    <row r="1821" spans="1:17">
      <c r="A1821" s="5">
        <v>44119</v>
      </c>
      <c r="B1821" s="5" t="str">
        <f t="shared" si="28"/>
        <v>2020 q4</v>
      </c>
      <c r="C1821" s="7">
        <v>5.1054000000000004</v>
      </c>
      <c r="D1821" s="7">
        <v>5.1448</v>
      </c>
      <c r="E1821" s="7">
        <v>5.2260999999999997</v>
      </c>
      <c r="F1821" s="7">
        <v>5.3463000000000003</v>
      </c>
      <c r="G1821" s="7">
        <v>5.4641999999999999</v>
      </c>
      <c r="H1821" s="7">
        <v>5.5787000000000004</v>
      </c>
      <c r="I1821" s="7">
        <v>6.0071000000000003</v>
      </c>
      <c r="J1821" s="7">
        <v>6.3948</v>
      </c>
      <c r="K1821" s="7">
        <v>6.7542</v>
      </c>
      <c r="L1821" s="7">
        <v>7.0835999999999997</v>
      </c>
      <c r="M1821" s="7">
        <v>7.6721000000000004</v>
      </c>
      <c r="N1821" s="7">
        <v>8.3307000000000002</v>
      </c>
      <c r="O1821" s="7">
        <v>9.1784999999999997</v>
      </c>
      <c r="P1821" s="7">
        <v>9.6781000000000006</v>
      </c>
      <c r="Q1821" s="7">
        <v>10.494400000000001</v>
      </c>
    </row>
    <row r="1822" spans="1:17">
      <c r="A1822" s="5">
        <v>44120</v>
      </c>
      <c r="B1822" s="5" t="str">
        <f t="shared" si="28"/>
        <v>2020 q4</v>
      </c>
      <c r="C1822" s="7">
        <v>5.1013999999999999</v>
      </c>
      <c r="D1822" s="7">
        <v>5.1397000000000004</v>
      </c>
      <c r="E1822" s="7">
        <v>5.2187000000000001</v>
      </c>
      <c r="F1822" s="7">
        <v>5.3356000000000003</v>
      </c>
      <c r="G1822" s="7">
        <v>5.4500999999999999</v>
      </c>
      <c r="H1822" s="7">
        <v>5.5613000000000001</v>
      </c>
      <c r="I1822" s="7">
        <v>5.9767999999999999</v>
      </c>
      <c r="J1822" s="7">
        <v>6.3518999999999997</v>
      </c>
      <c r="K1822" s="7">
        <v>6.6990999999999996</v>
      </c>
      <c r="L1822" s="7">
        <v>7.0167999999999999</v>
      </c>
      <c r="M1822" s="7">
        <v>7.5831999999999997</v>
      </c>
      <c r="N1822" s="7">
        <v>8.2134</v>
      </c>
      <c r="O1822" s="7">
        <v>9.0212000000000003</v>
      </c>
      <c r="P1822" s="7">
        <v>9.4938000000000002</v>
      </c>
      <c r="Q1822" s="7">
        <v>10.263400000000001</v>
      </c>
    </row>
    <row r="1823" spans="1:17">
      <c r="A1823" s="5">
        <v>44123</v>
      </c>
      <c r="B1823" s="5" t="str">
        <f t="shared" si="28"/>
        <v>2020 q4</v>
      </c>
      <c r="C1823" s="7">
        <v>5.1009000000000002</v>
      </c>
      <c r="D1823" s="7">
        <v>5.1395</v>
      </c>
      <c r="E1823" s="7">
        <v>5.2191000000000001</v>
      </c>
      <c r="F1823" s="7">
        <v>5.3367000000000004</v>
      </c>
      <c r="G1823" s="7">
        <v>5.452</v>
      </c>
      <c r="H1823" s="7">
        <v>5.5637999999999996</v>
      </c>
      <c r="I1823" s="7">
        <v>5.9810999999999996</v>
      </c>
      <c r="J1823" s="7">
        <v>6.3571</v>
      </c>
      <c r="K1823" s="7">
        <v>6.7046999999999999</v>
      </c>
      <c r="L1823" s="7">
        <v>7.0221</v>
      </c>
      <c r="M1823" s="7">
        <v>7.5868000000000002</v>
      </c>
      <c r="N1823" s="7">
        <v>8.2116000000000007</v>
      </c>
      <c r="O1823" s="7">
        <v>9.0091000000000001</v>
      </c>
      <c r="P1823" s="7">
        <v>9.4724000000000004</v>
      </c>
      <c r="Q1823" s="7">
        <v>10.224600000000001</v>
      </c>
    </row>
    <row r="1824" spans="1:17">
      <c r="A1824" s="5">
        <v>44124</v>
      </c>
      <c r="B1824" s="5" t="str">
        <f t="shared" si="28"/>
        <v>2020 q4</v>
      </c>
      <c r="C1824" s="7">
        <v>5.1700999999999997</v>
      </c>
      <c r="D1824" s="7">
        <v>5.2061000000000002</v>
      </c>
      <c r="E1824" s="7">
        <v>5.2804000000000002</v>
      </c>
      <c r="F1824" s="7">
        <v>5.3906000000000001</v>
      </c>
      <c r="G1824" s="7">
        <v>5.4996</v>
      </c>
      <c r="H1824" s="7">
        <v>5.6043000000000003</v>
      </c>
      <c r="I1824" s="7">
        <v>6.0061</v>
      </c>
      <c r="J1824" s="7">
        <v>6.3716999999999997</v>
      </c>
      <c r="K1824" s="7">
        <v>6.7138</v>
      </c>
      <c r="L1824" s="7">
        <v>7.0403000000000002</v>
      </c>
      <c r="M1824" s="7">
        <v>7.5613000000000001</v>
      </c>
      <c r="N1824" s="7">
        <v>8.2565000000000008</v>
      </c>
      <c r="O1824" s="7">
        <v>9.1226000000000003</v>
      </c>
      <c r="P1824" s="7">
        <v>9.6858000000000004</v>
      </c>
      <c r="Q1824" s="7">
        <v>10.531700000000001</v>
      </c>
    </row>
    <row r="1825" spans="1:17">
      <c r="A1825" s="5">
        <v>44125</v>
      </c>
      <c r="B1825" s="5" t="str">
        <f t="shared" si="28"/>
        <v>2020 q4</v>
      </c>
      <c r="C1825" s="7">
        <v>5.1074000000000002</v>
      </c>
      <c r="D1825" s="7">
        <v>5.1508000000000003</v>
      </c>
      <c r="E1825" s="7">
        <v>5.2404999999999999</v>
      </c>
      <c r="F1825" s="7">
        <v>5.3726000000000003</v>
      </c>
      <c r="G1825" s="7">
        <v>5.5027999999999997</v>
      </c>
      <c r="H1825" s="7">
        <v>5.6254999999999997</v>
      </c>
      <c r="I1825" s="7">
        <v>6.0880999999999998</v>
      </c>
      <c r="J1825" s="7">
        <v>6.4922000000000004</v>
      </c>
      <c r="K1825" s="7">
        <v>6.8596000000000004</v>
      </c>
      <c r="L1825" s="7">
        <v>7.1744000000000003</v>
      </c>
      <c r="M1825" s="7">
        <v>7.6883999999999997</v>
      </c>
      <c r="N1825" s="7">
        <v>8.3488000000000007</v>
      </c>
      <c r="O1825" s="7">
        <v>9.0672999999999995</v>
      </c>
      <c r="P1825" s="7">
        <v>9.4853000000000005</v>
      </c>
      <c r="Q1825" s="7">
        <v>10.0648</v>
      </c>
    </row>
    <row r="1826" spans="1:17">
      <c r="A1826" s="5">
        <v>44126</v>
      </c>
      <c r="B1826" s="5" t="str">
        <f t="shared" si="28"/>
        <v>2020 q4</v>
      </c>
      <c r="C1826" s="7">
        <v>5.1661000000000001</v>
      </c>
      <c r="D1826" s="7">
        <v>5.2042000000000002</v>
      </c>
      <c r="E1826" s="7">
        <v>5.2828999999999997</v>
      </c>
      <c r="F1826" s="7">
        <v>5.3993000000000002</v>
      </c>
      <c r="G1826" s="7">
        <v>5.5143000000000004</v>
      </c>
      <c r="H1826" s="7">
        <v>5.6241000000000003</v>
      </c>
      <c r="I1826" s="7">
        <v>6.0441000000000003</v>
      </c>
      <c r="J1826" s="7">
        <v>6.4221000000000004</v>
      </c>
      <c r="K1826" s="7">
        <v>6.7733999999999996</v>
      </c>
      <c r="L1826" s="7">
        <v>7.0928000000000004</v>
      </c>
      <c r="M1826" s="7">
        <v>7.6618000000000004</v>
      </c>
      <c r="N1826" s="7">
        <v>8.3120999999999992</v>
      </c>
      <c r="O1826" s="7">
        <v>9.1420999999999992</v>
      </c>
      <c r="P1826" s="7">
        <v>9.6300000000000008</v>
      </c>
      <c r="Q1826" s="7">
        <v>10.4299</v>
      </c>
    </row>
    <row r="1827" spans="1:17">
      <c r="A1827" s="5">
        <v>44127</v>
      </c>
      <c r="B1827" s="5" t="str">
        <f t="shared" si="28"/>
        <v>2020 q4</v>
      </c>
      <c r="C1827" s="7">
        <v>5.1981999999999999</v>
      </c>
      <c r="D1827" s="7">
        <v>5.2336</v>
      </c>
      <c r="E1827" s="7">
        <v>5.3064999999999998</v>
      </c>
      <c r="F1827" s="7">
        <v>5.4145000000000003</v>
      </c>
      <c r="G1827" s="7">
        <v>5.5214999999999996</v>
      </c>
      <c r="H1827" s="7">
        <v>5.6238999999999999</v>
      </c>
      <c r="I1827" s="7">
        <v>6.0178000000000003</v>
      </c>
      <c r="J1827" s="7">
        <v>6.3757999999999999</v>
      </c>
      <c r="K1827" s="7">
        <v>6.7111999999999998</v>
      </c>
      <c r="L1827" s="7">
        <v>7.02</v>
      </c>
      <c r="M1827" s="7">
        <v>7.58</v>
      </c>
      <c r="N1827" s="7">
        <v>8.2207000000000008</v>
      </c>
      <c r="O1827" s="7">
        <v>9.0679999999999996</v>
      </c>
      <c r="P1827" s="7">
        <v>9.5831999999999997</v>
      </c>
      <c r="Q1827" s="7">
        <v>10.443300000000001</v>
      </c>
    </row>
    <row r="1828" spans="1:17">
      <c r="A1828" s="5">
        <v>44130</v>
      </c>
      <c r="B1828" s="5" t="str">
        <f t="shared" si="28"/>
        <v>2020 q4</v>
      </c>
      <c r="C1828" s="7">
        <v>5.1287000000000003</v>
      </c>
      <c r="D1828" s="7">
        <v>5.1707000000000001</v>
      </c>
      <c r="E1828" s="7">
        <v>5.2573999999999996</v>
      </c>
      <c r="F1828" s="7">
        <v>5.3852000000000002</v>
      </c>
      <c r="G1828" s="7">
        <v>5.5113000000000003</v>
      </c>
      <c r="H1828" s="7">
        <v>5.6303000000000001</v>
      </c>
      <c r="I1828" s="7">
        <v>6.0811999999999999</v>
      </c>
      <c r="J1828" s="7">
        <v>6.4781000000000004</v>
      </c>
      <c r="K1828" s="7">
        <v>6.8414000000000001</v>
      </c>
      <c r="L1828" s="7">
        <v>7.1543000000000001</v>
      </c>
      <c r="M1828" s="7">
        <v>7.6725000000000003</v>
      </c>
      <c r="N1828" s="7">
        <v>8.3416999999999994</v>
      </c>
      <c r="O1828" s="7">
        <v>9.0870999999999995</v>
      </c>
      <c r="P1828" s="7">
        <v>9.5281000000000002</v>
      </c>
      <c r="Q1828" s="7">
        <v>10.1486</v>
      </c>
    </row>
    <row r="1829" spans="1:17">
      <c r="A1829" s="5">
        <v>44131</v>
      </c>
      <c r="B1829" s="5" t="str">
        <f t="shared" si="28"/>
        <v>2020 q4</v>
      </c>
      <c r="C1829" s="7">
        <v>5.1909999999999998</v>
      </c>
      <c r="D1829" s="7">
        <v>5.2286000000000001</v>
      </c>
      <c r="E1829" s="7">
        <v>5.3064</v>
      </c>
      <c r="F1829" s="7">
        <v>5.4219999999999997</v>
      </c>
      <c r="G1829" s="7">
        <v>5.5312999999999999</v>
      </c>
      <c r="H1829" s="7">
        <v>5.6401000000000003</v>
      </c>
      <c r="I1829" s="7">
        <v>6.0557999999999996</v>
      </c>
      <c r="J1829" s="7">
        <v>6.4260999999999999</v>
      </c>
      <c r="K1829" s="7">
        <v>6.7702999999999998</v>
      </c>
      <c r="L1829" s="7">
        <v>7.0956999999999999</v>
      </c>
      <c r="M1829" s="7">
        <v>7.5993000000000004</v>
      </c>
      <c r="N1829" s="7">
        <v>8.2624999999999993</v>
      </c>
      <c r="O1829" s="7">
        <v>9.0594000000000001</v>
      </c>
      <c r="P1829" s="7">
        <v>9.5549999999999997</v>
      </c>
      <c r="Q1829" s="7">
        <v>10.2789</v>
      </c>
    </row>
    <row r="1830" spans="1:17">
      <c r="A1830" s="5">
        <v>44132</v>
      </c>
      <c r="B1830" s="5" t="str">
        <f t="shared" si="28"/>
        <v>2020 q4</v>
      </c>
      <c r="C1830" s="7">
        <v>5.1519000000000004</v>
      </c>
      <c r="D1830" s="7">
        <v>5.1938000000000004</v>
      </c>
      <c r="E1830" s="7">
        <v>5.2803000000000004</v>
      </c>
      <c r="F1830" s="7">
        <v>5.4088000000000003</v>
      </c>
      <c r="G1830" s="7">
        <v>5.5301</v>
      </c>
      <c r="H1830" s="7">
        <v>5.6509</v>
      </c>
      <c r="I1830" s="7">
        <v>6.1113999999999997</v>
      </c>
      <c r="J1830" s="7">
        <v>6.5187999999999997</v>
      </c>
      <c r="K1830" s="7">
        <v>6.8954000000000004</v>
      </c>
      <c r="L1830" s="7">
        <v>7.2201000000000004</v>
      </c>
      <c r="M1830" s="7">
        <v>7.7632000000000003</v>
      </c>
      <c r="N1830" s="7">
        <v>8.4548000000000005</v>
      </c>
      <c r="O1830" s="7">
        <v>9.1940000000000008</v>
      </c>
      <c r="P1830" s="7">
        <v>9.5515000000000008</v>
      </c>
      <c r="Q1830" s="7">
        <v>9.9382999999999999</v>
      </c>
    </row>
    <row r="1831" spans="1:17">
      <c r="A1831" s="5">
        <v>44133</v>
      </c>
      <c r="B1831" s="5" t="str">
        <f t="shared" si="28"/>
        <v>2020 q4</v>
      </c>
      <c r="C1831" s="7">
        <v>5.1925999999999997</v>
      </c>
      <c r="D1831" s="7">
        <v>5.2308000000000003</v>
      </c>
      <c r="E1831" s="7">
        <v>5.3098000000000001</v>
      </c>
      <c r="F1831" s="7">
        <v>5.4272999999999998</v>
      </c>
      <c r="G1831" s="7">
        <v>5.5393999999999997</v>
      </c>
      <c r="H1831" s="7">
        <v>5.6510999999999996</v>
      </c>
      <c r="I1831" s="7">
        <v>6.0807000000000002</v>
      </c>
      <c r="J1831" s="7">
        <v>6.4690000000000003</v>
      </c>
      <c r="K1831" s="7">
        <v>6.8333000000000004</v>
      </c>
      <c r="L1831" s="7">
        <v>7.1643999999999997</v>
      </c>
      <c r="M1831" s="7">
        <v>7.7598000000000003</v>
      </c>
      <c r="N1831" s="7">
        <v>8.4268000000000001</v>
      </c>
      <c r="O1831" s="7">
        <v>9.2476000000000003</v>
      </c>
      <c r="P1831" s="7">
        <v>9.6623000000000001</v>
      </c>
      <c r="Q1831" s="7">
        <v>10.117000000000001</v>
      </c>
    </row>
    <row r="1832" spans="1:17">
      <c r="A1832" s="5">
        <v>44134</v>
      </c>
      <c r="B1832" s="5" t="str">
        <f t="shared" si="28"/>
        <v>2020 q4</v>
      </c>
      <c r="C1832" s="7">
        <v>5.109</v>
      </c>
      <c r="D1832" s="7">
        <v>5.1600999999999999</v>
      </c>
      <c r="E1832" s="7">
        <v>5.2656999999999998</v>
      </c>
      <c r="F1832" s="7">
        <v>5.4218999999999999</v>
      </c>
      <c r="G1832" s="7">
        <v>5.5720999999999998</v>
      </c>
      <c r="H1832" s="7">
        <v>5.7117000000000004</v>
      </c>
      <c r="I1832" s="7">
        <v>6.2340999999999998</v>
      </c>
      <c r="J1832" s="7">
        <v>6.6746999999999996</v>
      </c>
      <c r="K1832" s="7">
        <v>7.0675999999999997</v>
      </c>
      <c r="L1832" s="7">
        <v>7.3907999999999996</v>
      </c>
      <c r="M1832" s="7">
        <v>7.8978000000000002</v>
      </c>
      <c r="N1832" s="7">
        <v>8.5313999999999997</v>
      </c>
      <c r="O1832" s="7">
        <v>9.1645000000000003</v>
      </c>
      <c r="P1832" s="7">
        <v>9.5079999999999991</v>
      </c>
      <c r="Q1832" s="7">
        <v>9.9635999999999996</v>
      </c>
    </row>
    <row r="1833" spans="1:17">
      <c r="A1833" s="5">
        <v>44137</v>
      </c>
      <c r="B1833" s="5" t="str">
        <f t="shared" si="28"/>
        <v>2020 q4</v>
      </c>
      <c r="C1833" s="7">
        <v>5.0910000000000002</v>
      </c>
      <c r="D1833" s="7">
        <v>5.1448</v>
      </c>
      <c r="E1833" s="7">
        <v>5.2557</v>
      </c>
      <c r="F1833" s="7">
        <v>5.42</v>
      </c>
      <c r="G1833" s="7">
        <v>5.5787000000000004</v>
      </c>
      <c r="H1833" s="7">
        <v>5.7272999999999996</v>
      </c>
      <c r="I1833" s="7">
        <v>6.2864000000000004</v>
      </c>
      <c r="J1833" s="7">
        <v>6.7622999999999998</v>
      </c>
      <c r="K1833" s="7">
        <v>7.1889000000000003</v>
      </c>
      <c r="L1833" s="7">
        <v>7.5361000000000002</v>
      </c>
      <c r="M1833" s="7">
        <v>8.0731999999999999</v>
      </c>
      <c r="N1833" s="7">
        <v>8.7177000000000007</v>
      </c>
      <c r="O1833" s="7">
        <v>9.2563999999999993</v>
      </c>
      <c r="P1833" s="7">
        <v>9.4331999999999994</v>
      </c>
      <c r="Q1833" s="7">
        <v>9.4326000000000008</v>
      </c>
    </row>
    <row r="1834" spans="1:17">
      <c r="A1834" s="5">
        <v>44138</v>
      </c>
      <c r="B1834" s="5" t="str">
        <f t="shared" si="28"/>
        <v>2020 q4</v>
      </c>
      <c r="C1834" s="7">
        <v>5.2569999999999997</v>
      </c>
      <c r="D1834" s="7">
        <v>5.3018000000000001</v>
      </c>
      <c r="E1834" s="7">
        <v>5.3940999999999999</v>
      </c>
      <c r="F1834" s="7">
        <v>5.5327000000000002</v>
      </c>
      <c r="G1834" s="7">
        <v>5.6642000000000001</v>
      </c>
      <c r="H1834" s="7">
        <v>5.7954999999999997</v>
      </c>
      <c r="I1834" s="7">
        <v>6.2640000000000002</v>
      </c>
      <c r="J1834" s="7">
        <v>6.67</v>
      </c>
      <c r="K1834" s="7">
        <v>7.0377999999999998</v>
      </c>
      <c r="L1834" s="7">
        <v>7.3772000000000002</v>
      </c>
      <c r="M1834" s="7">
        <v>7.9149000000000003</v>
      </c>
      <c r="N1834" s="7">
        <v>8.4707000000000008</v>
      </c>
      <c r="O1834" s="7">
        <v>9.1329999999999991</v>
      </c>
      <c r="P1834" s="7">
        <v>9.4779</v>
      </c>
      <c r="Q1834" s="7">
        <v>10.010999999999999</v>
      </c>
    </row>
    <row r="1835" spans="1:17">
      <c r="A1835" s="5">
        <v>44139</v>
      </c>
      <c r="B1835" s="5" t="str">
        <f t="shared" si="28"/>
        <v>2020 q4</v>
      </c>
      <c r="C1835" s="7">
        <v>5.2803000000000004</v>
      </c>
      <c r="D1835" s="7">
        <v>5.3209999999999997</v>
      </c>
      <c r="E1835" s="7">
        <v>5.4051999999999998</v>
      </c>
      <c r="F1835" s="7">
        <v>5.5316000000000001</v>
      </c>
      <c r="G1835" s="7">
        <v>5.6524000000000001</v>
      </c>
      <c r="H1835" s="7">
        <v>5.7732000000000001</v>
      </c>
      <c r="I1835" s="7">
        <v>6.2122000000000002</v>
      </c>
      <c r="J1835" s="7">
        <v>6.6113</v>
      </c>
      <c r="K1835" s="7">
        <v>6.9694000000000003</v>
      </c>
      <c r="L1835" s="7">
        <v>7.2949000000000002</v>
      </c>
      <c r="M1835" s="7">
        <v>7.8455000000000004</v>
      </c>
      <c r="N1835" s="7">
        <v>8.4437999999999995</v>
      </c>
      <c r="O1835" s="7">
        <v>9.1905000000000001</v>
      </c>
      <c r="P1835" s="7">
        <v>9.6525999999999996</v>
      </c>
      <c r="Q1835" s="7">
        <v>10.2591</v>
      </c>
    </row>
    <row r="1836" spans="1:17">
      <c r="A1836" s="5">
        <v>44140</v>
      </c>
      <c r="B1836" s="5" t="str">
        <f t="shared" si="28"/>
        <v>2020 q4</v>
      </c>
      <c r="C1836" s="7">
        <v>5.3044000000000002</v>
      </c>
      <c r="D1836" s="7">
        <v>5.3430999999999997</v>
      </c>
      <c r="E1836" s="7">
        <v>5.4230999999999998</v>
      </c>
      <c r="F1836" s="7">
        <v>5.5430999999999999</v>
      </c>
      <c r="G1836" s="7">
        <v>5.6584000000000003</v>
      </c>
      <c r="H1836" s="7">
        <v>5.7736000000000001</v>
      </c>
      <c r="I1836" s="7">
        <v>6.1966999999999999</v>
      </c>
      <c r="J1836" s="7">
        <v>6.5761000000000003</v>
      </c>
      <c r="K1836" s="7">
        <v>6.9287999999999998</v>
      </c>
      <c r="L1836" s="7">
        <v>7.2465999999999999</v>
      </c>
      <c r="M1836" s="7">
        <v>7.8155999999999999</v>
      </c>
      <c r="N1836" s="7">
        <v>8.4359999999999999</v>
      </c>
      <c r="O1836" s="7">
        <v>9.23</v>
      </c>
      <c r="P1836" s="7">
        <v>9.7128999999999994</v>
      </c>
      <c r="Q1836" s="7">
        <v>10.4213</v>
      </c>
    </row>
    <row r="1837" spans="1:17">
      <c r="A1837" s="5">
        <v>44141</v>
      </c>
      <c r="B1837" s="5" t="str">
        <f t="shared" si="28"/>
        <v>2020 q4</v>
      </c>
      <c r="C1837" s="7">
        <v>5.3085000000000004</v>
      </c>
      <c r="D1837" s="7">
        <v>5.3475999999999999</v>
      </c>
      <c r="E1837" s="7">
        <v>5.4282000000000004</v>
      </c>
      <c r="F1837" s="7">
        <v>5.5491000000000001</v>
      </c>
      <c r="G1837" s="7">
        <v>5.6649000000000003</v>
      </c>
      <c r="H1837" s="7">
        <v>5.7805999999999997</v>
      </c>
      <c r="I1837" s="7">
        <v>6.2022000000000004</v>
      </c>
      <c r="J1837" s="7">
        <v>6.5862999999999996</v>
      </c>
      <c r="K1837" s="7">
        <v>6.9318999999999997</v>
      </c>
      <c r="L1837" s="7">
        <v>7.2465000000000002</v>
      </c>
      <c r="M1837" s="7">
        <v>7.7808999999999999</v>
      </c>
      <c r="N1837" s="7">
        <v>8.3652999999999995</v>
      </c>
      <c r="O1837" s="7">
        <v>9.0991999999999997</v>
      </c>
      <c r="P1837" s="7">
        <v>9.5061</v>
      </c>
      <c r="Q1837" s="7">
        <v>10.160500000000001</v>
      </c>
    </row>
    <row r="1838" spans="1:17">
      <c r="A1838" s="5">
        <v>44144</v>
      </c>
      <c r="B1838" s="5" t="str">
        <f t="shared" si="28"/>
        <v>2020 q4</v>
      </c>
      <c r="C1838" s="7">
        <v>5.2504</v>
      </c>
      <c r="D1838" s="7">
        <v>5.2942</v>
      </c>
      <c r="E1838" s="7">
        <v>5.3844000000000003</v>
      </c>
      <c r="F1838" s="7">
        <v>5.5197000000000003</v>
      </c>
      <c r="G1838" s="7">
        <v>5.6482000000000001</v>
      </c>
      <c r="H1838" s="7">
        <v>5.7763999999999998</v>
      </c>
      <c r="I1838" s="7">
        <v>6.2348999999999997</v>
      </c>
      <c r="J1838" s="7">
        <v>6.6445999999999996</v>
      </c>
      <c r="K1838" s="7">
        <v>7.0053000000000001</v>
      </c>
      <c r="L1838" s="7">
        <v>7.2956000000000003</v>
      </c>
      <c r="M1838" s="7">
        <v>7.7872000000000003</v>
      </c>
      <c r="N1838" s="7">
        <v>8.4080999999999992</v>
      </c>
      <c r="O1838" s="7">
        <v>9.0673999999999992</v>
      </c>
      <c r="P1838" s="7">
        <v>9.4114000000000004</v>
      </c>
      <c r="Q1838" s="7">
        <v>9.9459</v>
      </c>
    </row>
    <row r="1839" spans="1:17">
      <c r="A1839" s="5">
        <v>44145</v>
      </c>
      <c r="B1839" s="5" t="str">
        <f t="shared" si="28"/>
        <v>2020 q4</v>
      </c>
      <c r="C1839" s="7">
        <v>5.2869999999999999</v>
      </c>
      <c r="D1839" s="7">
        <v>5.3296000000000001</v>
      </c>
      <c r="E1839" s="7">
        <v>5.4175000000000004</v>
      </c>
      <c r="F1839" s="7">
        <v>5.5490000000000004</v>
      </c>
      <c r="G1839" s="7">
        <v>5.6745999999999999</v>
      </c>
      <c r="H1839" s="7">
        <v>5.7995000000000001</v>
      </c>
      <c r="I1839" s="7">
        <v>6.2496999999999998</v>
      </c>
      <c r="J1839" s="7">
        <v>6.6428000000000003</v>
      </c>
      <c r="K1839" s="7">
        <v>7.0025000000000004</v>
      </c>
      <c r="L1839" s="7">
        <v>7.3182</v>
      </c>
      <c r="M1839" s="7">
        <v>7.8695000000000004</v>
      </c>
      <c r="N1839" s="7">
        <v>8.4332999999999991</v>
      </c>
      <c r="O1839" s="7">
        <v>9.1189999999999998</v>
      </c>
      <c r="P1839" s="7">
        <v>9.5085999999999995</v>
      </c>
      <c r="Q1839" s="7">
        <v>10.0527</v>
      </c>
    </row>
    <row r="1840" spans="1:17">
      <c r="A1840" s="5">
        <v>44146</v>
      </c>
      <c r="B1840" s="5" t="str">
        <f t="shared" si="28"/>
        <v>2020 q4</v>
      </c>
      <c r="C1840" s="7">
        <v>5.3071000000000002</v>
      </c>
      <c r="D1840" s="7">
        <v>5.3491999999999997</v>
      </c>
      <c r="E1840" s="7">
        <v>5.4359999999999999</v>
      </c>
      <c r="F1840" s="7">
        <v>5.5656999999999996</v>
      </c>
      <c r="G1840" s="7">
        <v>5.6897000000000002</v>
      </c>
      <c r="H1840" s="7">
        <v>5.8129999999999997</v>
      </c>
      <c r="I1840" s="7">
        <v>6.2579000000000002</v>
      </c>
      <c r="J1840" s="7">
        <v>6.6464999999999996</v>
      </c>
      <c r="K1840" s="7">
        <v>7.0026000000000002</v>
      </c>
      <c r="L1840" s="7">
        <v>7.3150000000000004</v>
      </c>
      <c r="M1840" s="7">
        <v>7.8613999999999997</v>
      </c>
      <c r="N1840" s="7">
        <v>8.4213000000000005</v>
      </c>
      <c r="O1840" s="7">
        <v>9.1036000000000001</v>
      </c>
      <c r="P1840" s="7">
        <v>9.4652999999999992</v>
      </c>
      <c r="Q1840" s="7">
        <v>10.0351</v>
      </c>
    </row>
    <row r="1841" spans="1:17">
      <c r="A1841" s="5">
        <v>44147</v>
      </c>
      <c r="B1841" s="5" t="str">
        <f t="shared" si="28"/>
        <v>2020 q4</v>
      </c>
      <c r="C1841" s="7">
        <v>5.2920999999999996</v>
      </c>
      <c r="D1841" s="7">
        <v>5.3327</v>
      </c>
      <c r="E1841" s="7">
        <v>5.4165000000000001</v>
      </c>
      <c r="F1841" s="7">
        <v>5.5418000000000003</v>
      </c>
      <c r="G1841" s="7">
        <v>5.6623000000000001</v>
      </c>
      <c r="H1841" s="7">
        <v>5.7820999999999998</v>
      </c>
      <c r="I1841" s="7">
        <v>6.2199</v>
      </c>
      <c r="J1841" s="7">
        <v>6.6184000000000003</v>
      </c>
      <c r="K1841" s="7">
        <v>6.9767999999999999</v>
      </c>
      <c r="L1841" s="7">
        <v>7.2878999999999996</v>
      </c>
      <c r="M1841" s="7">
        <v>7.8566000000000003</v>
      </c>
      <c r="N1841" s="7">
        <v>8.4617000000000004</v>
      </c>
      <c r="O1841" s="7">
        <v>9.2227999999999994</v>
      </c>
      <c r="P1841" s="7">
        <v>9.6745999999999999</v>
      </c>
      <c r="Q1841" s="7">
        <v>10.319800000000001</v>
      </c>
    </row>
    <row r="1842" spans="1:17">
      <c r="A1842" s="5">
        <v>44148</v>
      </c>
      <c r="B1842" s="5" t="str">
        <f t="shared" si="28"/>
        <v>2020 q4</v>
      </c>
      <c r="C1842" s="7">
        <v>5.2930999999999999</v>
      </c>
      <c r="D1842" s="7">
        <v>5.3334999999999999</v>
      </c>
      <c r="E1842" s="7">
        <v>5.4169</v>
      </c>
      <c r="F1842" s="7">
        <v>5.5414000000000003</v>
      </c>
      <c r="G1842" s="7">
        <v>5.6611000000000002</v>
      </c>
      <c r="H1842" s="7">
        <v>5.7798999999999996</v>
      </c>
      <c r="I1842" s="7">
        <v>6.2133000000000003</v>
      </c>
      <c r="J1842" s="7">
        <v>6.6066000000000003</v>
      </c>
      <c r="K1842" s="7">
        <v>6.9592999999999998</v>
      </c>
      <c r="L1842" s="7">
        <v>7.2641</v>
      </c>
      <c r="M1842" s="7">
        <v>7.82</v>
      </c>
      <c r="N1842" s="7">
        <v>8.4062999999999999</v>
      </c>
      <c r="O1842" s="7">
        <v>9.1386000000000003</v>
      </c>
      <c r="P1842" s="7">
        <v>9.5388000000000002</v>
      </c>
      <c r="Q1842" s="7">
        <v>10.180899999999999</v>
      </c>
    </row>
    <row r="1843" spans="1:17">
      <c r="A1843" s="5">
        <v>44151</v>
      </c>
      <c r="B1843" s="5" t="str">
        <f t="shared" si="28"/>
        <v>2020 q4</v>
      </c>
      <c r="C1843" s="7">
        <v>5.1760999999999999</v>
      </c>
      <c r="D1843" s="7">
        <v>5.2309000000000001</v>
      </c>
      <c r="E1843" s="7">
        <v>5.3440000000000003</v>
      </c>
      <c r="F1843" s="7">
        <v>5.5125000000000002</v>
      </c>
      <c r="G1843" s="7">
        <v>5.6704999999999997</v>
      </c>
      <c r="H1843" s="7">
        <v>5.8266999999999998</v>
      </c>
      <c r="I1843" s="7">
        <v>6.3658000000000001</v>
      </c>
      <c r="J1843" s="7">
        <v>6.8102</v>
      </c>
      <c r="K1843" s="7">
        <v>7.2020999999999997</v>
      </c>
      <c r="L1843" s="7">
        <v>7.5288000000000004</v>
      </c>
      <c r="M1843" s="7">
        <v>8.0681999999999992</v>
      </c>
      <c r="N1843" s="7">
        <v>8.5553000000000008</v>
      </c>
      <c r="O1843" s="7">
        <v>9.0930999999999997</v>
      </c>
      <c r="P1843" s="7">
        <v>9.3496000000000006</v>
      </c>
      <c r="Q1843" s="7">
        <v>9.7287999999999997</v>
      </c>
    </row>
    <row r="1844" spans="1:17">
      <c r="A1844" s="5">
        <v>44152</v>
      </c>
      <c r="B1844" s="5" t="str">
        <f t="shared" si="28"/>
        <v>2020 q4</v>
      </c>
      <c r="C1844" s="7">
        <v>5.3080999999999996</v>
      </c>
      <c r="D1844" s="7">
        <v>5.3529999999999998</v>
      </c>
      <c r="E1844" s="7">
        <v>5.4458000000000002</v>
      </c>
      <c r="F1844" s="7">
        <v>5.5842000000000001</v>
      </c>
      <c r="G1844" s="7">
        <v>5.7172000000000001</v>
      </c>
      <c r="H1844" s="7">
        <v>5.8440000000000003</v>
      </c>
      <c r="I1844" s="7">
        <v>6.3120000000000003</v>
      </c>
      <c r="J1844" s="7">
        <v>6.7255000000000003</v>
      </c>
      <c r="K1844" s="7">
        <v>7.0869999999999997</v>
      </c>
      <c r="L1844" s="7">
        <v>7.3898000000000001</v>
      </c>
      <c r="M1844" s="7">
        <v>7.9311999999999996</v>
      </c>
      <c r="N1844" s="7">
        <v>8.4662000000000006</v>
      </c>
      <c r="O1844" s="7">
        <v>9.1010000000000009</v>
      </c>
      <c r="P1844" s="7">
        <v>9.4247999999999994</v>
      </c>
      <c r="Q1844" s="7">
        <v>9.9263999999999992</v>
      </c>
    </row>
    <row r="1845" spans="1:17">
      <c r="A1845" s="5">
        <v>44153</v>
      </c>
      <c r="B1845" s="5" t="str">
        <f t="shared" si="28"/>
        <v>2020 q4</v>
      </c>
      <c r="C1845" s="7">
        <v>5.2965</v>
      </c>
      <c r="D1845" s="7">
        <v>5.3414000000000001</v>
      </c>
      <c r="E1845" s="7">
        <v>5.4341999999999997</v>
      </c>
      <c r="F1845" s="7">
        <v>5.5723000000000003</v>
      </c>
      <c r="G1845" s="7">
        <v>5.7051999999999996</v>
      </c>
      <c r="H1845" s="7">
        <v>5.8316999999999997</v>
      </c>
      <c r="I1845" s="7">
        <v>6.2984999999999998</v>
      </c>
      <c r="J1845" s="7">
        <v>6.6970999999999998</v>
      </c>
      <c r="K1845" s="7">
        <v>7.0594000000000001</v>
      </c>
      <c r="L1845" s="7">
        <v>7.3711000000000002</v>
      </c>
      <c r="M1845" s="7">
        <v>7.9086999999999996</v>
      </c>
      <c r="N1845" s="7">
        <v>8.4383999999999997</v>
      </c>
      <c r="O1845" s="7">
        <v>9.0656999999999996</v>
      </c>
      <c r="P1845" s="7">
        <v>9.4090000000000007</v>
      </c>
      <c r="Q1845" s="7">
        <v>9.8782999999999994</v>
      </c>
    </row>
    <row r="1846" spans="1:17">
      <c r="A1846" s="5">
        <v>44154</v>
      </c>
      <c r="B1846" s="5" t="str">
        <f t="shared" si="28"/>
        <v>2020 q4</v>
      </c>
      <c r="C1846" s="7">
        <v>5.1917999999999997</v>
      </c>
      <c r="D1846" s="7">
        <v>5.2484000000000002</v>
      </c>
      <c r="E1846" s="7">
        <v>5.3651999999999997</v>
      </c>
      <c r="F1846" s="7">
        <v>5.5385999999999997</v>
      </c>
      <c r="G1846" s="7">
        <v>5.7027000000000001</v>
      </c>
      <c r="H1846" s="7">
        <v>5.8556999999999997</v>
      </c>
      <c r="I1846" s="7">
        <v>6.4028999999999998</v>
      </c>
      <c r="J1846" s="7">
        <v>6.8426999999999998</v>
      </c>
      <c r="K1846" s="7">
        <v>7.2275999999999998</v>
      </c>
      <c r="L1846" s="7">
        <v>7.5423</v>
      </c>
      <c r="M1846" s="7">
        <v>8.0548000000000002</v>
      </c>
      <c r="N1846" s="7">
        <v>8.5024999999999995</v>
      </c>
      <c r="O1846" s="7">
        <v>8.9860000000000007</v>
      </c>
      <c r="P1846" s="7">
        <v>9.2294</v>
      </c>
      <c r="Q1846" s="7">
        <v>9.5409000000000006</v>
      </c>
    </row>
    <row r="1847" spans="1:17">
      <c r="A1847" s="5">
        <v>44155</v>
      </c>
      <c r="B1847" s="5" t="str">
        <f t="shared" si="28"/>
        <v>2020 q4</v>
      </c>
      <c r="C1847" s="7">
        <v>5.2392000000000003</v>
      </c>
      <c r="D1847" s="7">
        <v>5.2899000000000003</v>
      </c>
      <c r="E1847" s="7">
        <v>5.3945999999999996</v>
      </c>
      <c r="F1847" s="7">
        <v>5.5503</v>
      </c>
      <c r="G1847" s="7">
        <v>5.6993</v>
      </c>
      <c r="H1847" s="7">
        <v>5.8398000000000003</v>
      </c>
      <c r="I1847" s="7">
        <v>6.3526999999999996</v>
      </c>
      <c r="J1847" s="7">
        <v>6.7968000000000002</v>
      </c>
      <c r="K1847" s="7">
        <v>7.1772999999999998</v>
      </c>
      <c r="L1847" s="7">
        <v>7.4688999999999997</v>
      </c>
      <c r="M1847" s="7">
        <v>7.9526000000000003</v>
      </c>
      <c r="N1847" s="7">
        <v>8.5460999999999991</v>
      </c>
      <c r="O1847" s="7">
        <v>9.1310000000000002</v>
      </c>
      <c r="P1847" s="7">
        <v>9.4551999999999996</v>
      </c>
      <c r="Q1847" s="7">
        <v>9.8468999999999998</v>
      </c>
    </row>
    <row r="1848" spans="1:17">
      <c r="A1848" s="5">
        <v>44158</v>
      </c>
      <c r="B1848" s="5" t="str">
        <f t="shared" si="28"/>
        <v>2020 q4</v>
      </c>
      <c r="C1848" s="7">
        <v>5.1940999999999997</v>
      </c>
      <c r="D1848" s="7">
        <v>5.2492999999999999</v>
      </c>
      <c r="E1848" s="7">
        <v>5.3632</v>
      </c>
      <c r="F1848" s="7">
        <v>5.5323000000000002</v>
      </c>
      <c r="G1848" s="7">
        <v>5.6928999999999998</v>
      </c>
      <c r="H1848" s="7">
        <v>5.8429000000000002</v>
      </c>
      <c r="I1848" s="7">
        <v>6.3825000000000003</v>
      </c>
      <c r="J1848" s="7">
        <v>6.8391000000000002</v>
      </c>
      <c r="K1848" s="7">
        <v>7.2207999999999997</v>
      </c>
      <c r="L1848" s="7">
        <v>7.5031999999999996</v>
      </c>
      <c r="M1848" s="7">
        <v>7.9591000000000003</v>
      </c>
      <c r="N1848" s="7">
        <v>8.5090000000000003</v>
      </c>
      <c r="O1848" s="7">
        <v>9.0169999999999995</v>
      </c>
      <c r="P1848" s="7">
        <v>9.2748000000000008</v>
      </c>
      <c r="Q1848" s="7">
        <v>9.6077999999999992</v>
      </c>
    </row>
    <row r="1849" spans="1:17">
      <c r="A1849" s="5">
        <v>44159</v>
      </c>
      <c r="B1849" s="5" t="str">
        <f t="shared" si="28"/>
        <v>2020 q4</v>
      </c>
      <c r="C1849" s="7">
        <v>5.4359999999999999</v>
      </c>
      <c r="D1849" s="7">
        <v>5.4812000000000003</v>
      </c>
      <c r="E1849" s="7">
        <v>5.5744999999999996</v>
      </c>
      <c r="F1849" s="7">
        <v>5.7083000000000004</v>
      </c>
      <c r="G1849" s="7">
        <v>5.8415999999999997</v>
      </c>
      <c r="H1849" s="7">
        <v>5.9661999999999997</v>
      </c>
      <c r="I1849" s="7">
        <v>6.4234999999999998</v>
      </c>
      <c r="J1849" s="7">
        <v>6.8235999999999999</v>
      </c>
      <c r="K1849" s="7">
        <v>7.1700999999999997</v>
      </c>
      <c r="L1849" s="7">
        <v>7.4394999999999998</v>
      </c>
      <c r="M1849" s="7">
        <v>7.8940000000000001</v>
      </c>
      <c r="N1849" s="7">
        <v>8.4550999999999998</v>
      </c>
      <c r="O1849" s="7">
        <v>9.0272000000000006</v>
      </c>
      <c r="P1849" s="7">
        <v>9.3336000000000006</v>
      </c>
      <c r="Q1849" s="7">
        <v>9.7481000000000009</v>
      </c>
    </row>
    <row r="1850" spans="1:17">
      <c r="A1850" s="5">
        <v>44160</v>
      </c>
      <c r="B1850" s="5" t="str">
        <f t="shared" si="28"/>
        <v>2020 q4</v>
      </c>
      <c r="C1850" s="7">
        <v>5.4149000000000003</v>
      </c>
      <c r="D1850" s="7">
        <v>5.4623999999999997</v>
      </c>
      <c r="E1850" s="7">
        <v>5.5606</v>
      </c>
      <c r="F1850" s="7">
        <v>5.7008000000000001</v>
      </c>
      <c r="G1850" s="7">
        <v>5.8406000000000002</v>
      </c>
      <c r="H1850" s="7">
        <v>5.9702999999999999</v>
      </c>
      <c r="I1850" s="7">
        <v>6.4436999999999998</v>
      </c>
      <c r="J1850" s="7">
        <v>6.8536999999999999</v>
      </c>
      <c r="K1850" s="7">
        <v>7.2049000000000003</v>
      </c>
      <c r="L1850" s="7">
        <v>7.4734999999999996</v>
      </c>
      <c r="M1850" s="7">
        <v>7.9212999999999996</v>
      </c>
      <c r="N1850" s="7">
        <v>8.4694000000000003</v>
      </c>
      <c r="O1850" s="7">
        <v>9.0114000000000001</v>
      </c>
      <c r="P1850" s="7">
        <v>9.2958999999999996</v>
      </c>
      <c r="Q1850" s="7">
        <v>9.6750000000000007</v>
      </c>
    </row>
    <row r="1851" spans="1:17">
      <c r="A1851" s="5">
        <v>44161</v>
      </c>
      <c r="B1851" s="5" t="str">
        <f t="shared" si="28"/>
        <v>2020 q4</v>
      </c>
      <c r="C1851" s="7">
        <v>5.4263000000000003</v>
      </c>
      <c r="D1851" s="7">
        <v>5.4734999999999996</v>
      </c>
      <c r="E1851" s="7">
        <v>5.5709</v>
      </c>
      <c r="F1851" s="7">
        <v>5.7099000000000002</v>
      </c>
      <c r="G1851" s="7">
        <v>5.8484999999999996</v>
      </c>
      <c r="H1851" s="7">
        <v>5.9770000000000003</v>
      </c>
      <c r="I1851" s="7">
        <v>6.4457000000000004</v>
      </c>
      <c r="J1851" s="7">
        <v>6.851</v>
      </c>
      <c r="K1851" s="7">
        <v>7.1978</v>
      </c>
      <c r="L1851" s="7">
        <v>7.4622999999999999</v>
      </c>
      <c r="M1851" s="7">
        <v>7.9032999999999998</v>
      </c>
      <c r="N1851" s="7">
        <v>8.4420000000000002</v>
      </c>
      <c r="O1851" s="7">
        <v>8.9732000000000003</v>
      </c>
      <c r="P1851" s="7">
        <v>9.2512000000000008</v>
      </c>
      <c r="Q1851" s="7">
        <v>9.6212999999999997</v>
      </c>
    </row>
    <row r="1852" spans="1:17">
      <c r="A1852" s="5">
        <v>44162</v>
      </c>
      <c r="B1852" s="5" t="str">
        <f t="shared" si="28"/>
        <v>2020 q4</v>
      </c>
      <c r="C1852" s="7">
        <v>5.4450000000000003</v>
      </c>
      <c r="D1852" s="7">
        <v>5.4912999999999998</v>
      </c>
      <c r="E1852" s="7">
        <v>5.5869999999999997</v>
      </c>
      <c r="F1852" s="7">
        <v>5.7237</v>
      </c>
      <c r="G1852" s="7">
        <v>5.8601000000000001</v>
      </c>
      <c r="H1852" s="7">
        <v>5.9867999999999997</v>
      </c>
      <c r="I1852" s="7">
        <v>6.4509999999999996</v>
      </c>
      <c r="J1852" s="7">
        <v>6.8548</v>
      </c>
      <c r="K1852" s="7">
        <v>7.2023999999999999</v>
      </c>
      <c r="L1852" s="7">
        <v>7.5026999999999999</v>
      </c>
      <c r="M1852" s="7">
        <v>7.9351000000000003</v>
      </c>
      <c r="N1852" s="7">
        <v>8.4701000000000004</v>
      </c>
      <c r="O1852" s="7">
        <v>9.0233000000000008</v>
      </c>
      <c r="P1852" s="7">
        <v>9.3156999999999996</v>
      </c>
      <c r="Q1852" s="7">
        <v>9.7085000000000008</v>
      </c>
    </row>
    <row r="1853" spans="1:17">
      <c r="A1853" s="5">
        <v>44165</v>
      </c>
      <c r="B1853" s="5" t="str">
        <f t="shared" si="28"/>
        <v>2020 q4</v>
      </c>
      <c r="C1853" s="7">
        <v>5.4221000000000004</v>
      </c>
      <c r="D1853" s="7">
        <v>5.4725999999999999</v>
      </c>
      <c r="E1853" s="7">
        <v>5.5768000000000004</v>
      </c>
      <c r="F1853" s="7">
        <v>5.7245999999999997</v>
      </c>
      <c r="G1853" s="7">
        <v>5.8720999999999997</v>
      </c>
      <c r="H1853" s="7">
        <v>6.0075000000000003</v>
      </c>
      <c r="I1853" s="7">
        <v>6.4983000000000004</v>
      </c>
      <c r="J1853" s="7">
        <v>6.8997000000000002</v>
      </c>
      <c r="K1853" s="7">
        <v>7.258</v>
      </c>
      <c r="L1853" s="7">
        <v>7.5701999999999998</v>
      </c>
      <c r="M1853" s="7">
        <v>7.9858000000000002</v>
      </c>
      <c r="N1853" s="7">
        <v>8.4925999999999995</v>
      </c>
      <c r="O1853" s="7">
        <v>8.9910999999999994</v>
      </c>
      <c r="P1853" s="7">
        <v>9.2460000000000004</v>
      </c>
      <c r="Q1853" s="7">
        <v>9.5801999999999996</v>
      </c>
    </row>
    <row r="1854" spans="1:17">
      <c r="A1854" s="5">
        <v>44166</v>
      </c>
      <c r="B1854" s="5" t="str">
        <f t="shared" si="28"/>
        <v>2020 q4</v>
      </c>
      <c r="C1854" s="7">
        <v>5.8135000000000003</v>
      </c>
      <c r="D1854" s="7">
        <v>5.8244999999999996</v>
      </c>
      <c r="E1854" s="7">
        <v>5.8472999999999997</v>
      </c>
      <c r="F1854" s="7">
        <v>5.8879999999999999</v>
      </c>
      <c r="G1854" s="7">
        <v>5.9436</v>
      </c>
      <c r="H1854" s="7">
        <v>6.0223000000000004</v>
      </c>
      <c r="I1854" s="7">
        <v>6.3975999999999997</v>
      </c>
      <c r="J1854" s="7">
        <v>6.8086000000000002</v>
      </c>
      <c r="K1854" s="7">
        <v>7.1994999999999996</v>
      </c>
      <c r="L1854" s="7">
        <v>7.5423999999999998</v>
      </c>
      <c r="M1854" s="7">
        <v>8.0030999999999999</v>
      </c>
      <c r="N1854" s="7">
        <v>8.5448000000000004</v>
      </c>
      <c r="O1854" s="7">
        <v>9.0103000000000009</v>
      </c>
      <c r="P1854" s="7">
        <v>9.2299000000000007</v>
      </c>
      <c r="Q1854" s="7">
        <v>9.5010999999999992</v>
      </c>
    </row>
    <row r="1855" spans="1:17">
      <c r="A1855" s="5">
        <v>44167</v>
      </c>
      <c r="B1855" s="5" t="str">
        <f t="shared" si="28"/>
        <v>2020 q4</v>
      </c>
      <c r="C1855" s="7">
        <v>5.8015999999999996</v>
      </c>
      <c r="D1855" s="7">
        <v>5.8139000000000003</v>
      </c>
      <c r="E1855" s="7">
        <v>5.8394000000000004</v>
      </c>
      <c r="F1855" s="7">
        <v>5.8857999999999997</v>
      </c>
      <c r="G1855" s="7">
        <v>5.9500999999999999</v>
      </c>
      <c r="H1855" s="7">
        <v>6.0411000000000001</v>
      </c>
      <c r="I1855" s="7">
        <v>6.4641999999999999</v>
      </c>
      <c r="J1855" s="7">
        <v>6.8917000000000002</v>
      </c>
      <c r="K1855" s="7">
        <v>7.3014999999999999</v>
      </c>
      <c r="L1855" s="7">
        <v>7.6028000000000002</v>
      </c>
      <c r="M1855" s="7">
        <v>8.0549999999999997</v>
      </c>
      <c r="N1855" s="7">
        <v>8.5738000000000003</v>
      </c>
      <c r="O1855" s="7">
        <v>8.9728999999999992</v>
      </c>
      <c r="P1855" s="7">
        <v>9.1587999999999994</v>
      </c>
      <c r="Q1855" s="7">
        <v>9.3869000000000007</v>
      </c>
    </row>
    <row r="1856" spans="1:17">
      <c r="A1856" s="5">
        <v>44168</v>
      </c>
      <c r="B1856" s="5" t="str">
        <f t="shared" si="28"/>
        <v>2020 q4</v>
      </c>
      <c r="C1856" s="7">
        <v>5.7736000000000001</v>
      </c>
      <c r="D1856" s="7">
        <v>5.7912999999999997</v>
      </c>
      <c r="E1856" s="7">
        <v>5.8277000000000001</v>
      </c>
      <c r="F1856" s="7">
        <v>5.8898000000000001</v>
      </c>
      <c r="G1856" s="7">
        <v>5.9675000000000002</v>
      </c>
      <c r="H1856" s="7">
        <v>6.0681000000000003</v>
      </c>
      <c r="I1856" s="7">
        <v>6.5136000000000003</v>
      </c>
      <c r="J1856" s="7">
        <v>6.9435000000000002</v>
      </c>
      <c r="K1856" s="7">
        <v>7.3482000000000003</v>
      </c>
      <c r="L1856" s="7">
        <v>7.6406999999999998</v>
      </c>
      <c r="M1856" s="7">
        <v>8.0721000000000007</v>
      </c>
      <c r="N1856" s="7">
        <v>8.5650999999999993</v>
      </c>
      <c r="O1856" s="7">
        <v>8.9388000000000005</v>
      </c>
      <c r="P1856" s="7">
        <v>9.1123999999999992</v>
      </c>
      <c r="Q1856" s="7">
        <v>9.3254000000000001</v>
      </c>
    </row>
    <row r="1857" spans="1:17">
      <c r="A1857" s="5">
        <v>44169</v>
      </c>
      <c r="B1857" s="5" t="str">
        <f t="shared" si="28"/>
        <v>2020 q4</v>
      </c>
      <c r="C1857" s="7">
        <v>5.6521999999999997</v>
      </c>
      <c r="D1857" s="7">
        <v>5.6917</v>
      </c>
      <c r="E1857" s="7">
        <v>5.7732999999999999</v>
      </c>
      <c r="F1857" s="7">
        <v>5.8941999999999997</v>
      </c>
      <c r="G1857" s="7">
        <v>6.0122999999999998</v>
      </c>
      <c r="H1857" s="7">
        <v>6.1234999999999999</v>
      </c>
      <c r="I1857" s="7">
        <v>6.5385</v>
      </c>
      <c r="J1857" s="7">
        <v>6.9062000000000001</v>
      </c>
      <c r="K1857" s="7">
        <v>7.2291999999999996</v>
      </c>
      <c r="L1857" s="7">
        <v>7.4843999999999999</v>
      </c>
      <c r="M1857" s="7">
        <v>7.9259000000000004</v>
      </c>
      <c r="N1857" s="7">
        <v>8.4748999999999999</v>
      </c>
      <c r="O1857" s="7">
        <v>9.0616000000000003</v>
      </c>
      <c r="P1857" s="7">
        <v>9.3831000000000007</v>
      </c>
      <c r="Q1857" s="7">
        <v>9.8310999999999993</v>
      </c>
    </row>
    <row r="1858" spans="1:17">
      <c r="A1858" s="5">
        <v>44172</v>
      </c>
      <c r="B1858" s="5" t="str">
        <f t="shared" si="28"/>
        <v>2020 q4</v>
      </c>
      <c r="C1858" s="7">
        <v>5.7737999999999996</v>
      </c>
      <c r="D1858" s="7">
        <v>5.7938000000000001</v>
      </c>
      <c r="E1858" s="7">
        <v>5.8350999999999997</v>
      </c>
      <c r="F1858" s="7">
        <v>5.9027000000000003</v>
      </c>
      <c r="G1858" s="7">
        <v>5.9809000000000001</v>
      </c>
      <c r="H1858" s="7">
        <v>6.0762999999999998</v>
      </c>
      <c r="I1858" s="7">
        <v>6.4904999999999999</v>
      </c>
      <c r="J1858" s="7">
        <v>6.9108000000000001</v>
      </c>
      <c r="K1858" s="7">
        <v>7.2934000000000001</v>
      </c>
      <c r="L1858" s="7">
        <v>7.5735000000000001</v>
      </c>
      <c r="M1858" s="7">
        <v>8.0233000000000008</v>
      </c>
      <c r="N1858" s="7">
        <v>8.5431000000000008</v>
      </c>
      <c r="O1858" s="7">
        <v>8.9621999999999993</v>
      </c>
      <c r="P1858" s="7">
        <v>9.1584000000000003</v>
      </c>
      <c r="Q1858" s="7">
        <v>9.4009999999999998</v>
      </c>
    </row>
    <row r="1859" spans="1:17">
      <c r="A1859" s="5">
        <v>44173</v>
      </c>
      <c r="B1859" s="5" t="str">
        <f t="shared" ref="B1859:B1922" si="29">YEAR(A1859)&amp;" q"&amp;ROUNDUP(MONTH(A1859)/3,0)</f>
        <v>2020 q4</v>
      </c>
      <c r="C1859" s="7">
        <v>5.7009999999999996</v>
      </c>
      <c r="D1859" s="7">
        <v>5.7389999999999999</v>
      </c>
      <c r="E1859" s="7">
        <v>5.8173000000000004</v>
      </c>
      <c r="F1859" s="7">
        <v>5.9335000000000004</v>
      </c>
      <c r="G1859" s="7">
        <v>6.0472999999999999</v>
      </c>
      <c r="H1859" s="7">
        <v>6.1547999999999998</v>
      </c>
      <c r="I1859" s="7">
        <v>6.5590999999999999</v>
      </c>
      <c r="J1859" s="7">
        <v>6.9211</v>
      </c>
      <c r="K1859" s="7">
        <v>7.2427999999999999</v>
      </c>
      <c r="L1859" s="7">
        <v>7.5012999999999996</v>
      </c>
      <c r="M1859" s="7">
        <v>7.9558</v>
      </c>
      <c r="N1859" s="7">
        <v>8.5259</v>
      </c>
      <c r="O1859" s="7">
        <v>9.1584000000000003</v>
      </c>
      <c r="P1859" s="7">
        <v>9.5333000000000006</v>
      </c>
      <c r="Q1859" s="7">
        <v>10.02</v>
      </c>
    </row>
    <row r="1860" spans="1:17">
      <c r="A1860" s="5">
        <v>44174</v>
      </c>
      <c r="B1860" s="5" t="str">
        <f t="shared" si="29"/>
        <v>2020 q4</v>
      </c>
      <c r="C1860" s="7">
        <v>5.6875</v>
      </c>
      <c r="D1860" s="7">
        <v>5.73</v>
      </c>
      <c r="E1860" s="7">
        <v>5.8178000000000001</v>
      </c>
      <c r="F1860" s="7">
        <v>5.9474</v>
      </c>
      <c r="G1860" s="7">
        <v>6.0738000000000003</v>
      </c>
      <c r="H1860" s="7">
        <v>6.1913999999999998</v>
      </c>
      <c r="I1860" s="7">
        <v>6.6264000000000003</v>
      </c>
      <c r="J1860" s="7">
        <v>7.0049000000000001</v>
      </c>
      <c r="K1860" s="7">
        <v>7.3312999999999997</v>
      </c>
      <c r="L1860" s="7">
        <v>7.5810000000000004</v>
      </c>
      <c r="M1860" s="7">
        <v>8.0063999999999993</v>
      </c>
      <c r="N1860" s="7">
        <v>8.5252999999999997</v>
      </c>
      <c r="O1860" s="7">
        <v>9.0517000000000003</v>
      </c>
      <c r="P1860" s="7">
        <v>9.3282000000000007</v>
      </c>
      <c r="Q1860" s="7">
        <v>9.7034000000000002</v>
      </c>
    </row>
    <row r="1861" spans="1:17">
      <c r="A1861" s="5">
        <v>44175</v>
      </c>
      <c r="B1861" s="5" t="str">
        <f t="shared" si="29"/>
        <v>2020 q4</v>
      </c>
      <c r="C1861" s="7">
        <v>6.1101000000000001</v>
      </c>
      <c r="D1861" s="7">
        <v>6.0461999999999998</v>
      </c>
      <c r="E1861" s="7">
        <v>5.9142999999999999</v>
      </c>
      <c r="F1861" s="7">
        <v>5.8167</v>
      </c>
      <c r="G1861" s="7">
        <v>5.8711000000000002</v>
      </c>
      <c r="H1861" s="7">
        <v>6.085</v>
      </c>
      <c r="I1861" s="7">
        <v>6.9420999999999999</v>
      </c>
      <c r="J1861" s="7">
        <v>7.5312999999999999</v>
      </c>
      <c r="K1861" s="7">
        <v>7.9608999999999996</v>
      </c>
      <c r="L1861" s="7">
        <v>8.2064000000000004</v>
      </c>
      <c r="M1861" s="7">
        <v>8.4642999999999997</v>
      </c>
      <c r="N1861" s="7">
        <v>8.7475000000000005</v>
      </c>
      <c r="O1861" s="7">
        <v>8.9262999999999995</v>
      </c>
      <c r="P1861" s="7">
        <v>9.0122999999999998</v>
      </c>
      <c r="Q1861" s="7">
        <v>9.1075999999999997</v>
      </c>
    </row>
    <row r="1862" spans="1:17">
      <c r="A1862" s="5">
        <v>44176</v>
      </c>
      <c r="B1862" s="5" t="str">
        <f t="shared" si="29"/>
        <v>2020 q4</v>
      </c>
      <c r="C1862" s="7">
        <v>5.5871000000000004</v>
      </c>
      <c r="D1862" s="7">
        <v>5.6425999999999998</v>
      </c>
      <c r="E1862" s="7">
        <v>5.7572000000000001</v>
      </c>
      <c r="F1862" s="7">
        <v>5.9253</v>
      </c>
      <c r="G1862" s="7">
        <v>6.0879000000000003</v>
      </c>
      <c r="H1862" s="7">
        <v>6.2350000000000003</v>
      </c>
      <c r="I1862" s="7">
        <v>6.7667000000000002</v>
      </c>
      <c r="J1862" s="7">
        <v>7.1863000000000001</v>
      </c>
      <c r="K1862" s="7">
        <v>7.5575999999999999</v>
      </c>
      <c r="L1862" s="7">
        <v>7.8295000000000003</v>
      </c>
      <c r="M1862" s="7">
        <v>8.2491000000000003</v>
      </c>
      <c r="N1862" s="7">
        <v>8.7431999999999999</v>
      </c>
      <c r="O1862" s="7">
        <v>9.1861999999999995</v>
      </c>
      <c r="P1862" s="7">
        <v>9.3865999999999996</v>
      </c>
      <c r="Q1862" s="7">
        <v>9.6830999999999996</v>
      </c>
    </row>
    <row r="1863" spans="1:17">
      <c r="A1863" s="5">
        <v>44179</v>
      </c>
      <c r="B1863" s="5" t="str">
        <f t="shared" si="29"/>
        <v>2020 q4</v>
      </c>
      <c r="C1863" s="7">
        <v>5.6811999999999996</v>
      </c>
      <c r="D1863" s="7">
        <v>5.7259000000000002</v>
      </c>
      <c r="E1863" s="7">
        <v>5.8181000000000003</v>
      </c>
      <c r="F1863" s="7">
        <v>5.9542000000000002</v>
      </c>
      <c r="G1863" s="7">
        <v>6.0869999999999997</v>
      </c>
      <c r="H1863" s="7">
        <v>6.2103999999999999</v>
      </c>
      <c r="I1863" s="7">
        <v>6.6680999999999999</v>
      </c>
      <c r="J1863" s="7">
        <v>7.0669000000000004</v>
      </c>
      <c r="K1863" s="7">
        <v>7.4114000000000004</v>
      </c>
      <c r="L1863" s="7">
        <v>7.6749999999999998</v>
      </c>
      <c r="M1863" s="7">
        <v>8.1265000000000001</v>
      </c>
      <c r="N1863" s="7">
        <v>8.6769999999999996</v>
      </c>
      <c r="O1863" s="7">
        <v>9.2392000000000003</v>
      </c>
      <c r="P1863" s="7">
        <v>9.5131999999999994</v>
      </c>
      <c r="Q1863" s="7">
        <v>9.9379000000000008</v>
      </c>
    </row>
    <row r="1864" spans="1:17">
      <c r="A1864" s="5">
        <v>44180</v>
      </c>
      <c r="B1864" s="5" t="str">
        <f t="shared" si="29"/>
        <v>2020 q4</v>
      </c>
      <c r="C1864" s="7">
        <v>5.8505000000000003</v>
      </c>
      <c r="D1864" s="7">
        <v>5.8910999999999998</v>
      </c>
      <c r="E1864" s="7">
        <v>5.9751000000000003</v>
      </c>
      <c r="F1864" s="7">
        <v>6.0978000000000003</v>
      </c>
      <c r="G1864" s="7">
        <v>6.2163000000000004</v>
      </c>
      <c r="H1864" s="7">
        <v>6.3348000000000004</v>
      </c>
      <c r="I1864" s="7">
        <v>6.7465000000000002</v>
      </c>
      <c r="J1864" s="7">
        <v>7.1071999999999997</v>
      </c>
      <c r="K1864" s="7">
        <v>7.4180000000000001</v>
      </c>
      <c r="L1864" s="7">
        <v>7.6546000000000003</v>
      </c>
      <c r="M1864" s="7">
        <v>8.0601000000000003</v>
      </c>
      <c r="N1864" s="7">
        <v>8.5527999999999995</v>
      </c>
      <c r="O1864" s="7">
        <v>9.0533000000000001</v>
      </c>
      <c r="P1864" s="7">
        <v>9.3148999999999997</v>
      </c>
      <c r="Q1864" s="7">
        <v>9.6707999999999998</v>
      </c>
    </row>
    <row r="1865" spans="1:17">
      <c r="A1865" s="5">
        <v>44181</v>
      </c>
      <c r="B1865" s="5" t="str">
        <f t="shared" si="29"/>
        <v>2020 q4</v>
      </c>
      <c r="C1865" s="7">
        <v>5.8181000000000003</v>
      </c>
      <c r="D1865" s="7">
        <v>5.8628999999999998</v>
      </c>
      <c r="E1865" s="7">
        <v>5.9553000000000003</v>
      </c>
      <c r="F1865" s="7">
        <v>6.0896999999999997</v>
      </c>
      <c r="G1865" s="7">
        <v>6.2191000000000001</v>
      </c>
      <c r="H1865" s="7">
        <v>6.3482000000000003</v>
      </c>
      <c r="I1865" s="7">
        <v>6.7889999999999997</v>
      </c>
      <c r="J1865" s="7">
        <v>7.1685999999999996</v>
      </c>
      <c r="K1865" s="7">
        <v>7.4896000000000003</v>
      </c>
      <c r="L1865" s="7">
        <v>7.7266000000000004</v>
      </c>
      <c r="M1865" s="7">
        <v>8.1254000000000008</v>
      </c>
      <c r="N1865" s="7">
        <v>8.6024999999999991</v>
      </c>
      <c r="O1865" s="7">
        <v>9.0629000000000008</v>
      </c>
      <c r="P1865" s="7">
        <v>9.2957000000000001</v>
      </c>
      <c r="Q1865" s="7">
        <v>9.6051000000000002</v>
      </c>
    </row>
    <row r="1866" spans="1:17">
      <c r="A1866" s="5">
        <v>44182</v>
      </c>
      <c r="B1866" s="5" t="str">
        <f t="shared" si="29"/>
        <v>2020 q4</v>
      </c>
      <c r="C1866" s="7">
        <v>5.8936000000000002</v>
      </c>
      <c r="D1866" s="7">
        <v>5.9109999999999996</v>
      </c>
      <c r="E1866" s="7">
        <v>5.9466999999999999</v>
      </c>
      <c r="F1866" s="7">
        <v>6.0353000000000003</v>
      </c>
      <c r="G1866" s="7">
        <v>6.1623000000000001</v>
      </c>
      <c r="H1866" s="7">
        <v>6.2906000000000004</v>
      </c>
      <c r="I1866" s="7">
        <v>6.9447999999999999</v>
      </c>
      <c r="J1866" s="7">
        <v>7.4593999999999996</v>
      </c>
      <c r="K1866" s="7">
        <v>7.8964999999999996</v>
      </c>
      <c r="L1866" s="7">
        <v>8.1625999999999994</v>
      </c>
      <c r="M1866" s="7">
        <v>8.4956999999999994</v>
      </c>
      <c r="N1866" s="7">
        <v>8.8615999999999993</v>
      </c>
      <c r="O1866" s="7">
        <v>9.1034000000000006</v>
      </c>
      <c r="P1866" s="7">
        <v>9.2047000000000008</v>
      </c>
      <c r="Q1866" s="7">
        <v>9.3483999999999998</v>
      </c>
    </row>
    <row r="1867" spans="1:17">
      <c r="A1867" s="5">
        <v>44183</v>
      </c>
      <c r="B1867" s="5" t="str">
        <f t="shared" si="29"/>
        <v>2020 q4</v>
      </c>
      <c r="C1867" s="7">
        <v>5.9020999999999999</v>
      </c>
      <c r="D1867" s="7">
        <v>5.9172000000000002</v>
      </c>
      <c r="E1867" s="7">
        <v>5.9482999999999997</v>
      </c>
      <c r="F1867" s="7">
        <v>6.0335000000000001</v>
      </c>
      <c r="G1867" s="7">
        <v>6.1593</v>
      </c>
      <c r="H1867" s="7">
        <v>6.2870999999999997</v>
      </c>
      <c r="I1867" s="7">
        <v>6.9558</v>
      </c>
      <c r="J1867" s="7">
        <v>7.4844999999999997</v>
      </c>
      <c r="K1867" s="7">
        <v>7.9351000000000003</v>
      </c>
      <c r="L1867" s="7">
        <v>8.2088999999999999</v>
      </c>
      <c r="M1867" s="7">
        <v>8.5527999999999995</v>
      </c>
      <c r="N1867" s="7">
        <v>8.9300999999999995</v>
      </c>
      <c r="O1867" s="7">
        <v>9.1796000000000006</v>
      </c>
      <c r="P1867" s="7">
        <v>9.2840000000000007</v>
      </c>
      <c r="Q1867" s="7">
        <v>9.4321999999999999</v>
      </c>
    </row>
    <row r="1868" spans="1:17">
      <c r="A1868" s="5">
        <v>44186</v>
      </c>
      <c r="B1868" s="5" t="str">
        <f t="shared" si="29"/>
        <v>2020 q4</v>
      </c>
      <c r="C1868" s="7">
        <v>5.883</v>
      </c>
      <c r="D1868" s="7">
        <v>5.9036</v>
      </c>
      <c r="E1868" s="7">
        <v>5.9462000000000002</v>
      </c>
      <c r="F1868" s="7">
        <v>6.0444000000000004</v>
      </c>
      <c r="G1868" s="7">
        <v>6.1775000000000002</v>
      </c>
      <c r="H1868" s="7">
        <v>6.3125</v>
      </c>
      <c r="I1868" s="7">
        <v>6.9781000000000004</v>
      </c>
      <c r="J1868" s="7">
        <v>7.5008999999999997</v>
      </c>
      <c r="K1868" s="7">
        <v>7.9466999999999999</v>
      </c>
      <c r="L1868" s="7">
        <v>8.2174999999999994</v>
      </c>
      <c r="M1868" s="7">
        <v>8.5602</v>
      </c>
      <c r="N1868" s="7">
        <v>8.9360999999999997</v>
      </c>
      <c r="O1868" s="7">
        <v>9.1853999999999996</v>
      </c>
      <c r="P1868" s="7">
        <v>9.2896999999999998</v>
      </c>
      <c r="Q1868" s="7">
        <v>9.4377999999999993</v>
      </c>
    </row>
    <row r="1869" spans="1:17">
      <c r="A1869" s="5">
        <v>44187</v>
      </c>
      <c r="B1869" s="5" t="str">
        <f t="shared" si="29"/>
        <v>2020 q4</v>
      </c>
      <c r="C1869" s="7">
        <v>5.7198000000000002</v>
      </c>
      <c r="D1869" s="7">
        <v>5.7836999999999996</v>
      </c>
      <c r="E1869" s="7">
        <v>5.9157999999999999</v>
      </c>
      <c r="F1869" s="7">
        <v>6.1035000000000004</v>
      </c>
      <c r="G1869" s="7">
        <v>6.2820999999999998</v>
      </c>
      <c r="H1869" s="7">
        <v>6.4588000000000001</v>
      </c>
      <c r="I1869" s="7">
        <v>7.0210999999999997</v>
      </c>
      <c r="J1869" s="7">
        <v>7.4448999999999996</v>
      </c>
      <c r="K1869" s="7">
        <v>7.8121</v>
      </c>
      <c r="L1869" s="7">
        <v>8.0617000000000001</v>
      </c>
      <c r="M1869" s="7">
        <v>8.4318000000000008</v>
      </c>
      <c r="N1869" s="7">
        <v>8.8835999999999995</v>
      </c>
      <c r="O1869" s="7">
        <v>9.2100000000000009</v>
      </c>
      <c r="P1869" s="7">
        <v>9.3605</v>
      </c>
      <c r="Q1869" s="7">
        <v>9.5640000000000001</v>
      </c>
    </row>
    <row r="1870" spans="1:17">
      <c r="A1870" s="5">
        <v>44188</v>
      </c>
      <c r="B1870" s="5" t="str">
        <f t="shared" si="29"/>
        <v>2020 q4</v>
      </c>
      <c r="C1870" s="7">
        <v>5.7203999999999997</v>
      </c>
      <c r="D1870" s="7">
        <v>5.7850999999999999</v>
      </c>
      <c r="E1870" s="7">
        <v>5.9184999999999999</v>
      </c>
      <c r="F1870" s="7">
        <v>6.1081000000000003</v>
      </c>
      <c r="G1870" s="7">
        <v>6.2887000000000004</v>
      </c>
      <c r="H1870" s="7">
        <v>6.4672000000000001</v>
      </c>
      <c r="I1870" s="7">
        <v>7.0362999999999998</v>
      </c>
      <c r="J1870" s="7">
        <v>7.4654999999999996</v>
      </c>
      <c r="K1870" s="7">
        <v>7.8380999999999998</v>
      </c>
      <c r="L1870" s="7">
        <v>8.0912000000000006</v>
      </c>
      <c r="M1870" s="7">
        <v>8.4678000000000004</v>
      </c>
      <c r="N1870" s="7">
        <v>8.8973999999999993</v>
      </c>
      <c r="O1870" s="7">
        <v>9.2497000000000007</v>
      </c>
      <c r="P1870" s="7">
        <v>9.4016999999999999</v>
      </c>
      <c r="Q1870" s="7">
        <v>9.6234000000000002</v>
      </c>
    </row>
    <row r="1871" spans="1:17">
      <c r="A1871" s="5">
        <v>44189</v>
      </c>
      <c r="B1871" s="5" t="str">
        <f t="shared" si="29"/>
        <v>2020 q4</v>
      </c>
      <c r="C1871" s="7">
        <v>5.7523</v>
      </c>
      <c r="D1871" s="7">
        <v>5.8127000000000004</v>
      </c>
      <c r="E1871" s="7">
        <v>5.9374000000000002</v>
      </c>
      <c r="F1871" s="7">
        <v>6.1155999999999997</v>
      </c>
      <c r="G1871" s="7">
        <v>6.2866999999999997</v>
      </c>
      <c r="H1871" s="7">
        <v>6.4558</v>
      </c>
      <c r="I1871" s="7">
        <v>7.0110999999999999</v>
      </c>
      <c r="J1871" s="7">
        <v>7.4438000000000004</v>
      </c>
      <c r="K1871" s="7">
        <v>7.8268000000000004</v>
      </c>
      <c r="L1871" s="7">
        <v>8.0957000000000008</v>
      </c>
      <c r="M1871" s="7">
        <v>8.5109999999999992</v>
      </c>
      <c r="N1871" s="7">
        <v>9.0251000000000001</v>
      </c>
      <c r="O1871" s="7">
        <v>9.4216999999999995</v>
      </c>
      <c r="P1871" s="7">
        <v>9.5935000000000006</v>
      </c>
      <c r="Q1871" s="7">
        <v>9.8658999999999999</v>
      </c>
    </row>
    <row r="1872" spans="1:17">
      <c r="A1872" s="5">
        <v>44190</v>
      </c>
      <c r="B1872" s="5" t="str">
        <f t="shared" si="29"/>
        <v>2020 q4</v>
      </c>
      <c r="C1872" s="7">
        <v>5.7175000000000002</v>
      </c>
      <c r="D1872" s="7">
        <v>5.7828999999999997</v>
      </c>
      <c r="E1872" s="7">
        <v>5.9180000000000001</v>
      </c>
      <c r="F1872" s="7">
        <v>6.1094999999999997</v>
      </c>
      <c r="G1872" s="7">
        <v>6.2925000000000004</v>
      </c>
      <c r="H1872" s="7">
        <v>6.4728000000000003</v>
      </c>
      <c r="I1872" s="7">
        <v>7.05</v>
      </c>
      <c r="J1872" s="7">
        <v>7.4858000000000002</v>
      </c>
      <c r="K1872" s="7">
        <v>7.8654000000000002</v>
      </c>
      <c r="L1872" s="7">
        <v>8.1227999999999998</v>
      </c>
      <c r="M1872" s="7">
        <v>8.5082000000000004</v>
      </c>
      <c r="N1872" s="7">
        <v>8.9474999999999998</v>
      </c>
      <c r="O1872" s="7">
        <v>9.3095999999999997</v>
      </c>
      <c r="P1872" s="7">
        <v>9.4786999999999999</v>
      </c>
      <c r="Q1872" s="7">
        <v>9.6926000000000005</v>
      </c>
    </row>
    <row r="1873" spans="1:17">
      <c r="A1873" s="5">
        <v>44193</v>
      </c>
      <c r="B1873" s="5" t="str">
        <f t="shared" si="29"/>
        <v>2020 q4</v>
      </c>
      <c r="C1873" s="7">
        <v>5.8311000000000002</v>
      </c>
      <c r="D1873" s="7">
        <v>5.8691000000000004</v>
      </c>
      <c r="E1873" s="7">
        <v>5.9476000000000004</v>
      </c>
      <c r="F1873" s="7">
        <v>6.0902000000000003</v>
      </c>
      <c r="G1873" s="7">
        <v>6.2510000000000003</v>
      </c>
      <c r="H1873" s="7">
        <v>6.4142000000000001</v>
      </c>
      <c r="I1873" s="7">
        <v>7.0907</v>
      </c>
      <c r="J1873" s="7">
        <v>7.5995999999999997</v>
      </c>
      <c r="K1873" s="7">
        <v>8.0314999999999994</v>
      </c>
      <c r="L1873" s="7">
        <v>8.2886000000000006</v>
      </c>
      <c r="M1873" s="7">
        <v>8.6196999999999999</v>
      </c>
      <c r="N1873" s="7">
        <v>8.9808000000000003</v>
      </c>
      <c r="O1873" s="7">
        <v>9.2219999999999995</v>
      </c>
      <c r="P1873" s="7">
        <v>9.3363999999999994</v>
      </c>
      <c r="Q1873" s="7">
        <v>9.4642999999999997</v>
      </c>
    </row>
    <row r="1874" spans="1:17">
      <c r="A1874" s="5">
        <v>44194</v>
      </c>
      <c r="B1874" s="5" t="str">
        <f t="shared" si="29"/>
        <v>2020 q4</v>
      </c>
      <c r="C1874" s="7">
        <v>5.9653999999999998</v>
      </c>
      <c r="D1874" s="7">
        <v>6.0016999999999996</v>
      </c>
      <c r="E1874" s="7">
        <v>6.0766</v>
      </c>
      <c r="F1874" s="7">
        <v>6.2088000000000001</v>
      </c>
      <c r="G1874" s="7">
        <v>6.3537999999999997</v>
      </c>
      <c r="H1874" s="7">
        <v>6.5004999999999997</v>
      </c>
      <c r="I1874" s="7">
        <v>7.0994000000000002</v>
      </c>
      <c r="J1874" s="7">
        <v>7.5747</v>
      </c>
      <c r="K1874" s="7">
        <v>7.9939999999999998</v>
      </c>
      <c r="L1874" s="7">
        <v>8.2544000000000004</v>
      </c>
      <c r="M1874" s="7">
        <v>8.6151</v>
      </c>
      <c r="N1874" s="7">
        <v>9.0104000000000006</v>
      </c>
      <c r="O1874" s="7">
        <v>9.2866999999999997</v>
      </c>
      <c r="P1874" s="7">
        <v>9.4107000000000003</v>
      </c>
      <c r="Q1874" s="7">
        <v>9.5643999999999991</v>
      </c>
    </row>
    <row r="1875" spans="1:17">
      <c r="A1875" s="5">
        <v>44195</v>
      </c>
      <c r="B1875" s="5" t="str">
        <f t="shared" si="29"/>
        <v>2020 q4</v>
      </c>
      <c r="C1875" s="7">
        <v>6.0334000000000003</v>
      </c>
      <c r="D1875" s="7">
        <v>6.0349000000000004</v>
      </c>
      <c r="E1875" s="7">
        <v>6.0378999999999996</v>
      </c>
      <c r="F1875" s="7">
        <v>6.1356000000000002</v>
      </c>
      <c r="G1875" s="7">
        <v>6.2904999999999998</v>
      </c>
      <c r="H1875" s="7">
        <v>6.4542000000000002</v>
      </c>
      <c r="I1875" s="7">
        <v>7.2217000000000002</v>
      </c>
      <c r="J1875" s="7">
        <v>7.7602000000000002</v>
      </c>
      <c r="K1875" s="7">
        <v>8.1971000000000007</v>
      </c>
      <c r="L1875" s="7">
        <v>8.4986999999999995</v>
      </c>
      <c r="M1875" s="7">
        <v>8.8251000000000008</v>
      </c>
      <c r="N1875" s="7">
        <v>9.0470000000000006</v>
      </c>
      <c r="O1875" s="7">
        <v>9.2510999999999992</v>
      </c>
      <c r="P1875" s="7">
        <v>9.3423999999999996</v>
      </c>
      <c r="Q1875" s="7">
        <v>9.4555000000000007</v>
      </c>
    </row>
    <row r="1876" spans="1:17">
      <c r="A1876" s="5">
        <v>44204</v>
      </c>
      <c r="B1876" s="5" t="str">
        <f t="shared" si="29"/>
        <v>2021 q1</v>
      </c>
      <c r="C1876" s="7">
        <v>5.9648000000000003</v>
      </c>
      <c r="D1876" s="7">
        <v>6.0025000000000004</v>
      </c>
      <c r="E1876" s="7">
        <v>6.0804999999999998</v>
      </c>
      <c r="F1876" s="7">
        <v>6.2150999999999996</v>
      </c>
      <c r="G1876" s="7">
        <v>6.3601000000000001</v>
      </c>
      <c r="H1876" s="7">
        <v>6.5068000000000001</v>
      </c>
      <c r="I1876" s="7">
        <v>7.0998000000000001</v>
      </c>
      <c r="J1876" s="7">
        <v>7.5743</v>
      </c>
      <c r="K1876" s="7">
        <v>7.9965000000000002</v>
      </c>
      <c r="L1876" s="7">
        <v>8.2860999999999994</v>
      </c>
      <c r="M1876" s="7">
        <v>8.7352000000000007</v>
      </c>
      <c r="N1876" s="7">
        <v>9.0433000000000003</v>
      </c>
      <c r="O1876" s="7">
        <v>9.3335000000000008</v>
      </c>
      <c r="P1876" s="7">
        <v>9.4536999999999995</v>
      </c>
      <c r="Q1876" s="7">
        <v>9.6264000000000003</v>
      </c>
    </row>
    <row r="1877" spans="1:17">
      <c r="A1877" s="5">
        <v>44207</v>
      </c>
      <c r="B1877" s="5" t="str">
        <f t="shared" si="29"/>
        <v>2021 q1</v>
      </c>
      <c r="C1877" s="7">
        <v>6.1323999999999996</v>
      </c>
      <c r="D1877" s="7">
        <v>6.1421000000000001</v>
      </c>
      <c r="E1877" s="7">
        <v>6.1620999999999997</v>
      </c>
      <c r="F1877" s="7">
        <v>6.242</v>
      </c>
      <c r="G1877" s="7">
        <v>6.3404999999999996</v>
      </c>
      <c r="H1877" s="7">
        <v>6.4519000000000002</v>
      </c>
      <c r="I1877" s="7">
        <v>7.0561999999999996</v>
      </c>
      <c r="J1877" s="7">
        <v>7.5789</v>
      </c>
      <c r="K1877" s="7">
        <v>8.06</v>
      </c>
      <c r="L1877" s="7">
        <v>8.3537999999999997</v>
      </c>
      <c r="M1877" s="7">
        <v>8.7771000000000008</v>
      </c>
      <c r="N1877" s="7">
        <v>9.2362000000000002</v>
      </c>
      <c r="O1877" s="7">
        <v>9.5587999999999997</v>
      </c>
      <c r="P1877" s="7">
        <v>9.6910000000000007</v>
      </c>
      <c r="Q1877" s="7">
        <v>9.8821999999999992</v>
      </c>
    </row>
    <row r="1878" spans="1:17">
      <c r="A1878" s="5">
        <v>44208</v>
      </c>
      <c r="B1878" s="5" t="str">
        <f t="shared" si="29"/>
        <v>2021 q1</v>
      </c>
      <c r="C1878" s="7">
        <v>6.1269999999999998</v>
      </c>
      <c r="D1878" s="7">
        <v>6.1394000000000002</v>
      </c>
      <c r="E1878" s="7">
        <v>6.1650999999999998</v>
      </c>
      <c r="F1878" s="7">
        <v>6.2565</v>
      </c>
      <c r="G1878" s="7">
        <v>6.3644999999999996</v>
      </c>
      <c r="H1878" s="7">
        <v>6.4866999999999999</v>
      </c>
      <c r="I1878" s="7">
        <v>7.1226000000000003</v>
      </c>
      <c r="J1878" s="7">
        <v>7.6620999999999997</v>
      </c>
      <c r="K1878" s="7">
        <v>8.1568000000000005</v>
      </c>
      <c r="L1878" s="7">
        <v>8.4541000000000004</v>
      </c>
      <c r="M1878" s="7">
        <v>8.8820999999999994</v>
      </c>
      <c r="N1878" s="7">
        <v>9.3445999999999998</v>
      </c>
      <c r="O1878" s="7">
        <v>9.6684000000000001</v>
      </c>
      <c r="P1878" s="7">
        <v>9.8005999999999993</v>
      </c>
      <c r="Q1878" s="7">
        <v>9.9923999999999999</v>
      </c>
    </row>
    <row r="1879" spans="1:17">
      <c r="A1879" s="5">
        <v>44209</v>
      </c>
      <c r="B1879" s="5" t="str">
        <f t="shared" si="29"/>
        <v>2021 q1</v>
      </c>
      <c r="C1879" s="7">
        <v>6.0579000000000001</v>
      </c>
      <c r="D1879" s="7">
        <v>6.0955000000000004</v>
      </c>
      <c r="E1879" s="7">
        <v>6.1733000000000002</v>
      </c>
      <c r="F1879" s="7">
        <v>6.3086000000000002</v>
      </c>
      <c r="G1879" s="7">
        <v>6.4494999999999996</v>
      </c>
      <c r="H1879" s="7">
        <v>6.5945999999999998</v>
      </c>
      <c r="I1879" s="7">
        <v>7.1962000000000002</v>
      </c>
      <c r="J1879" s="7">
        <v>7.6920999999999999</v>
      </c>
      <c r="K1879" s="7">
        <v>8.1462000000000003</v>
      </c>
      <c r="L1879" s="7">
        <v>8.4297000000000004</v>
      </c>
      <c r="M1879" s="7">
        <v>8.8544</v>
      </c>
      <c r="N1879" s="7">
        <v>9.3173999999999992</v>
      </c>
      <c r="O1879" s="7">
        <v>9.6571999999999996</v>
      </c>
      <c r="P1879" s="7">
        <v>9.8079999999999998</v>
      </c>
      <c r="Q1879" s="7">
        <v>9.9969000000000001</v>
      </c>
    </row>
    <row r="1880" spans="1:17">
      <c r="A1880" s="5">
        <v>44210</v>
      </c>
      <c r="B1880" s="5" t="str">
        <f t="shared" si="29"/>
        <v>2021 q1</v>
      </c>
      <c r="C1880" s="7">
        <v>5.9408000000000003</v>
      </c>
      <c r="D1880" s="7">
        <v>6.0000999999999998</v>
      </c>
      <c r="E1880" s="7">
        <v>6.1224999999999996</v>
      </c>
      <c r="F1880" s="7">
        <v>6.2980999999999998</v>
      </c>
      <c r="G1880" s="7">
        <v>6.4714999999999998</v>
      </c>
      <c r="H1880" s="7">
        <v>6.6406999999999998</v>
      </c>
      <c r="I1880" s="7">
        <v>7.2398999999999996</v>
      </c>
      <c r="J1880" s="7">
        <v>7.7352999999999996</v>
      </c>
      <c r="K1880" s="7">
        <v>8.1956000000000007</v>
      </c>
      <c r="L1880" s="7">
        <v>8.5200999999999993</v>
      </c>
      <c r="M1880" s="7">
        <v>9.0573999999999995</v>
      </c>
      <c r="N1880" s="7">
        <v>9.7032000000000007</v>
      </c>
      <c r="O1880" s="7">
        <v>10.0267</v>
      </c>
      <c r="P1880" s="7">
        <v>9.9246999999999996</v>
      </c>
      <c r="Q1880" s="7">
        <v>9.4915000000000003</v>
      </c>
    </row>
    <row r="1881" spans="1:17">
      <c r="A1881" s="5">
        <v>44211</v>
      </c>
      <c r="B1881" s="5" t="str">
        <f t="shared" si="29"/>
        <v>2021 q1</v>
      </c>
      <c r="C1881" s="7">
        <v>5.9393000000000002</v>
      </c>
      <c r="D1881" s="7">
        <v>5.9984999999999999</v>
      </c>
      <c r="E1881" s="7">
        <v>6.1205999999999996</v>
      </c>
      <c r="F1881" s="7">
        <v>6.2957000000000001</v>
      </c>
      <c r="G1881" s="7">
        <v>6.4687000000000001</v>
      </c>
      <c r="H1881" s="7">
        <v>6.6374000000000004</v>
      </c>
      <c r="I1881" s="7">
        <v>7.2354000000000003</v>
      </c>
      <c r="J1881" s="7">
        <v>7.7298</v>
      </c>
      <c r="K1881" s="7">
        <v>8.1897000000000002</v>
      </c>
      <c r="L1881" s="7">
        <v>8.5136000000000003</v>
      </c>
      <c r="M1881" s="7">
        <v>9.0510000000000002</v>
      </c>
      <c r="N1881" s="7">
        <v>9.6968999999999994</v>
      </c>
      <c r="O1881" s="7">
        <v>10.0212</v>
      </c>
      <c r="P1881" s="7">
        <v>9.9185999999999996</v>
      </c>
      <c r="Q1881" s="7">
        <v>9.4831000000000003</v>
      </c>
    </row>
    <row r="1882" spans="1:17">
      <c r="A1882" s="5">
        <v>44214</v>
      </c>
      <c r="B1882" s="5" t="str">
        <f t="shared" si="29"/>
        <v>2021 q1</v>
      </c>
      <c r="C1882" s="7">
        <v>5.9931999999999999</v>
      </c>
      <c r="D1882" s="7">
        <v>6.0495999999999999</v>
      </c>
      <c r="E1882" s="7">
        <v>6.1661000000000001</v>
      </c>
      <c r="F1882" s="7">
        <v>6.3327</v>
      </c>
      <c r="G1882" s="7">
        <v>6.4973999999999998</v>
      </c>
      <c r="H1882" s="7">
        <v>6.6577000000000002</v>
      </c>
      <c r="I1882" s="7">
        <v>7.2244000000000002</v>
      </c>
      <c r="J1882" s="7">
        <v>7.6917999999999997</v>
      </c>
      <c r="K1882" s="7">
        <v>8.1265000000000001</v>
      </c>
      <c r="L1882" s="7">
        <v>8.4344999999999999</v>
      </c>
      <c r="M1882" s="7">
        <v>8.9491999999999994</v>
      </c>
      <c r="N1882" s="7">
        <v>9.5144000000000002</v>
      </c>
      <c r="O1882" s="7">
        <v>9.9491999999999994</v>
      </c>
      <c r="P1882" s="7">
        <v>9.9778000000000002</v>
      </c>
      <c r="Q1882" s="7">
        <v>9.8834999999999997</v>
      </c>
    </row>
    <row r="1883" spans="1:17">
      <c r="A1883" s="5">
        <v>44215</v>
      </c>
      <c r="B1883" s="5" t="str">
        <f t="shared" si="29"/>
        <v>2021 q1</v>
      </c>
      <c r="C1883" s="7">
        <v>6.0906000000000002</v>
      </c>
      <c r="D1883" s="7">
        <v>6.1412000000000004</v>
      </c>
      <c r="E1883" s="7">
        <v>6.2457000000000003</v>
      </c>
      <c r="F1883" s="7">
        <v>6.3947000000000003</v>
      </c>
      <c r="G1883" s="7">
        <v>6.5423</v>
      </c>
      <c r="H1883" s="7">
        <v>6.6897000000000002</v>
      </c>
      <c r="I1883" s="7">
        <v>7.2065999999999999</v>
      </c>
      <c r="J1883" s="7">
        <v>7.6407999999999996</v>
      </c>
      <c r="K1883" s="7">
        <v>8.0480999999999998</v>
      </c>
      <c r="L1883" s="7">
        <v>8.3841999999999999</v>
      </c>
      <c r="M1883" s="7">
        <v>8.8694000000000006</v>
      </c>
      <c r="N1883" s="7">
        <v>9.4178999999999995</v>
      </c>
      <c r="O1883" s="7">
        <v>9.8977000000000004</v>
      </c>
      <c r="P1883" s="7">
        <v>9.9825999999999997</v>
      </c>
      <c r="Q1883" s="7">
        <v>9.9116</v>
      </c>
    </row>
    <row r="1884" spans="1:17">
      <c r="A1884" s="5">
        <v>44216</v>
      </c>
      <c r="B1884" s="5" t="str">
        <f t="shared" si="29"/>
        <v>2021 q1</v>
      </c>
      <c r="C1884" s="7">
        <v>6.1028000000000002</v>
      </c>
      <c r="D1884" s="7">
        <v>6.1577000000000002</v>
      </c>
      <c r="E1884" s="7">
        <v>6.2712000000000003</v>
      </c>
      <c r="F1884" s="7">
        <v>6.4328000000000003</v>
      </c>
      <c r="G1884" s="7">
        <v>6.5928000000000004</v>
      </c>
      <c r="H1884" s="7">
        <v>6.7525000000000004</v>
      </c>
      <c r="I1884" s="7">
        <v>7.3098000000000001</v>
      </c>
      <c r="J1884" s="7">
        <v>7.7739000000000003</v>
      </c>
      <c r="K1884" s="7">
        <v>8.2081999999999997</v>
      </c>
      <c r="L1884" s="7">
        <v>8.5161999999999995</v>
      </c>
      <c r="M1884" s="7">
        <v>9.0366</v>
      </c>
      <c r="N1884" s="7">
        <v>9.6686999999999994</v>
      </c>
      <c r="O1884" s="7">
        <v>10.030200000000001</v>
      </c>
      <c r="P1884" s="7">
        <v>9.9596</v>
      </c>
      <c r="Q1884" s="7">
        <v>9.6824999999999992</v>
      </c>
    </row>
    <row r="1885" spans="1:17">
      <c r="A1885" s="5">
        <v>44217</v>
      </c>
      <c r="B1885" s="5" t="str">
        <f t="shared" si="29"/>
        <v>2021 q1</v>
      </c>
      <c r="C1885" s="7">
        <v>6.1436999999999999</v>
      </c>
      <c r="D1885" s="7">
        <v>6.1928000000000001</v>
      </c>
      <c r="E1885" s="7">
        <v>6.2942</v>
      </c>
      <c r="F1885" s="7">
        <v>6.4391999999999996</v>
      </c>
      <c r="G1885" s="7">
        <v>6.5830000000000002</v>
      </c>
      <c r="H1885" s="7">
        <v>6.7264999999999997</v>
      </c>
      <c r="I1885" s="7">
        <v>7.2340999999999998</v>
      </c>
      <c r="J1885" s="7">
        <v>7.6646000000000001</v>
      </c>
      <c r="K1885" s="7">
        <v>8.0707000000000004</v>
      </c>
      <c r="L1885" s="7">
        <v>8.4080999999999992</v>
      </c>
      <c r="M1885" s="7">
        <v>8.9047000000000001</v>
      </c>
      <c r="N1885" s="7">
        <v>9.4686000000000003</v>
      </c>
      <c r="O1885" s="7">
        <v>9.9727999999999994</v>
      </c>
      <c r="P1885" s="7">
        <v>10.049099999999999</v>
      </c>
      <c r="Q1885" s="7">
        <v>9.9311000000000007</v>
      </c>
    </row>
    <row r="1886" spans="1:17">
      <c r="A1886" s="5">
        <v>44218</v>
      </c>
      <c r="B1886" s="5" t="str">
        <f t="shared" si="29"/>
        <v>2021 q1</v>
      </c>
      <c r="C1886" s="7">
        <v>6.1108000000000002</v>
      </c>
      <c r="D1886" s="7">
        <v>6.1643999999999997</v>
      </c>
      <c r="E1886" s="7">
        <v>6.2750000000000004</v>
      </c>
      <c r="F1886" s="7">
        <v>6.4313000000000002</v>
      </c>
      <c r="G1886" s="7">
        <v>6.5861999999999998</v>
      </c>
      <c r="H1886" s="7">
        <v>6.7405999999999997</v>
      </c>
      <c r="I1886" s="7">
        <v>7.2725999999999997</v>
      </c>
      <c r="J1886" s="7">
        <v>7.7092999999999998</v>
      </c>
      <c r="K1886" s="7">
        <v>8.1161999999999992</v>
      </c>
      <c r="L1886" s="7">
        <v>8.4018999999999995</v>
      </c>
      <c r="M1886" s="7">
        <v>8.8839000000000006</v>
      </c>
      <c r="N1886" s="7">
        <v>9.4184999999999999</v>
      </c>
      <c r="O1886" s="7">
        <v>9.8582999999999998</v>
      </c>
      <c r="P1886" s="7">
        <v>9.9484999999999992</v>
      </c>
      <c r="Q1886" s="7">
        <v>10.001799999999999</v>
      </c>
    </row>
    <row r="1887" spans="1:17">
      <c r="A1887" s="5">
        <v>44221</v>
      </c>
      <c r="B1887" s="5" t="str">
        <f t="shared" si="29"/>
        <v>2021 q1</v>
      </c>
      <c r="C1887" s="7">
        <v>6.1128999999999998</v>
      </c>
      <c r="D1887" s="7">
        <v>6.1677</v>
      </c>
      <c r="E1887" s="7">
        <v>6.2808999999999999</v>
      </c>
      <c r="F1887" s="7">
        <v>6.4398999999999997</v>
      </c>
      <c r="G1887" s="7">
        <v>6.5972999999999997</v>
      </c>
      <c r="H1887" s="7">
        <v>6.7541000000000002</v>
      </c>
      <c r="I1887" s="7">
        <v>7.2877999999999998</v>
      </c>
      <c r="J1887" s="7">
        <v>7.7190000000000003</v>
      </c>
      <c r="K1887" s="7">
        <v>8.1188000000000002</v>
      </c>
      <c r="L1887" s="7">
        <v>8.3940999999999999</v>
      </c>
      <c r="M1887" s="7">
        <v>8.8542000000000005</v>
      </c>
      <c r="N1887" s="7">
        <v>9.3642000000000003</v>
      </c>
      <c r="O1887" s="7">
        <v>9.7847000000000008</v>
      </c>
      <c r="P1887" s="7">
        <v>9.9006000000000007</v>
      </c>
      <c r="Q1887" s="7">
        <v>10.022</v>
      </c>
    </row>
    <row r="1888" spans="1:17">
      <c r="A1888" s="5">
        <v>44222</v>
      </c>
      <c r="B1888" s="5" t="str">
        <f t="shared" si="29"/>
        <v>2021 q1</v>
      </c>
      <c r="C1888" s="7">
        <v>6.1641000000000004</v>
      </c>
      <c r="D1888" s="7">
        <v>6.2165999999999997</v>
      </c>
      <c r="E1888" s="7">
        <v>6.3249000000000004</v>
      </c>
      <c r="F1888" s="7">
        <v>6.4794999999999998</v>
      </c>
      <c r="G1888" s="7">
        <v>6.6333000000000002</v>
      </c>
      <c r="H1888" s="7">
        <v>6.7756999999999996</v>
      </c>
      <c r="I1888" s="7">
        <v>7.2937000000000003</v>
      </c>
      <c r="J1888" s="7">
        <v>7.7131999999999996</v>
      </c>
      <c r="K1888" s="7">
        <v>8.1043000000000003</v>
      </c>
      <c r="L1888" s="7">
        <v>8.3757000000000001</v>
      </c>
      <c r="M1888" s="7">
        <v>8.8353000000000002</v>
      </c>
      <c r="N1888" s="7">
        <v>9.3986999999999998</v>
      </c>
      <c r="O1888" s="7">
        <v>9.7942</v>
      </c>
      <c r="P1888" s="7">
        <v>9.9196000000000009</v>
      </c>
      <c r="Q1888" s="7">
        <v>10.028</v>
      </c>
    </row>
    <row r="1889" spans="1:17">
      <c r="A1889" s="5">
        <v>44223</v>
      </c>
      <c r="B1889" s="5" t="str">
        <f t="shared" si="29"/>
        <v>2021 q1</v>
      </c>
      <c r="C1889" s="7">
        <v>6.1712999999999996</v>
      </c>
      <c r="D1889" s="7">
        <v>6.2267999999999999</v>
      </c>
      <c r="E1889" s="7">
        <v>6.3414000000000001</v>
      </c>
      <c r="F1889" s="7">
        <v>6.5037000000000003</v>
      </c>
      <c r="G1889" s="7">
        <v>6.6654</v>
      </c>
      <c r="H1889" s="7">
        <v>6.8136000000000001</v>
      </c>
      <c r="I1889" s="7">
        <v>7.3475000000000001</v>
      </c>
      <c r="J1889" s="7">
        <v>7.77</v>
      </c>
      <c r="K1889" s="7">
        <v>8.1608000000000001</v>
      </c>
      <c r="L1889" s="7">
        <v>8.4222000000000001</v>
      </c>
      <c r="M1889" s="7">
        <v>8.8560999999999996</v>
      </c>
      <c r="N1889" s="7">
        <v>9.3777000000000008</v>
      </c>
      <c r="O1889" s="7">
        <v>9.7091999999999992</v>
      </c>
      <c r="P1889" s="7">
        <v>9.7891999999999992</v>
      </c>
      <c r="Q1889" s="7">
        <v>9.8745999999999992</v>
      </c>
    </row>
    <row r="1890" spans="1:17">
      <c r="A1890" s="5">
        <v>44225</v>
      </c>
      <c r="B1890" s="5" t="str">
        <f t="shared" si="29"/>
        <v>2021 q1</v>
      </c>
      <c r="C1890" s="7">
        <v>6.1844000000000001</v>
      </c>
      <c r="D1890" s="7">
        <v>6.2340999999999998</v>
      </c>
      <c r="E1890" s="7">
        <v>6.3368000000000002</v>
      </c>
      <c r="F1890" s="7">
        <v>6.4836</v>
      </c>
      <c r="G1890" s="7">
        <v>6.63</v>
      </c>
      <c r="H1890" s="7">
        <v>6.7657999999999996</v>
      </c>
      <c r="I1890" s="7">
        <v>7.2621000000000002</v>
      </c>
      <c r="J1890" s="7">
        <v>7.6661000000000001</v>
      </c>
      <c r="K1890" s="7">
        <v>8.0439000000000007</v>
      </c>
      <c r="L1890" s="7">
        <v>8.3028999999999993</v>
      </c>
      <c r="M1890" s="7">
        <v>8.7407000000000004</v>
      </c>
      <c r="N1890" s="7">
        <v>9.2658000000000005</v>
      </c>
      <c r="O1890" s="7">
        <v>9.5617000000000001</v>
      </c>
      <c r="P1890" s="7">
        <v>9.5359999999999996</v>
      </c>
      <c r="Q1890" s="7">
        <v>9.3876000000000008</v>
      </c>
    </row>
    <row r="1891" spans="1:17">
      <c r="A1891" s="5">
        <v>44228</v>
      </c>
      <c r="B1891" s="5" t="str">
        <f t="shared" si="29"/>
        <v>2021 q1</v>
      </c>
      <c r="C1891" s="7">
        <v>6.1840000000000002</v>
      </c>
      <c r="D1891" s="7">
        <v>6.2358000000000002</v>
      </c>
      <c r="E1891" s="7">
        <v>6.343</v>
      </c>
      <c r="F1891" s="7">
        <v>6.4924999999999997</v>
      </c>
      <c r="G1891" s="7">
        <v>6.6414999999999997</v>
      </c>
      <c r="H1891" s="7">
        <v>6.7751999999999999</v>
      </c>
      <c r="I1891" s="7">
        <v>7.2485999999999997</v>
      </c>
      <c r="J1891" s="7">
        <v>7.6106999999999996</v>
      </c>
      <c r="K1891" s="7">
        <v>7.9427000000000003</v>
      </c>
      <c r="L1891" s="7">
        <v>8.1611999999999991</v>
      </c>
      <c r="M1891" s="7">
        <v>8.5236000000000001</v>
      </c>
      <c r="N1891" s="7">
        <v>8.9671000000000003</v>
      </c>
      <c r="O1891" s="7">
        <v>9.3073999999999995</v>
      </c>
      <c r="P1891" s="7">
        <v>9.4693000000000005</v>
      </c>
      <c r="Q1891" s="7">
        <v>9.6920000000000002</v>
      </c>
    </row>
    <row r="1892" spans="1:17">
      <c r="A1892" s="5">
        <v>44229</v>
      </c>
      <c r="B1892" s="5" t="str">
        <f t="shared" si="29"/>
        <v>2021 q1</v>
      </c>
      <c r="C1892" s="7">
        <v>6.1719999999999997</v>
      </c>
      <c r="D1892" s="7">
        <v>6.2207999999999997</v>
      </c>
      <c r="E1892" s="7">
        <v>6.3213999999999997</v>
      </c>
      <c r="F1892" s="7">
        <v>6.4724000000000004</v>
      </c>
      <c r="G1892" s="7">
        <v>6.6105999999999998</v>
      </c>
      <c r="H1892" s="7">
        <v>6.7484999999999999</v>
      </c>
      <c r="I1892" s="7">
        <v>7.2179000000000002</v>
      </c>
      <c r="J1892" s="7">
        <v>7.5872000000000002</v>
      </c>
      <c r="K1892" s="7">
        <v>7.9294000000000002</v>
      </c>
      <c r="L1892" s="7">
        <v>8.1546000000000003</v>
      </c>
      <c r="M1892" s="7">
        <v>8.5314999999999994</v>
      </c>
      <c r="N1892" s="7">
        <v>8.9453999999999994</v>
      </c>
      <c r="O1892" s="7">
        <v>9.2871000000000006</v>
      </c>
      <c r="P1892" s="7">
        <v>9.4011999999999993</v>
      </c>
      <c r="Q1892" s="7">
        <v>9.5503</v>
      </c>
    </row>
    <row r="1893" spans="1:17">
      <c r="A1893" s="5">
        <v>44230</v>
      </c>
      <c r="B1893" s="5" t="str">
        <f t="shared" si="29"/>
        <v>2021 q1</v>
      </c>
      <c r="C1893" s="7">
        <v>6.2037000000000004</v>
      </c>
      <c r="D1893" s="7">
        <v>6.2504</v>
      </c>
      <c r="E1893" s="7">
        <v>6.3465999999999996</v>
      </c>
      <c r="F1893" s="7">
        <v>6.4909999999999997</v>
      </c>
      <c r="G1893" s="7">
        <v>6.6231</v>
      </c>
      <c r="H1893" s="7">
        <v>6.7549000000000001</v>
      </c>
      <c r="I1893" s="7">
        <v>7.2054</v>
      </c>
      <c r="J1893" s="7">
        <v>7.5633999999999997</v>
      </c>
      <c r="K1893" s="7">
        <v>7.8966000000000003</v>
      </c>
      <c r="L1893" s="7">
        <v>8.1240000000000006</v>
      </c>
      <c r="M1893" s="7">
        <v>8.5132999999999992</v>
      </c>
      <c r="N1893" s="7">
        <v>8.9590999999999994</v>
      </c>
      <c r="O1893" s="7">
        <v>9.3859999999999992</v>
      </c>
      <c r="P1893" s="7">
        <v>9.5731999999999999</v>
      </c>
      <c r="Q1893" s="7">
        <v>9.8648000000000007</v>
      </c>
    </row>
    <row r="1894" spans="1:17">
      <c r="A1894" s="5">
        <v>44231</v>
      </c>
      <c r="B1894" s="5" t="str">
        <f t="shared" si="29"/>
        <v>2021 q1</v>
      </c>
      <c r="C1894" s="7">
        <v>6.1858000000000004</v>
      </c>
      <c r="D1894" s="7">
        <v>6.2336</v>
      </c>
      <c r="E1894" s="7">
        <v>6.3323999999999998</v>
      </c>
      <c r="F1894" s="7">
        <v>6.4804000000000004</v>
      </c>
      <c r="G1894" s="7">
        <v>6.6155999999999997</v>
      </c>
      <c r="H1894" s="7">
        <v>6.7504999999999997</v>
      </c>
      <c r="I1894" s="7">
        <v>7.2096</v>
      </c>
      <c r="J1894" s="7">
        <v>7.5721999999999996</v>
      </c>
      <c r="K1894" s="7">
        <v>7.9093999999999998</v>
      </c>
      <c r="L1894" s="7">
        <v>8.1373999999999995</v>
      </c>
      <c r="M1894" s="7">
        <v>8.5266000000000002</v>
      </c>
      <c r="N1894" s="7">
        <v>8.9705999999999992</v>
      </c>
      <c r="O1894" s="7">
        <v>9.3912999999999993</v>
      </c>
      <c r="P1894" s="7">
        <v>9.5909999999999993</v>
      </c>
      <c r="Q1894" s="7">
        <v>9.8562999999999992</v>
      </c>
    </row>
    <row r="1895" spans="1:17">
      <c r="A1895" s="5">
        <v>44232</v>
      </c>
      <c r="B1895" s="5" t="str">
        <f t="shared" si="29"/>
        <v>2021 q1</v>
      </c>
      <c r="C1895" s="7">
        <v>6.1618000000000004</v>
      </c>
      <c r="D1895" s="7">
        <v>6.2118000000000002</v>
      </c>
      <c r="E1895" s="7">
        <v>6.3150000000000004</v>
      </c>
      <c r="F1895" s="7">
        <v>6.4695999999999998</v>
      </c>
      <c r="G1895" s="7">
        <v>6.6104000000000003</v>
      </c>
      <c r="H1895" s="7">
        <v>6.7507999999999999</v>
      </c>
      <c r="I1895" s="7">
        <v>7.2263999999999999</v>
      </c>
      <c r="J1895" s="7">
        <v>7.5991</v>
      </c>
      <c r="K1895" s="7">
        <v>7.9450000000000003</v>
      </c>
      <c r="L1895" s="7">
        <v>8.1760999999999999</v>
      </c>
      <c r="M1895" s="7">
        <v>8.5693999999999999</v>
      </c>
      <c r="N1895" s="7">
        <v>9.0542999999999996</v>
      </c>
      <c r="O1895" s="7">
        <v>9.4418000000000006</v>
      </c>
      <c r="P1895" s="7">
        <v>9.6129999999999995</v>
      </c>
      <c r="Q1895" s="7">
        <v>9.8920999999999992</v>
      </c>
    </row>
    <row r="1896" spans="1:17">
      <c r="A1896" s="5">
        <v>44235</v>
      </c>
      <c r="B1896" s="5" t="str">
        <f t="shared" si="29"/>
        <v>2021 q1</v>
      </c>
      <c r="C1896" s="7">
        <v>6.1826999999999996</v>
      </c>
      <c r="D1896" s="7">
        <v>6.2313000000000001</v>
      </c>
      <c r="E1896" s="7">
        <v>6.3316999999999997</v>
      </c>
      <c r="F1896" s="7">
        <v>6.4819000000000004</v>
      </c>
      <c r="G1896" s="7">
        <v>6.6189999999999998</v>
      </c>
      <c r="H1896" s="7">
        <v>6.7553999999999998</v>
      </c>
      <c r="I1896" s="7">
        <v>7.2182000000000004</v>
      </c>
      <c r="J1896" s="7">
        <v>7.5808999999999997</v>
      </c>
      <c r="K1896" s="7">
        <v>7.9180000000000001</v>
      </c>
      <c r="L1896" s="7">
        <v>8.1428999999999991</v>
      </c>
      <c r="M1896" s="7">
        <v>8.5266000000000002</v>
      </c>
      <c r="N1896" s="7">
        <v>8.9619</v>
      </c>
      <c r="O1896" s="7">
        <v>9.3696000000000002</v>
      </c>
      <c r="P1896" s="7">
        <v>9.5456000000000003</v>
      </c>
      <c r="Q1896" s="7">
        <v>9.8186</v>
      </c>
    </row>
    <row r="1897" spans="1:17">
      <c r="A1897" s="5">
        <v>44236</v>
      </c>
      <c r="B1897" s="5" t="str">
        <f t="shared" si="29"/>
        <v>2021 q1</v>
      </c>
      <c r="C1897" s="7">
        <v>6.1848000000000001</v>
      </c>
      <c r="D1897" s="7">
        <v>6.2333999999999996</v>
      </c>
      <c r="E1897" s="7">
        <v>6.3335999999999997</v>
      </c>
      <c r="F1897" s="7">
        <v>6.4831000000000003</v>
      </c>
      <c r="G1897" s="7">
        <v>6.62</v>
      </c>
      <c r="H1897" s="7">
        <v>6.7560000000000002</v>
      </c>
      <c r="I1897" s="7">
        <v>7.218</v>
      </c>
      <c r="J1897" s="7">
        <v>7.5799000000000003</v>
      </c>
      <c r="K1897" s="7">
        <v>7.9172000000000002</v>
      </c>
      <c r="L1897" s="7">
        <v>8.1414000000000009</v>
      </c>
      <c r="M1897" s="7">
        <v>8.5259999999999998</v>
      </c>
      <c r="N1897" s="7">
        <v>8.9617000000000004</v>
      </c>
      <c r="O1897" s="7">
        <v>9.3712999999999997</v>
      </c>
      <c r="P1897" s="7">
        <v>9.5477000000000007</v>
      </c>
      <c r="Q1897" s="7">
        <v>9.8223000000000003</v>
      </c>
    </row>
    <row r="1898" spans="1:17">
      <c r="A1898" s="5">
        <v>44237</v>
      </c>
      <c r="B1898" s="5" t="str">
        <f t="shared" si="29"/>
        <v>2021 q1</v>
      </c>
      <c r="C1898" s="7">
        <v>6.1497000000000002</v>
      </c>
      <c r="D1898" s="7">
        <v>6.2046999999999999</v>
      </c>
      <c r="E1898" s="7">
        <v>6.3182999999999998</v>
      </c>
      <c r="F1898" s="7">
        <v>6.4873000000000003</v>
      </c>
      <c r="G1898" s="7">
        <v>6.6393000000000004</v>
      </c>
      <c r="H1898" s="7">
        <v>6.7899000000000003</v>
      </c>
      <c r="I1898" s="7">
        <v>7.2850999999999999</v>
      </c>
      <c r="J1898" s="7">
        <v>7.6551</v>
      </c>
      <c r="K1898" s="7">
        <v>7.9950999999999999</v>
      </c>
      <c r="L1898" s="7">
        <v>8.2070000000000007</v>
      </c>
      <c r="M1898" s="7">
        <v>8.5597999999999992</v>
      </c>
      <c r="N1898" s="7">
        <v>8.9495000000000005</v>
      </c>
      <c r="O1898" s="7">
        <v>9.2876999999999992</v>
      </c>
      <c r="P1898" s="7">
        <v>9.4278999999999993</v>
      </c>
      <c r="Q1898" s="7">
        <v>9.6418999999999997</v>
      </c>
    </row>
    <row r="1899" spans="1:17">
      <c r="A1899" s="5">
        <v>44238</v>
      </c>
      <c r="B1899" s="5" t="str">
        <f t="shared" si="29"/>
        <v>2021 q1</v>
      </c>
      <c r="C1899" s="7">
        <v>6.1763000000000003</v>
      </c>
      <c r="D1899" s="7">
        <v>6.2283999999999997</v>
      </c>
      <c r="E1899" s="7">
        <v>6.3361000000000001</v>
      </c>
      <c r="F1899" s="7">
        <v>6.4962</v>
      </c>
      <c r="G1899" s="7">
        <v>6.641</v>
      </c>
      <c r="H1899" s="7">
        <v>6.7845000000000004</v>
      </c>
      <c r="I1899" s="7">
        <v>7.2606000000000002</v>
      </c>
      <c r="J1899" s="7">
        <v>7.6205999999999996</v>
      </c>
      <c r="K1899" s="7">
        <v>7.9530000000000003</v>
      </c>
      <c r="L1899" s="7">
        <v>8.1983999999999995</v>
      </c>
      <c r="M1899" s="7">
        <v>8.5327999999999999</v>
      </c>
      <c r="N1899" s="7">
        <v>8.9087999999999994</v>
      </c>
      <c r="O1899" s="7">
        <v>9.2563999999999993</v>
      </c>
      <c r="P1899" s="7">
        <v>9.4015000000000004</v>
      </c>
      <c r="Q1899" s="7">
        <v>9.6242000000000001</v>
      </c>
    </row>
    <row r="1900" spans="1:17">
      <c r="A1900" s="5">
        <v>44239</v>
      </c>
      <c r="B1900" s="5" t="str">
        <f t="shared" si="29"/>
        <v>2021 q1</v>
      </c>
      <c r="C1900" s="7">
        <v>6.1307</v>
      </c>
      <c r="D1900" s="7">
        <v>6.1864999999999997</v>
      </c>
      <c r="E1900" s="7">
        <v>6.3018000000000001</v>
      </c>
      <c r="F1900" s="7">
        <v>6.4741</v>
      </c>
      <c r="G1900" s="7">
        <v>6.64</v>
      </c>
      <c r="H1900" s="7">
        <v>6.8045999999999998</v>
      </c>
      <c r="I1900" s="7">
        <v>7.3648999999999996</v>
      </c>
      <c r="J1900" s="7">
        <v>7.7648999999999999</v>
      </c>
      <c r="K1900" s="7">
        <v>8.1265000000000001</v>
      </c>
      <c r="L1900" s="7">
        <v>8.3225999999999996</v>
      </c>
      <c r="M1900" s="7">
        <v>8.6258999999999997</v>
      </c>
      <c r="N1900" s="7">
        <v>8.9449000000000005</v>
      </c>
      <c r="O1900" s="7">
        <v>9.1757000000000009</v>
      </c>
      <c r="P1900" s="7">
        <v>9.2748000000000008</v>
      </c>
      <c r="Q1900" s="7">
        <v>9.4027999999999992</v>
      </c>
    </row>
    <row r="1901" spans="1:17">
      <c r="A1901" s="5">
        <v>44242</v>
      </c>
      <c r="B1901" s="5" t="str">
        <f t="shared" si="29"/>
        <v>2021 q1</v>
      </c>
      <c r="C1901" s="7">
        <v>6.1210000000000004</v>
      </c>
      <c r="D1901" s="7">
        <v>6.1816000000000004</v>
      </c>
      <c r="E1901" s="7">
        <v>6.3067000000000002</v>
      </c>
      <c r="F1901" s="7">
        <v>6.4919000000000002</v>
      </c>
      <c r="G1901" s="7">
        <v>6.6567999999999996</v>
      </c>
      <c r="H1901" s="7">
        <v>6.8194999999999997</v>
      </c>
      <c r="I1901" s="7">
        <v>7.3425000000000002</v>
      </c>
      <c r="J1901" s="7">
        <v>7.7199</v>
      </c>
      <c r="K1901" s="7">
        <v>8.0640000000000001</v>
      </c>
      <c r="L1901" s="7">
        <v>8.2683</v>
      </c>
      <c r="M1901" s="7">
        <v>8.6034000000000006</v>
      </c>
      <c r="N1901" s="7">
        <v>8.9674999999999994</v>
      </c>
      <c r="O1901" s="7">
        <v>9.2687000000000008</v>
      </c>
      <c r="P1901" s="7">
        <v>9.3910999999999998</v>
      </c>
      <c r="Q1901" s="7">
        <v>9.5768000000000004</v>
      </c>
    </row>
    <row r="1902" spans="1:17">
      <c r="A1902" s="5">
        <v>44243</v>
      </c>
      <c r="B1902" s="5" t="str">
        <f t="shared" si="29"/>
        <v>2021 q1</v>
      </c>
      <c r="C1902" s="7">
        <v>6.1440000000000001</v>
      </c>
      <c r="D1902" s="7">
        <v>6.2061000000000002</v>
      </c>
      <c r="E1902" s="7">
        <v>6.3345000000000002</v>
      </c>
      <c r="F1902" s="7">
        <v>6.524</v>
      </c>
      <c r="G1902" s="7">
        <v>6.6948999999999996</v>
      </c>
      <c r="H1902" s="7">
        <v>6.8532000000000002</v>
      </c>
      <c r="I1902" s="7">
        <v>7.3769999999999998</v>
      </c>
      <c r="J1902" s="7">
        <v>7.7443999999999997</v>
      </c>
      <c r="K1902" s="7">
        <v>8.0779999999999994</v>
      </c>
      <c r="L1902" s="7">
        <v>8.2696000000000005</v>
      </c>
      <c r="M1902" s="7">
        <v>8.5815999999999999</v>
      </c>
      <c r="N1902" s="7">
        <v>8.9170999999999996</v>
      </c>
      <c r="O1902" s="7">
        <v>9.1873000000000005</v>
      </c>
      <c r="P1902" s="7">
        <v>9.3053000000000008</v>
      </c>
      <c r="Q1902" s="7">
        <v>9.4598999999999993</v>
      </c>
    </row>
    <row r="1903" spans="1:17">
      <c r="A1903" s="5">
        <v>44244</v>
      </c>
      <c r="B1903" s="5" t="str">
        <f t="shared" si="29"/>
        <v>2021 q1</v>
      </c>
      <c r="C1903" s="7">
        <v>6.1458000000000004</v>
      </c>
      <c r="D1903" s="7">
        <v>6.2065999999999999</v>
      </c>
      <c r="E1903" s="7">
        <v>6.3320999999999996</v>
      </c>
      <c r="F1903" s="7">
        <v>6.5174000000000003</v>
      </c>
      <c r="G1903" s="7">
        <v>6.6856</v>
      </c>
      <c r="H1903" s="7">
        <v>6.8421000000000003</v>
      </c>
      <c r="I1903" s="7">
        <v>7.3655999999999997</v>
      </c>
      <c r="J1903" s="7">
        <v>7.7393999999999998</v>
      </c>
      <c r="K1903" s="7">
        <v>8.0813000000000006</v>
      </c>
      <c r="L1903" s="7">
        <v>8.2814999999999994</v>
      </c>
      <c r="M1903" s="7">
        <v>8.6120999999999999</v>
      </c>
      <c r="N1903" s="7">
        <v>8.9695999999999998</v>
      </c>
      <c r="O1903" s="7">
        <v>9.2647999999999993</v>
      </c>
      <c r="P1903" s="7">
        <v>9.3840000000000003</v>
      </c>
      <c r="Q1903" s="7">
        <v>9.5654000000000003</v>
      </c>
    </row>
    <row r="1904" spans="1:17">
      <c r="A1904" s="5">
        <v>44245</v>
      </c>
      <c r="B1904" s="5" t="str">
        <f t="shared" si="29"/>
        <v>2021 q1</v>
      </c>
      <c r="C1904" s="7">
        <v>6.1515000000000004</v>
      </c>
      <c r="D1904" s="7">
        <v>6.2119999999999997</v>
      </c>
      <c r="E1904" s="7">
        <v>6.3369</v>
      </c>
      <c r="F1904" s="7">
        <v>6.5216000000000003</v>
      </c>
      <c r="G1904" s="7">
        <v>6.6924000000000001</v>
      </c>
      <c r="H1904" s="7">
        <v>6.8521999999999998</v>
      </c>
      <c r="I1904" s="7">
        <v>7.3920000000000003</v>
      </c>
      <c r="J1904" s="7">
        <v>7.7718999999999996</v>
      </c>
      <c r="K1904" s="7">
        <v>8.1180000000000003</v>
      </c>
      <c r="L1904" s="7">
        <v>8.3089999999999993</v>
      </c>
      <c r="M1904" s="7">
        <v>8.6158000000000001</v>
      </c>
      <c r="N1904" s="7">
        <v>8.9689999999999994</v>
      </c>
      <c r="O1904" s="7">
        <v>9.1921999999999997</v>
      </c>
      <c r="P1904" s="7">
        <v>9.2916000000000007</v>
      </c>
      <c r="Q1904" s="7">
        <v>9.4288000000000007</v>
      </c>
    </row>
    <row r="1905" spans="1:17">
      <c r="A1905" s="5">
        <v>44246</v>
      </c>
      <c r="B1905" s="5" t="str">
        <f t="shared" si="29"/>
        <v>2021 q1</v>
      </c>
      <c r="C1905" s="7">
        <v>6.1738</v>
      </c>
      <c r="D1905" s="7">
        <v>6.2324999999999999</v>
      </c>
      <c r="E1905" s="7">
        <v>6.3536000000000001</v>
      </c>
      <c r="F1905" s="7">
        <v>6.5319000000000003</v>
      </c>
      <c r="G1905" s="7">
        <v>6.6940999999999997</v>
      </c>
      <c r="H1905" s="7">
        <v>6.8445</v>
      </c>
      <c r="I1905" s="7">
        <v>7.3476999999999997</v>
      </c>
      <c r="J1905" s="7">
        <v>7.7058</v>
      </c>
      <c r="K1905" s="7">
        <v>8.0337999999999994</v>
      </c>
      <c r="L1905" s="7">
        <v>8.2245000000000008</v>
      </c>
      <c r="M1905" s="7">
        <v>8.5404</v>
      </c>
      <c r="N1905" s="7">
        <v>8.8811999999999998</v>
      </c>
      <c r="O1905" s="7">
        <v>9.1621000000000006</v>
      </c>
      <c r="P1905" s="7">
        <v>9.2851999999999997</v>
      </c>
      <c r="Q1905" s="7">
        <v>9.4473000000000003</v>
      </c>
    </row>
    <row r="1906" spans="1:17">
      <c r="A1906" s="5">
        <v>44249</v>
      </c>
      <c r="B1906" s="5" t="str">
        <f t="shared" si="29"/>
        <v>2021 q1</v>
      </c>
      <c r="C1906" s="7">
        <v>6.2041000000000004</v>
      </c>
      <c r="D1906" s="7">
        <v>6.258</v>
      </c>
      <c r="E1906" s="7">
        <v>6.3693999999999997</v>
      </c>
      <c r="F1906" s="7">
        <v>6.5335999999999999</v>
      </c>
      <c r="G1906" s="7">
        <v>6.6856</v>
      </c>
      <c r="H1906" s="7">
        <v>6.8280000000000003</v>
      </c>
      <c r="I1906" s="7">
        <v>7.3182</v>
      </c>
      <c r="J1906" s="7">
        <v>7.6843000000000004</v>
      </c>
      <c r="K1906" s="7">
        <v>8.0250000000000004</v>
      </c>
      <c r="L1906" s="7">
        <v>8.2622999999999998</v>
      </c>
      <c r="M1906" s="7">
        <v>8.6654</v>
      </c>
      <c r="N1906" s="7">
        <v>8.9907000000000004</v>
      </c>
      <c r="O1906" s="7">
        <v>9.3414000000000001</v>
      </c>
      <c r="P1906" s="7">
        <v>9.4862000000000002</v>
      </c>
      <c r="Q1906" s="7">
        <v>9.7097999999999995</v>
      </c>
    </row>
    <row r="1907" spans="1:17">
      <c r="A1907" s="5">
        <v>44250</v>
      </c>
      <c r="B1907" s="5" t="str">
        <f t="shared" si="29"/>
        <v>2021 q1</v>
      </c>
      <c r="C1907" s="7">
        <v>6.0208000000000004</v>
      </c>
      <c r="D1907" s="7">
        <v>6.0933000000000002</v>
      </c>
      <c r="E1907" s="7">
        <v>6.2431999999999999</v>
      </c>
      <c r="F1907" s="7">
        <v>6.4470999999999998</v>
      </c>
      <c r="G1907" s="7">
        <v>6.6492000000000004</v>
      </c>
      <c r="H1907" s="7">
        <v>6.8281000000000001</v>
      </c>
      <c r="I1907" s="7">
        <v>7.4024000000000001</v>
      </c>
      <c r="J1907" s="7">
        <v>7.7845000000000004</v>
      </c>
      <c r="K1907" s="7">
        <v>8.1296999999999997</v>
      </c>
      <c r="L1907" s="7">
        <v>8.3140000000000001</v>
      </c>
      <c r="M1907" s="7">
        <v>8.6113999999999997</v>
      </c>
      <c r="N1907" s="7">
        <v>8.9248999999999992</v>
      </c>
      <c r="O1907" s="7">
        <v>9.1654999999999998</v>
      </c>
      <c r="P1907" s="7">
        <v>9.2603000000000009</v>
      </c>
      <c r="Q1907" s="7">
        <v>9.4039000000000001</v>
      </c>
    </row>
    <row r="1908" spans="1:17">
      <c r="A1908" s="5">
        <v>44251</v>
      </c>
      <c r="B1908" s="5" t="str">
        <f t="shared" si="29"/>
        <v>2021 q1</v>
      </c>
      <c r="C1908" s="7">
        <v>6</v>
      </c>
      <c r="D1908" s="7">
        <v>6.0728</v>
      </c>
      <c r="E1908" s="7">
        <v>6.2230999999999996</v>
      </c>
      <c r="F1908" s="7">
        <v>6.4276999999999997</v>
      </c>
      <c r="G1908" s="7">
        <v>6.6307999999999998</v>
      </c>
      <c r="H1908" s="7">
        <v>6.8108000000000004</v>
      </c>
      <c r="I1908" s="7">
        <v>7.3917999999999999</v>
      </c>
      <c r="J1908" s="7">
        <v>7.7808999999999999</v>
      </c>
      <c r="K1908" s="7">
        <v>8.1338000000000008</v>
      </c>
      <c r="L1908" s="7">
        <v>8.3232999999999997</v>
      </c>
      <c r="M1908" s="7">
        <v>8.6311</v>
      </c>
      <c r="N1908" s="7">
        <v>8.9853000000000005</v>
      </c>
      <c r="O1908" s="7">
        <v>9.2133000000000003</v>
      </c>
      <c r="P1908" s="7">
        <v>9.3149999999999995</v>
      </c>
      <c r="Q1908" s="7">
        <v>9.4564000000000004</v>
      </c>
    </row>
    <row r="1909" spans="1:17">
      <c r="A1909" s="5">
        <v>44252</v>
      </c>
      <c r="B1909" s="5" t="str">
        <f t="shared" si="29"/>
        <v>2021 q1</v>
      </c>
      <c r="C1909" s="7">
        <v>6.0037000000000003</v>
      </c>
      <c r="D1909" s="7">
        <v>6.0755999999999997</v>
      </c>
      <c r="E1909" s="7">
        <v>6.2241</v>
      </c>
      <c r="F1909" s="7">
        <v>6.4260999999999999</v>
      </c>
      <c r="G1909" s="7">
        <v>6.6269999999999998</v>
      </c>
      <c r="H1909" s="7">
        <v>6.8047000000000004</v>
      </c>
      <c r="I1909" s="7">
        <v>7.3798000000000004</v>
      </c>
      <c r="J1909" s="7">
        <v>7.7655000000000003</v>
      </c>
      <c r="K1909" s="7">
        <v>8.1159999999999997</v>
      </c>
      <c r="L1909" s="7">
        <v>8.3041</v>
      </c>
      <c r="M1909" s="7">
        <v>8.6107999999999993</v>
      </c>
      <c r="N1909" s="7">
        <v>8.9638000000000009</v>
      </c>
      <c r="O1909" s="7">
        <v>9.1915999999999993</v>
      </c>
      <c r="P1909" s="7">
        <v>9.2844999999999995</v>
      </c>
      <c r="Q1909" s="7">
        <v>9.4346999999999994</v>
      </c>
    </row>
    <row r="1910" spans="1:17">
      <c r="A1910" s="5">
        <v>44253</v>
      </c>
      <c r="B1910" s="5" t="str">
        <f t="shared" si="29"/>
        <v>2021 q1</v>
      </c>
      <c r="C1910" s="7">
        <v>6.0495999999999999</v>
      </c>
      <c r="D1910" s="7">
        <v>6.1151999999999997</v>
      </c>
      <c r="E1910" s="7">
        <v>6.2504999999999997</v>
      </c>
      <c r="F1910" s="7">
        <v>6.4375</v>
      </c>
      <c r="G1910" s="7">
        <v>6.6238000000000001</v>
      </c>
      <c r="H1910" s="7">
        <v>6.7916999999999996</v>
      </c>
      <c r="I1910" s="7">
        <v>7.3540000000000001</v>
      </c>
      <c r="J1910" s="7">
        <v>7.7533000000000003</v>
      </c>
      <c r="K1910" s="7">
        <v>8.1225000000000005</v>
      </c>
      <c r="L1910" s="7">
        <v>8.3339999999999996</v>
      </c>
      <c r="M1910" s="7">
        <v>8.6912000000000003</v>
      </c>
      <c r="N1910" s="7">
        <v>9.0746000000000002</v>
      </c>
      <c r="O1910" s="7">
        <v>9.3933999999999997</v>
      </c>
      <c r="P1910" s="7">
        <v>9.5210000000000008</v>
      </c>
      <c r="Q1910" s="7">
        <v>9.7166999999999994</v>
      </c>
    </row>
    <row r="1911" spans="1:17">
      <c r="A1911" s="5">
        <v>44256</v>
      </c>
      <c r="B1911" s="5" t="str">
        <f t="shared" si="29"/>
        <v>2021 q1</v>
      </c>
      <c r="C1911" s="7">
        <v>6.0214999999999996</v>
      </c>
      <c r="D1911" s="7">
        <v>6.0918000000000001</v>
      </c>
      <c r="E1911" s="7">
        <v>6.2369000000000003</v>
      </c>
      <c r="F1911" s="7">
        <v>6.4344000000000001</v>
      </c>
      <c r="G1911" s="7">
        <v>6.6311999999999998</v>
      </c>
      <c r="H1911" s="7">
        <v>6.8052999999999999</v>
      </c>
      <c r="I1911" s="7">
        <v>7.3727999999999998</v>
      </c>
      <c r="J1911" s="7">
        <v>7.7563000000000004</v>
      </c>
      <c r="K1911" s="7">
        <v>8.1065000000000005</v>
      </c>
      <c r="L1911" s="7">
        <v>8.2951999999999995</v>
      </c>
      <c r="M1911" s="7">
        <v>8.6062999999999992</v>
      </c>
      <c r="N1911" s="7">
        <v>8.9345999999999997</v>
      </c>
      <c r="O1911" s="7">
        <v>9.1922999999999995</v>
      </c>
      <c r="P1911" s="7">
        <v>9.2936999999999994</v>
      </c>
      <c r="Q1911" s="7">
        <v>9.4482999999999997</v>
      </c>
    </row>
    <row r="1912" spans="1:17">
      <c r="A1912" s="5">
        <v>44257</v>
      </c>
      <c r="B1912" s="5" t="str">
        <f t="shared" si="29"/>
        <v>2021 q1</v>
      </c>
      <c r="C1912" s="7">
        <v>5.9869000000000003</v>
      </c>
      <c r="D1912" s="7">
        <v>6.0548000000000002</v>
      </c>
      <c r="E1912" s="7">
        <v>6.1948999999999996</v>
      </c>
      <c r="F1912" s="7">
        <v>6.3982000000000001</v>
      </c>
      <c r="G1912" s="7">
        <v>6.5853000000000002</v>
      </c>
      <c r="H1912" s="7">
        <v>6.7721</v>
      </c>
      <c r="I1912" s="7">
        <v>7.3489000000000004</v>
      </c>
      <c r="J1912" s="7">
        <v>7.7464000000000004</v>
      </c>
      <c r="K1912" s="7">
        <v>8.1123999999999992</v>
      </c>
      <c r="L1912" s="7">
        <v>8.3116000000000003</v>
      </c>
      <c r="M1912" s="7">
        <v>8.6453000000000007</v>
      </c>
      <c r="N1912" s="7">
        <v>8.9982000000000006</v>
      </c>
      <c r="O1912" s="7">
        <v>9.2805999999999997</v>
      </c>
      <c r="P1912" s="7">
        <v>9.4016999999999999</v>
      </c>
      <c r="Q1912" s="7">
        <v>9.5617999999999999</v>
      </c>
    </row>
    <row r="1913" spans="1:17">
      <c r="A1913" s="5">
        <v>44258</v>
      </c>
      <c r="B1913" s="5" t="str">
        <f t="shared" si="29"/>
        <v>2021 q1</v>
      </c>
      <c r="C1913" s="7">
        <v>6.0414000000000003</v>
      </c>
      <c r="D1913" s="7">
        <v>6.1029</v>
      </c>
      <c r="E1913" s="7">
        <v>6.2297000000000002</v>
      </c>
      <c r="F1913" s="7">
        <v>6.4142000000000001</v>
      </c>
      <c r="G1913" s="7">
        <v>6.5858999999999996</v>
      </c>
      <c r="H1913" s="7">
        <v>6.7572000000000001</v>
      </c>
      <c r="I1913" s="7">
        <v>7.3025000000000002</v>
      </c>
      <c r="J1913" s="7">
        <v>7.6928999999999998</v>
      </c>
      <c r="K1913" s="7">
        <v>8.0564999999999998</v>
      </c>
      <c r="L1913" s="7">
        <v>8.2638999999999996</v>
      </c>
      <c r="M1913" s="7">
        <v>8.6194000000000006</v>
      </c>
      <c r="N1913" s="7">
        <v>9.0004000000000008</v>
      </c>
      <c r="O1913" s="7">
        <v>9.3208000000000002</v>
      </c>
      <c r="P1913" s="7">
        <v>9.4487000000000005</v>
      </c>
      <c r="Q1913" s="7">
        <v>9.6460000000000008</v>
      </c>
    </row>
    <row r="1914" spans="1:17">
      <c r="A1914" s="5">
        <v>44259</v>
      </c>
      <c r="B1914" s="5" t="str">
        <f t="shared" si="29"/>
        <v>2021 q1</v>
      </c>
      <c r="C1914" s="7">
        <v>6.0042999999999997</v>
      </c>
      <c r="D1914" s="7">
        <v>6.0693999999999999</v>
      </c>
      <c r="E1914" s="7">
        <v>6.2035999999999998</v>
      </c>
      <c r="F1914" s="7">
        <v>6.3983999999999996</v>
      </c>
      <c r="G1914" s="7">
        <v>6.5791000000000004</v>
      </c>
      <c r="H1914" s="7">
        <v>6.7591000000000001</v>
      </c>
      <c r="I1914" s="7">
        <v>7.3254000000000001</v>
      </c>
      <c r="J1914" s="7">
        <v>7.7234999999999996</v>
      </c>
      <c r="K1914" s="7">
        <v>8.0934000000000008</v>
      </c>
      <c r="L1914" s="7">
        <v>8.2990999999999993</v>
      </c>
      <c r="M1914" s="7">
        <v>8.6496999999999993</v>
      </c>
      <c r="N1914" s="7">
        <v>9.0226000000000006</v>
      </c>
      <c r="O1914" s="7">
        <v>9.3295999999999992</v>
      </c>
      <c r="P1914" s="7">
        <v>9.4511000000000003</v>
      </c>
      <c r="Q1914" s="7">
        <v>9.6381999999999994</v>
      </c>
    </row>
    <row r="1915" spans="1:17">
      <c r="A1915" s="5">
        <v>44260</v>
      </c>
      <c r="B1915" s="5" t="str">
        <f t="shared" si="29"/>
        <v>2021 q1</v>
      </c>
      <c r="C1915" s="7">
        <v>6.0061999999999998</v>
      </c>
      <c r="D1915" s="7">
        <v>6.0708000000000002</v>
      </c>
      <c r="E1915" s="7">
        <v>6.2043999999999997</v>
      </c>
      <c r="F1915" s="7">
        <v>6.3979999999999997</v>
      </c>
      <c r="G1915" s="7">
        <v>6.5778999999999996</v>
      </c>
      <c r="H1915" s="7">
        <v>6.7569999999999997</v>
      </c>
      <c r="I1915" s="7">
        <v>7.3223000000000003</v>
      </c>
      <c r="J1915" s="7">
        <v>7.7207999999999997</v>
      </c>
      <c r="K1915" s="7">
        <v>8.0916999999999994</v>
      </c>
      <c r="L1915" s="7">
        <v>8.2985000000000007</v>
      </c>
      <c r="M1915" s="7">
        <v>8.6524000000000001</v>
      </c>
      <c r="N1915" s="7">
        <v>9.0289000000000001</v>
      </c>
      <c r="O1915" s="7">
        <v>9.3405000000000005</v>
      </c>
      <c r="P1915" s="7">
        <v>9.4640000000000004</v>
      </c>
      <c r="Q1915" s="7">
        <v>9.6541999999999994</v>
      </c>
    </row>
    <row r="1916" spans="1:17">
      <c r="A1916" s="5">
        <v>44264</v>
      </c>
      <c r="B1916" s="5" t="str">
        <f t="shared" si="29"/>
        <v>2021 q1</v>
      </c>
      <c r="C1916" s="7">
        <v>5.9964000000000004</v>
      </c>
      <c r="D1916" s="7">
        <v>6.0629999999999997</v>
      </c>
      <c r="E1916" s="7">
        <v>6.2004000000000001</v>
      </c>
      <c r="F1916" s="7">
        <v>6.3990999999999998</v>
      </c>
      <c r="G1916" s="7">
        <v>6.5831999999999997</v>
      </c>
      <c r="H1916" s="7">
        <v>6.7662000000000004</v>
      </c>
      <c r="I1916" s="7">
        <v>7.3369</v>
      </c>
      <c r="J1916" s="7">
        <v>7.7323000000000004</v>
      </c>
      <c r="K1916" s="7">
        <v>8.0992999999999995</v>
      </c>
      <c r="L1916" s="7">
        <v>8.2990999999999993</v>
      </c>
      <c r="M1916" s="7">
        <v>8.6389999999999993</v>
      </c>
      <c r="N1916" s="7">
        <v>8.9983000000000004</v>
      </c>
      <c r="O1916" s="7">
        <v>9.2896999999999998</v>
      </c>
      <c r="P1916" s="7">
        <v>9.4044000000000008</v>
      </c>
      <c r="Q1916" s="7">
        <v>9.5808</v>
      </c>
    </row>
    <row r="1917" spans="1:17">
      <c r="A1917" s="5">
        <v>44265</v>
      </c>
      <c r="B1917" s="5" t="str">
        <f t="shared" si="29"/>
        <v>2021 q1</v>
      </c>
      <c r="C1917" s="7">
        <v>5.9344999999999999</v>
      </c>
      <c r="D1917" s="7">
        <v>6.0141999999999998</v>
      </c>
      <c r="E1917" s="7">
        <v>6.1787000000000001</v>
      </c>
      <c r="F1917" s="7">
        <v>6.4131</v>
      </c>
      <c r="G1917" s="7">
        <v>6.6273999999999997</v>
      </c>
      <c r="H1917" s="7">
        <v>6.8390000000000004</v>
      </c>
      <c r="I1917" s="7">
        <v>7.4638</v>
      </c>
      <c r="J1917" s="7">
        <v>7.8639999999999999</v>
      </c>
      <c r="K1917" s="7">
        <v>8.2308000000000003</v>
      </c>
      <c r="L1917" s="7">
        <v>8.4110999999999994</v>
      </c>
      <c r="M1917" s="7">
        <v>8.7111000000000001</v>
      </c>
      <c r="N1917" s="7">
        <v>9.0205000000000002</v>
      </c>
      <c r="O1917" s="7">
        <v>9.2537000000000003</v>
      </c>
      <c r="P1917" s="7">
        <v>9.3437000000000001</v>
      </c>
      <c r="Q1917" s="7">
        <v>9.4815000000000005</v>
      </c>
    </row>
    <row r="1918" spans="1:17">
      <c r="A1918" s="5">
        <v>44266</v>
      </c>
      <c r="B1918" s="5" t="str">
        <f t="shared" si="29"/>
        <v>2021 q1</v>
      </c>
      <c r="C1918" s="7">
        <v>5.9146999999999998</v>
      </c>
      <c r="D1918" s="7">
        <v>5.9966999999999997</v>
      </c>
      <c r="E1918" s="7">
        <v>6.1658999999999997</v>
      </c>
      <c r="F1918" s="7">
        <v>6.4062000000000001</v>
      </c>
      <c r="G1918" s="7">
        <v>6.6258999999999997</v>
      </c>
      <c r="H1918" s="7">
        <v>6.8422999999999998</v>
      </c>
      <c r="I1918" s="7">
        <v>7.4776999999999996</v>
      </c>
      <c r="J1918" s="7">
        <v>7.8807999999999998</v>
      </c>
      <c r="K1918" s="7">
        <v>8.25</v>
      </c>
      <c r="L1918" s="7">
        <v>8.4292999999999996</v>
      </c>
      <c r="M1918" s="7">
        <v>8.7271999999999998</v>
      </c>
      <c r="N1918" s="7">
        <v>9.0335999999999999</v>
      </c>
      <c r="O1918" s="7">
        <v>9.2631999999999994</v>
      </c>
      <c r="P1918" s="7">
        <v>9.3514999999999997</v>
      </c>
      <c r="Q1918" s="7">
        <v>9.4869000000000003</v>
      </c>
    </row>
    <row r="1919" spans="1:17">
      <c r="A1919" s="5">
        <v>44267</v>
      </c>
      <c r="B1919" s="5" t="str">
        <f t="shared" si="29"/>
        <v>2021 q1</v>
      </c>
      <c r="C1919" s="7">
        <v>5.952</v>
      </c>
      <c r="D1919" s="7">
        <v>6.0269000000000004</v>
      </c>
      <c r="E1919" s="7">
        <v>6.1817000000000002</v>
      </c>
      <c r="F1919" s="7">
        <v>6.4020999999999999</v>
      </c>
      <c r="G1919" s="7">
        <v>6.6055999999999999</v>
      </c>
      <c r="H1919" s="7">
        <v>6.8060999999999998</v>
      </c>
      <c r="I1919" s="7">
        <v>7.4108999999999998</v>
      </c>
      <c r="J1919" s="7">
        <v>7.8076999999999996</v>
      </c>
      <c r="K1919" s="7">
        <v>8.1746999999999996</v>
      </c>
      <c r="L1919" s="7">
        <v>8.3592999999999993</v>
      </c>
      <c r="M1919" s="7">
        <v>8.6720000000000006</v>
      </c>
      <c r="N1919" s="7">
        <v>8.9959000000000007</v>
      </c>
      <c r="O1919" s="7">
        <v>9.2461000000000002</v>
      </c>
      <c r="P1919" s="7">
        <v>9.3428000000000004</v>
      </c>
      <c r="Q1919" s="7">
        <v>9.4914000000000005</v>
      </c>
    </row>
    <row r="1920" spans="1:17">
      <c r="A1920" s="5">
        <v>44270</v>
      </c>
      <c r="B1920" s="5" t="str">
        <f t="shared" si="29"/>
        <v>2021 q1</v>
      </c>
      <c r="C1920" s="7">
        <v>5.9463999999999997</v>
      </c>
      <c r="D1920" s="7">
        <v>6.0231000000000003</v>
      </c>
      <c r="E1920" s="7">
        <v>6.1813000000000002</v>
      </c>
      <c r="F1920" s="7">
        <v>6.4061000000000003</v>
      </c>
      <c r="G1920" s="7">
        <v>6.6135000000000002</v>
      </c>
      <c r="H1920" s="7">
        <v>6.8174999999999999</v>
      </c>
      <c r="I1920" s="7">
        <v>7.4292999999999996</v>
      </c>
      <c r="J1920" s="7">
        <v>7.8268000000000004</v>
      </c>
      <c r="K1920" s="7">
        <v>8.1943000000000001</v>
      </c>
      <c r="L1920" s="7">
        <v>8.3767999999999994</v>
      </c>
      <c r="M1920" s="7">
        <v>8.6854999999999993</v>
      </c>
      <c r="N1920" s="7">
        <v>9.0043000000000006</v>
      </c>
      <c r="O1920" s="7">
        <v>9.2487999999999992</v>
      </c>
      <c r="P1920" s="7">
        <v>9.343</v>
      </c>
      <c r="Q1920" s="7">
        <v>9.4878999999999998</v>
      </c>
    </row>
    <row r="1921" spans="1:17">
      <c r="A1921" s="5">
        <v>44271</v>
      </c>
      <c r="B1921" s="5" t="str">
        <f t="shared" si="29"/>
        <v>2021 q1</v>
      </c>
      <c r="C1921" s="7">
        <v>5.9603999999999999</v>
      </c>
      <c r="D1921" s="7">
        <v>6.0410000000000004</v>
      </c>
      <c r="E1921" s="7">
        <v>6.2073999999999998</v>
      </c>
      <c r="F1921" s="7">
        <v>6.4438000000000004</v>
      </c>
      <c r="G1921" s="7">
        <v>6.6642000000000001</v>
      </c>
      <c r="H1921" s="7">
        <v>6.8658999999999999</v>
      </c>
      <c r="I1921" s="7">
        <v>7.4874000000000001</v>
      </c>
      <c r="J1921" s="7">
        <v>7.8764000000000003</v>
      </c>
      <c r="K1921" s="7">
        <v>8.2354000000000003</v>
      </c>
      <c r="L1921" s="7">
        <v>8.4057999999999993</v>
      </c>
      <c r="M1921" s="7">
        <v>8.6933000000000007</v>
      </c>
      <c r="N1921" s="7">
        <v>8.9872999999999994</v>
      </c>
      <c r="O1921" s="7">
        <v>9.2075999999999993</v>
      </c>
      <c r="P1921" s="7">
        <v>9.2919</v>
      </c>
      <c r="Q1921" s="7">
        <v>9.4215999999999998</v>
      </c>
    </row>
    <row r="1922" spans="1:17">
      <c r="A1922" s="5">
        <v>44272</v>
      </c>
      <c r="B1922" s="5" t="str">
        <f t="shared" si="29"/>
        <v>2021 q1</v>
      </c>
      <c r="C1922" s="7">
        <v>5.8807</v>
      </c>
      <c r="D1922" s="7">
        <v>5.9660000000000002</v>
      </c>
      <c r="E1922" s="7">
        <v>6.1418999999999997</v>
      </c>
      <c r="F1922" s="7">
        <v>6.3913000000000002</v>
      </c>
      <c r="G1922" s="7">
        <v>6.6235999999999997</v>
      </c>
      <c r="H1922" s="7">
        <v>6.8353000000000002</v>
      </c>
      <c r="I1922" s="7">
        <v>7.4836999999999998</v>
      </c>
      <c r="J1922" s="7">
        <v>7.8848000000000003</v>
      </c>
      <c r="K1922" s="7">
        <v>8.2546999999999997</v>
      </c>
      <c r="L1922" s="7">
        <v>8.4275000000000002</v>
      </c>
      <c r="M1922" s="7">
        <v>8.7188999999999997</v>
      </c>
      <c r="N1922" s="7">
        <v>9.0160999999999998</v>
      </c>
      <c r="O1922" s="7">
        <v>9.2370000000000001</v>
      </c>
      <c r="P1922" s="7">
        <v>9.3213000000000008</v>
      </c>
      <c r="Q1922" s="7">
        <v>9.4512</v>
      </c>
    </row>
    <row r="1923" spans="1:17">
      <c r="A1923" s="5">
        <v>44273</v>
      </c>
      <c r="B1923" s="5" t="str">
        <f t="shared" ref="B1923:B1986" si="30">YEAR(A1923)&amp;" q"&amp;ROUNDUP(MONTH(A1923)/3,0)</f>
        <v>2021 q1</v>
      </c>
      <c r="C1923" s="7">
        <v>5.9080000000000004</v>
      </c>
      <c r="D1923" s="7">
        <v>5.9874999999999998</v>
      </c>
      <c r="E1923" s="7">
        <v>6.1517999999999997</v>
      </c>
      <c r="F1923" s="7">
        <v>6.3853</v>
      </c>
      <c r="G1923" s="7">
        <v>6.6044</v>
      </c>
      <c r="H1923" s="7">
        <v>6.8052000000000001</v>
      </c>
      <c r="I1923" s="7">
        <v>7.4333</v>
      </c>
      <c r="J1923" s="7">
        <v>7.8341000000000003</v>
      </c>
      <c r="K1923" s="7">
        <v>8.2067999999999994</v>
      </c>
      <c r="L1923" s="7">
        <v>8.4141999999999992</v>
      </c>
      <c r="M1923" s="7">
        <v>8.7763000000000009</v>
      </c>
      <c r="N1923" s="7">
        <v>9.0107999999999997</v>
      </c>
      <c r="O1923" s="7">
        <v>9.2520000000000007</v>
      </c>
      <c r="P1923" s="7">
        <v>9.3443000000000005</v>
      </c>
      <c r="Q1923" s="7">
        <v>9.4868000000000006</v>
      </c>
    </row>
    <row r="1924" spans="1:17">
      <c r="A1924" s="5">
        <v>44274</v>
      </c>
      <c r="B1924" s="5" t="str">
        <f t="shared" si="30"/>
        <v>2021 q1</v>
      </c>
      <c r="C1924" s="7">
        <v>5.9295</v>
      </c>
      <c r="D1924" s="7">
        <v>6.0073999999999996</v>
      </c>
      <c r="E1924" s="7">
        <v>6.1683000000000003</v>
      </c>
      <c r="F1924" s="7">
        <v>6.3966000000000003</v>
      </c>
      <c r="G1924" s="7">
        <v>6.6113</v>
      </c>
      <c r="H1924" s="7">
        <v>6.8076999999999996</v>
      </c>
      <c r="I1924" s="7">
        <v>7.4233000000000002</v>
      </c>
      <c r="J1924" s="7">
        <v>7.8163</v>
      </c>
      <c r="K1924" s="7">
        <v>8.1824999999999992</v>
      </c>
      <c r="L1924" s="7">
        <v>8.3914000000000009</v>
      </c>
      <c r="M1924" s="7">
        <v>8.7364999999999995</v>
      </c>
      <c r="N1924" s="7">
        <v>9.0031999999999996</v>
      </c>
      <c r="O1924" s="7">
        <v>9.2164999999999999</v>
      </c>
      <c r="P1924" s="7">
        <v>9.3020999999999994</v>
      </c>
      <c r="Q1924" s="7">
        <v>9.4426000000000005</v>
      </c>
    </row>
    <row r="1925" spans="1:17">
      <c r="A1925" s="5">
        <v>44277</v>
      </c>
      <c r="B1925" s="5" t="str">
        <f t="shared" si="30"/>
        <v>2021 q1</v>
      </c>
      <c r="C1925" s="7">
        <v>5.9595000000000002</v>
      </c>
      <c r="D1925" s="7">
        <v>6.0334000000000003</v>
      </c>
      <c r="E1925" s="7">
        <v>6.1859999999999999</v>
      </c>
      <c r="F1925" s="7">
        <v>6.4038000000000004</v>
      </c>
      <c r="G1925" s="7">
        <v>6.6101999999999999</v>
      </c>
      <c r="H1925" s="7">
        <v>6.8007999999999997</v>
      </c>
      <c r="I1925" s="7">
        <v>7.4146000000000001</v>
      </c>
      <c r="J1925" s="7">
        <v>7.8238000000000003</v>
      </c>
      <c r="K1925" s="7">
        <v>8.2089999999999996</v>
      </c>
      <c r="L1925" s="7">
        <v>8.4042999999999992</v>
      </c>
      <c r="M1925" s="7">
        <v>8.7466000000000008</v>
      </c>
      <c r="N1925" s="7">
        <v>9.1012000000000004</v>
      </c>
      <c r="O1925" s="7">
        <v>9.3842999999999996</v>
      </c>
      <c r="P1925" s="7">
        <v>9.5036000000000005</v>
      </c>
      <c r="Q1925" s="7">
        <v>9.6599000000000004</v>
      </c>
    </row>
    <row r="1926" spans="1:17">
      <c r="A1926" s="5">
        <v>44278</v>
      </c>
      <c r="B1926" s="5" t="str">
        <f t="shared" si="30"/>
        <v>2021 q1</v>
      </c>
      <c r="C1926" s="7">
        <v>5.9737</v>
      </c>
      <c r="D1926" s="7">
        <v>6.0500999999999996</v>
      </c>
      <c r="E1926" s="7">
        <v>6.2080000000000002</v>
      </c>
      <c r="F1926" s="7">
        <v>6.4371999999999998</v>
      </c>
      <c r="G1926" s="7">
        <v>6.6363000000000003</v>
      </c>
      <c r="H1926" s="7">
        <v>6.8315000000000001</v>
      </c>
      <c r="I1926" s="7">
        <v>7.4466999999999999</v>
      </c>
      <c r="J1926" s="7">
        <v>7.84</v>
      </c>
      <c r="K1926" s="7">
        <v>8.2096999999999998</v>
      </c>
      <c r="L1926" s="7">
        <v>8.3880999999999997</v>
      </c>
      <c r="M1926" s="7">
        <v>8.7002000000000006</v>
      </c>
      <c r="N1926" s="7">
        <v>9.0197000000000003</v>
      </c>
      <c r="O1926" s="7">
        <v>9.2675000000000001</v>
      </c>
      <c r="P1926" s="7">
        <v>9.3620000000000001</v>
      </c>
      <c r="Q1926" s="7">
        <v>9.5086999999999993</v>
      </c>
    </row>
    <row r="1927" spans="1:17">
      <c r="A1927" s="5">
        <v>44279</v>
      </c>
      <c r="B1927" s="5" t="str">
        <f t="shared" si="30"/>
        <v>2021 q1</v>
      </c>
      <c r="C1927" s="7">
        <v>6.0407000000000002</v>
      </c>
      <c r="D1927" s="7">
        <v>6.1074999999999999</v>
      </c>
      <c r="E1927" s="7">
        <v>6.2454000000000001</v>
      </c>
      <c r="F1927" s="7">
        <v>6.4467999999999996</v>
      </c>
      <c r="G1927" s="7">
        <v>6.6261999999999999</v>
      </c>
      <c r="H1927" s="7">
        <v>6.8029999999999999</v>
      </c>
      <c r="I1927" s="7">
        <v>7.3841999999999999</v>
      </c>
      <c r="J1927" s="7">
        <v>7.7842000000000002</v>
      </c>
      <c r="K1927" s="7">
        <v>8.1653000000000002</v>
      </c>
      <c r="L1927" s="7">
        <v>8.3666</v>
      </c>
      <c r="M1927" s="7">
        <v>8.7285000000000004</v>
      </c>
      <c r="N1927" s="7">
        <v>9.1417999999999999</v>
      </c>
      <c r="O1927" s="7">
        <v>9.4314</v>
      </c>
      <c r="P1927" s="7">
        <v>9.5665999999999993</v>
      </c>
      <c r="Q1927" s="7">
        <v>9.7365999999999993</v>
      </c>
    </row>
    <row r="1928" spans="1:17">
      <c r="A1928" s="5">
        <v>44280</v>
      </c>
      <c r="B1928" s="5" t="str">
        <f t="shared" si="30"/>
        <v>2021 q1</v>
      </c>
      <c r="C1928" s="7">
        <v>5.9496000000000002</v>
      </c>
      <c r="D1928" s="7">
        <v>6.0303000000000004</v>
      </c>
      <c r="E1928" s="7">
        <v>6.1967999999999996</v>
      </c>
      <c r="F1928" s="7">
        <v>6.4372999999999996</v>
      </c>
      <c r="G1928" s="7">
        <v>6.6429</v>
      </c>
      <c r="H1928" s="7">
        <v>6.8446999999999996</v>
      </c>
      <c r="I1928" s="7">
        <v>7.4648000000000003</v>
      </c>
      <c r="J1928" s="7">
        <v>7.8453999999999997</v>
      </c>
      <c r="K1928" s="7">
        <v>8.202</v>
      </c>
      <c r="L1928" s="7">
        <v>8.3651999999999997</v>
      </c>
      <c r="M1928" s="7">
        <v>8.6493000000000002</v>
      </c>
      <c r="N1928" s="7">
        <v>8.9369999999999994</v>
      </c>
      <c r="O1928" s="7">
        <v>9.1536000000000008</v>
      </c>
      <c r="P1928" s="7">
        <v>9.2355</v>
      </c>
      <c r="Q1928" s="7">
        <v>9.3628</v>
      </c>
    </row>
    <row r="1929" spans="1:17">
      <c r="A1929" s="5">
        <v>44281</v>
      </c>
      <c r="B1929" s="5" t="str">
        <f t="shared" si="30"/>
        <v>2021 q1</v>
      </c>
      <c r="C1929" s="7">
        <v>5.9684999999999997</v>
      </c>
      <c r="D1929" s="7">
        <v>6.0468999999999999</v>
      </c>
      <c r="E1929" s="7">
        <v>6.2087000000000003</v>
      </c>
      <c r="F1929" s="7">
        <v>6.4429999999999996</v>
      </c>
      <c r="G1929" s="7">
        <v>6.6452</v>
      </c>
      <c r="H1929" s="7">
        <v>6.8444000000000003</v>
      </c>
      <c r="I1929" s="7">
        <v>7.4669999999999996</v>
      </c>
      <c r="J1929" s="7">
        <v>7.8605</v>
      </c>
      <c r="K1929" s="7">
        <v>8.2316000000000003</v>
      </c>
      <c r="L1929" s="7">
        <v>8.4069000000000003</v>
      </c>
      <c r="M1929" s="7">
        <v>8.7157999999999998</v>
      </c>
      <c r="N1929" s="7">
        <v>9.0587</v>
      </c>
      <c r="O1929" s="7">
        <v>9.2789999999999999</v>
      </c>
      <c r="P1929" s="7">
        <v>9.3651999999999997</v>
      </c>
      <c r="Q1929" s="7">
        <v>9.5084</v>
      </c>
    </row>
    <row r="1930" spans="1:17">
      <c r="A1930" s="5">
        <v>44284</v>
      </c>
      <c r="B1930" s="5" t="str">
        <f t="shared" si="30"/>
        <v>2021 q1</v>
      </c>
      <c r="C1930" s="7">
        <v>5.9672000000000001</v>
      </c>
      <c r="D1930" s="7">
        <v>6.0418000000000003</v>
      </c>
      <c r="E1930" s="7">
        <v>6.1959999999999997</v>
      </c>
      <c r="F1930" s="7">
        <v>6.4196999999999997</v>
      </c>
      <c r="G1930" s="7">
        <v>6.6153000000000004</v>
      </c>
      <c r="H1930" s="7">
        <v>6.8083999999999998</v>
      </c>
      <c r="I1930" s="7">
        <v>7.4244000000000003</v>
      </c>
      <c r="J1930" s="7">
        <v>7.8276000000000003</v>
      </c>
      <c r="K1930" s="7">
        <v>8.2105999999999995</v>
      </c>
      <c r="L1930" s="7">
        <v>8.3988999999999994</v>
      </c>
      <c r="M1930" s="7">
        <v>8.7354000000000003</v>
      </c>
      <c r="N1930" s="7">
        <v>9.0809999999999995</v>
      </c>
      <c r="O1930" s="7">
        <v>9.3565000000000005</v>
      </c>
      <c r="P1930" s="7">
        <v>9.4716000000000005</v>
      </c>
      <c r="Q1930" s="7">
        <v>9.6228999999999996</v>
      </c>
    </row>
    <row r="1931" spans="1:17">
      <c r="A1931" s="5">
        <v>44285</v>
      </c>
      <c r="B1931" s="5" t="str">
        <f t="shared" si="30"/>
        <v>2021 q1</v>
      </c>
      <c r="C1931" s="7">
        <v>6.0960000000000001</v>
      </c>
      <c r="D1931" s="7">
        <v>6.1497000000000002</v>
      </c>
      <c r="E1931" s="7">
        <v>6.2606000000000002</v>
      </c>
      <c r="F1931" s="7">
        <v>6.4236000000000004</v>
      </c>
      <c r="G1931" s="7">
        <v>6.5735000000000001</v>
      </c>
      <c r="H1931" s="7">
        <v>6.7226999999999997</v>
      </c>
      <c r="I1931" s="7">
        <v>7.2405999999999997</v>
      </c>
      <c r="J1931" s="7">
        <v>7.6349999999999998</v>
      </c>
      <c r="K1931" s="7">
        <v>8.0187000000000008</v>
      </c>
      <c r="L1931" s="7">
        <v>8.2847000000000008</v>
      </c>
      <c r="M1931" s="7">
        <v>8.7609999999999992</v>
      </c>
      <c r="N1931" s="7">
        <v>9.2163000000000004</v>
      </c>
      <c r="O1931" s="7">
        <v>9.6419999999999995</v>
      </c>
      <c r="P1931" s="7">
        <v>9.8259000000000007</v>
      </c>
      <c r="Q1931" s="7">
        <v>10.137</v>
      </c>
    </row>
    <row r="1932" spans="1:17">
      <c r="A1932" s="5">
        <v>44286</v>
      </c>
      <c r="B1932" s="5" t="str">
        <f t="shared" si="30"/>
        <v>2021 q1</v>
      </c>
      <c r="C1932" s="7">
        <v>6.0624000000000002</v>
      </c>
      <c r="D1932" s="7">
        <v>6.1239999999999997</v>
      </c>
      <c r="E1932" s="7">
        <v>6.2511000000000001</v>
      </c>
      <c r="F1932" s="7">
        <v>6.4367999999999999</v>
      </c>
      <c r="G1932" s="7">
        <v>6.6040000000000001</v>
      </c>
      <c r="H1932" s="7">
        <v>6.7702999999999998</v>
      </c>
      <c r="I1932" s="7">
        <v>7.3277999999999999</v>
      </c>
      <c r="J1932" s="7">
        <v>7.7267000000000001</v>
      </c>
      <c r="K1932" s="7">
        <v>8.1120999999999999</v>
      </c>
      <c r="L1932" s="7">
        <v>8.3595000000000006</v>
      </c>
      <c r="M1932" s="7">
        <v>8.7934999999999999</v>
      </c>
      <c r="N1932" s="7">
        <v>9.1341999999999999</v>
      </c>
      <c r="O1932" s="7">
        <v>9.5039999999999996</v>
      </c>
      <c r="P1932" s="7">
        <v>9.6631999999999998</v>
      </c>
      <c r="Q1932" s="7">
        <v>9.8760999999999992</v>
      </c>
    </row>
    <row r="1933" spans="1:17">
      <c r="A1933" s="5">
        <v>44287</v>
      </c>
      <c r="B1933" s="5" t="str">
        <f t="shared" si="30"/>
        <v>2021 q2</v>
      </c>
      <c r="C1933" s="7">
        <v>6.1329000000000002</v>
      </c>
      <c r="D1933" s="7">
        <v>6.1864999999999997</v>
      </c>
      <c r="E1933" s="7">
        <v>6.2971000000000004</v>
      </c>
      <c r="F1933" s="7">
        <v>6.4593999999999996</v>
      </c>
      <c r="G1933" s="7">
        <v>6.6082000000000001</v>
      </c>
      <c r="H1933" s="7">
        <v>6.7564000000000002</v>
      </c>
      <c r="I1933" s="7">
        <v>7.2683999999999997</v>
      </c>
      <c r="J1933" s="7">
        <v>7.6550000000000002</v>
      </c>
      <c r="K1933" s="7">
        <v>8.0312999999999999</v>
      </c>
      <c r="L1933" s="7">
        <v>8.2561</v>
      </c>
      <c r="M1933" s="7">
        <v>8.6792999999999996</v>
      </c>
      <c r="N1933" s="7">
        <v>9.1859999999999999</v>
      </c>
      <c r="O1933" s="7">
        <v>9.5907</v>
      </c>
      <c r="P1933" s="7">
        <v>9.7627000000000006</v>
      </c>
      <c r="Q1933" s="7">
        <v>10.055099999999999</v>
      </c>
    </row>
    <row r="1934" spans="1:17">
      <c r="A1934" s="5">
        <v>44288</v>
      </c>
      <c r="B1934" s="5" t="str">
        <f t="shared" si="30"/>
        <v>2021 q2</v>
      </c>
      <c r="C1934" s="7">
        <v>6.0321999999999996</v>
      </c>
      <c r="D1934" s="7">
        <v>6.0987</v>
      </c>
      <c r="E1934" s="7">
        <v>6.2359999999999998</v>
      </c>
      <c r="F1934" s="7">
        <v>6.4358000000000004</v>
      </c>
      <c r="G1934" s="7">
        <v>6.5922000000000001</v>
      </c>
      <c r="H1934" s="7">
        <v>6.7472000000000003</v>
      </c>
      <c r="I1934" s="7">
        <v>7.3674999999999997</v>
      </c>
      <c r="J1934" s="7">
        <v>7.8182</v>
      </c>
      <c r="K1934" s="7">
        <v>8.1638999999999999</v>
      </c>
      <c r="L1934" s="7">
        <v>8.3623999999999992</v>
      </c>
      <c r="M1934" s="7">
        <v>8.7360000000000007</v>
      </c>
      <c r="N1934" s="7">
        <v>9.125</v>
      </c>
      <c r="O1934" s="7">
        <v>9.4566999999999997</v>
      </c>
      <c r="P1934" s="7">
        <v>9.5845000000000002</v>
      </c>
      <c r="Q1934" s="7">
        <v>9.7868999999999993</v>
      </c>
    </row>
    <row r="1935" spans="1:17">
      <c r="A1935" s="5">
        <v>44291</v>
      </c>
      <c r="B1935" s="5" t="str">
        <f t="shared" si="30"/>
        <v>2021 q2</v>
      </c>
      <c r="C1935" s="7">
        <v>6.0644999999999998</v>
      </c>
      <c r="D1935" s="7">
        <v>6.1283000000000003</v>
      </c>
      <c r="E1935" s="7">
        <v>6.2601000000000004</v>
      </c>
      <c r="F1935" s="7">
        <v>6.4522000000000004</v>
      </c>
      <c r="G1935" s="7">
        <v>6.6247999999999996</v>
      </c>
      <c r="H1935" s="7">
        <v>6.7969999999999997</v>
      </c>
      <c r="I1935" s="7">
        <v>7.3730000000000002</v>
      </c>
      <c r="J1935" s="7">
        <v>7.8265000000000002</v>
      </c>
      <c r="K1935" s="7">
        <v>8.1852999999999998</v>
      </c>
      <c r="L1935" s="7">
        <v>8.3991000000000007</v>
      </c>
      <c r="M1935" s="7">
        <v>8.8045000000000009</v>
      </c>
      <c r="N1935" s="7">
        <v>9.2319999999999993</v>
      </c>
      <c r="O1935" s="7">
        <v>9.6120000000000001</v>
      </c>
      <c r="P1935" s="7">
        <v>9.7604000000000006</v>
      </c>
      <c r="Q1935" s="7">
        <v>9.9971999999999994</v>
      </c>
    </row>
    <row r="1936" spans="1:17">
      <c r="A1936" s="5">
        <v>44292</v>
      </c>
      <c r="B1936" s="5" t="str">
        <f t="shared" si="30"/>
        <v>2021 q2</v>
      </c>
      <c r="C1936" s="7">
        <v>6.0633999999999997</v>
      </c>
      <c r="D1936" s="7">
        <v>6.1243999999999996</v>
      </c>
      <c r="E1936" s="7">
        <v>6.2502000000000004</v>
      </c>
      <c r="F1936" s="7">
        <v>6.4264000000000001</v>
      </c>
      <c r="G1936" s="7">
        <v>6.5968999999999998</v>
      </c>
      <c r="H1936" s="7">
        <v>6.7671000000000001</v>
      </c>
      <c r="I1936" s="7">
        <v>7.3213999999999997</v>
      </c>
      <c r="J1936" s="7">
        <v>7.7644000000000002</v>
      </c>
      <c r="K1936" s="7">
        <v>8.1182999999999996</v>
      </c>
      <c r="L1936" s="7">
        <v>8.3321000000000005</v>
      </c>
      <c r="M1936" s="7">
        <v>8.7408999999999999</v>
      </c>
      <c r="N1936" s="7">
        <v>9.2186000000000003</v>
      </c>
      <c r="O1936" s="7">
        <v>9.5736000000000008</v>
      </c>
      <c r="P1936" s="7">
        <v>9.7208000000000006</v>
      </c>
      <c r="Q1936" s="7">
        <v>9.9685000000000006</v>
      </c>
    </row>
    <row r="1937" spans="1:17">
      <c r="A1937" s="5">
        <v>44293</v>
      </c>
      <c r="B1937" s="5" t="str">
        <f t="shared" si="30"/>
        <v>2021 q2</v>
      </c>
      <c r="C1937" s="7">
        <v>6.0690999999999997</v>
      </c>
      <c r="D1937" s="7">
        <v>6.1295999999999999</v>
      </c>
      <c r="E1937" s="7">
        <v>6.2544000000000004</v>
      </c>
      <c r="F1937" s="7">
        <v>6.4292999999999996</v>
      </c>
      <c r="G1937" s="7">
        <v>6.5987</v>
      </c>
      <c r="H1937" s="7">
        <v>6.7678000000000003</v>
      </c>
      <c r="I1937" s="7">
        <v>7.3212999999999999</v>
      </c>
      <c r="J1937" s="7">
        <v>7.7656000000000001</v>
      </c>
      <c r="K1937" s="7">
        <v>8.1220999999999997</v>
      </c>
      <c r="L1937" s="7">
        <v>8.3391000000000002</v>
      </c>
      <c r="M1937" s="7">
        <v>8.7551000000000005</v>
      </c>
      <c r="N1937" s="7">
        <v>9.1966999999999999</v>
      </c>
      <c r="O1937" s="7">
        <v>9.6015999999999995</v>
      </c>
      <c r="P1937" s="7">
        <v>9.7611000000000008</v>
      </c>
      <c r="Q1937" s="7">
        <v>10.018000000000001</v>
      </c>
    </row>
    <row r="1938" spans="1:17">
      <c r="A1938" s="5">
        <v>44294</v>
      </c>
      <c r="B1938" s="5" t="str">
        <f t="shared" si="30"/>
        <v>2021 q2</v>
      </c>
      <c r="C1938" s="7">
        <v>6.0430999999999999</v>
      </c>
      <c r="D1938" s="7">
        <v>6.1052999999999997</v>
      </c>
      <c r="E1938" s="7">
        <v>6.2337999999999996</v>
      </c>
      <c r="F1938" s="7">
        <v>6.4131999999999998</v>
      </c>
      <c r="G1938" s="7">
        <v>6.5871000000000004</v>
      </c>
      <c r="H1938" s="7">
        <v>6.76</v>
      </c>
      <c r="I1938" s="7">
        <v>7.3250000000000002</v>
      </c>
      <c r="J1938" s="7">
        <v>7.7759</v>
      </c>
      <c r="K1938" s="7">
        <v>8.1354000000000006</v>
      </c>
      <c r="L1938" s="7">
        <v>8.3518000000000008</v>
      </c>
      <c r="M1938" s="7">
        <v>8.7668999999999997</v>
      </c>
      <c r="N1938" s="7">
        <v>9.2052999999999994</v>
      </c>
      <c r="O1938" s="7">
        <v>9.6030999999999995</v>
      </c>
      <c r="P1938" s="7">
        <v>9.7589000000000006</v>
      </c>
      <c r="Q1938" s="7">
        <v>10.009399999999999</v>
      </c>
    </row>
    <row r="1939" spans="1:17">
      <c r="A1939" s="5">
        <v>44295</v>
      </c>
      <c r="B1939" s="5" t="str">
        <f t="shared" si="30"/>
        <v>2021 q2</v>
      </c>
      <c r="C1939" s="7">
        <v>6.0678999999999998</v>
      </c>
      <c r="D1939" s="7">
        <v>6.1299000000000001</v>
      </c>
      <c r="E1939" s="7">
        <v>6.2579000000000002</v>
      </c>
      <c r="F1939" s="7">
        <v>6.4363000000000001</v>
      </c>
      <c r="G1939" s="7">
        <v>6.6094999999999997</v>
      </c>
      <c r="H1939" s="7">
        <v>6.7819000000000003</v>
      </c>
      <c r="I1939" s="7">
        <v>7.3432000000000004</v>
      </c>
      <c r="J1939" s="7">
        <v>7.7901999999999996</v>
      </c>
      <c r="K1939" s="7">
        <v>8.1463999999999999</v>
      </c>
      <c r="L1939" s="7">
        <v>8.3600999999999992</v>
      </c>
      <c r="M1939" s="7">
        <v>8.7705000000000002</v>
      </c>
      <c r="N1939" s="7">
        <v>9.2033000000000005</v>
      </c>
      <c r="O1939" s="7">
        <v>9.5952999999999999</v>
      </c>
      <c r="P1939" s="7">
        <v>9.7484999999999999</v>
      </c>
      <c r="Q1939" s="7">
        <v>9.9948999999999995</v>
      </c>
    </row>
    <row r="1940" spans="1:17">
      <c r="A1940" s="5">
        <v>44298</v>
      </c>
      <c r="B1940" s="5" t="str">
        <f t="shared" si="30"/>
        <v>2021 q2</v>
      </c>
      <c r="C1940" s="7">
        <v>6.0792999999999999</v>
      </c>
      <c r="D1940" s="7">
        <v>6.14</v>
      </c>
      <c r="E1940" s="7">
        <v>6.2652999999999999</v>
      </c>
      <c r="F1940" s="7">
        <v>6.4401000000000002</v>
      </c>
      <c r="G1940" s="7">
        <v>6.61</v>
      </c>
      <c r="H1940" s="7">
        <v>6.7792000000000003</v>
      </c>
      <c r="I1940" s="7">
        <v>7.3327</v>
      </c>
      <c r="J1940" s="7">
        <v>7.7756999999999996</v>
      </c>
      <c r="K1940" s="7">
        <v>8.1305999999999994</v>
      </c>
      <c r="L1940" s="7">
        <v>8.3452000000000002</v>
      </c>
      <c r="M1940" s="7">
        <v>8.7586999999999993</v>
      </c>
      <c r="N1940" s="7">
        <v>9.1958000000000002</v>
      </c>
      <c r="O1940" s="7">
        <v>9.5960999999999999</v>
      </c>
      <c r="P1940" s="7">
        <v>9.7530999999999999</v>
      </c>
      <c r="Q1940" s="7">
        <v>10.006399999999999</v>
      </c>
    </row>
    <row r="1941" spans="1:17">
      <c r="A1941" s="5">
        <v>44299</v>
      </c>
      <c r="B1941" s="5" t="str">
        <f t="shared" si="30"/>
        <v>2021 q2</v>
      </c>
      <c r="C1941" s="7">
        <v>6.1085000000000003</v>
      </c>
      <c r="D1941" s="7">
        <v>6.1661999999999999</v>
      </c>
      <c r="E1941" s="7">
        <v>6.2851999999999997</v>
      </c>
      <c r="F1941" s="7">
        <v>6.4515000000000002</v>
      </c>
      <c r="G1941" s="7">
        <v>6.6139999999999999</v>
      </c>
      <c r="H1941" s="7">
        <v>6.7752999999999997</v>
      </c>
      <c r="I1941" s="7">
        <v>7.3109000000000002</v>
      </c>
      <c r="J1941" s="7">
        <v>7.7451999999999996</v>
      </c>
      <c r="K1941" s="7">
        <v>8.0977999999999994</v>
      </c>
      <c r="L1941" s="7">
        <v>8.3156999999999996</v>
      </c>
      <c r="M1941" s="7">
        <v>8.7385999999999999</v>
      </c>
      <c r="N1941" s="7">
        <v>9.1891999999999996</v>
      </c>
      <c r="O1941" s="7">
        <v>9.6143000000000001</v>
      </c>
      <c r="P1941" s="7">
        <v>9.7828999999999997</v>
      </c>
      <c r="Q1941" s="7">
        <v>10.057</v>
      </c>
    </row>
    <row r="1942" spans="1:17">
      <c r="A1942" s="5">
        <v>44300</v>
      </c>
      <c r="B1942" s="5" t="str">
        <f t="shared" si="30"/>
        <v>2021 q2</v>
      </c>
      <c r="C1942" s="7">
        <v>6.1158000000000001</v>
      </c>
      <c r="D1942" s="7">
        <v>6.1680000000000001</v>
      </c>
      <c r="E1942" s="7">
        <v>6.2756999999999996</v>
      </c>
      <c r="F1942" s="7">
        <v>6.4279999999999999</v>
      </c>
      <c r="G1942" s="7">
        <v>6.5777000000000001</v>
      </c>
      <c r="H1942" s="7">
        <v>6.7252000000000001</v>
      </c>
      <c r="I1942" s="7">
        <v>7.2367999999999997</v>
      </c>
      <c r="J1942" s="7">
        <v>7.6664000000000003</v>
      </c>
      <c r="K1942" s="7">
        <v>8.0275999999999996</v>
      </c>
      <c r="L1942" s="7">
        <v>8.3011999999999997</v>
      </c>
      <c r="M1942" s="7">
        <v>8.8041</v>
      </c>
      <c r="N1942" s="7">
        <v>9.2494999999999994</v>
      </c>
      <c r="O1942" s="7">
        <v>9.7758000000000003</v>
      </c>
      <c r="P1942" s="7">
        <v>10.0174</v>
      </c>
      <c r="Q1942" s="7">
        <v>10.3537</v>
      </c>
    </row>
    <row r="1943" spans="1:17">
      <c r="A1943" s="5">
        <v>44301</v>
      </c>
      <c r="B1943" s="5" t="str">
        <f t="shared" si="30"/>
        <v>2021 q2</v>
      </c>
      <c r="C1943" s="7">
        <v>6.1169000000000002</v>
      </c>
      <c r="D1943" s="7">
        <v>6.1695000000000002</v>
      </c>
      <c r="E1943" s="7">
        <v>6.2778999999999998</v>
      </c>
      <c r="F1943" s="7">
        <v>6.4311999999999996</v>
      </c>
      <c r="G1943" s="7">
        <v>6.5819999999999999</v>
      </c>
      <c r="H1943" s="7">
        <v>6.7302999999999997</v>
      </c>
      <c r="I1943" s="7">
        <v>7.2464000000000004</v>
      </c>
      <c r="J1943" s="7">
        <v>7.68</v>
      </c>
      <c r="K1943" s="7">
        <v>8.0451999999999995</v>
      </c>
      <c r="L1943" s="7">
        <v>8.2876999999999992</v>
      </c>
      <c r="M1943" s="7">
        <v>8.7623999999999995</v>
      </c>
      <c r="N1943" s="7">
        <v>9.2847000000000008</v>
      </c>
      <c r="O1943" s="7">
        <v>9.8209999999999997</v>
      </c>
      <c r="P1943" s="7">
        <v>10.067600000000001</v>
      </c>
      <c r="Q1943" s="7">
        <v>10.411300000000001</v>
      </c>
    </row>
    <row r="1944" spans="1:17">
      <c r="A1944" s="5">
        <v>44302</v>
      </c>
      <c r="B1944" s="5" t="str">
        <f t="shared" si="30"/>
        <v>2021 q2</v>
      </c>
      <c r="C1944" s="7">
        <v>6.0570000000000004</v>
      </c>
      <c r="D1944" s="7">
        <v>6.1177000000000001</v>
      </c>
      <c r="E1944" s="7">
        <v>6.2431999999999999</v>
      </c>
      <c r="F1944" s="7">
        <v>6.4160000000000004</v>
      </c>
      <c r="G1944" s="7">
        <v>6.5848000000000004</v>
      </c>
      <c r="H1944" s="7">
        <v>6.7516999999999996</v>
      </c>
      <c r="I1944" s="7">
        <v>7.2908999999999997</v>
      </c>
      <c r="J1944" s="7">
        <v>7.7141000000000002</v>
      </c>
      <c r="K1944" s="7">
        <v>8.0474999999999994</v>
      </c>
      <c r="L1944" s="7">
        <v>8.2415000000000003</v>
      </c>
      <c r="M1944" s="7">
        <v>8.6187000000000005</v>
      </c>
      <c r="N1944" s="7">
        <v>9.0108999999999995</v>
      </c>
      <c r="O1944" s="7">
        <v>9.3600999999999992</v>
      </c>
      <c r="P1944" s="7">
        <v>9.5065000000000008</v>
      </c>
      <c r="Q1944" s="7">
        <v>9.7100000000000009</v>
      </c>
    </row>
    <row r="1945" spans="1:17">
      <c r="A1945" s="5">
        <v>44305</v>
      </c>
      <c r="B1945" s="5" t="str">
        <f t="shared" si="30"/>
        <v>2021 q2</v>
      </c>
      <c r="C1945" s="7">
        <v>6.0795000000000003</v>
      </c>
      <c r="D1945" s="7">
        <v>6.1386000000000003</v>
      </c>
      <c r="E1945" s="7">
        <v>6.2606000000000002</v>
      </c>
      <c r="F1945" s="7">
        <v>6.4292999999999996</v>
      </c>
      <c r="G1945" s="7">
        <v>6.5945999999999998</v>
      </c>
      <c r="H1945" s="7">
        <v>6.7580999999999998</v>
      </c>
      <c r="I1945" s="7">
        <v>7.2949000000000002</v>
      </c>
      <c r="J1945" s="7">
        <v>7.7230999999999996</v>
      </c>
      <c r="K1945" s="7">
        <v>8.0658999999999992</v>
      </c>
      <c r="L1945" s="7">
        <v>8.2712000000000003</v>
      </c>
      <c r="M1945" s="7">
        <v>8.6716999999999995</v>
      </c>
      <c r="N1945" s="7">
        <v>9.0925999999999991</v>
      </c>
      <c r="O1945" s="7">
        <v>9.4794</v>
      </c>
      <c r="P1945" s="7">
        <v>9.6298999999999992</v>
      </c>
      <c r="Q1945" s="7">
        <v>9.8741000000000003</v>
      </c>
    </row>
    <row r="1946" spans="1:17">
      <c r="A1946" s="5">
        <v>44306</v>
      </c>
      <c r="B1946" s="5" t="str">
        <f t="shared" si="30"/>
        <v>2021 q2</v>
      </c>
      <c r="C1946" s="7">
        <v>6.1139000000000001</v>
      </c>
      <c r="D1946" s="7">
        <v>6.1715999999999998</v>
      </c>
      <c r="E1946" s="7">
        <v>6.2907000000000002</v>
      </c>
      <c r="F1946" s="7">
        <v>6.4580000000000002</v>
      </c>
      <c r="G1946" s="7">
        <v>6.6231</v>
      </c>
      <c r="H1946" s="7">
        <v>6.7625000000000002</v>
      </c>
      <c r="I1946" s="7">
        <v>7.3038999999999996</v>
      </c>
      <c r="J1946" s="7">
        <v>7.7272999999999996</v>
      </c>
      <c r="K1946" s="7">
        <v>8.0677000000000003</v>
      </c>
      <c r="L1946" s="7">
        <v>8.2728999999999999</v>
      </c>
      <c r="M1946" s="7">
        <v>8.6757000000000009</v>
      </c>
      <c r="N1946" s="7">
        <v>9.0996000000000006</v>
      </c>
      <c r="O1946" s="7">
        <v>9.4943000000000008</v>
      </c>
      <c r="P1946" s="7">
        <v>9.6480999999999995</v>
      </c>
      <c r="Q1946" s="7">
        <v>9.8991000000000007</v>
      </c>
    </row>
    <row r="1947" spans="1:17">
      <c r="A1947" s="5">
        <v>44307</v>
      </c>
      <c r="B1947" s="5" t="str">
        <f t="shared" si="30"/>
        <v>2021 q2</v>
      </c>
      <c r="C1947" s="7">
        <v>6.1332000000000004</v>
      </c>
      <c r="D1947" s="7">
        <v>6.1910999999999996</v>
      </c>
      <c r="E1947" s="7">
        <v>6.3106999999999998</v>
      </c>
      <c r="F1947" s="7">
        <v>6.4785000000000004</v>
      </c>
      <c r="G1947" s="7">
        <v>6.6441999999999997</v>
      </c>
      <c r="H1947" s="7">
        <v>6.7977999999999996</v>
      </c>
      <c r="I1947" s="7">
        <v>7.3266</v>
      </c>
      <c r="J1947" s="7">
        <v>7.7493999999999996</v>
      </c>
      <c r="K1947" s="7">
        <v>8.0891000000000002</v>
      </c>
      <c r="L1947" s="7">
        <v>8.2928999999999995</v>
      </c>
      <c r="M1947" s="7">
        <v>8.6938999999999993</v>
      </c>
      <c r="N1947" s="7">
        <v>9.1149000000000004</v>
      </c>
      <c r="O1947" s="7">
        <v>9.5059000000000005</v>
      </c>
      <c r="P1947" s="7">
        <v>9.6578999999999997</v>
      </c>
      <c r="Q1947" s="7">
        <v>9.9059000000000008</v>
      </c>
    </row>
    <row r="1948" spans="1:17">
      <c r="A1948" s="5">
        <v>44308</v>
      </c>
      <c r="B1948" s="5" t="str">
        <f t="shared" si="30"/>
        <v>2021 q2</v>
      </c>
      <c r="C1948" s="7">
        <v>6.1387999999999998</v>
      </c>
      <c r="D1948" s="7">
        <v>6.1932999999999998</v>
      </c>
      <c r="E1948" s="7">
        <v>6.3059000000000003</v>
      </c>
      <c r="F1948" s="7">
        <v>6.4645999999999999</v>
      </c>
      <c r="G1948" s="7">
        <v>6.6215999999999999</v>
      </c>
      <c r="H1948" s="7">
        <v>6.7679999999999998</v>
      </c>
      <c r="I1948" s="7">
        <v>7.2784000000000004</v>
      </c>
      <c r="J1948" s="7">
        <v>7.6939000000000002</v>
      </c>
      <c r="K1948" s="7">
        <v>8.0335000000000001</v>
      </c>
      <c r="L1948" s="7">
        <v>8.2439999999999998</v>
      </c>
      <c r="M1948" s="7">
        <v>8.6593999999999998</v>
      </c>
      <c r="N1948" s="7">
        <v>9.1489999999999991</v>
      </c>
      <c r="O1948" s="7">
        <v>9.5337999999999994</v>
      </c>
      <c r="P1948" s="7">
        <v>9.6957000000000004</v>
      </c>
      <c r="Q1948" s="7">
        <v>9.9731000000000005</v>
      </c>
    </row>
    <row r="1949" spans="1:17">
      <c r="A1949" s="5">
        <v>44309</v>
      </c>
      <c r="B1949" s="5" t="str">
        <f t="shared" si="30"/>
        <v>2021 q2</v>
      </c>
      <c r="C1949" s="7">
        <v>6.1186999999999996</v>
      </c>
      <c r="D1949" s="7">
        <v>6.1753</v>
      </c>
      <c r="E1949" s="7">
        <v>6.2920999999999996</v>
      </c>
      <c r="F1949" s="7">
        <v>6.4568000000000003</v>
      </c>
      <c r="G1949" s="7">
        <v>6.6199000000000003</v>
      </c>
      <c r="H1949" s="7">
        <v>6.7717999999999998</v>
      </c>
      <c r="I1949" s="7">
        <v>7.3023999999999996</v>
      </c>
      <c r="J1949" s="7">
        <v>7.7344999999999997</v>
      </c>
      <c r="K1949" s="7">
        <v>8.0882000000000005</v>
      </c>
      <c r="L1949" s="7">
        <v>8.3078000000000003</v>
      </c>
      <c r="M1949" s="7">
        <v>8.7416</v>
      </c>
      <c r="N1949" s="7">
        <v>9.2033000000000005</v>
      </c>
      <c r="O1949" s="7">
        <v>9.6494</v>
      </c>
      <c r="P1949" s="7">
        <v>9.8262</v>
      </c>
      <c r="Q1949" s="7">
        <v>10.1173</v>
      </c>
    </row>
    <row r="1950" spans="1:17">
      <c r="A1950" s="5">
        <v>44312</v>
      </c>
      <c r="B1950" s="5" t="str">
        <f t="shared" si="30"/>
        <v>2021 q2</v>
      </c>
      <c r="C1950" s="7">
        <v>6.1184000000000003</v>
      </c>
      <c r="D1950" s="7">
        <v>6.1765999999999996</v>
      </c>
      <c r="E1950" s="7">
        <v>6.2968000000000002</v>
      </c>
      <c r="F1950" s="7">
        <v>6.4654999999999996</v>
      </c>
      <c r="G1950" s="7">
        <v>6.6326999999999998</v>
      </c>
      <c r="H1950" s="7">
        <v>6.7876000000000003</v>
      </c>
      <c r="I1950" s="7">
        <v>7.3250999999999999</v>
      </c>
      <c r="J1950" s="7">
        <v>7.7580999999999998</v>
      </c>
      <c r="K1950" s="7">
        <v>8.1089000000000002</v>
      </c>
      <c r="L1950" s="7">
        <v>8.3219999999999992</v>
      </c>
      <c r="M1950" s="7">
        <v>8.7437000000000005</v>
      </c>
      <c r="N1950" s="7">
        <v>9.1882999999999999</v>
      </c>
      <c r="O1950" s="7">
        <v>9.6090999999999998</v>
      </c>
      <c r="P1950" s="7">
        <v>9.7736000000000001</v>
      </c>
      <c r="Q1950" s="7">
        <v>10.0436</v>
      </c>
    </row>
    <row r="1951" spans="1:17">
      <c r="A1951" s="5">
        <v>44313</v>
      </c>
      <c r="B1951" s="5" t="str">
        <f t="shared" si="30"/>
        <v>2021 q2</v>
      </c>
      <c r="C1951" s="7">
        <v>6.2637</v>
      </c>
      <c r="D1951" s="7">
        <v>6.3144999999999998</v>
      </c>
      <c r="E1951" s="7">
        <v>6.4194000000000004</v>
      </c>
      <c r="F1951" s="7">
        <v>6.5677000000000003</v>
      </c>
      <c r="G1951" s="7">
        <v>6.7150999999999996</v>
      </c>
      <c r="H1951" s="7">
        <v>6.8411999999999997</v>
      </c>
      <c r="I1951" s="7">
        <v>7.34</v>
      </c>
      <c r="J1951" s="7">
        <v>7.7435999999999998</v>
      </c>
      <c r="K1951" s="7">
        <v>8.0792000000000002</v>
      </c>
      <c r="L1951" s="7">
        <v>8.2936999999999994</v>
      </c>
      <c r="M1951" s="7">
        <v>8.7205999999999992</v>
      </c>
      <c r="N1951" s="7">
        <v>9.1803000000000008</v>
      </c>
      <c r="O1951" s="7">
        <v>9.6419999999999995</v>
      </c>
      <c r="P1951" s="7">
        <v>9.8286999999999995</v>
      </c>
      <c r="Q1951" s="7">
        <v>10.139799999999999</v>
      </c>
    </row>
    <row r="1952" spans="1:17">
      <c r="A1952" s="5">
        <v>44314</v>
      </c>
      <c r="B1952" s="5" t="str">
        <f t="shared" si="30"/>
        <v>2021 q2</v>
      </c>
      <c r="C1952" s="7">
        <v>6.2584</v>
      </c>
      <c r="D1952" s="7">
        <v>6.3095999999999997</v>
      </c>
      <c r="E1952" s="7">
        <v>6.4154</v>
      </c>
      <c r="F1952" s="7">
        <v>6.5651999999999999</v>
      </c>
      <c r="G1952" s="7">
        <v>6.7142999999999997</v>
      </c>
      <c r="H1952" s="7">
        <v>6.8423999999999996</v>
      </c>
      <c r="I1952" s="7">
        <v>7.3505000000000003</v>
      </c>
      <c r="J1952" s="7">
        <v>7.7648000000000001</v>
      </c>
      <c r="K1952" s="7">
        <v>8.1119000000000003</v>
      </c>
      <c r="L1952" s="7">
        <v>8.3369</v>
      </c>
      <c r="M1952" s="7">
        <v>8.7857000000000003</v>
      </c>
      <c r="N1952" s="7">
        <v>9.2721</v>
      </c>
      <c r="O1952" s="7">
        <v>9.7692999999999994</v>
      </c>
      <c r="P1952" s="7">
        <v>9.9725999999999999</v>
      </c>
      <c r="Q1952" s="7">
        <v>10.3131</v>
      </c>
    </row>
    <row r="1953" spans="1:17">
      <c r="A1953" s="5">
        <v>44315</v>
      </c>
      <c r="B1953" s="5" t="str">
        <f t="shared" si="30"/>
        <v>2021 q2</v>
      </c>
      <c r="C1953" s="7">
        <v>6.2530999999999999</v>
      </c>
      <c r="D1953" s="7">
        <v>6.3070000000000004</v>
      </c>
      <c r="E1953" s="7">
        <v>6.4181999999999997</v>
      </c>
      <c r="F1953" s="7">
        <v>6.5749000000000004</v>
      </c>
      <c r="G1953" s="7">
        <v>6.7308000000000003</v>
      </c>
      <c r="H1953" s="7">
        <v>6.8760000000000003</v>
      </c>
      <c r="I1953" s="7">
        <v>7.3879999999999999</v>
      </c>
      <c r="J1953" s="7">
        <v>7.8090999999999999</v>
      </c>
      <c r="K1953" s="7">
        <v>8.1574000000000009</v>
      </c>
      <c r="L1953" s="7">
        <v>8.3768999999999991</v>
      </c>
      <c r="M1953" s="7">
        <v>8.8150999999999993</v>
      </c>
      <c r="N1953" s="7">
        <v>9.2836999999999996</v>
      </c>
      <c r="O1953" s="7">
        <v>9.7490000000000006</v>
      </c>
      <c r="P1953" s="7">
        <v>9.9350000000000005</v>
      </c>
      <c r="Q1953" s="7">
        <v>10.2447</v>
      </c>
    </row>
    <row r="1954" spans="1:17">
      <c r="A1954" s="5">
        <v>44316</v>
      </c>
      <c r="B1954" s="5" t="str">
        <f t="shared" si="30"/>
        <v>2021 q2</v>
      </c>
      <c r="C1954" s="7">
        <v>6.2446999999999999</v>
      </c>
      <c r="D1954" s="7">
        <v>6.2953999999999999</v>
      </c>
      <c r="E1954" s="7">
        <v>6.3998999999999997</v>
      </c>
      <c r="F1954" s="7">
        <v>6.5484999999999998</v>
      </c>
      <c r="G1954" s="7">
        <v>6.6966999999999999</v>
      </c>
      <c r="H1954" s="7">
        <v>6.8253000000000004</v>
      </c>
      <c r="I1954" s="7">
        <v>7.3373999999999997</v>
      </c>
      <c r="J1954" s="7">
        <v>7.7622</v>
      </c>
      <c r="K1954" s="7">
        <v>8.1235999999999997</v>
      </c>
      <c r="L1954" s="7">
        <v>8.3998000000000008</v>
      </c>
      <c r="M1954" s="7">
        <v>8.8635000000000002</v>
      </c>
      <c r="N1954" s="7">
        <v>9.3805999999999994</v>
      </c>
      <c r="O1954" s="7">
        <v>9.9451000000000001</v>
      </c>
      <c r="P1954" s="7">
        <v>10.182499999999999</v>
      </c>
      <c r="Q1954" s="7">
        <v>10.5847</v>
      </c>
    </row>
    <row r="1955" spans="1:17">
      <c r="A1955" s="5">
        <v>44319</v>
      </c>
      <c r="B1955" s="5" t="str">
        <f t="shared" si="30"/>
        <v>2021 q2</v>
      </c>
      <c r="C1955" s="7">
        <v>6.2328999999999999</v>
      </c>
      <c r="D1955" s="7">
        <v>6.2858000000000001</v>
      </c>
      <c r="E1955" s="7">
        <v>6.3951000000000002</v>
      </c>
      <c r="F1955" s="7">
        <v>6.5498000000000003</v>
      </c>
      <c r="G1955" s="7">
        <v>6.7042000000000002</v>
      </c>
      <c r="H1955" s="7">
        <v>6.8369999999999997</v>
      </c>
      <c r="I1955" s="7">
        <v>7.3666999999999998</v>
      </c>
      <c r="J1955" s="7">
        <v>7.8022</v>
      </c>
      <c r="K1955" s="7">
        <v>8.1697000000000006</v>
      </c>
      <c r="L1955" s="7">
        <v>8.4117999999999995</v>
      </c>
      <c r="M1955" s="7">
        <v>8.8960000000000008</v>
      </c>
      <c r="N1955" s="7">
        <v>9.4802999999999997</v>
      </c>
      <c r="O1955" s="7">
        <v>9.9823000000000004</v>
      </c>
      <c r="P1955" s="7">
        <v>10.223000000000001</v>
      </c>
      <c r="Q1955" s="7">
        <v>10.5863</v>
      </c>
    </row>
    <row r="1956" spans="1:17">
      <c r="A1956" s="5">
        <v>44320</v>
      </c>
      <c r="B1956" s="5" t="str">
        <f t="shared" si="30"/>
        <v>2021 q2</v>
      </c>
      <c r="C1956" s="7">
        <v>6.3338000000000001</v>
      </c>
      <c r="D1956" s="7">
        <v>6.3800999999999997</v>
      </c>
      <c r="E1956" s="7">
        <v>6.4757999999999996</v>
      </c>
      <c r="F1956" s="7">
        <v>6.6166999999999998</v>
      </c>
      <c r="G1956" s="7">
        <v>6.7521000000000004</v>
      </c>
      <c r="H1956" s="7">
        <v>6.8872999999999998</v>
      </c>
      <c r="I1956" s="7">
        <v>7.3658000000000001</v>
      </c>
      <c r="J1956" s="7">
        <v>7.7763999999999998</v>
      </c>
      <c r="K1956" s="7">
        <v>8.1290999999999993</v>
      </c>
      <c r="L1956" s="7">
        <v>8.3719999999999999</v>
      </c>
      <c r="M1956" s="7">
        <v>8.8579000000000008</v>
      </c>
      <c r="N1956" s="7">
        <v>9.4544999999999995</v>
      </c>
      <c r="O1956" s="7">
        <v>9.9977999999999998</v>
      </c>
      <c r="P1956" s="7">
        <v>10.2674</v>
      </c>
      <c r="Q1956" s="7">
        <v>10.681100000000001</v>
      </c>
    </row>
    <row r="1957" spans="1:17">
      <c r="A1957" s="5">
        <v>44321</v>
      </c>
      <c r="B1957" s="5" t="str">
        <f t="shared" si="30"/>
        <v>2021 q2</v>
      </c>
      <c r="C1957" s="7">
        <v>6.3159000000000001</v>
      </c>
      <c r="D1957" s="7">
        <v>6.3647</v>
      </c>
      <c r="E1957" s="7">
        <v>6.4653</v>
      </c>
      <c r="F1957" s="7">
        <v>6.6132</v>
      </c>
      <c r="G1957" s="7">
        <v>6.7545999999999999</v>
      </c>
      <c r="H1957" s="7">
        <v>6.8956999999999997</v>
      </c>
      <c r="I1957" s="7">
        <v>7.3884999999999996</v>
      </c>
      <c r="J1957" s="7">
        <v>7.8041999999999998</v>
      </c>
      <c r="K1957" s="7">
        <v>8.1553000000000004</v>
      </c>
      <c r="L1957" s="7">
        <v>8.3887999999999998</v>
      </c>
      <c r="M1957" s="7">
        <v>8.8557000000000006</v>
      </c>
      <c r="N1957" s="7">
        <v>9.3651</v>
      </c>
      <c r="O1957" s="7">
        <v>9.9013000000000009</v>
      </c>
      <c r="P1957" s="7">
        <v>10.1431</v>
      </c>
      <c r="Q1957" s="7">
        <v>10.4993</v>
      </c>
    </row>
    <row r="1958" spans="1:17">
      <c r="A1958" s="5">
        <v>44322</v>
      </c>
      <c r="B1958" s="5" t="str">
        <f t="shared" si="30"/>
        <v>2021 q2</v>
      </c>
      <c r="C1958" s="7">
        <v>6.3213999999999997</v>
      </c>
      <c r="D1958" s="7">
        <v>6.3704000000000001</v>
      </c>
      <c r="E1958" s="7">
        <v>6.4717000000000002</v>
      </c>
      <c r="F1958" s="7">
        <v>6.6203000000000003</v>
      </c>
      <c r="G1958" s="7">
        <v>6.7624000000000004</v>
      </c>
      <c r="H1958" s="7">
        <v>6.9039000000000001</v>
      </c>
      <c r="I1958" s="7">
        <v>7.3968999999999996</v>
      </c>
      <c r="J1958" s="7">
        <v>7.8109999999999999</v>
      </c>
      <c r="K1958" s="7">
        <v>8.1603999999999992</v>
      </c>
      <c r="L1958" s="7">
        <v>8.4404000000000003</v>
      </c>
      <c r="M1958" s="7">
        <v>8.9123999999999999</v>
      </c>
      <c r="N1958" s="7">
        <v>9.3460999999999999</v>
      </c>
      <c r="O1958" s="7">
        <v>9.8657000000000004</v>
      </c>
      <c r="P1958" s="7">
        <v>10.098100000000001</v>
      </c>
      <c r="Q1958" s="7">
        <v>10.4392</v>
      </c>
    </row>
    <row r="1959" spans="1:17">
      <c r="A1959" s="5">
        <v>44323</v>
      </c>
      <c r="B1959" s="5" t="str">
        <f t="shared" si="30"/>
        <v>2021 q2</v>
      </c>
      <c r="C1959" s="7">
        <v>6.3198999999999996</v>
      </c>
      <c r="D1959" s="7">
        <v>6.3685999999999998</v>
      </c>
      <c r="E1959" s="7">
        <v>6.4691000000000001</v>
      </c>
      <c r="F1959" s="7">
        <v>6.6167999999999996</v>
      </c>
      <c r="G1959" s="7">
        <v>6.7584</v>
      </c>
      <c r="H1959" s="7">
        <v>6.8992000000000004</v>
      </c>
      <c r="I1959" s="7">
        <v>7.3943000000000003</v>
      </c>
      <c r="J1959" s="7">
        <v>7.8140999999999998</v>
      </c>
      <c r="K1959" s="7">
        <v>8.1707999999999998</v>
      </c>
      <c r="L1959" s="7">
        <v>8.4451999999999998</v>
      </c>
      <c r="M1959" s="7">
        <v>8.9535</v>
      </c>
      <c r="N1959" s="7">
        <v>9.4146000000000001</v>
      </c>
      <c r="O1959" s="7">
        <v>9.9748999999999999</v>
      </c>
      <c r="P1959" s="7">
        <v>10.229799999999999</v>
      </c>
      <c r="Q1959" s="7">
        <v>10.6074</v>
      </c>
    </row>
    <row r="1960" spans="1:17">
      <c r="A1960" s="5">
        <v>44326</v>
      </c>
      <c r="B1960" s="5" t="str">
        <f t="shared" si="30"/>
        <v>2021 q2</v>
      </c>
      <c r="C1960" s="7">
        <v>6.3023999999999996</v>
      </c>
      <c r="D1960" s="7">
        <v>6.3539000000000003</v>
      </c>
      <c r="E1960" s="7">
        <v>6.4600999999999997</v>
      </c>
      <c r="F1960" s="7">
        <v>6.6153000000000004</v>
      </c>
      <c r="G1960" s="7">
        <v>6.7632000000000003</v>
      </c>
      <c r="H1960" s="7">
        <v>6.9099000000000004</v>
      </c>
      <c r="I1960" s="7">
        <v>7.4145000000000003</v>
      </c>
      <c r="J1960" s="7">
        <v>7.8301999999999996</v>
      </c>
      <c r="K1960" s="7">
        <v>8.1729000000000003</v>
      </c>
      <c r="L1960" s="7">
        <v>8.3908000000000005</v>
      </c>
      <c r="M1960" s="7">
        <v>8.8267000000000007</v>
      </c>
      <c r="N1960" s="7">
        <v>9.2901000000000007</v>
      </c>
      <c r="O1960" s="7">
        <v>9.7543000000000006</v>
      </c>
      <c r="P1960" s="7">
        <v>9.9552999999999994</v>
      </c>
      <c r="Q1960" s="7">
        <v>10.2469</v>
      </c>
    </row>
    <row r="1961" spans="1:17">
      <c r="A1961" s="5">
        <v>44327</v>
      </c>
      <c r="B1961" s="5" t="str">
        <f t="shared" si="30"/>
        <v>2021 q2</v>
      </c>
      <c r="C1961" s="7">
        <v>6.3124000000000002</v>
      </c>
      <c r="D1961" s="7">
        <v>6.3630000000000004</v>
      </c>
      <c r="E1961" s="7">
        <v>6.4673999999999996</v>
      </c>
      <c r="F1961" s="7">
        <v>6.6200999999999999</v>
      </c>
      <c r="G1961" s="7">
        <v>6.7664</v>
      </c>
      <c r="H1961" s="7">
        <v>6.9109999999999996</v>
      </c>
      <c r="I1961" s="7">
        <v>7.4156000000000004</v>
      </c>
      <c r="J1961" s="7">
        <v>7.8373999999999997</v>
      </c>
      <c r="K1961" s="7">
        <v>8.1895000000000007</v>
      </c>
      <c r="L1961" s="7">
        <v>8.4207000000000001</v>
      </c>
      <c r="M1961" s="7">
        <v>8.8831000000000007</v>
      </c>
      <c r="N1961" s="7">
        <v>9.3804999999999996</v>
      </c>
      <c r="O1961" s="7">
        <v>9.8957999999999995</v>
      </c>
      <c r="P1961" s="7">
        <v>10.1234</v>
      </c>
      <c r="Q1961" s="7">
        <v>10.457700000000001</v>
      </c>
    </row>
    <row r="1962" spans="1:17">
      <c r="A1962" s="5">
        <v>44328</v>
      </c>
      <c r="B1962" s="5" t="str">
        <f t="shared" si="30"/>
        <v>2021 q2</v>
      </c>
      <c r="C1962" s="7">
        <v>6.3037000000000001</v>
      </c>
      <c r="D1962" s="7">
        <v>6.3558000000000003</v>
      </c>
      <c r="E1962" s="7">
        <v>6.4633000000000003</v>
      </c>
      <c r="F1962" s="7">
        <v>6.6200999999999999</v>
      </c>
      <c r="G1962" s="7">
        <v>6.7702</v>
      </c>
      <c r="H1962" s="7">
        <v>6.9183000000000003</v>
      </c>
      <c r="I1962" s="7">
        <v>7.4326999999999996</v>
      </c>
      <c r="J1962" s="7">
        <v>7.8597000000000001</v>
      </c>
      <c r="K1962" s="7">
        <v>8.2134</v>
      </c>
      <c r="L1962" s="7">
        <v>8.4426000000000005</v>
      </c>
      <c r="M1962" s="7">
        <v>8.9009999999999998</v>
      </c>
      <c r="N1962" s="7">
        <v>9.3902999999999999</v>
      </c>
      <c r="O1962" s="7">
        <v>9.8895999999999997</v>
      </c>
      <c r="P1962" s="7">
        <v>10.1074</v>
      </c>
      <c r="Q1962" s="7">
        <v>10.4259</v>
      </c>
    </row>
    <row r="1963" spans="1:17">
      <c r="A1963" s="5">
        <v>44329</v>
      </c>
      <c r="B1963" s="5" t="str">
        <f t="shared" si="30"/>
        <v>2021 q2</v>
      </c>
      <c r="C1963" s="7">
        <v>6.2925000000000004</v>
      </c>
      <c r="D1963" s="7">
        <v>6.3432000000000004</v>
      </c>
      <c r="E1963" s="7">
        <v>6.4478999999999997</v>
      </c>
      <c r="F1963" s="7">
        <v>6.6056999999999997</v>
      </c>
      <c r="G1963" s="7">
        <v>6.7645999999999997</v>
      </c>
      <c r="H1963" s="7">
        <v>6.9222999999999999</v>
      </c>
      <c r="I1963" s="7">
        <v>7.5092999999999996</v>
      </c>
      <c r="J1963" s="7">
        <v>7.9936999999999996</v>
      </c>
      <c r="K1963" s="7">
        <v>8.3737999999999992</v>
      </c>
      <c r="L1963" s="7">
        <v>8.6652000000000005</v>
      </c>
      <c r="M1963" s="7">
        <v>9.0103000000000009</v>
      </c>
      <c r="N1963" s="7">
        <v>9.3590999999999998</v>
      </c>
      <c r="O1963" s="7">
        <v>9.6720000000000006</v>
      </c>
      <c r="P1963" s="7">
        <v>9.7940000000000005</v>
      </c>
      <c r="Q1963" s="7">
        <v>9.9648000000000003</v>
      </c>
    </row>
    <row r="1964" spans="1:17">
      <c r="A1964" s="5">
        <v>44330</v>
      </c>
      <c r="B1964" s="5" t="str">
        <f t="shared" si="30"/>
        <v>2021 q2</v>
      </c>
      <c r="C1964" s="7">
        <v>6.4073000000000002</v>
      </c>
      <c r="D1964" s="7">
        <v>6.4429999999999996</v>
      </c>
      <c r="E1964" s="7">
        <v>6.5167000000000002</v>
      </c>
      <c r="F1964" s="7">
        <v>6.6376999999999997</v>
      </c>
      <c r="G1964" s="7">
        <v>6.7728000000000002</v>
      </c>
      <c r="H1964" s="7">
        <v>6.9089</v>
      </c>
      <c r="I1964" s="7">
        <v>7.4791999999999996</v>
      </c>
      <c r="J1964" s="7">
        <v>7.9596999999999998</v>
      </c>
      <c r="K1964" s="7">
        <v>8.3265999999999991</v>
      </c>
      <c r="L1964" s="7">
        <v>8.5975000000000001</v>
      </c>
      <c r="M1964" s="7">
        <v>8.9003999999999994</v>
      </c>
      <c r="N1964" s="7">
        <v>9.2018000000000004</v>
      </c>
      <c r="O1964" s="7">
        <v>9.4619999999999997</v>
      </c>
      <c r="P1964" s="7">
        <v>9.5627999999999993</v>
      </c>
      <c r="Q1964" s="7">
        <v>9.7036999999999995</v>
      </c>
    </row>
    <row r="1965" spans="1:17">
      <c r="A1965" s="5">
        <v>44333</v>
      </c>
      <c r="B1965" s="5" t="str">
        <f t="shared" si="30"/>
        <v>2021 q2</v>
      </c>
      <c r="C1965" s="7">
        <v>6.4146999999999998</v>
      </c>
      <c r="D1965" s="7">
        <v>6.4489000000000001</v>
      </c>
      <c r="E1965" s="7">
        <v>6.5194000000000001</v>
      </c>
      <c r="F1965" s="7">
        <v>6.6375999999999999</v>
      </c>
      <c r="G1965" s="7">
        <v>6.7716000000000003</v>
      </c>
      <c r="H1965" s="7">
        <v>6.9070999999999998</v>
      </c>
      <c r="I1965" s="7">
        <v>7.4833999999999996</v>
      </c>
      <c r="J1965" s="7">
        <v>7.9682000000000004</v>
      </c>
      <c r="K1965" s="7">
        <v>8.3361000000000001</v>
      </c>
      <c r="L1965" s="7">
        <v>8.6056000000000008</v>
      </c>
      <c r="M1965" s="7">
        <v>8.9047000000000001</v>
      </c>
      <c r="N1965" s="7">
        <v>9.2015999999999991</v>
      </c>
      <c r="O1965" s="7">
        <v>9.4568999999999992</v>
      </c>
      <c r="P1965" s="7">
        <v>9.5556000000000001</v>
      </c>
      <c r="Q1965" s="7">
        <v>9.6936999999999998</v>
      </c>
    </row>
    <row r="1966" spans="1:17">
      <c r="A1966" s="5">
        <v>44334</v>
      </c>
      <c r="B1966" s="5" t="str">
        <f t="shared" si="30"/>
        <v>2021 q2</v>
      </c>
      <c r="C1966" s="7">
        <v>6.4330999999999996</v>
      </c>
      <c r="D1966" s="7">
        <v>6.4855999999999998</v>
      </c>
      <c r="E1966" s="7">
        <v>6.5941000000000001</v>
      </c>
      <c r="F1966" s="7">
        <v>6.7515999999999998</v>
      </c>
      <c r="G1966" s="7">
        <v>6.9031000000000002</v>
      </c>
      <c r="H1966" s="7">
        <v>7.0324</v>
      </c>
      <c r="I1966" s="7">
        <v>7.5282999999999998</v>
      </c>
      <c r="J1966" s="7">
        <v>7.9118000000000004</v>
      </c>
      <c r="K1966" s="7">
        <v>8.2136999999999993</v>
      </c>
      <c r="L1966" s="7">
        <v>8.3930000000000007</v>
      </c>
      <c r="M1966" s="7">
        <v>8.7515000000000001</v>
      </c>
      <c r="N1966" s="7">
        <v>9.1166999999999998</v>
      </c>
      <c r="O1966" s="7">
        <v>9.4559999999999995</v>
      </c>
      <c r="P1966" s="7">
        <v>9.5947999999999993</v>
      </c>
      <c r="Q1966" s="7">
        <v>9.7939000000000007</v>
      </c>
    </row>
    <row r="1967" spans="1:17">
      <c r="A1967" s="5">
        <v>44335</v>
      </c>
      <c r="B1967" s="5" t="str">
        <f t="shared" si="30"/>
        <v>2021 q2</v>
      </c>
      <c r="C1967" s="7">
        <v>6.4855</v>
      </c>
      <c r="D1967" s="7">
        <v>6.5323000000000002</v>
      </c>
      <c r="E1967" s="7">
        <v>6.6288</v>
      </c>
      <c r="F1967" s="7">
        <v>6.7698</v>
      </c>
      <c r="G1967" s="7">
        <v>6.9069000000000003</v>
      </c>
      <c r="H1967" s="7">
        <v>7.0281000000000002</v>
      </c>
      <c r="I1967" s="7">
        <v>7.4978999999999996</v>
      </c>
      <c r="J1967" s="7">
        <v>7.8833000000000002</v>
      </c>
      <c r="K1967" s="7">
        <v>8.2058999999999997</v>
      </c>
      <c r="L1967" s="7">
        <v>8.4753000000000007</v>
      </c>
      <c r="M1967" s="7">
        <v>8.8588000000000005</v>
      </c>
      <c r="N1967" s="7">
        <v>9.2802000000000007</v>
      </c>
      <c r="O1967" s="7">
        <v>9.7431999999999999</v>
      </c>
      <c r="P1967" s="7">
        <v>9.9596</v>
      </c>
      <c r="Q1967" s="7">
        <v>10.237299999999999</v>
      </c>
    </row>
    <row r="1968" spans="1:17">
      <c r="A1968" s="5">
        <v>44336</v>
      </c>
      <c r="B1968" s="5" t="str">
        <f t="shared" si="30"/>
        <v>2021 q2</v>
      </c>
      <c r="C1968" s="7">
        <v>6.4249999999999998</v>
      </c>
      <c r="D1968" s="7">
        <v>6.4794999999999998</v>
      </c>
      <c r="E1968" s="7">
        <v>6.5921000000000003</v>
      </c>
      <c r="F1968" s="7">
        <v>6.7553000000000001</v>
      </c>
      <c r="G1968" s="7">
        <v>6.9126000000000003</v>
      </c>
      <c r="H1968" s="7">
        <v>7.0461999999999998</v>
      </c>
      <c r="I1968" s="7">
        <v>7.56</v>
      </c>
      <c r="J1968" s="7">
        <v>7.9570999999999996</v>
      </c>
      <c r="K1968" s="7">
        <v>8.2729999999999997</v>
      </c>
      <c r="L1968" s="7">
        <v>8.5243000000000002</v>
      </c>
      <c r="M1968" s="7">
        <v>8.8547999999999991</v>
      </c>
      <c r="N1968" s="7">
        <v>9.2026000000000003</v>
      </c>
      <c r="O1968" s="7">
        <v>9.5532000000000004</v>
      </c>
      <c r="P1968" s="7">
        <v>9.6960999999999995</v>
      </c>
      <c r="Q1968" s="7">
        <v>9.9015000000000004</v>
      </c>
    </row>
    <row r="1969" spans="1:17">
      <c r="A1969" s="5">
        <v>44337</v>
      </c>
      <c r="B1969" s="5" t="str">
        <f t="shared" si="30"/>
        <v>2021 q2</v>
      </c>
      <c r="C1969" s="7">
        <v>6.5235000000000003</v>
      </c>
      <c r="D1969" s="7">
        <v>6.5670000000000002</v>
      </c>
      <c r="E1969" s="7">
        <v>6.6566999999999998</v>
      </c>
      <c r="F1969" s="7">
        <v>6.7878999999999996</v>
      </c>
      <c r="G1969" s="7">
        <v>6.9157999999999999</v>
      </c>
      <c r="H1969" s="7">
        <v>7.0296000000000003</v>
      </c>
      <c r="I1969" s="7">
        <v>7.4725999999999999</v>
      </c>
      <c r="J1969" s="7">
        <v>7.8411999999999997</v>
      </c>
      <c r="K1969" s="7">
        <v>8.1502999999999997</v>
      </c>
      <c r="L1969" s="7">
        <v>8.3591999999999995</v>
      </c>
      <c r="M1969" s="7">
        <v>8.7771000000000008</v>
      </c>
      <c r="N1969" s="7">
        <v>9.2283000000000008</v>
      </c>
      <c r="O1969" s="7">
        <v>9.7093000000000007</v>
      </c>
      <c r="P1969" s="7">
        <v>9.9389000000000003</v>
      </c>
      <c r="Q1969" s="7">
        <v>10.2372</v>
      </c>
    </row>
    <row r="1970" spans="1:17">
      <c r="A1970" s="5">
        <v>44340</v>
      </c>
      <c r="B1970" s="5" t="str">
        <f t="shared" si="30"/>
        <v>2021 q2</v>
      </c>
      <c r="C1970" s="7">
        <v>6.4861000000000004</v>
      </c>
      <c r="D1970" s="7">
        <v>6.5355999999999996</v>
      </c>
      <c r="E1970" s="7">
        <v>6.6378000000000004</v>
      </c>
      <c r="F1970" s="7">
        <v>6.7862</v>
      </c>
      <c r="G1970" s="7">
        <v>6.93</v>
      </c>
      <c r="H1970" s="7">
        <v>7.0538999999999996</v>
      </c>
      <c r="I1970" s="7">
        <v>7.5335000000000001</v>
      </c>
      <c r="J1970" s="7">
        <v>7.9146000000000001</v>
      </c>
      <c r="K1970" s="7">
        <v>8.2209000000000003</v>
      </c>
      <c r="L1970" s="7">
        <v>8.4117999999999995</v>
      </c>
      <c r="M1970" s="7">
        <v>8.7935999999999996</v>
      </c>
      <c r="N1970" s="7">
        <v>9.1888000000000005</v>
      </c>
      <c r="O1970" s="7">
        <v>9.5741999999999994</v>
      </c>
      <c r="P1970" s="7">
        <v>9.7213999999999992</v>
      </c>
      <c r="Q1970" s="7">
        <v>9.9697999999999993</v>
      </c>
    </row>
    <row r="1971" spans="1:17">
      <c r="A1971" s="5">
        <v>44341</v>
      </c>
      <c r="B1971" s="5" t="str">
        <f t="shared" si="30"/>
        <v>2021 q2</v>
      </c>
      <c r="C1971" s="7">
        <v>6.5651000000000002</v>
      </c>
      <c r="D1971" s="7">
        <v>6.6113999999999997</v>
      </c>
      <c r="E1971" s="7">
        <v>6.7069999999999999</v>
      </c>
      <c r="F1971" s="7">
        <v>6.8474000000000004</v>
      </c>
      <c r="G1971" s="7">
        <v>6.9695</v>
      </c>
      <c r="H1971" s="7">
        <v>7.0869999999999997</v>
      </c>
      <c r="I1971" s="7">
        <v>7.5503</v>
      </c>
      <c r="J1971" s="7">
        <v>7.9142999999999999</v>
      </c>
      <c r="K1971" s="7">
        <v>8.2090999999999994</v>
      </c>
      <c r="L1971" s="7">
        <v>8.3969000000000005</v>
      </c>
      <c r="M1971" s="7">
        <v>8.7725000000000009</v>
      </c>
      <c r="N1971" s="7">
        <v>9.1636000000000006</v>
      </c>
      <c r="O1971" s="7">
        <v>9.5534999999999997</v>
      </c>
      <c r="P1971" s="7">
        <v>9.7037999999999993</v>
      </c>
      <c r="Q1971" s="7">
        <v>9.9590999999999994</v>
      </c>
    </row>
    <row r="1972" spans="1:17">
      <c r="A1972" s="5">
        <v>44342</v>
      </c>
      <c r="B1972" s="5" t="str">
        <f t="shared" si="30"/>
        <v>2021 q2</v>
      </c>
      <c r="C1972" s="7">
        <v>6.6394000000000002</v>
      </c>
      <c r="D1972" s="7">
        <v>6.6768000000000001</v>
      </c>
      <c r="E1972" s="7">
        <v>6.7538999999999998</v>
      </c>
      <c r="F1972" s="7">
        <v>6.8681000000000001</v>
      </c>
      <c r="G1972" s="7">
        <v>6.9713000000000003</v>
      </c>
      <c r="H1972" s="7">
        <v>7.0720999999999998</v>
      </c>
      <c r="I1972" s="7">
        <v>7.4706000000000001</v>
      </c>
      <c r="J1972" s="7">
        <v>7.8068999999999997</v>
      </c>
      <c r="K1972" s="7">
        <v>8.0958000000000006</v>
      </c>
      <c r="L1972" s="7">
        <v>8.3030000000000008</v>
      </c>
      <c r="M1972" s="7">
        <v>8.7173999999999996</v>
      </c>
      <c r="N1972" s="7">
        <v>9.1782000000000004</v>
      </c>
      <c r="O1972" s="7">
        <v>9.7025000000000006</v>
      </c>
      <c r="P1972" s="7">
        <v>9.9671000000000003</v>
      </c>
      <c r="Q1972" s="7">
        <v>10.3215</v>
      </c>
    </row>
    <row r="1973" spans="1:17">
      <c r="A1973" s="5">
        <v>44343</v>
      </c>
      <c r="B1973" s="5" t="str">
        <f t="shared" si="30"/>
        <v>2021 q2</v>
      </c>
      <c r="C1973" s="7">
        <v>6.5407999999999999</v>
      </c>
      <c r="D1973" s="7">
        <v>6.5895999999999999</v>
      </c>
      <c r="E1973" s="7">
        <v>6.6905000000000001</v>
      </c>
      <c r="F1973" s="7">
        <v>6.8383000000000003</v>
      </c>
      <c r="G1973" s="7">
        <v>6.9641999999999999</v>
      </c>
      <c r="H1973" s="7">
        <v>7.0854999999999997</v>
      </c>
      <c r="I1973" s="7">
        <v>7.5621</v>
      </c>
      <c r="J1973" s="7">
        <v>7.9265999999999996</v>
      </c>
      <c r="K1973" s="7">
        <v>8.2197999999999993</v>
      </c>
      <c r="L1973" s="7">
        <v>8.4570000000000007</v>
      </c>
      <c r="M1973" s="7">
        <v>8.8032000000000004</v>
      </c>
      <c r="N1973" s="7">
        <v>9.1052</v>
      </c>
      <c r="O1973" s="7">
        <v>9.4495000000000005</v>
      </c>
      <c r="P1973" s="7">
        <v>9.5905000000000005</v>
      </c>
      <c r="Q1973" s="7">
        <v>9.7951999999999995</v>
      </c>
    </row>
    <row r="1974" spans="1:17">
      <c r="A1974" s="5">
        <v>44347</v>
      </c>
      <c r="B1974" s="5" t="str">
        <f t="shared" si="30"/>
        <v>2021 q2</v>
      </c>
      <c r="C1974" s="7">
        <v>6.7135999999999996</v>
      </c>
      <c r="D1974" s="7">
        <v>6.7530999999999999</v>
      </c>
      <c r="E1974" s="7">
        <v>6.8346</v>
      </c>
      <c r="F1974" s="7">
        <v>6.9545000000000003</v>
      </c>
      <c r="G1974" s="7">
        <v>7.0598000000000001</v>
      </c>
      <c r="H1974" s="7">
        <v>7.1619999999999999</v>
      </c>
      <c r="I1974" s="7">
        <v>7.5648</v>
      </c>
      <c r="J1974" s="7">
        <v>7.8888999999999996</v>
      </c>
      <c r="K1974" s="7">
        <v>8.1608999999999998</v>
      </c>
      <c r="L1974" s="7">
        <v>8.3604000000000003</v>
      </c>
      <c r="M1974" s="7">
        <v>8.6987000000000005</v>
      </c>
      <c r="N1974" s="7">
        <v>9.0625</v>
      </c>
      <c r="O1974" s="7">
        <v>9.4526000000000003</v>
      </c>
      <c r="P1974" s="7">
        <v>9.6212999999999997</v>
      </c>
      <c r="Q1974" s="7">
        <v>9.8719999999999999</v>
      </c>
    </row>
    <row r="1975" spans="1:17">
      <c r="A1975" s="5">
        <v>44348</v>
      </c>
      <c r="B1975" s="5" t="str">
        <f t="shared" si="30"/>
        <v>2021 q2</v>
      </c>
      <c r="C1975" s="7">
        <v>6.7008000000000001</v>
      </c>
      <c r="D1975" s="7">
        <v>6.7413999999999996</v>
      </c>
      <c r="E1975" s="7">
        <v>6.8253000000000004</v>
      </c>
      <c r="F1975" s="7">
        <v>6.9485000000000001</v>
      </c>
      <c r="G1975" s="7">
        <v>7.0568</v>
      </c>
      <c r="H1975" s="7">
        <v>7.1627000000000001</v>
      </c>
      <c r="I1975" s="7">
        <v>7.5795000000000003</v>
      </c>
      <c r="J1975" s="7">
        <v>7.9181999999999997</v>
      </c>
      <c r="K1975" s="7">
        <v>8.2044999999999995</v>
      </c>
      <c r="L1975" s="7">
        <v>8.4423999999999992</v>
      </c>
      <c r="M1975" s="7">
        <v>8.7897999999999996</v>
      </c>
      <c r="N1975" s="7">
        <v>9.1710999999999991</v>
      </c>
      <c r="O1975" s="7">
        <v>9.5991</v>
      </c>
      <c r="P1975" s="7">
        <v>9.7859999999999996</v>
      </c>
      <c r="Q1975" s="7">
        <v>10.0661</v>
      </c>
    </row>
    <row r="1976" spans="1:17">
      <c r="A1976" s="5">
        <v>44349</v>
      </c>
      <c r="B1976" s="5" t="str">
        <f t="shared" si="30"/>
        <v>2021 q2</v>
      </c>
      <c r="C1976" s="7">
        <v>6.8777999999999997</v>
      </c>
      <c r="D1976" s="7">
        <v>6.9089</v>
      </c>
      <c r="E1976" s="7">
        <v>6.9732000000000003</v>
      </c>
      <c r="F1976" s="7">
        <v>7.0679999999999996</v>
      </c>
      <c r="G1976" s="7">
        <v>7.1529999999999996</v>
      </c>
      <c r="H1976" s="7">
        <v>7.2366000000000001</v>
      </c>
      <c r="I1976" s="7">
        <v>7.5663999999999998</v>
      </c>
      <c r="J1976" s="7">
        <v>7.8438999999999997</v>
      </c>
      <c r="K1976" s="7">
        <v>8.0806000000000004</v>
      </c>
      <c r="L1976" s="7">
        <v>8.2502999999999993</v>
      </c>
      <c r="M1976" s="7">
        <v>8.5898000000000003</v>
      </c>
      <c r="N1976" s="7">
        <v>8.9641000000000002</v>
      </c>
      <c r="O1976" s="7">
        <v>9.3886000000000003</v>
      </c>
      <c r="P1976" s="7">
        <v>9.5860000000000003</v>
      </c>
      <c r="Q1976" s="7">
        <v>9.8895999999999997</v>
      </c>
    </row>
    <row r="1977" spans="1:17">
      <c r="A1977" s="5">
        <v>44350</v>
      </c>
      <c r="B1977" s="5" t="str">
        <f t="shared" si="30"/>
        <v>2021 q2</v>
      </c>
      <c r="C1977" s="7">
        <v>6.8465999999999996</v>
      </c>
      <c r="D1977" s="7">
        <v>6.8819999999999997</v>
      </c>
      <c r="E1977" s="7">
        <v>6.9553000000000003</v>
      </c>
      <c r="F1977" s="7">
        <v>7.0629</v>
      </c>
      <c r="G1977" s="7">
        <v>7.1574</v>
      </c>
      <c r="H1977" s="7">
        <v>7.2502000000000004</v>
      </c>
      <c r="I1977" s="7">
        <v>7.6151999999999997</v>
      </c>
      <c r="J1977" s="7">
        <v>7.9130000000000003</v>
      </c>
      <c r="K1977" s="7">
        <v>8.1647999999999996</v>
      </c>
      <c r="L1977" s="7">
        <v>8.3757999999999999</v>
      </c>
      <c r="M1977" s="7">
        <v>8.6851000000000003</v>
      </c>
      <c r="N1977" s="7">
        <v>9.0251000000000001</v>
      </c>
      <c r="O1977" s="7">
        <v>9.4094999999999995</v>
      </c>
      <c r="P1977" s="7">
        <v>9.5780999999999992</v>
      </c>
      <c r="Q1977" s="7">
        <v>9.8317999999999994</v>
      </c>
    </row>
    <row r="1978" spans="1:17">
      <c r="A1978" s="5">
        <v>44351</v>
      </c>
      <c r="B1978" s="5" t="str">
        <f t="shared" si="30"/>
        <v>2021 q2</v>
      </c>
      <c r="C1978" s="7">
        <v>6.8826000000000001</v>
      </c>
      <c r="D1978" s="7">
        <v>6.9130000000000003</v>
      </c>
      <c r="E1978" s="7">
        <v>6.9756</v>
      </c>
      <c r="F1978" s="7">
        <v>7.0682</v>
      </c>
      <c r="G1978" s="7">
        <v>7.1523000000000003</v>
      </c>
      <c r="H1978" s="7">
        <v>7.2355</v>
      </c>
      <c r="I1978" s="7">
        <v>7.5636000000000001</v>
      </c>
      <c r="J1978" s="7">
        <v>7.8461999999999996</v>
      </c>
      <c r="K1978" s="7">
        <v>8.0920000000000005</v>
      </c>
      <c r="L1978" s="7">
        <v>8.2758000000000003</v>
      </c>
      <c r="M1978" s="7">
        <v>8.6433</v>
      </c>
      <c r="N1978" s="7">
        <v>9.0594999999999999</v>
      </c>
      <c r="O1978" s="7">
        <v>9.5548999999999999</v>
      </c>
      <c r="P1978" s="7">
        <v>9.7978000000000005</v>
      </c>
      <c r="Q1978" s="7">
        <v>10.180099999999999</v>
      </c>
    </row>
    <row r="1979" spans="1:17">
      <c r="A1979" s="5">
        <v>44354</v>
      </c>
      <c r="B1979" s="5" t="str">
        <f t="shared" si="30"/>
        <v>2021 q2</v>
      </c>
      <c r="C1979" s="7">
        <v>6.8502999999999998</v>
      </c>
      <c r="D1979" s="7">
        <v>6.8864999999999998</v>
      </c>
      <c r="E1979" s="7">
        <v>6.9614000000000003</v>
      </c>
      <c r="F1979" s="7">
        <v>7.0712999999999999</v>
      </c>
      <c r="G1979" s="7">
        <v>7.1670999999999996</v>
      </c>
      <c r="H1979" s="7">
        <v>7.2614000000000001</v>
      </c>
      <c r="I1979" s="7">
        <v>7.6315999999999997</v>
      </c>
      <c r="J1979" s="7">
        <v>7.9311999999999996</v>
      </c>
      <c r="K1979" s="7">
        <v>8.1829999999999998</v>
      </c>
      <c r="L1979" s="7">
        <v>8.3925999999999998</v>
      </c>
      <c r="M1979" s="7">
        <v>8.6969999999999992</v>
      </c>
      <c r="N1979" s="7">
        <v>9.0290999999999997</v>
      </c>
      <c r="O1979" s="7">
        <v>9.4004999999999992</v>
      </c>
      <c r="P1979" s="7">
        <v>9.5610999999999997</v>
      </c>
      <c r="Q1979" s="7">
        <v>9.8019999999999996</v>
      </c>
    </row>
    <row r="1980" spans="1:17">
      <c r="A1980" s="5">
        <v>44355</v>
      </c>
      <c r="B1980" s="5" t="str">
        <f t="shared" si="30"/>
        <v>2021 q2</v>
      </c>
      <c r="C1980" s="7">
        <v>6.8821000000000003</v>
      </c>
      <c r="D1980" s="7">
        <v>6.9147999999999996</v>
      </c>
      <c r="E1980" s="7">
        <v>6.9821999999999997</v>
      </c>
      <c r="F1980" s="7">
        <v>7.0814000000000004</v>
      </c>
      <c r="G1980" s="7">
        <v>7.1695000000000002</v>
      </c>
      <c r="H1980" s="7">
        <v>7.2568999999999999</v>
      </c>
      <c r="I1980" s="7">
        <v>7.6001000000000003</v>
      </c>
      <c r="J1980" s="7">
        <v>7.8875000000000002</v>
      </c>
      <c r="K1980" s="7">
        <v>8.1308000000000007</v>
      </c>
      <c r="L1980" s="7">
        <v>8.3045000000000009</v>
      </c>
      <c r="M1980" s="7">
        <v>8.6517999999999997</v>
      </c>
      <c r="N1980" s="7">
        <v>9.0310000000000006</v>
      </c>
      <c r="O1980" s="7">
        <v>9.4580000000000002</v>
      </c>
      <c r="P1980" s="7">
        <v>9.6532</v>
      </c>
      <c r="Q1980" s="7">
        <v>9.9535999999999998</v>
      </c>
    </row>
    <row r="1981" spans="1:17">
      <c r="A1981" s="5">
        <v>44356</v>
      </c>
      <c r="B1981" s="5" t="str">
        <f t="shared" si="30"/>
        <v>2021 q2</v>
      </c>
      <c r="C1981" s="7">
        <v>6.8426999999999998</v>
      </c>
      <c r="D1981" s="7">
        <v>6.8867000000000003</v>
      </c>
      <c r="E1981" s="7">
        <v>6.9772999999999996</v>
      </c>
      <c r="F1981" s="7">
        <v>7.1092000000000004</v>
      </c>
      <c r="G1981" s="7">
        <v>7.2183000000000002</v>
      </c>
      <c r="H1981" s="7">
        <v>7.3261000000000003</v>
      </c>
      <c r="I1981" s="7">
        <v>7.7460000000000004</v>
      </c>
      <c r="J1981" s="7">
        <v>8.0633999999999997</v>
      </c>
      <c r="K1981" s="7">
        <v>8.3102</v>
      </c>
      <c r="L1981" s="7">
        <v>8.4609000000000005</v>
      </c>
      <c r="M1981" s="7">
        <v>8.7621000000000002</v>
      </c>
      <c r="N1981" s="7">
        <v>9.0634999999999994</v>
      </c>
      <c r="O1981" s="7">
        <v>9.3490000000000002</v>
      </c>
      <c r="P1981" s="7">
        <v>9.4631000000000007</v>
      </c>
      <c r="Q1981" s="7">
        <v>9.6303999999999998</v>
      </c>
    </row>
    <row r="1982" spans="1:17">
      <c r="A1982" s="5">
        <v>44357</v>
      </c>
      <c r="B1982" s="5" t="str">
        <f t="shared" si="30"/>
        <v>2021 q2</v>
      </c>
      <c r="C1982" s="7">
        <v>6.7980999999999998</v>
      </c>
      <c r="D1982" s="7">
        <v>6.8540000000000001</v>
      </c>
      <c r="E1982" s="7">
        <v>6.9695</v>
      </c>
      <c r="F1982" s="7">
        <v>7.1353</v>
      </c>
      <c r="G1982" s="7">
        <v>7.2632000000000003</v>
      </c>
      <c r="H1982" s="7">
        <v>7.3895</v>
      </c>
      <c r="I1982" s="7">
        <v>7.8766999999999996</v>
      </c>
      <c r="J1982" s="7">
        <v>8.2103000000000002</v>
      </c>
      <c r="K1982" s="7">
        <v>8.4574999999999996</v>
      </c>
      <c r="L1982" s="7">
        <v>8.6399000000000008</v>
      </c>
      <c r="M1982" s="7">
        <v>8.8627000000000002</v>
      </c>
      <c r="N1982" s="7">
        <v>9.0840999999999994</v>
      </c>
      <c r="O1982" s="7">
        <v>9.2911000000000001</v>
      </c>
      <c r="P1982" s="7">
        <v>9.3701000000000008</v>
      </c>
      <c r="Q1982" s="7">
        <v>9.4840999999999998</v>
      </c>
    </row>
    <row r="1983" spans="1:17">
      <c r="A1983" s="5">
        <v>44358</v>
      </c>
      <c r="B1983" s="5" t="str">
        <f t="shared" si="30"/>
        <v>2021 q2</v>
      </c>
      <c r="C1983" s="7">
        <v>6.82</v>
      </c>
      <c r="D1983" s="7">
        <v>6.8718000000000004</v>
      </c>
      <c r="E1983" s="7">
        <v>6.9786000000000001</v>
      </c>
      <c r="F1983" s="7">
        <v>7.1325000000000003</v>
      </c>
      <c r="G1983" s="7">
        <v>7.2537000000000003</v>
      </c>
      <c r="H1983" s="7">
        <v>7.3738999999999999</v>
      </c>
      <c r="I1983" s="7">
        <v>7.8381999999999996</v>
      </c>
      <c r="J1983" s="7">
        <v>8.1668000000000003</v>
      </c>
      <c r="K1983" s="7">
        <v>8.4090000000000007</v>
      </c>
      <c r="L1983" s="7">
        <v>8.5446000000000009</v>
      </c>
      <c r="M1983" s="7">
        <v>8.8157999999999994</v>
      </c>
      <c r="N1983" s="7">
        <v>9.0772999999999993</v>
      </c>
      <c r="O1983" s="7">
        <v>9.3050999999999995</v>
      </c>
      <c r="P1983" s="7">
        <v>9.3927999999999994</v>
      </c>
      <c r="Q1983" s="7">
        <v>9.5198999999999998</v>
      </c>
    </row>
    <row r="1984" spans="1:17">
      <c r="A1984" s="5">
        <v>44361</v>
      </c>
      <c r="B1984" s="5" t="str">
        <f t="shared" si="30"/>
        <v>2021 q2</v>
      </c>
      <c r="C1984" s="7">
        <v>6.7754000000000003</v>
      </c>
      <c r="D1984" s="7">
        <v>6.8330000000000002</v>
      </c>
      <c r="E1984" s="7">
        <v>6.952</v>
      </c>
      <c r="F1984" s="7">
        <v>7.1222000000000003</v>
      </c>
      <c r="G1984" s="7">
        <v>7.2522000000000002</v>
      </c>
      <c r="H1984" s="7">
        <v>7.3813000000000004</v>
      </c>
      <c r="I1984" s="7">
        <v>7.8779000000000003</v>
      </c>
      <c r="J1984" s="7">
        <v>8.2149999999999999</v>
      </c>
      <c r="K1984" s="7">
        <v>8.4557000000000002</v>
      </c>
      <c r="L1984" s="7">
        <v>8.5841999999999992</v>
      </c>
      <c r="M1984" s="7">
        <v>8.8412000000000006</v>
      </c>
      <c r="N1984" s="7">
        <v>9.0846</v>
      </c>
      <c r="O1984" s="7">
        <v>9.2880000000000003</v>
      </c>
      <c r="P1984" s="7">
        <v>9.3651999999999997</v>
      </c>
      <c r="Q1984" s="7">
        <v>9.4769000000000005</v>
      </c>
    </row>
    <row r="1985" spans="1:17">
      <c r="A1985" s="5">
        <v>44362</v>
      </c>
      <c r="B1985" s="5" t="str">
        <f t="shared" si="30"/>
        <v>2021 q2</v>
      </c>
      <c r="C1985" s="7">
        <v>6.8170000000000002</v>
      </c>
      <c r="D1985" s="7">
        <v>6.8726000000000003</v>
      </c>
      <c r="E1985" s="7">
        <v>6.9871999999999996</v>
      </c>
      <c r="F1985" s="7">
        <v>7.1590999999999996</v>
      </c>
      <c r="G1985" s="7">
        <v>7.2968999999999999</v>
      </c>
      <c r="H1985" s="7">
        <v>7.4226999999999999</v>
      </c>
      <c r="I1985" s="7">
        <v>7.9061000000000003</v>
      </c>
      <c r="J1985" s="7">
        <v>8.2378</v>
      </c>
      <c r="K1985" s="7">
        <v>8.4733000000000001</v>
      </c>
      <c r="L1985" s="7">
        <v>8.5985999999999994</v>
      </c>
      <c r="M1985" s="7">
        <v>8.8492999999999995</v>
      </c>
      <c r="N1985" s="7">
        <v>9.0855999999999995</v>
      </c>
      <c r="O1985" s="7">
        <v>9.2826000000000004</v>
      </c>
      <c r="P1985" s="7">
        <v>9.3569999999999993</v>
      </c>
      <c r="Q1985" s="7">
        <v>9.4649000000000001</v>
      </c>
    </row>
    <row r="1986" spans="1:17">
      <c r="A1986" s="5">
        <v>44363</v>
      </c>
      <c r="B1986" s="5" t="str">
        <f t="shared" si="30"/>
        <v>2021 q2</v>
      </c>
      <c r="C1986" s="7">
        <v>6.7762000000000002</v>
      </c>
      <c r="D1986" s="7">
        <v>6.8379000000000003</v>
      </c>
      <c r="E1986" s="7">
        <v>6.9653</v>
      </c>
      <c r="F1986" s="7">
        <v>7.1561000000000003</v>
      </c>
      <c r="G1986" s="7">
        <v>7.3060999999999998</v>
      </c>
      <c r="H1986" s="7">
        <v>7.4425999999999997</v>
      </c>
      <c r="I1986" s="7">
        <v>7.9648000000000003</v>
      </c>
      <c r="J1986" s="7">
        <v>8.3131000000000004</v>
      </c>
      <c r="K1986" s="7">
        <v>8.5548000000000002</v>
      </c>
      <c r="L1986" s="7">
        <v>8.6796000000000006</v>
      </c>
      <c r="M1986" s="7">
        <v>8.9291</v>
      </c>
      <c r="N1986" s="7">
        <v>9.1617999999999995</v>
      </c>
      <c r="O1986" s="7">
        <v>9.3511000000000006</v>
      </c>
      <c r="P1986" s="7">
        <v>9.4221000000000004</v>
      </c>
      <c r="Q1986" s="7">
        <v>9.5250000000000004</v>
      </c>
    </row>
    <row r="1987" spans="1:17">
      <c r="A1987" s="5">
        <v>44364</v>
      </c>
      <c r="B1987" s="5" t="str">
        <f t="shared" ref="B1987:B2050" si="31">YEAR(A1987)&amp;" q"&amp;ROUNDUP(MONTH(A1987)/3,0)</f>
        <v>2021 q2</v>
      </c>
      <c r="C1987" s="7">
        <v>6.7645</v>
      </c>
      <c r="D1987" s="7">
        <v>6.8259999999999996</v>
      </c>
      <c r="E1987" s="7">
        <v>6.9530000000000003</v>
      </c>
      <c r="F1987" s="7">
        <v>7.1429999999999998</v>
      </c>
      <c r="G1987" s="7">
        <v>7.2946999999999997</v>
      </c>
      <c r="H1987" s="7">
        <v>7.4339000000000004</v>
      </c>
      <c r="I1987" s="7">
        <v>7.9676999999999998</v>
      </c>
      <c r="J1987" s="7">
        <v>8.3337000000000003</v>
      </c>
      <c r="K1987" s="7">
        <v>8.5928000000000004</v>
      </c>
      <c r="L1987" s="7">
        <v>8.7309999999999999</v>
      </c>
      <c r="M1987" s="7">
        <v>9.0073000000000008</v>
      </c>
      <c r="N1987" s="7">
        <v>9.2672000000000008</v>
      </c>
      <c r="O1987" s="7">
        <v>9.484</v>
      </c>
      <c r="P1987" s="7">
        <v>9.5656999999999996</v>
      </c>
      <c r="Q1987" s="7">
        <v>9.6843000000000004</v>
      </c>
    </row>
    <row r="1988" spans="1:17">
      <c r="A1988" s="5">
        <v>44365</v>
      </c>
      <c r="B1988" s="5" t="str">
        <f t="shared" si="31"/>
        <v>2021 q2</v>
      </c>
      <c r="C1988" s="7">
        <v>6.7411000000000003</v>
      </c>
      <c r="D1988" s="7">
        <v>6.8075999999999999</v>
      </c>
      <c r="E1988" s="7">
        <v>6.9450000000000003</v>
      </c>
      <c r="F1988" s="7">
        <v>7.1505000000000001</v>
      </c>
      <c r="G1988" s="7">
        <v>7.3121999999999998</v>
      </c>
      <c r="H1988" s="7">
        <v>7.4603000000000002</v>
      </c>
      <c r="I1988" s="7">
        <v>8.0265000000000004</v>
      </c>
      <c r="J1988" s="7">
        <v>8.4070999999999998</v>
      </c>
      <c r="K1988" s="7">
        <v>8.6722999999999999</v>
      </c>
      <c r="L1988" s="7">
        <v>8.8107000000000006</v>
      </c>
      <c r="M1988" s="7">
        <v>9.0875000000000004</v>
      </c>
      <c r="N1988" s="7">
        <v>9.3457000000000008</v>
      </c>
      <c r="O1988" s="7">
        <v>9.5573999999999995</v>
      </c>
      <c r="P1988" s="7">
        <v>9.6367999999999991</v>
      </c>
      <c r="Q1988" s="7">
        <v>9.7520000000000007</v>
      </c>
    </row>
    <row r="1989" spans="1:17">
      <c r="A1989" s="5">
        <v>44368</v>
      </c>
      <c r="B1989" s="5" t="str">
        <f t="shared" si="31"/>
        <v>2021 q2</v>
      </c>
      <c r="C1989" s="7">
        <v>6.7375999999999996</v>
      </c>
      <c r="D1989" s="7">
        <v>6.8056000000000001</v>
      </c>
      <c r="E1989" s="7">
        <v>6.9458000000000002</v>
      </c>
      <c r="F1989" s="7">
        <v>7.1551999999999998</v>
      </c>
      <c r="G1989" s="7">
        <v>7.3182999999999998</v>
      </c>
      <c r="H1989" s="7">
        <v>7.4675000000000002</v>
      </c>
      <c r="I1989" s="7">
        <v>8.0366</v>
      </c>
      <c r="J1989" s="7">
        <v>8.4135000000000009</v>
      </c>
      <c r="K1989" s="7">
        <v>8.673</v>
      </c>
      <c r="L1989" s="7">
        <v>8.8064</v>
      </c>
      <c r="M1989" s="7">
        <v>9.0731999999999999</v>
      </c>
      <c r="N1989" s="7">
        <v>9.3208000000000002</v>
      </c>
      <c r="O1989" s="7">
        <v>9.5213999999999999</v>
      </c>
      <c r="P1989" s="7">
        <v>9.5962999999999994</v>
      </c>
      <c r="Q1989" s="7">
        <v>9.7050999999999998</v>
      </c>
    </row>
    <row r="1990" spans="1:17">
      <c r="A1990" s="5">
        <v>44369</v>
      </c>
      <c r="B1990" s="5" t="str">
        <f t="shared" si="31"/>
        <v>2021 q2</v>
      </c>
      <c r="C1990" s="7">
        <v>6.7282000000000002</v>
      </c>
      <c r="D1990" s="7">
        <v>6.7933000000000003</v>
      </c>
      <c r="E1990" s="7">
        <v>6.9278000000000004</v>
      </c>
      <c r="F1990" s="7">
        <v>7.1276000000000002</v>
      </c>
      <c r="G1990" s="7">
        <v>7.306</v>
      </c>
      <c r="H1990" s="7">
        <v>7.4519000000000002</v>
      </c>
      <c r="I1990" s="7">
        <v>7.9888000000000003</v>
      </c>
      <c r="J1990" s="7">
        <v>8.3668999999999993</v>
      </c>
      <c r="K1990" s="7">
        <v>8.6313999999999993</v>
      </c>
      <c r="L1990" s="7">
        <v>8.7715999999999994</v>
      </c>
      <c r="M1990" s="7">
        <v>9.0521999999999991</v>
      </c>
      <c r="N1990" s="7">
        <v>9.3135999999999992</v>
      </c>
      <c r="O1990" s="7">
        <v>9.5304000000000002</v>
      </c>
      <c r="P1990" s="7">
        <v>9.6113999999999997</v>
      </c>
      <c r="Q1990" s="7">
        <v>9.7294999999999998</v>
      </c>
    </row>
    <row r="1991" spans="1:17">
      <c r="A1991" s="5">
        <v>44370</v>
      </c>
      <c r="B1991" s="5" t="str">
        <f t="shared" si="31"/>
        <v>2021 q2</v>
      </c>
      <c r="C1991" s="7">
        <v>6.7173999999999996</v>
      </c>
      <c r="D1991" s="7">
        <v>6.7850999999999999</v>
      </c>
      <c r="E1991" s="7">
        <v>6.9248000000000003</v>
      </c>
      <c r="F1991" s="7">
        <v>7.1321000000000003</v>
      </c>
      <c r="G1991" s="7">
        <v>7.3167</v>
      </c>
      <c r="H1991" s="7">
        <v>7.4663000000000004</v>
      </c>
      <c r="I1991" s="7">
        <v>8.0165000000000006</v>
      </c>
      <c r="J1991" s="7">
        <v>8.3999000000000006</v>
      </c>
      <c r="K1991" s="7">
        <v>8.6654</v>
      </c>
      <c r="L1991" s="7">
        <v>8.8045000000000009</v>
      </c>
      <c r="M1991" s="7">
        <v>9.0828000000000007</v>
      </c>
      <c r="N1991" s="7">
        <v>9.3407</v>
      </c>
      <c r="O1991" s="7">
        <v>9.5526</v>
      </c>
      <c r="P1991" s="7">
        <v>9.6315000000000008</v>
      </c>
      <c r="Q1991" s="7">
        <v>9.7466000000000008</v>
      </c>
    </row>
    <row r="1992" spans="1:17">
      <c r="A1992" s="5">
        <v>44371</v>
      </c>
      <c r="B1992" s="5" t="str">
        <f t="shared" si="31"/>
        <v>2021 q2</v>
      </c>
      <c r="C1992" s="7">
        <v>6.7428999999999997</v>
      </c>
      <c r="D1992" s="7">
        <v>6.806</v>
      </c>
      <c r="E1992" s="7">
        <v>6.9362000000000004</v>
      </c>
      <c r="F1992" s="7">
        <v>7.1292999999999997</v>
      </c>
      <c r="G1992" s="7">
        <v>7.3036000000000003</v>
      </c>
      <c r="H1992" s="7">
        <v>7.4473000000000003</v>
      </c>
      <c r="I1992" s="7">
        <v>7.9810999999999996</v>
      </c>
      <c r="J1992" s="7">
        <v>8.3658999999999999</v>
      </c>
      <c r="K1992" s="7">
        <v>8.6402000000000001</v>
      </c>
      <c r="L1992" s="7">
        <v>8.7906999999999993</v>
      </c>
      <c r="M1992" s="7">
        <v>9.0915999999999997</v>
      </c>
      <c r="N1992" s="7">
        <v>9.3742000000000001</v>
      </c>
      <c r="O1992" s="7">
        <v>9.6149000000000004</v>
      </c>
      <c r="P1992" s="7">
        <v>9.7051999999999996</v>
      </c>
      <c r="Q1992" s="7">
        <v>9.8375000000000004</v>
      </c>
    </row>
    <row r="1993" spans="1:17">
      <c r="A1993" s="5">
        <v>44372</v>
      </c>
      <c r="B1993" s="5" t="str">
        <f t="shared" si="31"/>
        <v>2021 q2</v>
      </c>
      <c r="C1993" s="7">
        <v>6.7371999999999996</v>
      </c>
      <c r="D1993" s="7">
        <v>6.8018000000000001</v>
      </c>
      <c r="E1993" s="7">
        <v>6.9351000000000003</v>
      </c>
      <c r="F1993" s="7">
        <v>7.1323999999999996</v>
      </c>
      <c r="G1993" s="7">
        <v>7.3097000000000003</v>
      </c>
      <c r="H1993" s="7">
        <v>7.4539</v>
      </c>
      <c r="I1993" s="7">
        <v>7.9885999999999999</v>
      </c>
      <c r="J1993" s="7">
        <v>8.3673000000000002</v>
      </c>
      <c r="K1993" s="7">
        <v>8.6329999999999991</v>
      </c>
      <c r="L1993" s="7">
        <v>8.7756000000000007</v>
      </c>
      <c r="M1993" s="7">
        <v>9.0607000000000006</v>
      </c>
      <c r="N1993" s="7">
        <v>9.3262</v>
      </c>
      <c r="O1993" s="7">
        <v>9.5481999999999996</v>
      </c>
      <c r="P1993" s="7">
        <v>9.6310000000000002</v>
      </c>
      <c r="Q1993" s="7">
        <v>9.7522000000000002</v>
      </c>
    </row>
    <row r="1994" spans="1:17">
      <c r="A1994" s="5">
        <v>44375</v>
      </c>
      <c r="B1994" s="5" t="str">
        <f t="shared" si="31"/>
        <v>2021 q2</v>
      </c>
      <c r="C1994" s="7">
        <v>6.8596000000000004</v>
      </c>
      <c r="D1994" s="7">
        <v>6.907</v>
      </c>
      <c r="E1994" s="7">
        <v>7.0050999999999997</v>
      </c>
      <c r="F1994" s="7">
        <v>7.1528</v>
      </c>
      <c r="G1994" s="7">
        <v>7.3044000000000002</v>
      </c>
      <c r="H1994" s="7">
        <v>7.4436</v>
      </c>
      <c r="I1994" s="7">
        <v>7.9729999999999999</v>
      </c>
      <c r="J1994" s="7">
        <v>8.3689</v>
      </c>
      <c r="K1994" s="7">
        <v>8.6388999999999996</v>
      </c>
      <c r="L1994" s="7">
        <v>8.7706999999999997</v>
      </c>
      <c r="M1994" s="7">
        <v>9.0341000000000005</v>
      </c>
      <c r="N1994" s="7">
        <v>9.2711000000000006</v>
      </c>
      <c r="O1994" s="7">
        <v>9.4520999999999997</v>
      </c>
      <c r="P1994" s="7">
        <v>9.5184999999999995</v>
      </c>
      <c r="Q1994" s="7">
        <v>9.6153999999999993</v>
      </c>
    </row>
    <row r="1995" spans="1:17">
      <c r="A1995" s="5">
        <v>44376</v>
      </c>
      <c r="B1995" s="5" t="str">
        <f t="shared" si="31"/>
        <v>2021 q2</v>
      </c>
      <c r="C1995" s="7">
        <v>7.0088999999999997</v>
      </c>
      <c r="D1995" s="7">
        <v>7.0509000000000004</v>
      </c>
      <c r="E1995" s="7">
        <v>7.1375000000000002</v>
      </c>
      <c r="F1995" s="7">
        <v>7.2710999999999997</v>
      </c>
      <c r="G1995" s="7">
        <v>7.4050000000000002</v>
      </c>
      <c r="H1995" s="7">
        <v>7.5286</v>
      </c>
      <c r="I1995" s="7">
        <v>8.0023</v>
      </c>
      <c r="J1995" s="7">
        <v>8.3681999999999999</v>
      </c>
      <c r="K1995" s="7">
        <v>8.6259999999999994</v>
      </c>
      <c r="L1995" s="7">
        <v>8.7584999999999997</v>
      </c>
      <c r="M1995" s="7">
        <v>9.0235000000000003</v>
      </c>
      <c r="N1995" s="7">
        <v>9.2632999999999992</v>
      </c>
      <c r="O1995" s="7">
        <v>9.4517000000000007</v>
      </c>
      <c r="P1995" s="7">
        <v>9.5206999999999997</v>
      </c>
      <c r="Q1995" s="7">
        <v>9.6216000000000008</v>
      </c>
    </row>
    <row r="1996" spans="1:17">
      <c r="A1996" s="5">
        <v>44377</v>
      </c>
      <c r="B1996" s="5" t="str">
        <f t="shared" si="31"/>
        <v>2021 q2</v>
      </c>
      <c r="C1996" s="7">
        <v>6.9779999999999998</v>
      </c>
      <c r="D1996" s="7">
        <v>7.0309999999999997</v>
      </c>
      <c r="E1996" s="7">
        <v>7.1405000000000003</v>
      </c>
      <c r="F1996" s="7">
        <v>7.2901999999999996</v>
      </c>
      <c r="G1996" s="7">
        <v>7.4389000000000003</v>
      </c>
      <c r="H1996" s="7">
        <v>7.5597000000000003</v>
      </c>
      <c r="I1996" s="7">
        <v>8.0155999999999992</v>
      </c>
      <c r="J1996" s="7">
        <v>8.3580000000000005</v>
      </c>
      <c r="K1996" s="7">
        <v>8.6100999999999992</v>
      </c>
      <c r="L1996" s="7">
        <v>8.7576999999999998</v>
      </c>
      <c r="M1996" s="7">
        <v>9.0530000000000008</v>
      </c>
      <c r="N1996" s="7">
        <v>9.3345000000000002</v>
      </c>
      <c r="O1996" s="7">
        <v>9.5884</v>
      </c>
      <c r="P1996" s="7">
        <v>9.6919000000000004</v>
      </c>
      <c r="Q1996" s="7">
        <v>9.8234999999999992</v>
      </c>
    </row>
    <row r="1997" spans="1:17">
      <c r="A1997" s="5">
        <v>44378</v>
      </c>
      <c r="B1997" s="5" t="str">
        <f t="shared" si="31"/>
        <v>2021 q3</v>
      </c>
      <c r="C1997" s="7">
        <v>6.9343000000000004</v>
      </c>
      <c r="D1997" s="7">
        <v>6.9790999999999999</v>
      </c>
      <c r="E1997" s="7">
        <v>7.0717999999999996</v>
      </c>
      <c r="F1997" s="7">
        <v>7.2153999999999998</v>
      </c>
      <c r="G1997" s="7">
        <v>7.3592000000000004</v>
      </c>
      <c r="H1997" s="7">
        <v>7.4908000000000001</v>
      </c>
      <c r="I1997" s="7">
        <v>7.9935</v>
      </c>
      <c r="J1997" s="7">
        <v>8.3731000000000009</v>
      </c>
      <c r="K1997" s="7">
        <v>8.6341000000000001</v>
      </c>
      <c r="L1997" s="7">
        <v>8.7646999999999995</v>
      </c>
      <c r="M1997" s="7">
        <v>9.0257000000000005</v>
      </c>
      <c r="N1997" s="7">
        <v>9.2599</v>
      </c>
      <c r="O1997" s="7">
        <v>9.4413</v>
      </c>
      <c r="P1997" s="7">
        <v>9.5074000000000005</v>
      </c>
      <c r="Q1997" s="7">
        <v>9.6043000000000003</v>
      </c>
    </row>
    <row r="1998" spans="1:17">
      <c r="A1998" s="5">
        <v>44379</v>
      </c>
      <c r="B1998" s="5" t="str">
        <f t="shared" si="31"/>
        <v>2021 q3</v>
      </c>
      <c r="C1998" s="7">
        <v>6.8970000000000002</v>
      </c>
      <c r="D1998" s="7">
        <v>6.9555999999999996</v>
      </c>
      <c r="E1998" s="7">
        <v>7.0763999999999996</v>
      </c>
      <c r="F1998" s="7">
        <v>7.24</v>
      </c>
      <c r="G1998" s="7">
        <v>7.4029999999999996</v>
      </c>
      <c r="H1998" s="7">
        <v>7.5323000000000002</v>
      </c>
      <c r="I1998" s="7">
        <v>8.0205000000000002</v>
      </c>
      <c r="J1998" s="7">
        <v>8.3792000000000009</v>
      </c>
      <c r="K1998" s="7">
        <v>8.6377000000000006</v>
      </c>
      <c r="L1998" s="7">
        <v>8.7848000000000006</v>
      </c>
      <c r="M1998" s="7">
        <v>9.0789000000000009</v>
      </c>
      <c r="N1998" s="7">
        <v>9.3552999999999997</v>
      </c>
      <c r="O1998" s="7">
        <v>9.5977999999999994</v>
      </c>
      <c r="P1998" s="7">
        <v>9.6804000000000006</v>
      </c>
      <c r="Q1998" s="7">
        <v>9.8231999999999999</v>
      </c>
    </row>
    <row r="1999" spans="1:17">
      <c r="A1999" s="5">
        <v>44383</v>
      </c>
      <c r="B1999" s="5" t="str">
        <f t="shared" si="31"/>
        <v>2021 q3</v>
      </c>
      <c r="C1999" s="7">
        <v>6.9635999999999996</v>
      </c>
      <c r="D1999" s="7">
        <v>6.9984999999999999</v>
      </c>
      <c r="E1999" s="7">
        <v>7.0705999999999998</v>
      </c>
      <c r="F1999" s="7">
        <v>7.1925999999999997</v>
      </c>
      <c r="G1999" s="7">
        <v>7.3150000000000004</v>
      </c>
      <c r="H1999" s="7">
        <v>7.4401000000000002</v>
      </c>
      <c r="I1999" s="7">
        <v>7.9261999999999997</v>
      </c>
      <c r="J1999" s="7">
        <v>8.3268000000000004</v>
      </c>
      <c r="K1999" s="7">
        <v>8.6181000000000001</v>
      </c>
      <c r="L1999" s="7">
        <v>8.7741000000000007</v>
      </c>
      <c r="M1999" s="7">
        <v>9.0859000000000005</v>
      </c>
      <c r="N1999" s="7">
        <v>9.3683999999999994</v>
      </c>
      <c r="O1999" s="7">
        <v>9.5947999999999993</v>
      </c>
      <c r="P1999" s="7">
        <v>9.6699000000000002</v>
      </c>
      <c r="Q1999" s="7">
        <v>9.7990999999999993</v>
      </c>
    </row>
    <row r="2000" spans="1:17">
      <c r="A2000" s="5">
        <v>44384</v>
      </c>
      <c r="B2000" s="5" t="str">
        <f t="shared" si="31"/>
        <v>2021 q3</v>
      </c>
      <c r="C2000" s="7">
        <v>7.0410000000000004</v>
      </c>
      <c r="D2000" s="7">
        <v>7.0666000000000002</v>
      </c>
      <c r="E2000" s="7">
        <v>7.1193</v>
      </c>
      <c r="F2000" s="7">
        <v>7.2068000000000003</v>
      </c>
      <c r="G2000" s="7">
        <v>7.3193999999999999</v>
      </c>
      <c r="H2000" s="7">
        <v>7.4554</v>
      </c>
      <c r="I2000" s="7">
        <v>7.9827000000000004</v>
      </c>
      <c r="J2000" s="7">
        <v>8.4131</v>
      </c>
      <c r="K2000" s="7">
        <v>8.7034000000000002</v>
      </c>
      <c r="L2000" s="7">
        <v>8.8429000000000002</v>
      </c>
      <c r="M2000" s="7">
        <v>9.1219999999999999</v>
      </c>
      <c r="N2000" s="7">
        <v>9.3680000000000003</v>
      </c>
      <c r="O2000" s="7">
        <v>9.5539000000000005</v>
      </c>
      <c r="P2000" s="7">
        <v>9.6150000000000002</v>
      </c>
      <c r="Q2000" s="7">
        <v>9.7204999999999995</v>
      </c>
    </row>
    <row r="2001" spans="1:17">
      <c r="A2001" s="5">
        <v>44385</v>
      </c>
      <c r="B2001" s="5" t="str">
        <f t="shared" si="31"/>
        <v>2021 q3</v>
      </c>
      <c r="C2001" s="7">
        <v>7.0450999999999997</v>
      </c>
      <c r="D2001" s="7">
        <v>7.0698999999999996</v>
      </c>
      <c r="E2001" s="7">
        <v>7.1212</v>
      </c>
      <c r="F2001" s="7">
        <v>7.2073</v>
      </c>
      <c r="G2001" s="7">
        <v>7.3204000000000002</v>
      </c>
      <c r="H2001" s="7">
        <v>7.4577999999999998</v>
      </c>
      <c r="I2001" s="7">
        <v>7.99</v>
      </c>
      <c r="J2001" s="7">
        <v>8.4212000000000007</v>
      </c>
      <c r="K2001" s="7">
        <v>8.7093000000000007</v>
      </c>
      <c r="L2001" s="7">
        <v>8.8465000000000007</v>
      </c>
      <c r="M2001" s="7">
        <v>9.1210000000000004</v>
      </c>
      <c r="N2001" s="7">
        <v>9.3623999999999992</v>
      </c>
      <c r="O2001" s="7">
        <v>9.5441000000000003</v>
      </c>
      <c r="P2001" s="7">
        <v>9.6037999999999997</v>
      </c>
      <c r="Q2001" s="7">
        <v>9.7070000000000007</v>
      </c>
    </row>
    <row r="2002" spans="1:17">
      <c r="A2002" s="5">
        <v>44386</v>
      </c>
      <c r="B2002" s="5" t="str">
        <f t="shared" si="31"/>
        <v>2021 q3</v>
      </c>
      <c r="C2002" s="7">
        <v>7.0481999999999996</v>
      </c>
      <c r="D2002" s="7">
        <v>7.0726000000000004</v>
      </c>
      <c r="E2002" s="7">
        <v>7.1227999999999998</v>
      </c>
      <c r="F2002" s="7">
        <v>7.2081999999999997</v>
      </c>
      <c r="G2002" s="7">
        <v>7.3211000000000004</v>
      </c>
      <c r="H2002" s="7">
        <v>7.4588999999999999</v>
      </c>
      <c r="I2002" s="7">
        <v>7.9923000000000002</v>
      </c>
      <c r="J2002" s="7">
        <v>8.4245000000000001</v>
      </c>
      <c r="K2002" s="7">
        <v>8.7126000000000001</v>
      </c>
      <c r="L2002" s="7">
        <v>8.8498000000000001</v>
      </c>
      <c r="M2002" s="7">
        <v>9.1242000000000001</v>
      </c>
      <c r="N2002" s="7">
        <v>9.3651999999999997</v>
      </c>
      <c r="O2002" s="7">
        <v>9.5465999999999998</v>
      </c>
      <c r="P2002" s="7">
        <v>9.6060999999999996</v>
      </c>
      <c r="Q2002" s="7">
        <v>9.7090999999999994</v>
      </c>
    </row>
    <row r="2003" spans="1:17">
      <c r="A2003" s="5">
        <v>44389</v>
      </c>
      <c r="B2003" s="5" t="str">
        <f t="shared" si="31"/>
        <v>2021 q3</v>
      </c>
      <c r="C2003" s="7">
        <v>7.0514000000000001</v>
      </c>
      <c r="D2003" s="7">
        <v>7.0776000000000003</v>
      </c>
      <c r="E2003" s="7">
        <v>7.1317000000000004</v>
      </c>
      <c r="F2003" s="7">
        <v>7.2220000000000004</v>
      </c>
      <c r="G2003" s="7">
        <v>7.3361999999999998</v>
      </c>
      <c r="H2003" s="7">
        <v>7.4715999999999996</v>
      </c>
      <c r="I2003" s="7">
        <v>7.9954000000000001</v>
      </c>
      <c r="J2003" s="7">
        <v>8.4212000000000007</v>
      </c>
      <c r="K2003" s="7">
        <v>8.7075999999999993</v>
      </c>
      <c r="L2003" s="7">
        <v>8.8460000000000001</v>
      </c>
      <c r="M2003" s="7">
        <v>9.1227999999999998</v>
      </c>
      <c r="N2003" s="7">
        <v>9.3659999999999997</v>
      </c>
      <c r="O2003" s="7">
        <v>9.5502000000000002</v>
      </c>
      <c r="P2003" s="7">
        <v>9.6105999999999998</v>
      </c>
      <c r="Q2003" s="7">
        <v>9.7150999999999996</v>
      </c>
    </row>
    <row r="2004" spans="1:17">
      <c r="A2004" s="5">
        <v>44390</v>
      </c>
      <c r="B2004" s="5" t="str">
        <f t="shared" si="31"/>
        <v>2021 q3</v>
      </c>
      <c r="C2004" s="7">
        <v>7.0240999999999998</v>
      </c>
      <c r="D2004" s="7">
        <v>7.0738000000000003</v>
      </c>
      <c r="E2004" s="7">
        <v>7.1763000000000003</v>
      </c>
      <c r="F2004" s="7">
        <v>7.3273999999999999</v>
      </c>
      <c r="G2004" s="7">
        <v>7.4608999999999996</v>
      </c>
      <c r="H2004" s="7">
        <v>7.5805999999999996</v>
      </c>
      <c r="I2004" s="7">
        <v>8.0343999999999998</v>
      </c>
      <c r="J2004" s="7">
        <v>8.3727999999999998</v>
      </c>
      <c r="K2004" s="7">
        <v>8.6205999999999996</v>
      </c>
      <c r="L2004" s="7">
        <v>8.7690000000000001</v>
      </c>
      <c r="M2004" s="7">
        <v>9.0657999999999994</v>
      </c>
      <c r="N2004" s="7">
        <v>9.3458000000000006</v>
      </c>
      <c r="O2004" s="7">
        <v>9.6024999999999991</v>
      </c>
      <c r="P2004" s="7">
        <v>9.6898999999999997</v>
      </c>
      <c r="Q2004" s="7">
        <v>9.8431999999999995</v>
      </c>
    </row>
    <row r="2005" spans="1:17">
      <c r="A2005" s="5">
        <v>44391</v>
      </c>
      <c r="B2005" s="5" t="str">
        <f t="shared" si="31"/>
        <v>2021 q3</v>
      </c>
      <c r="C2005" s="7">
        <v>7.0431999999999997</v>
      </c>
      <c r="D2005" s="7">
        <v>7.0876999999999999</v>
      </c>
      <c r="E2005" s="7">
        <v>7.1797000000000004</v>
      </c>
      <c r="F2005" s="7">
        <v>7.3169000000000004</v>
      </c>
      <c r="G2005" s="7">
        <v>7.4466000000000001</v>
      </c>
      <c r="H2005" s="7">
        <v>7.5694999999999997</v>
      </c>
      <c r="I2005" s="7">
        <v>8.0419</v>
      </c>
      <c r="J2005" s="7">
        <v>8.4215999999999998</v>
      </c>
      <c r="K2005" s="7">
        <v>8.7053999999999991</v>
      </c>
      <c r="L2005" s="7">
        <v>8.8734000000000002</v>
      </c>
      <c r="M2005" s="7">
        <v>9.2094000000000005</v>
      </c>
      <c r="N2005" s="7">
        <v>9.5611999999999995</v>
      </c>
      <c r="O2005" s="7">
        <v>9.7916000000000007</v>
      </c>
      <c r="P2005" s="7">
        <v>9.8780000000000001</v>
      </c>
      <c r="Q2005" s="7">
        <v>10.033899999999999</v>
      </c>
    </row>
    <row r="2006" spans="1:17">
      <c r="A2006" s="5">
        <v>44392</v>
      </c>
      <c r="B2006" s="5" t="str">
        <f t="shared" si="31"/>
        <v>2021 q3</v>
      </c>
      <c r="C2006" s="7">
        <v>7.0416999999999996</v>
      </c>
      <c r="D2006" s="7">
        <v>7.0871000000000004</v>
      </c>
      <c r="E2006" s="7">
        <v>7.1809000000000003</v>
      </c>
      <c r="F2006" s="7">
        <v>7.3204000000000002</v>
      </c>
      <c r="G2006" s="7">
        <v>7.4501999999999997</v>
      </c>
      <c r="H2006" s="7">
        <v>7.5723000000000003</v>
      </c>
      <c r="I2006" s="7">
        <v>8.0411999999999999</v>
      </c>
      <c r="J2006" s="7">
        <v>8.4183000000000003</v>
      </c>
      <c r="K2006" s="7">
        <v>8.7042999999999999</v>
      </c>
      <c r="L2006" s="7">
        <v>8.8796999999999997</v>
      </c>
      <c r="M2006" s="7">
        <v>9.2306000000000008</v>
      </c>
      <c r="N2006" s="7">
        <v>9.6041000000000007</v>
      </c>
      <c r="O2006" s="7">
        <v>9.8584999999999994</v>
      </c>
      <c r="P2006" s="7">
        <v>9.9643999999999995</v>
      </c>
      <c r="Q2006" s="7">
        <v>10.1274</v>
      </c>
    </row>
    <row r="2007" spans="1:17">
      <c r="A2007" s="5">
        <v>44393</v>
      </c>
      <c r="B2007" s="5" t="str">
        <f t="shared" si="31"/>
        <v>2021 q3</v>
      </c>
      <c r="C2007" s="7">
        <v>7.0842000000000001</v>
      </c>
      <c r="D2007" s="7">
        <v>7.1295000000000002</v>
      </c>
      <c r="E2007" s="7">
        <v>7.2230999999999996</v>
      </c>
      <c r="F2007" s="7">
        <v>7.3613</v>
      </c>
      <c r="G2007" s="7">
        <v>7.4861000000000004</v>
      </c>
      <c r="H2007" s="7">
        <v>7.6013000000000002</v>
      </c>
      <c r="I2007" s="7">
        <v>8.0416000000000007</v>
      </c>
      <c r="J2007" s="7">
        <v>8.3907000000000007</v>
      </c>
      <c r="K2007" s="7">
        <v>8.6605000000000008</v>
      </c>
      <c r="L2007" s="7">
        <v>8.8377999999999997</v>
      </c>
      <c r="M2007" s="7">
        <v>9.1923999999999992</v>
      </c>
      <c r="N2007" s="7">
        <v>9.5884</v>
      </c>
      <c r="O2007" s="7">
        <v>9.8962000000000003</v>
      </c>
      <c r="P2007" s="7">
        <v>10.018599999999999</v>
      </c>
      <c r="Q2007" s="7">
        <v>10.242100000000001</v>
      </c>
    </row>
    <row r="2008" spans="1:17">
      <c r="A2008" s="5">
        <v>44396</v>
      </c>
      <c r="B2008" s="5" t="str">
        <f t="shared" si="31"/>
        <v>2021 q3</v>
      </c>
      <c r="C2008" s="7">
        <v>7.1317000000000004</v>
      </c>
      <c r="D2008" s="7">
        <v>7.1672000000000002</v>
      </c>
      <c r="E2008" s="7">
        <v>7.2404999999999999</v>
      </c>
      <c r="F2008" s="7">
        <v>7.3521000000000001</v>
      </c>
      <c r="G2008" s="7">
        <v>7.4668999999999999</v>
      </c>
      <c r="H2008" s="7">
        <v>7.5822000000000003</v>
      </c>
      <c r="I2008" s="7">
        <v>8.0314999999999994</v>
      </c>
      <c r="J2008" s="7">
        <v>8.4204000000000008</v>
      </c>
      <c r="K2008" s="7">
        <v>8.7181999999999995</v>
      </c>
      <c r="L2008" s="7">
        <v>8.8975000000000009</v>
      </c>
      <c r="M2008" s="7">
        <v>9.2561</v>
      </c>
      <c r="N2008" s="7">
        <v>9.6303999999999998</v>
      </c>
      <c r="O2008" s="7">
        <v>9.8742000000000001</v>
      </c>
      <c r="P2008" s="7">
        <v>9.9652999999999992</v>
      </c>
      <c r="Q2008" s="7">
        <v>10.130100000000001</v>
      </c>
    </row>
    <row r="2009" spans="1:17">
      <c r="A2009" s="5">
        <v>44397</v>
      </c>
      <c r="B2009" s="5" t="str">
        <f t="shared" si="31"/>
        <v>2021 q3</v>
      </c>
      <c r="C2009" s="7">
        <v>7.0805999999999996</v>
      </c>
      <c r="D2009" s="7">
        <v>7.1257000000000001</v>
      </c>
      <c r="E2009" s="7">
        <v>7.2187000000000001</v>
      </c>
      <c r="F2009" s="7">
        <v>7.3548</v>
      </c>
      <c r="G2009" s="7">
        <v>7.4855999999999998</v>
      </c>
      <c r="H2009" s="7">
        <v>7.6162000000000001</v>
      </c>
      <c r="I2009" s="7">
        <v>8.0595999999999997</v>
      </c>
      <c r="J2009" s="7">
        <v>8.4269999999999996</v>
      </c>
      <c r="K2009" s="7">
        <v>8.7067999999999994</v>
      </c>
      <c r="L2009" s="7">
        <v>8.8831000000000007</v>
      </c>
      <c r="M2009" s="7">
        <v>9.2356999999999996</v>
      </c>
      <c r="N2009" s="7">
        <v>9.6141000000000005</v>
      </c>
      <c r="O2009" s="7">
        <v>9.8794000000000004</v>
      </c>
      <c r="P2009" s="7">
        <v>9.9797999999999991</v>
      </c>
      <c r="Q2009" s="7">
        <v>10.1625</v>
      </c>
    </row>
    <row r="2010" spans="1:17">
      <c r="A2010" s="5">
        <v>44398</v>
      </c>
      <c r="B2010" s="5" t="str">
        <f t="shared" si="31"/>
        <v>2021 q3</v>
      </c>
      <c r="C2010" s="7">
        <v>7.0662000000000003</v>
      </c>
      <c r="D2010" s="7">
        <v>7.1074999999999999</v>
      </c>
      <c r="E2010" s="7">
        <v>7.1928000000000001</v>
      </c>
      <c r="F2010" s="7">
        <v>7.319</v>
      </c>
      <c r="G2010" s="7">
        <v>7.4425999999999997</v>
      </c>
      <c r="H2010" s="7">
        <v>7.5659999999999998</v>
      </c>
      <c r="I2010" s="7">
        <v>8.0059000000000005</v>
      </c>
      <c r="J2010" s="7">
        <v>8.3835999999999995</v>
      </c>
      <c r="K2010" s="7">
        <v>8.6793999999999993</v>
      </c>
      <c r="L2010" s="7">
        <v>8.8721999999999994</v>
      </c>
      <c r="M2010" s="7">
        <v>9.2576999999999998</v>
      </c>
      <c r="N2010" s="7">
        <v>9.6755999999999993</v>
      </c>
      <c r="O2010" s="7">
        <v>9.9749999999999996</v>
      </c>
      <c r="P2010" s="7">
        <v>10.102399999999999</v>
      </c>
      <c r="Q2010" s="7">
        <v>10.2895</v>
      </c>
    </row>
    <row r="2011" spans="1:17">
      <c r="A2011" s="5">
        <v>44399</v>
      </c>
      <c r="B2011" s="5" t="str">
        <f t="shared" si="31"/>
        <v>2021 q3</v>
      </c>
      <c r="C2011" s="7">
        <v>7.1082000000000001</v>
      </c>
      <c r="D2011" s="7">
        <v>7.1395</v>
      </c>
      <c r="E2011" s="7">
        <v>7.2039999999999997</v>
      </c>
      <c r="F2011" s="7">
        <v>7.3074000000000003</v>
      </c>
      <c r="G2011" s="7">
        <v>7.4200999999999997</v>
      </c>
      <c r="H2011" s="7">
        <v>7.5328999999999997</v>
      </c>
      <c r="I2011" s="7">
        <v>7.9973999999999998</v>
      </c>
      <c r="J2011" s="7">
        <v>8.4060000000000006</v>
      </c>
      <c r="K2011" s="7">
        <v>8.7133000000000003</v>
      </c>
      <c r="L2011" s="7">
        <v>8.8928999999999991</v>
      </c>
      <c r="M2011" s="7">
        <v>9.2522000000000002</v>
      </c>
      <c r="N2011" s="7">
        <v>9.6196000000000002</v>
      </c>
      <c r="O2011" s="7">
        <v>9.8506</v>
      </c>
      <c r="P2011" s="7">
        <v>9.9362999999999992</v>
      </c>
      <c r="Q2011" s="7">
        <v>10.0921</v>
      </c>
    </row>
    <row r="2012" spans="1:17">
      <c r="A2012" s="5">
        <v>44400</v>
      </c>
      <c r="B2012" s="5" t="str">
        <f t="shared" si="31"/>
        <v>2021 q3</v>
      </c>
      <c r="C2012" s="7">
        <v>7.1295000000000002</v>
      </c>
      <c r="D2012" s="7">
        <v>7.1551</v>
      </c>
      <c r="E2012" s="7">
        <v>7.2077999999999998</v>
      </c>
      <c r="F2012" s="7">
        <v>7.2991000000000001</v>
      </c>
      <c r="G2012" s="7">
        <v>7.4067999999999996</v>
      </c>
      <c r="H2012" s="7">
        <v>7.5152000000000001</v>
      </c>
      <c r="I2012" s="7">
        <v>7.9951999999999996</v>
      </c>
      <c r="J2012" s="7">
        <v>8.4177999999999997</v>
      </c>
      <c r="K2012" s="7">
        <v>8.7278000000000002</v>
      </c>
      <c r="L2012" s="7">
        <v>8.9007000000000005</v>
      </c>
      <c r="M2012" s="7">
        <v>9.2463999999999995</v>
      </c>
      <c r="N2012" s="7">
        <v>9.5937999999999999</v>
      </c>
      <c r="O2012" s="7">
        <v>9.8046000000000006</v>
      </c>
      <c r="P2012" s="7">
        <v>9.8826000000000001</v>
      </c>
      <c r="Q2012" s="7">
        <v>10.0243</v>
      </c>
    </row>
    <row r="2013" spans="1:17">
      <c r="A2013" s="5">
        <v>44403</v>
      </c>
      <c r="B2013" s="5" t="str">
        <f t="shared" si="31"/>
        <v>2021 q3</v>
      </c>
      <c r="C2013" s="7">
        <v>7.2061999999999999</v>
      </c>
      <c r="D2013" s="7">
        <v>7.2281000000000004</v>
      </c>
      <c r="E2013" s="7">
        <v>7.2731000000000003</v>
      </c>
      <c r="F2013" s="7">
        <v>7.3540999999999999</v>
      </c>
      <c r="G2013" s="7">
        <v>7.4523999999999999</v>
      </c>
      <c r="H2013" s="7">
        <v>7.5517000000000003</v>
      </c>
      <c r="I2013" s="7">
        <v>8.0083000000000002</v>
      </c>
      <c r="J2013" s="7">
        <v>8.4167000000000005</v>
      </c>
      <c r="K2013" s="7">
        <v>8.7186000000000003</v>
      </c>
      <c r="L2013" s="7">
        <v>8.8885000000000005</v>
      </c>
      <c r="M2013" s="7">
        <v>9.2285000000000004</v>
      </c>
      <c r="N2013" s="7">
        <v>9.5702999999999996</v>
      </c>
      <c r="O2013" s="7">
        <v>9.7783999999999995</v>
      </c>
      <c r="P2013" s="7">
        <v>9.8553999999999995</v>
      </c>
      <c r="Q2013" s="7">
        <v>9.9954000000000001</v>
      </c>
    </row>
    <row r="2014" spans="1:17">
      <c r="A2014" s="5">
        <v>44404</v>
      </c>
      <c r="B2014" s="5" t="str">
        <f t="shared" si="31"/>
        <v>2021 q3</v>
      </c>
      <c r="C2014" s="7">
        <v>7.1574</v>
      </c>
      <c r="D2014" s="7">
        <v>7.2003000000000004</v>
      </c>
      <c r="E2014" s="7">
        <v>7.2887000000000004</v>
      </c>
      <c r="F2014" s="7">
        <v>7.4180999999999999</v>
      </c>
      <c r="G2014" s="7">
        <v>7.5437000000000003</v>
      </c>
      <c r="H2014" s="7">
        <v>7.6548999999999996</v>
      </c>
      <c r="I2014" s="7">
        <v>8.0762</v>
      </c>
      <c r="J2014" s="7">
        <v>8.4229000000000003</v>
      </c>
      <c r="K2014" s="7">
        <v>8.6913999999999998</v>
      </c>
      <c r="L2014" s="7">
        <v>8.8682999999999996</v>
      </c>
      <c r="M2014" s="7">
        <v>9.2219999999999995</v>
      </c>
      <c r="N2014" s="7">
        <v>9.5969999999999995</v>
      </c>
      <c r="O2014" s="7">
        <v>9.8164999999999996</v>
      </c>
      <c r="P2014" s="7">
        <v>9.8411000000000008</v>
      </c>
      <c r="Q2014" s="7">
        <v>9.8703000000000003</v>
      </c>
    </row>
    <row r="2015" spans="1:17">
      <c r="A2015" s="5">
        <v>44405</v>
      </c>
      <c r="B2015" s="5" t="str">
        <f t="shared" si="31"/>
        <v>2021 q3</v>
      </c>
      <c r="C2015" s="7">
        <v>7.1698000000000004</v>
      </c>
      <c r="D2015" s="7">
        <v>7.2130000000000001</v>
      </c>
      <c r="E2015" s="7">
        <v>7.3019999999999996</v>
      </c>
      <c r="F2015" s="7">
        <v>7.4313000000000002</v>
      </c>
      <c r="G2015" s="7">
        <v>7.556</v>
      </c>
      <c r="H2015" s="7">
        <v>7.6632999999999996</v>
      </c>
      <c r="I2015" s="7">
        <v>8.0663999999999998</v>
      </c>
      <c r="J2015" s="7">
        <v>8.3872</v>
      </c>
      <c r="K2015" s="7">
        <v>8.6300000000000008</v>
      </c>
      <c r="L2015" s="7">
        <v>8.7886000000000006</v>
      </c>
      <c r="M2015" s="7">
        <v>9.1057000000000006</v>
      </c>
      <c r="N2015" s="7">
        <v>9.4108000000000001</v>
      </c>
      <c r="O2015" s="7">
        <v>9.7143999999999995</v>
      </c>
      <c r="P2015" s="7">
        <v>9.8198000000000008</v>
      </c>
      <c r="Q2015" s="7">
        <v>10.008900000000001</v>
      </c>
    </row>
    <row r="2016" spans="1:17">
      <c r="A2016" s="5">
        <v>44406</v>
      </c>
      <c r="B2016" s="5" t="str">
        <f t="shared" si="31"/>
        <v>2021 q3</v>
      </c>
      <c r="C2016" s="7">
        <v>7.2618999999999998</v>
      </c>
      <c r="D2016" s="7">
        <v>7.3030999999999997</v>
      </c>
      <c r="E2016" s="7">
        <v>7.3882000000000003</v>
      </c>
      <c r="F2016" s="7">
        <v>7.5115999999999996</v>
      </c>
      <c r="G2016" s="7">
        <v>7.6307</v>
      </c>
      <c r="H2016" s="7">
        <v>7.7408000000000001</v>
      </c>
      <c r="I2016" s="7">
        <v>8.1188000000000002</v>
      </c>
      <c r="J2016" s="7">
        <v>8.4261999999999997</v>
      </c>
      <c r="K2016" s="7">
        <v>8.6591000000000005</v>
      </c>
      <c r="L2016" s="7">
        <v>8.8118999999999996</v>
      </c>
      <c r="M2016" s="7">
        <v>9.1174999999999997</v>
      </c>
      <c r="N2016" s="7">
        <v>9.4116999999999997</v>
      </c>
      <c r="O2016" s="7">
        <v>9.7057000000000002</v>
      </c>
      <c r="P2016" s="7">
        <v>9.8078000000000003</v>
      </c>
      <c r="Q2016" s="7">
        <v>9.9914000000000005</v>
      </c>
    </row>
    <row r="2017" spans="1:17">
      <c r="A2017" s="5">
        <v>44407</v>
      </c>
      <c r="B2017" s="5" t="str">
        <f t="shared" si="31"/>
        <v>2021 q3</v>
      </c>
      <c r="C2017" s="7">
        <v>7.2598000000000003</v>
      </c>
      <c r="D2017" s="7">
        <v>7.3014999999999999</v>
      </c>
      <c r="E2017" s="7">
        <v>7.3876999999999997</v>
      </c>
      <c r="F2017" s="7">
        <v>7.5125000000000002</v>
      </c>
      <c r="G2017" s="7">
        <v>7.6330999999999998</v>
      </c>
      <c r="H2017" s="7">
        <v>7.7441000000000004</v>
      </c>
      <c r="I2017" s="7">
        <v>8.1249000000000002</v>
      </c>
      <c r="J2017" s="7">
        <v>8.4335000000000004</v>
      </c>
      <c r="K2017" s="7">
        <v>8.6662999999999997</v>
      </c>
      <c r="L2017" s="7">
        <v>8.8183000000000007</v>
      </c>
      <c r="M2017" s="7">
        <v>9.1222999999999992</v>
      </c>
      <c r="N2017" s="7">
        <v>9.4138000000000002</v>
      </c>
      <c r="O2017" s="7">
        <v>9.7034000000000002</v>
      </c>
      <c r="P2017" s="7">
        <v>9.8033999999999999</v>
      </c>
      <c r="Q2017" s="7">
        <v>9.9832999999999998</v>
      </c>
    </row>
    <row r="2018" spans="1:17">
      <c r="A2018" s="5">
        <v>44410</v>
      </c>
      <c r="B2018" s="5" t="str">
        <f t="shared" si="31"/>
        <v>2021 q3</v>
      </c>
      <c r="C2018" s="7">
        <v>7.2615999999999996</v>
      </c>
      <c r="D2018" s="7">
        <v>7.3033000000000001</v>
      </c>
      <c r="E2018" s="7">
        <v>7.3894000000000002</v>
      </c>
      <c r="F2018" s="7">
        <v>7.5141999999999998</v>
      </c>
      <c r="G2018" s="7">
        <v>7.6346999999999996</v>
      </c>
      <c r="H2018" s="7">
        <v>7.7454999999999998</v>
      </c>
      <c r="I2018" s="7">
        <v>8.1259999999999994</v>
      </c>
      <c r="J2018" s="7">
        <v>8.4344999999999999</v>
      </c>
      <c r="K2018" s="7">
        <v>8.6669</v>
      </c>
      <c r="L2018" s="7">
        <v>8.8187999999999995</v>
      </c>
      <c r="M2018" s="7">
        <v>9.1227</v>
      </c>
      <c r="N2018" s="7">
        <v>9.4138000000000002</v>
      </c>
      <c r="O2018" s="7">
        <v>9.7033000000000005</v>
      </c>
      <c r="P2018" s="7">
        <v>9.8031000000000006</v>
      </c>
      <c r="Q2018" s="7">
        <v>9.9829000000000008</v>
      </c>
    </row>
    <row r="2019" spans="1:17">
      <c r="A2019" s="5">
        <v>44411</v>
      </c>
      <c r="B2019" s="5" t="str">
        <f t="shared" si="31"/>
        <v>2021 q3</v>
      </c>
      <c r="C2019" s="7">
        <v>7.2306999999999997</v>
      </c>
      <c r="D2019" s="7">
        <v>7.2747999999999999</v>
      </c>
      <c r="E2019" s="7">
        <v>7.3658000000000001</v>
      </c>
      <c r="F2019" s="7">
        <v>7.4947999999999997</v>
      </c>
      <c r="G2019" s="7">
        <v>7.6176000000000004</v>
      </c>
      <c r="H2019" s="7">
        <v>7.7401999999999997</v>
      </c>
      <c r="I2019" s="7">
        <v>8.1318000000000001</v>
      </c>
      <c r="J2019" s="7">
        <v>8.4460999999999995</v>
      </c>
      <c r="K2019" s="7">
        <v>8.6786999999999992</v>
      </c>
      <c r="L2019" s="7">
        <v>8.8277999999999999</v>
      </c>
      <c r="M2019" s="7">
        <v>9.1260999999999992</v>
      </c>
      <c r="N2019" s="7">
        <v>9.4071999999999996</v>
      </c>
      <c r="O2019" s="7">
        <v>9.6804000000000006</v>
      </c>
      <c r="P2019" s="7">
        <v>9.7728999999999999</v>
      </c>
      <c r="Q2019" s="7">
        <v>9.9395000000000007</v>
      </c>
    </row>
    <row r="2020" spans="1:17">
      <c r="A2020" s="5">
        <v>44412</v>
      </c>
      <c r="B2020" s="5" t="str">
        <f t="shared" si="31"/>
        <v>2021 q3</v>
      </c>
      <c r="C2020" s="7">
        <v>7.1921999999999997</v>
      </c>
      <c r="D2020" s="7">
        <v>7.2422000000000004</v>
      </c>
      <c r="E2020" s="7">
        <v>7.3452999999999999</v>
      </c>
      <c r="F2020" s="7">
        <v>7.4916999999999998</v>
      </c>
      <c r="G2020" s="7">
        <v>7.6315</v>
      </c>
      <c r="H2020" s="7">
        <v>7.7708000000000004</v>
      </c>
      <c r="I2020" s="7">
        <v>8.2181999999999995</v>
      </c>
      <c r="J2020" s="7">
        <v>8.5759000000000007</v>
      </c>
      <c r="K2020" s="7">
        <v>8.8346999999999998</v>
      </c>
      <c r="L2020" s="7">
        <v>8.9896999999999991</v>
      </c>
      <c r="M2020" s="7">
        <v>9.2995999999999999</v>
      </c>
      <c r="N2020" s="7">
        <v>9.6041000000000007</v>
      </c>
      <c r="O2020" s="7">
        <v>9.7436000000000007</v>
      </c>
      <c r="P2020" s="7">
        <v>9.7659000000000002</v>
      </c>
      <c r="Q2020" s="7">
        <v>9.7698</v>
      </c>
    </row>
    <row r="2021" spans="1:17">
      <c r="A2021" s="5">
        <v>44413</v>
      </c>
      <c r="B2021" s="5" t="str">
        <f t="shared" si="31"/>
        <v>2021 q3</v>
      </c>
      <c r="C2021" s="7">
        <v>7.1635999999999997</v>
      </c>
      <c r="D2021" s="7">
        <v>7.2191000000000001</v>
      </c>
      <c r="E2021" s="7">
        <v>7.3337000000000003</v>
      </c>
      <c r="F2021" s="7">
        <v>7.4950999999999999</v>
      </c>
      <c r="G2021" s="7">
        <v>7.6482999999999999</v>
      </c>
      <c r="H2021" s="7">
        <v>7.8006000000000002</v>
      </c>
      <c r="I2021" s="7">
        <v>8.2768999999999995</v>
      </c>
      <c r="J2021" s="7">
        <v>8.6478999999999999</v>
      </c>
      <c r="K2021" s="7">
        <v>8.9093</v>
      </c>
      <c r="L2021" s="7">
        <v>9.0618999999999996</v>
      </c>
      <c r="M2021" s="7">
        <v>9.3670000000000009</v>
      </c>
      <c r="N2021" s="7">
        <v>9.6691000000000003</v>
      </c>
      <c r="O2021" s="7">
        <v>9.8316999999999997</v>
      </c>
      <c r="P2021" s="7">
        <v>9.8771000000000004</v>
      </c>
      <c r="Q2021" s="7">
        <v>9.9573</v>
      </c>
    </row>
    <row r="2022" spans="1:17">
      <c r="A2022" s="5">
        <v>44414</v>
      </c>
      <c r="B2022" s="5" t="str">
        <f t="shared" si="31"/>
        <v>2021 q3</v>
      </c>
      <c r="C2022" s="7">
        <v>7.1448</v>
      </c>
      <c r="D2022" s="7">
        <v>7.2039</v>
      </c>
      <c r="E2022" s="7">
        <v>7.3258000000000001</v>
      </c>
      <c r="F2022" s="7">
        <v>7.4968000000000004</v>
      </c>
      <c r="G2022" s="7">
        <v>7.6590999999999996</v>
      </c>
      <c r="H2022" s="7">
        <v>7.8201999999999998</v>
      </c>
      <c r="I2022" s="7">
        <v>8.3193999999999999</v>
      </c>
      <c r="J2022" s="7">
        <v>8.7035</v>
      </c>
      <c r="K2022" s="7">
        <v>8.9679000000000002</v>
      </c>
      <c r="L2022" s="7">
        <v>9.1145999999999994</v>
      </c>
      <c r="M2022" s="7">
        <v>9.4078999999999997</v>
      </c>
      <c r="N2022" s="7">
        <v>9.6823999999999995</v>
      </c>
      <c r="O2022" s="7">
        <v>9.7905999999999995</v>
      </c>
      <c r="P2022" s="7">
        <v>9.8068000000000008</v>
      </c>
      <c r="Q2022" s="7">
        <v>9.8203999999999994</v>
      </c>
    </row>
    <row r="2023" spans="1:17">
      <c r="A2023" s="5">
        <v>44417</v>
      </c>
      <c r="B2023" s="5" t="str">
        <f t="shared" si="31"/>
        <v>2021 q3</v>
      </c>
      <c r="C2023" s="7">
        <v>7.3162000000000003</v>
      </c>
      <c r="D2023" s="7">
        <v>7.3680000000000003</v>
      </c>
      <c r="E2023" s="7">
        <v>7.4751000000000003</v>
      </c>
      <c r="F2023" s="7">
        <v>7.6242000000000001</v>
      </c>
      <c r="G2023" s="7">
        <v>7.7652999999999999</v>
      </c>
      <c r="H2023" s="7">
        <v>7.9048999999999996</v>
      </c>
      <c r="I2023" s="7">
        <v>8.3330000000000002</v>
      </c>
      <c r="J2023" s="7">
        <v>8.6616</v>
      </c>
      <c r="K2023" s="7">
        <v>8.8920999999999992</v>
      </c>
      <c r="L2023" s="7">
        <v>9.0303000000000004</v>
      </c>
      <c r="M2023" s="7">
        <v>9.3064999999999998</v>
      </c>
      <c r="N2023" s="7">
        <v>9.5568000000000008</v>
      </c>
      <c r="O2023" s="7">
        <v>9.7836999999999996</v>
      </c>
      <c r="P2023" s="7">
        <v>9.8574999999999999</v>
      </c>
      <c r="Q2023" s="7">
        <v>9.9902999999999995</v>
      </c>
    </row>
    <row r="2024" spans="1:17">
      <c r="A2024" s="5">
        <v>44418</v>
      </c>
      <c r="B2024" s="5" t="str">
        <f t="shared" si="31"/>
        <v>2021 q3</v>
      </c>
      <c r="C2024" s="7">
        <v>7.3204000000000002</v>
      </c>
      <c r="D2024" s="7">
        <v>7.3711000000000002</v>
      </c>
      <c r="E2024" s="7">
        <v>7.4756</v>
      </c>
      <c r="F2024" s="7">
        <v>7.6227</v>
      </c>
      <c r="G2024" s="7">
        <v>7.7638999999999996</v>
      </c>
      <c r="H2024" s="7">
        <v>7.9031000000000002</v>
      </c>
      <c r="I2024" s="7">
        <v>8.3497000000000003</v>
      </c>
      <c r="J2024" s="7">
        <v>8.7042000000000002</v>
      </c>
      <c r="K2024" s="7">
        <v>8.9579000000000004</v>
      </c>
      <c r="L2024" s="7">
        <v>9.1109000000000009</v>
      </c>
      <c r="M2024" s="7">
        <v>9.4169</v>
      </c>
      <c r="N2024" s="7">
        <v>9.7194000000000003</v>
      </c>
      <c r="O2024" s="7">
        <v>9.8742999999999999</v>
      </c>
      <c r="P2024" s="7">
        <v>9.9062999999999999</v>
      </c>
      <c r="Q2024" s="7">
        <v>9.9595000000000002</v>
      </c>
    </row>
    <row r="2025" spans="1:17">
      <c r="A2025" s="5">
        <v>44419</v>
      </c>
      <c r="B2025" s="5" t="str">
        <f t="shared" si="31"/>
        <v>2021 q3</v>
      </c>
      <c r="C2025" s="7">
        <v>7.2473000000000001</v>
      </c>
      <c r="D2025" s="7">
        <v>7.3175999999999997</v>
      </c>
      <c r="E2025" s="7">
        <v>7.4626000000000001</v>
      </c>
      <c r="F2025" s="7">
        <v>7.6580000000000004</v>
      </c>
      <c r="G2025" s="7">
        <v>7.8406000000000002</v>
      </c>
      <c r="H2025" s="7">
        <v>8.0187000000000008</v>
      </c>
      <c r="I2025" s="7">
        <v>8.5213000000000001</v>
      </c>
      <c r="J2025" s="7">
        <v>8.8754000000000008</v>
      </c>
      <c r="K2025" s="7">
        <v>9.1015999999999995</v>
      </c>
      <c r="L2025" s="7">
        <v>9.2226999999999997</v>
      </c>
      <c r="M2025" s="7">
        <v>9.4647000000000006</v>
      </c>
      <c r="N2025" s="7">
        <v>9.6736000000000004</v>
      </c>
      <c r="O2025" s="7">
        <v>9.8458000000000006</v>
      </c>
      <c r="P2025" s="7">
        <v>9.9</v>
      </c>
      <c r="Q2025" s="7">
        <v>9.9977</v>
      </c>
    </row>
    <row r="2026" spans="1:17">
      <c r="A2026" s="5">
        <v>44420</v>
      </c>
      <c r="B2026" s="5" t="str">
        <f t="shared" si="31"/>
        <v>2021 q3</v>
      </c>
      <c r="C2026" s="7">
        <v>7.1833</v>
      </c>
      <c r="D2026" s="7">
        <v>7.2648000000000001</v>
      </c>
      <c r="E2026" s="7">
        <v>7.4329999999999998</v>
      </c>
      <c r="F2026" s="7">
        <v>7.6604000000000001</v>
      </c>
      <c r="G2026" s="7">
        <v>7.8738000000000001</v>
      </c>
      <c r="H2026" s="7">
        <v>8.0815999999999999</v>
      </c>
      <c r="I2026" s="7">
        <v>8.6696000000000009</v>
      </c>
      <c r="J2026" s="7">
        <v>9.0759000000000007</v>
      </c>
      <c r="K2026" s="7">
        <v>9.3445</v>
      </c>
      <c r="L2026" s="7">
        <v>9.5086999999999993</v>
      </c>
      <c r="M2026" s="7">
        <v>9.6755999999999993</v>
      </c>
      <c r="N2026" s="7">
        <v>9.7980999999999998</v>
      </c>
      <c r="O2026" s="7">
        <v>9.8568999999999996</v>
      </c>
      <c r="P2026" s="7">
        <v>9.8603000000000005</v>
      </c>
      <c r="Q2026" s="7">
        <v>9.8620000000000001</v>
      </c>
    </row>
    <row r="2027" spans="1:17">
      <c r="A2027" s="5">
        <v>44421</v>
      </c>
      <c r="B2027" s="5" t="str">
        <f t="shared" si="31"/>
        <v>2021 q3</v>
      </c>
      <c r="C2027" s="7">
        <v>7.3329000000000004</v>
      </c>
      <c r="D2027" s="7">
        <v>7.4005000000000001</v>
      </c>
      <c r="E2027" s="7">
        <v>7.5397999999999996</v>
      </c>
      <c r="F2027" s="7">
        <v>7.7305000000000001</v>
      </c>
      <c r="G2027" s="7">
        <v>7.9116</v>
      </c>
      <c r="H2027" s="7">
        <v>8.0876999999999999</v>
      </c>
      <c r="I2027" s="7">
        <v>8.5998000000000001</v>
      </c>
      <c r="J2027" s="7">
        <v>8.9603999999999999</v>
      </c>
      <c r="K2027" s="7">
        <v>9.1856000000000009</v>
      </c>
      <c r="L2027" s="7">
        <v>9.3010999999999999</v>
      </c>
      <c r="M2027" s="7">
        <v>9.5322999999999993</v>
      </c>
      <c r="N2027" s="7">
        <v>9.7279</v>
      </c>
      <c r="O2027" s="7">
        <v>9.8831000000000007</v>
      </c>
      <c r="P2027" s="7">
        <v>9.9315999999999995</v>
      </c>
      <c r="Q2027" s="7">
        <v>10.0191</v>
      </c>
    </row>
    <row r="2028" spans="1:17">
      <c r="A2028" s="5">
        <v>44424</v>
      </c>
      <c r="B2028" s="5" t="str">
        <f t="shared" si="31"/>
        <v>2021 q3</v>
      </c>
      <c r="C2028" s="7">
        <v>7.3632999999999997</v>
      </c>
      <c r="D2028" s="7">
        <v>7.4204999999999997</v>
      </c>
      <c r="E2028" s="7">
        <v>7.5384000000000002</v>
      </c>
      <c r="F2028" s="7">
        <v>7.7180999999999997</v>
      </c>
      <c r="G2028" s="7">
        <v>7.8990999999999998</v>
      </c>
      <c r="H2028" s="7">
        <v>8.0764999999999993</v>
      </c>
      <c r="I2028" s="7">
        <v>8.6379000000000001</v>
      </c>
      <c r="J2028" s="7">
        <v>9.0257000000000005</v>
      </c>
      <c r="K2028" s="7">
        <v>9.2751000000000001</v>
      </c>
      <c r="L2028" s="7">
        <v>9.4290000000000003</v>
      </c>
      <c r="M2028" s="7">
        <v>9.6029999999999998</v>
      </c>
      <c r="N2028" s="7">
        <v>9.7573000000000008</v>
      </c>
      <c r="O2028" s="7">
        <v>9.8940000000000001</v>
      </c>
      <c r="P2028" s="7">
        <v>9.9366000000000003</v>
      </c>
      <c r="Q2028" s="7">
        <v>10.013400000000001</v>
      </c>
    </row>
    <row r="2029" spans="1:17">
      <c r="A2029" s="5">
        <v>44425</v>
      </c>
      <c r="B2029" s="5" t="str">
        <f t="shared" si="31"/>
        <v>2021 q3</v>
      </c>
      <c r="C2029" s="7">
        <v>7.3852000000000002</v>
      </c>
      <c r="D2029" s="7">
        <v>7.4554</v>
      </c>
      <c r="E2029" s="7">
        <v>7.6003999999999996</v>
      </c>
      <c r="F2029" s="7">
        <v>7.7972999999999999</v>
      </c>
      <c r="G2029" s="7">
        <v>7.9855</v>
      </c>
      <c r="H2029" s="7">
        <v>8.1414000000000009</v>
      </c>
      <c r="I2029" s="7">
        <v>8.6580999999999992</v>
      </c>
      <c r="J2029" s="7">
        <v>9.0162999999999993</v>
      </c>
      <c r="K2029" s="7">
        <v>9.2454000000000001</v>
      </c>
      <c r="L2029" s="7">
        <v>9.3703000000000003</v>
      </c>
      <c r="M2029" s="7">
        <v>9.6199999999999992</v>
      </c>
      <c r="N2029" s="7">
        <v>9.8651</v>
      </c>
      <c r="O2029" s="7">
        <v>10.014699999999999</v>
      </c>
      <c r="P2029" s="7">
        <v>10.0693</v>
      </c>
      <c r="Q2029" s="7">
        <v>10.1708</v>
      </c>
    </row>
    <row r="2030" spans="1:17">
      <c r="A2030" s="5">
        <v>44426</v>
      </c>
      <c r="B2030" s="5" t="str">
        <f t="shared" si="31"/>
        <v>2021 q3</v>
      </c>
      <c r="C2030" s="7">
        <v>7.3952999999999998</v>
      </c>
      <c r="D2030" s="7">
        <v>7.4657999999999998</v>
      </c>
      <c r="E2030" s="7">
        <v>7.6113</v>
      </c>
      <c r="F2030" s="7">
        <v>7.8079000000000001</v>
      </c>
      <c r="G2030" s="7">
        <v>7.9957000000000003</v>
      </c>
      <c r="H2030" s="7">
        <v>8.1498000000000008</v>
      </c>
      <c r="I2030" s="7">
        <v>8.6582000000000008</v>
      </c>
      <c r="J2030" s="7">
        <v>9.0061999999999998</v>
      </c>
      <c r="K2030" s="7">
        <v>9.2261000000000006</v>
      </c>
      <c r="L2030" s="7">
        <v>9.3443000000000005</v>
      </c>
      <c r="M2030" s="7">
        <v>9.5808999999999997</v>
      </c>
      <c r="N2030" s="7">
        <v>9.7827999999999999</v>
      </c>
      <c r="O2030" s="7">
        <v>9.9497</v>
      </c>
      <c r="P2030" s="7">
        <v>10.0017</v>
      </c>
      <c r="Q2030" s="7">
        <v>10.0962</v>
      </c>
    </row>
    <row r="2031" spans="1:17">
      <c r="A2031" s="5">
        <v>44427</v>
      </c>
      <c r="B2031" s="5" t="str">
        <f t="shared" si="31"/>
        <v>2021 q3</v>
      </c>
      <c r="C2031" s="7">
        <v>7.4029999999999996</v>
      </c>
      <c r="D2031" s="7">
        <v>7.4710999999999999</v>
      </c>
      <c r="E2031" s="7">
        <v>7.6116999999999999</v>
      </c>
      <c r="F2031" s="7">
        <v>7.8045</v>
      </c>
      <c r="G2031" s="7">
        <v>7.9903000000000004</v>
      </c>
      <c r="H2031" s="7">
        <v>8.1464999999999996</v>
      </c>
      <c r="I2031" s="7">
        <v>8.6745000000000001</v>
      </c>
      <c r="J2031" s="7">
        <v>9.0486000000000004</v>
      </c>
      <c r="K2031" s="7">
        <v>9.3103999999999996</v>
      </c>
      <c r="L2031" s="7">
        <v>9.4817</v>
      </c>
      <c r="M2031" s="7">
        <v>9.6819000000000006</v>
      </c>
      <c r="N2031" s="7">
        <v>9.8760999999999992</v>
      </c>
      <c r="O2031" s="7">
        <v>9.9702000000000002</v>
      </c>
      <c r="P2031" s="7">
        <v>9.9961000000000002</v>
      </c>
      <c r="Q2031" s="7">
        <v>10.0428</v>
      </c>
    </row>
    <row r="2032" spans="1:17">
      <c r="A2032" s="5">
        <v>44428</v>
      </c>
      <c r="B2032" s="5" t="str">
        <f t="shared" si="31"/>
        <v>2021 q3</v>
      </c>
      <c r="C2032" s="7">
        <v>7.4019000000000004</v>
      </c>
      <c r="D2032" s="7">
        <v>7.4720000000000004</v>
      </c>
      <c r="E2032" s="7">
        <v>7.6166999999999998</v>
      </c>
      <c r="F2032" s="7">
        <v>7.8117999999999999</v>
      </c>
      <c r="G2032" s="7">
        <v>7.9988999999999999</v>
      </c>
      <c r="H2032" s="7">
        <v>8.1516999999999999</v>
      </c>
      <c r="I2032" s="7">
        <v>8.6593999999999998</v>
      </c>
      <c r="J2032" s="7">
        <v>9.0083000000000002</v>
      </c>
      <c r="K2032" s="7">
        <v>9.2291000000000007</v>
      </c>
      <c r="L2032" s="7">
        <v>9.3488000000000007</v>
      </c>
      <c r="M2032" s="7">
        <v>9.5883000000000003</v>
      </c>
      <c r="N2032" s="7">
        <v>9.7926000000000002</v>
      </c>
      <c r="O2032" s="7">
        <v>9.9621999999999993</v>
      </c>
      <c r="P2032" s="7">
        <v>10.015000000000001</v>
      </c>
      <c r="Q2032" s="7">
        <v>10.1111</v>
      </c>
    </row>
    <row r="2033" spans="1:17">
      <c r="A2033" s="5">
        <v>44431</v>
      </c>
      <c r="B2033" s="5" t="str">
        <f t="shared" si="31"/>
        <v>2021 q3</v>
      </c>
      <c r="C2033" s="7">
        <v>7.3964999999999996</v>
      </c>
      <c r="D2033" s="7">
        <v>7.4682000000000004</v>
      </c>
      <c r="E2033" s="7">
        <v>7.6161000000000003</v>
      </c>
      <c r="F2033" s="7">
        <v>7.8147000000000002</v>
      </c>
      <c r="G2033" s="7">
        <v>8.0053000000000001</v>
      </c>
      <c r="H2033" s="7">
        <v>8.16</v>
      </c>
      <c r="I2033" s="7">
        <v>8.6730999999999998</v>
      </c>
      <c r="J2033" s="7">
        <v>9.0234000000000005</v>
      </c>
      <c r="K2033" s="7">
        <v>9.2645999999999997</v>
      </c>
      <c r="L2033" s="7">
        <v>9.4244000000000003</v>
      </c>
      <c r="M2033" s="7">
        <v>9.6227999999999998</v>
      </c>
      <c r="N2033" s="7">
        <v>9.8011999999999997</v>
      </c>
      <c r="O2033" s="7">
        <v>9.968</v>
      </c>
      <c r="P2033" s="7">
        <v>10.0198</v>
      </c>
      <c r="Q2033" s="7">
        <v>10.1142</v>
      </c>
    </row>
    <row r="2034" spans="1:17">
      <c r="A2034" s="5">
        <v>44432</v>
      </c>
      <c r="B2034" s="5" t="str">
        <f t="shared" si="31"/>
        <v>2021 q3</v>
      </c>
      <c r="C2034" s="7">
        <v>7.4234999999999998</v>
      </c>
      <c r="D2034" s="7">
        <v>7.4911000000000003</v>
      </c>
      <c r="E2034" s="7">
        <v>7.6307</v>
      </c>
      <c r="F2034" s="7">
        <v>7.8192000000000004</v>
      </c>
      <c r="G2034" s="7">
        <v>8.0016999999999996</v>
      </c>
      <c r="H2034" s="7">
        <v>8.1509999999999998</v>
      </c>
      <c r="I2034" s="7">
        <v>8.6577999999999999</v>
      </c>
      <c r="J2034" s="7">
        <v>9.0150000000000006</v>
      </c>
      <c r="K2034" s="7">
        <v>9.2456999999999994</v>
      </c>
      <c r="L2034" s="7">
        <v>9.3754000000000008</v>
      </c>
      <c r="M2034" s="7">
        <v>9.6349</v>
      </c>
      <c r="N2034" s="7">
        <v>9.8573000000000004</v>
      </c>
      <c r="O2034" s="7">
        <v>10.046900000000001</v>
      </c>
      <c r="P2034" s="7">
        <v>10.105700000000001</v>
      </c>
      <c r="Q2034" s="7">
        <v>10.2135</v>
      </c>
    </row>
    <row r="2035" spans="1:17">
      <c r="A2035" s="5">
        <v>44433</v>
      </c>
      <c r="B2035" s="5" t="str">
        <f t="shared" si="31"/>
        <v>2021 q3</v>
      </c>
      <c r="C2035" s="7">
        <v>7.4211999999999998</v>
      </c>
      <c r="D2035" s="7">
        <v>7.4896000000000003</v>
      </c>
      <c r="E2035" s="7">
        <v>7.6307</v>
      </c>
      <c r="F2035" s="7">
        <v>7.8209999999999997</v>
      </c>
      <c r="G2035" s="7">
        <v>8.0053999999999998</v>
      </c>
      <c r="H2035" s="7">
        <v>8.1556999999999995</v>
      </c>
      <c r="I2035" s="7">
        <v>8.6666000000000007</v>
      </c>
      <c r="J2035" s="7">
        <v>9.0261999999999993</v>
      </c>
      <c r="K2035" s="7">
        <v>9.2578999999999994</v>
      </c>
      <c r="L2035" s="7">
        <v>9.3882999999999992</v>
      </c>
      <c r="M2035" s="7">
        <v>9.6488999999999994</v>
      </c>
      <c r="N2035" s="7">
        <v>9.9047000000000001</v>
      </c>
      <c r="O2035" s="7">
        <v>10.0632</v>
      </c>
      <c r="P2035" s="7">
        <v>10.1282</v>
      </c>
      <c r="Q2035" s="7">
        <v>10.225199999999999</v>
      </c>
    </row>
    <row r="2036" spans="1:17">
      <c r="A2036" s="5">
        <v>44434</v>
      </c>
      <c r="B2036" s="5" t="str">
        <f t="shared" si="31"/>
        <v>2021 q3</v>
      </c>
      <c r="C2036" s="7">
        <v>7.4264999999999999</v>
      </c>
      <c r="D2036" s="7">
        <v>7.4938000000000002</v>
      </c>
      <c r="E2036" s="7">
        <v>7.6326000000000001</v>
      </c>
      <c r="F2036" s="7">
        <v>7.8205999999999998</v>
      </c>
      <c r="G2036" s="7">
        <v>8.0033999999999992</v>
      </c>
      <c r="H2036" s="7">
        <v>8.1536000000000008</v>
      </c>
      <c r="I2036" s="7">
        <v>8.6696000000000009</v>
      </c>
      <c r="J2036" s="7">
        <v>9.0394000000000005</v>
      </c>
      <c r="K2036" s="7">
        <v>9.2817000000000007</v>
      </c>
      <c r="L2036" s="7">
        <v>9.4213000000000005</v>
      </c>
      <c r="M2036" s="7">
        <v>9.7004000000000001</v>
      </c>
      <c r="N2036" s="7">
        <v>9.9766999999999992</v>
      </c>
      <c r="O2036" s="7">
        <v>10.1511</v>
      </c>
      <c r="P2036" s="7">
        <v>10.214600000000001</v>
      </c>
      <c r="Q2036" s="7">
        <v>10.3338</v>
      </c>
    </row>
    <row r="2037" spans="1:17">
      <c r="A2037" s="5">
        <v>44435</v>
      </c>
      <c r="B2037" s="5" t="str">
        <f t="shared" si="31"/>
        <v>2021 q3</v>
      </c>
      <c r="C2037" s="7">
        <v>7.4775999999999998</v>
      </c>
      <c r="D2037" s="7">
        <v>7.5376000000000003</v>
      </c>
      <c r="E2037" s="7">
        <v>7.6612999999999998</v>
      </c>
      <c r="F2037" s="7">
        <v>7.8323999999999998</v>
      </c>
      <c r="G2037" s="7">
        <v>8.0000999999999998</v>
      </c>
      <c r="H2037" s="7">
        <v>8.1430000000000007</v>
      </c>
      <c r="I2037" s="7">
        <v>8.6478000000000002</v>
      </c>
      <c r="J2037" s="7">
        <v>9.0288000000000004</v>
      </c>
      <c r="K2037" s="7">
        <v>9.2860999999999994</v>
      </c>
      <c r="L2037" s="7">
        <v>9.4349000000000007</v>
      </c>
      <c r="M2037" s="7">
        <v>9.7325999999999997</v>
      </c>
      <c r="N2037" s="7">
        <v>10.0098</v>
      </c>
      <c r="O2037" s="7">
        <v>10.132999999999999</v>
      </c>
      <c r="P2037" s="7">
        <v>10.1572</v>
      </c>
      <c r="Q2037" s="7">
        <v>10.198700000000001</v>
      </c>
    </row>
    <row r="2038" spans="1:17">
      <c r="A2038" s="5">
        <v>44438</v>
      </c>
      <c r="B2038" s="5" t="str">
        <f t="shared" si="31"/>
        <v>2021 q3</v>
      </c>
      <c r="C2038" s="7">
        <v>7.4513999999999996</v>
      </c>
      <c r="D2038" s="7">
        <v>7.5178000000000003</v>
      </c>
      <c r="E2038" s="7">
        <v>7.6547999999999998</v>
      </c>
      <c r="F2038" s="7">
        <v>7.8396999999999997</v>
      </c>
      <c r="G2038" s="7">
        <v>8.0200999999999993</v>
      </c>
      <c r="H2038" s="7">
        <v>8.1675000000000004</v>
      </c>
      <c r="I2038" s="7">
        <v>8.6761999999999997</v>
      </c>
      <c r="J2038" s="7">
        <v>9.0409000000000006</v>
      </c>
      <c r="K2038" s="7">
        <v>9.2797000000000001</v>
      </c>
      <c r="L2038" s="7">
        <v>9.4177999999999997</v>
      </c>
      <c r="M2038" s="7">
        <v>9.6940000000000008</v>
      </c>
      <c r="N2038" s="7">
        <v>9.9314999999999998</v>
      </c>
      <c r="O2038" s="7">
        <v>10.138199999999999</v>
      </c>
      <c r="P2038" s="7">
        <v>10.2103</v>
      </c>
      <c r="Q2038" s="7">
        <v>10.3163</v>
      </c>
    </row>
    <row r="2039" spans="1:17">
      <c r="A2039" s="5">
        <v>44439</v>
      </c>
      <c r="B2039" s="5" t="str">
        <f t="shared" si="31"/>
        <v>2021 q3</v>
      </c>
      <c r="C2039" s="7">
        <v>7.4490999999999996</v>
      </c>
      <c r="D2039" s="7">
        <v>7.5186000000000002</v>
      </c>
      <c r="E2039" s="7">
        <v>7.6622000000000003</v>
      </c>
      <c r="F2039" s="7">
        <v>7.8548</v>
      </c>
      <c r="G2039" s="7">
        <v>8.0435999999999996</v>
      </c>
      <c r="H2039" s="7">
        <v>8.1959999999999997</v>
      </c>
      <c r="I2039" s="7">
        <v>8.7241999999999997</v>
      </c>
      <c r="J2039" s="7">
        <v>9.1013000000000002</v>
      </c>
      <c r="K2039" s="7">
        <v>9.3463999999999992</v>
      </c>
      <c r="L2039" s="7">
        <v>9.4880999999999993</v>
      </c>
      <c r="M2039" s="7">
        <v>9.7713999999999999</v>
      </c>
      <c r="N2039" s="7">
        <v>10.0137</v>
      </c>
      <c r="O2039" s="7">
        <v>10.2242</v>
      </c>
      <c r="P2039" s="7">
        <v>10.289099999999999</v>
      </c>
      <c r="Q2039" s="7">
        <v>10.4091</v>
      </c>
    </row>
    <row r="2040" spans="1:17">
      <c r="A2040" s="5">
        <v>44440</v>
      </c>
      <c r="B2040" s="5" t="str">
        <f t="shared" si="31"/>
        <v>2021 q3</v>
      </c>
      <c r="C2040" s="7">
        <v>7.4547999999999996</v>
      </c>
      <c r="D2040" s="7">
        <v>7.524</v>
      </c>
      <c r="E2040" s="7">
        <v>7.6668000000000003</v>
      </c>
      <c r="F2040" s="7">
        <v>7.8598999999999997</v>
      </c>
      <c r="G2040" s="7">
        <v>8.0495999999999999</v>
      </c>
      <c r="H2040" s="7">
        <v>8.2048000000000005</v>
      </c>
      <c r="I2040" s="7">
        <v>8.7491000000000003</v>
      </c>
      <c r="J2040" s="7">
        <v>9.1471</v>
      </c>
      <c r="K2040" s="7">
        <v>9.4116999999999997</v>
      </c>
      <c r="L2040" s="7">
        <v>9.5695999999999994</v>
      </c>
      <c r="M2040" s="7">
        <v>9.8854000000000006</v>
      </c>
      <c r="N2040" s="7">
        <v>10.1584</v>
      </c>
      <c r="O2040" s="7">
        <v>10.402100000000001</v>
      </c>
      <c r="P2040" s="7">
        <v>10.477600000000001</v>
      </c>
      <c r="Q2040" s="7">
        <v>10.6174</v>
      </c>
    </row>
    <row r="2041" spans="1:17">
      <c r="A2041" s="5">
        <v>44441</v>
      </c>
      <c r="B2041" s="5" t="str">
        <f t="shared" si="31"/>
        <v>2021 q3</v>
      </c>
      <c r="C2041" s="7">
        <v>7.4711999999999996</v>
      </c>
      <c r="D2041" s="7">
        <v>7.5400999999999998</v>
      </c>
      <c r="E2041" s="7">
        <v>7.6824000000000003</v>
      </c>
      <c r="F2041" s="7">
        <v>7.8741000000000003</v>
      </c>
      <c r="G2041" s="7">
        <v>8.0625999999999998</v>
      </c>
      <c r="H2041" s="7">
        <v>8.2158999999999995</v>
      </c>
      <c r="I2041" s="7">
        <v>8.7538999999999998</v>
      </c>
      <c r="J2041" s="7">
        <v>9.1454000000000004</v>
      </c>
      <c r="K2041" s="7">
        <v>9.4311000000000007</v>
      </c>
      <c r="L2041" s="7">
        <v>9.6288</v>
      </c>
      <c r="M2041" s="7">
        <v>9.8918999999999997</v>
      </c>
      <c r="N2041" s="7">
        <v>10.1311</v>
      </c>
      <c r="O2041" s="7">
        <v>10.3668</v>
      </c>
      <c r="P2041" s="7">
        <v>10.4396</v>
      </c>
      <c r="Q2041" s="7">
        <v>10.5746</v>
      </c>
    </row>
    <row r="2042" spans="1:17">
      <c r="A2042" s="5">
        <v>44442</v>
      </c>
      <c r="B2042" s="5" t="str">
        <f t="shared" si="31"/>
        <v>2021 q3</v>
      </c>
      <c r="C2042" s="7">
        <v>7.4462999999999999</v>
      </c>
      <c r="D2042" s="7">
        <v>7.5197000000000003</v>
      </c>
      <c r="E2042" s="7">
        <v>7.6711999999999998</v>
      </c>
      <c r="F2042" s="7">
        <v>7.875</v>
      </c>
      <c r="G2042" s="7">
        <v>8.0759000000000007</v>
      </c>
      <c r="H2042" s="7">
        <v>8.2386999999999997</v>
      </c>
      <c r="I2042" s="7">
        <v>8.8111999999999995</v>
      </c>
      <c r="J2042" s="7">
        <v>9.2278000000000002</v>
      </c>
      <c r="K2042" s="7">
        <v>9.5031999999999996</v>
      </c>
      <c r="L2042" s="7">
        <v>9.6670999999999996</v>
      </c>
      <c r="M2042" s="7">
        <v>9.9948999999999995</v>
      </c>
      <c r="N2042" s="7">
        <v>10.2768</v>
      </c>
      <c r="O2042" s="7">
        <v>10.527799999999999</v>
      </c>
      <c r="P2042" s="7">
        <v>10.6052</v>
      </c>
      <c r="Q2042" s="7">
        <v>10.748900000000001</v>
      </c>
    </row>
    <row r="2043" spans="1:17">
      <c r="A2043" s="5">
        <v>44445</v>
      </c>
      <c r="B2043" s="5" t="str">
        <f t="shared" si="31"/>
        <v>2021 q3</v>
      </c>
      <c r="C2043" s="7">
        <v>7.4626000000000001</v>
      </c>
      <c r="D2043" s="7">
        <v>7.5370999999999997</v>
      </c>
      <c r="E2043" s="7">
        <v>7.6909000000000001</v>
      </c>
      <c r="F2043" s="7">
        <v>7.9104000000000001</v>
      </c>
      <c r="G2043" s="7">
        <v>8.1105</v>
      </c>
      <c r="H2043" s="7">
        <v>8.2716999999999992</v>
      </c>
      <c r="I2043" s="7">
        <v>8.8329000000000004</v>
      </c>
      <c r="J2043" s="7">
        <v>9.2253000000000007</v>
      </c>
      <c r="K2043" s="7">
        <v>9.4742999999999995</v>
      </c>
      <c r="L2043" s="7">
        <v>9.6157000000000004</v>
      </c>
      <c r="M2043" s="7">
        <v>9.8985000000000003</v>
      </c>
      <c r="N2043" s="7">
        <v>10.172800000000001</v>
      </c>
      <c r="O2043" s="7">
        <v>10.342000000000001</v>
      </c>
      <c r="P2043" s="7">
        <v>10.409599999999999</v>
      </c>
      <c r="Q2043" s="7">
        <v>10.517899999999999</v>
      </c>
    </row>
    <row r="2044" spans="1:17">
      <c r="A2044" s="5">
        <v>44446</v>
      </c>
      <c r="B2044" s="5" t="str">
        <f t="shared" si="31"/>
        <v>2021 q3</v>
      </c>
      <c r="C2044" s="7">
        <v>7.4690000000000003</v>
      </c>
      <c r="D2044" s="7">
        <v>7.5396999999999998</v>
      </c>
      <c r="E2044" s="7">
        <v>7.6856</v>
      </c>
      <c r="F2044" s="7">
        <v>7.8914</v>
      </c>
      <c r="G2044" s="7">
        <v>8.0778999999999996</v>
      </c>
      <c r="H2044" s="7">
        <v>8.2638999999999996</v>
      </c>
      <c r="I2044" s="7">
        <v>8.8163</v>
      </c>
      <c r="J2044" s="7">
        <v>9.2330000000000005</v>
      </c>
      <c r="K2044" s="7">
        <v>9.5096000000000007</v>
      </c>
      <c r="L2044" s="7">
        <v>9.6768000000000001</v>
      </c>
      <c r="M2044" s="7">
        <v>10.011200000000001</v>
      </c>
      <c r="N2044" s="7">
        <v>10.2988</v>
      </c>
      <c r="O2044" s="7">
        <v>10.5579</v>
      </c>
      <c r="P2044" s="7">
        <v>10.6478</v>
      </c>
      <c r="Q2044" s="7">
        <v>10.7811</v>
      </c>
    </row>
    <row r="2045" spans="1:17">
      <c r="A2045" s="5">
        <v>44447</v>
      </c>
      <c r="B2045" s="5" t="str">
        <f t="shared" si="31"/>
        <v>2021 q3</v>
      </c>
      <c r="C2045" s="7">
        <v>7.4706000000000001</v>
      </c>
      <c r="D2045" s="7">
        <v>7.5415000000000001</v>
      </c>
      <c r="E2045" s="7">
        <v>7.6879</v>
      </c>
      <c r="F2045" s="7">
        <v>7.8940000000000001</v>
      </c>
      <c r="G2045" s="7">
        <v>8.0807000000000002</v>
      </c>
      <c r="H2045" s="7">
        <v>8.2666000000000004</v>
      </c>
      <c r="I2045" s="7">
        <v>8.8173999999999992</v>
      </c>
      <c r="J2045" s="7">
        <v>9.2315000000000005</v>
      </c>
      <c r="K2045" s="7">
        <v>9.5347000000000008</v>
      </c>
      <c r="L2045" s="7">
        <v>9.7445000000000004</v>
      </c>
      <c r="M2045" s="7">
        <v>10.0268</v>
      </c>
      <c r="N2045" s="7">
        <v>10.282299999999999</v>
      </c>
      <c r="O2045" s="7">
        <v>10.536099999999999</v>
      </c>
      <c r="P2045" s="7">
        <v>10.613899999999999</v>
      </c>
      <c r="Q2045" s="7">
        <v>10.7593</v>
      </c>
    </row>
    <row r="2046" spans="1:17">
      <c r="A2046" s="5">
        <v>44448</v>
      </c>
      <c r="B2046" s="5" t="str">
        <f t="shared" si="31"/>
        <v>2021 q3</v>
      </c>
      <c r="C2046" s="7">
        <v>7.4783999999999997</v>
      </c>
      <c r="D2046" s="7">
        <v>7.5484</v>
      </c>
      <c r="E2046" s="7">
        <v>7.6928000000000001</v>
      </c>
      <c r="F2046" s="7">
        <v>7.8966000000000003</v>
      </c>
      <c r="G2046" s="7">
        <v>8.0827000000000009</v>
      </c>
      <c r="H2046" s="7">
        <v>8.2675999999999998</v>
      </c>
      <c r="I2046" s="7">
        <v>8.8254999999999999</v>
      </c>
      <c r="J2046" s="7">
        <v>9.2513000000000005</v>
      </c>
      <c r="K2046" s="7">
        <v>9.5681999999999992</v>
      </c>
      <c r="L2046" s="7">
        <v>9.7905999999999995</v>
      </c>
      <c r="M2046" s="7">
        <v>10.0951</v>
      </c>
      <c r="N2046" s="7">
        <v>10.3729</v>
      </c>
      <c r="O2046" s="7">
        <v>10.6533</v>
      </c>
      <c r="P2046" s="7">
        <v>10.739800000000001</v>
      </c>
      <c r="Q2046" s="7">
        <v>10.9016</v>
      </c>
    </row>
    <row r="2047" spans="1:17">
      <c r="A2047" s="5">
        <v>44449</v>
      </c>
      <c r="B2047" s="5" t="str">
        <f t="shared" si="31"/>
        <v>2021 q3</v>
      </c>
      <c r="C2047" s="7">
        <v>7.4545000000000003</v>
      </c>
      <c r="D2047" s="7">
        <v>7.5259</v>
      </c>
      <c r="E2047" s="7">
        <v>7.6731999999999996</v>
      </c>
      <c r="F2047" s="7">
        <v>7.8811999999999998</v>
      </c>
      <c r="G2047" s="7">
        <v>8.0723000000000003</v>
      </c>
      <c r="H2047" s="7">
        <v>8.2619000000000007</v>
      </c>
      <c r="I2047" s="7">
        <v>8.8285</v>
      </c>
      <c r="J2047" s="7">
        <v>9.2568999999999999</v>
      </c>
      <c r="K2047" s="7">
        <v>9.5412999999999997</v>
      </c>
      <c r="L2047" s="7">
        <v>9.7147000000000006</v>
      </c>
      <c r="M2047" s="7">
        <v>10.061500000000001</v>
      </c>
      <c r="N2047" s="7">
        <v>10.3592</v>
      </c>
      <c r="O2047" s="7">
        <v>10.629099999999999</v>
      </c>
      <c r="P2047" s="7">
        <v>10.7118</v>
      </c>
      <c r="Q2047" s="7">
        <v>10.8668</v>
      </c>
    </row>
    <row r="2048" spans="1:17">
      <c r="A2048" s="5">
        <v>44452</v>
      </c>
      <c r="B2048" s="5" t="str">
        <f t="shared" si="31"/>
        <v>2021 q3</v>
      </c>
      <c r="C2048" s="7">
        <v>7.452</v>
      </c>
      <c r="D2048" s="7">
        <v>7.5243000000000002</v>
      </c>
      <c r="E2048" s="7">
        <v>7.6737000000000002</v>
      </c>
      <c r="F2048" s="7">
        <v>7.8841999999999999</v>
      </c>
      <c r="G2048" s="7">
        <v>8.0777000000000001</v>
      </c>
      <c r="H2048" s="7">
        <v>8.2691999999999997</v>
      </c>
      <c r="I2048" s="7">
        <v>8.8405000000000005</v>
      </c>
      <c r="J2048" s="7">
        <v>9.2712000000000003</v>
      </c>
      <c r="K2048" s="7">
        <v>9.5686999999999998</v>
      </c>
      <c r="L2048" s="7">
        <v>9.7768999999999995</v>
      </c>
      <c r="M2048" s="7">
        <v>10.139099999999999</v>
      </c>
      <c r="N2048" s="7">
        <v>10.3713</v>
      </c>
      <c r="O2048" s="7">
        <v>10.639099999999999</v>
      </c>
      <c r="P2048" s="7">
        <v>10.721</v>
      </c>
      <c r="Q2048" s="7">
        <v>10.874499999999999</v>
      </c>
    </row>
    <row r="2049" spans="1:17">
      <c r="A2049" s="5">
        <v>44453</v>
      </c>
      <c r="B2049" s="5" t="str">
        <f t="shared" si="31"/>
        <v>2021 q3</v>
      </c>
      <c r="C2049" s="7">
        <v>7.4370000000000003</v>
      </c>
      <c r="D2049" s="7">
        <v>7.5145</v>
      </c>
      <c r="E2049" s="7">
        <v>7.6745999999999999</v>
      </c>
      <c r="F2049" s="7">
        <v>7.8978999999999999</v>
      </c>
      <c r="G2049" s="7">
        <v>8.1026000000000007</v>
      </c>
      <c r="H2049" s="7">
        <v>8.3035999999999994</v>
      </c>
      <c r="I2049" s="7">
        <v>8.8919999999999995</v>
      </c>
      <c r="J2049" s="7">
        <v>9.3255999999999997</v>
      </c>
      <c r="K2049" s="7">
        <v>9.6369000000000007</v>
      </c>
      <c r="L2049" s="7">
        <v>9.8475000000000001</v>
      </c>
      <c r="M2049" s="7">
        <v>10.127800000000001</v>
      </c>
      <c r="N2049" s="7">
        <v>10.3775</v>
      </c>
      <c r="O2049" s="7">
        <v>10.6227</v>
      </c>
      <c r="P2049" s="7">
        <v>10.6968</v>
      </c>
      <c r="Q2049" s="7">
        <v>10.8361</v>
      </c>
    </row>
    <row r="2050" spans="1:17">
      <c r="A2050" s="5">
        <v>44454</v>
      </c>
      <c r="B2050" s="5" t="str">
        <f t="shared" si="31"/>
        <v>2021 q3</v>
      </c>
      <c r="C2050" s="7">
        <v>7.391</v>
      </c>
      <c r="D2050" s="7">
        <v>7.4808000000000003</v>
      </c>
      <c r="E2050" s="7">
        <v>7.6662999999999997</v>
      </c>
      <c r="F2050" s="7">
        <v>7.9196999999999997</v>
      </c>
      <c r="G2050" s="7">
        <v>8.1471</v>
      </c>
      <c r="H2050" s="7">
        <v>8.3688000000000002</v>
      </c>
      <c r="I2050" s="7">
        <v>8.9707000000000008</v>
      </c>
      <c r="J2050" s="7">
        <v>9.3841000000000001</v>
      </c>
      <c r="K2050" s="7">
        <v>9.6681000000000008</v>
      </c>
      <c r="L2050" s="7">
        <v>9.8033999999999999</v>
      </c>
      <c r="M2050" s="7">
        <v>10.046200000000001</v>
      </c>
      <c r="N2050" s="7">
        <v>10.250400000000001</v>
      </c>
      <c r="O2050" s="7">
        <v>10.4312</v>
      </c>
      <c r="P2050" s="7">
        <v>10.484999999999999</v>
      </c>
      <c r="Q2050" s="7">
        <v>10.586399999999999</v>
      </c>
    </row>
    <row r="2051" spans="1:17">
      <c r="A2051" s="5">
        <v>44455</v>
      </c>
      <c r="B2051" s="5" t="str">
        <f t="shared" ref="B2051:B2114" si="32">YEAR(A2051)&amp;" q"&amp;ROUNDUP(MONTH(A2051)/3,0)</f>
        <v>2021 q3</v>
      </c>
      <c r="C2051" s="7">
        <v>7.3247</v>
      </c>
      <c r="D2051" s="7">
        <v>7.431</v>
      </c>
      <c r="E2051" s="7">
        <v>7.6505999999999998</v>
      </c>
      <c r="F2051" s="7">
        <v>7.9436999999999998</v>
      </c>
      <c r="G2051" s="7">
        <v>8.2003000000000004</v>
      </c>
      <c r="H2051" s="7">
        <v>8.4481999999999999</v>
      </c>
      <c r="I2051" s="7">
        <v>9.0617999999999999</v>
      </c>
      <c r="J2051" s="7">
        <v>9.4436</v>
      </c>
      <c r="K2051" s="7">
        <v>9.6791</v>
      </c>
      <c r="L2051" s="7">
        <v>9.7736999999999998</v>
      </c>
      <c r="M2051" s="7">
        <v>9.9382999999999999</v>
      </c>
      <c r="N2051" s="7">
        <v>10.089399999999999</v>
      </c>
      <c r="O2051" s="7">
        <v>10.1732</v>
      </c>
      <c r="P2051" s="7">
        <v>10.2027</v>
      </c>
      <c r="Q2051" s="7">
        <v>10.2592</v>
      </c>
    </row>
    <row r="2052" spans="1:17">
      <c r="A2052" s="5">
        <v>44456</v>
      </c>
      <c r="B2052" s="5" t="str">
        <f t="shared" si="32"/>
        <v>2021 q3</v>
      </c>
      <c r="C2052" s="7">
        <v>7.3353000000000002</v>
      </c>
      <c r="D2052" s="7">
        <v>7.4398</v>
      </c>
      <c r="E2052" s="7">
        <v>7.6555</v>
      </c>
      <c r="F2052" s="7">
        <v>7.9438000000000004</v>
      </c>
      <c r="G2052" s="7">
        <v>8.1980000000000004</v>
      </c>
      <c r="H2052" s="7">
        <v>8.4429999999999996</v>
      </c>
      <c r="I2052" s="7">
        <v>9.0574999999999992</v>
      </c>
      <c r="J2052" s="7">
        <v>9.4419000000000004</v>
      </c>
      <c r="K2052" s="7">
        <v>9.6538000000000004</v>
      </c>
      <c r="L2052" s="7">
        <v>9.7723999999999993</v>
      </c>
      <c r="M2052" s="7">
        <v>9.9670000000000005</v>
      </c>
      <c r="N2052" s="7">
        <v>10.0562</v>
      </c>
      <c r="O2052" s="7">
        <v>10.148999999999999</v>
      </c>
      <c r="P2052" s="7">
        <v>10.1753</v>
      </c>
      <c r="Q2052" s="7">
        <v>10.2247</v>
      </c>
    </row>
    <row r="2053" spans="1:17">
      <c r="A2053" s="5">
        <v>44461</v>
      </c>
      <c r="B2053" s="5" t="str">
        <f t="shared" si="32"/>
        <v>2021 q3</v>
      </c>
      <c r="C2053" s="7">
        <v>7.3513000000000002</v>
      </c>
      <c r="D2053" s="7">
        <v>7.4550999999999998</v>
      </c>
      <c r="E2053" s="7">
        <v>7.6694000000000004</v>
      </c>
      <c r="F2053" s="7">
        <v>7.9527000000000001</v>
      </c>
      <c r="G2053" s="7">
        <v>8.2007999999999992</v>
      </c>
      <c r="H2053" s="7">
        <v>8.4387000000000008</v>
      </c>
      <c r="I2053" s="7">
        <v>9.0503</v>
      </c>
      <c r="J2053" s="7">
        <v>9.3991000000000007</v>
      </c>
      <c r="K2053" s="7">
        <v>9.6013999999999999</v>
      </c>
      <c r="L2053" s="7">
        <v>9.7030999999999992</v>
      </c>
      <c r="M2053" s="7">
        <v>9.9065999999999992</v>
      </c>
      <c r="N2053" s="7">
        <v>10.0685</v>
      </c>
      <c r="O2053" s="7">
        <v>10.1967</v>
      </c>
      <c r="P2053" s="7">
        <v>10.239599999999999</v>
      </c>
      <c r="Q2053" s="7">
        <v>10.303599999999999</v>
      </c>
    </row>
    <row r="2054" spans="1:17">
      <c r="A2054" s="5">
        <v>44462</v>
      </c>
      <c r="B2054" s="5" t="str">
        <f t="shared" si="32"/>
        <v>2021 q3</v>
      </c>
      <c r="C2054" s="7">
        <v>7.3505000000000003</v>
      </c>
      <c r="D2054" s="7">
        <v>7.4612999999999996</v>
      </c>
      <c r="E2054" s="7">
        <v>7.6898999999999997</v>
      </c>
      <c r="F2054" s="7">
        <v>7.9905999999999997</v>
      </c>
      <c r="G2054" s="7">
        <v>8.2601999999999993</v>
      </c>
      <c r="H2054" s="7">
        <v>8.4661000000000008</v>
      </c>
      <c r="I2054" s="7">
        <v>9.0710999999999995</v>
      </c>
      <c r="J2054" s="7">
        <v>9.4276</v>
      </c>
      <c r="K2054" s="7">
        <v>9.6152999999999995</v>
      </c>
      <c r="L2054" s="7">
        <v>9.7082999999999995</v>
      </c>
      <c r="M2054" s="7">
        <v>9.8942999999999994</v>
      </c>
      <c r="N2054" s="7">
        <v>10.0405</v>
      </c>
      <c r="O2054" s="7">
        <v>10.1557</v>
      </c>
      <c r="P2054" s="7">
        <v>10.189500000000001</v>
      </c>
      <c r="Q2054" s="7">
        <v>10.2536</v>
      </c>
    </row>
    <row r="2055" spans="1:17">
      <c r="A2055" s="5">
        <v>44463</v>
      </c>
      <c r="B2055" s="5" t="str">
        <f t="shared" si="32"/>
        <v>2021 q3</v>
      </c>
      <c r="C2055" s="7">
        <v>7.3719000000000001</v>
      </c>
      <c r="D2055" s="7">
        <v>7.4779</v>
      </c>
      <c r="E2055" s="7">
        <v>7.6966999999999999</v>
      </c>
      <c r="F2055" s="7">
        <v>7.9855999999999998</v>
      </c>
      <c r="G2055" s="7">
        <v>8.2467000000000006</v>
      </c>
      <c r="H2055" s="7">
        <v>8.4475999999999996</v>
      </c>
      <c r="I2055" s="7">
        <v>9.0474999999999994</v>
      </c>
      <c r="J2055" s="7">
        <v>9.4084000000000003</v>
      </c>
      <c r="K2055" s="7">
        <v>9.6015999999999995</v>
      </c>
      <c r="L2055" s="7">
        <v>9.6989000000000001</v>
      </c>
      <c r="M2055" s="7">
        <v>9.8934999999999995</v>
      </c>
      <c r="N2055" s="7">
        <v>10.0694</v>
      </c>
      <c r="O2055" s="7">
        <v>10.1686</v>
      </c>
      <c r="P2055" s="7">
        <v>10.2037</v>
      </c>
      <c r="Q2055" s="7">
        <v>10.2714</v>
      </c>
    </row>
    <row r="2056" spans="1:17">
      <c r="A2056" s="5">
        <v>44464</v>
      </c>
      <c r="B2056" s="5" t="str">
        <f t="shared" si="32"/>
        <v>2021 q3</v>
      </c>
      <c r="C2056" s="7">
        <v>7.3799000000000001</v>
      </c>
      <c r="D2056" s="7">
        <v>7.4847999999999999</v>
      </c>
      <c r="E2056" s="7">
        <v>7.7013999999999996</v>
      </c>
      <c r="F2056" s="7">
        <v>7.9871999999999996</v>
      </c>
      <c r="G2056" s="7">
        <v>8.2466000000000008</v>
      </c>
      <c r="H2056" s="7">
        <v>8.4459</v>
      </c>
      <c r="I2056" s="7">
        <v>9.0454000000000008</v>
      </c>
      <c r="J2056" s="7">
        <v>9.4082000000000008</v>
      </c>
      <c r="K2056" s="7">
        <v>9.6031999999999993</v>
      </c>
      <c r="L2056" s="7">
        <v>9.702</v>
      </c>
      <c r="M2056" s="7">
        <v>9.8996999999999993</v>
      </c>
      <c r="N2056" s="7">
        <v>10.055199999999999</v>
      </c>
      <c r="O2056" s="7">
        <v>10.179</v>
      </c>
      <c r="P2056" s="7">
        <v>10.218999999999999</v>
      </c>
      <c r="Q2056" s="7">
        <v>10.2837</v>
      </c>
    </row>
    <row r="2057" spans="1:17">
      <c r="A2057" s="5">
        <v>44466</v>
      </c>
      <c r="B2057" s="5" t="str">
        <f t="shared" si="32"/>
        <v>2021 q3</v>
      </c>
      <c r="C2057" s="7">
        <v>7.5339999999999998</v>
      </c>
      <c r="D2057" s="7">
        <v>7.62</v>
      </c>
      <c r="E2057" s="7">
        <v>7.7975000000000003</v>
      </c>
      <c r="F2057" s="7">
        <v>8.0382999999999996</v>
      </c>
      <c r="G2057" s="7">
        <v>8.2629000000000001</v>
      </c>
      <c r="H2057" s="7">
        <v>8.4444999999999997</v>
      </c>
      <c r="I2057" s="7">
        <v>9.0212000000000003</v>
      </c>
      <c r="J2057" s="7">
        <v>9.3971999999999998</v>
      </c>
      <c r="K2057" s="7">
        <v>9.6044</v>
      </c>
      <c r="L2057" s="7">
        <v>9.7058</v>
      </c>
      <c r="M2057" s="7">
        <v>9.9086999999999996</v>
      </c>
      <c r="N2057" s="7">
        <v>10.054500000000001</v>
      </c>
      <c r="O2057" s="7">
        <v>10.1463</v>
      </c>
      <c r="P2057" s="7">
        <v>10.1691</v>
      </c>
      <c r="Q2057" s="7">
        <v>10.2121</v>
      </c>
    </row>
    <row r="2058" spans="1:17">
      <c r="A2058" s="5">
        <v>44467</v>
      </c>
      <c r="B2058" s="5" t="str">
        <f t="shared" si="32"/>
        <v>2021 q3</v>
      </c>
      <c r="C2058" s="7">
        <v>7.6066000000000003</v>
      </c>
      <c r="D2058" s="7">
        <v>7.6909999999999998</v>
      </c>
      <c r="E2058" s="7">
        <v>7.8653000000000004</v>
      </c>
      <c r="F2058" s="7">
        <v>8.0914999999999999</v>
      </c>
      <c r="G2058" s="7">
        <v>8.3078000000000003</v>
      </c>
      <c r="H2058" s="7">
        <v>8.4771999999999998</v>
      </c>
      <c r="I2058" s="7">
        <v>9.0092999999999996</v>
      </c>
      <c r="J2058" s="7">
        <v>9.3534000000000006</v>
      </c>
      <c r="K2058" s="7">
        <v>9.5485000000000007</v>
      </c>
      <c r="L2058" s="7">
        <v>9.6537000000000006</v>
      </c>
      <c r="M2058" s="7">
        <v>9.8642000000000003</v>
      </c>
      <c r="N2058" s="7">
        <v>10.030900000000001</v>
      </c>
      <c r="O2058" s="7">
        <v>10.167899999999999</v>
      </c>
      <c r="P2058" s="7">
        <v>10.207800000000001</v>
      </c>
      <c r="Q2058" s="7">
        <v>10.2841</v>
      </c>
    </row>
    <row r="2059" spans="1:17">
      <c r="A2059" s="5">
        <v>44468</v>
      </c>
      <c r="B2059" s="5" t="str">
        <f t="shared" si="32"/>
        <v>2021 q3</v>
      </c>
      <c r="C2059" s="7">
        <v>7.6086</v>
      </c>
      <c r="D2059" s="7">
        <v>7.6925999999999997</v>
      </c>
      <c r="E2059" s="7">
        <v>7.8658999999999999</v>
      </c>
      <c r="F2059" s="7">
        <v>8.0925999999999991</v>
      </c>
      <c r="G2059" s="7">
        <v>8.3104999999999993</v>
      </c>
      <c r="H2059" s="7">
        <v>8.4825999999999997</v>
      </c>
      <c r="I2059" s="7">
        <v>9.0290999999999997</v>
      </c>
      <c r="J2059" s="7">
        <v>9.3841999999999999</v>
      </c>
      <c r="K2059" s="7">
        <v>9.5818999999999992</v>
      </c>
      <c r="L2059" s="7">
        <v>9.6836000000000002</v>
      </c>
      <c r="M2059" s="7">
        <v>9.8870000000000005</v>
      </c>
      <c r="N2059" s="7">
        <v>10.0411</v>
      </c>
      <c r="O2059" s="7">
        <v>10.1554</v>
      </c>
      <c r="P2059" s="7">
        <v>10.187200000000001</v>
      </c>
      <c r="Q2059" s="7">
        <v>10.248100000000001</v>
      </c>
    </row>
    <row r="2060" spans="1:17">
      <c r="A2060" s="5">
        <v>44469</v>
      </c>
      <c r="B2060" s="5" t="str">
        <f t="shared" si="32"/>
        <v>2021 q3</v>
      </c>
      <c r="C2060" s="7">
        <v>7.6223000000000001</v>
      </c>
      <c r="D2060" s="7">
        <v>7.7045000000000003</v>
      </c>
      <c r="E2060" s="7">
        <v>7.8742999999999999</v>
      </c>
      <c r="F2060" s="7">
        <v>8.0949000000000009</v>
      </c>
      <c r="G2060" s="7">
        <v>8.3072999999999997</v>
      </c>
      <c r="H2060" s="7">
        <v>8.4738000000000007</v>
      </c>
      <c r="I2060" s="7">
        <v>9.0045999999999999</v>
      </c>
      <c r="J2060" s="7">
        <v>9.3530999999999995</v>
      </c>
      <c r="K2060" s="7">
        <v>9.5532000000000004</v>
      </c>
      <c r="L2060" s="7">
        <v>9.6631</v>
      </c>
      <c r="M2060" s="7">
        <v>9.8827999999999996</v>
      </c>
      <c r="N2060" s="7">
        <v>10.0845</v>
      </c>
      <c r="O2060" s="7">
        <v>10.202500000000001</v>
      </c>
      <c r="P2060" s="7">
        <v>10.244</v>
      </c>
      <c r="Q2060" s="7">
        <v>10.3247</v>
      </c>
    </row>
    <row r="2061" spans="1:17">
      <c r="A2061" s="5">
        <v>44470</v>
      </c>
      <c r="B2061" s="5" t="str">
        <f t="shared" si="32"/>
        <v>2021 q4</v>
      </c>
      <c r="C2061" s="7">
        <v>7.6173999999999999</v>
      </c>
      <c r="D2061" s="7">
        <v>7.6986999999999997</v>
      </c>
      <c r="E2061" s="7">
        <v>7.8666999999999998</v>
      </c>
      <c r="F2061" s="7">
        <v>8.0854999999999997</v>
      </c>
      <c r="G2061" s="7">
        <v>8.2969000000000008</v>
      </c>
      <c r="H2061" s="7">
        <v>8.4628999999999994</v>
      </c>
      <c r="I2061" s="7">
        <v>8.9946999999999999</v>
      </c>
      <c r="J2061" s="7">
        <v>9.3439999999999994</v>
      </c>
      <c r="K2061" s="7">
        <v>9.5424000000000007</v>
      </c>
      <c r="L2061" s="7">
        <v>9.6491000000000007</v>
      </c>
      <c r="M2061" s="7">
        <v>9.8623999999999992</v>
      </c>
      <c r="N2061" s="7">
        <v>10.052099999999999</v>
      </c>
      <c r="O2061" s="7">
        <v>10.161799999999999</v>
      </c>
      <c r="P2061" s="7">
        <v>10.199299999999999</v>
      </c>
      <c r="Q2061" s="7">
        <v>10.2723</v>
      </c>
    </row>
    <row r="2062" spans="1:17">
      <c r="A2062" s="5">
        <v>44473</v>
      </c>
      <c r="B2062" s="5" t="str">
        <f t="shared" si="32"/>
        <v>2021 q4</v>
      </c>
      <c r="C2062" s="7">
        <v>7.6105</v>
      </c>
      <c r="D2062" s="7">
        <v>7.6978999999999997</v>
      </c>
      <c r="E2062" s="7">
        <v>7.8784999999999998</v>
      </c>
      <c r="F2062" s="7">
        <v>8.1087000000000007</v>
      </c>
      <c r="G2062" s="7">
        <v>8.3303999999999991</v>
      </c>
      <c r="H2062" s="7">
        <v>8.4991000000000003</v>
      </c>
      <c r="I2062" s="7">
        <v>9.0292999999999992</v>
      </c>
      <c r="J2062" s="7">
        <v>9.3470999999999993</v>
      </c>
      <c r="K2062" s="7">
        <v>9.5547000000000004</v>
      </c>
      <c r="L2062" s="7">
        <v>9.702</v>
      </c>
      <c r="M2062" s="7">
        <v>9.8325999999999993</v>
      </c>
      <c r="N2062" s="7">
        <v>10.028499999999999</v>
      </c>
      <c r="O2062" s="7">
        <v>10.1342</v>
      </c>
      <c r="P2062" s="7">
        <v>10.1707</v>
      </c>
      <c r="Q2062" s="7">
        <v>10.2417</v>
      </c>
    </row>
    <row r="2063" spans="1:17">
      <c r="A2063" s="5">
        <v>44474</v>
      </c>
      <c r="B2063" s="5" t="str">
        <f t="shared" si="32"/>
        <v>2021 q4</v>
      </c>
      <c r="C2063" s="7">
        <v>7.6384999999999996</v>
      </c>
      <c r="D2063" s="7">
        <v>7.7263000000000002</v>
      </c>
      <c r="E2063" s="7">
        <v>7.9077000000000002</v>
      </c>
      <c r="F2063" s="7">
        <v>8.1282999999999994</v>
      </c>
      <c r="G2063" s="7">
        <v>8.3404000000000007</v>
      </c>
      <c r="H2063" s="7">
        <v>8.5518000000000001</v>
      </c>
      <c r="I2063" s="7">
        <v>9.0706000000000007</v>
      </c>
      <c r="J2063" s="7">
        <v>9.3964999999999996</v>
      </c>
      <c r="K2063" s="7">
        <v>9.6120999999999999</v>
      </c>
      <c r="L2063" s="7">
        <v>9.7640999999999991</v>
      </c>
      <c r="M2063" s="7">
        <v>9.9010999999999996</v>
      </c>
      <c r="N2063" s="7">
        <v>10.1066</v>
      </c>
      <c r="O2063" s="7">
        <v>10.217499999999999</v>
      </c>
      <c r="P2063" s="7">
        <v>10.255699999999999</v>
      </c>
      <c r="Q2063" s="7">
        <v>10.330299999999999</v>
      </c>
    </row>
    <row r="2064" spans="1:17">
      <c r="A2064" s="5">
        <v>44475</v>
      </c>
      <c r="B2064" s="5" t="str">
        <f t="shared" si="32"/>
        <v>2021 q4</v>
      </c>
      <c r="C2064" s="7">
        <v>7.6212999999999997</v>
      </c>
      <c r="D2064" s="7">
        <v>7.7172000000000001</v>
      </c>
      <c r="E2064" s="7">
        <v>7.9151999999999996</v>
      </c>
      <c r="F2064" s="7">
        <v>8.1484000000000005</v>
      </c>
      <c r="G2064" s="7">
        <v>8.3719999999999999</v>
      </c>
      <c r="H2064" s="7">
        <v>8.5939999999999994</v>
      </c>
      <c r="I2064" s="7">
        <v>9.1071000000000009</v>
      </c>
      <c r="J2064" s="7">
        <v>9.4141999999999992</v>
      </c>
      <c r="K2064" s="7">
        <v>9.6087000000000007</v>
      </c>
      <c r="L2064" s="7">
        <v>9.7441999999999993</v>
      </c>
      <c r="M2064" s="7">
        <v>9.8609000000000009</v>
      </c>
      <c r="N2064" s="7">
        <v>10.0359</v>
      </c>
      <c r="O2064" s="7">
        <v>10.1288</v>
      </c>
      <c r="P2064" s="7">
        <v>10.1608</v>
      </c>
      <c r="Q2064" s="7">
        <v>10.2233</v>
      </c>
    </row>
    <row r="2065" spans="1:17">
      <c r="A2065" s="5">
        <v>44476</v>
      </c>
      <c r="B2065" s="5" t="str">
        <f t="shared" si="32"/>
        <v>2021 q4</v>
      </c>
      <c r="C2065" s="7">
        <v>7.6456</v>
      </c>
      <c r="D2065" s="7">
        <v>7.7351999999999999</v>
      </c>
      <c r="E2065" s="7">
        <v>7.9202000000000004</v>
      </c>
      <c r="F2065" s="7">
        <v>8.1412999999999993</v>
      </c>
      <c r="G2065" s="7">
        <v>8.3546999999999993</v>
      </c>
      <c r="H2065" s="7">
        <v>8.5660000000000007</v>
      </c>
      <c r="I2065" s="7">
        <v>9.0741999999999994</v>
      </c>
      <c r="J2065" s="7">
        <v>9.3870000000000005</v>
      </c>
      <c r="K2065" s="7">
        <v>9.5907999999999998</v>
      </c>
      <c r="L2065" s="7">
        <v>9.7332000000000001</v>
      </c>
      <c r="M2065" s="7">
        <v>9.8595000000000006</v>
      </c>
      <c r="N2065" s="7">
        <v>10.049099999999999</v>
      </c>
      <c r="O2065" s="7">
        <v>10.1503</v>
      </c>
      <c r="P2065" s="7">
        <v>10.1853</v>
      </c>
      <c r="Q2065" s="7">
        <v>10.253500000000001</v>
      </c>
    </row>
    <row r="2066" spans="1:17">
      <c r="A2066" s="5">
        <v>44477</v>
      </c>
      <c r="B2066" s="5" t="str">
        <f t="shared" si="32"/>
        <v>2021 q4</v>
      </c>
      <c r="C2066" s="7">
        <v>7.6538000000000004</v>
      </c>
      <c r="D2066" s="7">
        <v>7.742</v>
      </c>
      <c r="E2066" s="7">
        <v>7.9241000000000001</v>
      </c>
      <c r="F2066" s="7">
        <v>8.1425000000000001</v>
      </c>
      <c r="G2066" s="7">
        <v>8.3542000000000005</v>
      </c>
      <c r="H2066" s="7">
        <v>8.5631000000000004</v>
      </c>
      <c r="I2066" s="7">
        <v>9.0736000000000008</v>
      </c>
      <c r="J2066" s="7">
        <v>9.391</v>
      </c>
      <c r="K2066" s="7">
        <v>9.6001999999999992</v>
      </c>
      <c r="L2066" s="7">
        <v>9.7462</v>
      </c>
      <c r="M2066" s="7">
        <v>9.8775999999999993</v>
      </c>
      <c r="N2066" s="7">
        <v>10.0747</v>
      </c>
      <c r="O2066" s="7">
        <v>10.180199999999999</v>
      </c>
      <c r="P2066" s="7">
        <v>10.2166</v>
      </c>
      <c r="Q2066" s="7">
        <v>10.287800000000001</v>
      </c>
    </row>
    <row r="2067" spans="1:17">
      <c r="A2067" s="5">
        <v>44480</v>
      </c>
      <c r="B2067" s="5" t="str">
        <f t="shared" si="32"/>
        <v>2021 q4</v>
      </c>
      <c r="C2067" s="7">
        <v>7.5872000000000002</v>
      </c>
      <c r="D2067" s="7">
        <v>7.6825999999999999</v>
      </c>
      <c r="E2067" s="7">
        <v>7.8792999999999997</v>
      </c>
      <c r="F2067" s="7">
        <v>8.1173000000000002</v>
      </c>
      <c r="G2067" s="7">
        <v>8.3491</v>
      </c>
      <c r="H2067" s="7">
        <v>8.5768000000000004</v>
      </c>
      <c r="I2067" s="7">
        <v>9.1114999999999995</v>
      </c>
      <c r="J2067" s="7">
        <v>9.4329000000000001</v>
      </c>
      <c r="K2067" s="7">
        <v>9.6388999999999996</v>
      </c>
      <c r="L2067" s="7">
        <v>9.7811000000000003</v>
      </c>
      <c r="M2067" s="7">
        <v>9.9054000000000002</v>
      </c>
      <c r="N2067" s="7">
        <v>10.091900000000001</v>
      </c>
      <c r="O2067" s="7">
        <v>10.1905</v>
      </c>
      <c r="P2067" s="7">
        <v>10.224500000000001</v>
      </c>
      <c r="Q2067" s="7">
        <v>10.2911</v>
      </c>
    </row>
    <row r="2068" spans="1:17">
      <c r="A2068" s="5">
        <v>44481</v>
      </c>
      <c r="B2068" s="5" t="str">
        <f t="shared" si="32"/>
        <v>2021 q4</v>
      </c>
      <c r="C2068" s="7">
        <v>7.5213999999999999</v>
      </c>
      <c r="D2068" s="7">
        <v>7.6157000000000004</v>
      </c>
      <c r="E2068" s="7">
        <v>7.8105000000000002</v>
      </c>
      <c r="F2068" s="7">
        <v>8.0741999999999994</v>
      </c>
      <c r="G2068" s="7">
        <v>8.3035999999999994</v>
      </c>
      <c r="H2068" s="7">
        <v>8.5271000000000008</v>
      </c>
      <c r="I2068" s="7">
        <v>9.0780999999999992</v>
      </c>
      <c r="J2068" s="7">
        <v>9.4094999999999995</v>
      </c>
      <c r="K2068" s="7">
        <v>9.6236999999999995</v>
      </c>
      <c r="L2068" s="7">
        <v>9.7704000000000004</v>
      </c>
      <c r="M2068" s="7">
        <v>9.9</v>
      </c>
      <c r="N2068" s="7">
        <v>10.0944</v>
      </c>
      <c r="O2068" s="7">
        <v>10.1968</v>
      </c>
      <c r="P2068" s="7">
        <v>10.232200000000001</v>
      </c>
      <c r="Q2068" s="7">
        <v>10.301500000000001</v>
      </c>
    </row>
    <row r="2069" spans="1:17">
      <c r="A2069" s="5">
        <v>44482</v>
      </c>
      <c r="B2069" s="5" t="str">
        <f t="shared" si="32"/>
        <v>2021 q4</v>
      </c>
      <c r="C2069" s="7">
        <v>7.5065</v>
      </c>
      <c r="D2069" s="7">
        <v>7.6048</v>
      </c>
      <c r="E2069" s="7">
        <v>7.8076999999999996</v>
      </c>
      <c r="F2069" s="7">
        <v>8.0813000000000006</v>
      </c>
      <c r="G2069" s="7">
        <v>8.3190000000000008</v>
      </c>
      <c r="H2069" s="7">
        <v>8.5498999999999992</v>
      </c>
      <c r="I2069" s="7">
        <v>9.1143000000000001</v>
      </c>
      <c r="J2069" s="7">
        <v>9.4509000000000007</v>
      </c>
      <c r="K2069" s="7">
        <v>9.6670999999999996</v>
      </c>
      <c r="L2069" s="7">
        <v>9.8146000000000004</v>
      </c>
      <c r="M2069" s="7">
        <v>9.9441000000000006</v>
      </c>
      <c r="N2069" s="7">
        <v>10.138500000000001</v>
      </c>
      <c r="O2069" s="7">
        <v>10.240500000000001</v>
      </c>
      <c r="P2069" s="7">
        <v>10.275700000000001</v>
      </c>
      <c r="Q2069" s="7">
        <v>10.344799999999999</v>
      </c>
    </row>
    <row r="2070" spans="1:17">
      <c r="A2070" s="5">
        <v>44483</v>
      </c>
      <c r="B2070" s="5" t="str">
        <f t="shared" si="32"/>
        <v>2021 q4</v>
      </c>
      <c r="C2070" s="7">
        <v>7.4984999999999999</v>
      </c>
      <c r="D2070" s="7">
        <v>7.5991999999999997</v>
      </c>
      <c r="E2070" s="7">
        <v>7.8071000000000002</v>
      </c>
      <c r="F2070" s="7">
        <v>8.0845000000000002</v>
      </c>
      <c r="G2070" s="7">
        <v>8.3237000000000005</v>
      </c>
      <c r="H2070" s="7">
        <v>8.5548000000000002</v>
      </c>
      <c r="I2070" s="7">
        <v>9.1033000000000008</v>
      </c>
      <c r="J2070" s="7">
        <v>9.4215</v>
      </c>
      <c r="K2070" s="7">
        <v>9.6213999999999995</v>
      </c>
      <c r="L2070" s="7">
        <v>9.7566000000000006</v>
      </c>
      <c r="M2070" s="7">
        <v>9.8731000000000009</v>
      </c>
      <c r="N2070" s="7">
        <v>10.047800000000001</v>
      </c>
      <c r="O2070" s="7">
        <v>10.1389</v>
      </c>
      <c r="P2070" s="7">
        <v>10.170299999999999</v>
      </c>
      <c r="Q2070" s="7">
        <v>10.231999999999999</v>
      </c>
    </row>
    <row r="2071" spans="1:17">
      <c r="A2071" s="5">
        <v>44484</v>
      </c>
      <c r="B2071" s="5" t="str">
        <f t="shared" si="32"/>
        <v>2021 q4</v>
      </c>
      <c r="C2071" s="7">
        <v>7.5174000000000003</v>
      </c>
      <c r="D2071" s="7">
        <v>7.6147</v>
      </c>
      <c r="E2071" s="7">
        <v>7.8155999999999999</v>
      </c>
      <c r="F2071" s="7">
        <v>8.0846999999999998</v>
      </c>
      <c r="G2071" s="7">
        <v>8.3195999999999994</v>
      </c>
      <c r="H2071" s="7">
        <v>8.5459999999999994</v>
      </c>
      <c r="I2071" s="7">
        <v>9.1</v>
      </c>
      <c r="J2071" s="7">
        <v>9.4285999999999994</v>
      </c>
      <c r="K2071" s="7">
        <v>9.6397999999999993</v>
      </c>
      <c r="L2071" s="7">
        <v>9.7828999999999997</v>
      </c>
      <c r="M2071" s="7">
        <v>9.9088999999999992</v>
      </c>
      <c r="N2071" s="7">
        <v>10.097899999999999</v>
      </c>
      <c r="O2071" s="7">
        <v>10.1967</v>
      </c>
      <c r="P2071" s="7">
        <v>10.2308</v>
      </c>
      <c r="Q2071" s="7">
        <v>10.2979</v>
      </c>
    </row>
    <row r="2072" spans="1:17">
      <c r="A2072" s="5">
        <v>44487</v>
      </c>
      <c r="B2072" s="5" t="str">
        <f t="shared" si="32"/>
        <v>2021 q4</v>
      </c>
      <c r="C2072" s="7">
        <v>7.5416999999999996</v>
      </c>
      <c r="D2072" s="7">
        <v>7.6348000000000003</v>
      </c>
      <c r="E2072" s="7">
        <v>7.8270999999999997</v>
      </c>
      <c r="F2072" s="7">
        <v>8.0853999999999999</v>
      </c>
      <c r="G2072" s="7">
        <v>8.3132999999999999</v>
      </c>
      <c r="H2072" s="7">
        <v>8.5327000000000002</v>
      </c>
      <c r="I2072" s="7">
        <v>9.0841999999999992</v>
      </c>
      <c r="J2072" s="7">
        <v>9.4184999999999999</v>
      </c>
      <c r="K2072" s="7">
        <v>9.6378000000000004</v>
      </c>
      <c r="L2072" s="7">
        <v>9.7868999999999993</v>
      </c>
      <c r="M2072" s="7">
        <v>9.9209999999999994</v>
      </c>
      <c r="N2072" s="7">
        <v>10.122199999999999</v>
      </c>
      <c r="O2072" s="7">
        <v>10.2279</v>
      </c>
      <c r="P2072" s="7">
        <v>10.269399999999999</v>
      </c>
      <c r="Q2072" s="7">
        <v>10.333399999999999</v>
      </c>
    </row>
    <row r="2073" spans="1:17">
      <c r="A2073" s="5">
        <v>44488</v>
      </c>
      <c r="B2073" s="5" t="str">
        <f t="shared" si="32"/>
        <v>2021 q4</v>
      </c>
      <c r="C2073" s="7">
        <v>7.5768000000000004</v>
      </c>
      <c r="D2073" s="7">
        <v>7.6688999999999998</v>
      </c>
      <c r="E2073" s="7">
        <v>7.8590999999999998</v>
      </c>
      <c r="F2073" s="7">
        <v>8.1182999999999996</v>
      </c>
      <c r="G2073" s="7">
        <v>8.3542000000000005</v>
      </c>
      <c r="H2073" s="7">
        <v>8.5335000000000001</v>
      </c>
      <c r="I2073" s="7">
        <v>9.0912000000000006</v>
      </c>
      <c r="J2073" s="7">
        <v>9.4161999999999999</v>
      </c>
      <c r="K2073" s="7">
        <v>9.6295999999999999</v>
      </c>
      <c r="L2073" s="7">
        <v>9.7733000000000008</v>
      </c>
      <c r="M2073" s="7">
        <v>9.9031000000000002</v>
      </c>
      <c r="N2073" s="7">
        <v>10.097799999999999</v>
      </c>
      <c r="O2073" s="7">
        <v>10.1995</v>
      </c>
      <c r="P2073" s="7">
        <v>10.2346</v>
      </c>
      <c r="Q2073" s="7">
        <v>10.304</v>
      </c>
    </row>
    <row r="2074" spans="1:17">
      <c r="A2074" s="5">
        <v>44489</v>
      </c>
      <c r="B2074" s="5" t="str">
        <f t="shared" si="32"/>
        <v>2021 q4</v>
      </c>
      <c r="C2074" s="7">
        <v>7.5735000000000001</v>
      </c>
      <c r="D2074" s="7">
        <v>7.6666999999999996</v>
      </c>
      <c r="E2074" s="7">
        <v>7.8593000000000002</v>
      </c>
      <c r="F2074" s="7">
        <v>8.1213999999999995</v>
      </c>
      <c r="G2074" s="7">
        <v>8.3605999999999998</v>
      </c>
      <c r="H2074" s="7">
        <v>8.5420999999999996</v>
      </c>
      <c r="I2074" s="7">
        <v>9.1091999999999995</v>
      </c>
      <c r="J2074" s="7">
        <v>9.4406999999999996</v>
      </c>
      <c r="K2074" s="7">
        <v>9.6593999999999998</v>
      </c>
      <c r="L2074" s="7">
        <v>9.8062000000000005</v>
      </c>
      <c r="M2074" s="7">
        <v>9.9397000000000002</v>
      </c>
      <c r="N2074" s="7">
        <v>10.139900000000001</v>
      </c>
      <c r="O2074" s="7">
        <v>10.244400000000001</v>
      </c>
      <c r="P2074" s="7">
        <v>10.285399999999999</v>
      </c>
      <c r="Q2074" s="7">
        <v>10.3489</v>
      </c>
    </row>
    <row r="2075" spans="1:17">
      <c r="A2075" s="5">
        <v>44490</v>
      </c>
      <c r="B2075" s="5" t="str">
        <f t="shared" si="32"/>
        <v>2021 q4</v>
      </c>
      <c r="C2075" s="7">
        <v>7.5872000000000002</v>
      </c>
      <c r="D2075" s="7">
        <v>7.6771000000000003</v>
      </c>
      <c r="E2075" s="7">
        <v>7.8628</v>
      </c>
      <c r="F2075" s="7">
        <v>8.1157000000000004</v>
      </c>
      <c r="G2075" s="7">
        <v>8.3476999999999997</v>
      </c>
      <c r="H2075" s="7">
        <v>8.5244999999999997</v>
      </c>
      <c r="I2075" s="7">
        <v>9.0823</v>
      </c>
      <c r="J2075" s="7">
        <v>9.4124999999999996</v>
      </c>
      <c r="K2075" s="7">
        <v>9.6331000000000007</v>
      </c>
      <c r="L2075" s="7">
        <v>9.8015000000000008</v>
      </c>
      <c r="M2075" s="7">
        <v>9.9726999999999997</v>
      </c>
      <c r="N2075" s="7">
        <v>10.123100000000001</v>
      </c>
      <c r="O2075" s="7">
        <v>10.229900000000001</v>
      </c>
      <c r="P2075" s="7">
        <v>10.2669</v>
      </c>
      <c r="Q2075" s="7">
        <v>10.340199999999999</v>
      </c>
    </row>
    <row r="2076" spans="1:17">
      <c r="A2076" s="5">
        <v>44491</v>
      </c>
      <c r="B2076" s="5" t="str">
        <f t="shared" si="32"/>
        <v>2021 q4</v>
      </c>
      <c r="C2076" s="7">
        <v>7.5759999999999996</v>
      </c>
      <c r="D2076" s="7">
        <v>7.6687000000000003</v>
      </c>
      <c r="E2076" s="7">
        <v>7.86</v>
      </c>
      <c r="F2076" s="7">
        <v>8.1196999999999999</v>
      </c>
      <c r="G2076" s="7">
        <v>8.3581000000000003</v>
      </c>
      <c r="H2076" s="7">
        <v>8.5381</v>
      </c>
      <c r="I2076" s="7">
        <v>9.1054999999999993</v>
      </c>
      <c r="J2076" s="7">
        <v>9.4387000000000008</v>
      </c>
      <c r="K2076" s="7">
        <v>9.6602999999999994</v>
      </c>
      <c r="L2076" s="7">
        <v>9.8287999999999993</v>
      </c>
      <c r="M2076" s="7">
        <v>9.9926999999999992</v>
      </c>
      <c r="N2076" s="7">
        <v>10.1488</v>
      </c>
      <c r="O2076" s="7">
        <v>10.254799999999999</v>
      </c>
      <c r="P2076" s="7">
        <v>10.291499999999999</v>
      </c>
      <c r="Q2076" s="7">
        <v>10.3643</v>
      </c>
    </row>
    <row r="2077" spans="1:17">
      <c r="A2077" s="5">
        <v>44494</v>
      </c>
      <c r="B2077" s="5" t="str">
        <f t="shared" si="32"/>
        <v>2021 q4</v>
      </c>
      <c r="C2077" s="7">
        <v>7.5747</v>
      </c>
      <c r="D2077" s="7">
        <v>7.6687000000000003</v>
      </c>
      <c r="E2077" s="7">
        <v>7.8627000000000002</v>
      </c>
      <c r="F2077" s="7">
        <v>8.1254000000000008</v>
      </c>
      <c r="G2077" s="7">
        <v>8.3670000000000009</v>
      </c>
      <c r="H2077" s="7">
        <v>8.5488</v>
      </c>
      <c r="I2077" s="7">
        <v>9.1231000000000009</v>
      </c>
      <c r="J2077" s="7">
        <v>9.4601000000000006</v>
      </c>
      <c r="K2077" s="7">
        <v>9.6845999999999997</v>
      </c>
      <c r="L2077" s="7">
        <v>9.8343000000000007</v>
      </c>
      <c r="M2077" s="7">
        <v>9.9719999999999995</v>
      </c>
      <c r="N2077" s="7">
        <v>10.178599999999999</v>
      </c>
      <c r="O2077" s="7">
        <v>10.286099999999999</v>
      </c>
      <c r="P2077" s="7">
        <v>10.3232</v>
      </c>
      <c r="Q2077" s="7">
        <v>10.396800000000001</v>
      </c>
    </row>
    <row r="2078" spans="1:17">
      <c r="A2078" s="5">
        <v>44495</v>
      </c>
      <c r="B2078" s="5" t="str">
        <f t="shared" si="32"/>
        <v>2021 q4</v>
      </c>
      <c r="C2078" s="7">
        <v>7.7081</v>
      </c>
      <c r="D2078" s="7">
        <v>7.7925000000000004</v>
      </c>
      <c r="E2078" s="7">
        <v>7.9668999999999999</v>
      </c>
      <c r="F2078" s="7">
        <v>8.2124000000000006</v>
      </c>
      <c r="G2078" s="7">
        <v>8.3925000000000001</v>
      </c>
      <c r="H2078" s="7">
        <v>8.5673999999999992</v>
      </c>
      <c r="I2078" s="7">
        <v>9.1331000000000007</v>
      </c>
      <c r="J2078" s="7">
        <v>9.4611000000000001</v>
      </c>
      <c r="K2078" s="7">
        <v>9.6865000000000006</v>
      </c>
      <c r="L2078" s="7">
        <v>9.8368000000000002</v>
      </c>
      <c r="M2078" s="7">
        <v>9.9803999999999995</v>
      </c>
      <c r="N2078" s="7">
        <v>10.1958</v>
      </c>
      <c r="O2078" s="7">
        <v>10.3087</v>
      </c>
      <c r="P2078" s="7">
        <v>10.3477</v>
      </c>
      <c r="Q2078" s="7">
        <v>10.4253</v>
      </c>
    </row>
    <row r="2079" spans="1:17">
      <c r="A2079" s="5">
        <v>44496</v>
      </c>
      <c r="B2079" s="5" t="str">
        <f t="shared" si="32"/>
        <v>2021 q4</v>
      </c>
      <c r="C2079" s="7">
        <v>7.7095000000000002</v>
      </c>
      <c r="D2079" s="7">
        <v>7.7942999999999998</v>
      </c>
      <c r="E2079" s="7">
        <v>7.9695</v>
      </c>
      <c r="F2079" s="7">
        <v>8.2157999999999998</v>
      </c>
      <c r="G2079" s="7">
        <v>8.3957999999999995</v>
      </c>
      <c r="H2079" s="7">
        <v>8.5710999999999995</v>
      </c>
      <c r="I2079" s="7">
        <v>9.1372</v>
      </c>
      <c r="J2079" s="7">
        <v>9.4644999999999992</v>
      </c>
      <c r="K2079" s="7">
        <v>9.6895000000000007</v>
      </c>
      <c r="L2079" s="7">
        <v>9.8390000000000004</v>
      </c>
      <c r="M2079" s="7">
        <v>9.9818999999999996</v>
      </c>
      <c r="N2079" s="7">
        <v>10.196300000000001</v>
      </c>
      <c r="O2079" s="7">
        <v>10.3085</v>
      </c>
      <c r="P2079" s="7">
        <v>10.347200000000001</v>
      </c>
      <c r="Q2079" s="7">
        <v>10.4244</v>
      </c>
    </row>
    <row r="2080" spans="1:17">
      <c r="A2080" s="5">
        <v>44497</v>
      </c>
      <c r="B2080" s="5" t="str">
        <f t="shared" si="32"/>
        <v>2021 q4</v>
      </c>
      <c r="C2080" s="7">
        <v>7.6455000000000002</v>
      </c>
      <c r="D2080" s="7">
        <v>7.7474999999999996</v>
      </c>
      <c r="E2080" s="7">
        <v>7.9579000000000004</v>
      </c>
      <c r="F2080" s="7">
        <v>8.2494999999999994</v>
      </c>
      <c r="G2080" s="7">
        <v>8.4492999999999991</v>
      </c>
      <c r="H2080" s="7">
        <v>8.6435999999999993</v>
      </c>
      <c r="I2080" s="7">
        <v>9.2498000000000005</v>
      </c>
      <c r="J2080" s="7">
        <v>9.5707000000000004</v>
      </c>
      <c r="K2080" s="7">
        <v>9.7787000000000006</v>
      </c>
      <c r="L2080" s="7">
        <v>9.9139999999999997</v>
      </c>
      <c r="M2080" s="7">
        <v>10.0357</v>
      </c>
      <c r="N2080" s="7">
        <v>10.2182</v>
      </c>
      <c r="O2080" s="7">
        <v>10.311299999999999</v>
      </c>
      <c r="P2080" s="7">
        <v>10.343500000000001</v>
      </c>
      <c r="Q2080" s="7">
        <v>10.4076</v>
      </c>
    </row>
    <row r="2081" spans="1:17">
      <c r="A2081" s="5">
        <v>44498</v>
      </c>
      <c r="B2081" s="5" t="str">
        <f t="shared" si="32"/>
        <v>2021 q4</v>
      </c>
      <c r="C2081" s="7">
        <v>7.6318000000000001</v>
      </c>
      <c r="D2081" s="7">
        <v>7.7385000000000002</v>
      </c>
      <c r="E2081" s="7">
        <v>7.9588000000000001</v>
      </c>
      <c r="F2081" s="7">
        <v>8.2622</v>
      </c>
      <c r="G2081" s="7">
        <v>8.4649999999999999</v>
      </c>
      <c r="H2081" s="7">
        <v>8.6629000000000005</v>
      </c>
      <c r="I2081" s="7">
        <v>9.2725000000000009</v>
      </c>
      <c r="J2081" s="7">
        <v>9.5858000000000008</v>
      </c>
      <c r="K2081" s="7">
        <v>9.7856000000000005</v>
      </c>
      <c r="L2081" s="7">
        <v>9.9144000000000005</v>
      </c>
      <c r="M2081" s="7">
        <v>10.028600000000001</v>
      </c>
      <c r="N2081" s="7">
        <v>10.1999</v>
      </c>
      <c r="O2081" s="7">
        <v>10.286799999999999</v>
      </c>
      <c r="P2081" s="7">
        <v>10.321099999999999</v>
      </c>
      <c r="Q2081" s="7">
        <v>10.3743</v>
      </c>
    </row>
    <row r="2082" spans="1:17">
      <c r="A2082" s="5">
        <v>44501</v>
      </c>
      <c r="B2082" s="5" t="str">
        <f t="shared" si="32"/>
        <v>2021 q4</v>
      </c>
      <c r="C2082" s="7">
        <v>7.6395999999999997</v>
      </c>
      <c r="D2082" s="7">
        <v>7.7450999999999999</v>
      </c>
      <c r="E2082" s="7">
        <v>7.9627999999999997</v>
      </c>
      <c r="F2082" s="7">
        <v>8.2634000000000007</v>
      </c>
      <c r="G2082" s="7">
        <v>8.4677000000000007</v>
      </c>
      <c r="H2082" s="7">
        <v>8.6683000000000003</v>
      </c>
      <c r="I2082" s="7">
        <v>9.2912999999999997</v>
      </c>
      <c r="J2082" s="7">
        <v>9.6197999999999997</v>
      </c>
      <c r="K2082" s="7">
        <v>9.8332999999999995</v>
      </c>
      <c r="L2082" s="7">
        <v>9.9711999999999996</v>
      </c>
      <c r="M2082" s="7">
        <v>10.095700000000001</v>
      </c>
      <c r="N2082" s="7">
        <v>10.282400000000001</v>
      </c>
      <c r="O2082" s="7">
        <v>10.3774</v>
      </c>
      <c r="P2082" s="7">
        <v>10.4102</v>
      </c>
      <c r="Q2082" s="7">
        <v>10.4757</v>
      </c>
    </row>
    <row r="2083" spans="1:17">
      <c r="A2083" s="5">
        <v>44502</v>
      </c>
      <c r="B2083" s="5" t="str">
        <f t="shared" si="32"/>
        <v>2021 q4</v>
      </c>
      <c r="C2083" s="7">
        <v>7.6364999999999998</v>
      </c>
      <c r="D2083" s="7">
        <v>7.7438000000000002</v>
      </c>
      <c r="E2083" s="7">
        <v>7.9653</v>
      </c>
      <c r="F2083" s="7">
        <v>8.2977000000000007</v>
      </c>
      <c r="G2083" s="7">
        <v>8.5385000000000009</v>
      </c>
      <c r="H2083" s="7">
        <v>8.7774000000000001</v>
      </c>
      <c r="I2083" s="7">
        <v>9.3244000000000007</v>
      </c>
      <c r="J2083" s="7">
        <v>9.6289999999999996</v>
      </c>
      <c r="K2083" s="7">
        <v>9.8201000000000001</v>
      </c>
      <c r="L2083" s="7">
        <v>9.9411000000000005</v>
      </c>
      <c r="M2083" s="7">
        <v>10.047499999999999</v>
      </c>
      <c r="N2083" s="7">
        <v>10.206799999999999</v>
      </c>
      <c r="O2083" s="7">
        <v>10.287100000000001</v>
      </c>
      <c r="P2083" s="7">
        <v>10.3187</v>
      </c>
      <c r="Q2083" s="7">
        <v>10.367900000000001</v>
      </c>
    </row>
    <row r="2084" spans="1:17">
      <c r="A2084" s="5">
        <v>44503</v>
      </c>
      <c r="B2084" s="5" t="str">
        <f t="shared" si="32"/>
        <v>2021 q4</v>
      </c>
      <c r="C2084" s="7">
        <v>7.6078999999999999</v>
      </c>
      <c r="D2084" s="7">
        <v>7.7271999999999998</v>
      </c>
      <c r="E2084" s="7">
        <v>7.9734999999999996</v>
      </c>
      <c r="F2084" s="7">
        <v>8.3430999999999997</v>
      </c>
      <c r="G2084" s="7">
        <v>8.5951000000000004</v>
      </c>
      <c r="H2084" s="7">
        <v>8.8452000000000002</v>
      </c>
      <c r="I2084" s="7">
        <v>9.3751999999999995</v>
      </c>
      <c r="J2084" s="7">
        <v>9.6524000000000001</v>
      </c>
      <c r="K2084" s="7">
        <v>9.8179999999999996</v>
      </c>
      <c r="L2084" s="7">
        <v>9.9214000000000002</v>
      </c>
      <c r="M2084" s="7">
        <v>10.009499999999999</v>
      </c>
      <c r="N2084" s="7">
        <v>10.141299999999999</v>
      </c>
      <c r="O2084" s="7">
        <v>10.2073</v>
      </c>
      <c r="P2084" s="7">
        <v>10.2301</v>
      </c>
      <c r="Q2084" s="7">
        <v>10.275700000000001</v>
      </c>
    </row>
    <row r="2085" spans="1:17">
      <c r="A2085" s="5">
        <v>44504</v>
      </c>
      <c r="B2085" s="5" t="str">
        <f t="shared" si="32"/>
        <v>2021 q4</v>
      </c>
      <c r="C2085" s="7">
        <v>7.6243999999999996</v>
      </c>
      <c r="D2085" s="7">
        <v>7.7373000000000003</v>
      </c>
      <c r="E2085" s="7">
        <v>7.9702999999999999</v>
      </c>
      <c r="F2085" s="7">
        <v>8.3188999999999993</v>
      </c>
      <c r="G2085" s="7">
        <v>8.5648999999999997</v>
      </c>
      <c r="H2085" s="7">
        <v>8.8084000000000007</v>
      </c>
      <c r="I2085" s="7">
        <v>9.3483999999999998</v>
      </c>
      <c r="J2085" s="7">
        <v>9.6401000000000003</v>
      </c>
      <c r="K2085" s="7">
        <v>9.8195999999999994</v>
      </c>
      <c r="L2085" s="7">
        <v>9.9319000000000006</v>
      </c>
      <c r="M2085" s="7">
        <v>10.029500000000001</v>
      </c>
      <c r="N2085" s="7">
        <v>10.1754</v>
      </c>
      <c r="O2085" s="7">
        <v>10.248699999999999</v>
      </c>
      <c r="P2085" s="7">
        <v>10.273999999999999</v>
      </c>
      <c r="Q2085" s="7">
        <v>10.3246</v>
      </c>
    </row>
    <row r="2086" spans="1:17">
      <c r="A2086" s="5">
        <v>44505</v>
      </c>
      <c r="B2086" s="5" t="str">
        <f t="shared" si="32"/>
        <v>2021 q4</v>
      </c>
      <c r="C2086" s="7">
        <v>7.5522</v>
      </c>
      <c r="D2086" s="7">
        <v>7.6844000000000001</v>
      </c>
      <c r="E2086" s="7">
        <v>7.9573999999999998</v>
      </c>
      <c r="F2086" s="7">
        <v>8.3637999999999995</v>
      </c>
      <c r="G2086" s="7">
        <v>8.6219000000000001</v>
      </c>
      <c r="H2086" s="7">
        <v>8.8757000000000001</v>
      </c>
      <c r="I2086" s="7">
        <v>9.3628999999999998</v>
      </c>
      <c r="J2086" s="7">
        <v>9.5992999999999995</v>
      </c>
      <c r="K2086" s="7">
        <v>9.7332999999999998</v>
      </c>
      <c r="L2086" s="7">
        <v>9.8158999999999992</v>
      </c>
      <c r="M2086" s="7">
        <v>9.8847000000000005</v>
      </c>
      <c r="N2086" s="7">
        <v>9.9873999999999992</v>
      </c>
      <c r="O2086" s="7">
        <v>10.0389</v>
      </c>
      <c r="P2086" s="7">
        <v>10.0585</v>
      </c>
      <c r="Q2086" s="7">
        <v>10.091799999999999</v>
      </c>
    </row>
    <row r="2087" spans="1:17">
      <c r="A2087" s="5">
        <v>44508</v>
      </c>
      <c r="B2087" s="5" t="str">
        <f t="shared" si="32"/>
        <v>2021 q4</v>
      </c>
      <c r="C2087" s="7">
        <v>7.4794999999999998</v>
      </c>
      <c r="D2087" s="7">
        <v>7.6131000000000002</v>
      </c>
      <c r="E2087" s="7">
        <v>7.8890000000000002</v>
      </c>
      <c r="F2087" s="7">
        <v>8.2984000000000009</v>
      </c>
      <c r="G2087" s="7">
        <v>8.5717999999999996</v>
      </c>
      <c r="H2087" s="7">
        <v>8.8398000000000003</v>
      </c>
      <c r="I2087" s="7">
        <v>9.3874999999999993</v>
      </c>
      <c r="J2087" s="7">
        <v>9.6641999999999992</v>
      </c>
      <c r="K2087" s="7">
        <v>9.8263999999999996</v>
      </c>
      <c r="L2087" s="7">
        <v>9.9263999999999992</v>
      </c>
      <c r="M2087" s="7">
        <v>10.011100000000001</v>
      </c>
      <c r="N2087" s="7">
        <v>10.137600000000001</v>
      </c>
      <c r="O2087" s="7">
        <v>10.200799999999999</v>
      </c>
      <c r="P2087" s="7">
        <v>10.2226</v>
      </c>
      <c r="Q2087" s="7">
        <v>10.266299999999999</v>
      </c>
    </row>
    <row r="2088" spans="1:17">
      <c r="A2088" s="5">
        <v>44509</v>
      </c>
      <c r="B2088" s="5" t="str">
        <f t="shared" si="32"/>
        <v>2021 q4</v>
      </c>
      <c r="C2088" s="7">
        <v>7.5103</v>
      </c>
      <c r="D2088" s="7">
        <v>7.6398999999999999</v>
      </c>
      <c r="E2088" s="7">
        <v>7.9073000000000002</v>
      </c>
      <c r="F2088" s="7">
        <v>8.3000000000000007</v>
      </c>
      <c r="G2088" s="7">
        <v>8.57</v>
      </c>
      <c r="H2088" s="7">
        <v>8.8317999999999994</v>
      </c>
      <c r="I2088" s="7">
        <v>9.3839000000000006</v>
      </c>
      <c r="J2088" s="7">
        <v>9.6670999999999996</v>
      </c>
      <c r="K2088" s="7">
        <v>9.8364999999999991</v>
      </c>
      <c r="L2088" s="7">
        <v>9.9400999999999993</v>
      </c>
      <c r="M2088" s="7">
        <v>10.029199999999999</v>
      </c>
      <c r="N2088" s="7">
        <v>10.162100000000001</v>
      </c>
      <c r="O2088" s="7">
        <v>10.2286</v>
      </c>
      <c r="P2088" s="7">
        <v>10.2515</v>
      </c>
      <c r="Q2088" s="7">
        <v>10.297499999999999</v>
      </c>
    </row>
    <row r="2089" spans="1:17">
      <c r="A2089" s="5">
        <v>44510</v>
      </c>
      <c r="B2089" s="5" t="str">
        <f t="shared" si="32"/>
        <v>2021 q4</v>
      </c>
      <c r="C2089" s="7">
        <v>7.5084999999999997</v>
      </c>
      <c r="D2089" s="7">
        <v>7.6395</v>
      </c>
      <c r="E2089" s="7">
        <v>7.91</v>
      </c>
      <c r="F2089" s="7">
        <v>8.3055000000000003</v>
      </c>
      <c r="G2089" s="7">
        <v>8.5775000000000006</v>
      </c>
      <c r="H2089" s="7">
        <v>8.8401999999999994</v>
      </c>
      <c r="I2089" s="7">
        <v>9.3925999999999998</v>
      </c>
      <c r="J2089" s="7">
        <v>9.6745000000000001</v>
      </c>
      <c r="K2089" s="7">
        <v>9.8430999999999997</v>
      </c>
      <c r="L2089" s="7">
        <v>9.9458000000000002</v>
      </c>
      <c r="M2089" s="7">
        <v>10.0342</v>
      </c>
      <c r="N2089" s="7">
        <v>10.165900000000001</v>
      </c>
      <c r="O2089" s="7">
        <v>10.2319</v>
      </c>
      <c r="P2089" s="7">
        <v>10.257899999999999</v>
      </c>
      <c r="Q2089" s="7">
        <v>10.2982</v>
      </c>
    </row>
    <row r="2090" spans="1:17">
      <c r="A2090" s="5">
        <v>44511</v>
      </c>
      <c r="B2090" s="5" t="str">
        <f t="shared" si="32"/>
        <v>2021 q4</v>
      </c>
      <c r="C2090" s="7">
        <v>7.4974999999999996</v>
      </c>
      <c r="D2090" s="7">
        <v>7.6326000000000001</v>
      </c>
      <c r="E2090" s="7">
        <v>7.9115000000000002</v>
      </c>
      <c r="F2090" s="7">
        <v>8.3173999999999992</v>
      </c>
      <c r="G2090" s="7">
        <v>8.5923999999999996</v>
      </c>
      <c r="H2090" s="7">
        <v>8.8566000000000003</v>
      </c>
      <c r="I2090" s="7">
        <v>9.3992000000000004</v>
      </c>
      <c r="J2090" s="7">
        <v>9.6706000000000003</v>
      </c>
      <c r="K2090" s="7">
        <v>9.8308999999999997</v>
      </c>
      <c r="L2090" s="7">
        <v>9.9280000000000008</v>
      </c>
      <c r="M2090" s="7">
        <v>10.011200000000001</v>
      </c>
      <c r="N2090" s="7">
        <v>10.135</v>
      </c>
      <c r="O2090" s="7">
        <v>10.196999999999999</v>
      </c>
      <c r="P2090" s="7">
        <v>10.218400000000001</v>
      </c>
      <c r="Q2090" s="7">
        <v>10.261200000000001</v>
      </c>
    </row>
    <row r="2091" spans="1:17">
      <c r="A2091" s="5">
        <v>44512</v>
      </c>
      <c r="B2091" s="5" t="str">
        <f t="shared" si="32"/>
        <v>2021 q4</v>
      </c>
      <c r="C2091" s="7">
        <v>7.4980000000000002</v>
      </c>
      <c r="D2091" s="7">
        <v>7.6344000000000003</v>
      </c>
      <c r="E2091" s="7">
        <v>7.9158999999999997</v>
      </c>
      <c r="F2091" s="7">
        <v>8.3237000000000005</v>
      </c>
      <c r="G2091" s="7">
        <v>8.5983000000000001</v>
      </c>
      <c r="H2091" s="7">
        <v>8.8609000000000009</v>
      </c>
      <c r="I2091" s="7">
        <v>9.3943999999999992</v>
      </c>
      <c r="J2091" s="7">
        <v>9.6585000000000001</v>
      </c>
      <c r="K2091" s="7">
        <v>9.8137000000000008</v>
      </c>
      <c r="L2091" s="7">
        <v>9.9071999999999996</v>
      </c>
      <c r="M2091" s="7">
        <v>9.9872999999999994</v>
      </c>
      <c r="N2091" s="7">
        <v>10.1067</v>
      </c>
      <c r="O2091" s="7">
        <v>10.1661</v>
      </c>
      <c r="P2091" s="7">
        <v>10.1867</v>
      </c>
      <c r="Q2091" s="7">
        <v>10.2279</v>
      </c>
    </row>
    <row r="2092" spans="1:17">
      <c r="A2092" s="5">
        <v>44515</v>
      </c>
      <c r="B2092" s="5" t="str">
        <f t="shared" si="32"/>
        <v>2021 q4</v>
      </c>
      <c r="C2092" s="7">
        <v>7.4611999999999998</v>
      </c>
      <c r="D2092" s="7">
        <v>7.5946999999999996</v>
      </c>
      <c r="E2092" s="7">
        <v>7.8703000000000003</v>
      </c>
      <c r="F2092" s="7">
        <v>8.2677999999999994</v>
      </c>
      <c r="G2092" s="7">
        <v>8.5352999999999994</v>
      </c>
      <c r="H2092" s="7">
        <v>8.7897999999999996</v>
      </c>
      <c r="I2092" s="7">
        <v>9.3048000000000002</v>
      </c>
      <c r="J2092" s="7">
        <v>9.5582999999999991</v>
      </c>
      <c r="K2092" s="7">
        <v>9.7070000000000007</v>
      </c>
      <c r="L2092" s="7">
        <v>9.7962000000000007</v>
      </c>
      <c r="M2092" s="7">
        <v>9.8727999999999998</v>
      </c>
      <c r="N2092" s="7">
        <v>9.9867000000000008</v>
      </c>
      <c r="O2092" s="7">
        <v>10.0436</v>
      </c>
      <c r="P2092" s="7">
        <v>10.0632</v>
      </c>
      <c r="Q2092" s="7">
        <v>10.102600000000001</v>
      </c>
    </row>
    <row r="2093" spans="1:17">
      <c r="A2093" s="5">
        <v>44516</v>
      </c>
      <c r="B2093" s="5" t="str">
        <f t="shared" si="32"/>
        <v>2021 q4</v>
      </c>
      <c r="C2093" s="7">
        <v>7.4871999999999996</v>
      </c>
      <c r="D2093" s="7">
        <v>7.6155999999999997</v>
      </c>
      <c r="E2093" s="7">
        <v>7.8804999999999996</v>
      </c>
      <c r="F2093" s="7">
        <v>8.2619000000000007</v>
      </c>
      <c r="G2093" s="7">
        <v>8.5467999999999993</v>
      </c>
      <c r="H2093" s="7">
        <v>8.7561</v>
      </c>
      <c r="I2093" s="7">
        <v>9.3196999999999992</v>
      </c>
      <c r="J2093" s="7">
        <v>9.5950000000000006</v>
      </c>
      <c r="K2093" s="7">
        <v>9.7622999999999998</v>
      </c>
      <c r="L2093" s="7">
        <v>9.8620999999999999</v>
      </c>
      <c r="M2093" s="7">
        <v>9.9497</v>
      </c>
      <c r="N2093" s="7">
        <v>10.079700000000001</v>
      </c>
      <c r="O2093" s="7">
        <v>10.1447</v>
      </c>
      <c r="P2093" s="7">
        <v>10.167199999999999</v>
      </c>
      <c r="Q2093" s="7">
        <v>10.212199999999999</v>
      </c>
    </row>
    <row r="2094" spans="1:17">
      <c r="A2094" s="5">
        <v>44517</v>
      </c>
      <c r="B2094" s="5" t="str">
        <f t="shared" si="32"/>
        <v>2021 q4</v>
      </c>
      <c r="C2094" s="7">
        <v>7.4936999999999996</v>
      </c>
      <c r="D2094" s="7">
        <v>7.6215999999999999</v>
      </c>
      <c r="E2094" s="7">
        <v>7.8856999999999999</v>
      </c>
      <c r="F2094" s="7">
        <v>8.2645</v>
      </c>
      <c r="G2094" s="7">
        <v>8.5481999999999996</v>
      </c>
      <c r="H2094" s="7">
        <v>8.7553000000000001</v>
      </c>
      <c r="I2094" s="7">
        <v>9.3143999999999991</v>
      </c>
      <c r="J2094" s="7">
        <v>9.5869</v>
      </c>
      <c r="K2094" s="7">
        <v>9.7525999999999993</v>
      </c>
      <c r="L2094" s="7">
        <v>9.8511000000000006</v>
      </c>
      <c r="M2094" s="7">
        <v>9.9377999999999993</v>
      </c>
      <c r="N2094" s="7">
        <v>10.0664</v>
      </c>
      <c r="O2094" s="7">
        <v>10.130699999999999</v>
      </c>
      <c r="P2094" s="7">
        <v>10.152900000000001</v>
      </c>
      <c r="Q2094" s="7">
        <v>10.1974</v>
      </c>
    </row>
    <row r="2095" spans="1:17">
      <c r="A2095" s="5">
        <v>44518</v>
      </c>
      <c r="B2095" s="5" t="str">
        <f t="shared" si="32"/>
        <v>2021 q4</v>
      </c>
      <c r="C2095" s="7">
        <v>7.4939</v>
      </c>
      <c r="D2095" s="7">
        <v>7.6269</v>
      </c>
      <c r="E2095" s="7">
        <v>7.9015000000000004</v>
      </c>
      <c r="F2095" s="7">
        <v>8.2932000000000006</v>
      </c>
      <c r="G2095" s="7">
        <v>8.5827000000000009</v>
      </c>
      <c r="H2095" s="7">
        <v>8.7897999999999996</v>
      </c>
      <c r="I2095" s="7">
        <v>9.3416999999999994</v>
      </c>
      <c r="J2095" s="7">
        <v>9.6042000000000005</v>
      </c>
      <c r="K2095" s="7">
        <v>9.7615999999999996</v>
      </c>
      <c r="L2095" s="7">
        <v>9.8545999999999996</v>
      </c>
      <c r="M2095" s="7">
        <v>9.9359000000000002</v>
      </c>
      <c r="N2095" s="7">
        <v>10.0565</v>
      </c>
      <c r="O2095" s="7">
        <v>10.1168</v>
      </c>
      <c r="P2095" s="7">
        <v>10.137600000000001</v>
      </c>
      <c r="Q2095" s="7">
        <v>10.1793</v>
      </c>
    </row>
    <row r="2096" spans="1:17">
      <c r="A2096" s="5">
        <v>44519</v>
      </c>
      <c r="B2096" s="5" t="str">
        <f t="shared" si="32"/>
        <v>2021 q4</v>
      </c>
      <c r="C2096" s="7">
        <v>7.5031999999999996</v>
      </c>
      <c r="D2096" s="7">
        <v>7.6344000000000003</v>
      </c>
      <c r="E2096" s="7">
        <v>7.9053000000000004</v>
      </c>
      <c r="F2096" s="7">
        <v>8.2906999999999993</v>
      </c>
      <c r="G2096" s="7">
        <v>8.5780999999999992</v>
      </c>
      <c r="H2096" s="7">
        <v>8.7835000000000001</v>
      </c>
      <c r="I2096" s="7">
        <v>9.3358000000000008</v>
      </c>
      <c r="J2096" s="7">
        <v>9.6000999999999994</v>
      </c>
      <c r="K2096" s="7">
        <v>9.7598000000000003</v>
      </c>
      <c r="L2096" s="7">
        <v>9.8537999999999997</v>
      </c>
      <c r="M2096" s="7">
        <v>9.9366000000000003</v>
      </c>
      <c r="N2096" s="7">
        <v>10.059200000000001</v>
      </c>
      <c r="O2096" s="7">
        <v>10.1205</v>
      </c>
      <c r="P2096" s="7">
        <v>10.1417</v>
      </c>
      <c r="Q2096" s="7">
        <v>10.184100000000001</v>
      </c>
    </row>
    <row r="2097" spans="1:17">
      <c r="A2097" s="5">
        <v>44522</v>
      </c>
      <c r="B2097" s="5" t="str">
        <f t="shared" si="32"/>
        <v>2021 q4</v>
      </c>
      <c r="C2097" s="7">
        <v>7.5026999999999999</v>
      </c>
      <c r="D2097" s="7">
        <v>7.6238999999999999</v>
      </c>
      <c r="E2097" s="7">
        <v>7.8739999999999997</v>
      </c>
      <c r="F2097" s="7">
        <v>8.2340999999999998</v>
      </c>
      <c r="G2097" s="7">
        <v>8.5274999999999999</v>
      </c>
      <c r="H2097" s="7">
        <v>8.7434999999999992</v>
      </c>
      <c r="I2097" s="7">
        <v>9.3469999999999995</v>
      </c>
      <c r="J2097" s="7">
        <v>9.6517999999999997</v>
      </c>
      <c r="K2097" s="7">
        <v>9.8432999999999993</v>
      </c>
      <c r="L2097" s="7">
        <v>9.9565000000000001</v>
      </c>
      <c r="M2097" s="7">
        <v>10.0587</v>
      </c>
      <c r="N2097" s="7">
        <v>10.210000000000001</v>
      </c>
      <c r="O2097" s="7">
        <v>10.2858</v>
      </c>
      <c r="P2097" s="7">
        <v>10.315799999999999</v>
      </c>
      <c r="Q2097" s="7">
        <v>10.3622</v>
      </c>
    </row>
    <row r="2098" spans="1:17">
      <c r="A2098" s="5">
        <v>44523</v>
      </c>
      <c r="B2098" s="5" t="str">
        <f t="shared" si="32"/>
        <v>2021 q4</v>
      </c>
      <c r="C2098" s="7">
        <v>7.4271000000000003</v>
      </c>
      <c r="D2098" s="7">
        <v>7.5763999999999996</v>
      </c>
      <c r="E2098" s="7">
        <v>7.8844000000000003</v>
      </c>
      <c r="F2098" s="7">
        <v>8.2372999999999994</v>
      </c>
      <c r="G2098" s="7">
        <v>8.5802999999999994</v>
      </c>
      <c r="H2098" s="7">
        <v>8.7963000000000005</v>
      </c>
      <c r="I2098" s="7">
        <v>9.3591999999999995</v>
      </c>
      <c r="J2098" s="7">
        <v>9.6170000000000009</v>
      </c>
      <c r="K2098" s="7">
        <v>9.7702000000000009</v>
      </c>
      <c r="L2098" s="7">
        <v>9.8588000000000005</v>
      </c>
      <c r="M2098" s="7">
        <v>9.9367000000000001</v>
      </c>
      <c r="N2098" s="7">
        <v>10.0519</v>
      </c>
      <c r="O2098" s="7">
        <v>10.109299999999999</v>
      </c>
      <c r="P2098" s="7">
        <v>10.129200000000001</v>
      </c>
      <c r="Q2098" s="7">
        <v>10.168900000000001</v>
      </c>
    </row>
    <row r="2099" spans="1:17">
      <c r="A2099" s="5">
        <v>44524</v>
      </c>
      <c r="B2099" s="5" t="str">
        <f t="shared" si="32"/>
        <v>2021 q4</v>
      </c>
      <c r="C2099" s="7">
        <v>7.4569999999999999</v>
      </c>
      <c r="D2099" s="7">
        <v>7.5995999999999997</v>
      </c>
      <c r="E2099" s="7">
        <v>7.8939000000000004</v>
      </c>
      <c r="F2099" s="7">
        <v>8.2344000000000008</v>
      </c>
      <c r="G2099" s="7">
        <v>8.5670999999999999</v>
      </c>
      <c r="H2099" s="7">
        <v>8.7796000000000003</v>
      </c>
      <c r="I2099" s="7">
        <v>9.3453999999999997</v>
      </c>
      <c r="J2099" s="7">
        <v>9.6105999999999998</v>
      </c>
      <c r="K2099" s="7">
        <v>9.7708999999999993</v>
      </c>
      <c r="L2099" s="7">
        <v>9.8635000000000002</v>
      </c>
      <c r="M2099" s="7">
        <v>9.9458000000000002</v>
      </c>
      <c r="N2099" s="7">
        <v>10.0672</v>
      </c>
      <c r="O2099" s="7">
        <v>10.127800000000001</v>
      </c>
      <c r="P2099" s="7">
        <v>10.1518</v>
      </c>
      <c r="Q2099" s="7">
        <v>10.1889</v>
      </c>
    </row>
    <row r="2100" spans="1:17">
      <c r="A2100" s="5">
        <v>44525</v>
      </c>
      <c r="B2100" s="5" t="str">
        <f t="shared" si="32"/>
        <v>2021 q4</v>
      </c>
      <c r="C2100" s="7">
        <v>7.3909000000000002</v>
      </c>
      <c r="D2100" s="7">
        <v>7.5446</v>
      </c>
      <c r="E2100" s="7">
        <v>7.8619000000000003</v>
      </c>
      <c r="F2100" s="7">
        <v>8.2203999999999997</v>
      </c>
      <c r="G2100" s="7">
        <v>8.5714000000000006</v>
      </c>
      <c r="H2100" s="7">
        <v>8.7871000000000006</v>
      </c>
      <c r="I2100" s="7">
        <v>9.3516999999999992</v>
      </c>
      <c r="J2100" s="7">
        <v>9.6074000000000002</v>
      </c>
      <c r="K2100" s="7">
        <v>9.7591000000000001</v>
      </c>
      <c r="L2100" s="7">
        <v>9.8460000000000001</v>
      </c>
      <c r="M2100" s="7">
        <v>9.9229000000000003</v>
      </c>
      <c r="N2100" s="7">
        <v>10.036099999999999</v>
      </c>
      <c r="O2100" s="7">
        <v>10.092599999999999</v>
      </c>
      <c r="P2100" s="7">
        <v>10.1122</v>
      </c>
      <c r="Q2100" s="7">
        <v>10.151300000000001</v>
      </c>
    </row>
    <row r="2101" spans="1:17">
      <c r="A2101" s="5">
        <v>44526</v>
      </c>
      <c r="B2101" s="5" t="str">
        <f t="shared" si="32"/>
        <v>2021 q4</v>
      </c>
      <c r="C2101" s="7">
        <v>7.3855000000000004</v>
      </c>
      <c r="D2101" s="7">
        <v>7.5423999999999998</v>
      </c>
      <c r="E2101" s="7">
        <v>7.8662999999999998</v>
      </c>
      <c r="F2101" s="7">
        <v>8.2274999999999991</v>
      </c>
      <c r="G2101" s="7">
        <v>8.5822000000000003</v>
      </c>
      <c r="H2101" s="7">
        <v>8.7950999999999997</v>
      </c>
      <c r="I2101" s="7">
        <v>9.3500999999999994</v>
      </c>
      <c r="J2101" s="7">
        <v>9.5973000000000006</v>
      </c>
      <c r="K2101" s="7">
        <v>9.7430000000000003</v>
      </c>
      <c r="L2101" s="7">
        <v>9.8261000000000003</v>
      </c>
      <c r="M2101" s="7">
        <v>9.8994</v>
      </c>
      <c r="N2101" s="7">
        <v>10.0075</v>
      </c>
      <c r="O2101" s="7">
        <v>10.061400000000001</v>
      </c>
      <c r="P2101" s="7">
        <v>10.0801</v>
      </c>
      <c r="Q2101" s="7">
        <v>10.1174</v>
      </c>
    </row>
    <row r="2102" spans="1:17">
      <c r="A2102" s="5">
        <v>44529</v>
      </c>
      <c r="B2102" s="5" t="str">
        <f t="shared" si="32"/>
        <v>2021 q4</v>
      </c>
      <c r="C2102" s="7">
        <v>7.3994</v>
      </c>
      <c r="D2102" s="7">
        <v>7.5537999999999998</v>
      </c>
      <c r="E2102" s="7">
        <v>7.8726000000000003</v>
      </c>
      <c r="F2102" s="7">
        <v>8.2294999999999998</v>
      </c>
      <c r="G2102" s="7">
        <v>8.5815999999999999</v>
      </c>
      <c r="H2102" s="7">
        <v>8.7940000000000005</v>
      </c>
      <c r="I2102" s="7">
        <v>9.3557000000000006</v>
      </c>
      <c r="J2102" s="7">
        <v>9.6089000000000002</v>
      </c>
      <c r="K2102" s="7">
        <v>9.7596000000000007</v>
      </c>
      <c r="L2102" s="7">
        <v>9.8453999999999997</v>
      </c>
      <c r="M2102" s="7">
        <v>9.9215</v>
      </c>
      <c r="N2102" s="7">
        <v>10.0337</v>
      </c>
      <c r="O2102" s="7">
        <v>10.089600000000001</v>
      </c>
      <c r="P2102" s="7">
        <v>10.109</v>
      </c>
      <c r="Q2102" s="7">
        <v>10.1478</v>
      </c>
    </row>
    <row r="2103" spans="1:17">
      <c r="A2103" s="5">
        <v>44530</v>
      </c>
      <c r="B2103" s="5" t="str">
        <f t="shared" si="32"/>
        <v>2021 q4</v>
      </c>
      <c r="C2103" s="7">
        <v>7.6565000000000003</v>
      </c>
      <c r="D2103" s="7">
        <v>7.7721999999999998</v>
      </c>
      <c r="E2103" s="7">
        <v>8.0112000000000005</v>
      </c>
      <c r="F2103" s="7">
        <v>8.3249999999999993</v>
      </c>
      <c r="G2103" s="7">
        <v>8.6106999999999996</v>
      </c>
      <c r="H2103" s="7">
        <v>8.7988999999999997</v>
      </c>
      <c r="I2103" s="7">
        <v>9.3293999999999997</v>
      </c>
      <c r="J2103" s="7">
        <v>9.5853000000000002</v>
      </c>
      <c r="K2103" s="7">
        <v>9.7456999999999994</v>
      </c>
      <c r="L2103" s="7">
        <v>9.8367000000000004</v>
      </c>
      <c r="M2103" s="7">
        <v>9.92</v>
      </c>
      <c r="N2103" s="7">
        <v>10.0426</v>
      </c>
      <c r="O2103" s="7">
        <v>10.1038</v>
      </c>
      <c r="P2103" s="7">
        <v>10.125</v>
      </c>
      <c r="Q2103" s="7">
        <v>10.1675</v>
      </c>
    </row>
    <row r="2104" spans="1:17">
      <c r="A2104" s="5">
        <v>44531</v>
      </c>
      <c r="B2104" s="5" t="str">
        <f t="shared" si="32"/>
        <v>2021 q4</v>
      </c>
      <c r="C2104" s="7">
        <v>7.6821000000000002</v>
      </c>
      <c r="D2104" s="7">
        <v>7.7933000000000003</v>
      </c>
      <c r="E2104" s="7">
        <v>8.0228999999999999</v>
      </c>
      <c r="F2104" s="7">
        <v>8.3257999999999992</v>
      </c>
      <c r="G2104" s="7">
        <v>8.6039999999999992</v>
      </c>
      <c r="H2104" s="7">
        <v>8.7903000000000002</v>
      </c>
      <c r="I2104" s="7">
        <v>9.3254999999999999</v>
      </c>
      <c r="J2104" s="7">
        <v>9.5906000000000002</v>
      </c>
      <c r="K2104" s="7">
        <v>9.7600999999999996</v>
      </c>
      <c r="L2104" s="7">
        <v>9.8561999999999994</v>
      </c>
      <c r="M2104" s="7">
        <v>9.9457000000000004</v>
      </c>
      <c r="N2104" s="7">
        <v>10.0771</v>
      </c>
      <c r="O2104" s="7">
        <v>10.142799999999999</v>
      </c>
      <c r="P2104" s="7">
        <v>10.168900000000001</v>
      </c>
      <c r="Q2104" s="7">
        <v>10.209099999999999</v>
      </c>
    </row>
    <row r="2105" spans="1:17">
      <c r="A2105" s="5">
        <v>44532</v>
      </c>
      <c r="B2105" s="5" t="str">
        <f t="shared" si="32"/>
        <v>2021 q4</v>
      </c>
      <c r="C2105" s="7">
        <v>7.6657999999999999</v>
      </c>
      <c r="D2105" s="7">
        <v>7.7813999999999997</v>
      </c>
      <c r="E2105" s="7">
        <v>8.0198999999999998</v>
      </c>
      <c r="F2105" s="7">
        <v>8.3315000000000001</v>
      </c>
      <c r="G2105" s="7">
        <v>8.6166999999999998</v>
      </c>
      <c r="H2105" s="7">
        <v>8.8024000000000004</v>
      </c>
      <c r="I2105" s="7">
        <v>9.3305000000000007</v>
      </c>
      <c r="J2105" s="7">
        <v>9.5848999999999993</v>
      </c>
      <c r="K2105" s="7">
        <v>9.7452000000000005</v>
      </c>
      <c r="L2105" s="7">
        <v>9.8353999999999999</v>
      </c>
      <c r="M2105" s="7">
        <v>9.9185999999999996</v>
      </c>
      <c r="N2105" s="7">
        <v>10.040800000000001</v>
      </c>
      <c r="O2105" s="7">
        <v>10.101800000000001</v>
      </c>
      <c r="P2105" s="7">
        <v>10.122999999999999</v>
      </c>
      <c r="Q2105" s="7">
        <v>10.1653</v>
      </c>
    </row>
    <row r="2106" spans="1:17">
      <c r="A2106" s="5">
        <v>44533</v>
      </c>
      <c r="B2106" s="5" t="str">
        <f t="shared" si="32"/>
        <v>2021 q4</v>
      </c>
      <c r="C2106" s="7">
        <v>7.6033999999999997</v>
      </c>
      <c r="D2106" s="7">
        <v>7.734</v>
      </c>
      <c r="E2106" s="7">
        <v>8.0038</v>
      </c>
      <c r="F2106" s="7">
        <v>8.3453999999999997</v>
      </c>
      <c r="G2106" s="7">
        <v>8.6527999999999992</v>
      </c>
      <c r="H2106" s="7">
        <v>8.8354999999999997</v>
      </c>
      <c r="I2106" s="7">
        <v>9.3336000000000006</v>
      </c>
      <c r="J2106" s="7">
        <v>9.5532000000000004</v>
      </c>
      <c r="K2106" s="7">
        <v>9.6844999999999999</v>
      </c>
      <c r="L2106" s="7">
        <v>9.7574000000000005</v>
      </c>
      <c r="M2106" s="7">
        <v>9.8231000000000002</v>
      </c>
      <c r="N2106" s="7">
        <v>9.9194999999999993</v>
      </c>
      <c r="O2106" s="7">
        <v>9.9674999999999994</v>
      </c>
      <c r="P2106" s="7">
        <v>9.9840999999999998</v>
      </c>
      <c r="Q2106" s="7">
        <v>10.0175</v>
      </c>
    </row>
    <row r="2107" spans="1:17">
      <c r="A2107" s="5">
        <v>44536</v>
      </c>
      <c r="B2107" s="5" t="str">
        <f t="shared" si="32"/>
        <v>2021 q4</v>
      </c>
      <c r="C2107" s="7">
        <v>7.7032999999999996</v>
      </c>
      <c r="D2107" s="7">
        <v>7.8125</v>
      </c>
      <c r="E2107" s="7">
        <v>8.0379000000000005</v>
      </c>
      <c r="F2107" s="7">
        <v>8.3331</v>
      </c>
      <c r="G2107" s="7">
        <v>8.6060999999999996</v>
      </c>
      <c r="H2107" s="7">
        <v>8.7858000000000001</v>
      </c>
      <c r="I2107" s="7">
        <v>9.3081999999999994</v>
      </c>
      <c r="J2107" s="7">
        <v>9.5661000000000005</v>
      </c>
      <c r="K2107" s="7">
        <v>9.7322000000000006</v>
      </c>
      <c r="L2107" s="7">
        <v>9.8253000000000004</v>
      </c>
      <c r="M2107" s="7">
        <v>9.9126999999999992</v>
      </c>
      <c r="N2107" s="7">
        <v>10.041</v>
      </c>
      <c r="O2107" s="7">
        <v>10.1051</v>
      </c>
      <c r="P2107" s="7">
        <v>10.1273</v>
      </c>
      <c r="Q2107" s="7">
        <v>10.171799999999999</v>
      </c>
    </row>
    <row r="2108" spans="1:17">
      <c r="A2108" s="5">
        <v>44537</v>
      </c>
      <c r="B2108" s="5" t="str">
        <f t="shared" si="32"/>
        <v>2021 q4</v>
      </c>
      <c r="C2108" s="7">
        <v>7.6534000000000004</v>
      </c>
      <c r="D2108" s="7">
        <v>7.7679</v>
      </c>
      <c r="E2108" s="7">
        <v>8.0042000000000009</v>
      </c>
      <c r="F2108" s="7">
        <v>8.2914999999999992</v>
      </c>
      <c r="G2108" s="7">
        <v>8.5489999999999995</v>
      </c>
      <c r="H2108" s="7">
        <v>8.8054000000000006</v>
      </c>
      <c r="I2108" s="7">
        <v>9.3056999999999999</v>
      </c>
      <c r="J2108" s="7">
        <v>9.5629000000000008</v>
      </c>
      <c r="K2108" s="7">
        <v>9.7280999999999995</v>
      </c>
      <c r="L2108" s="7">
        <v>9.8194999999999997</v>
      </c>
      <c r="M2108" s="7">
        <v>9.9055999999999997</v>
      </c>
      <c r="N2108" s="7">
        <v>10.031599999999999</v>
      </c>
      <c r="O2108" s="7">
        <v>10.0946</v>
      </c>
      <c r="P2108" s="7">
        <v>10.1196</v>
      </c>
      <c r="Q2108" s="7">
        <v>10.158099999999999</v>
      </c>
    </row>
    <row r="2109" spans="1:17">
      <c r="A2109" s="5">
        <v>44538</v>
      </c>
      <c r="B2109" s="5" t="str">
        <f t="shared" si="32"/>
        <v>2021 q4</v>
      </c>
      <c r="C2109" s="7">
        <v>7.6104000000000003</v>
      </c>
      <c r="D2109" s="7">
        <v>7.7362000000000002</v>
      </c>
      <c r="E2109" s="7">
        <v>7.9960000000000004</v>
      </c>
      <c r="F2109" s="7">
        <v>8.2994000000000003</v>
      </c>
      <c r="G2109" s="7">
        <v>8.5662000000000003</v>
      </c>
      <c r="H2109" s="7">
        <v>8.8306000000000004</v>
      </c>
      <c r="I2109" s="7">
        <v>9.2917000000000005</v>
      </c>
      <c r="J2109" s="7">
        <v>9.5131999999999994</v>
      </c>
      <c r="K2109" s="7">
        <v>9.6486999999999998</v>
      </c>
      <c r="L2109" s="7">
        <v>9.7225999999999999</v>
      </c>
      <c r="M2109" s="7">
        <v>9.7906999999999993</v>
      </c>
      <c r="N2109" s="7">
        <v>9.8902000000000001</v>
      </c>
      <c r="O2109" s="7">
        <v>9.9400999999999993</v>
      </c>
      <c r="P2109" s="7">
        <v>9.9588999999999999</v>
      </c>
      <c r="Q2109" s="7">
        <v>9.9911999999999992</v>
      </c>
    </row>
    <row r="2110" spans="1:17">
      <c r="A2110" s="5">
        <v>44539</v>
      </c>
      <c r="B2110" s="5" t="str">
        <f t="shared" si="32"/>
        <v>2021 q4</v>
      </c>
      <c r="C2110" s="7">
        <v>7.7042999999999999</v>
      </c>
      <c r="D2110" s="7">
        <v>7.8071000000000002</v>
      </c>
      <c r="E2110" s="7">
        <v>8.0192999999999994</v>
      </c>
      <c r="F2110" s="7">
        <v>8.2827000000000002</v>
      </c>
      <c r="G2110" s="7">
        <v>8.5241000000000007</v>
      </c>
      <c r="H2110" s="7">
        <v>8.7628000000000004</v>
      </c>
      <c r="I2110" s="7">
        <v>9.2730999999999995</v>
      </c>
      <c r="J2110" s="7">
        <v>9.5629000000000008</v>
      </c>
      <c r="K2110" s="7">
        <v>9.7613000000000003</v>
      </c>
      <c r="L2110" s="7">
        <v>9.8409999999999993</v>
      </c>
      <c r="M2110" s="7">
        <v>9.9428000000000001</v>
      </c>
      <c r="N2110" s="7">
        <v>10.0916</v>
      </c>
      <c r="O2110" s="7">
        <v>10.1663</v>
      </c>
      <c r="P2110" s="7">
        <v>10.1959</v>
      </c>
      <c r="Q2110" s="7">
        <v>10.2416</v>
      </c>
    </row>
    <row r="2111" spans="1:17">
      <c r="A2111" s="5">
        <v>44540</v>
      </c>
      <c r="B2111" s="5" t="str">
        <f t="shared" si="32"/>
        <v>2021 q4</v>
      </c>
      <c r="C2111" s="7">
        <v>7.6589</v>
      </c>
      <c r="D2111" s="7">
        <v>7.7727000000000004</v>
      </c>
      <c r="E2111" s="7">
        <v>8.0076999999999998</v>
      </c>
      <c r="F2111" s="7">
        <v>8.2912999999999997</v>
      </c>
      <c r="G2111" s="7">
        <v>8.5487000000000002</v>
      </c>
      <c r="H2111" s="7">
        <v>8.8019999999999996</v>
      </c>
      <c r="I2111" s="7">
        <v>9.3053000000000008</v>
      </c>
      <c r="J2111" s="7">
        <v>9.5648999999999997</v>
      </c>
      <c r="K2111" s="7">
        <v>9.7335999999999991</v>
      </c>
      <c r="L2111" s="7">
        <v>9.8259000000000007</v>
      </c>
      <c r="M2111" s="7">
        <v>9.9140999999999995</v>
      </c>
      <c r="N2111" s="7">
        <v>10.042999999999999</v>
      </c>
      <c r="O2111" s="7">
        <v>10.1073</v>
      </c>
      <c r="P2111" s="7">
        <v>10.1296</v>
      </c>
      <c r="Q2111" s="7">
        <v>10.174300000000001</v>
      </c>
    </row>
    <row r="2112" spans="1:17">
      <c r="A2112" s="5">
        <v>44543</v>
      </c>
      <c r="B2112" s="5" t="str">
        <f t="shared" si="32"/>
        <v>2021 q4</v>
      </c>
      <c r="C2112" s="7">
        <v>7.6612999999999998</v>
      </c>
      <c r="D2112" s="7">
        <v>7.7755999999999998</v>
      </c>
      <c r="E2112" s="7">
        <v>8.0114000000000001</v>
      </c>
      <c r="F2112" s="7">
        <v>8.2946000000000009</v>
      </c>
      <c r="G2112" s="7">
        <v>8.5524000000000004</v>
      </c>
      <c r="H2112" s="7">
        <v>8.8051999999999992</v>
      </c>
      <c r="I2112" s="7">
        <v>9.3065999999999995</v>
      </c>
      <c r="J2112" s="7">
        <v>9.5642999999999994</v>
      </c>
      <c r="K2112" s="7">
        <v>9.7318999999999996</v>
      </c>
      <c r="L2112" s="7">
        <v>9.8231999999999999</v>
      </c>
      <c r="M2112" s="7">
        <v>9.9106000000000005</v>
      </c>
      <c r="N2112" s="7">
        <v>10.0383</v>
      </c>
      <c r="O2112" s="7">
        <v>10.101900000000001</v>
      </c>
      <c r="P2112" s="7">
        <v>10.1241</v>
      </c>
      <c r="Q2112" s="7">
        <v>10.1683</v>
      </c>
    </row>
    <row r="2113" spans="1:17">
      <c r="A2113" s="5">
        <v>44544</v>
      </c>
      <c r="B2113" s="5" t="str">
        <f t="shared" si="32"/>
        <v>2021 q4</v>
      </c>
      <c r="C2113" s="7">
        <v>7.5918999999999999</v>
      </c>
      <c r="D2113" s="7">
        <v>7.7144000000000004</v>
      </c>
      <c r="E2113" s="7">
        <v>7.9673999999999996</v>
      </c>
      <c r="F2113" s="7">
        <v>8.2647999999999993</v>
      </c>
      <c r="G2113" s="7">
        <v>8.5375999999999994</v>
      </c>
      <c r="H2113" s="7">
        <v>8.8013999999999992</v>
      </c>
      <c r="I2113" s="7">
        <v>9.3149999999999995</v>
      </c>
      <c r="J2113" s="7">
        <v>9.5736000000000008</v>
      </c>
      <c r="K2113" s="7">
        <v>9.7408000000000001</v>
      </c>
      <c r="L2113" s="7">
        <v>9.8305000000000007</v>
      </c>
      <c r="M2113" s="7">
        <v>9.9167000000000005</v>
      </c>
      <c r="N2113" s="7">
        <v>10.0421</v>
      </c>
      <c r="O2113" s="7">
        <v>10.1046</v>
      </c>
      <c r="P2113" s="7">
        <v>10.126300000000001</v>
      </c>
      <c r="Q2113" s="7">
        <v>10.1698</v>
      </c>
    </row>
    <row r="2114" spans="1:17">
      <c r="A2114" s="5">
        <v>44545</v>
      </c>
      <c r="B2114" s="5" t="str">
        <f t="shared" si="32"/>
        <v>2021 q4</v>
      </c>
      <c r="C2114" s="7">
        <v>7.5606</v>
      </c>
      <c r="D2114" s="7">
        <v>7.6936</v>
      </c>
      <c r="E2114" s="7">
        <v>7.9683999999999999</v>
      </c>
      <c r="F2114" s="7">
        <v>8.2871000000000006</v>
      </c>
      <c r="G2114" s="7">
        <v>8.5794999999999995</v>
      </c>
      <c r="H2114" s="7">
        <v>8.8606999999999996</v>
      </c>
      <c r="I2114" s="7">
        <v>9.3962000000000003</v>
      </c>
      <c r="J2114" s="7">
        <v>9.6610999999999994</v>
      </c>
      <c r="K2114" s="7">
        <v>9.8308999999999997</v>
      </c>
      <c r="L2114" s="7">
        <v>9.9215</v>
      </c>
      <c r="M2114" s="7">
        <v>10.008100000000001</v>
      </c>
      <c r="N2114" s="7">
        <v>10.1341</v>
      </c>
      <c r="O2114" s="7">
        <v>10.196899999999999</v>
      </c>
      <c r="P2114" s="7">
        <v>10.2187</v>
      </c>
      <c r="Q2114" s="7">
        <v>10.2623</v>
      </c>
    </row>
    <row r="2115" spans="1:17">
      <c r="A2115" s="5">
        <v>44546</v>
      </c>
      <c r="B2115" s="5" t="str">
        <f t="shared" ref="B2115:B2178" si="33">YEAR(A2115)&amp;" q"&amp;ROUNDUP(MONTH(A2115)/3,0)</f>
        <v>2021 q4</v>
      </c>
      <c r="C2115" s="7">
        <v>7.5639000000000003</v>
      </c>
      <c r="D2115" s="7">
        <v>7.6966000000000001</v>
      </c>
      <c r="E2115" s="7">
        <v>7.9703999999999997</v>
      </c>
      <c r="F2115" s="7">
        <v>8.2893000000000008</v>
      </c>
      <c r="G2115" s="7">
        <v>8.5838999999999999</v>
      </c>
      <c r="H2115" s="7">
        <v>8.8664000000000005</v>
      </c>
      <c r="I2115" s="7">
        <v>9.4169999999999998</v>
      </c>
      <c r="J2115" s="7">
        <v>9.6927000000000003</v>
      </c>
      <c r="K2115" s="7">
        <v>9.8713999999999995</v>
      </c>
      <c r="L2115" s="7">
        <v>9.9665999999999997</v>
      </c>
      <c r="M2115" s="7">
        <v>10.0585</v>
      </c>
      <c r="N2115" s="7">
        <v>10.192</v>
      </c>
      <c r="O2115" s="7">
        <v>10.258599999999999</v>
      </c>
      <c r="P2115" s="7">
        <v>10.281700000000001</v>
      </c>
      <c r="Q2115" s="7">
        <v>10.327999999999999</v>
      </c>
    </row>
    <row r="2116" spans="1:17">
      <c r="A2116" s="5">
        <v>44547</v>
      </c>
      <c r="B2116" s="5" t="str">
        <f t="shared" si="33"/>
        <v>2021 q4</v>
      </c>
      <c r="C2116" s="7">
        <v>7.5754000000000001</v>
      </c>
      <c r="D2116" s="7">
        <v>7.7058999999999997</v>
      </c>
      <c r="E2116" s="7">
        <v>7.9753999999999996</v>
      </c>
      <c r="F2116" s="7">
        <v>8.2894000000000005</v>
      </c>
      <c r="G2116" s="7">
        <v>8.5810999999999993</v>
      </c>
      <c r="H2116" s="7">
        <v>8.8597999999999999</v>
      </c>
      <c r="I2116" s="7">
        <v>9.4109999999999996</v>
      </c>
      <c r="J2116" s="7">
        <v>9.6888000000000005</v>
      </c>
      <c r="K2116" s="7">
        <v>9.8703000000000003</v>
      </c>
      <c r="L2116" s="7">
        <v>9.9666999999999994</v>
      </c>
      <c r="M2116" s="7">
        <v>10.0604</v>
      </c>
      <c r="N2116" s="7">
        <v>10.1965</v>
      </c>
      <c r="O2116" s="7">
        <v>10.2644</v>
      </c>
      <c r="P2116" s="7">
        <v>10.288</v>
      </c>
      <c r="Q2116" s="7">
        <v>10.3352</v>
      </c>
    </row>
    <row r="2117" spans="1:17">
      <c r="A2117" s="5">
        <v>44550</v>
      </c>
      <c r="B2117" s="5" t="str">
        <f t="shared" si="33"/>
        <v>2021 q4</v>
      </c>
      <c r="C2117" s="7">
        <v>7.5820999999999996</v>
      </c>
      <c r="D2117" s="7">
        <v>7.7119</v>
      </c>
      <c r="E2117" s="7">
        <v>7.98</v>
      </c>
      <c r="F2117" s="7">
        <v>8.2914999999999992</v>
      </c>
      <c r="G2117" s="7">
        <v>8.5822000000000003</v>
      </c>
      <c r="H2117" s="7">
        <v>8.8587000000000007</v>
      </c>
      <c r="I2117" s="7">
        <v>9.4088999999999992</v>
      </c>
      <c r="J2117" s="7">
        <v>9.6864000000000008</v>
      </c>
      <c r="K2117" s="7">
        <v>9.8684999999999992</v>
      </c>
      <c r="L2117" s="7">
        <v>9.9648000000000003</v>
      </c>
      <c r="M2117" s="7">
        <v>10.0589</v>
      </c>
      <c r="N2117" s="7">
        <v>10.195399999999999</v>
      </c>
      <c r="O2117" s="7">
        <v>10.263400000000001</v>
      </c>
      <c r="P2117" s="7">
        <v>10.287100000000001</v>
      </c>
      <c r="Q2117" s="7">
        <v>10.3345</v>
      </c>
    </row>
    <row r="2118" spans="1:17">
      <c r="A2118" s="5">
        <v>44551</v>
      </c>
      <c r="B2118" s="5" t="str">
        <f t="shared" si="33"/>
        <v>2021 q4</v>
      </c>
      <c r="C2118" s="7">
        <v>7.5987</v>
      </c>
      <c r="D2118" s="7">
        <v>7.7281000000000004</v>
      </c>
      <c r="E2118" s="7">
        <v>7.9951999999999996</v>
      </c>
      <c r="F2118" s="7">
        <v>8.3016000000000005</v>
      </c>
      <c r="G2118" s="7">
        <v>8.5907999999999998</v>
      </c>
      <c r="H2118" s="7">
        <v>8.8625000000000007</v>
      </c>
      <c r="I2118" s="7">
        <v>9.4055999999999997</v>
      </c>
      <c r="J2118" s="7">
        <v>9.6778999999999993</v>
      </c>
      <c r="K2118" s="7">
        <v>9.8575999999999997</v>
      </c>
      <c r="L2118" s="7">
        <v>9.9514999999999993</v>
      </c>
      <c r="M2118" s="7">
        <v>10.044</v>
      </c>
      <c r="N2118" s="7">
        <v>10.178100000000001</v>
      </c>
      <c r="O2118" s="7">
        <v>10.244899999999999</v>
      </c>
      <c r="P2118" s="7">
        <v>10.2682</v>
      </c>
      <c r="Q2118" s="7">
        <v>10.3147</v>
      </c>
    </row>
    <row r="2119" spans="1:17">
      <c r="A2119" s="5">
        <v>44552</v>
      </c>
      <c r="B2119" s="5" t="str">
        <f t="shared" si="33"/>
        <v>2021 q4</v>
      </c>
      <c r="C2119" s="7">
        <v>7.5983999999999998</v>
      </c>
      <c r="D2119" s="7">
        <v>7.7294</v>
      </c>
      <c r="E2119" s="7">
        <v>7.9996999999999998</v>
      </c>
      <c r="F2119" s="7">
        <v>8.3053000000000008</v>
      </c>
      <c r="G2119" s="7">
        <v>8.5944000000000003</v>
      </c>
      <c r="H2119" s="7">
        <v>8.8641000000000005</v>
      </c>
      <c r="I2119" s="7">
        <v>9.3926999999999996</v>
      </c>
      <c r="J2119" s="7">
        <v>9.6532999999999998</v>
      </c>
      <c r="K2119" s="7">
        <v>9.8239999999999998</v>
      </c>
      <c r="L2119" s="7">
        <v>9.9124999999999996</v>
      </c>
      <c r="M2119" s="7">
        <v>9.9994999999999994</v>
      </c>
      <c r="N2119" s="7">
        <v>10.125500000000001</v>
      </c>
      <c r="O2119" s="7">
        <v>10.1882</v>
      </c>
      <c r="P2119" s="7">
        <v>10.210100000000001</v>
      </c>
      <c r="Q2119" s="7">
        <v>10.2537</v>
      </c>
    </row>
    <row r="2120" spans="1:17">
      <c r="A2120" s="5">
        <v>44553</v>
      </c>
      <c r="B2120" s="5" t="str">
        <f t="shared" si="33"/>
        <v>2021 q4</v>
      </c>
      <c r="C2120" s="7">
        <v>7.6619000000000002</v>
      </c>
      <c r="D2120" s="7">
        <v>7.7851999999999997</v>
      </c>
      <c r="E2120" s="7">
        <v>8.0397999999999996</v>
      </c>
      <c r="F2120" s="7">
        <v>8.3302999999999994</v>
      </c>
      <c r="G2120" s="7">
        <v>8.6068999999999996</v>
      </c>
      <c r="H2120" s="7">
        <v>8.8645999999999994</v>
      </c>
      <c r="I2120" s="7">
        <v>9.3863000000000003</v>
      </c>
      <c r="J2120" s="7">
        <v>9.6485000000000003</v>
      </c>
      <c r="K2120" s="7">
        <v>9.8229000000000006</v>
      </c>
      <c r="L2120" s="7">
        <v>9.9133999999999993</v>
      </c>
      <c r="M2120" s="7">
        <v>10.003399999999999</v>
      </c>
      <c r="N2120" s="7">
        <v>10.133599999999999</v>
      </c>
      <c r="O2120" s="7">
        <v>10.198499999999999</v>
      </c>
      <c r="P2120" s="7">
        <v>10.2211</v>
      </c>
      <c r="Q2120" s="7">
        <v>10.266299999999999</v>
      </c>
    </row>
    <row r="2121" spans="1:17">
      <c r="A2121" s="5">
        <v>44554</v>
      </c>
      <c r="B2121" s="5" t="str">
        <f t="shared" si="33"/>
        <v>2021 q4</v>
      </c>
      <c r="C2121" s="7">
        <v>7.6765999999999996</v>
      </c>
      <c r="D2121" s="7">
        <v>7.7968000000000002</v>
      </c>
      <c r="E2121" s="7">
        <v>8.0448000000000004</v>
      </c>
      <c r="F2121" s="7">
        <v>8.3299000000000003</v>
      </c>
      <c r="G2121" s="7">
        <v>8.6029999999999998</v>
      </c>
      <c r="H2121" s="7">
        <v>8.8569999999999993</v>
      </c>
      <c r="I2121" s="7">
        <v>9.3856000000000002</v>
      </c>
      <c r="J2121" s="7">
        <v>9.6553000000000004</v>
      </c>
      <c r="K2121" s="7">
        <v>9.8374000000000006</v>
      </c>
      <c r="L2121" s="7">
        <v>9.9319000000000006</v>
      </c>
      <c r="M2121" s="7">
        <v>10.026899999999999</v>
      </c>
      <c r="N2121" s="7">
        <v>10.164400000000001</v>
      </c>
      <c r="O2121" s="7">
        <v>10.2331</v>
      </c>
      <c r="P2121" s="7">
        <v>10.260400000000001</v>
      </c>
      <c r="Q2121" s="7">
        <v>10.302300000000001</v>
      </c>
    </row>
    <row r="2122" spans="1:17">
      <c r="A2122" s="5">
        <v>44557</v>
      </c>
      <c r="B2122" s="5" t="str">
        <f t="shared" si="33"/>
        <v>2021 q4</v>
      </c>
      <c r="C2122" s="7">
        <v>7.6612999999999998</v>
      </c>
      <c r="D2122" s="7">
        <v>7.7872000000000003</v>
      </c>
      <c r="E2122" s="7">
        <v>8.0471000000000004</v>
      </c>
      <c r="F2122" s="7">
        <v>8.3393999999999995</v>
      </c>
      <c r="G2122" s="7">
        <v>8.6196999999999999</v>
      </c>
      <c r="H2122" s="7">
        <v>8.8780999999999999</v>
      </c>
      <c r="I2122" s="7">
        <v>9.3965999999999994</v>
      </c>
      <c r="J2122" s="7">
        <v>9.6538000000000004</v>
      </c>
      <c r="K2122" s="7">
        <v>9.8246000000000002</v>
      </c>
      <c r="L2122" s="7">
        <v>9.9123000000000001</v>
      </c>
      <c r="M2122" s="7">
        <v>9.9997000000000007</v>
      </c>
      <c r="N2122" s="7">
        <v>10.126200000000001</v>
      </c>
      <c r="O2122" s="7">
        <v>10.1891</v>
      </c>
      <c r="P2122" s="7">
        <v>10.211</v>
      </c>
      <c r="Q2122" s="7">
        <v>10.254799999999999</v>
      </c>
    </row>
    <row r="2123" spans="1:17">
      <c r="A2123" s="5">
        <v>44558</v>
      </c>
      <c r="B2123" s="5" t="str">
        <f t="shared" si="33"/>
        <v>2021 q4</v>
      </c>
      <c r="C2123" s="7">
        <v>7.9204999999999997</v>
      </c>
      <c r="D2123" s="7">
        <v>8.0229999999999997</v>
      </c>
      <c r="E2123" s="7">
        <v>8.2347000000000001</v>
      </c>
      <c r="F2123" s="7">
        <v>8.5388000000000002</v>
      </c>
      <c r="G2123" s="7">
        <v>8.7675999999999998</v>
      </c>
      <c r="H2123" s="7">
        <v>8.9795999999999996</v>
      </c>
      <c r="I2123" s="7">
        <v>9.4497999999999998</v>
      </c>
      <c r="J2123" s="7">
        <v>9.6849000000000007</v>
      </c>
      <c r="K2123" s="7">
        <v>9.8435000000000006</v>
      </c>
      <c r="L2123" s="7">
        <v>9.9240999999999993</v>
      </c>
      <c r="M2123" s="7">
        <v>10.005800000000001</v>
      </c>
      <c r="N2123" s="7">
        <v>10.1236</v>
      </c>
      <c r="O2123" s="7">
        <v>10.1823</v>
      </c>
      <c r="P2123" s="7">
        <v>10.2028</v>
      </c>
      <c r="Q2123" s="7">
        <v>10.2437</v>
      </c>
    </row>
    <row r="2124" spans="1:17">
      <c r="A2124" s="5">
        <v>44559</v>
      </c>
      <c r="B2124" s="5" t="str">
        <f t="shared" si="33"/>
        <v>2021 q4</v>
      </c>
      <c r="C2124" s="7">
        <v>7.9398999999999997</v>
      </c>
      <c r="D2124" s="7">
        <v>8.0391999999999992</v>
      </c>
      <c r="E2124" s="7">
        <v>8.2439999999999998</v>
      </c>
      <c r="F2124" s="7">
        <v>8.5380000000000003</v>
      </c>
      <c r="G2124" s="7">
        <v>8.7642000000000007</v>
      </c>
      <c r="H2124" s="7">
        <v>8.9739000000000004</v>
      </c>
      <c r="I2124" s="7">
        <v>9.4553999999999991</v>
      </c>
      <c r="J2124" s="7">
        <v>9.7025000000000006</v>
      </c>
      <c r="K2124" s="7">
        <v>9.8727999999999998</v>
      </c>
      <c r="L2124" s="7">
        <v>9.9596</v>
      </c>
      <c r="M2124" s="7">
        <v>10.048999999999999</v>
      </c>
      <c r="N2124" s="7">
        <v>10.177899999999999</v>
      </c>
      <c r="O2124" s="7">
        <v>10.2424</v>
      </c>
      <c r="P2124" s="7">
        <v>10.268000000000001</v>
      </c>
      <c r="Q2124" s="7">
        <v>10.307399999999999</v>
      </c>
    </row>
    <row r="2125" spans="1:17">
      <c r="A2125" s="5">
        <v>44560</v>
      </c>
      <c r="B2125" s="5" t="str">
        <f t="shared" si="33"/>
        <v>2021 q4</v>
      </c>
      <c r="C2125" s="7">
        <v>7.9192</v>
      </c>
      <c r="D2125" s="7">
        <v>8.0237999999999996</v>
      </c>
      <c r="E2125" s="7">
        <v>8.2395999999999994</v>
      </c>
      <c r="F2125" s="7">
        <v>8.5469000000000008</v>
      </c>
      <c r="G2125" s="7">
        <v>8.7766999999999999</v>
      </c>
      <c r="H2125" s="7">
        <v>8.9872999999999994</v>
      </c>
      <c r="I2125" s="7">
        <v>9.4458000000000002</v>
      </c>
      <c r="J2125" s="7">
        <v>9.6702999999999992</v>
      </c>
      <c r="K2125" s="7">
        <v>9.8206000000000007</v>
      </c>
      <c r="L2125" s="7">
        <v>9.9025999999999996</v>
      </c>
      <c r="M2125" s="7">
        <v>9.9984999999999999</v>
      </c>
      <c r="N2125" s="7">
        <v>10.082599999999999</v>
      </c>
      <c r="O2125" s="7">
        <v>10.1374</v>
      </c>
      <c r="P2125" s="7">
        <v>10.156499999999999</v>
      </c>
      <c r="Q2125" s="7">
        <v>10.194699999999999</v>
      </c>
    </row>
    <row r="2126" spans="1:17">
      <c r="A2126" s="5">
        <v>44564</v>
      </c>
      <c r="B2126" s="5" t="str">
        <f t="shared" si="33"/>
        <v>2022 q1</v>
      </c>
      <c r="C2126" s="7">
        <v>7.9372999999999996</v>
      </c>
      <c r="D2126" s="7">
        <v>8.0386000000000006</v>
      </c>
      <c r="E2126" s="7">
        <v>8.2477</v>
      </c>
      <c r="F2126" s="7">
        <v>8.5455000000000005</v>
      </c>
      <c r="G2126" s="7">
        <v>8.7733000000000008</v>
      </c>
      <c r="H2126" s="7">
        <v>8.9824000000000002</v>
      </c>
      <c r="I2126" s="7">
        <v>9.4544999999999995</v>
      </c>
      <c r="J2126" s="7">
        <v>9.6919000000000004</v>
      </c>
      <c r="K2126" s="7">
        <v>9.8544</v>
      </c>
      <c r="L2126" s="7">
        <v>9.9360999999999997</v>
      </c>
      <c r="M2126" s="7">
        <v>10.020200000000001</v>
      </c>
      <c r="N2126" s="7">
        <v>10.141299999999999</v>
      </c>
      <c r="O2126" s="7">
        <v>10.201700000000001</v>
      </c>
      <c r="P2126" s="7">
        <v>10.2227</v>
      </c>
      <c r="Q2126" s="7">
        <v>10.264799999999999</v>
      </c>
    </row>
    <row r="2127" spans="1:17">
      <c r="A2127" s="5">
        <v>44565</v>
      </c>
      <c r="B2127" s="5" t="str">
        <f t="shared" si="33"/>
        <v>2022 q1</v>
      </c>
      <c r="C2127" s="7">
        <v>7.9481000000000002</v>
      </c>
      <c r="D2127" s="7">
        <v>8.0502000000000002</v>
      </c>
      <c r="E2127" s="7">
        <v>8.2609999999999992</v>
      </c>
      <c r="F2127" s="7">
        <v>8.5572999999999997</v>
      </c>
      <c r="G2127" s="7">
        <v>8.7866</v>
      </c>
      <c r="H2127" s="7">
        <v>8.9939999999999998</v>
      </c>
      <c r="I2127" s="7">
        <v>9.4650999999999996</v>
      </c>
      <c r="J2127" s="7">
        <v>9.7002000000000006</v>
      </c>
      <c r="K2127" s="7">
        <v>9.8626000000000005</v>
      </c>
      <c r="L2127" s="7">
        <v>9.9428000000000001</v>
      </c>
      <c r="M2127" s="7">
        <v>10.0266</v>
      </c>
      <c r="N2127" s="7">
        <v>10.1469</v>
      </c>
      <c r="O2127" s="7">
        <v>10.2067</v>
      </c>
      <c r="P2127" s="7">
        <v>10.227600000000001</v>
      </c>
      <c r="Q2127" s="7">
        <v>10.269399999999999</v>
      </c>
    </row>
    <row r="2128" spans="1:17">
      <c r="A2128" s="5">
        <v>44566</v>
      </c>
      <c r="B2128" s="5" t="str">
        <f t="shared" si="33"/>
        <v>2022 q1</v>
      </c>
      <c r="C2128" s="7">
        <v>7.9523000000000001</v>
      </c>
      <c r="D2128" s="7">
        <v>8.0542999999999996</v>
      </c>
      <c r="E2128" s="7">
        <v>8.2649000000000008</v>
      </c>
      <c r="F2128" s="7">
        <v>8.5599000000000007</v>
      </c>
      <c r="G2128" s="7">
        <v>8.7889999999999997</v>
      </c>
      <c r="H2128" s="7">
        <v>8.9954999999999998</v>
      </c>
      <c r="I2128" s="7">
        <v>9.4657</v>
      </c>
      <c r="J2128" s="7">
        <v>9.7002000000000006</v>
      </c>
      <c r="K2128" s="7">
        <v>9.8625000000000007</v>
      </c>
      <c r="L2128" s="7">
        <v>9.9423999999999992</v>
      </c>
      <c r="M2128" s="7">
        <v>10.0261</v>
      </c>
      <c r="N2128" s="7">
        <v>10.1463</v>
      </c>
      <c r="O2128" s="7">
        <v>10.206099999999999</v>
      </c>
      <c r="P2128" s="7">
        <v>10.227</v>
      </c>
      <c r="Q2128" s="7">
        <v>10.268700000000001</v>
      </c>
    </row>
    <row r="2129" spans="1:17">
      <c r="A2129" s="5">
        <v>44568</v>
      </c>
      <c r="B2129" s="5" t="str">
        <f t="shared" si="33"/>
        <v>2022 q1</v>
      </c>
      <c r="C2129" s="7">
        <v>7.8235999999999999</v>
      </c>
      <c r="D2129" s="7">
        <v>7.9592999999999998</v>
      </c>
      <c r="E2129" s="7">
        <v>8.2393999999999998</v>
      </c>
      <c r="F2129" s="7">
        <v>8.6163000000000007</v>
      </c>
      <c r="G2129" s="7">
        <v>8.8648000000000007</v>
      </c>
      <c r="H2129" s="7">
        <v>9.077</v>
      </c>
      <c r="I2129" s="7">
        <v>9.4472000000000005</v>
      </c>
      <c r="J2129" s="7">
        <v>9.5996000000000006</v>
      </c>
      <c r="K2129" s="7">
        <v>9.6936999999999998</v>
      </c>
      <c r="L2129" s="7">
        <v>9.7385000000000002</v>
      </c>
      <c r="M2129" s="7">
        <v>9.7833000000000006</v>
      </c>
      <c r="N2129" s="7">
        <v>9.8474000000000004</v>
      </c>
      <c r="O2129" s="7">
        <v>9.8795999999999999</v>
      </c>
      <c r="P2129" s="7">
        <v>9.8915000000000006</v>
      </c>
      <c r="Q2129" s="7">
        <v>9.9123000000000001</v>
      </c>
    </row>
    <row r="2130" spans="1:17">
      <c r="A2130" s="5">
        <v>44571</v>
      </c>
      <c r="B2130" s="5" t="str">
        <f t="shared" si="33"/>
        <v>2022 q1</v>
      </c>
      <c r="C2130" s="7">
        <v>7.9541000000000004</v>
      </c>
      <c r="D2130" s="7">
        <v>8.0581999999999994</v>
      </c>
      <c r="E2130" s="7">
        <v>8.2731999999999992</v>
      </c>
      <c r="F2130" s="7">
        <v>8.5709</v>
      </c>
      <c r="G2130" s="7">
        <v>8.8032000000000004</v>
      </c>
      <c r="H2130" s="7">
        <v>9.0099</v>
      </c>
      <c r="I2130" s="7">
        <v>9.4788999999999994</v>
      </c>
      <c r="J2130" s="7">
        <v>9.7098999999999993</v>
      </c>
      <c r="K2130" s="7">
        <v>9.8702000000000005</v>
      </c>
      <c r="L2130" s="7">
        <v>9.9479000000000006</v>
      </c>
      <c r="M2130" s="7">
        <v>10.0299</v>
      </c>
      <c r="N2130" s="7">
        <v>10.147500000000001</v>
      </c>
      <c r="O2130" s="7">
        <v>10.2059</v>
      </c>
      <c r="P2130" s="7">
        <v>10.2263</v>
      </c>
      <c r="Q2130" s="7">
        <v>10.267099999999999</v>
      </c>
    </row>
    <row r="2131" spans="1:17">
      <c r="A2131" s="5">
        <v>44572</v>
      </c>
      <c r="B2131" s="5" t="str">
        <f t="shared" si="33"/>
        <v>2022 q1</v>
      </c>
      <c r="C2131" s="7">
        <v>7.9824999999999999</v>
      </c>
      <c r="D2131" s="7">
        <v>8.0824999999999996</v>
      </c>
      <c r="E2131" s="7">
        <v>8.2888999999999999</v>
      </c>
      <c r="F2131" s="7">
        <v>8.5733999999999995</v>
      </c>
      <c r="G2131" s="7">
        <v>8.8010000000000002</v>
      </c>
      <c r="H2131" s="7">
        <v>9.0025999999999993</v>
      </c>
      <c r="I2131" s="7">
        <v>9.4764999999999997</v>
      </c>
      <c r="J2131" s="7">
        <v>9.7149999999999999</v>
      </c>
      <c r="K2131" s="7">
        <v>9.8846000000000007</v>
      </c>
      <c r="L2131" s="7">
        <v>9.9663000000000004</v>
      </c>
      <c r="M2131" s="7">
        <v>10.054600000000001</v>
      </c>
      <c r="N2131" s="7">
        <v>10.1808</v>
      </c>
      <c r="O2131" s="7">
        <v>10.2437</v>
      </c>
      <c r="P2131" s="7">
        <v>10.265700000000001</v>
      </c>
      <c r="Q2131" s="7">
        <v>10.309699999999999</v>
      </c>
    </row>
    <row r="2132" spans="1:17">
      <c r="A2132" s="5">
        <v>44573</v>
      </c>
      <c r="B2132" s="5" t="str">
        <f t="shared" si="33"/>
        <v>2022 q1</v>
      </c>
      <c r="C2132" s="7">
        <v>8.0330999999999992</v>
      </c>
      <c r="D2132" s="7">
        <v>8.1226000000000003</v>
      </c>
      <c r="E2132" s="7">
        <v>8.3071999999999999</v>
      </c>
      <c r="F2132" s="7">
        <v>8.5648999999999997</v>
      </c>
      <c r="G2132" s="7">
        <v>8.7810000000000006</v>
      </c>
      <c r="H2132" s="7">
        <v>8.9758999999999993</v>
      </c>
      <c r="I2132" s="7">
        <v>9.4787999999999997</v>
      </c>
      <c r="J2132" s="7">
        <v>9.7553000000000001</v>
      </c>
      <c r="K2132" s="7">
        <v>9.9633000000000003</v>
      </c>
      <c r="L2132" s="7">
        <v>10.0665</v>
      </c>
      <c r="M2132" s="7">
        <v>10.184200000000001</v>
      </c>
      <c r="N2132" s="7">
        <v>10.352399999999999</v>
      </c>
      <c r="O2132" s="7">
        <v>10.4374</v>
      </c>
      <c r="P2132" s="7">
        <v>10.4672</v>
      </c>
      <c r="Q2132" s="7">
        <v>10.5266</v>
      </c>
    </row>
    <row r="2133" spans="1:17">
      <c r="A2133" s="5">
        <v>44574</v>
      </c>
      <c r="B2133" s="5" t="str">
        <f t="shared" si="33"/>
        <v>2022 q1</v>
      </c>
      <c r="C2133" s="7">
        <v>8.0190999999999999</v>
      </c>
      <c r="D2133" s="7">
        <v>8.1122999999999994</v>
      </c>
      <c r="E2133" s="7">
        <v>8.3045000000000009</v>
      </c>
      <c r="F2133" s="7">
        <v>8.5717999999999996</v>
      </c>
      <c r="G2133" s="7">
        <v>8.7957999999999998</v>
      </c>
      <c r="H2133" s="7">
        <v>8.9969000000000001</v>
      </c>
      <c r="I2133" s="7">
        <v>9.5128000000000004</v>
      </c>
      <c r="J2133" s="7">
        <v>9.7941000000000003</v>
      </c>
      <c r="K2133" s="7">
        <v>10.0052</v>
      </c>
      <c r="L2133" s="7">
        <v>10.1091</v>
      </c>
      <c r="M2133" s="7">
        <v>10.227600000000001</v>
      </c>
      <c r="N2133" s="7">
        <v>10.396699999999999</v>
      </c>
      <c r="O2133" s="7">
        <v>10.482100000000001</v>
      </c>
      <c r="P2133" s="7">
        <v>10.511900000000001</v>
      </c>
      <c r="Q2133" s="7">
        <v>10.5716</v>
      </c>
    </row>
    <row r="2134" spans="1:17">
      <c r="A2134" s="5">
        <v>44575</v>
      </c>
      <c r="B2134" s="5" t="str">
        <f t="shared" si="33"/>
        <v>2022 q1</v>
      </c>
      <c r="C2134" s="7">
        <v>8.0527999999999995</v>
      </c>
      <c r="D2134" s="7">
        <v>8.1381999999999994</v>
      </c>
      <c r="E2134" s="7">
        <v>8.3146000000000004</v>
      </c>
      <c r="F2134" s="7">
        <v>8.5603999999999996</v>
      </c>
      <c r="G2134" s="7">
        <v>8.7697000000000003</v>
      </c>
      <c r="H2134" s="7">
        <v>8.9582999999999995</v>
      </c>
      <c r="I2134" s="7">
        <v>9.4572000000000003</v>
      </c>
      <c r="J2134" s="7">
        <v>9.7371999999999996</v>
      </c>
      <c r="K2134" s="7">
        <v>9.9517000000000007</v>
      </c>
      <c r="L2134" s="7">
        <v>10.058299999999999</v>
      </c>
      <c r="M2134" s="7">
        <v>10.1828</v>
      </c>
      <c r="N2134" s="7">
        <v>10.3604</v>
      </c>
      <c r="O2134" s="7">
        <v>10.450799999999999</v>
      </c>
      <c r="P2134" s="7">
        <v>10.4824</v>
      </c>
      <c r="Q2134" s="7">
        <v>10.5456</v>
      </c>
    </row>
    <row r="2135" spans="1:17">
      <c r="A2135" s="5">
        <v>44578</v>
      </c>
      <c r="B2135" s="5" t="str">
        <f t="shared" si="33"/>
        <v>2022 q1</v>
      </c>
      <c r="C2135" s="7">
        <v>8.0473999999999997</v>
      </c>
      <c r="D2135" s="7">
        <v>8.1358999999999995</v>
      </c>
      <c r="E2135" s="7">
        <v>8.3185000000000002</v>
      </c>
      <c r="F2135" s="7">
        <v>8.5713000000000008</v>
      </c>
      <c r="G2135" s="7">
        <v>8.7850000000000001</v>
      </c>
      <c r="H2135" s="7">
        <v>8.9758999999999993</v>
      </c>
      <c r="I2135" s="7">
        <v>9.4711999999999996</v>
      </c>
      <c r="J2135" s="7">
        <v>9.7423999999999999</v>
      </c>
      <c r="K2135" s="7">
        <v>9.9478000000000009</v>
      </c>
      <c r="L2135" s="7">
        <v>10.048400000000001</v>
      </c>
      <c r="M2135" s="7">
        <v>10.1645</v>
      </c>
      <c r="N2135" s="7">
        <v>10.3301</v>
      </c>
      <c r="O2135" s="7">
        <v>10.4137</v>
      </c>
      <c r="P2135" s="7">
        <v>10.443</v>
      </c>
      <c r="Q2135" s="7">
        <v>10.5015</v>
      </c>
    </row>
    <row r="2136" spans="1:17">
      <c r="A2136" s="5">
        <v>44579</v>
      </c>
      <c r="B2136" s="5" t="str">
        <f t="shared" si="33"/>
        <v>2022 q1</v>
      </c>
      <c r="C2136" s="7">
        <v>8.0417000000000005</v>
      </c>
      <c r="D2136" s="7">
        <v>8.1334</v>
      </c>
      <c r="E2136" s="7">
        <v>8.3225999999999996</v>
      </c>
      <c r="F2136" s="7">
        <v>8.5785</v>
      </c>
      <c r="G2136" s="7">
        <v>8.7896000000000001</v>
      </c>
      <c r="H2136" s="7">
        <v>9.0000999999999998</v>
      </c>
      <c r="I2136" s="7">
        <v>9.4868000000000006</v>
      </c>
      <c r="J2136" s="7">
        <v>9.7510999999999992</v>
      </c>
      <c r="K2136" s="7">
        <v>9.9504000000000001</v>
      </c>
      <c r="L2136" s="7">
        <v>10.0459</v>
      </c>
      <c r="M2136" s="7">
        <v>10.1562</v>
      </c>
      <c r="N2136" s="7">
        <v>10.313000000000001</v>
      </c>
      <c r="O2136" s="7">
        <v>10.3919</v>
      </c>
      <c r="P2136" s="7">
        <v>10.419600000000001</v>
      </c>
      <c r="Q2136" s="7">
        <v>10.4748</v>
      </c>
    </row>
    <row r="2137" spans="1:17">
      <c r="A2137" s="5">
        <v>44580</v>
      </c>
      <c r="B2137" s="5" t="str">
        <f t="shared" si="33"/>
        <v>2022 q1</v>
      </c>
      <c r="C2137" s="7">
        <v>8.0063999999999993</v>
      </c>
      <c r="D2137" s="7">
        <v>8.1075999999999997</v>
      </c>
      <c r="E2137" s="7">
        <v>8.3165999999999993</v>
      </c>
      <c r="F2137" s="7">
        <v>8.5928000000000004</v>
      </c>
      <c r="G2137" s="7">
        <v>8.8118999999999996</v>
      </c>
      <c r="H2137" s="7">
        <v>9.0296000000000003</v>
      </c>
      <c r="I2137" s="7">
        <v>9.4861000000000004</v>
      </c>
      <c r="J2137" s="7">
        <v>9.7150999999999996</v>
      </c>
      <c r="K2137" s="7">
        <v>9.8803999999999998</v>
      </c>
      <c r="L2137" s="7">
        <v>9.9570000000000007</v>
      </c>
      <c r="M2137" s="7">
        <v>10.0421</v>
      </c>
      <c r="N2137" s="7">
        <v>10.1631</v>
      </c>
      <c r="O2137" s="7">
        <v>10.2233</v>
      </c>
      <c r="P2137" s="7">
        <v>10.244400000000001</v>
      </c>
      <c r="Q2137" s="7">
        <v>10.2865</v>
      </c>
    </row>
    <row r="2138" spans="1:17">
      <c r="A2138" s="5">
        <v>44581</v>
      </c>
      <c r="B2138" s="5" t="str">
        <f t="shared" si="33"/>
        <v>2022 q1</v>
      </c>
      <c r="C2138" s="7">
        <v>7.9873000000000003</v>
      </c>
      <c r="D2138" s="7">
        <v>8.0945</v>
      </c>
      <c r="E2138" s="7">
        <v>8.3156999999999996</v>
      </c>
      <c r="F2138" s="7">
        <v>8.6036000000000001</v>
      </c>
      <c r="G2138" s="7">
        <v>8.8271999999999995</v>
      </c>
      <c r="H2138" s="7">
        <v>9.0485000000000007</v>
      </c>
      <c r="I2138" s="7">
        <v>9.4878</v>
      </c>
      <c r="J2138" s="7">
        <v>9.6994000000000007</v>
      </c>
      <c r="K2138" s="7">
        <v>9.8488000000000007</v>
      </c>
      <c r="L2138" s="7">
        <v>9.9238999999999997</v>
      </c>
      <c r="M2138" s="7">
        <v>10.017899999999999</v>
      </c>
      <c r="N2138" s="7">
        <v>10.098000000000001</v>
      </c>
      <c r="O2138" s="7">
        <v>10.151300000000001</v>
      </c>
      <c r="P2138" s="7">
        <v>10.1732</v>
      </c>
      <c r="Q2138" s="7">
        <v>10.2041</v>
      </c>
    </row>
    <row r="2139" spans="1:17">
      <c r="A2139" s="5">
        <v>44582</v>
      </c>
      <c r="B2139" s="5" t="str">
        <f t="shared" si="33"/>
        <v>2022 q1</v>
      </c>
      <c r="C2139" s="7">
        <v>8.0123999999999995</v>
      </c>
      <c r="D2139" s="7">
        <v>8.1142000000000003</v>
      </c>
      <c r="E2139" s="7">
        <v>8.3244000000000007</v>
      </c>
      <c r="F2139" s="7">
        <v>8.5985999999999994</v>
      </c>
      <c r="G2139" s="7">
        <v>8.8150999999999993</v>
      </c>
      <c r="H2139" s="7">
        <v>9.0288000000000004</v>
      </c>
      <c r="I2139" s="7">
        <v>9.4664000000000001</v>
      </c>
      <c r="J2139" s="7">
        <v>9.6812000000000005</v>
      </c>
      <c r="K2139" s="7">
        <v>9.8351000000000006</v>
      </c>
      <c r="L2139" s="7">
        <v>9.9053000000000004</v>
      </c>
      <c r="M2139" s="7">
        <v>9.9833999999999996</v>
      </c>
      <c r="N2139" s="7">
        <v>10.094200000000001</v>
      </c>
      <c r="O2139" s="7">
        <v>10.1492</v>
      </c>
      <c r="P2139" s="7">
        <v>10.1684</v>
      </c>
      <c r="Q2139" s="7">
        <v>10.207000000000001</v>
      </c>
    </row>
    <row r="2140" spans="1:17">
      <c r="A2140" s="5">
        <v>44585</v>
      </c>
      <c r="B2140" s="5" t="str">
        <f t="shared" si="33"/>
        <v>2022 q1</v>
      </c>
      <c r="C2140" s="7">
        <v>8.0399999999999991</v>
      </c>
      <c r="D2140" s="7">
        <v>8.1349</v>
      </c>
      <c r="E2140" s="7">
        <v>8.3309999999999995</v>
      </c>
      <c r="F2140" s="7">
        <v>8.5878999999999994</v>
      </c>
      <c r="G2140" s="7">
        <v>8.7952999999999992</v>
      </c>
      <c r="H2140" s="7">
        <v>8.9993999999999996</v>
      </c>
      <c r="I2140" s="7">
        <v>9.4530999999999992</v>
      </c>
      <c r="J2140" s="7">
        <v>9.6562000000000001</v>
      </c>
      <c r="K2140" s="7">
        <v>9.8173999999999992</v>
      </c>
      <c r="L2140" s="7">
        <v>9.8912999999999993</v>
      </c>
      <c r="M2140" s="7">
        <v>9.9748999999999999</v>
      </c>
      <c r="N2140" s="7">
        <v>10.0936</v>
      </c>
      <c r="O2140" s="7">
        <v>10.1526</v>
      </c>
      <c r="P2140" s="7">
        <v>10.173299999999999</v>
      </c>
      <c r="Q2140" s="7">
        <v>10.214600000000001</v>
      </c>
    </row>
    <row r="2141" spans="1:17">
      <c r="A2141" s="5">
        <v>44586</v>
      </c>
      <c r="B2141" s="5" t="str">
        <f t="shared" si="33"/>
        <v>2022 q1</v>
      </c>
      <c r="C2141" s="7">
        <v>8.0538000000000007</v>
      </c>
      <c r="D2141" s="7">
        <v>8.1542999999999992</v>
      </c>
      <c r="E2141" s="7">
        <v>8.3615999999999993</v>
      </c>
      <c r="F2141" s="7">
        <v>8.6396999999999995</v>
      </c>
      <c r="G2141" s="7">
        <v>8.8617000000000008</v>
      </c>
      <c r="H2141" s="7">
        <v>9.0287000000000006</v>
      </c>
      <c r="I2141" s="7">
        <v>9.4779</v>
      </c>
      <c r="J2141" s="7">
        <v>9.6867999999999999</v>
      </c>
      <c r="K2141" s="7">
        <v>9.8382000000000005</v>
      </c>
      <c r="L2141" s="7">
        <v>9.9060000000000006</v>
      </c>
      <c r="M2141" s="7">
        <v>9.9825999999999997</v>
      </c>
      <c r="N2141" s="7">
        <v>10.090999999999999</v>
      </c>
      <c r="O2141" s="7">
        <v>10.1448</v>
      </c>
      <c r="P2141" s="7">
        <v>10.1637</v>
      </c>
      <c r="Q2141" s="7">
        <v>10.2014</v>
      </c>
    </row>
    <row r="2142" spans="1:17">
      <c r="A2142" s="5">
        <v>44587</v>
      </c>
      <c r="B2142" s="5" t="str">
        <f t="shared" si="33"/>
        <v>2022 q1</v>
      </c>
      <c r="C2142" s="7">
        <v>8.0593000000000004</v>
      </c>
      <c r="D2142" s="7">
        <v>8.1593</v>
      </c>
      <c r="E2142" s="7">
        <v>8.3657000000000004</v>
      </c>
      <c r="F2142" s="7">
        <v>8.6419999999999995</v>
      </c>
      <c r="G2142" s="7">
        <v>8.8627000000000002</v>
      </c>
      <c r="H2142" s="7">
        <v>9.0295000000000005</v>
      </c>
      <c r="I2142" s="7">
        <v>9.4785000000000004</v>
      </c>
      <c r="J2142" s="7">
        <v>9.6876999999999995</v>
      </c>
      <c r="K2142" s="7">
        <v>9.8399000000000001</v>
      </c>
      <c r="L2142" s="7">
        <v>9.9078999999999997</v>
      </c>
      <c r="M2142" s="7">
        <v>9.9849999999999994</v>
      </c>
      <c r="N2142" s="7">
        <v>10.094099999999999</v>
      </c>
      <c r="O2142" s="7">
        <v>10.148199999999999</v>
      </c>
      <c r="P2142" s="7">
        <v>10.167199999999999</v>
      </c>
      <c r="Q2142" s="7">
        <v>10.2052</v>
      </c>
    </row>
    <row r="2143" spans="1:17">
      <c r="A2143" s="5">
        <v>44588</v>
      </c>
      <c r="B2143" s="5" t="str">
        <f t="shared" si="33"/>
        <v>2022 q1</v>
      </c>
      <c r="C2143" s="7">
        <v>8.0728000000000009</v>
      </c>
      <c r="D2143" s="7">
        <v>8.1704000000000008</v>
      </c>
      <c r="E2143" s="7">
        <v>8.3719999999999999</v>
      </c>
      <c r="F2143" s="7">
        <v>8.6415000000000006</v>
      </c>
      <c r="G2143" s="7">
        <v>8.8574999999999999</v>
      </c>
      <c r="H2143" s="7">
        <v>9.0221999999999998</v>
      </c>
      <c r="I2143" s="7">
        <v>9.4671000000000003</v>
      </c>
      <c r="J2143" s="7">
        <v>9.6759000000000004</v>
      </c>
      <c r="K2143" s="7">
        <v>9.8290000000000006</v>
      </c>
      <c r="L2143" s="7">
        <v>9.8971</v>
      </c>
      <c r="M2143" s="7">
        <v>9.9749999999999996</v>
      </c>
      <c r="N2143" s="7">
        <v>10.0852</v>
      </c>
      <c r="O2143" s="7">
        <v>10.139900000000001</v>
      </c>
      <c r="P2143" s="7">
        <v>10.1591</v>
      </c>
      <c r="Q2143" s="7">
        <v>10.1974</v>
      </c>
    </row>
    <row r="2144" spans="1:17">
      <c r="A2144" s="5">
        <v>44592</v>
      </c>
      <c r="B2144" s="5" t="str">
        <f t="shared" si="33"/>
        <v>2022 q1</v>
      </c>
      <c r="C2144" s="7">
        <v>8.0791000000000004</v>
      </c>
      <c r="D2144" s="7">
        <v>8.1760999999999999</v>
      </c>
      <c r="E2144" s="7">
        <v>8.3763000000000005</v>
      </c>
      <c r="F2144" s="7">
        <v>8.6434999999999995</v>
      </c>
      <c r="G2144" s="7">
        <v>8.8579000000000008</v>
      </c>
      <c r="H2144" s="7">
        <v>9.0222999999999995</v>
      </c>
      <c r="I2144" s="7">
        <v>9.4666999999999994</v>
      </c>
      <c r="J2144" s="7">
        <v>9.6758000000000006</v>
      </c>
      <c r="K2144" s="7">
        <v>9.8298000000000005</v>
      </c>
      <c r="L2144" s="7">
        <v>9.8980999999999995</v>
      </c>
      <c r="M2144" s="7">
        <v>9.9766999999999992</v>
      </c>
      <c r="N2144" s="7">
        <v>10.0878</v>
      </c>
      <c r="O2144" s="7">
        <v>10.143000000000001</v>
      </c>
      <c r="P2144" s="7">
        <v>10.165100000000001</v>
      </c>
      <c r="Q2144" s="7">
        <v>10.1989</v>
      </c>
    </row>
    <row r="2145" spans="1:17">
      <c r="A2145" s="5">
        <v>44593</v>
      </c>
      <c r="B2145" s="5" t="str">
        <f t="shared" si="33"/>
        <v>2022 q1</v>
      </c>
      <c r="C2145" s="7">
        <v>8.3864000000000001</v>
      </c>
      <c r="D2145" s="7">
        <v>8.4443999999999999</v>
      </c>
      <c r="E2145" s="7">
        <v>8.5641999999999996</v>
      </c>
      <c r="F2145" s="7">
        <v>8.7333999999999996</v>
      </c>
      <c r="G2145" s="7">
        <v>8.8827999999999996</v>
      </c>
      <c r="H2145" s="7">
        <v>9.0091999999999999</v>
      </c>
      <c r="I2145" s="7">
        <v>9.3887</v>
      </c>
      <c r="J2145" s="7">
        <v>9.6026000000000007</v>
      </c>
      <c r="K2145" s="7">
        <v>9.7766000000000002</v>
      </c>
      <c r="L2145" s="7">
        <v>9.8585999999999991</v>
      </c>
      <c r="M2145" s="7">
        <v>9.9641999999999999</v>
      </c>
      <c r="N2145" s="7">
        <v>10.113</v>
      </c>
      <c r="O2145" s="7">
        <v>10.1897</v>
      </c>
      <c r="P2145" s="7">
        <v>10.2166</v>
      </c>
      <c r="Q2145" s="7">
        <v>10.2705</v>
      </c>
    </row>
    <row r="2146" spans="1:17">
      <c r="A2146" s="5">
        <v>44594</v>
      </c>
      <c r="B2146" s="5" t="str">
        <f t="shared" si="33"/>
        <v>2022 q1</v>
      </c>
      <c r="C2146" s="7">
        <v>8.3811999999999998</v>
      </c>
      <c r="D2146" s="7">
        <v>8.4405000000000001</v>
      </c>
      <c r="E2146" s="7">
        <v>8.5629000000000008</v>
      </c>
      <c r="F2146" s="7">
        <v>8.7352000000000007</v>
      </c>
      <c r="G2146" s="7">
        <v>8.8867999999999991</v>
      </c>
      <c r="H2146" s="7">
        <v>9.0147999999999993</v>
      </c>
      <c r="I2146" s="7">
        <v>9.3966999999999992</v>
      </c>
      <c r="J2146" s="7">
        <v>9.6095000000000006</v>
      </c>
      <c r="K2146" s="7">
        <v>9.782</v>
      </c>
      <c r="L2146" s="7">
        <v>9.8626000000000005</v>
      </c>
      <c r="M2146" s="7">
        <v>9.9661000000000008</v>
      </c>
      <c r="N2146" s="7">
        <v>10.111800000000001</v>
      </c>
      <c r="O2146" s="7">
        <v>10.1868</v>
      </c>
      <c r="P2146" s="7">
        <v>10.216799999999999</v>
      </c>
      <c r="Q2146" s="7">
        <v>10.262700000000001</v>
      </c>
    </row>
    <row r="2147" spans="1:17">
      <c r="A2147" s="5">
        <v>44595</v>
      </c>
      <c r="B2147" s="5" t="str">
        <f t="shared" si="33"/>
        <v>2022 q1</v>
      </c>
      <c r="C2147" s="7">
        <v>8.4147999999999996</v>
      </c>
      <c r="D2147" s="7">
        <v>8.4672000000000001</v>
      </c>
      <c r="E2147" s="7">
        <v>8.5754999999999999</v>
      </c>
      <c r="F2147" s="7">
        <v>8.7289999999999992</v>
      </c>
      <c r="G2147" s="7">
        <v>8.8660999999999994</v>
      </c>
      <c r="H2147" s="7">
        <v>8.9849999999999994</v>
      </c>
      <c r="I2147" s="7">
        <v>9.3600999999999992</v>
      </c>
      <c r="J2147" s="7">
        <v>9.5680999999999994</v>
      </c>
      <c r="K2147" s="7">
        <v>9.7491000000000003</v>
      </c>
      <c r="L2147" s="7">
        <v>9.8367000000000004</v>
      </c>
      <c r="M2147" s="7">
        <v>9.9540000000000006</v>
      </c>
      <c r="N2147" s="7">
        <v>10.119199999999999</v>
      </c>
      <c r="O2147" s="7">
        <v>10.2065</v>
      </c>
      <c r="P2147" s="7">
        <v>10.2372</v>
      </c>
      <c r="Q2147" s="7">
        <v>10.298500000000001</v>
      </c>
    </row>
    <row r="2148" spans="1:17">
      <c r="A2148" s="5">
        <v>44596</v>
      </c>
      <c r="B2148" s="5" t="str">
        <f t="shared" si="33"/>
        <v>2022 q1</v>
      </c>
      <c r="C2148" s="7">
        <v>8.4235000000000007</v>
      </c>
      <c r="D2148" s="7">
        <v>8.4756</v>
      </c>
      <c r="E2148" s="7">
        <v>8.5831</v>
      </c>
      <c r="F2148" s="7">
        <v>8.7356999999999996</v>
      </c>
      <c r="G2148" s="7">
        <v>8.8719999999999999</v>
      </c>
      <c r="H2148" s="7">
        <v>8.9907000000000004</v>
      </c>
      <c r="I2148" s="7">
        <v>9.3576999999999995</v>
      </c>
      <c r="J2148" s="7">
        <v>9.5762999999999998</v>
      </c>
      <c r="K2148" s="7">
        <v>9.7597000000000005</v>
      </c>
      <c r="L2148" s="7">
        <v>9.8484999999999996</v>
      </c>
      <c r="M2148" s="7">
        <v>9.9685000000000006</v>
      </c>
      <c r="N2148" s="7">
        <v>10.137499999999999</v>
      </c>
      <c r="O2148" s="7">
        <v>10.2272</v>
      </c>
      <c r="P2148" s="7">
        <v>10.258699999999999</v>
      </c>
      <c r="Q2148" s="7">
        <v>10.3218</v>
      </c>
    </row>
    <row r="2149" spans="1:17">
      <c r="A2149" s="5">
        <v>44599</v>
      </c>
      <c r="B2149" s="5" t="str">
        <f t="shared" si="33"/>
        <v>2022 q1</v>
      </c>
      <c r="C2149" s="7">
        <v>8.4252000000000002</v>
      </c>
      <c r="D2149" s="7">
        <v>8.4774999999999991</v>
      </c>
      <c r="E2149" s="7">
        <v>8.5855999999999995</v>
      </c>
      <c r="F2149" s="7">
        <v>8.7384000000000004</v>
      </c>
      <c r="G2149" s="7">
        <v>8.8744999999999994</v>
      </c>
      <c r="H2149" s="7">
        <v>8.9928000000000008</v>
      </c>
      <c r="I2149" s="7">
        <v>9.3560999999999996</v>
      </c>
      <c r="J2149" s="7">
        <v>9.5699000000000005</v>
      </c>
      <c r="K2149" s="7">
        <v>9.7489000000000008</v>
      </c>
      <c r="L2149" s="7">
        <v>9.8346</v>
      </c>
      <c r="M2149" s="7">
        <v>9.9499999999999993</v>
      </c>
      <c r="N2149" s="7">
        <v>10.112299999999999</v>
      </c>
      <c r="O2149" s="7">
        <v>10.197900000000001</v>
      </c>
      <c r="P2149" s="7">
        <v>10.228</v>
      </c>
      <c r="Q2149" s="7">
        <v>10.2882</v>
      </c>
    </row>
    <row r="2150" spans="1:17">
      <c r="A2150" s="5">
        <v>44600</v>
      </c>
      <c r="B2150" s="5" t="str">
        <f t="shared" si="33"/>
        <v>2022 q1</v>
      </c>
      <c r="C2150" s="7">
        <v>8.4292999999999996</v>
      </c>
      <c r="D2150" s="7">
        <v>8.4819999999999993</v>
      </c>
      <c r="E2150" s="7">
        <v>8.5907</v>
      </c>
      <c r="F2150" s="7">
        <v>8.7439999999999998</v>
      </c>
      <c r="G2150" s="7">
        <v>8.8803000000000001</v>
      </c>
      <c r="H2150" s="7">
        <v>8.9997000000000007</v>
      </c>
      <c r="I2150" s="7">
        <v>9.3659999999999997</v>
      </c>
      <c r="J2150" s="7">
        <v>9.5820000000000007</v>
      </c>
      <c r="K2150" s="7">
        <v>9.7640999999999991</v>
      </c>
      <c r="L2150" s="7">
        <v>9.8505000000000003</v>
      </c>
      <c r="M2150" s="7">
        <v>9.9685000000000006</v>
      </c>
      <c r="N2150" s="7">
        <v>10.1342</v>
      </c>
      <c r="O2150" s="7">
        <v>10.2218</v>
      </c>
      <c r="P2150" s="7">
        <v>10.252599999999999</v>
      </c>
      <c r="Q2150" s="7">
        <v>10.3142</v>
      </c>
    </row>
    <row r="2151" spans="1:17">
      <c r="A2151" s="5">
        <v>44601</v>
      </c>
      <c r="B2151" s="5" t="str">
        <f t="shared" si="33"/>
        <v>2022 q1</v>
      </c>
      <c r="C2151" s="7">
        <v>8.4699000000000009</v>
      </c>
      <c r="D2151" s="7">
        <v>8.5159000000000002</v>
      </c>
      <c r="E2151" s="7">
        <v>8.6110000000000007</v>
      </c>
      <c r="F2151" s="7">
        <v>8.7462</v>
      </c>
      <c r="G2151" s="7">
        <v>8.8681999999999999</v>
      </c>
      <c r="H2151" s="7">
        <v>8.9776000000000007</v>
      </c>
      <c r="I2151" s="7">
        <v>9.3252000000000006</v>
      </c>
      <c r="J2151" s="7">
        <v>9.5437999999999992</v>
      </c>
      <c r="K2151" s="7">
        <v>9.7331000000000003</v>
      </c>
      <c r="L2151" s="7">
        <v>9.8272999999999993</v>
      </c>
      <c r="M2151" s="7">
        <v>9.9623000000000008</v>
      </c>
      <c r="N2151" s="7">
        <v>10.151999999999999</v>
      </c>
      <c r="O2151" s="7">
        <v>10.257199999999999</v>
      </c>
      <c r="P2151" s="7">
        <v>10.2996</v>
      </c>
      <c r="Q2151" s="7">
        <v>10.3642</v>
      </c>
    </row>
    <row r="2152" spans="1:17">
      <c r="A2152" s="5">
        <v>44602</v>
      </c>
      <c r="B2152" s="5" t="str">
        <f t="shared" si="33"/>
        <v>2022 q1</v>
      </c>
      <c r="C2152" s="7">
        <v>8.4129000000000005</v>
      </c>
      <c r="D2152" s="7">
        <v>8.4695</v>
      </c>
      <c r="E2152" s="7">
        <v>8.5863999999999994</v>
      </c>
      <c r="F2152" s="7">
        <v>8.7490000000000006</v>
      </c>
      <c r="G2152" s="7">
        <v>8.8899000000000008</v>
      </c>
      <c r="H2152" s="7">
        <v>9.0109999999999992</v>
      </c>
      <c r="I2152" s="7">
        <v>9.3657000000000004</v>
      </c>
      <c r="J2152" s="7">
        <v>9.5594000000000001</v>
      </c>
      <c r="K2152" s="7">
        <v>9.7182999999999993</v>
      </c>
      <c r="L2152" s="7">
        <v>9.7895000000000003</v>
      </c>
      <c r="M2152" s="7">
        <v>9.8832000000000004</v>
      </c>
      <c r="N2152" s="7">
        <v>10.0144</v>
      </c>
      <c r="O2152" s="7">
        <v>10.0815</v>
      </c>
      <c r="P2152" s="7">
        <v>10.1051</v>
      </c>
      <c r="Q2152" s="7">
        <v>10.152200000000001</v>
      </c>
    </row>
    <row r="2153" spans="1:17">
      <c r="A2153" s="5">
        <v>44603</v>
      </c>
      <c r="B2153" s="5" t="str">
        <f t="shared" si="33"/>
        <v>2022 q1</v>
      </c>
      <c r="C2153" s="7">
        <v>8.2321000000000009</v>
      </c>
      <c r="D2153" s="7">
        <v>8.3023000000000007</v>
      </c>
      <c r="E2153" s="7">
        <v>8.4474</v>
      </c>
      <c r="F2153" s="7">
        <v>8.6479999999999997</v>
      </c>
      <c r="G2153" s="7">
        <v>8.8203999999999994</v>
      </c>
      <c r="H2153" s="7">
        <v>8.9677000000000007</v>
      </c>
      <c r="I2153" s="7">
        <v>9.3922000000000008</v>
      </c>
      <c r="J2153" s="7">
        <v>9.6182999999999996</v>
      </c>
      <c r="K2153" s="7">
        <v>9.8024000000000004</v>
      </c>
      <c r="L2153" s="7">
        <v>9.8833000000000002</v>
      </c>
      <c r="M2153" s="7">
        <v>9.9888999999999992</v>
      </c>
      <c r="N2153" s="7">
        <v>10.136699999999999</v>
      </c>
      <c r="O2153" s="7">
        <v>10.2117</v>
      </c>
      <c r="P2153" s="7">
        <v>10.238</v>
      </c>
      <c r="Q2153" s="7">
        <v>10.290800000000001</v>
      </c>
    </row>
    <row r="2154" spans="1:17">
      <c r="A2154" s="5">
        <v>44606</v>
      </c>
      <c r="B2154" s="5" t="str">
        <f t="shared" si="33"/>
        <v>2022 q1</v>
      </c>
      <c r="C2154" s="7">
        <v>8.2484000000000002</v>
      </c>
      <c r="D2154" s="7">
        <v>8.3163</v>
      </c>
      <c r="E2154" s="7">
        <v>8.4564000000000004</v>
      </c>
      <c r="F2154" s="7">
        <v>8.6498000000000008</v>
      </c>
      <c r="G2154" s="7">
        <v>8.8157999999999994</v>
      </c>
      <c r="H2154" s="7">
        <v>8.9579000000000004</v>
      </c>
      <c r="I2154" s="7">
        <v>9.3671000000000006</v>
      </c>
      <c r="J2154" s="7">
        <v>9.5845000000000002</v>
      </c>
      <c r="K2154" s="7">
        <v>9.7620000000000005</v>
      </c>
      <c r="L2154" s="7">
        <v>9.8397000000000006</v>
      </c>
      <c r="M2154" s="7">
        <v>9.9413999999999998</v>
      </c>
      <c r="N2154" s="7">
        <v>10.083600000000001</v>
      </c>
      <c r="O2154" s="7">
        <v>10.155799999999999</v>
      </c>
      <c r="P2154" s="7">
        <v>10.1812</v>
      </c>
      <c r="Q2154" s="7">
        <v>10.2319</v>
      </c>
    </row>
    <row r="2155" spans="1:17">
      <c r="A2155" s="5">
        <v>44607</v>
      </c>
      <c r="B2155" s="5" t="str">
        <f t="shared" si="33"/>
        <v>2022 q1</v>
      </c>
      <c r="C2155" s="7">
        <v>8.2032000000000007</v>
      </c>
      <c r="D2155" s="7">
        <v>8.2710000000000008</v>
      </c>
      <c r="E2155" s="7">
        <v>8.4109999999999996</v>
      </c>
      <c r="F2155" s="7">
        <v>8.5922999999999998</v>
      </c>
      <c r="G2155" s="7">
        <v>8.7606999999999999</v>
      </c>
      <c r="H2155" s="7">
        <v>8.9288000000000007</v>
      </c>
      <c r="I2155" s="7">
        <v>9.3414999999999999</v>
      </c>
      <c r="J2155" s="7">
        <v>9.5730000000000004</v>
      </c>
      <c r="K2155" s="7">
        <v>9.7655999999999992</v>
      </c>
      <c r="L2155" s="7">
        <v>9.8500999999999994</v>
      </c>
      <c r="M2155" s="7">
        <v>9.9640000000000004</v>
      </c>
      <c r="N2155" s="7">
        <v>10.122999999999999</v>
      </c>
      <c r="O2155" s="7">
        <v>10.2044</v>
      </c>
      <c r="P2155" s="7">
        <v>10.233000000000001</v>
      </c>
      <c r="Q2155" s="7">
        <v>10.2903</v>
      </c>
    </row>
    <row r="2156" spans="1:17">
      <c r="A2156" s="5">
        <v>44608</v>
      </c>
      <c r="B2156" s="5" t="str">
        <f t="shared" si="33"/>
        <v>2022 q1</v>
      </c>
      <c r="C2156" s="7">
        <v>8.2019000000000002</v>
      </c>
      <c r="D2156" s="7">
        <v>8.2639999999999993</v>
      </c>
      <c r="E2156" s="7">
        <v>8.3922000000000008</v>
      </c>
      <c r="F2156" s="7">
        <v>8.5603999999999996</v>
      </c>
      <c r="G2156" s="7">
        <v>8.7185000000000006</v>
      </c>
      <c r="H2156" s="7">
        <v>8.8757999999999999</v>
      </c>
      <c r="I2156" s="7">
        <v>9.2829999999999995</v>
      </c>
      <c r="J2156" s="7">
        <v>9.5225000000000009</v>
      </c>
      <c r="K2156" s="7">
        <v>9.7261000000000006</v>
      </c>
      <c r="L2156" s="7">
        <v>9.8181999999999992</v>
      </c>
      <c r="M2156" s="7">
        <v>9.9466000000000001</v>
      </c>
      <c r="N2156" s="7">
        <v>10.1258</v>
      </c>
      <c r="O2156" s="7">
        <v>10.2195</v>
      </c>
      <c r="P2156" s="7">
        <v>10.2525</v>
      </c>
      <c r="Q2156" s="7">
        <v>10.3186</v>
      </c>
    </row>
    <row r="2157" spans="1:17">
      <c r="A2157" s="5">
        <v>44609</v>
      </c>
      <c r="B2157" s="5" t="str">
        <f t="shared" si="33"/>
        <v>2022 q1</v>
      </c>
      <c r="C2157" s="7">
        <v>8.1952999999999996</v>
      </c>
      <c r="D2157" s="7">
        <v>8.2599</v>
      </c>
      <c r="E2157" s="7">
        <v>8.3933</v>
      </c>
      <c r="F2157" s="7">
        <v>8.5648999999999997</v>
      </c>
      <c r="G2157" s="7">
        <v>8.7250999999999994</v>
      </c>
      <c r="H2157" s="7">
        <v>8.8841000000000001</v>
      </c>
      <c r="I2157" s="7">
        <v>9.2750000000000004</v>
      </c>
      <c r="J2157" s="7">
        <v>9.4931999999999999</v>
      </c>
      <c r="K2157" s="7">
        <v>9.6752000000000002</v>
      </c>
      <c r="L2157" s="7">
        <v>9.7543000000000006</v>
      </c>
      <c r="M2157" s="7">
        <v>9.8615999999999993</v>
      </c>
      <c r="N2157" s="7">
        <v>10.011200000000001</v>
      </c>
      <c r="O2157" s="7">
        <v>10.0877</v>
      </c>
      <c r="P2157" s="7">
        <v>10.114599999999999</v>
      </c>
      <c r="Q2157" s="7">
        <v>10.1685</v>
      </c>
    </row>
    <row r="2158" spans="1:17">
      <c r="A2158" s="5">
        <v>44610</v>
      </c>
      <c r="B2158" s="5" t="str">
        <f t="shared" si="33"/>
        <v>2022 q1</v>
      </c>
      <c r="C2158" s="7">
        <v>8.2043999999999997</v>
      </c>
      <c r="D2158" s="7">
        <v>8.2652000000000001</v>
      </c>
      <c r="E2158" s="7">
        <v>8.3904999999999994</v>
      </c>
      <c r="F2158" s="7">
        <v>8.5579999999999998</v>
      </c>
      <c r="G2158" s="7">
        <v>8.7177000000000007</v>
      </c>
      <c r="H2158" s="7">
        <v>8.8760999999999992</v>
      </c>
      <c r="I2158" s="7">
        <v>9.3109000000000002</v>
      </c>
      <c r="J2158" s="7">
        <v>9.5717999999999996</v>
      </c>
      <c r="K2158" s="7">
        <v>9.7960999999999991</v>
      </c>
      <c r="L2158" s="7">
        <v>9.8867999999999991</v>
      </c>
      <c r="M2158" s="7">
        <v>10.003299999999999</v>
      </c>
      <c r="N2158" s="7">
        <v>10.1631</v>
      </c>
      <c r="O2158" s="7">
        <v>10.2057</v>
      </c>
      <c r="P2158" s="7">
        <v>10.215</v>
      </c>
      <c r="Q2158" s="7">
        <v>10.230600000000001</v>
      </c>
    </row>
    <row r="2159" spans="1:17">
      <c r="A2159" s="5">
        <v>44613</v>
      </c>
      <c r="B2159" s="5" t="str">
        <f t="shared" si="33"/>
        <v>2022 q1</v>
      </c>
      <c r="C2159" s="7">
        <v>8.2312999999999992</v>
      </c>
      <c r="D2159" s="7">
        <v>8.2875999999999994</v>
      </c>
      <c r="E2159" s="7">
        <v>8.4038000000000004</v>
      </c>
      <c r="F2159" s="7">
        <v>8.5599000000000007</v>
      </c>
      <c r="G2159" s="7">
        <v>8.7095000000000002</v>
      </c>
      <c r="H2159" s="7">
        <v>8.8576999999999995</v>
      </c>
      <c r="I2159" s="7">
        <v>9.2752999999999997</v>
      </c>
      <c r="J2159" s="7">
        <v>9.5341000000000005</v>
      </c>
      <c r="K2159" s="7">
        <v>9.7598000000000003</v>
      </c>
      <c r="L2159" s="7">
        <v>9.8552</v>
      </c>
      <c r="M2159" s="7">
        <v>9.9841999999999995</v>
      </c>
      <c r="N2159" s="7">
        <v>10.161300000000001</v>
      </c>
      <c r="O2159" s="7">
        <v>10.2165</v>
      </c>
      <c r="P2159" s="7">
        <v>10.229100000000001</v>
      </c>
      <c r="Q2159" s="7">
        <v>10.254200000000001</v>
      </c>
    </row>
    <row r="2160" spans="1:17">
      <c r="A2160" s="5">
        <v>44614</v>
      </c>
      <c r="B2160" s="5" t="str">
        <f t="shared" si="33"/>
        <v>2022 q1</v>
      </c>
      <c r="C2160" s="7">
        <v>8.2524999999999995</v>
      </c>
      <c r="D2160" s="7">
        <v>8.3145000000000007</v>
      </c>
      <c r="E2160" s="7">
        <v>8.4425000000000008</v>
      </c>
      <c r="F2160" s="7">
        <v>8.6133000000000006</v>
      </c>
      <c r="G2160" s="7">
        <v>8.7776999999999994</v>
      </c>
      <c r="H2160" s="7">
        <v>8.9133999999999993</v>
      </c>
      <c r="I2160" s="7">
        <v>9.3147000000000002</v>
      </c>
      <c r="J2160" s="7">
        <v>9.5432000000000006</v>
      </c>
      <c r="K2160" s="7">
        <v>9.7388999999999992</v>
      </c>
      <c r="L2160" s="7">
        <v>9.8242999999999991</v>
      </c>
      <c r="M2160" s="7">
        <v>9.9453999999999994</v>
      </c>
      <c r="N2160" s="7">
        <v>10.1136</v>
      </c>
      <c r="O2160" s="7">
        <v>10.2013</v>
      </c>
      <c r="P2160" s="7">
        <v>10.236599999999999</v>
      </c>
      <c r="Q2160" s="7">
        <v>10.2902</v>
      </c>
    </row>
    <row r="2161" spans="1:17">
      <c r="A2161" s="5">
        <v>44615</v>
      </c>
      <c r="B2161" s="5" t="str">
        <f t="shared" si="33"/>
        <v>2022 q1</v>
      </c>
      <c r="C2161" s="7">
        <v>8.2204999999999995</v>
      </c>
      <c r="D2161" s="7">
        <v>8.2893000000000008</v>
      </c>
      <c r="E2161" s="7">
        <v>8.4314999999999998</v>
      </c>
      <c r="F2161" s="7">
        <v>8.6184999999999992</v>
      </c>
      <c r="G2161" s="7">
        <v>8.7980999999999998</v>
      </c>
      <c r="H2161" s="7">
        <v>8.9428999999999998</v>
      </c>
      <c r="I2161" s="7">
        <v>9.36</v>
      </c>
      <c r="J2161" s="7">
        <v>9.5869</v>
      </c>
      <c r="K2161" s="7">
        <v>9.7786000000000008</v>
      </c>
      <c r="L2161" s="7">
        <v>9.8592999999999993</v>
      </c>
      <c r="M2161" s="7">
        <v>9.9716000000000005</v>
      </c>
      <c r="N2161" s="7">
        <v>10.1274</v>
      </c>
      <c r="O2161" s="7">
        <v>10.2072</v>
      </c>
      <c r="P2161" s="7">
        <v>10.2393</v>
      </c>
      <c r="Q2161" s="7">
        <v>10.2881</v>
      </c>
    </row>
    <row r="2162" spans="1:17">
      <c r="A2162" s="5">
        <v>44616</v>
      </c>
      <c r="B2162" s="5" t="str">
        <f t="shared" si="33"/>
        <v>2022 q1</v>
      </c>
      <c r="C2162" s="7">
        <v>8.2376000000000005</v>
      </c>
      <c r="D2162" s="7">
        <v>8.3035999999999994</v>
      </c>
      <c r="E2162" s="7">
        <v>8.4398</v>
      </c>
      <c r="F2162" s="7">
        <v>8.6196999999999999</v>
      </c>
      <c r="G2162" s="7">
        <v>8.7931000000000008</v>
      </c>
      <c r="H2162" s="7">
        <v>8.9337999999999997</v>
      </c>
      <c r="I2162" s="7">
        <v>9.3447999999999993</v>
      </c>
      <c r="J2162" s="7">
        <v>9.5724999999999998</v>
      </c>
      <c r="K2162" s="7">
        <v>9.7667000000000002</v>
      </c>
      <c r="L2162" s="7">
        <v>9.8491999999999997</v>
      </c>
      <c r="M2162" s="7">
        <v>9.9656000000000002</v>
      </c>
      <c r="N2162" s="7">
        <v>10.127000000000001</v>
      </c>
      <c r="O2162" s="7">
        <v>10.210000000000001</v>
      </c>
      <c r="P2162" s="7">
        <v>10.2393</v>
      </c>
      <c r="Q2162" s="7">
        <v>10.2979</v>
      </c>
    </row>
    <row r="2163" spans="1:17">
      <c r="A2163" s="5">
        <v>44617</v>
      </c>
      <c r="B2163" s="5" t="str">
        <f t="shared" si="33"/>
        <v>2022 q1</v>
      </c>
      <c r="C2163" s="7">
        <v>8.234</v>
      </c>
      <c r="D2163" s="7">
        <v>8.2962000000000007</v>
      </c>
      <c r="E2163" s="7">
        <v>8.4245000000000001</v>
      </c>
      <c r="F2163" s="7">
        <v>8.5993999999999993</v>
      </c>
      <c r="G2163" s="7">
        <v>8.7698999999999998</v>
      </c>
      <c r="H2163" s="7">
        <v>8.9148999999999994</v>
      </c>
      <c r="I2163" s="7">
        <v>9.3658999999999999</v>
      </c>
      <c r="J2163" s="7">
        <v>9.6311999999999998</v>
      </c>
      <c r="K2163" s="7">
        <v>9.8620999999999999</v>
      </c>
      <c r="L2163" s="7">
        <v>9.9474</v>
      </c>
      <c r="M2163" s="7">
        <v>10.055899999999999</v>
      </c>
      <c r="N2163" s="7">
        <v>10.2018</v>
      </c>
      <c r="O2163" s="7">
        <v>10.214</v>
      </c>
      <c r="P2163" s="7">
        <v>10.207100000000001</v>
      </c>
      <c r="Q2163" s="7">
        <v>10.1935</v>
      </c>
    </row>
    <row r="2164" spans="1:17">
      <c r="A2164" s="5">
        <v>44620</v>
      </c>
      <c r="B2164" s="5" t="str">
        <f t="shared" si="33"/>
        <v>2022 q1</v>
      </c>
      <c r="C2164" s="7">
        <v>8.1949000000000005</v>
      </c>
      <c r="D2164" s="7">
        <v>8.2665000000000006</v>
      </c>
      <c r="E2164" s="7">
        <v>8.4144000000000005</v>
      </c>
      <c r="F2164" s="7">
        <v>8.6073000000000004</v>
      </c>
      <c r="G2164" s="7">
        <v>8.7934999999999999</v>
      </c>
      <c r="H2164" s="7">
        <v>8.9415999999999993</v>
      </c>
      <c r="I2164" s="7">
        <v>9.3679000000000006</v>
      </c>
      <c r="J2164" s="7">
        <v>9.5968</v>
      </c>
      <c r="K2164" s="7">
        <v>9.7910000000000004</v>
      </c>
      <c r="L2164" s="7">
        <v>9.8710000000000004</v>
      </c>
      <c r="M2164" s="7">
        <v>9.9833999999999996</v>
      </c>
      <c r="N2164" s="7">
        <v>10.139099999999999</v>
      </c>
      <c r="O2164" s="7">
        <v>10.218299999999999</v>
      </c>
      <c r="P2164" s="7">
        <v>10.2462</v>
      </c>
      <c r="Q2164" s="7">
        <v>10.302099999999999</v>
      </c>
    </row>
    <row r="2165" spans="1:17">
      <c r="A2165" s="5">
        <v>44621</v>
      </c>
      <c r="B2165" s="5" t="str">
        <f t="shared" si="33"/>
        <v>2022 q1</v>
      </c>
      <c r="C2165" s="7">
        <v>8.2058999999999997</v>
      </c>
      <c r="D2165" s="7">
        <v>8.2994000000000003</v>
      </c>
      <c r="E2165" s="7">
        <v>8.4923000000000002</v>
      </c>
      <c r="F2165" s="7">
        <v>8.7531999999999996</v>
      </c>
      <c r="G2165" s="7">
        <v>8.9709000000000003</v>
      </c>
      <c r="H2165" s="7">
        <v>9.1532999999999998</v>
      </c>
      <c r="I2165" s="7">
        <v>9.6286000000000005</v>
      </c>
      <c r="J2165" s="7">
        <v>9.8657000000000004</v>
      </c>
      <c r="K2165" s="7">
        <v>10.062200000000001</v>
      </c>
      <c r="L2165" s="7">
        <v>10.1381</v>
      </c>
      <c r="M2165" s="7">
        <v>10.2423</v>
      </c>
      <c r="N2165" s="7">
        <v>10.386100000000001</v>
      </c>
      <c r="O2165" s="7">
        <v>10.4579</v>
      </c>
      <c r="P2165" s="7">
        <v>10.4833</v>
      </c>
      <c r="Q2165" s="7">
        <v>10.533899999999999</v>
      </c>
    </row>
    <row r="2166" spans="1:17">
      <c r="A2166" s="5">
        <v>44622</v>
      </c>
      <c r="B2166" s="5" t="str">
        <f t="shared" si="33"/>
        <v>2022 q1</v>
      </c>
      <c r="C2166" s="7">
        <v>8.1783999999999999</v>
      </c>
      <c r="D2166" s="7">
        <v>8.2802000000000007</v>
      </c>
      <c r="E2166" s="7">
        <v>8.4901</v>
      </c>
      <c r="F2166" s="7">
        <v>8.7698999999999998</v>
      </c>
      <c r="G2166" s="7">
        <v>8.9976000000000003</v>
      </c>
      <c r="H2166" s="7">
        <v>9.1839999999999993</v>
      </c>
      <c r="I2166" s="7">
        <v>9.6491000000000007</v>
      </c>
      <c r="J2166" s="7">
        <v>9.8681000000000001</v>
      </c>
      <c r="K2166" s="7">
        <v>10.0465</v>
      </c>
      <c r="L2166" s="7">
        <v>10.113200000000001</v>
      </c>
      <c r="M2166" s="7">
        <v>10.2034</v>
      </c>
      <c r="N2166" s="7">
        <v>10.3277</v>
      </c>
      <c r="O2166" s="7">
        <v>10.3896</v>
      </c>
      <c r="P2166" s="7">
        <v>10.4145</v>
      </c>
      <c r="Q2166" s="7">
        <v>10.452199999999999</v>
      </c>
    </row>
    <row r="2167" spans="1:17">
      <c r="A2167" s="5">
        <v>44623</v>
      </c>
      <c r="B2167" s="5" t="str">
        <f t="shared" si="33"/>
        <v>2022 q1</v>
      </c>
      <c r="C2167" s="7">
        <v>8.1882999999999999</v>
      </c>
      <c r="D2167" s="7">
        <v>8.2881</v>
      </c>
      <c r="E2167" s="7">
        <v>8.4941999999999993</v>
      </c>
      <c r="F2167" s="7">
        <v>8.7704000000000004</v>
      </c>
      <c r="G2167" s="7">
        <v>8.9978999999999996</v>
      </c>
      <c r="H2167" s="7">
        <v>9.1860999999999997</v>
      </c>
      <c r="I2167" s="7">
        <v>9.6679999999999993</v>
      </c>
      <c r="J2167" s="7">
        <v>9.9011999999999993</v>
      </c>
      <c r="K2167" s="7">
        <v>10.0936</v>
      </c>
      <c r="L2167" s="7">
        <v>10.1662</v>
      </c>
      <c r="M2167" s="7">
        <v>10.265700000000001</v>
      </c>
      <c r="N2167" s="7">
        <v>10.403</v>
      </c>
      <c r="O2167" s="7">
        <v>10.4712</v>
      </c>
      <c r="P2167" s="7">
        <v>10.495200000000001</v>
      </c>
      <c r="Q2167" s="7">
        <v>10.5434</v>
      </c>
    </row>
    <row r="2168" spans="1:17">
      <c r="A2168" s="5">
        <v>44624</v>
      </c>
      <c r="B2168" s="5" t="str">
        <f t="shared" si="33"/>
        <v>2022 q1</v>
      </c>
      <c r="C2168" s="7">
        <v>8.1997999999999998</v>
      </c>
      <c r="D2168" s="7">
        <v>8.2980999999999998</v>
      </c>
      <c r="E2168" s="7">
        <v>8.5009999999999994</v>
      </c>
      <c r="F2168" s="7">
        <v>8.7743000000000002</v>
      </c>
      <c r="G2168" s="7">
        <v>9.0018999999999991</v>
      </c>
      <c r="H2168" s="7">
        <v>9.1919000000000004</v>
      </c>
      <c r="I2168" s="7">
        <v>9.6905000000000001</v>
      </c>
      <c r="J2168" s="7">
        <v>9.9379000000000008</v>
      </c>
      <c r="K2168" s="7">
        <v>10.1448</v>
      </c>
      <c r="L2168" s="7">
        <v>10.2234</v>
      </c>
      <c r="M2168" s="7">
        <v>10.333</v>
      </c>
      <c r="N2168" s="7">
        <v>10.4841</v>
      </c>
      <c r="O2168" s="7">
        <v>10.5594</v>
      </c>
      <c r="P2168" s="7">
        <v>10.586</v>
      </c>
      <c r="Q2168" s="7">
        <v>10.6393</v>
      </c>
    </row>
    <row r="2169" spans="1:17">
      <c r="A2169" s="5">
        <v>44627</v>
      </c>
      <c r="B2169" s="5" t="str">
        <f t="shared" si="33"/>
        <v>2022 q1</v>
      </c>
      <c r="C2169" s="7">
        <v>8.1677999999999997</v>
      </c>
      <c r="D2169" s="7">
        <v>8.2745999999999995</v>
      </c>
      <c r="E2169" s="7">
        <v>8.4952000000000005</v>
      </c>
      <c r="F2169" s="7">
        <v>8.7871000000000006</v>
      </c>
      <c r="G2169" s="7">
        <v>9.0234000000000005</v>
      </c>
      <c r="H2169" s="7">
        <v>9.2152999999999992</v>
      </c>
      <c r="I2169" s="7">
        <v>9.6948000000000008</v>
      </c>
      <c r="J2169" s="7">
        <v>9.9176000000000002</v>
      </c>
      <c r="K2169" s="7">
        <v>10.100199999999999</v>
      </c>
      <c r="L2169" s="7">
        <v>10.1671</v>
      </c>
      <c r="M2169" s="7">
        <v>10.258800000000001</v>
      </c>
      <c r="N2169" s="7">
        <v>10.3849</v>
      </c>
      <c r="O2169" s="7">
        <v>10.448600000000001</v>
      </c>
      <c r="P2169" s="7">
        <v>10.4719</v>
      </c>
      <c r="Q2169" s="7">
        <v>10.5131</v>
      </c>
    </row>
    <row r="2170" spans="1:17">
      <c r="A2170" s="5">
        <v>44629</v>
      </c>
      <c r="B2170" s="5" t="str">
        <f t="shared" si="33"/>
        <v>2022 q1</v>
      </c>
      <c r="C2170" s="7">
        <v>8.2729999999999997</v>
      </c>
      <c r="D2170" s="7">
        <v>8.3605999999999998</v>
      </c>
      <c r="E2170" s="7">
        <v>8.5416000000000007</v>
      </c>
      <c r="F2170" s="7">
        <v>8.8118999999999996</v>
      </c>
      <c r="G2170" s="7">
        <v>9.0307999999999993</v>
      </c>
      <c r="H2170" s="7">
        <v>9.2126999999999999</v>
      </c>
      <c r="I2170" s="7">
        <v>9.6940000000000008</v>
      </c>
      <c r="J2170" s="7">
        <v>9.9315999999999995</v>
      </c>
      <c r="K2170" s="7">
        <v>10.1328</v>
      </c>
      <c r="L2170" s="7">
        <v>10.207599999999999</v>
      </c>
      <c r="M2170" s="7">
        <v>10.314299999999999</v>
      </c>
      <c r="N2170" s="7">
        <v>10.460800000000001</v>
      </c>
      <c r="O2170" s="7">
        <v>10.533899999999999</v>
      </c>
      <c r="P2170" s="7">
        <v>10.559799999999999</v>
      </c>
      <c r="Q2170" s="7">
        <v>10.611499999999999</v>
      </c>
    </row>
    <row r="2171" spans="1:17">
      <c r="A2171" s="5">
        <v>44630</v>
      </c>
      <c r="B2171" s="5" t="str">
        <f t="shared" si="33"/>
        <v>2022 q1</v>
      </c>
      <c r="C2171" s="7">
        <v>8.2192000000000007</v>
      </c>
      <c r="D2171" s="7">
        <v>8.3145000000000007</v>
      </c>
      <c r="E2171" s="7">
        <v>8.5112000000000005</v>
      </c>
      <c r="F2171" s="7">
        <v>8.8038000000000007</v>
      </c>
      <c r="G2171" s="7">
        <v>9.0375999999999994</v>
      </c>
      <c r="H2171" s="7">
        <v>9.2295999999999996</v>
      </c>
      <c r="I2171" s="7">
        <v>9.7263999999999999</v>
      </c>
      <c r="J2171" s="7">
        <v>9.9634999999999998</v>
      </c>
      <c r="K2171" s="7">
        <v>10.163500000000001</v>
      </c>
      <c r="L2171" s="7">
        <v>10.235900000000001</v>
      </c>
      <c r="M2171" s="7">
        <v>10.339</v>
      </c>
      <c r="N2171" s="7">
        <v>10.480499999999999</v>
      </c>
      <c r="O2171" s="7">
        <v>10.550700000000001</v>
      </c>
      <c r="P2171" s="7">
        <v>10.5756</v>
      </c>
      <c r="Q2171" s="7">
        <v>10.6252</v>
      </c>
    </row>
    <row r="2172" spans="1:17">
      <c r="A2172" s="5">
        <v>44631</v>
      </c>
      <c r="B2172" s="5" t="str">
        <f t="shared" si="33"/>
        <v>2022 q1</v>
      </c>
      <c r="C2172" s="7">
        <v>8.2232000000000003</v>
      </c>
      <c r="D2172" s="7">
        <v>8.3170999999999999</v>
      </c>
      <c r="E2172" s="7">
        <v>8.5109999999999992</v>
      </c>
      <c r="F2172" s="7">
        <v>8.7988999999999997</v>
      </c>
      <c r="G2172" s="7">
        <v>9.0325000000000006</v>
      </c>
      <c r="H2172" s="7">
        <v>9.2268000000000008</v>
      </c>
      <c r="I2172" s="7">
        <v>9.7420000000000009</v>
      </c>
      <c r="J2172" s="7">
        <v>9.9954000000000001</v>
      </c>
      <c r="K2172" s="7">
        <v>10.2118</v>
      </c>
      <c r="L2172" s="7">
        <v>10.2911</v>
      </c>
      <c r="M2172" s="7">
        <v>10.405799999999999</v>
      </c>
      <c r="N2172" s="7">
        <v>10.5632</v>
      </c>
      <c r="O2172" s="7">
        <v>10.6434</v>
      </c>
      <c r="P2172" s="7">
        <v>10.672499999999999</v>
      </c>
      <c r="Q2172" s="7">
        <v>10.724500000000001</v>
      </c>
    </row>
    <row r="2173" spans="1:17">
      <c r="A2173" s="5">
        <v>44634</v>
      </c>
      <c r="B2173" s="5" t="str">
        <f t="shared" si="33"/>
        <v>2022 q1</v>
      </c>
      <c r="C2173" s="7">
        <v>8.2593999999999994</v>
      </c>
      <c r="D2173" s="7">
        <v>8.3482000000000003</v>
      </c>
      <c r="E2173" s="7">
        <v>8.5314999999999994</v>
      </c>
      <c r="F2173" s="7">
        <v>8.8031000000000006</v>
      </c>
      <c r="G2173" s="7">
        <v>9.0238999999999994</v>
      </c>
      <c r="H2173" s="7">
        <v>9.2075999999999993</v>
      </c>
      <c r="I2173" s="7">
        <v>9.6953999999999994</v>
      </c>
      <c r="J2173" s="7">
        <v>9.9352999999999998</v>
      </c>
      <c r="K2173" s="7">
        <v>10.1409</v>
      </c>
      <c r="L2173" s="7">
        <v>10.2158</v>
      </c>
      <c r="M2173" s="7">
        <v>10.324999999999999</v>
      </c>
      <c r="N2173" s="7">
        <v>10.474600000000001</v>
      </c>
      <c r="O2173" s="7">
        <v>10.549200000000001</v>
      </c>
      <c r="P2173" s="7">
        <v>10.5756</v>
      </c>
      <c r="Q2173" s="7">
        <v>10.628399999999999</v>
      </c>
    </row>
    <row r="2174" spans="1:17">
      <c r="A2174" s="5">
        <v>44635</v>
      </c>
      <c r="B2174" s="5" t="str">
        <f t="shared" si="33"/>
        <v>2022 q1</v>
      </c>
      <c r="C2174" s="7">
        <v>8.2388999999999992</v>
      </c>
      <c r="D2174" s="7">
        <v>8.3339999999999996</v>
      </c>
      <c r="E2174" s="7">
        <v>8.5305</v>
      </c>
      <c r="F2174" s="7">
        <v>8.8195999999999994</v>
      </c>
      <c r="G2174" s="7">
        <v>9.0538000000000007</v>
      </c>
      <c r="H2174" s="7">
        <v>9.2479999999999993</v>
      </c>
      <c r="I2174" s="7">
        <v>9.7603000000000009</v>
      </c>
      <c r="J2174" s="7">
        <v>10.008100000000001</v>
      </c>
      <c r="K2174" s="7">
        <v>10.2217</v>
      </c>
      <c r="L2174" s="7">
        <v>10.297700000000001</v>
      </c>
      <c r="M2174" s="7">
        <v>10.4099</v>
      </c>
      <c r="N2174" s="7">
        <v>10.5632</v>
      </c>
      <c r="O2174" s="7">
        <v>10.6396</v>
      </c>
      <c r="P2174" s="7">
        <v>10.666700000000001</v>
      </c>
      <c r="Q2174" s="7">
        <v>10.720700000000001</v>
      </c>
    </row>
    <row r="2175" spans="1:17">
      <c r="A2175" s="5">
        <v>44636</v>
      </c>
      <c r="B2175" s="5" t="str">
        <f t="shared" si="33"/>
        <v>2022 q1</v>
      </c>
      <c r="C2175" s="7">
        <v>9.3867999999999991</v>
      </c>
      <c r="D2175" s="7">
        <v>9.4216999999999995</v>
      </c>
      <c r="E2175" s="7">
        <v>9.4939</v>
      </c>
      <c r="F2175" s="7">
        <v>9.6011000000000006</v>
      </c>
      <c r="G2175" s="7">
        <v>9.6996000000000002</v>
      </c>
      <c r="H2175" s="7">
        <v>9.7955000000000005</v>
      </c>
      <c r="I2175" s="7">
        <v>10.1144</v>
      </c>
      <c r="J2175" s="7">
        <v>10.337999999999999</v>
      </c>
      <c r="K2175" s="7">
        <v>10.549099999999999</v>
      </c>
      <c r="L2175" s="7">
        <v>10.632899999999999</v>
      </c>
      <c r="M2175" s="7">
        <v>10.7646</v>
      </c>
      <c r="N2175" s="7">
        <v>10.931100000000001</v>
      </c>
      <c r="O2175" s="7">
        <v>10.840400000000001</v>
      </c>
      <c r="P2175" s="7">
        <v>10.671799999999999</v>
      </c>
      <c r="Q2175" s="7">
        <v>10.3344</v>
      </c>
    </row>
    <row r="2176" spans="1:17">
      <c r="A2176" s="5">
        <v>44637</v>
      </c>
      <c r="B2176" s="5" t="str">
        <f t="shared" si="33"/>
        <v>2022 q1</v>
      </c>
      <c r="C2176" s="7">
        <v>9.343</v>
      </c>
      <c r="D2176" s="7">
        <v>9.4003999999999994</v>
      </c>
      <c r="E2176" s="7">
        <v>9.5188000000000006</v>
      </c>
      <c r="F2176" s="7">
        <v>9.6934000000000005</v>
      </c>
      <c r="G2176" s="7">
        <v>9.8454999999999995</v>
      </c>
      <c r="H2176" s="7">
        <v>9.9909999999999997</v>
      </c>
      <c r="I2176" s="7">
        <v>10.4216</v>
      </c>
      <c r="J2176" s="7">
        <v>10.6632</v>
      </c>
      <c r="K2176" s="7">
        <v>10.880699999999999</v>
      </c>
      <c r="L2176" s="7">
        <v>10.9276</v>
      </c>
      <c r="M2176" s="7">
        <v>10.974500000000001</v>
      </c>
      <c r="N2176" s="7">
        <v>11.0245</v>
      </c>
      <c r="O2176" s="7">
        <v>10.877800000000001</v>
      </c>
      <c r="P2176" s="7">
        <v>10.7822</v>
      </c>
      <c r="Q2176" s="7">
        <v>10.590999999999999</v>
      </c>
    </row>
    <row r="2177" spans="1:17">
      <c r="A2177" s="5">
        <v>44638</v>
      </c>
      <c r="B2177" s="5" t="str">
        <f t="shared" si="33"/>
        <v>2022 q1</v>
      </c>
      <c r="C2177" s="7">
        <v>9.3491999999999997</v>
      </c>
      <c r="D2177" s="7">
        <v>9.4010999999999996</v>
      </c>
      <c r="E2177" s="7">
        <v>9.5082000000000004</v>
      </c>
      <c r="F2177" s="7">
        <v>9.6664999999999992</v>
      </c>
      <c r="G2177" s="7">
        <v>9.8076000000000008</v>
      </c>
      <c r="H2177" s="7">
        <v>9.9434000000000005</v>
      </c>
      <c r="I2177" s="7">
        <v>10.3653</v>
      </c>
      <c r="J2177" s="7">
        <v>10.6225</v>
      </c>
      <c r="K2177" s="7">
        <v>10.8591</v>
      </c>
      <c r="L2177" s="7">
        <v>10.918699999999999</v>
      </c>
      <c r="M2177" s="7">
        <v>10.990399999999999</v>
      </c>
      <c r="N2177" s="7">
        <v>11.0688</v>
      </c>
      <c r="O2177" s="7">
        <v>10.8683</v>
      </c>
      <c r="P2177" s="7">
        <v>10.6854</v>
      </c>
      <c r="Q2177" s="7">
        <v>10.382</v>
      </c>
    </row>
    <row r="2178" spans="1:17">
      <c r="A2178" s="5">
        <v>44641</v>
      </c>
      <c r="B2178" s="5" t="str">
        <f t="shared" si="33"/>
        <v>2022 q1</v>
      </c>
      <c r="C2178" s="7">
        <v>9.3702000000000005</v>
      </c>
      <c r="D2178" s="7">
        <v>9.4198000000000004</v>
      </c>
      <c r="E2178" s="7">
        <v>9.5222999999999995</v>
      </c>
      <c r="F2178" s="7">
        <v>9.6732999999999993</v>
      </c>
      <c r="G2178" s="7">
        <v>9.8077000000000005</v>
      </c>
      <c r="H2178" s="7">
        <v>9.9367000000000001</v>
      </c>
      <c r="I2178" s="7">
        <v>10.3353</v>
      </c>
      <c r="J2178" s="7">
        <v>10.577500000000001</v>
      </c>
      <c r="K2178" s="7">
        <v>10.800700000000001</v>
      </c>
      <c r="L2178" s="7">
        <v>10.863099999999999</v>
      </c>
      <c r="M2178" s="7">
        <v>10.9459</v>
      </c>
      <c r="N2178" s="7">
        <v>11.0449</v>
      </c>
      <c r="O2178" s="7">
        <v>10.926600000000001</v>
      </c>
      <c r="P2178" s="7">
        <v>10.825200000000001</v>
      </c>
      <c r="Q2178" s="7">
        <v>10.622400000000001</v>
      </c>
    </row>
    <row r="2179" spans="1:17">
      <c r="A2179" s="5">
        <v>44642</v>
      </c>
      <c r="B2179" s="5" t="str">
        <f t="shared" ref="B2179:B2242" si="34">YEAR(A2179)&amp;" q"&amp;ROUNDUP(MONTH(A2179)/3,0)</f>
        <v>2022 q1</v>
      </c>
      <c r="C2179" s="7">
        <v>9.4151000000000007</v>
      </c>
      <c r="D2179" s="7">
        <v>9.4705999999999992</v>
      </c>
      <c r="E2179" s="7">
        <v>9.5853000000000002</v>
      </c>
      <c r="F2179" s="7">
        <v>9.7533999999999992</v>
      </c>
      <c r="G2179" s="7">
        <v>9.9031000000000002</v>
      </c>
      <c r="H2179" s="7">
        <v>10.039999999999999</v>
      </c>
      <c r="I2179" s="7">
        <v>10.4594</v>
      </c>
      <c r="J2179" s="7">
        <v>10.694699999999999</v>
      </c>
      <c r="K2179" s="7">
        <v>10.9093</v>
      </c>
      <c r="L2179" s="7">
        <v>10.9544</v>
      </c>
      <c r="M2179" s="7">
        <v>11.0037</v>
      </c>
      <c r="N2179" s="7">
        <v>11.0565</v>
      </c>
      <c r="O2179" s="7">
        <v>10.9131</v>
      </c>
      <c r="P2179" s="7">
        <v>10.817399999999999</v>
      </c>
      <c r="Q2179" s="7">
        <v>10.6259</v>
      </c>
    </row>
    <row r="2180" spans="1:17">
      <c r="A2180" s="5">
        <v>44643</v>
      </c>
      <c r="B2180" s="5" t="str">
        <f t="shared" si="34"/>
        <v>2022 q1</v>
      </c>
      <c r="C2180" s="7">
        <v>9.4139999999999997</v>
      </c>
      <c r="D2180" s="7">
        <v>9.4697999999999993</v>
      </c>
      <c r="E2180" s="7">
        <v>9.5851000000000006</v>
      </c>
      <c r="F2180" s="7">
        <v>9.7540999999999993</v>
      </c>
      <c r="G2180" s="7">
        <v>9.9054000000000002</v>
      </c>
      <c r="H2180" s="7">
        <v>10.043900000000001</v>
      </c>
      <c r="I2180" s="7">
        <v>10.4724</v>
      </c>
      <c r="J2180" s="7">
        <v>10.716799999999999</v>
      </c>
      <c r="K2180" s="7">
        <v>10.9412</v>
      </c>
      <c r="L2180" s="7">
        <v>10.989699999999999</v>
      </c>
      <c r="M2180" s="7">
        <v>11.0457</v>
      </c>
      <c r="N2180" s="7">
        <v>11.1061</v>
      </c>
      <c r="O2180" s="7">
        <v>10.951700000000001</v>
      </c>
      <c r="P2180" s="7">
        <v>10.843500000000001</v>
      </c>
      <c r="Q2180" s="7">
        <v>10.627000000000001</v>
      </c>
    </row>
    <row r="2181" spans="1:17">
      <c r="A2181" s="5">
        <v>44644</v>
      </c>
      <c r="B2181" s="5" t="str">
        <f t="shared" si="34"/>
        <v>2022 q1</v>
      </c>
      <c r="C2181" s="7">
        <v>9.3964999999999996</v>
      </c>
      <c r="D2181" s="7">
        <v>9.4559999999999995</v>
      </c>
      <c r="E2181" s="7">
        <v>9.5789000000000009</v>
      </c>
      <c r="F2181" s="7">
        <v>9.7581000000000007</v>
      </c>
      <c r="G2181" s="7">
        <v>9.9160000000000004</v>
      </c>
      <c r="H2181" s="7">
        <v>10.058299999999999</v>
      </c>
      <c r="I2181" s="7">
        <v>10.4819</v>
      </c>
      <c r="J2181" s="7">
        <v>10.702999999999999</v>
      </c>
      <c r="K2181" s="7">
        <v>10.9026</v>
      </c>
      <c r="L2181" s="7">
        <v>10.934100000000001</v>
      </c>
      <c r="M2181" s="7">
        <v>10.9589</v>
      </c>
      <c r="N2181" s="7">
        <v>10.9795</v>
      </c>
      <c r="O2181" s="7">
        <v>10.8362</v>
      </c>
      <c r="P2181" s="7">
        <v>10.744300000000001</v>
      </c>
      <c r="Q2181" s="7">
        <v>10.600899999999999</v>
      </c>
    </row>
    <row r="2182" spans="1:17">
      <c r="A2182" s="5">
        <v>44645</v>
      </c>
      <c r="B2182" s="5" t="str">
        <f t="shared" si="34"/>
        <v>2022 q1</v>
      </c>
      <c r="C2182" s="7">
        <v>9.4337</v>
      </c>
      <c r="D2182" s="7">
        <v>9.4870000000000001</v>
      </c>
      <c r="E2182" s="7">
        <v>9.5970999999999993</v>
      </c>
      <c r="F2182" s="7">
        <v>9.7581000000000007</v>
      </c>
      <c r="G2182" s="7">
        <v>9.9029000000000007</v>
      </c>
      <c r="H2182" s="7">
        <v>10.035299999999999</v>
      </c>
      <c r="I2182" s="7">
        <v>10.4475</v>
      </c>
      <c r="J2182" s="7">
        <v>10.728</v>
      </c>
      <c r="K2182" s="7">
        <v>10.9116</v>
      </c>
      <c r="L2182" s="7">
        <v>10.955500000000001</v>
      </c>
      <c r="M2182" s="7">
        <v>11.019500000000001</v>
      </c>
      <c r="N2182" s="7">
        <v>11.091900000000001</v>
      </c>
      <c r="O2182" s="7">
        <v>10.9589</v>
      </c>
      <c r="P2182" s="7">
        <v>10.8512</v>
      </c>
      <c r="Q2182" s="7">
        <v>10.678000000000001</v>
      </c>
    </row>
    <row r="2183" spans="1:17">
      <c r="A2183" s="5">
        <v>44648</v>
      </c>
      <c r="B2183" s="5" t="str">
        <f t="shared" si="34"/>
        <v>2022 q1</v>
      </c>
      <c r="C2183" s="7">
        <v>9.4227000000000007</v>
      </c>
      <c r="D2183" s="7">
        <v>9.4781999999999993</v>
      </c>
      <c r="E2183" s="7">
        <v>9.5925999999999991</v>
      </c>
      <c r="F2183" s="7">
        <v>9.7598000000000003</v>
      </c>
      <c r="G2183" s="7">
        <v>9.9106000000000005</v>
      </c>
      <c r="H2183" s="7">
        <v>10.048299999999999</v>
      </c>
      <c r="I2183" s="7">
        <v>10.4796</v>
      </c>
      <c r="J2183" s="7">
        <v>10.731999999999999</v>
      </c>
      <c r="K2183" s="7">
        <v>10.9664</v>
      </c>
      <c r="L2183" s="7">
        <v>11.0273</v>
      </c>
      <c r="M2183" s="7">
        <v>11.1121</v>
      </c>
      <c r="N2183" s="7">
        <v>11.2141</v>
      </c>
      <c r="O2183" s="7">
        <v>11.1168</v>
      </c>
      <c r="P2183" s="7">
        <v>11.038600000000001</v>
      </c>
      <c r="Q2183" s="7">
        <v>10.882400000000001</v>
      </c>
    </row>
    <row r="2184" spans="1:17">
      <c r="A2184" s="5">
        <v>44649</v>
      </c>
      <c r="B2184" s="5" t="str">
        <f t="shared" si="34"/>
        <v>2022 q1</v>
      </c>
      <c r="C2184" s="7">
        <v>9.5673999999999992</v>
      </c>
      <c r="D2184" s="7">
        <v>9.6075999999999997</v>
      </c>
      <c r="E2184" s="7">
        <v>9.6906999999999996</v>
      </c>
      <c r="F2184" s="7">
        <v>9.8071999999999999</v>
      </c>
      <c r="G2184" s="7">
        <v>9.9209999999999994</v>
      </c>
      <c r="H2184" s="7">
        <v>10.0261</v>
      </c>
      <c r="I2184" s="7">
        <v>10.3782</v>
      </c>
      <c r="J2184" s="7">
        <v>10.6168</v>
      </c>
      <c r="K2184" s="7">
        <v>10.845000000000001</v>
      </c>
      <c r="L2184" s="7">
        <v>10.9262</v>
      </c>
      <c r="M2184" s="7">
        <v>11.0604</v>
      </c>
      <c r="N2184" s="7">
        <v>11.226800000000001</v>
      </c>
      <c r="O2184" s="7">
        <v>11.1335</v>
      </c>
      <c r="P2184" s="7">
        <v>10.980700000000001</v>
      </c>
      <c r="Q2184" s="7">
        <v>10.6751</v>
      </c>
    </row>
    <row r="2185" spans="1:17">
      <c r="A2185" s="5">
        <v>44650</v>
      </c>
      <c r="B2185" s="5" t="str">
        <f t="shared" si="34"/>
        <v>2022 q1</v>
      </c>
      <c r="C2185" s="7">
        <v>9.5273000000000003</v>
      </c>
      <c r="D2185" s="7">
        <v>9.5289000000000001</v>
      </c>
      <c r="E2185" s="7">
        <v>9.5321999999999996</v>
      </c>
      <c r="F2185" s="7">
        <v>9.6648999999999994</v>
      </c>
      <c r="G2185" s="7">
        <v>9.8350000000000009</v>
      </c>
      <c r="H2185" s="7">
        <v>10.0192</v>
      </c>
      <c r="I2185" s="7">
        <v>10.5511</v>
      </c>
      <c r="J2185" s="7">
        <v>10.7667</v>
      </c>
      <c r="K2185" s="7">
        <v>10.954800000000001</v>
      </c>
      <c r="L2185" s="7">
        <v>11.009600000000001</v>
      </c>
      <c r="M2185" s="7">
        <v>11.0944</v>
      </c>
      <c r="N2185" s="7">
        <v>11.209</v>
      </c>
      <c r="O2185" s="7">
        <v>11.2652</v>
      </c>
      <c r="P2185" s="7">
        <v>11.2851</v>
      </c>
      <c r="Q2185" s="7">
        <v>11.3249</v>
      </c>
    </row>
    <row r="2186" spans="1:17">
      <c r="A2186" s="5">
        <v>44651</v>
      </c>
      <c r="B2186" s="5" t="str">
        <f t="shared" si="34"/>
        <v>2022 q1</v>
      </c>
      <c r="C2186" s="7">
        <v>9.5686999999999998</v>
      </c>
      <c r="D2186" s="7">
        <v>9.5482999999999993</v>
      </c>
      <c r="E2186" s="7">
        <v>9.5061999999999998</v>
      </c>
      <c r="F2186" s="7">
        <v>9.6510999999999996</v>
      </c>
      <c r="G2186" s="7">
        <v>9.8529999999999998</v>
      </c>
      <c r="H2186" s="7">
        <v>10.0505</v>
      </c>
      <c r="I2186" s="7">
        <v>10.521000000000001</v>
      </c>
      <c r="J2186" s="7">
        <v>10.682600000000001</v>
      </c>
      <c r="K2186" s="7">
        <v>10.819000000000001</v>
      </c>
      <c r="L2186" s="7">
        <v>10.8576</v>
      </c>
      <c r="M2186" s="7">
        <v>10.917299999999999</v>
      </c>
      <c r="N2186" s="7">
        <v>10.9978</v>
      </c>
      <c r="O2186" s="7">
        <v>11.0374</v>
      </c>
      <c r="P2186" s="7">
        <v>11.0534</v>
      </c>
      <c r="Q2186" s="7">
        <v>11.0776</v>
      </c>
    </row>
    <row r="2187" spans="1:17">
      <c r="A2187" s="5">
        <v>44652</v>
      </c>
      <c r="B2187" s="5" t="str">
        <f t="shared" si="34"/>
        <v>2022 q2</v>
      </c>
      <c r="C2187" s="7">
        <v>9.4966000000000008</v>
      </c>
      <c r="D2187" s="7">
        <v>9.5140999999999991</v>
      </c>
      <c r="E2187" s="7">
        <v>9.5503</v>
      </c>
      <c r="F2187" s="7">
        <v>9.6852999999999998</v>
      </c>
      <c r="G2187" s="7">
        <v>9.8409999999999993</v>
      </c>
      <c r="H2187" s="7">
        <v>10.010199999999999</v>
      </c>
      <c r="I2187" s="7">
        <v>10.5404</v>
      </c>
      <c r="J2187" s="7">
        <v>10.781499999999999</v>
      </c>
      <c r="K2187" s="7">
        <v>10.998900000000001</v>
      </c>
      <c r="L2187" s="7">
        <v>11.0633</v>
      </c>
      <c r="M2187" s="7">
        <v>11.165800000000001</v>
      </c>
      <c r="N2187" s="7">
        <v>11.305999999999999</v>
      </c>
      <c r="O2187" s="7">
        <v>11.371700000000001</v>
      </c>
      <c r="P2187" s="7">
        <v>11.395799999999999</v>
      </c>
      <c r="Q2187" s="7">
        <v>11.443899999999999</v>
      </c>
    </row>
    <row r="2188" spans="1:17">
      <c r="A2188" s="5">
        <v>44655</v>
      </c>
      <c r="B2188" s="5" t="str">
        <f t="shared" si="34"/>
        <v>2022 q2</v>
      </c>
      <c r="C2188" s="7">
        <v>9.4250000000000007</v>
      </c>
      <c r="D2188" s="7">
        <v>9.4783000000000008</v>
      </c>
      <c r="E2188" s="7">
        <v>9.5883000000000003</v>
      </c>
      <c r="F2188" s="7">
        <v>9.7382000000000009</v>
      </c>
      <c r="G2188" s="7">
        <v>9.8844999999999992</v>
      </c>
      <c r="H2188" s="7">
        <v>10.0153</v>
      </c>
      <c r="I2188" s="7">
        <v>10.4312</v>
      </c>
      <c r="J2188" s="7">
        <v>10.6821</v>
      </c>
      <c r="K2188" s="7">
        <v>10.9199</v>
      </c>
      <c r="L2188" s="7">
        <v>10.987500000000001</v>
      </c>
      <c r="M2188" s="7">
        <v>11.0943</v>
      </c>
      <c r="N2188" s="7">
        <v>11.2295</v>
      </c>
      <c r="O2188" s="7">
        <v>11.161099999999999</v>
      </c>
      <c r="P2188" s="7">
        <v>11.0871</v>
      </c>
      <c r="Q2188" s="7">
        <v>10.9658</v>
      </c>
    </row>
    <row r="2189" spans="1:17">
      <c r="A2189" s="5">
        <v>44656</v>
      </c>
      <c r="B2189" s="5" t="str">
        <f t="shared" si="34"/>
        <v>2022 q2</v>
      </c>
      <c r="C2189" s="7">
        <v>9.5490999999999993</v>
      </c>
      <c r="D2189" s="7">
        <v>9.5347000000000008</v>
      </c>
      <c r="E2189" s="7">
        <v>9.5048999999999992</v>
      </c>
      <c r="F2189" s="7">
        <v>9.6623999999999999</v>
      </c>
      <c r="G2189" s="7">
        <v>9.8584999999999994</v>
      </c>
      <c r="H2189" s="7">
        <v>10.0548</v>
      </c>
      <c r="I2189" s="7">
        <v>10.6562</v>
      </c>
      <c r="J2189" s="7">
        <v>10.892300000000001</v>
      </c>
      <c r="K2189" s="7">
        <v>11.1027</v>
      </c>
      <c r="L2189" s="7">
        <v>11.1609</v>
      </c>
      <c r="M2189" s="7">
        <v>11.254799999999999</v>
      </c>
      <c r="N2189" s="7">
        <v>11.3811</v>
      </c>
      <c r="O2189" s="7">
        <v>11.443</v>
      </c>
      <c r="P2189" s="7">
        <v>11.4649</v>
      </c>
      <c r="Q2189" s="7">
        <v>11.508900000000001</v>
      </c>
    </row>
    <row r="2190" spans="1:17">
      <c r="A2190" s="5">
        <v>44657</v>
      </c>
      <c r="B2190" s="5" t="str">
        <f t="shared" si="34"/>
        <v>2022 q2</v>
      </c>
      <c r="C2190" s="7">
        <v>9.5048999999999992</v>
      </c>
      <c r="D2190" s="7">
        <v>9.5145999999999997</v>
      </c>
      <c r="E2190" s="7">
        <v>9.5344999999999995</v>
      </c>
      <c r="F2190" s="7">
        <v>9.6804000000000006</v>
      </c>
      <c r="G2190" s="7">
        <v>9.8467000000000002</v>
      </c>
      <c r="H2190" s="7">
        <v>10.013199999999999</v>
      </c>
      <c r="I2190" s="7">
        <v>10.559900000000001</v>
      </c>
      <c r="J2190" s="7">
        <v>10.824400000000001</v>
      </c>
      <c r="K2190" s="7">
        <v>11.0214</v>
      </c>
      <c r="L2190" s="7">
        <v>11.077299999999999</v>
      </c>
      <c r="M2190" s="7">
        <v>11.178000000000001</v>
      </c>
      <c r="N2190" s="7">
        <v>11.3134</v>
      </c>
      <c r="O2190" s="7">
        <v>11.3797</v>
      </c>
      <c r="P2190" s="7">
        <v>11.4032</v>
      </c>
      <c r="Q2190" s="7">
        <v>11.4504</v>
      </c>
    </row>
    <row r="2191" spans="1:17">
      <c r="A2191" s="5">
        <v>44658</v>
      </c>
      <c r="B2191" s="5" t="str">
        <f t="shared" si="34"/>
        <v>2022 q2</v>
      </c>
      <c r="C2191" s="7">
        <v>9.6016999999999992</v>
      </c>
      <c r="D2191" s="7">
        <v>9.6294000000000004</v>
      </c>
      <c r="E2191" s="7">
        <v>9.6866000000000003</v>
      </c>
      <c r="F2191" s="7">
        <v>9.8168000000000006</v>
      </c>
      <c r="G2191" s="7">
        <v>9.9541000000000004</v>
      </c>
      <c r="H2191" s="7">
        <v>10.0915</v>
      </c>
      <c r="I2191" s="7">
        <v>10.571099999999999</v>
      </c>
      <c r="J2191" s="7">
        <v>10.823</v>
      </c>
      <c r="K2191" s="7">
        <v>11.059799999999999</v>
      </c>
      <c r="L2191" s="7">
        <v>11.132300000000001</v>
      </c>
      <c r="M2191" s="7">
        <v>11.255100000000001</v>
      </c>
      <c r="N2191" s="7">
        <v>11.42</v>
      </c>
      <c r="O2191" s="7">
        <v>11.5015</v>
      </c>
      <c r="P2191" s="7">
        <v>11.5304</v>
      </c>
      <c r="Q2191" s="7">
        <v>11.5883</v>
      </c>
    </row>
    <row r="2192" spans="1:17">
      <c r="A2192" s="5">
        <v>44659</v>
      </c>
      <c r="B2192" s="5" t="str">
        <f t="shared" si="34"/>
        <v>2022 q2</v>
      </c>
      <c r="C2192" s="7">
        <v>9.6036000000000001</v>
      </c>
      <c r="D2192" s="7">
        <v>9.6316000000000006</v>
      </c>
      <c r="E2192" s="7">
        <v>9.6892999999999994</v>
      </c>
      <c r="F2192" s="7">
        <v>9.8149999999999995</v>
      </c>
      <c r="G2192" s="7">
        <v>9.9464000000000006</v>
      </c>
      <c r="H2192" s="7">
        <v>10.0778</v>
      </c>
      <c r="I2192" s="7">
        <v>10.5054</v>
      </c>
      <c r="J2192" s="7">
        <v>10.7156</v>
      </c>
      <c r="K2192" s="7">
        <v>10.9122</v>
      </c>
      <c r="L2192" s="7">
        <v>10.97</v>
      </c>
      <c r="M2192" s="7">
        <v>11.0679</v>
      </c>
      <c r="N2192" s="7">
        <v>11.199199999999999</v>
      </c>
      <c r="O2192" s="7">
        <v>11.2638</v>
      </c>
      <c r="P2192" s="7">
        <v>11.286799999999999</v>
      </c>
      <c r="Q2192" s="7">
        <v>11.332700000000001</v>
      </c>
    </row>
    <row r="2193" spans="1:17">
      <c r="A2193" s="5">
        <v>44662</v>
      </c>
      <c r="B2193" s="5" t="str">
        <f t="shared" si="34"/>
        <v>2022 q2</v>
      </c>
      <c r="C2193" s="7">
        <v>9.5692000000000004</v>
      </c>
      <c r="D2193" s="7">
        <v>9.5763999999999996</v>
      </c>
      <c r="E2193" s="7">
        <v>9.5912000000000006</v>
      </c>
      <c r="F2193" s="7">
        <v>9.7270000000000003</v>
      </c>
      <c r="G2193" s="7">
        <v>9.8775999999999993</v>
      </c>
      <c r="H2193" s="7">
        <v>10.029199999999999</v>
      </c>
      <c r="I2193" s="7">
        <v>10.564500000000001</v>
      </c>
      <c r="J2193" s="7">
        <v>10.8095</v>
      </c>
      <c r="K2193" s="7">
        <v>11.0373</v>
      </c>
      <c r="L2193" s="7">
        <v>11.1012</v>
      </c>
      <c r="M2193" s="7">
        <v>11.2089</v>
      </c>
      <c r="N2193" s="7">
        <v>11.353300000000001</v>
      </c>
      <c r="O2193" s="7">
        <v>11.423999999999999</v>
      </c>
      <c r="P2193" s="7">
        <v>11.449199999999999</v>
      </c>
      <c r="Q2193" s="7">
        <v>11.499599999999999</v>
      </c>
    </row>
    <row r="2194" spans="1:17">
      <c r="A2194" s="5">
        <v>44663</v>
      </c>
      <c r="B2194" s="5" t="str">
        <f t="shared" si="34"/>
        <v>2022 q2</v>
      </c>
      <c r="C2194" s="7">
        <v>9.5767000000000007</v>
      </c>
      <c r="D2194" s="7">
        <v>9.5792000000000002</v>
      </c>
      <c r="E2194" s="7">
        <v>9.5845000000000002</v>
      </c>
      <c r="F2194" s="7">
        <v>9.7295999999999996</v>
      </c>
      <c r="G2194" s="7">
        <v>9.8872</v>
      </c>
      <c r="H2194" s="7">
        <v>10.046200000000001</v>
      </c>
      <c r="I2194" s="7">
        <v>10.5905</v>
      </c>
      <c r="J2194" s="7">
        <v>10.827299999999999</v>
      </c>
      <c r="K2194" s="7">
        <v>11.048400000000001</v>
      </c>
      <c r="L2194" s="7">
        <v>11.108000000000001</v>
      </c>
      <c r="M2194" s="7">
        <v>11.2104</v>
      </c>
      <c r="N2194" s="7">
        <v>11.3474</v>
      </c>
      <c r="O2194" s="7">
        <v>11.4145</v>
      </c>
      <c r="P2194" s="7">
        <v>11.4383</v>
      </c>
      <c r="Q2194" s="7">
        <v>11.4861</v>
      </c>
    </row>
    <row r="2195" spans="1:17">
      <c r="A2195" s="5">
        <v>44664</v>
      </c>
      <c r="B2195" s="5" t="str">
        <f t="shared" si="34"/>
        <v>2022 q2</v>
      </c>
      <c r="C2195" s="7">
        <v>9.4649999999999999</v>
      </c>
      <c r="D2195" s="7">
        <v>9.5024999999999995</v>
      </c>
      <c r="E2195" s="7">
        <v>9.5797000000000008</v>
      </c>
      <c r="F2195" s="7">
        <v>9.7317999999999998</v>
      </c>
      <c r="G2195" s="7">
        <v>9.8866999999999994</v>
      </c>
      <c r="H2195" s="7">
        <v>10.041700000000001</v>
      </c>
      <c r="I2195" s="7">
        <v>10.553800000000001</v>
      </c>
      <c r="J2195" s="7">
        <v>10.8066</v>
      </c>
      <c r="K2195" s="7">
        <v>11.047000000000001</v>
      </c>
      <c r="L2195" s="7">
        <v>11.115600000000001</v>
      </c>
      <c r="M2195" s="7">
        <v>11.2361</v>
      </c>
      <c r="N2195" s="7">
        <v>11.3972</v>
      </c>
      <c r="O2195" s="7">
        <v>11.4765</v>
      </c>
      <c r="P2195" s="7">
        <v>11.5047</v>
      </c>
      <c r="Q2195" s="7">
        <v>11.5611</v>
      </c>
    </row>
    <row r="2196" spans="1:17">
      <c r="A2196" s="5">
        <v>44665</v>
      </c>
      <c r="B2196" s="5" t="str">
        <f t="shared" si="34"/>
        <v>2022 q2</v>
      </c>
      <c r="C2196" s="7">
        <v>9.4118999999999993</v>
      </c>
      <c r="D2196" s="7">
        <v>9.4769000000000005</v>
      </c>
      <c r="E2196" s="7">
        <v>9.6110000000000007</v>
      </c>
      <c r="F2196" s="7">
        <v>9.7716999999999992</v>
      </c>
      <c r="G2196" s="7">
        <v>9.9298000000000002</v>
      </c>
      <c r="H2196" s="7">
        <v>10.084199999999999</v>
      </c>
      <c r="I2196" s="7">
        <v>10.4626</v>
      </c>
      <c r="J2196" s="7">
        <v>10.646100000000001</v>
      </c>
      <c r="K2196" s="7">
        <v>10.8233</v>
      </c>
      <c r="L2196" s="7">
        <v>10.890499999999999</v>
      </c>
      <c r="M2196" s="7">
        <v>11.014799999999999</v>
      </c>
      <c r="N2196" s="7">
        <v>11.1099</v>
      </c>
      <c r="O2196" s="7">
        <v>11.177199999999999</v>
      </c>
      <c r="P2196" s="7">
        <v>11.204499999999999</v>
      </c>
      <c r="Q2196" s="7">
        <v>11.2455</v>
      </c>
    </row>
    <row r="2197" spans="1:17">
      <c r="A2197" s="5">
        <v>44666</v>
      </c>
      <c r="B2197" s="5" t="str">
        <f t="shared" si="34"/>
        <v>2022 q2</v>
      </c>
      <c r="C2197" s="7">
        <v>9.4039999999999999</v>
      </c>
      <c r="D2197" s="7">
        <v>9.4669000000000008</v>
      </c>
      <c r="E2197" s="7">
        <v>9.5966000000000005</v>
      </c>
      <c r="F2197" s="7">
        <v>9.7590000000000003</v>
      </c>
      <c r="G2197" s="7">
        <v>9.9196000000000009</v>
      </c>
      <c r="H2197" s="7">
        <v>10.0769</v>
      </c>
      <c r="I2197" s="7">
        <v>10.501899999999999</v>
      </c>
      <c r="J2197" s="7">
        <v>10.734</v>
      </c>
      <c r="K2197" s="7">
        <v>10.9602</v>
      </c>
      <c r="L2197" s="7">
        <v>11.038600000000001</v>
      </c>
      <c r="M2197" s="7">
        <v>11.1828</v>
      </c>
      <c r="N2197" s="7">
        <v>11.3759</v>
      </c>
      <c r="O2197" s="7">
        <v>11.478</v>
      </c>
      <c r="P2197" s="7">
        <v>11.5145</v>
      </c>
      <c r="Q2197" s="7">
        <v>11.587300000000001</v>
      </c>
    </row>
    <row r="2198" spans="1:17">
      <c r="A2198" s="5">
        <v>44669</v>
      </c>
      <c r="B2198" s="5" t="str">
        <f t="shared" si="34"/>
        <v>2022 q2</v>
      </c>
      <c r="C2198" s="7">
        <v>9.4140999999999995</v>
      </c>
      <c r="D2198" s="7">
        <v>9.4735999999999994</v>
      </c>
      <c r="E2198" s="7">
        <v>9.5965000000000007</v>
      </c>
      <c r="F2198" s="7">
        <v>9.7518999999999991</v>
      </c>
      <c r="G2198" s="7">
        <v>9.9062000000000001</v>
      </c>
      <c r="H2198" s="7">
        <v>10.0573</v>
      </c>
      <c r="I2198" s="7">
        <v>10.4757</v>
      </c>
      <c r="J2198" s="7">
        <v>10.715400000000001</v>
      </c>
      <c r="K2198" s="7">
        <v>10.9482</v>
      </c>
      <c r="L2198" s="7">
        <v>11.032</v>
      </c>
      <c r="M2198" s="7">
        <v>11.1875</v>
      </c>
      <c r="N2198" s="7">
        <v>11.396000000000001</v>
      </c>
      <c r="O2198" s="7">
        <v>11.508599999999999</v>
      </c>
      <c r="P2198" s="7">
        <v>11.5488</v>
      </c>
      <c r="Q2198" s="7">
        <v>11.629200000000001</v>
      </c>
    </row>
    <row r="2199" spans="1:17">
      <c r="A2199" s="5">
        <v>44670</v>
      </c>
      <c r="B2199" s="5" t="str">
        <f t="shared" si="34"/>
        <v>2022 q2</v>
      </c>
      <c r="C2199" s="7">
        <v>9.4312000000000005</v>
      </c>
      <c r="D2199" s="7">
        <v>9.4939999999999998</v>
      </c>
      <c r="E2199" s="7">
        <v>9.6234999999999999</v>
      </c>
      <c r="F2199" s="7">
        <v>9.8127999999999993</v>
      </c>
      <c r="G2199" s="7">
        <v>9.9756999999999998</v>
      </c>
      <c r="H2199" s="7">
        <v>10.1226</v>
      </c>
      <c r="I2199" s="7">
        <v>10.5465</v>
      </c>
      <c r="J2199" s="7">
        <v>10.770200000000001</v>
      </c>
      <c r="K2199" s="7">
        <v>10.9879</v>
      </c>
      <c r="L2199" s="7">
        <v>11.0585</v>
      </c>
      <c r="M2199" s="7">
        <v>11.1906</v>
      </c>
      <c r="N2199" s="7">
        <v>11.366899999999999</v>
      </c>
      <c r="O2199" s="7">
        <v>11.458399999999999</v>
      </c>
      <c r="P2199" s="7">
        <v>11.491</v>
      </c>
      <c r="Q2199" s="7">
        <v>11.5563</v>
      </c>
    </row>
    <row r="2200" spans="1:17">
      <c r="A2200" s="5">
        <v>44671</v>
      </c>
      <c r="B2200" s="5" t="str">
        <f t="shared" si="34"/>
        <v>2022 q2</v>
      </c>
      <c r="C2200" s="7">
        <v>9.4460999999999995</v>
      </c>
      <c r="D2200" s="7">
        <v>9.5066000000000006</v>
      </c>
      <c r="E2200" s="7">
        <v>9.6316000000000006</v>
      </c>
      <c r="F2200" s="7">
        <v>9.8141999999999996</v>
      </c>
      <c r="G2200" s="7">
        <v>9.9733000000000001</v>
      </c>
      <c r="H2200" s="7">
        <v>10.117599999999999</v>
      </c>
      <c r="I2200" s="7">
        <v>10.543100000000001</v>
      </c>
      <c r="J2200" s="7">
        <v>10.775499999999999</v>
      </c>
      <c r="K2200" s="7">
        <v>11.002599999999999</v>
      </c>
      <c r="L2200" s="7">
        <v>11.078799999999999</v>
      </c>
      <c r="M2200" s="7">
        <v>11.2226</v>
      </c>
      <c r="N2200" s="7">
        <v>11.4146</v>
      </c>
      <c r="O2200" s="7">
        <v>11.5159</v>
      </c>
      <c r="P2200" s="7">
        <v>11.552099999999999</v>
      </c>
      <c r="Q2200" s="7">
        <v>11.6244</v>
      </c>
    </row>
    <row r="2201" spans="1:17">
      <c r="A2201" s="5">
        <v>44672</v>
      </c>
      <c r="B2201" s="5" t="str">
        <f t="shared" si="34"/>
        <v>2022 q2</v>
      </c>
      <c r="C2201" s="7">
        <v>9.3810000000000002</v>
      </c>
      <c r="D2201" s="7">
        <v>9.4555000000000007</v>
      </c>
      <c r="E2201" s="7">
        <v>9.6090999999999998</v>
      </c>
      <c r="F2201" s="7">
        <v>9.8294999999999995</v>
      </c>
      <c r="G2201" s="7">
        <v>10.0054</v>
      </c>
      <c r="H2201" s="7">
        <v>10.1554</v>
      </c>
      <c r="I2201" s="7">
        <v>10.529500000000001</v>
      </c>
      <c r="J2201" s="7">
        <v>10.686</v>
      </c>
      <c r="K2201" s="7">
        <v>10.837199999999999</v>
      </c>
      <c r="L2201" s="7">
        <v>10.8772</v>
      </c>
      <c r="M2201" s="7">
        <v>10.951499999999999</v>
      </c>
      <c r="N2201" s="7">
        <v>11.0503</v>
      </c>
      <c r="O2201" s="7">
        <v>11.0992</v>
      </c>
      <c r="P2201" s="7">
        <v>11.1191</v>
      </c>
      <c r="Q2201" s="7">
        <v>11.148899999999999</v>
      </c>
    </row>
    <row r="2202" spans="1:17">
      <c r="A2202" s="5">
        <v>44673</v>
      </c>
      <c r="B2202" s="5" t="str">
        <f t="shared" si="34"/>
        <v>2022 q2</v>
      </c>
      <c r="C2202" s="7">
        <v>9.4357000000000006</v>
      </c>
      <c r="D2202" s="7">
        <v>9.4990000000000006</v>
      </c>
      <c r="E2202" s="7">
        <v>9.6296999999999997</v>
      </c>
      <c r="F2202" s="7">
        <v>9.8193999999999999</v>
      </c>
      <c r="G2202" s="7">
        <v>9.9832000000000001</v>
      </c>
      <c r="H2202" s="7">
        <v>10.130000000000001</v>
      </c>
      <c r="I2202" s="7">
        <v>10.5527</v>
      </c>
      <c r="J2202" s="7">
        <v>10.773199999999999</v>
      </c>
      <c r="K2202" s="7">
        <v>10.9892</v>
      </c>
      <c r="L2202" s="7">
        <v>11.057399999999999</v>
      </c>
      <c r="M2202" s="7">
        <v>11.1874</v>
      </c>
      <c r="N2202" s="7">
        <v>11.360300000000001</v>
      </c>
      <c r="O2202" s="7">
        <v>11.4499</v>
      </c>
      <c r="P2202" s="7">
        <v>11.4818</v>
      </c>
      <c r="Q2202" s="7">
        <v>11.5457</v>
      </c>
    </row>
    <row r="2203" spans="1:17">
      <c r="A2203" s="5">
        <v>44676</v>
      </c>
      <c r="B2203" s="5" t="str">
        <f t="shared" si="34"/>
        <v>2022 q2</v>
      </c>
      <c r="C2203" s="7">
        <v>9.4260999999999999</v>
      </c>
      <c r="D2203" s="7">
        <v>9.4879999999999995</v>
      </c>
      <c r="E2203" s="7">
        <v>9.6157000000000004</v>
      </c>
      <c r="F2203" s="7">
        <v>9.8017000000000003</v>
      </c>
      <c r="G2203" s="7">
        <v>9.9654000000000007</v>
      </c>
      <c r="H2203" s="7">
        <v>10.1136</v>
      </c>
      <c r="I2203" s="7">
        <v>10.556699999999999</v>
      </c>
      <c r="J2203" s="7">
        <v>10.802099999999999</v>
      </c>
      <c r="K2203" s="7">
        <v>11.043699999999999</v>
      </c>
      <c r="L2203" s="7">
        <v>11.1252</v>
      </c>
      <c r="M2203" s="7">
        <v>11.281700000000001</v>
      </c>
      <c r="N2203" s="7">
        <v>11.490399999999999</v>
      </c>
      <c r="O2203" s="7">
        <v>11.601599999999999</v>
      </c>
      <c r="P2203" s="7">
        <v>11.641400000000001</v>
      </c>
      <c r="Q2203" s="7">
        <v>11.7209</v>
      </c>
    </row>
    <row r="2204" spans="1:17">
      <c r="A2204" s="5">
        <v>44677</v>
      </c>
      <c r="B2204" s="5" t="str">
        <f t="shared" si="34"/>
        <v>2022 q2</v>
      </c>
      <c r="C2204" s="7">
        <v>9.5495000000000001</v>
      </c>
      <c r="D2204" s="7">
        <v>9.6044</v>
      </c>
      <c r="E2204" s="7">
        <v>9.7178000000000004</v>
      </c>
      <c r="F2204" s="7">
        <v>9.8840000000000003</v>
      </c>
      <c r="G2204" s="7">
        <v>10.018599999999999</v>
      </c>
      <c r="H2204" s="7">
        <v>10.151999999999999</v>
      </c>
      <c r="I2204" s="7">
        <v>10.5259</v>
      </c>
      <c r="J2204" s="7">
        <v>10.723100000000001</v>
      </c>
      <c r="K2204" s="7">
        <v>10.9183</v>
      </c>
      <c r="L2204" s="7">
        <v>10.979699999999999</v>
      </c>
      <c r="M2204" s="7">
        <v>11.099600000000001</v>
      </c>
      <c r="N2204" s="7">
        <v>11.258900000000001</v>
      </c>
      <c r="O2204" s="7">
        <v>11.341900000000001</v>
      </c>
      <c r="P2204" s="7">
        <v>11.371600000000001</v>
      </c>
      <c r="Q2204" s="7">
        <v>11.430999999999999</v>
      </c>
    </row>
    <row r="2205" spans="1:17">
      <c r="A2205" s="5">
        <v>44678</v>
      </c>
      <c r="B2205" s="5" t="str">
        <f t="shared" si="34"/>
        <v>2022 q2</v>
      </c>
      <c r="C2205" s="7">
        <v>9.6030999999999995</v>
      </c>
      <c r="D2205" s="7">
        <v>9.6493000000000002</v>
      </c>
      <c r="E2205" s="7">
        <v>9.7446000000000002</v>
      </c>
      <c r="F2205" s="7">
        <v>9.8851999999999993</v>
      </c>
      <c r="G2205" s="7">
        <v>10.0062</v>
      </c>
      <c r="H2205" s="7">
        <v>10.1267</v>
      </c>
      <c r="I2205" s="7">
        <v>10.499499999999999</v>
      </c>
      <c r="J2205" s="7">
        <v>10.730499999999999</v>
      </c>
      <c r="K2205" s="7">
        <v>10.9604</v>
      </c>
      <c r="L2205" s="7">
        <v>11.068199999999999</v>
      </c>
      <c r="M2205" s="7">
        <v>11.2818</v>
      </c>
      <c r="N2205" s="7">
        <v>11.458500000000001</v>
      </c>
      <c r="O2205" s="7">
        <v>11.5947</v>
      </c>
      <c r="P2205" s="7">
        <v>11.6439</v>
      </c>
      <c r="Q2205" s="7">
        <v>11.7424</v>
      </c>
    </row>
    <row r="2206" spans="1:17">
      <c r="A2206" s="5">
        <v>44679</v>
      </c>
      <c r="B2206" s="5" t="str">
        <f t="shared" si="34"/>
        <v>2022 q2</v>
      </c>
      <c r="C2206" s="7">
        <v>9.5652000000000008</v>
      </c>
      <c r="D2206" s="7">
        <v>9.6186000000000007</v>
      </c>
      <c r="E2206" s="7">
        <v>9.7291000000000007</v>
      </c>
      <c r="F2206" s="7">
        <v>9.8914000000000009</v>
      </c>
      <c r="G2206" s="7">
        <v>10.028499999999999</v>
      </c>
      <c r="H2206" s="7">
        <v>10.164999999999999</v>
      </c>
      <c r="I2206" s="7">
        <v>10.574</v>
      </c>
      <c r="J2206" s="7">
        <v>10.8142</v>
      </c>
      <c r="K2206" s="7">
        <v>11.0535</v>
      </c>
      <c r="L2206" s="7">
        <v>11.1389</v>
      </c>
      <c r="M2206" s="7">
        <v>11.3079</v>
      </c>
      <c r="N2206" s="7">
        <v>11.5329</v>
      </c>
      <c r="O2206" s="7">
        <v>11.657999999999999</v>
      </c>
      <c r="P2206" s="7">
        <v>11.702999999999999</v>
      </c>
      <c r="Q2206" s="7">
        <v>11.792999999999999</v>
      </c>
    </row>
    <row r="2207" spans="1:17">
      <c r="A2207" s="5">
        <v>44680</v>
      </c>
      <c r="B2207" s="5" t="str">
        <f t="shared" si="34"/>
        <v>2022 q2</v>
      </c>
      <c r="C2207" s="7">
        <v>9.5958000000000006</v>
      </c>
      <c r="D2207" s="7">
        <v>9.6415000000000006</v>
      </c>
      <c r="E2207" s="7">
        <v>9.7360000000000007</v>
      </c>
      <c r="F2207" s="7">
        <v>9.8755000000000006</v>
      </c>
      <c r="G2207" s="7">
        <v>9.9974000000000007</v>
      </c>
      <c r="H2207" s="7">
        <v>10.119</v>
      </c>
      <c r="I2207" s="7">
        <v>10.5047</v>
      </c>
      <c r="J2207" s="7">
        <v>10.754200000000001</v>
      </c>
      <c r="K2207" s="7">
        <v>11.003299999999999</v>
      </c>
      <c r="L2207" s="7">
        <v>11.1053</v>
      </c>
      <c r="M2207" s="7">
        <v>11.3086</v>
      </c>
      <c r="N2207" s="7">
        <v>11.5807</v>
      </c>
      <c r="O2207" s="7">
        <v>11.746600000000001</v>
      </c>
      <c r="P2207" s="7">
        <v>11.8072</v>
      </c>
      <c r="Q2207" s="7">
        <v>11.9284</v>
      </c>
    </row>
    <row r="2208" spans="1:17">
      <c r="A2208" s="5">
        <v>44683</v>
      </c>
      <c r="B2208" s="5" t="str">
        <f t="shared" si="34"/>
        <v>2022 q2</v>
      </c>
      <c r="C2208" s="7">
        <v>9.4376999999999995</v>
      </c>
      <c r="D2208" s="7">
        <v>9.4966000000000008</v>
      </c>
      <c r="E2208" s="7">
        <v>9.6181999999999999</v>
      </c>
      <c r="F2208" s="7">
        <v>9.8076000000000008</v>
      </c>
      <c r="G2208" s="7">
        <v>10.014099999999999</v>
      </c>
      <c r="H2208" s="7">
        <v>10.210900000000001</v>
      </c>
      <c r="I2208" s="7">
        <v>10.789300000000001</v>
      </c>
      <c r="J2208" s="7">
        <v>11.0343</v>
      </c>
      <c r="K2208" s="7">
        <v>11.279199999999999</v>
      </c>
      <c r="L2208" s="7">
        <v>11.3367</v>
      </c>
      <c r="M2208" s="7">
        <v>11.451700000000001</v>
      </c>
      <c r="N2208" s="7">
        <v>11.603300000000001</v>
      </c>
      <c r="O2208" s="7">
        <v>11.6775</v>
      </c>
      <c r="P2208" s="7">
        <v>11.704000000000001</v>
      </c>
      <c r="Q2208" s="7">
        <v>11.757</v>
      </c>
    </row>
    <row r="2209" spans="1:17">
      <c r="A2209" s="5">
        <v>44684</v>
      </c>
      <c r="B2209" s="5" t="str">
        <f t="shared" si="34"/>
        <v>2022 q2</v>
      </c>
      <c r="C2209" s="7">
        <v>9.6837999999999997</v>
      </c>
      <c r="D2209" s="7">
        <v>9.7302999999999997</v>
      </c>
      <c r="E2209" s="7">
        <v>9.8263999999999996</v>
      </c>
      <c r="F2209" s="7">
        <v>9.9700000000000006</v>
      </c>
      <c r="G2209" s="7">
        <v>10.091699999999999</v>
      </c>
      <c r="H2209" s="7">
        <v>10.2134</v>
      </c>
      <c r="I2209" s="7">
        <v>10.582100000000001</v>
      </c>
      <c r="J2209" s="7">
        <v>10.805300000000001</v>
      </c>
      <c r="K2209" s="7">
        <v>11.0274</v>
      </c>
      <c r="L2209" s="7">
        <v>11.109299999999999</v>
      </c>
      <c r="M2209" s="7">
        <v>11.273199999999999</v>
      </c>
      <c r="N2209" s="7">
        <v>11.4908</v>
      </c>
      <c r="O2209" s="7">
        <v>11.614699999999999</v>
      </c>
      <c r="P2209" s="7">
        <v>11.6594</v>
      </c>
      <c r="Q2209" s="7">
        <v>11.748799999999999</v>
      </c>
    </row>
    <row r="2210" spans="1:17">
      <c r="A2210" s="5">
        <v>44685</v>
      </c>
      <c r="B2210" s="5" t="str">
        <f t="shared" si="34"/>
        <v>2022 q2</v>
      </c>
      <c r="C2210" s="7">
        <v>9.5482999999999993</v>
      </c>
      <c r="D2210" s="7">
        <v>9.6149000000000004</v>
      </c>
      <c r="E2210" s="7">
        <v>9.7525999999999993</v>
      </c>
      <c r="F2210" s="7">
        <v>9.9573999999999998</v>
      </c>
      <c r="G2210" s="7">
        <v>10.108499999999999</v>
      </c>
      <c r="H2210" s="7">
        <v>10.2591</v>
      </c>
      <c r="I2210" s="7">
        <v>10.6296</v>
      </c>
      <c r="J2210" s="7">
        <v>10.7935</v>
      </c>
      <c r="K2210" s="7">
        <v>10.956099999999999</v>
      </c>
      <c r="L2210" s="7">
        <v>10.9983</v>
      </c>
      <c r="M2210" s="7">
        <v>11.082800000000001</v>
      </c>
      <c r="N2210" s="7">
        <v>11.193899999999999</v>
      </c>
      <c r="O2210" s="7">
        <v>11.249499999999999</v>
      </c>
      <c r="P2210" s="7">
        <v>11.2721</v>
      </c>
      <c r="Q2210" s="7">
        <v>11.305899999999999</v>
      </c>
    </row>
    <row r="2211" spans="1:17">
      <c r="A2211" s="5">
        <v>44686</v>
      </c>
      <c r="B2211" s="5" t="str">
        <f t="shared" si="34"/>
        <v>2022 q2</v>
      </c>
      <c r="C2211" s="7">
        <v>9.5980000000000008</v>
      </c>
      <c r="D2211" s="7">
        <v>9.6492000000000004</v>
      </c>
      <c r="E2211" s="7">
        <v>9.7547999999999995</v>
      </c>
      <c r="F2211" s="7">
        <v>9.9116999999999997</v>
      </c>
      <c r="G2211" s="7">
        <v>10.033899999999999</v>
      </c>
      <c r="H2211" s="7">
        <v>10.155099999999999</v>
      </c>
      <c r="I2211" s="7">
        <v>10.477</v>
      </c>
      <c r="J2211" s="7">
        <v>10.6351</v>
      </c>
      <c r="K2211" s="7">
        <v>10.791600000000001</v>
      </c>
      <c r="L2211" s="7">
        <v>10.8363</v>
      </c>
      <c r="M2211" s="7">
        <v>10.925700000000001</v>
      </c>
      <c r="N2211" s="7">
        <v>11.0435</v>
      </c>
      <c r="O2211" s="7">
        <v>11.1036</v>
      </c>
      <c r="P2211" s="7">
        <v>11.1281</v>
      </c>
      <c r="Q2211" s="7">
        <v>11.1648</v>
      </c>
    </row>
    <row r="2212" spans="1:17">
      <c r="A2212" s="5">
        <v>44687</v>
      </c>
      <c r="B2212" s="5" t="str">
        <f t="shared" si="34"/>
        <v>2022 q2</v>
      </c>
      <c r="C2212" s="7">
        <v>9.7702000000000009</v>
      </c>
      <c r="D2212" s="7">
        <v>9.7918000000000003</v>
      </c>
      <c r="E2212" s="7">
        <v>9.8363999999999994</v>
      </c>
      <c r="F2212" s="7">
        <v>9.9030000000000005</v>
      </c>
      <c r="G2212" s="7">
        <v>9.9647000000000006</v>
      </c>
      <c r="H2212" s="7">
        <v>10.026</v>
      </c>
      <c r="I2212" s="7">
        <v>10.2407</v>
      </c>
      <c r="J2212" s="7">
        <v>10.413500000000001</v>
      </c>
      <c r="K2212" s="7">
        <v>10.571</v>
      </c>
      <c r="L2212" s="7">
        <v>10.6633</v>
      </c>
      <c r="M2212" s="7">
        <v>10.847899999999999</v>
      </c>
      <c r="N2212" s="7">
        <v>11.099500000000001</v>
      </c>
      <c r="O2212" s="7">
        <v>11.302</v>
      </c>
      <c r="P2212" s="7">
        <v>11.3856</v>
      </c>
      <c r="Q2212" s="7">
        <v>11.552899999999999</v>
      </c>
    </row>
    <row r="2213" spans="1:17">
      <c r="A2213" s="5">
        <v>44691</v>
      </c>
      <c r="B2213" s="5" t="str">
        <f t="shared" si="34"/>
        <v>2022 q2</v>
      </c>
      <c r="C2213" s="7">
        <v>9.7852999999999994</v>
      </c>
      <c r="D2213" s="7">
        <v>9.8045000000000009</v>
      </c>
      <c r="E2213" s="7">
        <v>9.8443000000000005</v>
      </c>
      <c r="F2213" s="7">
        <v>9.9037000000000006</v>
      </c>
      <c r="G2213" s="7">
        <v>9.9595000000000002</v>
      </c>
      <c r="H2213" s="7">
        <v>10.015000000000001</v>
      </c>
      <c r="I2213" s="7">
        <v>10.213900000000001</v>
      </c>
      <c r="J2213" s="7">
        <v>10.380100000000001</v>
      </c>
      <c r="K2213" s="7">
        <v>10.5337</v>
      </c>
      <c r="L2213" s="7">
        <v>10.6312</v>
      </c>
      <c r="M2213" s="7">
        <v>10.8264</v>
      </c>
      <c r="N2213" s="7">
        <v>11.094799999999999</v>
      </c>
      <c r="O2213" s="7">
        <v>11.3325</v>
      </c>
      <c r="P2213" s="7">
        <v>11.437900000000001</v>
      </c>
      <c r="Q2213" s="7">
        <v>11.6487</v>
      </c>
    </row>
    <row r="2214" spans="1:17">
      <c r="A2214" s="5">
        <v>44692</v>
      </c>
      <c r="B2214" s="5" t="str">
        <f t="shared" si="34"/>
        <v>2022 q2</v>
      </c>
      <c r="C2214" s="7">
        <v>9.5511999999999997</v>
      </c>
      <c r="D2214" s="7">
        <v>9.6138999999999992</v>
      </c>
      <c r="E2214" s="7">
        <v>9.7432999999999996</v>
      </c>
      <c r="F2214" s="7">
        <v>9.9313000000000002</v>
      </c>
      <c r="G2214" s="7">
        <v>10.0688</v>
      </c>
      <c r="H2214" s="7">
        <v>10.2014</v>
      </c>
      <c r="I2214" s="7">
        <v>10.519399999999999</v>
      </c>
      <c r="J2214" s="7">
        <v>10.6533</v>
      </c>
      <c r="K2214" s="7">
        <v>10.7842</v>
      </c>
      <c r="L2214" s="7">
        <v>10.817</v>
      </c>
      <c r="M2214" s="7">
        <v>10.8828</v>
      </c>
      <c r="N2214" s="7">
        <v>10.9688</v>
      </c>
      <c r="O2214" s="7">
        <v>11.011200000000001</v>
      </c>
      <c r="P2214" s="7">
        <v>11.026400000000001</v>
      </c>
      <c r="Q2214" s="7">
        <v>11.056699999999999</v>
      </c>
    </row>
    <row r="2215" spans="1:17">
      <c r="A2215" s="5">
        <v>44693</v>
      </c>
      <c r="B2215" s="5" t="str">
        <f t="shared" si="34"/>
        <v>2022 q2</v>
      </c>
      <c r="C2215" s="7">
        <v>9.6376000000000008</v>
      </c>
      <c r="D2215" s="7">
        <v>9.6877999999999993</v>
      </c>
      <c r="E2215" s="7">
        <v>9.7912999999999997</v>
      </c>
      <c r="F2215" s="7">
        <v>9.9434000000000005</v>
      </c>
      <c r="G2215" s="7">
        <v>10.071400000000001</v>
      </c>
      <c r="H2215" s="7">
        <v>10.195399999999999</v>
      </c>
      <c r="I2215" s="7">
        <v>10.5418</v>
      </c>
      <c r="J2215" s="7">
        <v>10.718999999999999</v>
      </c>
      <c r="K2215" s="7">
        <v>10.8933</v>
      </c>
      <c r="L2215" s="7">
        <v>10.982200000000001</v>
      </c>
      <c r="M2215" s="7">
        <v>11.0594</v>
      </c>
      <c r="N2215" s="7">
        <v>11.1614</v>
      </c>
      <c r="O2215" s="7">
        <v>11.2197</v>
      </c>
      <c r="P2215" s="7">
        <v>11.2402</v>
      </c>
      <c r="Q2215" s="7">
        <v>11.2812</v>
      </c>
    </row>
    <row r="2216" spans="1:17">
      <c r="A2216" s="5">
        <v>44694</v>
      </c>
      <c r="B2216" s="5" t="str">
        <f t="shared" si="34"/>
        <v>2022 q2</v>
      </c>
      <c r="C2216" s="7">
        <v>9.6466999999999992</v>
      </c>
      <c r="D2216" s="7">
        <v>9.6952999999999996</v>
      </c>
      <c r="E2216" s="7">
        <v>9.7954000000000008</v>
      </c>
      <c r="F2216" s="7">
        <v>9.9423999999999992</v>
      </c>
      <c r="G2216" s="7">
        <v>10.0665</v>
      </c>
      <c r="H2216" s="7">
        <v>10.186400000000001</v>
      </c>
      <c r="I2216" s="7">
        <v>10.5242</v>
      </c>
      <c r="J2216" s="7">
        <v>10.700100000000001</v>
      </c>
      <c r="K2216" s="7">
        <v>10.873100000000001</v>
      </c>
      <c r="L2216" s="7">
        <v>10.9634</v>
      </c>
      <c r="M2216" s="7">
        <v>11.044600000000001</v>
      </c>
      <c r="N2216" s="7">
        <v>11.151999999999999</v>
      </c>
      <c r="O2216" s="7">
        <v>11.2157</v>
      </c>
      <c r="P2216" s="7">
        <v>11.238200000000001</v>
      </c>
      <c r="Q2216" s="7">
        <v>11.2834</v>
      </c>
    </row>
    <row r="2217" spans="1:17">
      <c r="A2217" s="5">
        <v>44697</v>
      </c>
      <c r="B2217" s="5" t="str">
        <f t="shared" si="34"/>
        <v>2022 q2</v>
      </c>
      <c r="C2217" s="7">
        <v>9.7218</v>
      </c>
      <c r="D2217" s="7">
        <v>9.7575000000000003</v>
      </c>
      <c r="E2217" s="7">
        <v>9.8312000000000008</v>
      </c>
      <c r="F2217" s="7">
        <v>9.9397000000000002</v>
      </c>
      <c r="G2217" s="7">
        <v>10.036099999999999</v>
      </c>
      <c r="H2217" s="7">
        <v>10.129799999999999</v>
      </c>
      <c r="I2217" s="7">
        <v>10.420999999999999</v>
      </c>
      <c r="J2217" s="7">
        <v>10.6021</v>
      </c>
      <c r="K2217" s="7">
        <v>10.7805</v>
      </c>
      <c r="L2217" s="7">
        <v>10.8909</v>
      </c>
      <c r="M2217" s="7">
        <v>11.0068</v>
      </c>
      <c r="N2217" s="7">
        <v>11.1614</v>
      </c>
      <c r="O2217" s="7">
        <v>11.264900000000001</v>
      </c>
      <c r="P2217" s="7">
        <v>11.302300000000001</v>
      </c>
      <c r="Q2217" s="7">
        <v>11.3773</v>
      </c>
    </row>
    <row r="2218" spans="1:17">
      <c r="A2218" s="5">
        <v>44698</v>
      </c>
      <c r="B2218" s="5" t="str">
        <f t="shared" si="34"/>
        <v>2022 q2</v>
      </c>
      <c r="C2218" s="7">
        <v>9.7225999999999999</v>
      </c>
      <c r="D2218" s="7">
        <v>9.7682000000000002</v>
      </c>
      <c r="E2218" s="7">
        <v>9.8623999999999992</v>
      </c>
      <c r="F2218" s="7">
        <v>10.0002</v>
      </c>
      <c r="G2218" s="7">
        <v>10.1211</v>
      </c>
      <c r="H2218" s="7">
        <v>10.216699999999999</v>
      </c>
      <c r="I2218" s="7">
        <v>10.5472</v>
      </c>
      <c r="J2218" s="7">
        <v>10.7189</v>
      </c>
      <c r="K2218" s="7">
        <v>10.886900000000001</v>
      </c>
      <c r="L2218" s="7">
        <v>10.9781</v>
      </c>
      <c r="M2218" s="7">
        <v>11.065</v>
      </c>
      <c r="N2218" s="7">
        <v>11.180099999999999</v>
      </c>
      <c r="O2218" s="7">
        <v>11.251899999999999</v>
      </c>
      <c r="P2218" s="7">
        <v>11.277699999999999</v>
      </c>
      <c r="Q2218" s="7">
        <v>11.3293</v>
      </c>
    </row>
    <row r="2219" spans="1:17">
      <c r="A2219" s="5">
        <v>44699</v>
      </c>
      <c r="B2219" s="5" t="str">
        <f t="shared" si="34"/>
        <v>2022 q2</v>
      </c>
      <c r="C2219" s="7">
        <v>9.7218</v>
      </c>
      <c r="D2219" s="7">
        <v>9.7677999999999994</v>
      </c>
      <c r="E2219" s="7">
        <v>9.8627000000000002</v>
      </c>
      <c r="F2219" s="7">
        <v>10.001300000000001</v>
      </c>
      <c r="G2219" s="7">
        <v>10.1227</v>
      </c>
      <c r="H2219" s="7">
        <v>10.2179</v>
      </c>
      <c r="I2219" s="7">
        <v>10.5467</v>
      </c>
      <c r="J2219" s="7">
        <v>10.7156</v>
      </c>
      <c r="K2219" s="7">
        <v>10.880699999999999</v>
      </c>
      <c r="L2219" s="7">
        <v>10.9694</v>
      </c>
      <c r="M2219" s="7">
        <v>11.053599999999999</v>
      </c>
      <c r="N2219" s="7">
        <v>11.164899999999999</v>
      </c>
      <c r="O2219" s="7">
        <v>11.2341</v>
      </c>
      <c r="P2219" s="7">
        <v>11.259</v>
      </c>
      <c r="Q2219" s="7">
        <v>11.3087</v>
      </c>
    </row>
    <row r="2220" spans="1:17">
      <c r="A2220" s="5">
        <v>44700</v>
      </c>
      <c r="B2220" s="5" t="str">
        <f t="shared" si="34"/>
        <v>2022 q2</v>
      </c>
      <c r="C2220" s="7">
        <v>9.5680999999999994</v>
      </c>
      <c r="D2220" s="7">
        <v>9.6448</v>
      </c>
      <c r="E2220" s="7">
        <v>9.8032000000000004</v>
      </c>
      <c r="F2220" s="7">
        <v>10.0291</v>
      </c>
      <c r="G2220" s="7">
        <v>10.207000000000001</v>
      </c>
      <c r="H2220" s="7">
        <v>10.3261</v>
      </c>
      <c r="I2220" s="7">
        <v>10.6967</v>
      </c>
      <c r="J2220" s="7">
        <v>10.828900000000001</v>
      </c>
      <c r="K2220" s="7">
        <v>10.9572</v>
      </c>
      <c r="L2220" s="7">
        <v>11.012600000000001</v>
      </c>
      <c r="M2220" s="7">
        <v>11.0608</v>
      </c>
      <c r="N2220" s="7">
        <v>11.1244</v>
      </c>
      <c r="O2220" s="7">
        <v>11.162599999999999</v>
      </c>
      <c r="P2220" s="7">
        <v>11.176299999999999</v>
      </c>
      <c r="Q2220" s="7">
        <v>11.203799999999999</v>
      </c>
    </row>
    <row r="2221" spans="1:17">
      <c r="A2221" s="5">
        <v>44701</v>
      </c>
      <c r="B2221" s="5" t="str">
        <f t="shared" si="34"/>
        <v>2022 q2</v>
      </c>
      <c r="C2221" s="7">
        <v>9.7687000000000008</v>
      </c>
      <c r="D2221" s="7">
        <v>9.8077000000000005</v>
      </c>
      <c r="E2221" s="7">
        <v>9.8880999999999997</v>
      </c>
      <c r="F2221" s="7">
        <v>10.005699999999999</v>
      </c>
      <c r="G2221" s="7">
        <v>10.1111</v>
      </c>
      <c r="H2221" s="7">
        <v>10.1959</v>
      </c>
      <c r="I2221" s="7">
        <v>10.4971</v>
      </c>
      <c r="J2221" s="7">
        <v>10.666399999999999</v>
      </c>
      <c r="K2221" s="7">
        <v>10.829599999999999</v>
      </c>
      <c r="L2221" s="7">
        <v>10.8863</v>
      </c>
      <c r="M2221" s="7">
        <v>10.9998</v>
      </c>
      <c r="N2221" s="7">
        <v>11.148199999999999</v>
      </c>
      <c r="O2221" s="7">
        <v>11.2288</v>
      </c>
      <c r="P2221" s="7">
        <v>11.257899999999999</v>
      </c>
      <c r="Q2221" s="7">
        <v>11.315899999999999</v>
      </c>
    </row>
    <row r="2222" spans="1:17">
      <c r="A2222" s="5">
        <v>44704</v>
      </c>
      <c r="B2222" s="5" t="str">
        <f t="shared" si="34"/>
        <v>2022 q2</v>
      </c>
      <c r="C2222" s="7">
        <v>9.7774999999999999</v>
      </c>
      <c r="D2222" s="7">
        <v>9.8153000000000006</v>
      </c>
      <c r="E2222" s="7">
        <v>9.8933</v>
      </c>
      <c r="F2222" s="7">
        <v>10.007300000000001</v>
      </c>
      <c r="G2222" s="7">
        <v>10.1107</v>
      </c>
      <c r="H2222" s="7">
        <v>10.194900000000001</v>
      </c>
      <c r="I2222" s="7">
        <v>10.4975</v>
      </c>
      <c r="J2222" s="7">
        <v>10.674899999999999</v>
      </c>
      <c r="K2222" s="7">
        <v>10.845800000000001</v>
      </c>
      <c r="L2222" s="7">
        <v>10.9085</v>
      </c>
      <c r="M2222" s="7">
        <v>11.0341</v>
      </c>
      <c r="N2222" s="7">
        <v>11.198399999999999</v>
      </c>
      <c r="O2222" s="7">
        <v>11.2903</v>
      </c>
      <c r="P2222" s="7">
        <v>11.323499999999999</v>
      </c>
      <c r="Q2222" s="7">
        <v>11.389900000000001</v>
      </c>
    </row>
    <row r="2223" spans="1:17">
      <c r="A2223" s="5">
        <v>44705</v>
      </c>
      <c r="B2223" s="5" t="str">
        <f t="shared" si="34"/>
        <v>2022 q2</v>
      </c>
      <c r="C2223" s="7">
        <v>9.7353000000000005</v>
      </c>
      <c r="D2223" s="7">
        <v>9.7773000000000003</v>
      </c>
      <c r="E2223" s="7">
        <v>9.8638999999999992</v>
      </c>
      <c r="F2223" s="7">
        <v>9.9802</v>
      </c>
      <c r="G2223" s="7">
        <v>10.094200000000001</v>
      </c>
      <c r="H2223" s="7">
        <v>10.1829</v>
      </c>
      <c r="I2223" s="7">
        <v>10.4983</v>
      </c>
      <c r="J2223" s="7">
        <v>10.678599999999999</v>
      </c>
      <c r="K2223" s="7">
        <v>10.851000000000001</v>
      </c>
      <c r="L2223" s="7">
        <v>10.9123</v>
      </c>
      <c r="M2223" s="7">
        <v>11.034700000000001</v>
      </c>
      <c r="N2223" s="7">
        <v>11.1945</v>
      </c>
      <c r="O2223" s="7">
        <v>11.282</v>
      </c>
      <c r="P2223" s="7">
        <v>11.313599999999999</v>
      </c>
      <c r="Q2223" s="7">
        <v>11.3767</v>
      </c>
    </row>
    <row r="2224" spans="1:17">
      <c r="A2224" s="5">
        <v>44706</v>
      </c>
      <c r="B2224" s="5" t="str">
        <f t="shared" si="34"/>
        <v>2022 q2</v>
      </c>
      <c r="C2224" s="7">
        <v>9.7368000000000006</v>
      </c>
      <c r="D2224" s="7">
        <v>9.7788000000000004</v>
      </c>
      <c r="E2224" s="7">
        <v>9.8656000000000006</v>
      </c>
      <c r="F2224" s="7">
        <v>9.9817999999999998</v>
      </c>
      <c r="G2224" s="7">
        <v>10.0959</v>
      </c>
      <c r="H2224" s="7">
        <v>10.1843</v>
      </c>
      <c r="I2224" s="7">
        <v>10.499499999999999</v>
      </c>
      <c r="J2224" s="7">
        <v>10.679600000000001</v>
      </c>
      <c r="K2224" s="7">
        <v>10.851699999999999</v>
      </c>
      <c r="L2224" s="7">
        <v>10.912800000000001</v>
      </c>
      <c r="M2224" s="7">
        <v>11.0351</v>
      </c>
      <c r="N2224" s="7">
        <v>11.1945</v>
      </c>
      <c r="O2224" s="7">
        <v>11.281700000000001</v>
      </c>
      <c r="P2224" s="7">
        <v>11.3132</v>
      </c>
      <c r="Q2224" s="7">
        <v>11.376200000000001</v>
      </c>
    </row>
    <row r="2225" spans="1:17">
      <c r="A2225" s="5">
        <v>44707</v>
      </c>
      <c r="B2225" s="5" t="str">
        <f t="shared" si="34"/>
        <v>2022 q2</v>
      </c>
      <c r="C2225" s="7">
        <v>9.8169000000000004</v>
      </c>
      <c r="D2225" s="7">
        <v>9.8503000000000007</v>
      </c>
      <c r="E2225" s="7">
        <v>9.9193999999999996</v>
      </c>
      <c r="F2225" s="7">
        <v>10.0143</v>
      </c>
      <c r="G2225" s="7">
        <v>10.107900000000001</v>
      </c>
      <c r="H2225" s="7">
        <v>10.184200000000001</v>
      </c>
      <c r="I2225" s="7">
        <v>10.4635</v>
      </c>
      <c r="J2225" s="7">
        <v>10.6424</v>
      </c>
      <c r="K2225" s="7">
        <v>10.816800000000001</v>
      </c>
      <c r="L2225" s="7">
        <v>10.9283</v>
      </c>
      <c r="M2225" s="7">
        <v>11.0512</v>
      </c>
      <c r="N2225" s="7">
        <v>11.214499999999999</v>
      </c>
      <c r="O2225" s="7">
        <v>11.327299999999999</v>
      </c>
      <c r="P2225" s="7">
        <v>11.368600000000001</v>
      </c>
      <c r="Q2225" s="7">
        <v>11.4511</v>
      </c>
    </row>
    <row r="2226" spans="1:17">
      <c r="A2226" s="5">
        <v>44708</v>
      </c>
      <c r="B2226" s="5" t="str">
        <f t="shared" si="34"/>
        <v>2022 q2</v>
      </c>
      <c r="C2226" s="7">
        <v>9.8512000000000004</v>
      </c>
      <c r="D2226" s="7">
        <v>9.8792000000000009</v>
      </c>
      <c r="E2226" s="7">
        <v>9.9370999999999992</v>
      </c>
      <c r="F2226" s="7">
        <v>10.018000000000001</v>
      </c>
      <c r="G2226" s="7">
        <v>10.0982</v>
      </c>
      <c r="H2226" s="7">
        <v>10.1663</v>
      </c>
      <c r="I2226" s="7">
        <v>10.4209</v>
      </c>
      <c r="J2226" s="7">
        <v>10.600199999999999</v>
      </c>
      <c r="K2226" s="7">
        <v>10.7723</v>
      </c>
      <c r="L2226" s="7">
        <v>10.855700000000001</v>
      </c>
      <c r="M2226" s="7">
        <v>11.022500000000001</v>
      </c>
      <c r="N2226" s="7">
        <v>11.243499999999999</v>
      </c>
      <c r="O2226" s="7">
        <v>11.3939</v>
      </c>
      <c r="P2226" s="7">
        <v>11.451000000000001</v>
      </c>
      <c r="Q2226" s="7">
        <v>11.565300000000001</v>
      </c>
    </row>
    <row r="2227" spans="1:17">
      <c r="A2227" s="5">
        <v>44711</v>
      </c>
      <c r="B2227" s="5" t="str">
        <f t="shared" si="34"/>
        <v>2022 q2</v>
      </c>
      <c r="C2227" s="7">
        <v>9.8775999999999993</v>
      </c>
      <c r="D2227" s="7">
        <v>9.9024000000000001</v>
      </c>
      <c r="E2227" s="7">
        <v>9.9534000000000002</v>
      </c>
      <c r="F2227" s="7">
        <v>10.0258</v>
      </c>
      <c r="G2227" s="7">
        <v>10.0976</v>
      </c>
      <c r="H2227" s="7">
        <v>10.160399999999999</v>
      </c>
      <c r="I2227" s="7">
        <v>10.398300000000001</v>
      </c>
      <c r="J2227" s="7">
        <v>10.5769</v>
      </c>
      <c r="K2227" s="7">
        <v>10.748900000000001</v>
      </c>
      <c r="L2227" s="7">
        <v>10.8422</v>
      </c>
      <c r="M2227" s="7">
        <v>11.0288</v>
      </c>
      <c r="N2227" s="7">
        <v>11.278499999999999</v>
      </c>
      <c r="O2227" s="7">
        <v>11.467700000000001</v>
      </c>
      <c r="P2227" s="7">
        <v>11.5434</v>
      </c>
      <c r="Q2227" s="7">
        <v>11.694699999999999</v>
      </c>
    </row>
    <row r="2228" spans="1:17">
      <c r="A2228" s="5">
        <v>44712</v>
      </c>
      <c r="B2228" s="5" t="str">
        <f t="shared" si="34"/>
        <v>2022 q2</v>
      </c>
      <c r="C2228" s="7">
        <v>9.8689999999999998</v>
      </c>
      <c r="D2228" s="7">
        <v>9.8941999999999997</v>
      </c>
      <c r="E2228" s="7">
        <v>9.9464000000000006</v>
      </c>
      <c r="F2228" s="7">
        <v>10.020099999999999</v>
      </c>
      <c r="G2228" s="7">
        <v>10.093500000000001</v>
      </c>
      <c r="H2228" s="7">
        <v>10.1572</v>
      </c>
      <c r="I2228" s="7">
        <v>10.399100000000001</v>
      </c>
      <c r="J2228" s="7">
        <v>10.580500000000001</v>
      </c>
      <c r="K2228" s="7">
        <v>10.7545</v>
      </c>
      <c r="L2228" s="7">
        <v>10.848699999999999</v>
      </c>
      <c r="M2228" s="7">
        <v>11.0372</v>
      </c>
      <c r="N2228" s="7">
        <v>11.2888</v>
      </c>
      <c r="O2228" s="7">
        <v>11.4785</v>
      </c>
      <c r="P2228" s="7">
        <v>11.5542</v>
      </c>
      <c r="Q2228" s="7">
        <v>11.705500000000001</v>
      </c>
    </row>
    <row r="2229" spans="1:17">
      <c r="A2229" s="5">
        <v>44713</v>
      </c>
      <c r="B2229" s="5" t="str">
        <f t="shared" si="34"/>
        <v>2022 q2</v>
      </c>
      <c r="C2229" s="7">
        <v>9.8447999999999993</v>
      </c>
      <c r="D2229" s="7">
        <v>9.8739000000000008</v>
      </c>
      <c r="E2229" s="7">
        <v>9.9338999999999995</v>
      </c>
      <c r="F2229" s="7">
        <v>10.017300000000001</v>
      </c>
      <c r="G2229" s="7">
        <v>10.100300000000001</v>
      </c>
      <c r="H2229" s="7">
        <v>10.169600000000001</v>
      </c>
      <c r="I2229" s="7">
        <v>10.430300000000001</v>
      </c>
      <c r="J2229" s="7">
        <v>10.6129</v>
      </c>
      <c r="K2229" s="7">
        <v>10.786799999999999</v>
      </c>
      <c r="L2229" s="7">
        <v>10.870200000000001</v>
      </c>
      <c r="M2229" s="7">
        <v>11.0372</v>
      </c>
      <c r="N2229" s="7">
        <v>11.257400000000001</v>
      </c>
      <c r="O2229" s="7">
        <v>11.405200000000001</v>
      </c>
      <c r="P2229" s="7">
        <v>11.4611</v>
      </c>
      <c r="Q2229" s="7">
        <v>11.572900000000001</v>
      </c>
    </row>
    <row r="2230" spans="1:17">
      <c r="A2230" s="5">
        <v>44714</v>
      </c>
      <c r="B2230" s="5" t="str">
        <f t="shared" si="34"/>
        <v>2022 q2</v>
      </c>
      <c r="C2230" s="7">
        <v>9.9031000000000002</v>
      </c>
      <c r="D2230" s="7">
        <v>9.9238999999999997</v>
      </c>
      <c r="E2230" s="7">
        <v>9.9666999999999994</v>
      </c>
      <c r="F2230" s="7">
        <v>10.0282</v>
      </c>
      <c r="G2230" s="7">
        <v>10.089499999999999</v>
      </c>
      <c r="H2230" s="7">
        <v>10.144399999999999</v>
      </c>
      <c r="I2230" s="7">
        <v>10.3561</v>
      </c>
      <c r="J2230" s="7">
        <v>10.5266</v>
      </c>
      <c r="K2230" s="7">
        <v>10.691000000000001</v>
      </c>
      <c r="L2230" s="7">
        <v>10.793100000000001</v>
      </c>
      <c r="M2230" s="7">
        <v>10.997400000000001</v>
      </c>
      <c r="N2230" s="7">
        <v>11.2742</v>
      </c>
      <c r="O2230" s="7">
        <v>11.5162</v>
      </c>
      <c r="P2230" s="7">
        <v>11.6229</v>
      </c>
      <c r="Q2230" s="7">
        <v>11.8362</v>
      </c>
    </row>
    <row r="2231" spans="1:17">
      <c r="A2231" s="5">
        <v>44715</v>
      </c>
      <c r="B2231" s="5" t="str">
        <f t="shared" si="34"/>
        <v>2022 q2</v>
      </c>
      <c r="C2231" s="7">
        <v>9.8896999999999995</v>
      </c>
      <c r="D2231" s="7">
        <v>9.9123000000000001</v>
      </c>
      <c r="E2231" s="7">
        <v>9.9588000000000001</v>
      </c>
      <c r="F2231" s="7">
        <v>10.0251</v>
      </c>
      <c r="G2231" s="7">
        <v>10.091200000000001</v>
      </c>
      <c r="H2231" s="7">
        <v>10.1496</v>
      </c>
      <c r="I2231" s="7">
        <v>10.3741</v>
      </c>
      <c r="J2231" s="7">
        <v>10.550599999999999</v>
      </c>
      <c r="K2231" s="7">
        <v>10.72</v>
      </c>
      <c r="L2231" s="7">
        <v>10.8203</v>
      </c>
      <c r="M2231" s="7">
        <v>11.021000000000001</v>
      </c>
      <c r="N2231" s="7">
        <v>11.2911</v>
      </c>
      <c r="O2231" s="7">
        <v>11.5143</v>
      </c>
      <c r="P2231" s="7">
        <v>11.608700000000001</v>
      </c>
      <c r="Q2231" s="7">
        <v>11.797599999999999</v>
      </c>
    </row>
    <row r="2232" spans="1:17">
      <c r="A2232" s="5">
        <v>44718</v>
      </c>
      <c r="B2232" s="5" t="str">
        <f t="shared" si="34"/>
        <v>2022 q2</v>
      </c>
      <c r="C2232" s="7">
        <v>9.8042999999999996</v>
      </c>
      <c r="D2232" s="7">
        <v>9.8314000000000004</v>
      </c>
      <c r="E2232" s="7">
        <v>9.8874999999999993</v>
      </c>
      <c r="F2232" s="7">
        <v>9.9652999999999992</v>
      </c>
      <c r="G2232" s="7">
        <v>10.042999999999999</v>
      </c>
      <c r="H2232" s="7">
        <v>10.116300000000001</v>
      </c>
      <c r="I2232" s="7">
        <v>10.3706</v>
      </c>
      <c r="J2232" s="7">
        <v>10.5634</v>
      </c>
      <c r="K2232" s="7">
        <v>10.751300000000001</v>
      </c>
      <c r="L2232" s="7">
        <v>10.8889</v>
      </c>
      <c r="M2232" s="7">
        <v>11.067399999999999</v>
      </c>
      <c r="N2232" s="7">
        <v>11.3072</v>
      </c>
      <c r="O2232" s="7">
        <v>11.503500000000001</v>
      </c>
      <c r="P2232" s="7">
        <v>11.5814</v>
      </c>
      <c r="Q2232" s="7">
        <v>11.737299999999999</v>
      </c>
    </row>
    <row r="2233" spans="1:17">
      <c r="A2233" s="5">
        <v>44719</v>
      </c>
      <c r="B2233" s="5" t="str">
        <f t="shared" si="34"/>
        <v>2022 q2</v>
      </c>
      <c r="C2233" s="7">
        <v>9.7308000000000003</v>
      </c>
      <c r="D2233" s="7">
        <v>9.7719000000000005</v>
      </c>
      <c r="E2233" s="7">
        <v>9.8567</v>
      </c>
      <c r="F2233" s="7">
        <v>9.9762000000000004</v>
      </c>
      <c r="G2233" s="7">
        <v>10.084199999999999</v>
      </c>
      <c r="H2233" s="7">
        <v>10.1919</v>
      </c>
      <c r="I2233" s="7">
        <v>10.5046</v>
      </c>
      <c r="J2233" s="7">
        <v>10.7028</v>
      </c>
      <c r="K2233" s="7">
        <v>10.887700000000001</v>
      </c>
      <c r="L2233" s="7">
        <v>10.959099999999999</v>
      </c>
      <c r="M2233" s="7">
        <v>11.101800000000001</v>
      </c>
      <c r="N2233" s="7">
        <v>11.2866</v>
      </c>
      <c r="O2233" s="7">
        <v>11.391299999999999</v>
      </c>
      <c r="P2233" s="7">
        <v>11.4293</v>
      </c>
      <c r="Q2233" s="7">
        <v>11.5053</v>
      </c>
    </row>
    <row r="2234" spans="1:17">
      <c r="A2234" s="5">
        <v>44720</v>
      </c>
      <c r="B2234" s="5" t="str">
        <f t="shared" si="34"/>
        <v>2022 q2</v>
      </c>
      <c r="C2234" s="7">
        <v>9.7538</v>
      </c>
      <c r="D2234" s="7">
        <v>9.7895000000000003</v>
      </c>
      <c r="E2234" s="7">
        <v>9.8633000000000006</v>
      </c>
      <c r="F2234" s="7">
        <v>9.9681999999999995</v>
      </c>
      <c r="G2234" s="7">
        <v>10.0648</v>
      </c>
      <c r="H2234" s="7">
        <v>10.161</v>
      </c>
      <c r="I2234" s="7">
        <v>10.4552</v>
      </c>
      <c r="J2234" s="7">
        <v>10.655200000000001</v>
      </c>
      <c r="K2234" s="7">
        <v>10.842599999999999</v>
      </c>
      <c r="L2234" s="7">
        <v>10.9237</v>
      </c>
      <c r="M2234" s="7">
        <v>11.085900000000001</v>
      </c>
      <c r="N2234" s="7">
        <v>11.297000000000001</v>
      </c>
      <c r="O2234" s="7">
        <v>11.4261</v>
      </c>
      <c r="P2234" s="7">
        <v>11.473599999999999</v>
      </c>
      <c r="Q2234" s="7">
        <v>11.5688</v>
      </c>
    </row>
    <row r="2235" spans="1:17">
      <c r="A2235" s="5">
        <v>44721</v>
      </c>
      <c r="B2235" s="5" t="str">
        <f t="shared" si="34"/>
        <v>2022 q2</v>
      </c>
      <c r="C2235" s="7">
        <v>9.7118000000000002</v>
      </c>
      <c r="D2235" s="7">
        <v>9.7497000000000007</v>
      </c>
      <c r="E2235" s="7">
        <v>9.8280999999999992</v>
      </c>
      <c r="F2235" s="7">
        <v>9.9389000000000003</v>
      </c>
      <c r="G2235" s="7">
        <v>10.0405</v>
      </c>
      <c r="H2235" s="7">
        <v>10.141400000000001</v>
      </c>
      <c r="I2235" s="7">
        <v>10.445</v>
      </c>
      <c r="J2235" s="7">
        <v>10.646599999999999</v>
      </c>
      <c r="K2235" s="7">
        <v>10.8348</v>
      </c>
      <c r="L2235" s="7">
        <v>10.913</v>
      </c>
      <c r="M2235" s="7">
        <v>11.0695</v>
      </c>
      <c r="N2235" s="7">
        <v>11.272600000000001</v>
      </c>
      <c r="O2235" s="7">
        <v>11.3932</v>
      </c>
      <c r="P2235" s="7">
        <v>11.4373</v>
      </c>
      <c r="Q2235" s="7">
        <v>11.525600000000001</v>
      </c>
    </row>
    <row r="2236" spans="1:17">
      <c r="A2236" s="5">
        <v>44722</v>
      </c>
      <c r="B2236" s="5" t="str">
        <f t="shared" si="34"/>
        <v>2022 q2</v>
      </c>
      <c r="C2236" s="7">
        <v>9.6821999999999999</v>
      </c>
      <c r="D2236" s="7">
        <v>9.7254000000000005</v>
      </c>
      <c r="E2236" s="7">
        <v>9.8146000000000004</v>
      </c>
      <c r="F2236" s="7">
        <v>9.9391999999999996</v>
      </c>
      <c r="G2236" s="7">
        <v>10.0517</v>
      </c>
      <c r="H2236" s="7">
        <v>10.163</v>
      </c>
      <c r="I2236" s="7">
        <v>10.482100000000001</v>
      </c>
      <c r="J2236" s="7">
        <v>10.680300000000001</v>
      </c>
      <c r="K2236" s="7">
        <v>10.864000000000001</v>
      </c>
      <c r="L2236" s="7">
        <v>10.9328</v>
      </c>
      <c r="M2236" s="7">
        <v>11.0703</v>
      </c>
      <c r="N2236" s="7">
        <v>11.2477</v>
      </c>
      <c r="O2236" s="7">
        <v>11.3462</v>
      </c>
      <c r="P2236" s="7">
        <v>11.3819</v>
      </c>
      <c r="Q2236" s="7">
        <v>11.4533</v>
      </c>
    </row>
    <row r="2237" spans="1:17">
      <c r="A2237" s="5">
        <v>44725</v>
      </c>
      <c r="B2237" s="5" t="str">
        <f t="shared" si="34"/>
        <v>2022 q2</v>
      </c>
      <c r="C2237" s="7">
        <v>9.6890999999999998</v>
      </c>
      <c r="D2237" s="7">
        <v>9.7314000000000007</v>
      </c>
      <c r="E2237" s="7">
        <v>9.8187999999999995</v>
      </c>
      <c r="F2237" s="7">
        <v>9.9410000000000007</v>
      </c>
      <c r="G2237" s="7">
        <v>10.052099999999999</v>
      </c>
      <c r="H2237" s="7">
        <v>10.1616</v>
      </c>
      <c r="I2237" s="7">
        <v>10.4802</v>
      </c>
      <c r="J2237" s="7">
        <v>10.681699999999999</v>
      </c>
      <c r="K2237" s="7">
        <v>10.8682</v>
      </c>
      <c r="L2237" s="7">
        <v>10.94</v>
      </c>
      <c r="M2237" s="7">
        <v>11.083600000000001</v>
      </c>
      <c r="N2237" s="7">
        <v>11.2689</v>
      </c>
      <c r="O2237" s="7">
        <v>11.3733</v>
      </c>
      <c r="P2237" s="7">
        <v>11.411199999999999</v>
      </c>
      <c r="Q2237" s="7">
        <v>11.487</v>
      </c>
    </row>
    <row r="2238" spans="1:17">
      <c r="A2238" s="5">
        <v>44726</v>
      </c>
      <c r="B2238" s="5" t="str">
        <f t="shared" si="34"/>
        <v>2022 q2</v>
      </c>
      <c r="C2238" s="7">
        <v>10.101000000000001</v>
      </c>
      <c r="D2238" s="7">
        <v>10.070600000000001</v>
      </c>
      <c r="E2238" s="7">
        <v>10.007899999999999</v>
      </c>
      <c r="F2238" s="7">
        <v>10.0047</v>
      </c>
      <c r="G2238" s="7">
        <v>10.1007</v>
      </c>
      <c r="H2238" s="7">
        <v>10.1983</v>
      </c>
      <c r="I2238" s="7">
        <v>10.625</v>
      </c>
      <c r="J2238" s="7">
        <v>10.8543</v>
      </c>
      <c r="K2238" s="7">
        <v>11.0077</v>
      </c>
      <c r="L2238" s="7">
        <v>11.0525</v>
      </c>
      <c r="M2238" s="7">
        <v>11.142099999999999</v>
      </c>
      <c r="N2238" s="7">
        <v>11.2562</v>
      </c>
      <c r="O2238" s="7">
        <v>11.3117</v>
      </c>
      <c r="P2238" s="7">
        <v>11.3317</v>
      </c>
      <c r="Q2238" s="7">
        <v>11.371700000000001</v>
      </c>
    </row>
    <row r="2239" spans="1:17">
      <c r="A2239" s="5">
        <v>44727</v>
      </c>
      <c r="B2239" s="5" t="str">
        <f t="shared" si="34"/>
        <v>2022 q2</v>
      </c>
      <c r="C2239" s="7">
        <v>10.120100000000001</v>
      </c>
      <c r="D2239" s="7">
        <v>10.0802</v>
      </c>
      <c r="E2239" s="7">
        <v>9.9978999999999996</v>
      </c>
      <c r="F2239" s="7">
        <v>9.9929000000000006</v>
      </c>
      <c r="G2239" s="7">
        <v>10.111499999999999</v>
      </c>
      <c r="H2239" s="7">
        <v>10.2301</v>
      </c>
      <c r="I2239" s="7">
        <v>10.677899999999999</v>
      </c>
      <c r="J2239" s="7">
        <v>10.907400000000001</v>
      </c>
      <c r="K2239" s="7">
        <v>11.0228</v>
      </c>
      <c r="L2239" s="7">
        <v>11.0619</v>
      </c>
      <c r="M2239" s="7">
        <v>11.1401</v>
      </c>
      <c r="N2239" s="7">
        <v>11.2395</v>
      </c>
      <c r="O2239" s="7">
        <v>11.287800000000001</v>
      </c>
      <c r="P2239" s="7">
        <v>11.305199999999999</v>
      </c>
      <c r="Q2239" s="7">
        <v>11.34</v>
      </c>
    </row>
    <row r="2240" spans="1:17">
      <c r="A2240" s="5">
        <v>44728</v>
      </c>
      <c r="B2240" s="5" t="str">
        <f t="shared" si="34"/>
        <v>2022 q2</v>
      </c>
      <c r="C2240" s="7">
        <v>10.0739</v>
      </c>
      <c r="D2240" s="7">
        <v>10.054500000000001</v>
      </c>
      <c r="E2240" s="7">
        <v>10.0144</v>
      </c>
      <c r="F2240" s="7">
        <v>10.029299999999999</v>
      </c>
      <c r="G2240" s="7">
        <v>10.119300000000001</v>
      </c>
      <c r="H2240" s="7">
        <v>10.211600000000001</v>
      </c>
      <c r="I2240" s="7">
        <v>10.632400000000001</v>
      </c>
      <c r="J2240" s="7">
        <v>10.893000000000001</v>
      </c>
      <c r="K2240" s="7">
        <v>11.0358</v>
      </c>
      <c r="L2240" s="7">
        <v>11.085699999999999</v>
      </c>
      <c r="M2240" s="7">
        <v>11.185499999999999</v>
      </c>
      <c r="N2240" s="7">
        <v>11.3123</v>
      </c>
      <c r="O2240" s="7">
        <v>11.3741</v>
      </c>
      <c r="P2240" s="7">
        <v>11.3964</v>
      </c>
      <c r="Q2240" s="7">
        <v>11.441000000000001</v>
      </c>
    </row>
    <row r="2241" spans="1:17">
      <c r="A2241" s="5">
        <v>44729</v>
      </c>
      <c r="B2241" s="5" t="str">
        <f t="shared" si="34"/>
        <v>2022 q2</v>
      </c>
      <c r="C2241" s="7">
        <v>10.1264</v>
      </c>
      <c r="D2241" s="7">
        <v>10.082000000000001</v>
      </c>
      <c r="E2241" s="7">
        <v>9.9903999999999993</v>
      </c>
      <c r="F2241" s="7">
        <v>9.9885999999999999</v>
      </c>
      <c r="G2241" s="7">
        <v>10.116899999999999</v>
      </c>
      <c r="H2241" s="7">
        <v>10.2448</v>
      </c>
      <c r="I2241" s="7">
        <v>10.715</v>
      </c>
      <c r="J2241" s="7">
        <v>10.9514</v>
      </c>
      <c r="K2241" s="7">
        <v>11.0693</v>
      </c>
      <c r="L2241" s="7">
        <v>11.109299999999999</v>
      </c>
      <c r="M2241" s="7">
        <v>11.189299999999999</v>
      </c>
      <c r="N2241" s="7">
        <v>11.290900000000001</v>
      </c>
      <c r="O2241" s="7">
        <v>11.340199999999999</v>
      </c>
      <c r="P2241" s="7">
        <v>11.358000000000001</v>
      </c>
      <c r="Q2241" s="7">
        <v>11.3935</v>
      </c>
    </row>
    <row r="2242" spans="1:17">
      <c r="A2242" s="5">
        <v>44732</v>
      </c>
      <c r="B2242" s="5" t="str">
        <f t="shared" si="34"/>
        <v>2022 q2</v>
      </c>
      <c r="C2242" s="7">
        <v>10.040900000000001</v>
      </c>
      <c r="D2242" s="7">
        <v>10.0573</v>
      </c>
      <c r="E2242" s="7">
        <v>10.091200000000001</v>
      </c>
      <c r="F2242" s="7">
        <v>10.1408</v>
      </c>
      <c r="G2242" s="7">
        <v>10.189299999999999</v>
      </c>
      <c r="H2242" s="7">
        <v>10.237299999999999</v>
      </c>
      <c r="I2242" s="7">
        <v>10.412800000000001</v>
      </c>
      <c r="J2242" s="7">
        <v>10.5663</v>
      </c>
      <c r="K2242" s="7">
        <v>10.7134</v>
      </c>
      <c r="L2242" s="7">
        <v>10.8194</v>
      </c>
      <c r="M2242" s="7">
        <v>11.0312</v>
      </c>
      <c r="N2242" s="7">
        <v>11.3225</v>
      </c>
      <c r="O2242" s="7">
        <v>11.622199999999999</v>
      </c>
      <c r="P2242" s="7">
        <v>11.776899999999999</v>
      </c>
      <c r="Q2242" s="7">
        <v>12.0861</v>
      </c>
    </row>
    <row r="2243" spans="1:17">
      <c r="A2243" s="5">
        <v>44733</v>
      </c>
      <c r="B2243" s="5" t="str">
        <f t="shared" ref="B2243:B2306" si="35">YEAR(A2243)&amp;" q"&amp;ROUNDUP(MONTH(A2243)/3,0)</f>
        <v>2022 q2</v>
      </c>
      <c r="C2243" s="7">
        <v>10.058299999999999</v>
      </c>
      <c r="D2243" s="7">
        <v>10.0846</v>
      </c>
      <c r="E2243" s="7">
        <v>10.1388</v>
      </c>
      <c r="F2243" s="7">
        <v>10.2164</v>
      </c>
      <c r="G2243" s="7">
        <v>10.290800000000001</v>
      </c>
      <c r="H2243" s="7">
        <v>10.3545</v>
      </c>
      <c r="I2243" s="7">
        <v>10.593999999999999</v>
      </c>
      <c r="J2243" s="7">
        <v>10.7806</v>
      </c>
      <c r="K2243" s="7">
        <v>10.922800000000001</v>
      </c>
      <c r="L2243" s="7">
        <v>11.0036</v>
      </c>
      <c r="M2243" s="7">
        <v>11.1653</v>
      </c>
      <c r="N2243" s="7">
        <v>11.379899999999999</v>
      </c>
      <c r="O2243" s="7">
        <v>11.521599999999999</v>
      </c>
      <c r="P2243" s="7">
        <v>11.577400000000001</v>
      </c>
      <c r="Q2243" s="7">
        <v>11.6889</v>
      </c>
    </row>
    <row r="2244" spans="1:17">
      <c r="A2244" s="5">
        <v>44734</v>
      </c>
      <c r="B2244" s="5" t="str">
        <f t="shared" si="35"/>
        <v>2022 q2</v>
      </c>
      <c r="C2244" s="7">
        <v>10.143000000000001</v>
      </c>
      <c r="D2244" s="7">
        <v>10.156599999999999</v>
      </c>
      <c r="E2244" s="7">
        <v>10.1846</v>
      </c>
      <c r="F2244" s="7">
        <v>10.225899999999999</v>
      </c>
      <c r="G2244" s="7">
        <v>10.2666</v>
      </c>
      <c r="H2244" s="7">
        <v>10.305099999999999</v>
      </c>
      <c r="I2244" s="7">
        <v>10.455</v>
      </c>
      <c r="J2244" s="7">
        <v>10.5886</v>
      </c>
      <c r="K2244" s="7">
        <v>10.7171</v>
      </c>
      <c r="L2244" s="7">
        <v>10.815300000000001</v>
      </c>
      <c r="M2244" s="7">
        <v>11.011699999999999</v>
      </c>
      <c r="N2244" s="7">
        <v>11.284700000000001</v>
      </c>
      <c r="O2244" s="7">
        <v>11.587899999999999</v>
      </c>
      <c r="P2244" s="7">
        <v>11.758699999999999</v>
      </c>
      <c r="Q2244" s="7">
        <v>12.100199999999999</v>
      </c>
    </row>
    <row r="2245" spans="1:17">
      <c r="A2245" s="5">
        <v>44735</v>
      </c>
      <c r="B2245" s="5" t="str">
        <f t="shared" si="35"/>
        <v>2022 q2</v>
      </c>
      <c r="C2245" s="7">
        <v>10.0542</v>
      </c>
      <c r="D2245" s="7">
        <v>10.0816</v>
      </c>
      <c r="E2245" s="7">
        <v>10.138400000000001</v>
      </c>
      <c r="F2245" s="7">
        <v>10.2188</v>
      </c>
      <c r="G2245" s="7">
        <v>10.2958</v>
      </c>
      <c r="H2245" s="7">
        <v>10.360099999999999</v>
      </c>
      <c r="I2245" s="7">
        <v>10.6014</v>
      </c>
      <c r="J2245" s="7">
        <v>10.783899999999999</v>
      </c>
      <c r="K2245" s="7">
        <v>10.924899999999999</v>
      </c>
      <c r="L2245" s="7">
        <v>11.0314</v>
      </c>
      <c r="M2245" s="7">
        <v>11.1599</v>
      </c>
      <c r="N2245" s="7">
        <v>11.3286</v>
      </c>
      <c r="O2245" s="7">
        <v>11.4521</v>
      </c>
      <c r="P2245" s="7">
        <v>11.4985</v>
      </c>
      <c r="Q2245" s="7">
        <v>11.5913</v>
      </c>
    </row>
    <row r="2246" spans="1:17">
      <c r="A2246" s="5">
        <v>44736</v>
      </c>
      <c r="B2246" s="5" t="str">
        <f t="shared" si="35"/>
        <v>2022 q2</v>
      </c>
      <c r="C2246" s="7">
        <v>10.0657</v>
      </c>
      <c r="D2246" s="7">
        <v>10.096</v>
      </c>
      <c r="E2246" s="7">
        <v>10.1584</v>
      </c>
      <c r="F2246" s="7">
        <v>10.245900000000001</v>
      </c>
      <c r="G2246" s="7">
        <v>10.329000000000001</v>
      </c>
      <c r="H2246" s="7">
        <v>10.3964</v>
      </c>
      <c r="I2246" s="7">
        <v>10.6469</v>
      </c>
      <c r="J2246" s="7">
        <v>10.8283</v>
      </c>
      <c r="K2246" s="7">
        <v>10.957100000000001</v>
      </c>
      <c r="L2246" s="7">
        <v>11.022399999999999</v>
      </c>
      <c r="M2246" s="7">
        <v>11.153</v>
      </c>
      <c r="N2246" s="7">
        <v>11.3209</v>
      </c>
      <c r="O2246" s="7">
        <v>11.422499999999999</v>
      </c>
      <c r="P2246" s="7">
        <v>11.459899999999999</v>
      </c>
      <c r="Q2246" s="7">
        <v>11.534800000000001</v>
      </c>
    </row>
    <row r="2247" spans="1:17">
      <c r="A2247" s="5">
        <v>44739</v>
      </c>
      <c r="B2247" s="5" t="str">
        <f t="shared" si="35"/>
        <v>2022 q2</v>
      </c>
      <c r="C2247" s="7">
        <v>10.1935</v>
      </c>
      <c r="D2247" s="7">
        <v>10.2049</v>
      </c>
      <c r="E2247" s="7">
        <v>10.2285</v>
      </c>
      <c r="F2247" s="7">
        <v>10.263500000000001</v>
      </c>
      <c r="G2247" s="7">
        <v>10.298299999999999</v>
      </c>
      <c r="H2247" s="7">
        <v>10.332000000000001</v>
      </c>
      <c r="I2247" s="7">
        <v>10.4651</v>
      </c>
      <c r="J2247" s="7">
        <v>10.5907</v>
      </c>
      <c r="K2247" s="7">
        <v>10.715</v>
      </c>
      <c r="L2247" s="7">
        <v>10.830299999999999</v>
      </c>
      <c r="M2247" s="7">
        <v>11.0387</v>
      </c>
      <c r="N2247" s="7">
        <v>11.3386</v>
      </c>
      <c r="O2247" s="7">
        <v>11.7485</v>
      </c>
      <c r="P2247" s="7">
        <v>12.059699999999999</v>
      </c>
      <c r="Q2247" s="7">
        <v>12.601800000000001</v>
      </c>
    </row>
    <row r="2248" spans="1:17">
      <c r="A2248" s="5">
        <v>44740</v>
      </c>
      <c r="B2248" s="5" t="str">
        <f t="shared" si="35"/>
        <v>2022 q2</v>
      </c>
      <c r="C2248" s="7">
        <v>10.207599999999999</v>
      </c>
      <c r="D2248" s="7">
        <v>10.216799999999999</v>
      </c>
      <c r="E2248" s="7">
        <v>10.2357</v>
      </c>
      <c r="F2248" s="7">
        <v>10.263999999999999</v>
      </c>
      <c r="G2248" s="7">
        <v>10.292</v>
      </c>
      <c r="H2248" s="7">
        <v>10.319900000000001</v>
      </c>
      <c r="I2248" s="7">
        <v>10.4307</v>
      </c>
      <c r="J2248" s="7">
        <v>10.5383</v>
      </c>
      <c r="K2248" s="7">
        <v>10.6447</v>
      </c>
      <c r="L2248" s="7">
        <v>10.744300000000001</v>
      </c>
      <c r="M2248" s="7">
        <v>10.9435</v>
      </c>
      <c r="N2248" s="7">
        <v>11.2355</v>
      </c>
      <c r="O2248" s="7">
        <v>11.6722</v>
      </c>
      <c r="P2248" s="7">
        <v>12.042199999999999</v>
      </c>
      <c r="Q2248" s="7">
        <v>12.7822</v>
      </c>
    </row>
    <row r="2249" spans="1:17">
      <c r="A2249" s="5">
        <v>44741</v>
      </c>
      <c r="B2249" s="5" t="str">
        <f t="shared" si="35"/>
        <v>2022 q2</v>
      </c>
      <c r="C2249" s="7">
        <v>10.128399999999999</v>
      </c>
      <c r="D2249" s="7">
        <v>10.147600000000001</v>
      </c>
      <c r="E2249" s="7">
        <v>10.187099999999999</v>
      </c>
      <c r="F2249" s="7">
        <v>10.2453</v>
      </c>
      <c r="G2249" s="7">
        <v>10.298</v>
      </c>
      <c r="H2249" s="7">
        <v>10.349399999999999</v>
      </c>
      <c r="I2249" s="7">
        <v>10.548</v>
      </c>
      <c r="J2249" s="7">
        <v>10.709300000000001</v>
      </c>
      <c r="K2249" s="7">
        <v>10.865500000000001</v>
      </c>
      <c r="L2249" s="7">
        <v>10.9885</v>
      </c>
      <c r="M2249" s="7">
        <v>11.169</v>
      </c>
      <c r="N2249" s="7">
        <v>11.413</v>
      </c>
      <c r="O2249" s="7">
        <v>11.643700000000001</v>
      </c>
      <c r="P2249" s="7">
        <v>11.747</v>
      </c>
      <c r="Q2249" s="7">
        <v>11.9535</v>
      </c>
    </row>
    <row r="2250" spans="1:17">
      <c r="A2250" s="5">
        <v>44742</v>
      </c>
      <c r="B2250" s="5" t="str">
        <f t="shared" si="35"/>
        <v>2022 q2</v>
      </c>
      <c r="C2250" s="7">
        <v>10.0731</v>
      </c>
      <c r="D2250" s="7">
        <v>10.1006</v>
      </c>
      <c r="E2250" s="7">
        <v>10.1571</v>
      </c>
      <c r="F2250" s="7">
        <v>10.2395</v>
      </c>
      <c r="G2250" s="7">
        <v>10.3096</v>
      </c>
      <c r="H2250" s="7">
        <v>10.3771</v>
      </c>
      <c r="I2250" s="7">
        <v>10.6326</v>
      </c>
      <c r="J2250" s="7">
        <v>10.8155</v>
      </c>
      <c r="K2250" s="7">
        <v>10.9894</v>
      </c>
      <c r="L2250" s="7">
        <v>11.1098</v>
      </c>
      <c r="M2250" s="7">
        <v>11.2621</v>
      </c>
      <c r="N2250" s="7">
        <v>11.462300000000001</v>
      </c>
      <c r="O2250" s="7">
        <v>11.616099999999999</v>
      </c>
      <c r="P2250" s="7">
        <v>11.6752</v>
      </c>
      <c r="Q2250" s="7">
        <v>11.7935</v>
      </c>
    </row>
    <row r="2251" spans="1:17">
      <c r="A2251" s="5">
        <v>44743</v>
      </c>
      <c r="B2251" s="5" t="str">
        <f t="shared" si="35"/>
        <v>2022 q3</v>
      </c>
      <c r="C2251" s="7">
        <v>10.055199999999999</v>
      </c>
      <c r="D2251" s="7">
        <v>10.0861</v>
      </c>
      <c r="E2251" s="7">
        <v>10.149800000000001</v>
      </c>
      <c r="F2251" s="7">
        <v>10.2422</v>
      </c>
      <c r="G2251" s="7">
        <v>10.3186</v>
      </c>
      <c r="H2251" s="7">
        <v>10.391999999999999</v>
      </c>
      <c r="I2251" s="7">
        <v>10.667400000000001</v>
      </c>
      <c r="J2251" s="7">
        <v>10.854699999999999</v>
      </c>
      <c r="K2251" s="7">
        <v>11.031700000000001</v>
      </c>
      <c r="L2251" s="7">
        <v>11.148199999999999</v>
      </c>
      <c r="M2251" s="7">
        <v>11.288500000000001</v>
      </c>
      <c r="N2251" s="7">
        <v>11.471399999999999</v>
      </c>
      <c r="O2251" s="7">
        <v>11.6038</v>
      </c>
      <c r="P2251" s="7">
        <v>11.6534</v>
      </c>
      <c r="Q2251" s="7">
        <v>11.752599999999999</v>
      </c>
    </row>
    <row r="2252" spans="1:17">
      <c r="A2252" s="5">
        <v>44746</v>
      </c>
      <c r="B2252" s="5" t="str">
        <f t="shared" si="35"/>
        <v>2022 q3</v>
      </c>
      <c r="C2252" s="7">
        <v>10.178000000000001</v>
      </c>
      <c r="D2252" s="7">
        <v>10.190799999999999</v>
      </c>
      <c r="E2252" s="7">
        <v>10.2172</v>
      </c>
      <c r="F2252" s="7">
        <v>10.256500000000001</v>
      </c>
      <c r="G2252" s="7">
        <v>10.2944</v>
      </c>
      <c r="H2252" s="7">
        <v>10.332100000000001</v>
      </c>
      <c r="I2252" s="7">
        <v>10.4808</v>
      </c>
      <c r="J2252" s="7">
        <v>10.619300000000001</v>
      </c>
      <c r="K2252" s="7">
        <v>10.7547</v>
      </c>
      <c r="L2252" s="7">
        <v>10.875299999999999</v>
      </c>
      <c r="M2252" s="7">
        <v>11.116300000000001</v>
      </c>
      <c r="N2252" s="7">
        <v>11.4254</v>
      </c>
      <c r="O2252" s="7">
        <v>11.8483</v>
      </c>
      <c r="P2252" s="7">
        <v>12.1388</v>
      </c>
      <c r="Q2252" s="7">
        <v>12.719799999999999</v>
      </c>
    </row>
    <row r="2253" spans="1:17">
      <c r="A2253" s="5">
        <v>44748</v>
      </c>
      <c r="B2253" s="5" t="str">
        <f t="shared" si="35"/>
        <v>2022 q3</v>
      </c>
      <c r="C2253" s="7">
        <v>10.102499999999999</v>
      </c>
      <c r="D2253" s="7">
        <v>10.118600000000001</v>
      </c>
      <c r="E2253" s="7">
        <v>10.151999999999999</v>
      </c>
      <c r="F2253" s="7">
        <v>10.2006</v>
      </c>
      <c r="G2253" s="7">
        <v>10.2486</v>
      </c>
      <c r="H2253" s="7">
        <v>10.2966</v>
      </c>
      <c r="I2253" s="7">
        <v>10.471</v>
      </c>
      <c r="J2253" s="7">
        <v>10.6266</v>
      </c>
      <c r="K2253" s="7">
        <v>10.7759</v>
      </c>
      <c r="L2253" s="7">
        <v>10.8962</v>
      </c>
      <c r="M2253" s="7">
        <v>11.136699999999999</v>
      </c>
      <c r="N2253" s="7">
        <v>11.408799999999999</v>
      </c>
      <c r="O2253" s="7">
        <v>11.7319</v>
      </c>
      <c r="P2253" s="7">
        <v>11.9057</v>
      </c>
      <c r="Q2253" s="7">
        <v>12.253299999999999</v>
      </c>
    </row>
    <row r="2254" spans="1:17">
      <c r="A2254" s="5">
        <v>44749</v>
      </c>
      <c r="B2254" s="5" t="str">
        <f t="shared" si="35"/>
        <v>2022 q3</v>
      </c>
      <c r="C2254" s="7">
        <v>10.0557</v>
      </c>
      <c r="D2254" s="7">
        <v>10.076599999999999</v>
      </c>
      <c r="E2254" s="7">
        <v>10.1198</v>
      </c>
      <c r="F2254" s="7">
        <v>10.181900000000001</v>
      </c>
      <c r="G2254" s="7">
        <v>10.243</v>
      </c>
      <c r="H2254" s="7">
        <v>10.303900000000001</v>
      </c>
      <c r="I2254" s="7">
        <v>10.5159</v>
      </c>
      <c r="J2254" s="7">
        <v>10.696099999999999</v>
      </c>
      <c r="K2254" s="7">
        <v>10.87</v>
      </c>
      <c r="L2254" s="7">
        <v>11.0107</v>
      </c>
      <c r="M2254" s="7">
        <v>11.2438</v>
      </c>
      <c r="N2254" s="7">
        <v>11.495900000000001</v>
      </c>
      <c r="O2254" s="7">
        <v>11.766999999999999</v>
      </c>
      <c r="P2254" s="7">
        <v>11.891400000000001</v>
      </c>
      <c r="Q2254" s="7">
        <v>12.1402</v>
      </c>
    </row>
    <row r="2255" spans="1:17">
      <c r="A2255" s="5">
        <v>44750</v>
      </c>
      <c r="B2255" s="5" t="str">
        <f t="shared" si="35"/>
        <v>2022 q3</v>
      </c>
      <c r="C2255" s="7">
        <v>10.0426</v>
      </c>
      <c r="D2255" s="7">
        <v>10.065899999999999</v>
      </c>
      <c r="E2255" s="7">
        <v>10.114100000000001</v>
      </c>
      <c r="F2255" s="7">
        <v>10.182499999999999</v>
      </c>
      <c r="G2255" s="7">
        <v>10.249599999999999</v>
      </c>
      <c r="H2255" s="7">
        <v>10.3163</v>
      </c>
      <c r="I2255" s="7">
        <v>10.541</v>
      </c>
      <c r="J2255" s="7">
        <v>10.724500000000001</v>
      </c>
      <c r="K2255" s="7">
        <v>10.9001</v>
      </c>
      <c r="L2255" s="7">
        <v>11.035299999999999</v>
      </c>
      <c r="M2255" s="7">
        <v>11.2501</v>
      </c>
      <c r="N2255" s="7">
        <v>11.4687</v>
      </c>
      <c r="O2255" s="7">
        <v>11.687799999999999</v>
      </c>
      <c r="P2255" s="7">
        <v>11.780200000000001</v>
      </c>
      <c r="Q2255" s="7">
        <v>11.9648</v>
      </c>
    </row>
    <row r="2256" spans="1:17">
      <c r="A2256" s="5">
        <v>44753</v>
      </c>
      <c r="B2256" s="5" t="str">
        <f t="shared" si="35"/>
        <v>2022 q3</v>
      </c>
      <c r="C2256" s="7">
        <v>10.071099999999999</v>
      </c>
      <c r="D2256" s="7">
        <v>10.093299999999999</v>
      </c>
      <c r="E2256" s="7">
        <v>10.139099999999999</v>
      </c>
      <c r="F2256" s="7">
        <v>10.204499999999999</v>
      </c>
      <c r="G2256" s="7">
        <v>10.268800000000001</v>
      </c>
      <c r="H2256" s="7">
        <v>10.332700000000001</v>
      </c>
      <c r="I2256" s="7">
        <v>10.552099999999999</v>
      </c>
      <c r="J2256" s="7">
        <v>10.735099999999999</v>
      </c>
      <c r="K2256" s="7">
        <v>10.911</v>
      </c>
      <c r="L2256" s="7">
        <v>11.049899999999999</v>
      </c>
      <c r="M2256" s="7">
        <v>11.275600000000001</v>
      </c>
      <c r="N2256" s="7">
        <v>11.5124</v>
      </c>
      <c r="O2256" s="7">
        <v>11.7585</v>
      </c>
      <c r="P2256" s="7">
        <v>11.8666</v>
      </c>
      <c r="Q2256" s="7">
        <v>12.082700000000001</v>
      </c>
    </row>
    <row r="2257" spans="1:17">
      <c r="A2257" s="5">
        <v>44754</v>
      </c>
      <c r="B2257" s="5" t="str">
        <f t="shared" si="35"/>
        <v>2022 q3</v>
      </c>
      <c r="C2257" s="7">
        <v>10.0654</v>
      </c>
      <c r="D2257" s="7">
        <v>10.086499999999999</v>
      </c>
      <c r="E2257" s="7">
        <v>10.130000000000001</v>
      </c>
      <c r="F2257" s="7">
        <v>10.192299999999999</v>
      </c>
      <c r="G2257" s="7">
        <v>10.2538</v>
      </c>
      <c r="H2257" s="7">
        <v>10.3146</v>
      </c>
      <c r="I2257" s="7">
        <v>10.526199999999999</v>
      </c>
      <c r="J2257" s="7">
        <v>10.705299999999999</v>
      </c>
      <c r="K2257" s="7">
        <v>10.873100000000001</v>
      </c>
      <c r="L2257" s="7">
        <v>10.995699999999999</v>
      </c>
      <c r="M2257" s="7">
        <v>11.2408</v>
      </c>
      <c r="N2257" s="7">
        <v>11.486700000000001</v>
      </c>
      <c r="O2257" s="7">
        <v>11.7454</v>
      </c>
      <c r="P2257" s="7">
        <v>11.862500000000001</v>
      </c>
      <c r="Q2257" s="7">
        <v>12.0967</v>
      </c>
    </row>
    <row r="2258" spans="1:17">
      <c r="A2258" s="5">
        <v>44755</v>
      </c>
      <c r="B2258" s="5" t="str">
        <f t="shared" si="35"/>
        <v>2022 q3</v>
      </c>
      <c r="C2258" s="7">
        <v>10.0389</v>
      </c>
      <c r="D2258" s="7">
        <v>10.0611</v>
      </c>
      <c r="E2258" s="7">
        <v>10.1069</v>
      </c>
      <c r="F2258" s="7">
        <v>10.172499999999999</v>
      </c>
      <c r="G2258" s="7">
        <v>10.237299999999999</v>
      </c>
      <c r="H2258" s="7">
        <v>10.301299999999999</v>
      </c>
      <c r="I2258" s="7">
        <v>10.524900000000001</v>
      </c>
      <c r="J2258" s="7">
        <v>10.7149</v>
      </c>
      <c r="K2258" s="7">
        <v>10.892899999999999</v>
      </c>
      <c r="L2258" s="7">
        <v>11.023999999999999</v>
      </c>
      <c r="M2258" s="7">
        <v>11.286099999999999</v>
      </c>
      <c r="N2258" s="7">
        <v>11.550599999999999</v>
      </c>
      <c r="O2258" s="7">
        <v>11.831</v>
      </c>
      <c r="P2258" s="7">
        <v>11.959099999999999</v>
      </c>
      <c r="Q2258" s="7">
        <v>12.215199999999999</v>
      </c>
    </row>
    <row r="2259" spans="1:17">
      <c r="A2259" s="5">
        <v>44756</v>
      </c>
      <c r="B2259" s="5" t="str">
        <f t="shared" si="35"/>
        <v>2022 q3</v>
      </c>
      <c r="C2259" s="7">
        <v>10.018599999999999</v>
      </c>
      <c r="D2259" s="7">
        <v>10.040800000000001</v>
      </c>
      <c r="E2259" s="7">
        <v>10.0867</v>
      </c>
      <c r="F2259" s="7">
        <v>10.152200000000001</v>
      </c>
      <c r="G2259" s="7">
        <v>10.2171</v>
      </c>
      <c r="H2259" s="7">
        <v>10.2814</v>
      </c>
      <c r="I2259" s="7">
        <v>10.5054</v>
      </c>
      <c r="J2259" s="7">
        <v>10.6968</v>
      </c>
      <c r="K2259" s="7">
        <v>10.880800000000001</v>
      </c>
      <c r="L2259" s="7">
        <v>11.0298</v>
      </c>
      <c r="M2259" s="7">
        <v>11.2776</v>
      </c>
      <c r="N2259" s="7">
        <v>11.544700000000001</v>
      </c>
      <c r="O2259" s="7">
        <v>11.832800000000001</v>
      </c>
      <c r="P2259" s="7">
        <v>11.965400000000001</v>
      </c>
      <c r="Q2259" s="7">
        <v>12.230700000000001</v>
      </c>
    </row>
    <row r="2260" spans="1:17">
      <c r="A2260" s="5">
        <v>44757</v>
      </c>
      <c r="B2260" s="5" t="str">
        <f t="shared" si="35"/>
        <v>2022 q3</v>
      </c>
      <c r="C2260" s="7">
        <v>10.060600000000001</v>
      </c>
      <c r="D2260" s="7">
        <v>10.0802</v>
      </c>
      <c r="E2260" s="7">
        <v>10.1206</v>
      </c>
      <c r="F2260" s="7">
        <v>10.178900000000001</v>
      </c>
      <c r="G2260" s="7">
        <v>10.236599999999999</v>
      </c>
      <c r="H2260" s="7">
        <v>10.293699999999999</v>
      </c>
      <c r="I2260" s="7">
        <v>10.499499999999999</v>
      </c>
      <c r="J2260" s="7">
        <v>10.683400000000001</v>
      </c>
      <c r="K2260" s="7">
        <v>10.8466</v>
      </c>
      <c r="L2260" s="7">
        <v>10.989599999999999</v>
      </c>
      <c r="M2260" s="7">
        <v>11.2332</v>
      </c>
      <c r="N2260" s="7">
        <v>11.505800000000001</v>
      </c>
      <c r="O2260" s="7">
        <v>11.8133</v>
      </c>
      <c r="P2260" s="7">
        <v>11.9642</v>
      </c>
      <c r="Q2260" s="7">
        <v>12.2661</v>
      </c>
    </row>
    <row r="2261" spans="1:17">
      <c r="A2261" s="5">
        <v>44760</v>
      </c>
      <c r="B2261" s="5" t="str">
        <f t="shared" si="35"/>
        <v>2022 q3</v>
      </c>
      <c r="C2261" s="7">
        <v>10.053599999999999</v>
      </c>
      <c r="D2261" s="7">
        <v>10.0749</v>
      </c>
      <c r="E2261" s="7">
        <v>10.1187</v>
      </c>
      <c r="F2261" s="7">
        <v>10.1813</v>
      </c>
      <c r="G2261" s="7">
        <v>10.2433</v>
      </c>
      <c r="H2261" s="7">
        <v>10.304500000000001</v>
      </c>
      <c r="I2261" s="7">
        <v>10.5219</v>
      </c>
      <c r="J2261" s="7">
        <v>10.712999999999999</v>
      </c>
      <c r="K2261" s="7">
        <v>10.8752</v>
      </c>
      <c r="L2261" s="7">
        <v>11.003399999999999</v>
      </c>
      <c r="M2261" s="7">
        <v>11.26</v>
      </c>
      <c r="N2261" s="7">
        <v>11.521100000000001</v>
      </c>
      <c r="O2261" s="7">
        <v>11.801500000000001</v>
      </c>
      <c r="P2261" s="7">
        <v>11.9314</v>
      </c>
      <c r="Q2261" s="7">
        <v>12.1913</v>
      </c>
    </row>
    <row r="2262" spans="1:17">
      <c r="A2262" s="5">
        <v>44761</v>
      </c>
      <c r="B2262" s="5" t="str">
        <f t="shared" si="35"/>
        <v>2022 q3</v>
      </c>
      <c r="C2262" s="7">
        <v>10.0661</v>
      </c>
      <c r="D2262" s="7">
        <v>10.0852</v>
      </c>
      <c r="E2262" s="7">
        <v>10.124499999999999</v>
      </c>
      <c r="F2262" s="7">
        <v>10.1816</v>
      </c>
      <c r="G2262" s="7">
        <v>10.2384</v>
      </c>
      <c r="H2262" s="7">
        <v>10.2913</v>
      </c>
      <c r="I2262" s="7">
        <v>10.492800000000001</v>
      </c>
      <c r="J2262" s="7">
        <v>10.6691</v>
      </c>
      <c r="K2262" s="7">
        <v>10.8355</v>
      </c>
      <c r="L2262" s="7">
        <v>10.9665</v>
      </c>
      <c r="M2262" s="7">
        <v>11.2285</v>
      </c>
      <c r="N2262" s="7">
        <v>11.5115</v>
      </c>
      <c r="O2262" s="7">
        <v>11.834899999999999</v>
      </c>
      <c r="P2262" s="7">
        <v>11.9986</v>
      </c>
      <c r="Q2262" s="7">
        <v>12.3262</v>
      </c>
    </row>
    <row r="2263" spans="1:17">
      <c r="A2263" s="5">
        <v>44762</v>
      </c>
      <c r="B2263" s="5" t="str">
        <f t="shared" si="35"/>
        <v>2022 q3</v>
      </c>
      <c r="C2263" s="7">
        <v>10.1441</v>
      </c>
      <c r="D2263" s="7">
        <v>10.1638</v>
      </c>
      <c r="E2263" s="7">
        <v>10.204599999999999</v>
      </c>
      <c r="F2263" s="7">
        <v>10.2645</v>
      </c>
      <c r="G2263" s="7">
        <v>10.322800000000001</v>
      </c>
      <c r="H2263" s="7">
        <v>10.3765</v>
      </c>
      <c r="I2263" s="7">
        <v>10.5793</v>
      </c>
      <c r="J2263" s="7">
        <v>10.7514</v>
      </c>
      <c r="K2263" s="7">
        <v>10.911899999999999</v>
      </c>
      <c r="L2263" s="7">
        <v>11.0319</v>
      </c>
      <c r="M2263" s="7">
        <v>11.2719</v>
      </c>
      <c r="N2263" s="7">
        <v>11.5152</v>
      </c>
      <c r="O2263" s="7">
        <v>11.7765</v>
      </c>
      <c r="P2263" s="7">
        <v>11.897600000000001</v>
      </c>
      <c r="Q2263" s="7">
        <v>12.139799999999999</v>
      </c>
    </row>
    <row r="2264" spans="1:17">
      <c r="A2264" s="5">
        <v>44763</v>
      </c>
      <c r="B2264" s="5" t="str">
        <f t="shared" si="35"/>
        <v>2022 q3</v>
      </c>
      <c r="C2264" s="7">
        <v>10.079800000000001</v>
      </c>
      <c r="D2264" s="7">
        <v>10.1113</v>
      </c>
      <c r="E2264" s="7">
        <v>10.176399999999999</v>
      </c>
      <c r="F2264" s="7">
        <v>10.269600000000001</v>
      </c>
      <c r="G2264" s="7">
        <v>10.3581</v>
      </c>
      <c r="H2264" s="7">
        <v>10.432600000000001</v>
      </c>
      <c r="I2264" s="7">
        <v>10.6995</v>
      </c>
      <c r="J2264" s="7">
        <v>10.891</v>
      </c>
      <c r="K2264" s="7">
        <v>11.061400000000001</v>
      </c>
      <c r="L2264" s="7">
        <v>11.158799999999999</v>
      </c>
      <c r="M2264" s="7">
        <v>11.3536</v>
      </c>
      <c r="N2264" s="7">
        <v>11.5061</v>
      </c>
      <c r="O2264" s="7">
        <v>11.636799999999999</v>
      </c>
      <c r="P2264" s="7">
        <v>11.686</v>
      </c>
      <c r="Q2264" s="7">
        <v>11.7842</v>
      </c>
    </row>
    <row r="2265" spans="1:17">
      <c r="A2265" s="5">
        <v>44764</v>
      </c>
      <c r="B2265" s="5" t="str">
        <f t="shared" si="35"/>
        <v>2022 q3</v>
      </c>
      <c r="C2265" s="7">
        <v>10.162000000000001</v>
      </c>
      <c r="D2265" s="7">
        <v>10.1822</v>
      </c>
      <c r="E2265" s="7">
        <v>10.224</v>
      </c>
      <c r="F2265" s="7">
        <v>10.2851</v>
      </c>
      <c r="G2265" s="7">
        <v>10.344799999999999</v>
      </c>
      <c r="H2265" s="7">
        <v>10.3993</v>
      </c>
      <c r="I2265" s="7">
        <v>10.604900000000001</v>
      </c>
      <c r="J2265" s="7">
        <v>10.7782</v>
      </c>
      <c r="K2265" s="7">
        <v>10.9392</v>
      </c>
      <c r="L2265" s="7">
        <v>11.058199999999999</v>
      </c>
      <c r="M2265" s="7">
        <v>11.296099999999999</v>
      </c>
      <c r="N2265" s="7">
        <v>11.5334</v>
      </c>
      <c r="O2265" s="7">
        <v>11.784800000000001</v>
      </c>
      <c r="P2265" s="7">
        <v>11.8992</v>
      </c>
      <c r="Q2265" s="7">
        <v>12.128</v>
      </c>
    </row>
    <row r="2266" spans="1:17">
      <c r="A2266" s="5">
        <v>44767</v>
      </c>
      <c r="B2266" s="5" t="str">
        <f t="shared" si="35"/>
        <v>2022 q3</v>
      </c>
      <c r="C2266" s="7">
        <v>10.117100000000001</v>
      </c>
      <c r="D2266" s="7">
        <v>10.1417</v>
      </c>
      <c r="E2266" s="7">
        <v>10.192600000000001</v>
      </c>
      <c r="F2266" s="7">
        <v>10.266400000000001</v>
      </c>
      <c r="G2266" s="7">
        <v>10.3378</v>
      </c>
      <c r="H2266" s="7">
        <v>10.400700000000001</v>
      </c>
      <c r="I2266" s="7">
        <v>10.633699999999999</v>
      </c>
      <c r="J2266" s="7">
        <v>10.818300000000001</v>
      </c>
      <c r="K2266" s="7">
        <v>10.9862</v>
      </c>
      <c r="L2266" s="7">
        <v>11.098100000000001</v>
      </c>
      <c r="M2266" s="7">
        <v>11.3218</v>
      </c>
      <c r="N2266" s="7">
        <v>11.5214</v>
      </c>
      <c r="O2266" s="7">
        <v>11.712400000000001</v>
      </c>
      <c r="P2266" s="7">
        <v>11.79</v>
      </c>
      <c r="Q2266" s="7">
        <v>11.9453</v>
      </c>
    </row>
    <row r="2267" spans="1:17">
      <c r="A2267" s="5">
        <v>44768</v>
      </c>
      <c r="B2267" s="5" t="str">
        <f t="shared" si="35"/>
        <v>2022 q3</v>
      </c>
      <c r="C2267" s="7">
        <v>10.1069</v>
      </c>
      <c r="D2267" s="7">
        <v>10.1334</v>
      </c>
      <c r="E2267" s="7">
        <v>10.188000000000001</v>
      </c>
      <c r="F2267" s="7">
        <v>10.2667</v>
      </c>
      <c r="G2267" s="7">
        <v>10.3428</v>
      </c>
      <c r="H2267" s="7">
        <v>10.409000000000001</v>
      </c>
      <c r="I2267" s="7">
        <v>10.6531</v>
      </c>
      <c r="J2267" s="7">
        <v>10.843299999999999</v>
      </c>
      <c r="K2267" s="7">
        <v>11.014699999999999</v>
      </c>
      <c r="L2267" s="7">
        <v>11.1259</v>
      </c>
      <c r="M2267" s="7">
        <v>11.3484</v>
      </c>
      <c r="N2267" s="7">
        <v>11.5406</v>
      </c>
      <c r="O2267" s="7">
        <v>11.7201</v>
      </c>
      <c r="P2267" s="7">
        <v>11.791600000000001</v>
      </c>
      <c r="Q2267" s="7">
        <v>11.9345</v>
      </c>
    </row>
    <row r="2268" spans="1:17">
      <c r="A2268" s="5">
        <v>44769</v>
      </c>
      <c r="B2268" s="5" t="str">
        <f t="shared" si="35"/>
        <v>2022 q3</v>
      </c>
      <c r="C2268" s="7">
        <v>10.1473</v>
      </c>
      <c r="D2268" s="7">
        <v>10.168900000000001</v>
      </c>
      <c r="E2268" s="7">
        <v>10.2133</v>
      </c>
      <c r="F2268" s="7">
        <v>10.278</v>
      </c>
      <c r="G2268" s="7">
        <v>10.3409</v>
      </c>
      <c r="H2268" s="7">
        <v>10.3973</v>
      </c>
      <c r="I2268" s="7">
        <v>10.6089</v>
      </c>
      <c r="J2268" s="7">
        <v>10.782999999999999</v>
      </c>
      <c r="K2268" s="7">
        <v>10.942500000000001</v>
      </c>
      <c r="L2268" s="7">
        <v>11.0557</v>
      </c>
      <c r="M2268" s="7">
        <v>11.282</v>
      </c>
      <c r="N2268" s="7">
        <v>11.495799999999999</v>
      </c>
      <c r="O2268" s="7">
        <v>11.712199999999999</v>
      </c>
      <c r="P2268" s="7">
        <v>11.805400000000001</v>
      </c>
      <c r="Q2268" s="7">
        <v>11.9918</v>
      </c>
    </row>
    <row r="2269" spans="1:17">
      <c r="A2269" s="5">
        <v>44770</v>
      </c>
      <c r="B2269" s="5" t="str">
        <f t="shared" si="35"/>
        <v>2022 q3</v>
      </c>
      <c r="C2269" s="7">
        <v>10.1355</v>
      </c>
      <c r="D2269" s="7">
        <v>10.158099999999999</v>
      </c>
      <c r="E2269" s="7">
        <v>10.204800000000001</v>
      </c>
      <c r="F2269" s="7">
        <v>10.272600000000001</v>
      </c>
      <c r="G2269" s="7">
        <v>10.3386</v>
      </c>
      <c r="H2269" s="7">
        <v>10.3973</v>
      </c>
      <c r="I2269" s="7">
        <v>10.6213</v>
      </c>
      <c r="J2269" s="7">
        <v>10.8094</v>
      </c>
      <c r="K2269" s="7">
        <v>10.9621</v>
      </c>
      <c r="L2269" s="7">
        <v>11.077500000000001</v>
      </c>
      <c r="M2269" s="7">
        <v>11.308299999999999</v>
      </c>
      <c r="N2269" s="7">
        <v>11.5235</v>
      </c>
      <c r="O2269" s="7">
        <v>11.738899999999999</v>
      </c>
      <c r="P2269" s="7">
        <v>11.830399999999999</v>
      </c>
      <c r="Q2269" s="7">
        <v>12.0136</v>
      </c>
    </row>
    <row r="2270" spans="1:17">
      <c r="A2270" s="5">
        <v>44771</v>
      </c>
      <c r="B2270" s="5" t="str">
        <f t="shared" si="35"/>
        <v>2022 q3</v>
      </c>
      <c r="C2270" s="7">
        <v>10.122299999999999</v>
      </c>
      <c r="D2270" s="7">
        <v>10.1472</v>
      </c>
      <c r="E2270" s="7">
        <v>10.198700000000001</v>
      </c>
      <c r="F2270" s="7">
        <v>10.273</v>
      </c>
      <c r="G2270" s="7">
        <v>10.345000000000001</v>
      </c>
      <c r="H2270" s="7">
        <v>10.4079</v>
      </c>
      <c r="I2270" s="7">
        <v>10.641400000000001</v>
      </c>
      <c r="J2270" s="7">
        <v>10.8264</v>
      </c>
      <c r="K2270" s="7">
        <v>10.9933</v>
      </c>
      <c r="L2270" s="7">
        <v>11.1046</v>
      </c>
      <c r="M2270" s="7">
        <v>11.327199999999999</v>
      </c>
      <c r="N2270" s="7">
        <v>11.523300000000001</v>
      </c>
      <c r="O2270" s="7">
        <v>11.7104</v>
      </c>
      <c r="P2270" s="7">
        <v>11.786199999999999</v>
      </c>
      <c r="Q2270" s="7">
        <v>11.937799999999999</v>
      </c>
    </row>
    <row r="2271" spans="1:17">
      <c r="A2271" s="9">
        <v>44774</v>
      </c>
      <c r="B2271" s="5" t="str">
        <f t="shared" si="35"/>
        <v>2022 q3</v>
      </c>
      <c r="C2271" s="7">
        <v>10.121600000000001</v>
      </c>
      <c r="D2271" s="7">
        <v>10.147</v>
      </c>
      <c r="E2271" s="7">
        <v>10.199400000000001</v>
      </c>
      <c r="F2271" s="7">
        <v>10.274699999999999</v>
      </c>
      <c r="G2271" s="7">
        <v>10.347899999999999</v>
      </c>
      <c r="H2271" s="7">
        <v>10.411300000000001</v>
      </c>
      <c r="I2271" s="7">
        <v>10.6469</v>
      </c>
      <c r="J2271" s="7">
        <v>10.8325</v>
      </c>
      <c r="K2271" s="7">
        <v>10.9994</v>
      </c>
      <c r="L2271" s="7">
        <v>11.1097</v>
      </c>
      <c r="M2271" s="7">
        <v>11.330299999999999</v>
      </c>
      <c r="N2271" s="7">
        <v>11.522500000000001</v>
      </c>
      <c r="O2271" s="7">
        <v>11.704499999999999</v>
      </c>
      <c r="P2271" s="7">
        <v>11.7776</v>
      </c>
      <c r="Q2271" s="7">
        <v>11.923999999999999</v>
      </c>
    </row>
    <row r="2272" spans="1:17">
      <c r="A2272" s="9">
        <v>44775</v>
      </c>
      <c r="B2272" s="5" t="str">
        <f t="shared" si="35"/>
        <v>2022 q3</v>
      </c>
      <c r="C2272" s="7">
        <v>10.1274</v>
      </c>
      <c r="D2272" s="7">
        <v>10.1523</v>
      </c>
      <c r="E2272" s="7">
        <v>10.2037</v>
      </c>
      <c r="F2272" s="7">
        <v>10.277699999999999</v>
      </c>
      <c r="G2272" s="7">
        <v>10.3497</v>
      </c>
      <c r="H2272" s="7">
        <v>10.412100000000001</v>
      </c>
      <c r="I2272" s="7">
        <v>10.6449</v>
      </c>
      <c r="J2272" s="7">
        <v>10.8301</v>
      </c>
      <c r="K2272" s="7">
        <v>10.9963</v>
      </c>
      <c r="L2272" s="7">
        <v>11.107799999999999</v>
      </c>
      <c r="M2272" s="7">
        <v>11.3307</v>
      </c>
      <c r="N2272" s="7">
        <v>11.5266</v>
      </c>
      <c r="O2272" s="7">
        <v>11.7141</v>
      </c>
      <c r="P2272" s="7">
        <v>11.7902</v>
      </c>
      <c r="Q2272" s="7">
        <v>11.942399999999999</v>
      </c>
    </row>
    <row r="2273" spans="1:17">
      <c r="A2273" s="9">
        <v>44776</v>
      </c>
      <c r="B2273" s="5" t="str">
        <f t="shared" si="35"/>
        <v>2022 q3</v>
      </c>
      <c r="C2273" s="7">
        <v>10.160399999999999</v>
      </c>
      <c r="D2273" s="7">
        <v>10.1846</v>
      </c>
      <c r="E2273" s="7">
        <v>10.234299999999999</v>
      </c>
      <c r="F2273" s="7">
        <v>10.306100000000001</v>
      </c>
      <c r="G2273" s="7">
        <v>10.376099999999999</v>
      </c>
      <c r="H2273" s="7">
        <v>10.437200000000001</v>
      </c>
      <c r="I2273" s="7">
        <v>10.6662</v>
      </c>
      <c r="J2273" s="7">
        <v>10.851000000000001</v>
      </c>
      <c r="K2273" s="7">
        <v>11.0175</v>
      </c>
      <c r="L2273" s="7">
        <v>11.1319</v>
      </c>
      <c r="M2273" s="7">
        <v>11.3606</v>
      </c>
      <c r="N2273" s="7">
        <v>11.5662</v>
      </c>
      <c r="O2273" s="7">
        <v>11.766999999999999</v>
      </c>
      <c r="P2273" s="7">
        <v>11.850199999999999</v>
      </c>
      <c r="Q2273" s="7">
        <v>12.016500000000001</v>
      </c>
    </row>
    <row r="2274" spans="1:17">
      <c r="A2274" s="9">
        <v>44777</v>
      </c>
      <c r="B2274" s="5" t="str">
        <f t="shared" si="35"/>
        <v>2022 q3</v>
      </c>
      <c r="C2274" s="7">
        <v>10.1624</v>
      </c>
      <c r="D2274" s="7">
        <v>10.186299999999999</v>
      </c>
      <c r="E2274" s="7">
        <v>10.2357</v>
      </c>
      <c r="F2274" s="7">
        <v>10.306699999999999</v>
      </c>
      <c r="G2274" s="7">
        <v>10.3759</v>
      </c>
      <c r="H2274" s="7">
        <v>10.436299999999999</v>
      </c>
      <c r="I2274" s="7">
        <v>10.6623</v>
      </c>
      <c r="J2274" s="7">
        <v>10.844099999999999</v>
      </c>
      <c r="K2274" s="7">
        <v>11.0143</v>
      </c>
      <c r="L2274" s="7">
        <v>11.142200000000001</v>
      </c>
      <c r="M2274" s="7">
        <v>11.345599999999999</v>
      </c>
      <c r="N2274" s="7">
        <v>11.542999999999999</v>
      </c>
      <c r="O2274" s="7">
        <v>11.737299999999999</v>
      </c>
      <c r="P2274" s="7">
        <v>11.817500000000001</v>
      </c>
      <c r="Q2274" s="7">
        <v>11.9777</v>
      </c>
    </row>
    <row r="2275" spans="1:17">
      <c r="A2275" s="9">
        <v>44778</v>
      </c>
      <c r="B2275" s="5" t="str">
        <f t="shared" si="35"/>
        <v>2022 q3</v>
      </c>
      <c r="C2275" s="7">
        <v>10.1652</v>
      </c>
      <c r="D2275" s="7">
        <v>10.1907</v>
      </c>
      <c r="E2275" s="7">
        <v>10.243399999999999</v>
      </c>
      <c r="F2275" s="7">
        <v>10.3185</v>
      </c>
      <c r="G2275" s="7">
        <v>10.391500000000001</v>
      </c>
      <c r="H2275" s="7">
        <v>10.453900000000001</v>
      </c>
      <c r="I2275" s="7">
        <v>10.6853</v>
      </c>
      <c r="J2275" s="7">
        <v>10.8659</v>
      </c>
      <c r="K2275" s="7">
        <v>11.033200000000001</v>
      </c>
      <c r="L2275" s="7">
        <v>11.154199999999999</v>
      </c>
      <c r="M2275" s="7">
        <v>11.3414</v>
      </c>
      <c r="N2275" s="7">
        <v>11.5152</v>
      </c>
      <c r="O2275" s="7">
        <v>11.679500000000001</v>
      </c>
      <c r="P2275" s="7">
        <v>11.7446</v>
      </c>
      <c r="Q2275" s="7">
        <v>11.8748</v>
      </c>
    </row>
    <row r="2276" spans="1:17">
      <c r="A2276" s="9">
        <v>44781</v>
      </c>
      <c r="B2276" s="5" t="str">
        <f t="shared" si="35"/>
        <v>2022 q3</v>
      </c>
      <c r="C2276" s="7">
        <v>10.165100000000001</v>
      </c>
      <c r="D2276" s="7">
        <v>10.1897</v>
      </c>
      <c r="E2276" s="7">
        <v>10.240500000000001</v>
      </c>
      <c r="F2276" s="7">
        <v>10.3131</v>
      </c>
      <c r="G2276" s="7">
        <v>10.3835</v>
      </c>
      <c r="H2276" s="7">
        <v>10.4443</v>
      </c>
      <c r="I2276" s="7">
        <v>10.6698</v>
      </c>
      <c r="J2276" s="7">
        <v>10.8475</v>
      </c>
      <c r="K2276" s="7">
        <v>11.0055</v>
      </c>
      <c r="L2276" s="7">
        <v>11.1097</v>
      </c>
      <c r="M2276" s="7">
        <v>11.318300000000001</v>
      </c>
      <c r="N2276" s="7">
        <v>11.497</v>
      </c>
      <c r="O2276" s="7">
        <v>11.6669</v>
      </c>
      <c r="P2276" s="7">
        <v>11.744</v>
      </c>
      <c r="Q2276" s="7">
        <v>11.857799999999999</v>
      </c>
    </row>
    <row r="2277" spans="1:17">
      <c r="A2277" s="9">
        <v>44782</v>
      </c>
      <c r="B2277" s="5" t="str">
        <f t="shared" si="35"/>
        <v>2022 q3</v>
      </c>
      <c r="C2277" s="7">
        <v>10.241199999999999</v>
      </c>
      <c r="D2277" s="7">
        <v>10.257899999999999</v>
      </c>
      <c r="E2277" s="7">
        <v>10.2925</v>
      </c>
      <c r="F2277" s="7">
        <v>10.3429</v>
      </c>
      <c r="G2277" s="7">
        <v>10.3925</v>
      </c>
      <c r="H2277" s="7">
        <v>10.4383</v>
      </c>
      <c r="I2277" s="7">
        <v>10.613099999999999</v>
      </c>
      <c r="J2277" s="7">
        <v>10.7662</v>
      </c>
      <c r="K2277" s="7">
        <v>10.907999999999999</v>
      </c>
      <c r="L2277" s="7">
        <v>11.0198</v>
      </c>
      <c r="M2277" s="7">
        <v>11.243600000000001</v>
      </c>
      <c r="N2277" s="7">
        <v>11.4779</v>
      </c>
      <c r="O2277" s="7">
        <v>11.742699999999999</v>
      </c>
      <c r="P2277" s="7">
        <v>11.8741</v>
      </c>
      <c r="Q2277" s="7">
        <v>12.137</v>
      </c>
    </row>
    <row r="2278" spans="1:17">
      <c r="A2278" s="9">
        <v>44783</v>
      </c>
      <c r="B2278" s="5" t="str">
        <f t="shared" si="35"/>
        <v>2022 q3</v>
      </c>
      <c r="C2278" s="7">
        <v>10.2662</v>
      </c>
      <c r="D2278" s="7">
        <v>10.277900000000001</v>
      </c>
      <c r="E2278" s="7">
        <v>10.302099999999999</v>
      </c>
      <c r="F2278" s="7">
        <v>10.338200000000001</v>
      </c>
      <c r="G2278" s="7">
        <v>10.374000000000001</v>
      </c>
      <c r="H2278" s="7">
        <v>10.408899999999999</v>
      </c>
      <c r="I2278" s="7">
        <v>10.5467</v>
      </c>
      <c r="J2278" s="7">
        <v>10.678599999999999</v>
      </c>
      <c r="K2278" s="7">
        <v>10.8033</v>
      </c>
      <c r="L2278" s="7">
        <v>10.919499999999999</v>
      </c>
      <c r="M2278" s="7">
        <v>11.151999999999999</v>
      </c>
      <c r="N2278" s="7">
        <v>11.4544</v>
      </c>
      <c r="O2278" s="7">
        <v>11.8812</v>
      </c>
      <c r="P2278" s="7">
        <v>12.192299999999999</v>
      </c>
      <c r="Q2278" s="7">
        <v>12.8147</v>
      </c>
    </row>
    <row r="2279" spans="1:17">
      <c r="A2279" s="9">
        <v>44784</v>
      </c>
      <c r="B2279" s="5" t="str">
        <f t="shared" si="35"/>
        <v>2022 q3</v>
      </c>
      <c r="C2279" s="7">
        <v>10.2318</v>
      </c>
      <c r="D2279" s="7">
        <v>10.2493</v>
      </c>
      <c r="E2279" s="7">
        <v>10.285500000000001</v>
      </c>
      <c r="F2279" s="7">
        <v>10.3386</v>
      </c>
      <c r="G2279" s="7">
        <v>10.3908</v>
      </c>
      <c r="H2279" s="7">
        <v>10.439</v>
      </c>
      <c r="I2279" s="7">
        <v>10.625</v>
      </c>
      <c r="J2279" s="7">
        <v>10.789099999999999</v>
      </c>
      <c r="K2279" s="7">
        <v>10.934100000000001</v>
      </c>
      <c r="L2279" s="7">
        <v>11.059900000000001</v>
      </c>
      <c r="M2279" s="7">
        <v>11.2761</v>
      </c>
      <c r="N2279" s="7">
        <v>11.5121</v>
      </c>
      <c r="O2279" s="7">
        <v>11.777200000000001</v>
      </c>
      <c r="P2279" s="7">
        <v>11.9063</v>
      </c>
      <c r="Q2279" s="7">
        <v>12.1647</v>
      </c>
    </row>
    <row r="2280" spans="1:17">
      <c r="A2280" s="9">
        <v>44785</v>
      </c>
      <c r="B2280" s="5" t="str">
        <f t="shared" si="35"/>
        <v>2022 q3</v>
      </c>
      <c r="C2280" s="7">
        <v>9.9806000000000008</v>
      </c>
      <c r="D2280" s="7">
        <v>10.040699999999999</v>
      </c>
      <c r="E2280" s="7">
        <v>10.1648</v>
      </c>
      <c r="F2280" s="7">
        <v>10.329599999999999</v>
      </c>
      <c r="G2280" s="7">
        <v>10.481</v>
      </c>
      <c r="H2280" s="7">
        <v>10.581799999999999</v>
      </c>
      <c r="I2280" s="7">
        <v>10.9209</v>
      </c>
      <c r="J2280" s="7">
        <v>11.098100000000001</v>
      </c>
      <c r="K2280" s="7">
        <v>11.248699999999999</v>
      </c>
      <c r="L2280" s="7">
        <v>11.3216</v>
      </c>
      <c r="M2280" s="7">
        <v>11.412100000000001</v>
      </c>
      <c r="N2280" s="7">
        <v>11.478400000000001</v>
      </c>
      <c r="O2280" s="7">
        <v>11.5319</v>
      </c>
      <c r="P2280" s="7">
        <v>11.551500000000001</v>
      </c>
      <c r="Q2280" s="7">
        <v>11.5906</v>
      </c>
    </row>
    <row r="2281" spans="1:17">
      <c r="A2281" s="9">
        <v>44788</v>
      </c>
      <c r="B2281" s="5" t="str">
        <f t="shared" si="35"/>
        <v>2022 q3</v>
      </c>
      <c r="C2281" s="7">
        <v>10.0867</v>
      </c>
      <c r="D2281" s="7">
        <v>10.1256</v>
      </c>
      <c r="E2281" s="7">
        <v>10.206</v>
      </c>
      <c r="F2281" s="7">
        <v>10.318</v>
      </c>
      <c r="G2281" s="7">
        <v>10.424099999999999</v>
      </c>
      <c r="H2281" s="7">
        <v>10.507099999999999</v>
      </c>
      <c r="I2281" s="7">
        <v>10.799799999999999</v>
      </c>
      <c r="J2281" s="7">
        <v>10.994199999999999</v>
      </c>
      <c r="K2281" s="7">
        <v>11.166</v>
      </c>
      <c r="L2281" s="7">
        <v>11.268700000000001</v>
      </c>
      <c r="M2281" s="7">
        <v>11.4101</v>
      </c>
      <c r="N2281" s="7">
        <v>11.521599999999999</v>
      </c>
      <c r="O2281" s="7">
        <v>11.6153</v>
      </c>
      <c r="P2281" s="7">
        <v>11.649699999999999</v>
      </c>
      <c r="Q2281" s="7">
        <v>11.7187</v>
      </c>
    </row>
    <row r="2282" spans="1:17">
      <c r="A2282" s="9">
        <v>44789</v>
      </c>
      <c r="B2282" s="5" t="str">
        <f t="shared" si="35"/>
        <v>2022 q3</v>
      </c>
      <c r="C2282" s="7">
        <v>10.0151</v>
      </c>
      <c r="D2282" s="7">
        <v>10.0562</v>
      </c>
      <c r="E2282" s="7">
        <v>10.141</v>
      </c>
      <c r="F2282" s="7">
        <v>10.257199999999999</v>
      </c>
      <c r="G2282" s="7">
        <v>10.370200000000001</v>
      </c>
      <c r="H2282" s="7">
        <v>10.462199999999999</v>
      </c>
      <c r="I2282" s="7">
        <v>10.765000000000001</v>
      </c>
      <c r="J2282" s="7">
        <v>10.969900000000001</v>
      </c>
      <c r="K2282" s="7">
        <v>11.1503</v>
      </c>
      <c r="L2282" s="7">
        <v>11.258100000000001</v>
      </c>
      <c r="M2282" s="7">
        <v>11.4068</v>
      </c>
      <c r="N2282" s="7">
        <v>11.5237</v>
      </c>
      <c r="O2282" s="7">
        <v>11.622</v>
      </c>
      <c r="P2282" s="7">
        <v>11.658200000000001</v>
      </c>
      <c r="Q2282" s="7">
        <v>11.730700000000001</v>
      </c>
    </row>
    <row r="2283" spans="1:17">
      <c r="A2283" s="9">
        <v>44790</v>
      </c>
      <c r="B2283" s="5" t="str">
        <f t="shared" si="35"/>
        <v>2022 q3</v>
      </c>
      <c r="C2283" s="7">
        <v>10.1677</v>
      </c>
      <c r="D2283" s="7">
        <v>10.1868</v>
      </c>
      <c r="E2283" s="7">
        <v>10.226100000000001</v>
      </c>
      <c r="F2283" s="7">
        <v>10.283200000000001</v>
      </c>
      <c r="G2283" s="7">
        <v>10.3398</v>
      </c>
      <c r="H2283" s="7">
        <v>10.3925</v>
      </c>
      <c r="I2283" s="7">
        <v>10.588200000000001</v>
      </c>
      <c r="J2283" s="7">
        <v>10.7591</v>
      </c>
      <c r="K2283" s="7">
        <v>10.9153</v>
      </c>
      <c r="L2283" s="7">
        <v>11.0367</v>
      </c>
      <c r="M2283" s="7">
        <v>11.279500000000001</v>
      </c>
      <c r="N2283" s="7">
        <v>11.525499999999999</v>
      </c>
      <c r="O2283" s="7">
        <v>11.796900000000001</v>
      </c>
      <c r="P2283" s="7">
        <v>11.9269</v>
      </c>
      <c r="Q2283" s="7">
        <v>12.186999999999999</v>
      </c>
    </row>
    <row r="2284" spans="1:17">
      <c r="A2284" s="9">
        <v>44791</v>
      </c>
      <c r="B2284" s="5" t="str">
        <f t="shared" si="35"/>
        <v>2022 q3</v>
      </c>
      <c r="C2284" s="7">
        <v>10.146699999999999</v>
      </c>
      <c r="D2284" s="7">
        <v>10.1678</v>
      </c>
      <c r="E2284" s="7">
        <v>10.211399999999999</v>
      </c>
      <c r="F2284" s="7">
        <v>10.2742</v>
      </c>
      <c r="G2284" s="7">
        <v>10.3363</v>
      </c>
      <c r="H2284" s="7">
        <v>10.3931</v>
      </c>
      <c r="I2284" s="7">
        <v>10.600899999999999</v>
      </c>
      <c r="J2284" s="7">
        <v>10.7767</v>
      </c>
      <c r="K2284" s="7">
        <v>10.9413</v>
      </c>
      <c r="L2284" s="7">
        <v>11.070399999999999</v>
      </c>
      <c r="M2284" s="7">
        <v>11.284800000000001</v>
      </c>
      <c r="N2284" s="7">
        <v>11.5017</v>
      </c>
      <c r="O2284" s="7">
        <v>11.728300000000001</v>
      </c>
      <c r="P2284" s="7">
        <v>11.828099999999999</v>
      </c>
      <c r="Q2284" s="7">
        <v>12.027699999999999</v>
      </c>
    </row>
    <row r="2285" spans="1:17">
      <c r="A2285" s="9">
        <v>44792</v>
      </c>
      <c r="B2285" s="5" t="str">
        <f t="shared" si="35"/>
        <v>2022 q3</v>
      </c>
      <c r="C2285" s="7">
        <v>10.1852</v>
      </c>
      <c r="D2285" s="7">
        <v>10.202400000000001</v>
      </c>
      <c r="E2285" s="7">
        <v>10.2377</v>
      </c>
      <c r="F2285" s="7">
        <v>10.289400000000001</v>
      </c>
      <c r="G2285" s="7">
        <v>10.3407</v>
      </c>
      <c r="H2285" s="7">
        <v>10.388999999999999</v>
      </c>
      <c r="I2285" s="7">
        <v>10.570600000000001</v>
      </c>
      <c r="J2285" s="7">
        <v>10.732900000000001</v>
      </c>
      <c r="K2285" s="7">
        <v>10.882999999999999</v>
      </c>
      <c r="L2285" s="7">
        <v>11.0047</v>
      </c>
      <c r="M2285" s="7">
        <v>11.2483</v>
      </c>
      <c r="N2285" s="7">
        <v>11.5091</v>
      </c>
      <c r="O2285" s="7">
        <v>11.8125</v>
      </c>
      <c r="P2285" s="7">
        <v>11.969799999999999</v>
      </c>
      <c r="Q2285" s="7">
        <v>12.2845</v>
      </c>
    </row>
    <row r="2286" spans="1:17">
      <c r="A2286" s="9">
        <v>44795</v>
      </c>
      <c r="B2286" s="5" t="str">
        <f t="shared" si="35"/>
        <v>2022 q3</v>
      </c>
      <c r="C2286" s="7">
        <v>10.1945</v>
      </c>
      <c r="D2286" s="7">
        <v>10.2103</v>
      </c>
      <c r="E2286" s="7">
        <v>10.243</v>
      </c>
      <c r="F2286" s="7">
        <v>10.290900000000001</v>
      </c>
      <c r="G2286" s="7">
        <v>10.3386</v>
      </c>
      <c r="H2286" s="7">
        <v>10.383699999999999</v>
      </c>
      <c r="I2286" s="7">
        <v>10.555199999999999</v>
      </c>
      <c r="J2286" s="7">
        <v>10.710900000000001</v>
      </c>
      <c r="K2286" s="7">
        <v>10.8561</v>
      </c>
      <c r="L2286" s="7">
        <v>10.977399999999999</v>
      </c>
      <c r="M2286" s="7">
        <v>11.2201</v>
      </c>
      <c r="N2286" s="7">
        <v>11.4907</v>
      </c>
      <c r="O2286" s="7">
        <v>11.818199999999999</v>
      </c>
      <c r="P2286" s="7">
        <v>11.9992</v>
      </c>
      <c r="Q2286" s="7">
        <v>12.3613</v>
      </c>
    </row>
    <row r="2287" spans="1:17">
      <c r="A2287" s="10">
        <v>44796</v>
      </c>
      <c r="B2287" s="5" t="str">
        <f t="shared" si="35"/>
        <v>2022 q3</v>
      </c>
      <c r="C2287" s="7">
        <v>10.2796</v>
      </c>
      <c r="D2287" s="7">
        <v>10.2902</v>
      </c>
      <c r="E2287" s="7">
        <v>10.311999999999999</v>
      </c>
      <c r="F2287" s="7">
        <v>10.3446</v>
      </c>
      <c r="G2287" s="7">
        <v>10.377000000000001</v>
      </c>
      <c r="H2287" s="7">
        <v>10.4093</v>
      </c>
      <c r="I2287" s="7">
        <v>10.537800000000001</v>
      </c>
      <c r="J2287" s="7">
        <v>10.664300000000001</v>
      </c>
      <c r="K2287" s="7">
        <v>10.789400000000001</v>
      </c>
      <c r="L2287" s="7">
        <v>10.911199999999999</v>
      </c>
      <c r="M2287" s="7">
        <v>11.1549</v>
      </c>
      <c r="N2287" s="7">
        <v>11.503299999999999</v>
      </c>
      <c r="O2287" s="7">
        <v>12.053800000000001</v>
      </c>
      <c r="P2287" s="7">
        <v>12.558400000000001</v>
      </c>
      <c r="Q2287" s="7">
        <v>13.5184</v>
      </c>
    </row>
    <row r="2288" spans="1:17">
      <c r="A2288" s="10">
        <v>44797</v>
      </c>
      <c r="B2288" s="5" t="str">
        <f t="shared" si="35"/>
        <v>2022 q3</v>
      </c>
      <c r="C2288" s="7">
        <v>10.2417</v>
      </c>
      <c r="D2288" s="7">
        <v>10.2563</v>
      </c>
      <c r="E2288" s="7">
        <v>10.2864</v>
      </c>
      <c r="F2288" s="7">
        <v>10.3309</v>
      </c>
      <c r="G2288" s="7">
        <v>10.3734</v>
      </c>
      <c r="H2288" s="7">
        <v>10.4153</v>
      </c>
      <c r="I2288" s="7">
        <v>10.576700000000001</v>
      </c>
      <c r="J2288" s="7">
        <v>10.724399999999999</v>
      </c>
      <c r="K2288" s="7">
        <v>10.8629</v>
      </c>
      <c r="L2288" s="7">
        <v>10.9816</v>
      </c>
      <c r="M2288" s="7">
        <v>11.218999999999999</v>
      </c>
      <c r="N2288" s="7">
        <v>11.4925</v>
      </c>
      <c r="O2288" s="7">
        <v>11.8353</v>
      </c>
      <c r="P2288" s="7">
        <v>12.036300000000001</v>
      </c>
      <c r="Q2288" s="7">
        <v>12.4383</v>
      </c>
    </row>
    <row r="2289" spans="1:17">
      <c r="A2289" s="10">
        <v>44798</v>
      </c>
      <c r="B2289" s="5" t="str">
        <f t="shared" si="35"/>
        <v>2022 q3</v>
      </c>
      <c r="C2289" s="7">
        <v>10.256500000000001</v>
      </c>
      <c r="D2289" s="7">
        <v>10.2697</v>
      </c>
      <c r="E2289" s="7">
        <v>10.296900000000001</v>
      </c>
      <c r="F2289" s="7">
        <v>10.337300000000001</v>
      </c>
      <c r="G2289" s="7">
        <v>10.376200000000001</v>
      </c>
      <c r="H2289" s="7">
        <v>10.4147</v>
      </c>
      <c r="I2289" s="7">
        <v>10.563800000000001</v>
      </c>
      <c r="J2289" s="7">
        <v>10.7028</v>
      </c>
      <c r="K2289" s="7">
        <v>10.8347</v>
      </c>
      <c r="L2289" s="7">
        <v>10.9513</v>
      </c>
      <c r="M2289" s="7">
        <v>11.1845</v>
      </c>
      <c r="N2289" s="7">
        <v>11.4665</v>
      </c>
      <c r="O2289" s="7">
        <v>11.8375</v>
      </c>
      <c r="P2289" s="7">
        <v>12.0747</v>
      </c>
      <c r="Q2289" s="7">
        <v>12.549300000000001</v>
      </c>
    </row>
    <row r="2290" spans="1:17">
      <c r="A2290" s="10">
        <v>44799</v>
      </c>
      <c r="B2290" s="5" t="str">
        <f t="shared" si="35"/>
        <v>2022 q3</v>
      </c>
      <c r="C2290" s="7">
        <v>10.244199999999999</v>
      </c>
      <c r="D2290" s="7">
        <v>10.258699999999999</v>
      </c>
      <c r="E2290" s="7">
        <v>10.2887</v>
      </c>
      <c r="F2290" s="7">
        <v>10.333</v>
      </c>
      <c r="G2290" s="7">
        <v>10.375299999999999</v>
      </c>
      <c r="H2290" s="7">
        <v>10.4171</v>
      </c>
      <c r="I2290" s="7">
        <v>10.5778</v>
      </c>
      <c r="J2290" s="7">
        <v>10.725</v>
      </c>
      <c r="K2290" s="7">
        <v>10.863099999999999</v>
      </c>
      <c r="L2290" s="7">
        <v>10.9817</v>
      </c>
      <c r="M2290" s="7">
        <v>11.2189</v>
      </c>
      <c r="N2290" s="7">
        <v>11.4925</v>
      </c>
      <c r="O2290" s="7">
        <v>11.8362</v>
      </c>
      <c r="P2290" s="7">
        <v>12.038600000000001</v>
      </c>
      <c r="Q2290" s="7">
        <v>12.4434</v>
      </c>
    </row>
    <row r="2291" spans="1:17">
      <c r="A2291" s="5">
        <v>44802</v>
      </c>
      <c r="B2291" s="5" t="str">
        <f t="shared" si="35"/>
        <v>2022 q3</v>
      </c>
      <c r="C2291" s="7">
        <v>10.2498</v>
      </c>
      <c r="D2291" s="7">
        <v>10.2639</v>
      </c>
      <c r="E2291" s="7">
        <v>10.292999999999999</v>
      </c>
      <c r="F2291" s="7">
        <v>10.3361</v>
      </c>
      <c r="G2291" s="7">
        <v>10.3772</v>
      </c>
      <c r="H2291" s="7">
        <v>10.417899999999999</v>
      </c>
      <c r="I2291" s="7">
        <v>10.574199999999999</v>
      </c>
      <c r="J2291" s="7">
        <v>10.717499999999999</v>
      </c>
      <c r="K2291" s="7">
        <v>10.851699999999999</v>
      </c>
      <c r="L2291" s="7">
        <v>10.9671</v>
      </c>
      <c r="M2291" s="7">
        <v>11.197900000000001</v>
      </c>
      <c r="N2291" s="7">
        <v>11.4641</v>
      </c>
      <c r="O2291" s="7">
        <v>11.798500000000001</v>
      </c>
      <c r="P2291" s="7">
        <v>11.9954</v>
      </c>
      <c r="Q2291" s="7">
        <v>12.3893</v>
      </c>
    </row>
    <row r="2292" spans="1:17">
      <c r="A2292" s="5">
        <v>44803</v>
      </c>
      <c r="B2292" s="5" t="str">
        <f t="shared" si="35"/>
        <v>2022 q3</v>
      </c>
      <c r="C2292" s="7">
        <v>10.2483</v>
      </c>
      <c r="D2292" s="7">
        <v>10.2628</v>
      </c>
      <c r="E2292" s="7">
        <v>10.2926</v>
      </c>
      <c r="F2292" s="7">
        <v>10.3368</v>
      </c>
      <c r="G2292" s="7">
        <v>10.3789</v>
      </c>
      <c r="H2292" s="7">
        <v>10.420500000000001</v>
      </c>
      <c r="I2292" s="7">
        <v>10.5806</v>
      </c>
      <c r="J2292" s="7">
        <v>10.727499999999999</v>
      </c>
      <c r="K2292" s="7">
        <v>10.8649</v>
      </c>
      <c r="L2292" s="7">
        <v>10.9833</v>
      </c>
      <c r="M2292" s="7">
        <v>11.2201</v>
      </c>
      <c r="N2292" s="7">
        <v>11.492900000000001</v>
      </c>
      <c r="O2292" s="7">
        <v>11.836</v>
      </c>
      <c r="P2292" s="7">
        <v>12.038500000000001</v>
      </c>
      <c r="Q2292" s="7">
        <v>12.4435</v>
      </c>
    </row>
    <row r="2293" spans="1:17">
      <c r="A2293" s="5">
        <v>44804</v>
      </c>
      <c r="B2293" s="5" t="str">
        <f t="shared" si="35"/>
        <v>2022 q3</v>
      </c>
      <c r="C2293" s="7">
        <v>10.232200000000001</v>
      </c>
      <c r="D2293" s="7">
        <v>10.2471</v>
      </c>
      <c r="E2293" s="7">
        <v>10.277799999999999</v>
      </c>
      <c r="F2293" s="7">
        <v>10.323499999999999</v>
      </c>
      <c r="G2293" s="7">
        <v>10.3668</v>
      </c>
      <c r="H2293" s="7">
        <v>10.409700000000001</v>
      </c>
      <c r="I2293" s="7">
        <v>10.574199999999999</v>
      </c>
      <c r="J2293" s="7">
        <v>10.724500000000001</v>
      </c>
      <c r="K2293" s="7">
        <v>10.8645</v>
      </c>
      <c r="L2293" s="7">
        <v>10.984299999999999</v>
      </c>
      <c r="M2293" s="7">
        <v>11.223800000000001</v>
      </c>
      <c r="N2293" s="7">
        <v>11.4962</v>
      </c>
      <c r="O2293" s="7">
        <v>11.8346</v>
      </c>
      <c r="P2293" s="7">
        <v>12.030099999999999</v>
      </c>
      <c r="Q2293" s="7">
        <v>12.421099999999999</v>
      </c>
    </row>
    <row r="2294" spans="1:17">
      <c r="A2294" s="5">
        <v>44805</v>
      </c>
      <c r="B2294" s="5" t="str">
        <f t="shared" si="35"/>
        <v>2022 q3</v>
      </c>
      <c r="C2294" s="7">
        <v>10.2316</v>
      </c>
      <c r="D2294" s="7">
        <v>10.2454</v>
      </c>
      <c r="E2294" s="7">
        <v>10.273999999999999</v>
      </c>
      <c r="F2294" s="7">
        <v>10.3165</v>
      </c>
      <c r="G2294" s="7">
        <v>10.357200000000001</v>
      </c>
      <c r="H2294" s="7">
        <v>10.397600000000001</v>
      </c>
      <c r="I2294" s="7">
        <v>10.5535</v>
      </c>
      <c r="J2294" s="7">
        <v>10.6982</v>
      </c>
      <c r="K2294" s="7">
        <v>10.8345</v>
      </c>
      <c r="L2294" s="7">
        <v>10.9543</v>
      </c>
      <c r="M2294" s="7">
        <v>11.193899999999999</v>
      </c>
      <c r="N2294" s="7">
        <v>11.4785</v>
      </c>
      <c r="O2294" s="7">
        <v>11.847300000000001</v>
      </c>
      <c r="P2294" s="7">
        <v>12.077</v>
      </c>
      <c r="Q2294" s="7">
        <v>12.5364</v>
      </c>
    </row>
    <row r="2295" spans="1:17">
      <c r="A2295" s="5">
        <v>44806</v>
      </c>
      <c r="B2295" s="5" t="str">
        <f t="shared" si="35"/>
        <v>2022 q3</v>
      </c>
      <c r="C2295" s="7">
        <v>10.235099999999999</v>
      </c>
      <c r="D2295" s="7">
        <v>10.2498</v>
      </c>
      <c r="E2295" s="7">
        <v>10.2804</v>
      </c>
      <c r="F2295" s="7">
        <v>10.325799999999999</v>
      </c>
      <c r="G2295" s="7">
        <v>10.3687</v>
      </c>
      <c r="H2295" s="7">
        <v>10.4114</v>
      </c>
      <c r="I2295" s="7">
        <v>10.5749</v>
      </c>
      <c r="J2295" s="7">
        <v>10.724500000000001</v>
      </c>
      <c r="K2295" s="7">
        <v>10.864000000000001</v>
      </c>
      <c r="L2295" s="7">
        <v>10.983599999999999</v>
      </c>
      <c r="M2295" s="7">
        <v>11.222799999999999</v>
      </c>
      <c r="N2295" s="7">
        <v>11.4955</v>
      </c>
      <c r="O2295" s="7">
        <v>11.8355</v>
      </c>
      <c r="P2295" s="7">
        <v>12.033200000000001</v>
      </c>
      <c r="Q2295" s="7">
        <v>12.4285</v>
      </c>
    </row>
    <row r="2296" spans="1:17">
      <c r="A2296" s="5">
        <v>44809</v>
      </c>
      <c r="B2296" s="5" t="str">
        <f t="shared" si="35"/>
        <v>2022 q3</v>
      </c>
      <c r="C2296" s="7">
        <v>10.1957</v>
      </c>
      <c r="D2296" s="7">
        <v>10.2159</v>
      </c>
      <c r="E2296" s="7">
        <v>10.2577</v>
      </c>
      <c r="F2296" s="7">
        <v>10.3193</v>
      </c>
      <c r="G2296" s="7">
        <v>10.3749</v>
      </c>
      <c r="H2296" s="7">
        <v>10.4298</v>
      </c>
      <c r="I2296" s="7">
        <v>10.6332</v>
      </c>
      <c r="J2296" s="7">
        <v>10.805899999999999</v>
      </c>
      <c r="K2296" s="7">
        <v>10.9663</v>
      </c>
      <c r="L2296" s="7">
        <v>11.0932</v>
      </c>
      <c r="M2296" s="7">
        <v>11.307399999999999</v>
      </c>
      <c r="N2296" s="7">
        <v>11.5243</v>
      </c>
      <c r="O2296" s="7">
        <v>11.7547</v>
      </c>
      <c r="P2296" s="7">
        <v>11.8583</v>
      </c>
      <c r="Q2296" s="7">
        <v>12.0655</v>
      </c>
    </row>
    <row r="2297" spans="1:17">
      <c r="A2297" s="5">
        <v>44810</v>
      </c>
      <c r="B2297" s="5" t="str">
        <f t="shared" si="35"/>
        <v>2022 q3</v>
      </c>
      <c r="C2297" s="7">
        <v>10.141</v>
      </c>
      <c r="D2297" s="7">
        <v>10.1648</v>
      </c>
      <c r="E2297" s="7">
        <v>10.213699999999999</v>
      </c>
      <c r="F2297" s="7">
        <v>10.284000000000001</v>
      </c>
      <c r="G2297" s="7">
        <v>10.3515</v>
      </c>
      <c r="H2297" s="7">
        <v>10.419</v>
      </c>
      <c r="I2297" s="7">
        <v>10.638400000000001</v>
      </c>
      <c r="J2297" s="7">
        <v>10.823700000000001</v>
      </c>
      <c r="K2297" s="7">
        <v>10.992900000000001</v>
      </c>
      <c r="L2297" s="7">
        <v>11.1197</v>
      </c>
      <c r="M2297" s="7">
        <v>11.326599999999999</v>
      </c>
      <c r="N2297" s="7">
        <v>11.521699999999999</v>
      </c>
      <c r="O2297" s="7">
        <v>11.7163</v>
      </c>
      <c r="P2297" s="7">
        <v>11.7973</v>
      </c>
      <c r="Q2297" s="7">
        <v>11.959300000000001</v>
      </c>
    </row>
    <row r="2298" spans="1:17">
      <c r="A2298" s="5">
        <v>44811</v>
      </c>
      <c r="B2298" s="5" t="str">
        <f t="shared" si="35"/>
        <v>2022 q3</v>
      </c>
      <c r="C2298" s="7">
        <v>10.0747</v>
      </c>
      <c r="D2298" s="7">
        <v>10.1037</v>
      </c>
      <c r="E2298" s="7">
        <v>10.163600000000001</v>
      </c>
      <c r="F2298" s="7">
        <v>10.248200000000001</v>
      </c>
      <c r="G2298" s="7">
        <v>10.328900000000001</v>
      </c>
      <c r="H2298" s="7">
        <v>10.4094</v>
      </c>
      <c r="I2298" s="7">
        <v>10.6579</v>
      </c>
      <c r="J2298" s="7">
        <v>10.8592</v>
      </c>
      <c r="K2298" s="7">
        <v>11.039199999999999</v>
      </c>
      <c r="L2298" s="7">
        <v>11.1655</v>
      </c>
      <c r="M2298" s="7">
        <v>11.3627</v>
      </c>
      <c r="N2298" s="7">
        <v>11.534700000000001</v>
      </c>
      <c r="O2298" s="7">
        <v>11.6958</v>
      </c>
      <c r="P2298" s="7">
        <v>11.758800000000001</v>
      </c>
      <c r="Q2298" s="7">
        <v>11.8849</v>
      </c>
    </row>
    <row r="2299" spans="1:17">
      <c r="A2299" s="5">
        <v>44812</v>
      </c>
      <c r="B2299" s="5" t="str">
        <f t="shared" si="35"/>
        <v>2022 q3</v>
      </c>
      <c r="C2299" s="7">
        <v>10.143800000000001</v>
      </c>
      <c r="D2299" s="7">
        <v>10.1645</v>
      </c>
      <c r="E2299" s="7">
        <v>10.2073</v>
      </c>
      <c r="F2299" s="7">
        <v>10.2691</v>
      </c>
      <c r="G2299" s="7">
        <v>10.3292</v>
      </c>
      <c r="H2299" s="7">
        <v>10.389099999999999</v>
      </c>
      <c r="I2299" s="7">
        <v>10.5932</v>
      </c>
      <c r="J2299" s="7">
        <v>10.772600000000001</v>
      </c>
      <c r="K2299" s="7">
        <v>10.9392</v>
      </c>
      <c r="L2299" s="7">
        <v>11.071999999999999</v>
      </c>
      <c r="M2299" s="7">
        <v>11.298299999999999</v>
      </c>
      <c r="N2299" s="7">
        <v>11.529199999999999</v>
      </c>
      <c r="O2299" s="7">
        <v>11.777699999999999</v>
      </c>
      <c r="P2299" s="7">
        <v>11.891299999999999</v>
      </c>
      <c r="Q2299" s="7">
        <v>12.118399999999999</v>
      </c>
    </row>
    <row r="2300" spans="1:17">
      <c r="A2300" s="5">
        <v>44813</v>
      </c>
      <c r="B2300" s="5" t="str">
        <f t="shared" si="35"/>
        <v>2022 q3</v>
      </c>
      <c r="C2300" s="7">
        <v>10.1684</v>
      </c>
      <c r="D2300" s="7">
        <v>10.1866</v>
      </c>
      <c r="E2300" s="7">
        <v>10.224</v>
      </c>
      <c r="F2300" s="7">
        <v>10.2784</v>
      </c>
      <c r="G2300" s="7">
        <v>10.3316</v>
      </c>
      <c r="H2300" s="7">
        <v>10.3847</v>
      </c>
      <c r="I2300" s="7">
        <v>10.5709</v>
      </c>
      <c r="J2300" s="7">
        <v>10.7385</v>
      </c>
      <c r="K2300" s="7">
        <v>10.8896</v>
      </c>
      <c r="L2300" s="7">
        <v>11.0114</v>
      </c>
      <c r="M2300" s="7">
        <v>11.255100000000001</v>
      </c>
      <c r="N2300" s="7">
        <v>11.5039</v>
      </c>
      <c r="O2300" s="7">
        <v>11.7865</v>
      </c>
      <c r="P2300" s="7">
        <v>11.927199999999999</v>
      </c>
      <c r="Q2300" s="7">
        <v>12.208399999999999</v>
      </c>
    </row>
    <row r="2301" spans="1:17">
      <c r="A2301" s="5">
        <v>44816</v>
      </c>
      <c r="B2301" s="5" t="str">
        <f t="shared" si="35"/>
        <v>2022 q3</v>
      </c>
      <c r="C2301" s="7">
        <v>10.1508</v>
      </c>
      <c r="D2301" s="7">
        <v>10.170999999999999</v>
      </c>
      <c r="E2301" s="7">
        <v>10.2127</v>
      </c>
      <c r="F2301" s="7">
        <v>10.2729</v>
      </c>
      <c r="G2301" s="7">
        <v>10.3315</v>
      </c>
      <c r="H2301" s="7">
        <v>10.389699999999999</v>
      </c>
      <c r="I2301" s="7">
        <v>10.588100000000001</v>
      </c>
      <c r="J2301" s="7">
        <v>10.7624</v>
      </c>
      <c r="K2301" s="7">
        <v>10.9162</v>
      </c>
      <c r="L2301" s="7">
        <v>11.0342</v>
      </c>
      <c r="M2301" s="7">
        <v>11.270300000000001</v>
      </c>
      <c r="N2301" s="7">
        <v>11.4939</v>
      </c>
      <c r="O2301" s="7">
        <v>11.7326</v>
      </c>
      <c r="P2301" s="7">
        <v>11.8414</v>
      </c>
      <c r="Q2301" s="7">
        <v>12.0589</v>
      </c>
    </row>
    <row r="2302" spans="1:17">
      <c r="A2302" s="5">
        <v>44817</v>
      </c>
      <c r="B2302" s="5" t="str">
        <f t="shared" si="35"/>
        <v>2022 q3</v>
      </c>
      <c r="C2302" s="7">
        <v>10.072900000000001</v>
      </c>
      <c r="D2302" s="7">
        <v>10.1037</v>
      </c>
      <c r="E2302" s="7">
        <v>10.1671</v>
      </c>
      <c r="F2302" s="7">
        <v>10.2554</v>
      </c>
      <c r="G2302" s="7">
        <v>10.3398</v>
      </c>
      <c r="H2302" s="7">
        <v>10.4229</v>
      </c>
      <c r="I2302" s="7">
        <v>10.6736</v>
      </c>
      <c r="J2302" s="7">
        <v>10.872299999999999</v>
      </c>
      <c r="K2302" s="7">
        <v>11.047000000000001</v>
      </c>
      <c r="L2302" s="7">
        <v>11.164999999999999</v>
      </c>
      <c r="M2302" s="7">
        <v>11.345599999999999</v>
      </c>
      <c r="N2302" s="7">
        <v>11.4963</v>
      </c>
      <c r="O2302" s="7">
        <v>11.633699999999999</v>
      </c>
      <c r="P2302" s="7">
        <v>11.686299999999999</v>
      </c>
      <c r="Q2302" s="7">
        <v>11.791700000000001</v>
      </c>
    </row>
    <row r="2303" spans="1:17">
      <c r="A2303" s="5">
        <v>44818</v>
      </c>
      <c r="B2303" s="5" t="str">
        <f t="shared" si="35"/>
        <v>2022 q3</v>
      </c>
      <c r="C2303" s="7">
        <v>10.1243</v>
      </c>
      <c r="D2303" s="7">
        <v>10.163600000000001</v>
      </c>
      <c r="E2303" s="7">
        <v>10.2448</v>
      </c>
      <c r="F2303" s="7">
        <v>10.3546</v>
      </c>
      <c r="G2303" s="7">
        <v>10.457599999999999</v>
      </c>
      <c r="H2303" s="7">
        <v>10.558299999999999</v>
      </c>
      <c r="I2303" s="7">
        <v>10.834199999999999</v>
      </c>
      <c r="J2303" s="7">
        <v>11.035399999999999</v>
      </c>
      <c r="K2303" s="7">
        <v>11.1936</v>
      </c>
      <c r="L2303" s="7">
        <v>11.28</v>
      </c>
      <c r="M2303" s="7">
        <v>11.4528</v>
      </c>
      <c r="N2303" s="7">
        <v>11.565</v>
      </c>
      <c r="O2303" s="7">
        <v>11.66</v>
      </c>
      <c r="P2303" s="7">
        <v>11.6953</v>
      </c>
      <c r="Q2303" s="7">
        <v>11.7658</v>
      </c>
    </row>
    <row r="2304" spans="1:17">
      <c r="A2304" s="5">
        <v>44819</v>
      </c>
      <c r="B2304" s="5" t="str">
        <f t="shared" si="35"/>
        <v>2022 q3</v>
      </c>
      <c r="C2304" s="7">
        <v>10.067500000000001</v>
      </c>
      <c r="D2304" s="7">
        <v>10.117000000000001</v>
      </c>
      <c r="E2304" s="7">
        <v>10.218999999999999</v>
      </c>
      <c r="F2304" s="7">
        <v>10.355</v>
      </c>
      <c r="G2304" s="7">
        <v>10.4817</v>
      </c>
      <c r="H2304" s="7">
        <v>10.604900000000001</v>
      </c>
      <c r="I2304" s="7">
        <v>10.944599999999999</v>
      </c>
      <c r="J2304" s="7">
        <v>11.182499999999999</v>
      </c>
      <c r="K2304" s="7">
        <v>11.3447</v>
      </c>
      <c r="L2304" s="7">
        <v>11.4527</v>
      </c>
      <c r="M2304" s="7">
        <v>11.603199999999999</v>
      </c>
      <c r="N2304" s="7">
        <v>11.7135</v>
      </c>
      <c r="O2304" s="7">
        <v>11.807</v>
      </c>
      <c r="P2304" s="7">
        <v>11.8415</v>
      </c>
      <c r="Q2304" s="7">
        <v>11.910600000000001</v>
      </c>
    </row>
    <row r="2305" spans="1:17">
      <c r="A2305" s="5">
        <v>44820</v>
      </c>
      <c r="B2305" s="5" t="str">
        <f t="shared" si="35"/>
        <v>2022 q3</v>
      </c>
      <c r="C2305" s="7">
        <v>10.051299999999999</v>
      </c>
      <c r="D2305" s="7">
        <v>10.108700000000001</v>
      </c>
      <c r="E2305" s="7">
        <v>10.2271</v>
      </c>
      <c r="F2305" s="7">
        <v>10.379300000000001</v>
      </c>
      <c r="G2305" s="7">
        <v>10.5185</v>
      </c>
      <c r="H2305" s="7">
        <v>10.6526</v>
      </c>
      <c r="I2305" s="7">
        <v>10.970800000000001</v>
      </c>
      <c r="J2305" s="7">
        <v>11.175599999999999</v>
      </c>
      <c r="K2305" s="7">
        <v>11.341699999999999</v>
      </c>
      <c r="L2305" s="7">
        <v>11.4269</v>
      </c>
      <c r="M2305" s="7">
        <v>11.5402</v>
      </c>
      <c r="N2305" s="7">
        <v>11.6196</v>
      </c>
      <c r="O2305" s="7">
        <v>11.6859</v>
      </c>
      <c r="P2305" s="7">
        <v>11.7103</v>
      </c>
      <c r="Q2305" s="7">
        <v>11.7591</v>
      </c>
    </row>
    <row r="2306" spans="1:17">
      <c r="A2306" s="5">
        <v>44823</v>
      </c>
      <c r="B2306" s="5" t="str">
        <f t="shared" si="35"/>
        <v>2022 q3</v>
      </c>
      <c r="C2306" s="7">
        <v>10.09</v>
      </c>
      <c r="D2306" s="7">
        <v>10.1404</v>
      </c>
      <c r="E2306" s="7">
        <v>10.2445</v>
      </c>
      <c r="F2306" s="7">
        <v>10.3813</v>
      </c>
      <c r="G2306" s="7">
        <v>10.508800000000001</v>
      </c>
      <c r="H2306" s="7">
        <v>10.6318</v>
      </c>
      <c r="I2306" s="7">
        <v>10.9474</v>
      </c>
      <c r="J2306" s="7">
        <v>11.1647</v>
      </c>
      <c r="K2306" s="7">
        <v>11.3443</v>
      </c>
      <c r="L2306" s="7">
        <v>11.4437</v>
      </c>
      <c r="M2306" s="7">
        <v>11.5808</v>
      </c>
      <c r="N2306" s="7">
        <v>11.679500000000001</v>
      </c>
      <c r="O2306" s="7">
        <v>11.7629</v>
      </c>
      <c r="P2306" s="7">
        <v>11.7936</v>
      </c>
      <c r="Q2306" s="7">
        <v>11.8552</v>
      </c>
    </row>
    <row r="2307" spans="1:17">
      <c r="A2307" s="5">
        <v>44824</v>
      </c>
      <c r="B2307" s="5" t="str">
        <f t="shared" ref="B2307:B2370" si="36">YEAR(A2307)&amp;" q"&amp;ROUNDUP(MONTH(A2307)/3,0)</f>
        <v>2022 q3</v>
      </c>
      <c r="C2307" s="7">
        <v>10.208</v>
      </c>
      <c r="D2307" s="7">
        <v>10.240500000000001</v>
      </c>
      <c r="E2307" s="7">
        <v>10.307700000000001</v>
      </c>
      <c r="F2307" s="7">
        <v>10.4017</v>
      </c>
      <c r="G2307" s="7">
        <v>10.492900000000001</v>
      </c>
      <c r="H2307" s="7">
        <v>10.582000000000001</v>
      </c>
      <c r="I2307" s="7">
        <v>10.864599999999999</v>
      </c>
      <c r="J2307" s="7">
        <v>11.098699999999999</v>
      </c>
      <c r="K2307" s="7">
        <v>11.2933</v>
      </c>
      <c r="L2307" s="7">
        <v>11.426500000000001</v>
      </c>
      <c r="M2307" s="7">
        <v>11.6928</v>
      </c>
      <c r="N2307" s="7">
        <v>11.904199999999999</v>
      </c>
      <c r="O2307" s="7">
        <v>12.105499999999999</v>
      </c>
      <c r="P2307" s="7">
        <v>12.185700000000001</v>
      </c>
      <c r="Q2307" s="7">
        <v>12.346299999999999</v>
      </c>
    </row>
    <row r="2308" spans="1:17">
      <c r="A2308" s="5">
        <v>44826</v>
      </c>
      <c r="B2308" s="5" t="str">
        <f t="shared" si="36"/>
        <v>2022 q3</v>
      </c>
      <c r="C2308" s="7">
        <v>10.4213</v>
      </c>
      <c r="D2308" s="7">
        <v>10.4411</v>
      </c>
      <c r="E2308" s="7">
        <v>10.481999999999999</v>
      </c>
      <c r="F2308" s="7">
        <v>10.540800000000001</v>
      </c>
      <c r="G2308" s="7">
        <v>10.598699999999999</v>
      </c>
      <c r="H2308" s="7">
        <v>10.6557</v>
      </c>
      <c r="I2308" s="7">
        <v>10.8537</v>
      </c>
      <c r="J2308" s="7">
        <v>11.0307</v>
      </c>
      <c r="K2308" s="7">
        <v>11.1869</v>
      </c>
      <c r="L2308" s="7">
        <v>11.311</v>
      </c>
      <c r="M2308" s="7">
        <v>11.5593</v>
      </c>
      <c r="N2308" s="7">
        <v>11.801299999999999</v>
      </c>
      <c r="O2308" s="7">
        <v>12.0686</v>
      </c>
      <c r="P2308" s="7">
        <v>12.1959</v>
      </c>
      <c r="Q2308" s="7">
        <v>12.4505</v>
      </c>
    </row>
    <row r="2309" spans="1:17">
      <c r="A2309" s="5">
        <v>44827</v>
      </c>
      <c r="B2309" s="5" t="str">
        <f t="shared" si="36"/>
        <v>2022 q3</v>
      </c>
      <c r="C2309" s="7">
        <v>10.411799999999999</v>
      </c>
      <c r="D2309" s="7">
        <v>10.4335</v>
      </c>
      <c r="E2309" s="7">
        <v>10.478199999999999</v>
      </c>
      <c r="F2309" s="7">
        <v>10.542199999999999</v>
      </c>
      <c r="G2309" s="7">
        <v>10.605</v>
      </c>
      <c r="H2309" s="7">
        <v>10.666700000000001</v>
      </c>
      <c r="I2309" s="7">
        <v>10.877700000000001</v>
      </c>
      <c r="J2309" s="7">
        <v>11.0641</v>
      </c>
      <c r="K2309" s="7">
        <v>11.2355</v>
      </c>
      <c r="L2309" s="7">
        <v>11.371499999999999</v>
      </c>
      <c r="M2309" s="7">
        <v>11.6046</v>
      </c>
      <c r="N2309" s="7">
        <v>11.838699999999999</v>
      </c>
      <c r="O2309" s="7">
        <v>12.090299999999999</v>
      </c>
      <c r="P2309" s="7">
        <v>12.205</v>
      </c>
      <c r="Q2309" s="7">
        <v>12.4343</v>
      </c>
    </row>
    <row r="2310" spans="1:17">
      <c r="A2310" s="5">
        <v>44830</v>
      </c>
      <c r="B2310" s="5" t="str">
        <f t="shared" si="36"/>
        <v>2022 q3</v>
      </c>
      <c r="C2310" s="7">
        <v>10.41</v>
      </c>
      <c r="D2310" s="7">
        <v>10.430400000000001</v>
      </c>
      <c r="E2310" s="7">
        <v>10.4726</v>
      </c>
      <c r="F2310" s="7">
        <v>10.5334</v>
      </c>
      <c r="G2310" s="7">
        <v>10.593400000000001</v>
      </c>
      <c r="H2310" s="7">
        <v>10.6525</v>
      </c>
      <c r="I2310" s="7">
        <v>10.861000000000001</v>
      </c>
      <c r="J2310" s="7">
        <v>11.049799999999999</v>
      </c>
      <c r="K2310" s="7">
        <v>11.226100000000001</v>
      </c>
      <c r="L2310" s="7">
        <v>11.372199999999999</v>
      </c>
      <c r="M2310" s="7">
        <v>11.6302</v>
      </c>
      <c r="N2310" s="7">
        <v>11.906599999999999</v>
      </c>
      <c r="O2310" s="7">
        <v>12.2227</v>
      </c>
      <c r="P2310" s="7">
        <v>12.380599999999999</v>
      </c>
      <c r="Q2310" s="7">
        <v>12.696300000000001</v>
      </c>
    </row>
    <row r="2311" spans="1:17">
      <c r="A2311" s="5">
        <v>44831</v>
      </c>
      <c r="B2311" s="5" t="str">
        <f t="shared" si="36"/>
        <v>2022 q3</v>
      </c>
      <c r="C2311" s="7">
        <v>10.532500000000001</v>
      </c>
      <c r="D2311" s="7">
        <v>10.5494</v>
      </c>
      <c r="E2311" s="7">
        <v>10.584199999999999</v>
      </c>
      <c r="F2311" s="7">
        <v>10.634499999999999</v>
      </c>
      <c r="G2311" s="7">
        <v>10.6843</v>
      </c>
      <c r="H2311" s="7">
        <v>10.7333</v>
      </c>
      <c r="I2311" s="7">
        <v>10.908799999999999</v>
      </c>
      <c r="J2311" s="7">
        <v>11.069800000000001</v>
      </c>
      <c r="K2311" s="7">
        <v>11.221</v>
      </c>
      <c r="L2311" s="7">
        <v>11.3489</v>
      </c>
      <c r="M2311" s="7">
        <v>11.578099999999999</v>
      </c>
      <c r="N2311" s="7">
        <v>11.831300000000001</v>
      </c>
      <c r="O2311" s="7">
        <v>12.1303</v>
      </c>
      <c r="P2311" s="7">
        <v>12.287599999999999</v>
      </c>
      <c r="Q2311" s="7">
        <v>12.6023</v>
      </c>
    </row>
    <row r="2312" spans="1:17">
      <c r="A2312" s="5">
        <v>44832</v>
      </c>
      <c r="B2312" s="5" t="str">
        <f t="shared" si="36"/>
        <v>2022 q3</v>
      </c>
      <c r="C2312" s="7">
        <v>10.5764</v>
      </c>
      <c r="D2312" s="7">
        <v>10.5936</v>
      </c>
      <c r="E2312" s="7">
        <v>10.629</v>
      </c>
      <c r="F2312" s="7">
        <v>10.680400000000001</v>
      </c>
      <c r="G2312" s="7">
        <v>10.731299999999999</v>
      </c>
      <c r="H2312" s="7">
        <v>10.7814</v>
      </c>
      <c r="I2312" s="7">
        <v>10.962</v>
      </c>
      <c r="J2312" s="7">
        <v>11.1287</v>
      </c>
      <c r="K2312" s="7">
        <v>11.279199999999999</v>
      </c>
      <c r="L2312" s="7">
        <v>11.406599999999999</v>
      </c>
      <c r="M2312" s="7">
        <v>11.6614</v>
      </c>
      <c r="N2312" s="7">
        <v>11.9336</v>
      </c>
      <c r="O2312" s="7">
        <v>12.259600000000001</v>
      </c>
      <c r="P2312" s="7">
        <v>12.4358</v>
      </c>
      <c r="Q2312" s="7">
        <v>12.7883</v>
      </c>
    </row>
    <row r="2313" spans="1:17">
      <c r="A2313" s="5">
        <v>44833</v>
      </c>
      <c r="B2313" s="5" t="str">
        <f t="shared" si="36"/>
        <v>2022 q3</v>
      </c>
      <c r="C2313" s="7">
        <v>10.526899999999999</v>
      </c>
      <c r="D2313" s="7">
        <v>10.547000000000001</v>
      </c>
      <c r="E2313" s="7">
        <v>10.5885</v>
      </c>
      <c r="F2313" s="7">
        <v>10.647600000000001</v>
      </c>
      <c r="G2313" s="7">
        <v>10.7059</v>
      </c>
      <c r="H2313" s="7">
        <v>10.7628</v>
      </c>
      <c r="I2313" s="7">
        <v>10.957599999999999</v>
      </c>
      <c r="J2313" s="7">
        <v>11.130100000000001</v>
      </c>
      <c r="K2313" s="7">
        <v>11.2881</v>
      </c>
      <c r="L2313" s="7">
        <v>11.413</v>
      </c>
      <c r="M2313" s="7">
        <v>11.6279</v>
      </c>
      <c r="N2313" s="7">
        <v>11.8421</v>
      </c>
      <c r="O2313" s="7">
        <v>12.072100000000001</v>
      </c>
      <c r="P2313" s="7">
        <v>12.1768</v>
      </c>
      <c r="Q2313" s="7">
        <v>12.385999999999999</v>
      </c>
    </row>
    <row r="2314" spans="1:17">
      <c r="A2314" s="5">
        <v>44834</v>
      </c>
      <c r="B2314" s="5" t="str">
        <f t="shared" si="36"/>
        <v>2022 q3</v>
      </c>
      <c r="C2314" s="7">
        <v>10.537000000000001</v>
      </c>
      <c r="D2314" s="7">
        <v>10.5557</v>
      </c>
      <c r="E2314" s="7">
        <v>10.5943</v>
      </c>
      <c r="F2314" s="7">
        <v>10.65</v>
      </c>
      <c r="G2314" s="7">
        <v>10.7052</v>
      </c>
      <c r="H2314" s="7">
        <v>10.759399999999999</v>
      </c>
      <c r="I2314" s="7">
        <v>10.953200000000001</v>
      </c>
      <c r="J2314" s="7">
        <v>11.130800000000001</v>
      </c>
      <c r="K2314" s="7">
        <v>11.2972</v>
      </c>
      <c r="L2314" s="7">
        <v>11.4374</v>
      </c>
      <c r="M2314" s="7">
        <v>11.688499999999999</v>
      </c>
      <c r="N2314" s="7">
        <v>11.964</v>
      </c>
      <c r="O2314" s="7">
        <v>12.287699999999999</v>
      </c>
      <c r="P2314" s="7">
        <v>12.4566</v>
      </c>
      <c r="Q2314" s="7">
        <v>12.7944</v>
      </c>
    </row>
    <row r="2315" spans="1:17">
      <c r="A2315" s="5">
        <v>44837</v>
      </c>
      <c r="B2315" s="5" t="str">
        <f t="shared" si="36"/>
        <v>2022 q4</v>
      </c>
      <c r="C2315" s="7">
        <v>10.576499999999999</v>
      </c>
      <c r="D2315" s="7">
        <v>10.595700000000001</v>
      </c>
      <c r="E2315" s="7">
        <v>10.635300000000001</v>
      </c>
      <c r="F2315" s="7">
        <v>10.6921</v>
      </c>
      <c r="G2315" s="7">
        <v>10.7483</v>
      </c>
      <c r="H2315" s="7">
        <v>10.8032</v>
      </c>
      <c r="I2315" s="7">
        <v>10.9969</v>
      </c>
      <c r="J2315" s="7">
        <v>11.1721</v>
      </c>
      <c r="K2315" s="7">
        <v>11.3347</v>
      </c>
      <c r="L2315" s="7">
        <v>11.468400000000001</v>
      </c>
      <c r="M2315" s="7">
        <v>11.7043</v>
      </c>
      <c r="N2315" s="7">
        <v>11.957599999999999</v>
      </c>
      <c r="O2315" s="7">
        <v>12.235200000000001</v>
      </c>
      <c r="P2315" s="7">
        <v>12.374000000000001</v>
      </c>
      <c r="Q2315" s="7">
        <v>12.6516</v>
      </c>
    </row>
    <row r="2316" spans="1:17">
      <c r="A2316" s="5">
        <v>44838</v>
      </c>
      <c r="B2316" s="5" t="str">
        <f t="shared" si="36"/>
        <v>2022 q4</v>
      </c>
      <c r="C2316" s="7">
        <v>10.5603</v>
      </c>
      <c r="D2316" s="7">
        <v>10.5771</v>
      </c>
      <c r="E2316" s="7">
        <v>10.611700000000001</v>
      </c>
      <c r="F2316" s="7">
        <v>10.6617</v>
      </c>
      <c r="G2316" s="7">
        <v>10.711499999999999</v>
      </c>
      <c r="H2316" s="7">
        <v>10.761200000000001</v>
      </c>
      <c r="I2316" s="7">
        <v>10.9407</v>
      </c>
      <c r="J2316" s="7">
        <v>11.1089</v>
      </c>
      <c r="K2316" s="7">
        <v>11.261900000000001</v>
      </c>
      <c r="L2316" s="7">
        <v>11.4033</v>
      </c>
      <c r="M2316" s="7">
        <v>11.6549</v>
      </c>
      <c r="N2316" s="7">
        <v>11.9489</v>
      </c>
      <c r="O2316" s="7">
        <v>12.303100000000001</v>
      </c>
      <c r="P2316" s="7">
        <v>12.507400000000001</v>
      </c>
      <c r="Q2316" s="7">
        <v>12.915800000000001</v>
      </c>
    </row>
    <row r="2317" spans="1:17">
      <c r="A2317" s="5">
        <v>44839</v>
      </c>
      <c r="B2317" s="5" t="str">
        <f t="shared" si="36"/>
        <v>2022 q4</v>
      </c>
      <c r="C2317" s="7">
        <v>10.5427</v>
      </c>
      <c r="D2317" s="7">
        <v>10.5625</v>
      </c>
      <c r="E2317" s="7">
        <v>10.603400000000001</v>
      </c>
      <c r="F2317" s="7">
        <v>10.661799999999999</v>
      </c>
      <c r="G2317" s="7">
        <v>10.7197</v>
      </c>
      <c r="H2317" s="7">
        <v>10.7775</v>
      </c>
      <c r="I2317" s="7">
        <v>10.9785</v>
      </c>
      <c r="J2317" s="7">
        <v>11.162599999999999</v>
      </c>
      <c r="K2317" s="7">
        <v>11.324400000000001</v>
      </c>
      <c r="L2317" s="7">
        <v>11.47</v>
      </c>
      <c r="M2317" s="7">
        <v>11.718500000000001</v>
      </c>
      <c r="N2317" s="7">
        <v>11.982200000000001</v>
      </c>
      <c r="O2317" s="7">
        <v>12.2836</v>
      </c>
      <c r="P2317" s="7">
        <v>12.4339</v>
      </c>
      <c r="Q2317" s="7">
        <v>12.7346</v>
      </c>
    </row>
    <row r="2318" spans="1:17">
      <c r="A2318" s="5">
        <v>44840</v>
      </c>
      <c r="B2318" s="5" t="str">
        <f t="shared" si="36"/>
        <v>2022 q4</v>
      </c>
      <c r="C2318" s="7">
        <v>10.5984</v>
      </c>
      <c r="D2318" s="7">
        <v>10.617000000000001</v>
      </c>
      <c r="E2318" s="7">
        <v>10.6555</v>
      </c>
      <c r="F2318" s="7">
        <v>10.710800000000001</v>
      </c>
      <c r="G2318" s="7">
        <v>10.765700000000001</v>
      </c>
      <c r="H2318" s="7">
        <v>10.820399999999999</v>
      </c>
      <c r="I2318" s="7">
        <v>11.0121</v>
      </c>
      <c r="J2318" s="7">
        <v>11.188000000000001</v>
      </c>
      <c r="K2318" s="7">
        <v>11.343400000000001</v>
      </c>
      <c r="L2318" s="7">
        <v>11.483700000000001</v>
      </c>
      <c r="M2318" s="7">
        <v>11.724600000000001</v>
      </c>
      <c r="N2318" s="7">
        <v>11.982799999999999</v>
      </c>
      <c r="O2318" s="7">
        <v>12.281000000000001</v>
      </c>
      <c r="P2318" s="7">
        <v>12.4322</v>
      </c>
      <c r="Q2318" s="7">
        <v>12.734400000000001</v>
      </c>
    </row>
    <row r="2319" spans="1:17">
      <c r="A2319" s="5">
        <v>44841</v>
      </c>
      <c r="B2319" s="5" t="str">
        <f t="shared" si="36"/>
        <v>2022 q4</v>
      </c>
      <c r="C2319" s="7">
        <v>10.598599999999999</v>
      </c>
      <c r="D2319" s="7">
        <v>10.617800000000001</v>
      </c>
      <c r="E2319" s="7">
        <v>10.657400000000001</v>
      </c>
      <c r="F2319" s="7">
        <v>10.7141</v>
      </c>
      <c r="G2319" s="7">
        <v>10.7704</v>
      </c>
      <c r="H2319" s="7">
        <v>10.8264</v>
      </c>
      <c r="I2319" s="7">
        <v>11.021599999999999</v>
      </c>
      <c r="J2319" s="7">
        <v>11.1999</v>
      </c>
      <c r="K2319" s="7">
        <v>11.3565</v>
      </c>
      <c r="L2319" s="7">
        <v>11.497</v>
      </c>
      <c r="M2319" s="7">
        <v>11.736700000000001</v>
      </c>
      <c r="N2319" s="7">
        <v>11.989599999999999</v>
      </c>
      <c r="O2319" s="7">
        <v>12.277699999999999</v>
      </c>
      <c r="P2319" s="7">
        <v>12.4206</v>
      </c>
      <c r="Q2319" s="7">
        <v>12.7065</v>
      </c>
    </row>
    <row r="2320" spans="1:17">
      <c r="A2320" s="5">
        <v>44844</v>
      </c>
      <c r="B2320" s="5" t="str">
        <f t="shared" si="36"/>
        <v>2022 q4</v>
      </c>
      <c r="C2320" s="7">
        <v>10.563700000000001</v>
      </c>
      <c r="D2320" s="7">
        <v>10.587199999999999</v>
      </c>
      <c r="E2320" s="7">
        <v>10.6358</v>
      </c>
      <c r="F2320" s="7">
        <v>10.7036</v>
      </c>
      <c r="G2320" s="7">
        <v>10.770899999999999</v>
      </c>
      <c r="H2320" s="7">
        <v>10.8375</v>
      </c>
      <c r="I2320" s="7">
        <v>11.0549</v>
      </c>
      <c r="J2320" s="7">
        <v>11.245799999999999</v>
      </c>
      <c r="K2320" s="7">
        <v>11.403</v>
      </c>
      <c r="L2320" s="7">
        <v>11.5463</v>
      </c>
      <c r="M2320" s="7">
        <v>11.7525</v>
      </c>
      <c r="N2320" s="7">
        <v>11.950900000000001</v>
      </c>
      <c r="O2320" s="7">
        <v>12.1562</v>
      </c>
      <c r="P2320" s="7">
        <v>12.254799999999999</v>
      </c>
      <c r="Q2320" s="7">
        <v>12.3992</v>
      </c>
    </row>
    <row r="2321" spans="1:17">
      <c r="A2321" s="5">
        <v>44845</v>
      </c>
      <c r="B2321" s="5" t="str">
        <f t="shared" si="36"/>
        <v>2022 q4</v>
      </c>
      <c r="C2321" s="7">
        <v>10.521800000000001</v>
      </c>
      <c r="D2321" s="7">
        <v>10.5441</v>
      </c>
      <c r="E2321" s="7">
        <v>10.590199999999999</v>
      </c>
      <c r="F2321" s="7">
        <v>10.656499999999999</v>
      </c>
      <c r="G2321" s="7">
        <v>10.7212</v>
      </c>
      <c r="H2321" s="7">
        <v>10.785</v>
      </c>
      <c r="I2321" s="7">
        <v>11.002700000000001</v>
      </c>
      <c r="J2321" s="7">
        <v>11.2057</v>
      </c>
      <c r="K2321" s="7">
        <v>11.3665</v>
      </c>
      <c r="L2321" s="7">
        <v>11.507999999999999</v>
      </c>
      <c r="M2321" s="7">
        <v>11.747199999999999</v>
      </c>
      <c r="N2321" s="7">
        <v>11.9825</v>
      </c>
      <c r="O2321" s="7">
        <v>12.2385</v>
      </c>
      <c r="P2321" s="7">
        <v>12.369300000000001</v>
      </c>
      <c r="Q2321" s="7">
        <v>12.562799999999999</v>
      </c>
    </row>
    <row r="2322" spans="1:17">
      <c r="A2322" s="5">
        <v>44846</v>
      </c>
      <c r="B2322" s="5" t="str">
        <f t="shared" si="36"/>
        <v>2022 q4</v>
      </c>
      <c r="C2322" s="7">
        <v>10.5252</v>
      </c>
      <c r="D2322" s="7">
        <v>10.546799999999999</v>
      </c>
      <c r="E2322" s="7">
        <v>10.5913</v>
      </c>
      <c r="F2322" s="7">
        <v>10.6557</v>
      </c>
      <c r="G2322" s="7">
        <v>10.7187</v>
      </c>
      <c r="H2322" s="7">
        <v>10.7807</v>
      </c>
      <c r="I2322" s="7">
        <v>10.9963</v>
      </c>
      <c r="J2322" s="7">
        <v>11.198499999999999</v>
      </c>
      <c r="K2322" s="7">
        <v>11.3622</v>
      </c>
      <c r="L2322" s="7">
        <v>11.5078</v>
      </c>
      <c r="M2322" s="7">
        <v>11.757899999999999</v>
      </c>
      <c r="N2322" s="7">
        <v>12.011900000000001</v>
      </c>
      <c r="O2322" s="7">
        <v>12.2963</v>
      </c>
      <c r="P2322" s="7">
        <v>12.446999999999999</v>
      </c>
      <c r="Q2322" s="7">
        <v>12.6721</v>
      </c>
    </row>
    <row r="2323" spans="1:17">
      <c r="A2323" s="5">
        <v>44847</v>
      </c>
      <c r="B2323" s="5" t="str">
        <f t="shared" si="36"/>
        <v>2022 q4</v>
      </c>
      <c r="C2323" s="7">
        <v>10.5481</v>
      </c>
      <c r="D2323" s="7">
        <v>10.5679</v>
      </c>
      <c r="E2323" s="7">
        <v>10.6088</v>
      </c>
      <c r="F2323" s="7">
        <v>10.668100000000001</v>
      </c>
      <c r="G2323" s="7">
        <v>10.7264</v>
      </c>
      <c r="H2323" s="7">
        <v>10.784000000000001</v>
      </c>
      <c r="I2323" s="7">
        <v>10.988300000000001</v>
      </c>
      <c r="J2323" s="7">
        <v>11.181699999999999</v>
      </c>
      <c r="K2323" s="7">
        <v>11.3432</v>
      </c>
      <c r="L2323" s="7">
        <v>11.489100000000001</v>
      </c>
      <c r="M2323" s="7">
        <v>11.7456</v>
      </c>
      <c r="N2323" s="7">
        <v>12.019</v>
      </c>
      <c r="O2323" s="7">
        <v>12.335000000000001</v>
      </c>
      <c r="P2323" s="7">
        <v>12.4953</v>
      </c>
      <c r="Q2323" s="7">
        <v>12.815799999999999</v>
      </c>
    </row>
    <row r="2324" spans="1:17">
      <c r="A2324" s="5">
        <v>44848</v>
      </c>
      <c r="B2324" s="5" t="str">
        <f t="shared" si="36"/>
        <v>2022 q4</v>
      </c>
      <c r="C2324" s="7">
        <v>10.5083</v>
      </c>
      <c r="D2324" s="7">
        <v>10.532</v>
      </c>
      <c r="E2324" s="7">
        <v>10.581099999999999</v>
      </c>
      <c r="F2324" s="7">
        <v>10.651300000000001</v>
      </c>
      <c r="G2324" s="7">
        <v>10.7197</v>
      </c>
      <c r="H2324" s="7">
        <v>10.7867</v>
      </c>
      <c r="I2324" s="7">
        <v>11.012499999999999</v>
      </c>
      <c r="J2324" s="7">
        <v>11.2212</v>
      </c>
      <c r="K2324" s="7">
        <v>11.382300000000001</v>
      </c>
      <c r="L2324" s="7">
        <v>11.5296</v>
      </c>
      <c r="M2324" s="7">
        <v>11.755599999999999</v>
      </c>
      <c r="N2324" s="7">
        <v>11.980499999999999</v>
      </c>
      <c r="O2324" s="7">
        <v>12.209199999999999</v>
      </c>
      <c r="P2324" s="7">
        <v>12.3241</v>
      </c>
      <c r="Q2324" s="7">
        <v>12.492800000000001</v>
      </c>
    </row>
    <row r="2325" spans="1:17">
      <c r="A2325" s="5">
        <v>44851</v>
      </c>
      <c r="B2325" s="5" t="str">
        <f t="shared" si="36"/>
        <v>2022 q4</v>
      </c>
      <c r="C2325" s="7">
        <v>10.5474</v>
      </c>
      <c r="D2325" s="7">
        <v>10.5677</v>
      </c>
      <c r="E2325" s="7">
        <v>10.6098</v>
      </c>
      <c r="F2325" s="7">
        <v>10.6708</v>
      </c>
      <c r="G2325" s="7">
        <v>10.730600000000001</v>
      </c>
      <c r="H2325" s="7">
        <v>10.7895</v>
      </c>
      <c r="I2325" s="7">
        <v>10.9976</v>
      </c>
      <c r="J2325" s="7">
        <v>11.1867</v>
      </c>
      <c r="K2325" s="7">
        <v>11.353300000000001</v>
      </c>
      <c r="L2325" s="7">
        <v>11.501799999999999</v>
      </c>
      <c r="M2325" s="7">
        <v>11.7562</v>
      </c>
      <c r="N2325" s="7">
        <v>12.0227</v>
      </c>
      <c r="O2325" s="7">
        <v>12.3261</v>
      </c>
      <c r="P2325" s="7">
        <v>12.4764</v>
      </c>
      <c r="Q2325" s="7">
        <v>12.776899999999999</v>
      </c>
    </row>
    <row r="2326" spans="1:17">
      <c r="A2326" s="5">
        <v>44852</v>
      </c>
      <c r="B2326" s="5" t="str">
        <f t="shared" si="36"/>
        <v>2022 q4</v>
      </c>
      <c r="C2326" s="7">
        <v>10.5943</v>
      </c>
      <c r="D2326" s="7">
        <v>10.613099999999999</v>
      </c>
      <c r="E2326" s="7">
        <v>10.6518</v>
      </c>
      <c r="F2326" s="7">
        <v>10.708399999999999</v>
      </c>
      <c r="G2326" s="7">
        <v>10.7644</v>
      </c>
      <c r="H2326" s="7">
        <v>10.8149</v>
      </c>
      <c r="I2326" s="7">
        <v>11.0129</v>
      </c>
      <c r="J2326" s="7">
        <v>11.1937</v>
      </c>
      <c r="K2326" s="7">
        <v>11.354799999999999</v>
      </c>
      <c r="L2326" s="7">
        <v>11.5</v>
      </c>
      <c r="M2326" s="7">
        <v>11.7537</v>
      </c>
      <c r="N2326" s="7">
        <v>12.0288</v>
      </c>
      <c r="O2326" s="7">
        <v>12.3529</v>
      </c>
      <c r="P2326" s="7">
        <v>12.522600000000001</v>
      </c>
      <c r="Q2326" s="7">
        <v>12.862</v>
      </c>
    </row>
    <row r="2327" spans="1:17">
      <c r="A2327" s="5">
        <v>44853</v>
      </c>
      <c r="B2327" s="5" t="str">
        <f t="shared" si="36"/>
        <v>2022 q4</v>
      </c>
      <c r="C2327" s="7">
        <v>10.528499999999999</v>
      </c>
      <c r="D2327" s="7">
        <v>10.550599999999999</v>
      </c>
      <c r="E2327" s="7">
        <v>10.5961</v>
      </c>
      <c r="F2327" s="7">
        <v>10.661899999999999</v>
      </c>
      <c r="G2327" s="7">
        <v>10.726599999999999</v>
      </c>
      <c r="H2327" s="7">
        <v>10.782400000000001</v>
      </c>
      <c r="I2327" s="7">
        <v>10.999599999999999</v>
      </c>
      <c r="J2327" s="7">
        <v>11.190799999999999</v>
      </c>
      <c r="K2327" s="7">
        <v>11.3527</v>
      </c>
      <c r="L2327" s="7">
        <v>11.4931</v>
      </c>
      <c r="M2327" s="7">
        <v>11.725</v>
      </c>
      <c r="N2327" s="7">
        <v>11.95</v>
      </c>
      <c r="O2327" s="7">
        <v>12.193899999999999</v>
      </c>
      <c r="P2327" s="7">
        <v>12.3177</v>
      </c>
      <c r="Q2327" s="7">
        <v>12.500299999999999</v>
      </c>
    </row>
    <row r="2328" spans="1:17">
      <c r="A2328" s="5">
        <v>44854</v>
      </c>
      <c r="B2328" s="5" t="str">
        <f t="shared" si="36"/>
        <v>2022 q4</v>
      </c>
      <c r="C2328" s="7">
        <v>10.5806</v>
      </c>
      <c r="D2328" s="7">
        <v>10.6014</v>
      </c>
      <c r="E2328" s="7">
        <v>10.644500000000001</v>
      </c>
      <c r="F2328" s="7">
        <v>10.7072</v>
      </c>
      <c r="G2328" s="7">
        <v>10.7692</v>
      </c>
      <c r="H2328" s="7">
        <v>10.8232</v>
      </c>
      <c r="I2328" s="7">
        <v>11.034000000000001</v>
      </c>
      <c r="J2328" s="7">
        <v>11.2211</v>
      </c>
      <c r="K2328" s="7">
        <v>11.3817</v>
      </c>
      <c r="L2328" s="7">
        <v>11.5221</v>
      </c>
      <c r="M2328" s="7">
        <v>11.7576</v>
      </c>
      <c r="N2328" s="7">
        <v>11.992000000000001</v>
      </c>
      <c r="O2328" s="7">
        <v>12.248699999999999</v>
      </c>
      <c r="P2328" s="7">
        <v>12.3682</v>
      </c>
      <c r="Q2328" s="7">
        <v>12.607200000000001</v>
      </c>
    </row>
    <row r="2329" spans="1:17">
      <c r="A2329" s="5">
        <v>44855</v>
      </c>
      <c r="B2329" s="5" t="str">
        <f t="shared" si="36"/>
        <v>2022 q4</v>
      </c>
      <c r="C2329" s="7">
        <v>10.5566</v>
      </c>
      <c r="D2329" s="7">
        <v>10.5814</v>
      </c>
      <c r="E2329" s="7">
        <v>10.6326</v>
      </c>
      <c r="F2329" s="7">
        <v>10.706</v>
      </c>
      <c r="G2329" s="7">
        <v>10.7784</v>
      </c>
      <c r="H2329" s="7">
        <v>10.837300000000001</v>
      </c>
      <c r="I2329" s="7">
        <v>11.0657</v>
      </c>
      <c r="J2329" s="7">
        <v>11.2591</v>
      </c>
      <c r="K2329" s="7">
        <v>11.4137</v>
      </c>
      <c r="L2329" s="7">
        <v>11.5425</v>
      </c>
      <c r="M2329" s="7">
        <v>11.742900000000001</v>
      </c>
      <c r="N2329" s="7">
        <v>11.9217</v>
      </c>
      <c r="O2329" s="7">
        <v>12.0928</v>
      </c>
      <c r="P2329" s="7">
        <v>12.1739</v>
      </c>
      <c r="Q2329" s="7">
        <v>12.291600000000001</v>
      </c>
    </row>
    <row r="2330" spans="1:17">
      <c r="A2330" s="5">
        <v>44858</v>
      </c>
      <c r="B2330" s="5" t="str">
        <f t="shared" si="36"/>
        <v>2022 q4</v>
      </c>
      <c r="C2330" s="7">
        <v>10.537800000000001</v>
      </c>
      <c r="D2330" s="7">
        <v>10.567600000000001</v>
      </c>
      <c r="E2330" s="7">
        <v>10.6289</v>
      </c>
      <c r="F2330" s="7">
        <v>10.716100000000001</v>
      </c>
      <c r="G2330" s="7">
        <v>10.801600000000001</v>
      </c>
      <c r="H2330" s="7">
        <v>10.868</v>
      </c>
      <c r="I2330" s="7">
        <v>11.1242</v>
      </c>
      <c r="J2330" s="7">
        <v>11.334099999999999</v>
      </c>
      <c r="K2330" s="7">
        <v>11.493499999999999</v>
      </c>
      <c r="L2330" s="7">
        <v>11.622199999999999</v>
      </c>
      <c r="M2330" s="7">
        <v>11.8124</v>
      </c>
      <c r="N2330" s="7">
        <v>11.966100000000001</v>
      </c>
      <c r="O2330" s="7">
        <v>12.110799999999999</v>
      </c>
      <c r="P2330" s="7">
        <v>12.167199999999999</v>
      </c>
      <c r="Q2330" s="7">
        <v>12.280099999999999</v>
      </c>
    </row>
    <row r="2331" spans="1:17">
      <c r="A2331" s="5">
        <v>44859</v>
      </c>
      <c r="B2331" s="5" t="str">
        <f t="shared" si="36"/>
        <v>2022 q4</v>
      </c>
      <c r="C2331" s="7">
        <v>10.960100000000001</v>
      </c>
      <c r="D2331" s="7">
        <v>10.9711</v>
      </c>
      <c r="E2331" s="7">
        <v>10.9938</v>
      </c>
      <c r="F2331" s="7">
        <v>11.0275</v>
      </c>
      <c r="G2331" s="7">
        <v>11.0588</v>
      </c>
      <c r="H2331" s="7">
        <v>11.0899</v>
      </c>
      <c r="I2331" s="7">
        <v>11.2141</v>
      </c>
      <c r="J2331" s="7">
        <v>11.3301</v>
      </c>
      <c r="K2331" s="7">
        <v>11.4373</v>
      </c>
      <c r="L2331" s="7">
        <v>11.536799999999999</v>
      </c>
      <c r="M2331" s="7">
        <v>11.7194</v>
      </c>
      <c r="N2331" s="7">
        <v>11.94</v>
      </c>
      <c r="O2331" s="7">
        <v>12.2197</v>
      </c>
      <c r="P2331" s="7">
        <v>12.395</v>
      </c>
      <c r="Q2331" s="7">
        <v>12.7456</v>
      </c>
    </row>
    <row r="2332" spans="1:17">
      <c r="A2332" s="5">
        <v>44860</v>
      </c>
      <c r="B2332" s="5" t="str">
        <f t="shared" si="36"/>
        <v>2022 q4</v>
      </c>
      <c r="C2332" s="7">
        <v>10.8874</v>
      </c>
      <c r="D2332" s="7">
        <v>10.900700000000001</v>
      </c>
      <c r="E2332" s="7">
        <v>10.928100000000001</v>
      </c>
      <c r="F2332" s="7">
        <v>10.9689</v>
      </c>
      <c r="G2332" s="7">
        <v>11.0055</v>
      </c>
      <c r="H2332" s="7">
        <v>11.041700000000001</v>
      </c>
      <c r="I2332" s="7">
        <v>11.1868</v>
      </c>
      <c r="J2332" s="7">
        <v>11.3187</v>
      </c>
      <c r="K2332" s="7">
        <v>11.437099999999999</v>
      </c>
      <c r="L2332" s="7">
        <v>11.543900000000001</v>
      </c>
      <c r="M2332" s="7">
        <v>11.733599999999999</v>
      </c>
      <c r="N2332" s="7">
        <v>11.943099999999999</v>
      </c>
      <c r="O2332" s="7">
        <v>12.1952</v>
      </c>
      <c r="P2332" s="7">
        <v>12.3322</v>
      </c>
      <c r="Q2332" s="7">
        <v>12.606199999999999</v>
      </c>
    </row>
    <row r="2333" spans="1:17">
      <c r="A2333" s="5">
        <v>44861</v>
      </c>
      <c r="B2333" s="5" t="str">
        <f t="shared" si="36"/>
        <v>2022 q4</v>
      </c>
      <c r="C2333" s="7">
        <v>10.8871</v>
      </c>
      <c r="D2333" s="7">
        <v>10.9001</v>
      </c>
      <c r="E2333" s="7">
        <v>10.9269</v>
      </c>
      <c r="F2333" s="7">
        <v>10.966799999999999</v>
      </c>
      <c r="G2333" s="7">
        <v>11.0036</v>
      </c>
      <c r="H2333" s="7">
        <v>11.0402</v>
      </c>
      <c r="I2333" s="7">
        <v>11.1866</v>
      </c>
      <c r="J2333" s="7">
        <v>11.3225</v>
      </c>
      <c r="K2333" s="7">
        <v>11.4474</v>
      </c>
      <c r="L2333" s="7">
        <v>11.561500000000001</v>
      </c>
      <c r="M2333" s="7">
        <v>11.7674</v>
      </c>
      <c r="N2333" s="7">
        <v>11.9899</v>
      </c>
      <c r="O2333" s="7">
        <v>12.250500000000001</v>
      </c>
      <c r="P2333" s="7">
        <v>12.2926</v>
      </c>
      <c r="Q2333" s="7">
        <v>12.223100000000001</v>
      </c>
    </row>
    <row r="2334" spans="1:17">
      <c r="A2334" s="5">
        <v>44862</v>
      </c>
      <c r="B2334" s="5" t="str">
        <f t="shared" si="36"/>
        <v>2022 q4</v>
      </c>
      <c r="C2334" s="7">
        <v>10.894</v>
      </c>
      <c r="D2334" s="7">
        <v>10.9079</v>
      </c>
      <c r="E2334" s="7">
        <v>10.9367</v>
      </c>
      <c r="F2334" s="7">
        <v>10.9793</v>
      </c>
      <c r="G2334" s="7">
        <v>11.0182</v>
      </c>
      <c r="H2334" s="7">
        <v>11.056800000000001</v>
      </c>
      <c r="I2334" s="7">
        <v>11.2113</v>
      </c>
      <c r="J2334" s="7">
        <v>11.3575</v>
      </c>
      <c r="K2334" s="7">
        <v>11.482699999999999</v>
      </c>
      <c r="L2334" s="7">
        <v>11.596299999999999</v>
      </c>
      <c r="M2334" s="7">
        <v>11.799899999999999</v>
      </c>
      <c r="N2334" s="7">
        <v>12.0084</v>
      </c>
      <c r="O2334" s="7">
        <v>12.1874</v>
      </c>
      <c r="P2334" s="7">
        <v>12.1693</v>
      </c>
      <c r="Q2334" s="7">
        <v>11.954800000000001</v>
      </c>
    </row>
    <row r="2335" spans="1:17">
      <c r="A2335" s="5">
        <v>44865</v>
      </c>
      <c r="B2335" s="5" t="str">
        <f t="shared" si="36"/>
        <v>2022 q4</v>
      </c>
      <c r="C2335" s="7">
        <v>10.910299999999999</v>
      </c>
      <c r="D2335" s="7">
        <v>10.922700000000001</v>
      </c>
      <c r="E2335" s="7">
        <v>10.9483</v>
      </c>
      <c r="F2335" s="7">
        <v>10.986499999999999</v>
      </c>
      <c r="G2335" s="7">
        <v>11.0221</v>
      </c>
      <c r="H2335" s="7">
        <v>11.057499999999999</v>
      </c>
      <c r="I2335" s="7">
        <v>11.199299999999999</v>
      </c>
      <c r="J2335" s="7">
        <v>11.331899999999999</v>
      </c>
      <c r="K2335" s="7">
        <v>11.455399999999999</v>
      </c>
      <c r="L2335" s="7">
        <v>11.5695</v>
      </c>
      <c r="M2335" s="7">
        <v>11.778600000000001</v>
      </c>
      <c r="N2335" s="7">
        <v>12.0167</v>
      </c>
      <c r="O2335" s="7">
        <v>12.286300000000001</v>
      </c>
      <c r="P2335" s="7">
        <v>12.362399999999999</v>
      </c>
      <c r="Q2335" s="7">
        <v>12.5145</v>
      </c>
    </row>
    <row r="2336" spans="1:17">
      <c r="A2336" s="5">
        <v>44866</v>
      </c>
      <c r="B2336" s="5" t="str">
        <f t="shared" si="36"/>
        <v>2022 q4</v>
      </c>
      <c r="C2336" s="7">
        <v>9.06</v>
      </c>
      <c r="D2336" s="7">
        <v>9.6578999999999997</v>
      </c>
      <c r="E2336" s="7">
        <v>10.892099999999999</v>
      </c>
      <c r="F2336" s="7">
        <v>11.5359</v>
      </c>
      <c r="G2336" s="7">
        <v>11.6341</v>
      </c>
      <c r="H2336" s="7">
        <v>11.6493</v>
      </c>
      <c r="I2336" s="7">
        <v>11.7102</v>
      </c>
      <c r="J2336" s="7">
        <v>11.744899999999999</v>
      </c>
      <c r="K2336" s="7">
        <v>11.7538</v>
      </c>
      <c r="L2336" s="7">
        <v>11.7599</v>
      </c>
      <c r="M2336" s="7">
        <v>11.766299999999999</v>
      </c>
      <c r="N2336" s="7">
        <v>11.770300000000001</v>
      </c>
      <c r="O2336" s="7">
        <v>11.7737</v>
      </c>
      <c r="P2336" s="7">
        <v>11.775</v>
      </c>
      <c r="Q2336" s="7">
        <v>11.7776</v>
      </c>
    </row>
    <row r="2337" spans="1:17">
      <c r="A2337" s="5">
        <v>44867</v>
      </c>
      <c r="B2337" s="5" t="str">
        <f t="shared" si="36"/>
        <v>2022 q4</v>
      </c>
      <c r="C2337" s="7">
        <v>9.6911000000000005</v>
      </c>
      <c r="D2337" s="7">
        <v>10.0321</v>
      </c>
      <c r="E2337" s="7">
        <v>10.736000000000001</v>
      </c>
      <c r="F2337" s="7">
        <v>11.515499999999999</v>
      </c>
      <c r="G2337" s="7">
        <v>11.6525</v>
      </c>
      <c r="H2337" s="7">
        <v>11.680099999999999</v>
      </c>
      <c r="I2337" s="7">
        <v>11.7904</v>
      </c>
      <c r="J2337" s="7">
        <v>11.853</v>
      </c>
      <c r="K2337" s="7">
        <v>11.869400000000001</v>
      </c>
      <c r="L2337" s="7">
        <v>11.8805</v>
      </c>
      <c r="M2337" s="7">
        <v>11.892099999999999</v>
      </c>
      <c r="N2337" s="7">
        <v>11.8994</v>
      </c>
      <c r="O2337" s="7">
        <v>11.905799999999999</v>
      </c>
      <c r="P2337" s="7">
        <v>11.9085</v>
      </c>
      <c r="Q2337" s="7">
        <v>11.9124</v>
      </c>
    </row>
    <row r="2338" spans="1:17">
      <c r="A2338" s="5">
        <v>44868</v>
      </c>
      <c r="B2338" s="5" t="str">
        <f t="shared" si="36"/>
        <v>2022 q4</v>
      </c>
      <c r="C2338" s="7">
        <v>11.2997</v>
      </c>
      <c r="D2338" s="7">
        <v>11.3108</v>
      </c>
      <c r="E2338" s="7">
        <v>11.3338</v>
      </c>
      <c r="F2338" s="7">
        <v>11.3681</v>
      </c>
      <c r="G2338" s="7">
        <v>11.4011</v>
      </c>
      <c r="H2338" s="7">
        <v>11.4323</v>
      </c>
      <c r="I2338" s="7">
        <v>11.556800000000001</v>
      </c>
      <c r="J2338" s="7">
        <v>11.6717</v>
      </c>
      <c r="K2338" s="7">
        <v>11.7773</v>
      </c>
      <c r="L2338" s="7">
        <v>11.8725</v>
      </c>
      <c r="M2338" s="7">
        <v>12.0428</v>
      </c>
      <c r="N2338" s="7">
        <v>12.2224</v>
      </c>
      <c r="O2338" s="7">
        <v>12.38</v>
      </c>
      <c r="P2338" s="7">
        <v>12.3485</v>
      </c>
      <c r="Q2338" s="7">
        <v>12.285399999999999</v>
      </c>
    </row>
    <row r="2339" spans="1:17">
      <c r="A2339" s="5">
        <v>44869</v>
      </c>
      <c r="B2339" s="5" t="str">
        <f t="shared" si="36"/>
        <v>2022 q4</v>
      </c>
      <c r="C2339" s="7">
        <v>11.336600000000001</v>
      </c>
      <c r="D2339" s="7">
        <v>11.346500000000001</v>
      </c>
      <c r="E2339" s="7">
        <v>11.367000000000001</v>
      </c>
      <c r="F2339" s="7">
        <v>11.397600000000001</v>
      </c>
      <c r="G2339" s="7">
        <v>11.4268</v>
      </c>
      <c r="H2339" s="7">
        <v>11.4541</v>
      </c>
      <c r="I2339" s="7">
        <v>11.5632</v>
      </c>
      <c r="J2339" s="7">
        <v>11.6622</v>
      </c>
      <c r="K2339" s="7">
        <v>11.7517</v>
      </c>
      <c r="L2339" s="7">
        <v>11.8348</v>
      </c>
      <c r="M2339" s="7">
        <v>11.9672</v>
      </c>
      <c r="N2339" s="7">
        <v>12.095599999999999</v>
      </c>
      <c r="O2339" s="7">
        <v>12.1692</v>
      </c>
      <c r="P2339" s="7">
        <v>12.059900000000001</v>
      </c>
      <c r="Q2339" s="7">
        <v>11.8415</v>
      </c>
    </row>
    <row r="2340" spans="1:17">
      <c r="A2340" s="5">
        <v>44872</v>
      </c>
      <c r="B2340" s="5" t="str">
        <f t="shared" si="36"/>
        <v>2022 q4</v>
      </c>
      <c r="C2340" s="7">
        <v>11.3543</v>
      </c>
      <c r="D2340" s="7">
        <v>11.3622</v>
      </c>
      <c r="E2340" s="7">
        <v>11.3786</v>
      </c>
      <c r="F2340" s="7">
        <v>11.402900000000001</v>
      </c>
      <c r="G2340" s="7">
        <v>11.426600000000001</v>
      </c>
      <c r="H2340" s="7">
        <v>11.449299999999999</v>
      </c>
      <c r="I2340" s="7">
        <v>11.54</v>
      </c>
      <c r="J2340" s="7">
        <v>11.625299999999999</v>
      </c>
      <c r="K2340" s="7">
        <v>11.7057</v>
      </c>
      <c r="L2340" s="7">
        <v>11.780099999999999</v>
      </c>
      <c r="M2340" s="7">
        <v>11.917899999999999</v>
      </c>
      <c r="N2340" s="7">
        <v>12.0779</v>
      </c>
      <c r="O2340" s="7">
        <v>12.263500000000001</v>
      </c>
      <c r="P2340" s="7">
        <v>12.323</v>
      </c>
      <c r="Q2340" s="7">
        <v>12.4419</v>
      </c>
    </row>
    <row r="2341" spans="1:17">
      <c r="A2341" s="5">
        <v>44873</v>
      </c>
      <c r="B2341" s="5" t="str">
        <f t="shared" si="36"/>
        <v>2022 q4</v>
      </c>
      <c r="C2341" s="7">
        <v>11.3523</v>
      </c>
      <c r="D2341" s="7">
        <v>11.361499999999999</v>
      </c>
      <c r="E2341" s="7">
        <v>11.3805</v>
      </c>
      <c r="F2341" s="7">
        <v>11.408799999999999</v>
      </c>
      <c r="G2341" s="7">
        <v>11.436</v>
      </c>
      <c r="H2341" s="7">
        <v>11.4619</v>
      </c>
      <c r="I2341" s="7">
        <v>11.5654</v>
      </c>
      <c r="J2341" s="7">
        <v>11.661099999999999</v>
      </c>
      <c r="K2341" s="7">
        <v>11.749599999999999</v>
      </c>
      <c r="L2341" s="7">
        <v>11.829700000000001</v>
      </c>
      <c r="M2341" s="7">
        <v>11.9741</v>
      </c>
      <c r="N2341" s="7">
        <v>12.1264</v>
      </c>
      <c r="O2341" s="7">
        <v>12.272600000000001</v>
      </c>
      <c r="P2341" s="7">
        <v>12.257899999999999</v>
      </c>
      <c r="Q2341" s="7">
        <v>12.228400000000001</v>
      </c>
    </row>
    <row r="2342" spans="1:17">
      <c r="A2342" s="5">
        <v>44874</v>
      </c>
      <c r="B2342" s="5" t="str">
        <f t="shared" si="36"/>
        <v>2022 q4</v>
      </c>
      <c r="C2342" s="7">
        <v>10.7568</v>
      </c>
      <c r="D2342" s="7">
        <v>10.902900000000001</v>
      </c>
      <c r="E2342" s="7">
        <v>11.204499999999999</v>
      </c>
      <c r="F2342" s="7">
        <v>11.552</v>
      </c>
      <c r="G2342" s="7">
        <v>11.678800000000001</v>
      </c>
      <c r="H2342" s="7">
        <v>11.7118</v>
      </c>
      <c r="I2342" s="7">
        <v>11.8439</v>
      </c>
      <c r="J2342" s="7">
        <v>11.916499999999999</v>
      </c>
      <c r="K2342" s="7">
        <v>11.9358</v>
      </c>
      <c r="L2342" s="7">
        <v>11.948600000000001</v>
      </c>
      <c r="M2342" s="7">
        <v>11.962300000000001</v>
      </c>
      <c r="N2342" s="7">
        <v>11.970800000000001</v>
      </c>
      <c r="O2342" s="7">
        <v>11.9781</v>
      </c>
      <c r="P2342" s="7">
        <v>11.9809</v>
      </c>
      <c r="Q2342" s="7">
        <v>11.9863</v>
      </c>
    </row>
    <row r="2343" spans="1:17">
      <c r="A2343" s="5">
        <v>44875</v>
      </c>
      <c r="B2343" s="5" t="str">
        <f t="shared" si="36"/>
        <v>2022 q4</v>
      </c>
      <c r="C2343" s="7">
        <v>11.2803</v>
      </c>
      <c r="D2343" s="7">
        <v>11.289899999999999</v>
      </c>
      <c r="E2343" s="7">
        <v>11.3096</v>
      </c>
      <c r="F2343" s="7">
        <v>11.339</v>
      </c>
      <c r="G2343" s="7">
        <v>11.367699999999999</v>
      </c>
      <c r="H2343" s="7">
        <v>11.395799999999999</v>
      </c>
      <c r="I2343" s="7">
        <v>11.504200000000001</v>
      </c>
      <c r="J2343" s="7">
        <v>11.603300000000001</v>
      </c>
      <c r="K2343" s="7">
        <v>11.697100000000001</v>
      </c>
      <c r="L2343" s="7">
        <v>11.7826</v>
      </c>
      <c r="M2343" s="7">
        <v>11.9384</v>
      </c>
      <c r="N2343" s="7">
        <v>12.109400000000001</v>
      </c>
      <c r="O2343" s="7">
        <v>12.2883</v>
      </c>
      <c r="P2343" s="7">
        <v>12.3072</v>
      </c>
      <c r="Q2343" s="7">
        <v>12.345000000000001</v>
      </c>
    </row>
    <row r="2344" spans="1:17">
      <c r="A2344" s="5">
        <v>44876</v>
      </c>
      <c r="B2344" s="5" t="str">
        <f t="shared" si="36"/>
        <v>2022 q4</v>
      </c>
      <c r="C2344" s="7">
        <v>11.3592</v>
      </c>
      <c r="D2344" s="7">
        <v>11.367900000000001</v>
      </c>
      <c r="E2344" s="7">
        <v>11.386100000000001</v>
      </c>
      <c r="F2344" s="7">
        <v>11.4131</v>
      </c>
      <c r="G2344" s="7">
        <v>11.439</v>
      </c>
      <c r="H2344" s="7">
        <v>11.463800000000001</v>
      </c>
      <c r="I2344" s="7">
        <v>11.563000000000001</v>
      </c>
      <c r="J2344" s="7">
        <v>11.6549</v>
      </c>
      <c r="K2344" s="7">
        <v>11.740500000000001</v>
      </c>
      <c r="L2344" s="7">
        <v>11.818199999999999</v>
      </c>
      <c r="M2344" s="7">
        <v>11.9594</v>
      </c>
      <c r="N2344" s="7">
        <v>12.112</v>
      </c>
      <c r="O2344" s="7">
        <v>12.266299999999999</v>
      </c>
      <c r="P2344" s="7">
        <v>12.2697</v>
      </c>
      <c r="Q2344" s="7">
        <v>12.2767</v>
      </c>
    </row>
    <row r="2345" spans="1:17">
      <c r="A2345" s="5">
        <v>44879</v>
      </c>
      <c r="B2345" s="5" t="str">
        <f t="shared" si="36"/>
        <v>2022 q4</v>
      </c>
      <c r="C2345" s="7">
        <v>11.368</v>
      </c>
      <c r="D2345" s="7">
        <v>11.376799999999999</v>
      </c>
      <c r="E2345" s="7">
        <v>11.395</v>
      </c>
      <c r="F2345" s="7">
        <v>11.422000000000001</v>
      </c>
      <c r="G2345" s="7">
        <v>11.447900000000001</v>
      </c>
      <c r="H2345" s="7">
        <v>11.4727</v>
      </c>
      <c r="I2345" s="7">
        <v>11.571899999999999</v>
      </c>
      <c r="J2345" s="7">
        <v>11.663600000000001</v>
      </c>
      <c r="K2345" s="7">
        <v>11.748799999999999</v>
      </c>
      <c r="L2345" s="7">
        <v>11.826000000000001</v>
      </c>
      <c r="M2345" s="7">
        <v>11.965999999999999</v>
      </c>
      <c r="N2345" s="7">
        <v>12.1157</v>
      </c>
      <c r="O2345" s="7">
        <v>12.2638</v>
      </c>
      <c r="P2345" s="7">
        <v>12.259499999999999</v>
      </c>
      <c r="Q2345" s="7">
        <v>12.250999999999999</v>
      </c>
    </row>
    <row r="2346" spans="1:17">
      <c r="A2346" s="5">
        <v>44880</v>
      </c>
      <c r="B2346" s="5" t="str">
        <f t="shared" si="36"/>
        <v>2022 q4</v>
      </c>
      <c r="C2346" s="7">
        <v>11.315200000000001</v>
      </c>
      <c r="D2346" s="7">
        <v>11.3249</v>
      </c>
      <c r="E2346" s="7">
        <v>11.344799999999999</v>
      </c>
      <c r="F2346" s="7">
        <v>11.3743</v>
      </c>
      <c r="G2346" s="7">
        <v>11.4033</v>
      </c>
      <c r="H2346" s="7">
        <v>11.4323</v>
      </c>
      <c r="I2346" s="7">
        <v>11.539300000000001</v>
      </c>
      <c r="J2346" s="7">
        <v>11.6386</v>
      </c>
      <c r="K2346" s="7">
        <v>11.731400000000001</v>
      </c>
      <c r="L2346" s="7">
        <v>11.8149</v>
      </c>
      <c r="M2346" s="7">
        <v>11.9658</v>
      </c>
      <c r="N2346" s="7">
        <v>12.124599999999999</v>
      </c>
      <c r="O2346" s="7">
        <v>12.2766</v>
      </c>
      <c r="P2346" s="7">
        <v>12.2616</v>
      </c>
      <c r="Q2346" s="7">
        <v>12.2316</v>
      </c>
    </row>
    <row r="2347" spans="1:17">
      <c r="A2347" s="5">
        <v>44881</v>
      </c>
      <c r="B2347" s="5" t="str">
        <f t="shared" si="36"/>
        <v>2022 q4</v>
      </c>
      <c r="C2347" s="7">
        <v>11.2692</v>
      </c>
      <c r="D2347" s="7">
        <v>11.279400000000001</v>
      </c>
      <c r="E2347" s="7">
        <v>11.3003</v>
      </c>
      <c r="F2347" s="7">
        <v>11.3314</v>
      </c>
      <c r="G2347" s="7">
        <v>11.3619</v>
      </c>
      <c r="H2347" s="7">
        <v>11.3924</v>
      </c>
      <c r="I2347" s="7">
        <v>11.505100000000001</v>
      </c>
      <c r="J2347" s="7">
        <v>11.6097</v>
      </c>
      <c r="K2347" s="7">
        <v>11.707599999999999</v>
      </c>
      <c r="L2347" s="7">
        <v>11.7958</v>
      </c>
      <c r="M2347" s="7">
        <v>11.955399999999999</v>
      </c>
      <c r="N2347" s="7">
        <v>12.124499999999999</v>
      </c>
      <c r="O2347" s="7">
        <v>12.289199999999999</v>
      </c>
      <c r="P2347" s="7">
        <v>12.2806</v>
      </c>
      <c r="Q2347" s="7">
        <v>12.263500000000001</v>
      </c>
    </row>
    <row r="2348" spans="1:17">
      <c r="A2348" s="5">
        <v>44882</v>
      </c>
      <c r="B2348" s="5" t="str">
        <f t="shared" si="36"/>
        <v>2022 q4</v>
      </c>
      <c r="C2348" s="7">
        <v>11.3375</v>
      </c>
      <c r="D2348" s="7">
        <v>11.347</v>
      </c>
      <c r="E2348" s="7">
        <v>11.3667</v>
      </c>
      <c r="F2348" s="7">
        <v>11.395799999999999</v>
      </c>
      <c r="G2348" s="7">
        <v>11.4244</v>
      </c>
      <c r="H2348" s="7">
        <v>11.452999999999999</v>
      </c>
      <c r="I2348" s="7">
        <v>11.558199999999999</v>
      </c>
      <c r="J2348" s="7">
        <v>11.6556</v>
      </c>
      <c r="K2348" s="7">
        <v>11.7464</v>
      </c>
      <c r="L2348" s="7">
        <v>11.8277</v>
      </c>
      <c r="M2348" s="7">
        <v>11.974</v>
      </c>
      <c r="N2348" s="7">
        <v>12.1252</v>
      </c>
      <c r="O2348" s="7">
        <v>12.263500000000001</v>
      </c>
      <c r="P2348" s="7">
        <v>12.234500000000001</v>
      </c>
      <c r="Q2348" s="7">
        <v>12.176500000000001</v>
      </c>
    </row>
    <row r="2349" spans="1:17">
      <c r="A2349" s="5">
        <v>44883</v>
      </c>
      <c r="B2349" s="5" t="str">
        <f t="shared" si="36"/>
        <v>2022 q4</v>
      </c>
      <c r="C2349" s="7">
        <v>11.3368</v>
      </c>
      <c r="D2349" s="7">
        <v>11.346299999999999</v>
      </c>
      <c r="E2349" s="7">
        <v>11.3659</v>
      </c>
      <c r="F2349" s="7">
        <v>11.3949</v>
      </c>
      <c r="G2349" s="7">
        <v>11.423400000000001</v>
      </c>
      <c r="H2349" s="7">
        <v>11.4518</v>
      </c>
      <c r="I2349" s="7">
        <v>11.556800000000001</v>
      </c>
      <c r="J2349" s="7">
        <v>11.6539</v>
      </c>
      <c r="K2349" s="7">
        <v>11.7445</v>
      </c>
      <c r="L2349" s="7">
        <v>11.825699999999999</v>
      </c>
      <c r="M2349" s="7">
        <v>11.9718</v>
      </c>
      <c r="N2349" s="7">
        <v>12.123100000000001</v>
      </c>
      <c r="O2349" s="7">
        <v>12.2624</v>
      </c>
      <c r="P2349" s="7">
        <v>12.235099999999999</v>
      </c>
      <c r="Q2349" s="7">
        <v>12.1807</v>
      </c>
    </row>
    <row r="2350" spans="1:17">
      <c r="A2350" s="5">
        <v>44886</v>
      </c>
      <c r="B2350" s="5" t="str">
        <f t="shared" si="36"/>
        <v>2022 q4</v>
      </c>
      <c r="C2350" s="7">
        <v>11.295400000000001</v>
      </c>
      <c r="D2350" s="7">
        <v>11.3049</v>
      </c>
      <c r="E2350" s="7">
        <v>11.3245</v>
      </c>
      <c r="F2350" s="7">
        <v>11.3536</v>
      </c>
      <c r="G2350" s="7">
        <v>11.382199999999999</v>
      </c>
      <c r="H2350" s="7">
        <v>11.410600000000001</v>
      </c>
      <c r="I2350" s="7">
        <v>11.5166</v>
      </c>
      <c r="J2350" s="7">
        <v>11.6152</v>
      </c>
      <c r="K2350" s="7">
        <v>11.707800000000001</v>
      </c>
      <c r="L2350" s="7">
        <v>11.791600000000001</v>
      </c>
      <c r="M2350" s="7">
        <v>11.944100000000001</v>
      </c>
      <c r="N2350" s="7">
        <v>12.109</v>
      </c>
      <c r="O2350" s="7">
        <v>12.276</v>
      </c>
      <c r="P2350" s="7">
        <v>12.2826</v>
      </c>
      <c r="Q2350" s="7">
        <v>12.2959</v>
      </c>
    </row>
    <row r="2351" spans="1:17">
      <c r="A2351" s="5">
        <v>44887</v>
      </c>
      <c r="B2351" s="5" t="str">
        <f t="shared" si="36"/>
        <v>2022 q4</v>
      </c>
      <c r="C2351" s="7">
        <v>11.365600000000001</v>
      </c>
      <c r="D2351" s="7">
        <v>11.374599999999999</v>
      </c>
      <c r="E2351" s="7">
        <v>11.3933</v>
      </c>
      <c r="F2351" s="7">
        <v>11.421099999999999</v>
      </c>
      <c r="G2351" s="7">
        <v>11.448499999999999</v>
      </c>
      <c r="H2351" s="7">
        <v>11.4741</v>
      </c>
      <c r="I2351" s="7">
        <v>11.575200000000001</v>
      </c>
      <c r="J2351" s="7">
        <v>11.6683</v>
      </c>
      <c r="K2351" s="7">
        <v>11.755100000000001</v>
      </c>
      <c r="L2351" s="7">
        <v>11.8329</v>
      </c>
      <c r="M2351" s="7">
        <v>11.973599999999999</v>
      </c>
      <c r="N2351" s="7">
        <v>12.1205</v>
      </c>
      <c r="O2351" s="7">
        <v>12.2582</v>
      </c>
      <c r="P2351" s="7">
        <v>12.2376</v>
      </c>
      <c r="Q2351" s="7">
        <v>12.196300000000001</v>
      </c>
    </row>
    <row r="2352" spans="1:17">
      <c r="A2352" s="5">
        <v>44888</v>
      </c>
      <c r="B2352" s="5" t="str">
        <f t="shared" si="36"/>
        <v>2022 q4</v>
      </c>
      <c r="C2352" s="7">
        <v>10.802300000000001</v>
      </c>
      <c r="D2352" s="7">
        <v>10.958399999999999</v>
      </c>
      <c r="E2352" s="7">
        <v>11.2806</v>
      </c>
      <c r="F2352" s="7">
        <v>11.5655</v>
      </c>
      <c r="G2352" s="7">
        <v>11.6875</v>
      </c>
      <c r="H2352" s="7">
        <v>11.719200000000001</v>
      </c>
      <c r="I2352" s="7">
        <v>11.7934</v>
      </c>
      <c r="J2352" s="7">
        <v>11.8331</v>
      </c>
      <c r="K2352" s="7">
        <v>11.8461</v>
      </c>
      <c r="L2352" s="7">
        <v>11.8544</v>
      </c>
      <c r="M2352" s="7">
        <v>11.8635</v>
      </c>
      <c r="N2352" s="7">
        <v>11.8691</v>
      </c>
      <c r="O2352" s="7">
        <v>11.873900000000001</v>
      </c>
      <c r="P2352" s="7">
        <v>11.8757</v>
      </c>
      <c r="Q2352" s="7">
        <v>11.8794</v>
      </c>
    </row>
    <row r="2353" spans="1:17">
      <c r="A2353" s="5">
        <v>44889</v>
      </c>
      <c r="B2353" s="5" t="str">
        <f t="shared" si="36"/>
        <v>2022 q4</v>
      </c>
      <c r="C2353" s="7">
        <v>11.327</v>
      </c>
      <c r="D2353" s="7">
        <v>11.3367</v>
      </c>
      <c r="E2353" s="7">
        <v>11.3567</v>
      </c>
      <c r="F2353" s="7">
        <v>11.3864</v>
      </c>
      <c r="G2353" s="7">
        <v>11.415699999999999</v>
      </c>
      <c r="H2353" s="7">
        <v>11.443</v>
      </c>
      <c r="I2353" s="7">
        <v>11.5509</v>
      </c>
      <c r="J2353" s="7">
        <v>11.65</v>
      </c>
      <c r="K2353" s="7">
        <v>11.7423</v>
      </c>
      <c r="L2353" s="7">
        <v>11.8246</v>
      </c>
      <c r="M2353" s="7">
        <v>11.973000000000001</v>
      </c>
      <c r="N2353" s="7">
        <v>12.1297</v>
      </c>
      <c r="O2353" s="7">
        <v>12.265700000000001</v>
      </c>
      <c r="P2353" s="7">
        <v>12.2362</v>
      </c>
      <c r="Q2353" s="7">
        <v>12.177099999999999</v>
      </c>
    </row>
    <row r="2354" spans="1:17">
      <c r="A2354" s="5">
        <v>44890</v>
      </c>
      <c r="B2354" s="5" t="str">
        <f t="shared" si="36"/>
        <v>2022 q4</v>
      </c>
      <c r="C2354" s="7">
        <v>11.331</v>
      </c>
      <c r="D2354" s="7">
        <v>11.340400000000001</v>
      </c>
      <c r="E2354" s="7">
        <v>11.3598</v>
      </c>
      <c r="F2354" s="7">
        <v>11.3886</v>
      </c>
      <c r="G2354" s="7">
        <v>11.417</v>
      </c>
      <c r="H2354" s="7">
        <v>11.4435</v>
      </c>
      <c r="I2354" s="7">
        <v>11.548500000000001</v>
      </c>
      <c r="J2354" s="7">
        <v>11.645099999999999</v>
      </c>
      <c r="K2354" s="7">
        <v>11.735300000000001</v>
      </c>
      <c r="L2354" s="7">
        <v>11.8161</v>
      </c>
      <c r="M2354" s="7">
        <v>11.962300000000001</v>
      </c>
      <c r="N2354" s="7">
        <v>12.115500000000001</v>
      </c>
      <c r="O2354" s="7">
        <v>12.260400000000001</v>
      </c>
      <c r="P2354" s="7">
        <v>12.242599999999999</v>
      </c>
      <c r="Q2354" s="7">
        <v>12.2072</v>
      </c>
    </row>
    <row r="2355" spans="1:17">
      <c r="A2355" s="5">
        <v>44893</v>
      </c>
      <c r="B2355" s="5" t="str">
        <f t="shared" si="36"/>
        <v>2022 q4</v>
      </c>
      <c r="C2355" s="7">
        <v>11.328900000000001</v>
      </c>
      <c r="D2355" s="7">
        <v>11.3386</v>
      </c>
      <c r="E2355" s="7">
        <v>11.358599999999999</v>
      </c>
      <c r="F2355" s="7">
        <v>11.388199999999999</v>
      </c>
      <c r="G2355" s="7">
        <v>11.417400000000001</v>
      </c>
      <c r="H2355" s="7">
        <v>11.444599999999999</v>
      </c>
      <c r="I2355" s="7">
        <v>11.552300000000001</v>
      </c>
      <c r="J2355" s="7">
        <v>11.651199999999999</v>
      </c>
      <c r="K2355" s="7">
        <v>11.7433</v>
      </c>
      <c r="L2355" s="7">
        <v>11.8254</v>
      </c>
      <c r="M2355" s="7">
        <v>11.9735</v>
      </c>
      <c r="N2355" s="7">
        <v>12.126200000000001</v>
      </c>
      <c r="O2355" s="7">
        <v>12.2653</v>
      </c>
      <c r="P2355" s="7">
        <v>12.235799999999999</v>
      </c>
      <c r="Q2355" s="7">
        <v>12.1769</v>
      </c>
    </row>
    <row r="2356" spans="1:17">
      <c r="A2356" s="5">
        <v>44894</v>
      </c>
      <c r="B2356" s="5" t="str">
        <f t="shared" si="36"/>
        <v>2022 q4</v>
      </c>
      <c r="C2356" s="7">
        <v>11.028499999999999</v>
      </c>
      <c r="D2356" s="7">
        <v>11.0952</v>
      </c>
      <c r="E2356" s="7">
        <v>11.232699999999999</v>
      </c>
      <c r="F2356" s="7">
        <v>11.3749</v>
      </c>
      <c r="G2356" s="7">
        <v>11.504799999999999</v>
      </c>
      <c r="H2356" s="7">
        <v>11.5496</v>
      </c>
      <c r="I2356" s="7">
        <v>11.7072</v>
      </c>
      <c r="J2356" s="7">
        <v>11.793100000000001</v>
      </c>
      <c r="K2356" s="7">
        <v>11.8276</v>
      </c>
      <c r="L2356" s="7">
        <v>11.8491</v>
      </c>
      <c r="M2356" s="7">
        <v>11.8729</v>
      </c>
      <c r="N2356" s="7">
        <v>11.887600000000001</v>
      </c>
      <c r="O2356" s="7">
        <v>11.900499999999999</v>
      </c>
      <c r="P2356" s="7">
        <v>11.906000000000001</v>
      </c>
      <c r="Q2356" s="7">
        <v>11.9138</v>
      </c>
    </row>
    <row r="2357" spans="1:17">
      <c r="A2357" s="5">
        <v>44895</v>
      </c>
      <c r="B2357" s="5" t="str">
        <f t="shared" si="36"/>
        <v>2022 q4</v>
      </c>
      <c r="C2357" s="7">
        <v>11.1936</v>
      </c>
      <c r="D2357" s="7">
        <v>11.2113</v>
      </c>
      <c r="E2357" s="7">
        <v>11.2476</v>
      </c>
      <c r="F2357" s="7">
        <v>11.2988</v>
      </c>
      <c r="G2357" s="7">
        <v>11.349399999999999</v>
      </c>
      <c r="H2357" s="7">
        <v>11.3895</v>
      </c>
      <c r="I2357" s="7">
        <v>11.5479</v>
      </c>
      <c r="J2357" s="7">
        <v>11.6752</v>
      </c>
      <c r="K2357" s="7">
        <v>11.7805</v>
      </c>
      <c r="L2357" s="7">
        <v>11.8629</v>
      </c>
      <c r="M2357" s="7">
        <v>11.9933</v>
      </c>
      <c r="N2357" s="7">
        <v>12.1029</v>
      </c>
      <c r="O2357" s="7">
        <v>12.2098</v>
      </c>
      <c r="P2357" s="7">
        <v>12.2532</v>
      </c>
      <c r="Q2357" s="7">
        <v>12.34</v>
      </c>
    </row>
    <row r="2358" spans="1:17">
      <c r="A2358" s="5">
        <v>44896</v>
      </c>
      <c r="B2358" s="5" t="str">
        <f t="shared" si="36"/>
        <v>2022 q4</v>
      </c>
      <c r="C2358" s="7">
        <v>11.154199999999999</v>
      </c>
      <c r="D2358" s="7">
        <v>11.1797</v>
      </c>
      <c r="E2358" s="7">
        <v>11.232200000000001</v>
      </c>
      <c r="F2358" s="7">
        <v>11.3028</v>
      </c>
      <c r="G2358" s="7">
        <v>11.372</v>
      </c>
      <c r="H2358" s="7">
        <v>11.4192</v>
      </c>
      <c r="I2358" s="7">
        <v>11.6043</v>
      </c>
      <c r="J2358" s="7">
        <v>11.7494</v>
      </c>
      <c r="K2358" s="7">
        <v>11.837</v>
      </c>
      <c r="L2358" s="7">
        <v>11.9015</v>
      </c>
      <c r="M2358" s="7">
        <v>11.9961</v>
      </c>
      <c r="N2358" s="7">
        <v>12.0624</v>
      </c>
      <c r="O2358" s="7">
        <v>12.1213</v>
      </c>
      <c r="P2358" s="7">
        <v>12.1435</v>
      </c>
      <c r="Q2358" s="7">
        <v>12.188000000000001</v>
      </c>
    </row>
    <row r="2359" spans="1:17">
      <c r="A2359" s="5">
        <v>44897</v>
      </c>
      <c r="B2359" s="5" t="str">
        <f t="shared" si="36"/>
        <v>2022 q4</v>
      </c>
      <c r="C2359" s="7">
        <v>11.1953</v>
      </c>
      <c r="D2359" s="7">
        <v>11.212999999999999</v>
      </c>
      <c r="E2359" s="7">
        <v>11.249599999999999</v>
      </c>
      <c r="F2359" s="7">
        <v>11.3009</v>
      </c>
      <c r="G2359" s="7">
        <v>11.351699999999999</v>
      </c>
      <c r="H2359" s="7">
        <v>11.3917</v>
      </c>
      <c r="I2359" s="7">
        <v>11.5503</v>
      </c>
      <c r="J2359" s="7">
        <v>11.677300000000001</v>
      </c>
      <c r="K2359" s="7">
        <v>11.782299999999999</v>
      </c>
      <c r="L2359" s="7">
        <v>11.8642</v>
      </c>
      <c r="M2359" s="7">
        <v>11.993600000000001</v>
      </c>
      <c r="N2359" s="7">
        <v>12.101900000000001</v>
      </c>
      <c r="O2359" s="7">
        <v>12.2073</v>
      </c>
      <c r="P2359" s="7">
        <v>12.25</v>
      </c>
      <c r="Q2359" s="7">
        <v>12.3353</v>
      </c>
    </row>
    <row r="2360" spans="1:17">
      <c r="A2360" s="5">
        <v>44900</v>
      </c>
      <c r="B2360" s="5" t="str">
        <f t="shared" si="36"/>
        <v>2022 q4</v>
      </c>
      <c r="C2360" s="7">
        <v>11.1965</v>
      </c>
      <c r="D2360" s="7">
        <v>11.2142</v>
      </c>
      <c r="E2360" s="7">
        <v>11.2507</v>
      </c>
      <c r="F2360" s="7">
        <v>11.302</v>
      </c>
      <c r="G2360" s="7">
        <v>11.3527</v>
      </c>
      <c r="H2360" s="7">
        <v>11.3925</v>
      </c>
      <c r="I2360" s="7">
        <v>11.5511</v>
      </c>
      <c r="J2360" s="7">
        <v>11.6778</v>
      </c>
      <c r="K2360" s="7">
        <v>11.7828</v>
      </c>
      <c r="L2360" s="7">
        <v>11.8644</v>
      </c>
      <c r="M2360" s="7">
        <v>11.9937</v>
      </c>
      <c r="N2360" s="7">
        <v>12.101900000000001</v>
      </c>
      <c r="O2360" s="7">
        <v>12.207100000000001</v>
      </c>
      <c r="P2360" s="7">
        <v>12.2498</v>
      </c>
      <c r="Q2360" s="7">
        <v>12.335100000000001</v>
      </c>
    </row>
    <row r="2361" spans="1:17">
      <c r="A2361" s="5">
        <v>44901</v>
      </c>
      <c r="B2361" s="5" t="str">
        <f t="shared" si="36"/>
        <v>2022 q4</v>
      </c>
      <c r="C2361" s="7">
        <v>11.1623</v>
      </c>
      <c r="D2361" s="7">
        <v>11.183</v>
      </c>
      <c r="E2361" s="7">
        <v>11.2256</v>
      </c>
      <c r="F2361" s="7">
        <v>11.2826</v>
      </c>
      <c r="G2361" s="7">
        <v>11.338900000000001</v>
      </c>
      <c r="H2361" s="7">
        <v>11.395099999999999</v>
      </c>
      <c r="I2361" s="7">
        <v>11.5624</v>
      </c>
      <c r="J2361" s="7">
        <v>11.6934</v>
      </c>
      <c r="K2361" s="7">
        <v>11.8002</v>
      </c>
      <c r="L2361" s="7">
        <v>11.880100000000001</v>
      </c>
      <c r="M2361" s="7">
        <v>12.001899999999999</v>
      </c>
      <c r="N2361" s="7">
        <v>12.097200000000001</v>
      </c>
      <c r="O2361" s="7">
        <v>12.186400000000001</v>
      </c>
      <c r="P2361" s="7">
        <v>12.221299999999999</v>
      </c>
      <c r="Q2361" s="7">
        <v>12.2911</v>
      </c>
    </row>
    <row r="2362" spans="1:17">
      <c r="A2362" s="5">
        <v>44902</v>
      </c>
      <c r="B2362" s="5" t="str">
        <f t="shared" si="36"/>
        <v>2022 q4</v>
      </c>
      <c r="C2362" s="7">
        <v>11.160500000000001</v>
      </c>
      <c r="D2362" s="7">
        <v>11.180300000000001</v>
      </c>
      <c r="E2362" s="7">
        <v>11.2212</v>
      </c>
      <c r="F2362" s="7">
        <v>11.276300000000001</v>
      </c>
      <c r="G2362" s="7">
        <v>11.3309</v>
      </c>
      <c r="H2362" s="7">
        <v>11.3851</v>
      </c>
      <c r="I2362" s="7">
        <v>11.5504</v>
      </c>
      <c r="J2362" s="7">
        <v>11.6813</v>
      </c>
      <c r="K2362" s="7">
        <v>11.7898</v>
      </c>
      <c r="L2362" s="7">
        <v>11.8719</v>
      </c>
      <c r="M2362" s="7">
        <v>11.9993</v>
      </c>
      <c r="N2362" s="7">
        <v>12.1015</v>
      </c>
      <c r="O2362" s="7">
        <v>12.198499999999999</v>
      </c>
      <c r="P2362" s="7">
        <v>12.237</v>
      </c>
      <c r="Q2362" s="7">
        <v>12.3139</v>
      </c>
    </row>
    <row r="2363" spans="1:17">
      <c r="A2363" s="5">
        <v>44903</v>
      </c>
      <c r="B2363" s="5" t="str">
        <f t="shared" si="36"/>
        <v>2022 q4</v>
      </c>
      <c r="C2363" s="7">
        <v>11.161300000000001</v>
      </c>
      <c r="D2363" s="7">
        <v>11.1812</v>
      </c>
      <c r="E2363" s="7">
        <v>11.222200000000001</v>
      </c>
      <c r="F2363" s="7">
        <v>11.2773</v>
      </c>
      <c r="G2363" s="7">
        <v>11.331899999999999</v>
      </c>
      <c r="H2363" s="7">
        <v>11.386100000000001</v>
      </c>
      <c r="I2363" s="7">
        <v>11.551500000000001</v>
      </c>
      <c r="J2363" s="7">
        <v>11.6823</v>
      </c>
      <c r="K2363" s="7">
        <v>11.7906</v>
      </c>
      <c r="L2363" s="7">
        <v>11.8725</v>
      </c>
      <c r="M2363" s="7">
        <v>11.999499999999999</v>
      </c>
      <c r="N2363" s="7">
        <v>12.1014</v>
      </c>
      <c r="O2363" s="7">
        <v>12.198</v>
      </c>
      <c r="P2363" s="7">
        <v>12.2362</v>
      </c>
      <c r="Q2363" s="7">
        <v>12.312799999999999</v>
      </c>
    </row>
    <row r="2364" spans="1:17">
      <c r="A2364" s="5">
        <v>44904</v>
      </c>
      <c r="B2364" s="5" t="str">
        <f t="shared" si="36"/>
        <v>2022 q4</v>
      </c>
      <c r="C2364" s="7">
        <v>11.2064</v>
      </c>
      <c r="D2364" s="7">
        <v>11.218500000000001</v>
      </c>
      <c r="E2364" s="7">
        <v>11.2437</v>
      </c>
      <c r="F2364" s="7">
        <v>11.28</v>
      </c>
      <c r="G2364" s="7">
        <v>11.3163</v>
      </c>
      <c r="H2364" s="7">
        <v>11.352499999999999</v>
      </c>
      <c r="I2364" s="7">
        <v>11.484299999999999</v>
      </c>
      <c r="J2364" s="7">
        <v>11.603999999999999</v>
      </c>
      <c r="K2364" s="7">
        <v>11.715999999999999</v>
      </c>
      <c r="L2364" s="7">
        <v>11.813499999999999</v>
      </c>
      <c r="M2364" s="7">
        <v>11.987399999999999</v>
      </c>
      <c r="N2364" s="7">
        <v>12.156499999999999</v>
      </c>
      <c r="O2364" s="7">
        <v>12.289899999999999</v>
      </c>
      <c r="P2364" s="7">
        <v>12.2151</v>
      </c>
      <c r="Q2364" s="7">
        <v>12.0656</v>
      </c>
    </row>
    <row r="2365" spans="1:17">
      <c r="A2365" s="5">
        <v>44907</v>
      </c>
      <c r="B2365" s="5" t="str">
        <f t="shared" si="36"/>
        <v>2022 q4</v>
      </c>
      <c r="C2365" s="7">
        <v>11.162100000000001</v>
      </c>
      <c r="D2365" s="7">
        <v>11.1822</v>
      </c>
      <c r="E2365" s="7">
        <v>11.223800000000001</v>
      </c>
      <c r="F2365" s="7">
        <v>11.279400000000001</v>
      </c>
      <c r="G2365" s="7">
        <v>11.3347</v>
      </c>
      <c r="H2365" s="7">
        <v>11.389200000000001</v>
      </c>
      <c r="I2365" s="7">
        <v>11.5556</v>
      </c>
      <c r="J2365" s="7">
        <v>11.686199999999999</v>
      </c>
      <c r="K2365" s="7">
        <v>11.7943</v>
      </c>
      <c r="L2365" s="7">
        <v>11.875400000000001</v>
      </c>
      <c r="M2365" s="7">
        <v>12.0007</v>
      </c>
      <c r="N2365" s="7">
        <v>12.1005</v>
      </c>
      <c r="O2365" s="7">
        <v>12.194599999999999</v>
      </c>
      <c r="P2365" s="7">
        <v>12.2318</v>
      </c>
      <c r="Q2365" s="7">
        <v>12.306100000000001</v>
      </c>
    </row>
    <row r="2366" spans="1:17">
      <c r="A2366" s="5">
        <v>44908</v>
      </c>
      <c r="B2366" s="5" t="str">
        <f t="shared" si="36"/>
        <v>2022 q4</v>
      </c>
      <c r="C2366" s="7">
        <v>11.233000000000001</v>
      </c>
      <c r="D2366" s="7">
        <v>11.2485</v>
      </c>
      <c r="E2366" s="7">
        <v>11.2804</v>
      </c>
      <c r="F2366" s="7">
        <v>11.3264</v>
      </c>
      <c r="G2366" s="7">
        <v>11.37</v>
      </c>
      <c r="H2366" s="7">
        <v>11.412800000000001</v>
      </c>
      <c r="I2366" s="7">
        <v>11.5542</v>
      </c>
      <c r="J2366" s="7">
        <v>11.6699</v>
      </c>
      <c r="K2366" s="7">
        <v>11.77</v>
      </c>
      <c r="L2366" s="7">
        <v>11.8485</v>
      </c>
      <c r="M2366" s="7">
        <v>11.9765</v>
      </c>
      <c r="N2366" s="7">
        <v>12.087899999999999</v>
      </c>
      <c r="O2366" s="7">
        <v>12.199199999999999</v>
      </c>
      <c r="P2366" s="7">
        <v>12.245699999999999</v>
      </c>
      <c r="Q2366" s="7">
        <v>12.338800000000001</v>
      </c>
    </row>
    <row r="2367" spans="1:17">
      <c r="A2367" s="5">
        <v>44909</v>
      </c>
      <c r="B2367" s="5" t="str">
        <f t="shared" si="36"/>
        <v>2022 q4</v>
      </c>
      <c r="C2367" s="7">
        <v>11.166</v>
      </c>
      <c r="D2367" s="7">
        <v>11.1938</v>
      </c>
      <c r="E2367" s="7">
        <v>11.250999999999999</v>
      </c>
      <c r="F2367" s="7">
        <v>11.329700000000001</v>
      </c>
      <c r="G2367" s="7">
        <v>11.3996</v>
      </c>
      <c r="H2367" s="7">
        <v>11.467000000000001</v>
      </c>
      <c r="I2367" s="7">
        <v>11.648400000000001</v>
      </c>
      <c r="J2367" s="7">
        <v>11.774100000000001</v>
      </c>
      <c r="K2367" s="7">
        <v>11.866199999999999</v>
      </c>
      <c r="L2367" s="7">
        <v>11.927899999999999</v>
      </c>
      <c r="M2367" s="7">
        <v>12.011799999999999</v>
      </c>
      <c r="N2367" s="7">
        <v>12.068300000000001</v>
      </c>
      <c r="O2367" s="7">
        <v>12.117800000000001</v>
      </c>
      <c r="P2367" s="7">
        <v>12.1365</v>
      </c>
      <c r="Q2367" s="7">
        <v>12.1739</v>
      </c>
    </row>
    <row r="2368" spans="1:17">
      <c r="A2368" s="5">
        <v>44910</v>
      </c>
      <c r="B2368" s="5" t="str">
        <f t="shared" si="36"/>
        <v>2022 q4</v>
      </c>
      <c r="C2368" s="7">
        <v>10.9847</v>
      </c>
      <c r="D2368" s="7">
        <v>11.055199999999999</v>
      </c>
      <c r="E2368" s="7">
        <v>11.200900000000001</v>
      </c>
      <c r="F2368" s="7">
        <v>11.377700000000001</v>
      </c>
      <c r="G2368" s="7">
        <v>11.5063</v>
      </c>
      <c r="H2368" s="7">
        <v>11.6257</v>
      </c>
      <c r="I2368" s="7">
        <v>11.803699999999999</v>
      </c>
      <c r="J2368" s="7">
        <v>11.9002</v>
      </c>
      <c r="K2368" s="7">
        <v>11.9481</v>
      </c>
      <c r="L2368" s="7">
        <v>11.9764</v>
      </c>
      <c r="M2368" s="7">
        <v>12.008699999999999</v>
      </c>
      <c r="N2368" s="7">
        <v>12.028700000000001</v>
      </c>
      <c r="O2368" s="7">
        <v>12.045999999999999</v>
      </c>
      <c r="P2368" s="7">
        <v>12.0525</v>
      </c>
      <c r="Q2368" s="7">
        <v>12.0654</v>
      </c>
    </row>
    <row r="2369" spans="1:17">
      <c r="A2369" s="5">
        <v>44911</v>
      </c>
      <c r="B2369" s="5" t="str">
        <f t="shared" si="36"/>
        <v>2022 q4</v>
      </c>
      <c r="C2369" s="7">
        <v>11.0486</v>
      </c>
      <c r="D2369" s="7">
        <v>11.101800000000001</v>
      </c>
      <c r="E2369" s="7">
        <v>11.2118</v>
      </c>
      <c r="F2369" s="7">
        <v>11.3512</v>
      </c>
      <c r="G2369" s="7">
        <v>11.4621</v>
      </c>
      <c r="H2369" s="7">
        <v>11.5654</v>
      </c>
      <c r="I2369" s="7">
        <v>11.7561</v>
      </c>
      <c r="J2369" s="7">
        <v>11.8649</v>
      </c>
      <c r="K2369" s="7">
        <v>11.9254</v>
      </c>
      <c r="L2369" s="7">
        <v>11.961499999999999</v>
      </c>
      <c r="M2369" s="7">
        <v>12.0036</v>
      </c>
      <c r="N2369" s="7">
        <v>12.0297</v>
      </c>
      <c r="O2369" s="7">
        <v>12.052199999999999</v>
      </c>
      <c r="P2369" s="7">
        <v>12.060700000000001</v>
      </c>
      <c r="Q2369" s="7">
        <v>12.0776</v>
      </c>
    </row>
    <row r="2370" spans="1:17">
      <c r="A2370" s="5">
        <v>44914</v>
      </c>
      <c r="B2370" s="5" t="str">
        <f t="shared" si="36"/>
        <v>2022 q4</v>
      </c>
      <c r="C2370" s="7">
        <v>11.060600000000001</v>
      </c>
      <c r="D2370" s="7">
        <v>11.1112</v>
      </c>
      <c r="E2370" s="7">
        <v>11.2158</v>
      </c>
      <c r="F2370" s="7">
        <v>11.3489</v>
      </c>
      <c r="G2370" s="7">
        <v>11.4566</v>
      </c>
      <c r="H2370" s="7">
        <v>11.5564</v>
      </c>
      <c r="I2370" s="7">
        <v>11.7485</v>
      </c>
      <c r="J2370" s="7">
        <v>11.8589</v>
      </c>
      <c r="K2370" s="7">
        <v>11.921799999999999</v>
      </c>
      <c r="L2370" s="7">
        <v>11.9595</v>
      </c>
      <c r="M2370" s="7">
        <v>12.0037</v>
      </c>
      <c r="N2370" s="7">
        <v>12.0312</v>
      </c>
      <c r="O2370" s="7">
        <v>12.0548</v>
      </c>
      <c r="P2370" s="7">
        <v>12.063700000000001</v>
      </c>
      <c r="Q2370" s="7">
        <v>12.0816</v>
      </c>
    </row>
    <row r="2371" spans="1:17">
      <c r="A2371" s="5">
        <v>44915</v>
      </c>
      <c r="B2371" s="5" t="str">
        <f t="shared" ref="B2371:B2434" si="37">YEAR(A2371)&amp;" q"&amp;ROUNDUP(MONTH(A2371)/3,0)</f>
        <v>2022 q4</v>
      </c>
      <c r="C2371" s="7">
        <v>10.9247</v>
      </c>
      <c r="D2371" s="7">
        <v>11.03</v>
      </c>
      <c r="E2371" s="7">
        <v>11.247199999999999</v>
      </c>
      <c r="F2371" s="7">
        <v>11.513299999999999</v>
      </c>
      <c r="G2371" s="7">
        <v>11.7051</v>
      </c>
      <c r="H2371" s="7">
        <v>11.745100000000001</v>
      </c>
      <c r="I2371" s="7">
        <v>11.864800000000001</v>
      </c>
      <c r="J2371" s="7">
        <v>11.921799999999999</v>
      </c>
      <c r="K2371" s="7">
        <v>11.943300000000001</v>
      </c>
      <c r="L2371" s="7">
        <v>11.9559</v>
      </c>
      <c r="M2371" s="7">
        <v>11.9702</v>
      </c>
      <c r="N2371" s="7">
        <v>11.978999999999999</v>
      </c>
      <c r="O2371" s="7">
        <v>11.986700000000001</v>
      </c>
      <c r="P2371" s="7">
        <v>11.989599999999999</v>
      </c>
      <c r="Q2371" s="7">
        <v>11.9953</v>
      </c>
    </row>
    <row r="2372" spans="1:17">
      <c r="A2372" s="5">
        <v>44916</v>
      </c>
      <c r="B2372" s="5" t="str">
        <f t="shared" si="37"/>
        <v>2022 q4</v>
      </c>
      <c r="C2372" s="7">
        <v>10.930999999999999</v>
      </c>
      <c r="D2372" s="7">
        <v>11.035500000000001</v>
      </c>
      <c r="E2372" s="7">
        <v>11.251300000000001</v>
      </c>
      <c r="F2372" s="7">
        <v>11.506600000000001</v>
      </c>
      <c r="G2372" s="7">
        <v>11.7013</v>
      </c>
      <c r="H2372" s="7">
        <v>11.753399999999999</v>
      </c>
      <c r="I2372" s="7">
        <v>11.875400000000001</v>
      </c>
      <c r="J2372" s="7">
        <v>11.9331</v>
      </c>
      <c r="K2372" s="7">
        <v>11.955</v>
      </c>
      <c r="L2372" s="7">
        <v>11.967700000000001</v>
      </c>
      <c r="M2372" s="7">
        <v>11.982200000000001</v>
      </c>
      <c r="N2372" s="7">
        <v>11.991199999999999</v>
      </c>
      <c r="O2372" s="7">
        <v>11.998900000000001</v>
      </c>
      <c r="P2372" s="7">
        <v>12.001899999999999</v>
      </c>
      <c r="Q2372" s="7">
        <v>12.0077</v>
      </c>
    </row>
    <row r="2373" spans="1:17">
      <c r="A2373" s="5">
        <v>44917</v>
      </c>
      <c r="B2373" s="5" t="str">
        <f t="shared" si="37"/>
        <v>2022 q4</v>
      </c>
      <c r="C2373" s="7">
        <v>10.9552</v>
      </c>
      <c r="D2373" s="7">
        <v>11.049899999999999</v>
      </c>
      <c r="E2373" s="7">
        <v>11.2456</v>
      </c>
      <c r="F2373" s="7">
        <v>11.4885</v>
      </c>
      <c r="G2373" s="7">
        <v>11.688499999999999</v>
      </c>
      <c r="H2373" s="7">
        <v>11.7401</v>
      </c>
      <c r="I2373" s="7">
        <v>11.864800000000001</v>
      </c>
      <c r="J2373" s="7">
        <v>11.923400000000001</v>
      </c>
      <c r="K2373" s="7">
        <v>11.9458</v>
      </c>
      <c r="L2373" s="7">
        <v>11.958600000000001</v>
      </c>
      <c r="M2373" s="7">
        <v>11.9734</v>
      </c>
      <c r="N2373" s="7">
        <v>11.9825</v>
      </c>
      <c r="O2373" s="7">
        <v>11.990399999999999</v>
      </c>
      <c r="P2373" s="7">
        <v>11.993399999999999</v>
      </c>
      <c r="Q2373" s="7">
        <v>11.9993</v>
      </c>
    </row>
    <row r="2374" spans="1:17">
      <c r="A2374" s="5">
        <v>44918</v>
      </c>
      <c r="B2374" s="5" t="str">
        <f t="shared" si="37"/>
        <v>2022 q4</v>
      </c>
      <c r="C2374" s="7">
        <v>10.962999999999999</v>
      </c>
      <c r="D2374" s="7">
        <v>11.0563</v>
      </c>
      <c r="E2374" s="7">
        <v>11.248699999999999</v>
      </c>
      <c r="F2374" s="7">
        <v>11.4924</v>
      </c>
      <c r="G2374" s="7">
        <v>11.6997</v>
      </c>
      <c r="H2374" s="7">
        <v>11.750999999999999</v>
      </c>
      <c r="I2374" s="7">
        <v>11.8794</v>
      </c>
      <c r="J2374" s="7">
        <v>11.939500000000001</v>
      </c>
      <c r="K2374" s="7">
        <v>11.962400000000001</v>
      </c>
      <c r="L2374" s="7">
        <v>11.9756</v>
      </c>
      <c r="M2374" s="7">
        <v>11.9907</v>
      </c>
      <c r="N2374" s="7">
        <v>12.0001</v>
      </c>
      <c r="O2374" s="7">
        <v>12.0082</v>
      </c>
      <c r="P2374" s="7">
        <v>12.011200000000001</v>
      </c>
      <c r="Q2374" s="7">
        <v>12.017300000000001</v>
      </c>
    </row>
    <row r="2375" spans="1:17">
      <c r="A2375" s="5">
        <v>44921</v>
      </c>
      <c r="B2375" s="5" t="str">
        <f t="shared" si="37"/>
        <v>2022 q4</v>
      </c>
      <c r="C2375" s="7">
        <v>10.9665</v>
      </c>
      <c r="D2375" s="7">
        <v>11.059699999999999</v>
      </c>
      <c r="E2375" s="7">
        <v>11.2521</v>
      </c>
      <c r="F2375" s="7">
        <v>11.493600000000001</v>
      </c>
      <c r="G2375" s="7">
        <v>11.698499999999999</v>
      </c>
      <c r="H2375" s="7">
        <v>11.747199999999999</v>
      </c>
      <c r="I2375" s="7">
        <v>11.873200000000001</v>
      </c>
      <c r="J2375" s="7">
        <v>11.931800000000001</v>
      </c>
      <c r="K2375" s="7">
        <v>11.9543</v>
      </c>
      <c r="L2375" s="7">
        <v>11.9671</v>
      </c>
      <c r="M2375" s="7">
        <v>11.981999999999999</v>
      </c>
      <c r="N2375" s="7">
        <v>11.991099999999999</v>
      </c>
      <c r="O2375" s="7">
        <v>11.999000000000001</v>
      </c>
      <c r="P2375" s="7">
        <v>12.002000000000001</v>
      </c>
      <c r="Q2375" s="7">
        <v>12.007899999999999</v>
      </c>
    </row>
    <row r="2376" spans="1:17">
      <c r="A2376" s="5">
        <v>44922</v>
      </c>
      <c r="B2376" s="5" t="str">
        <f t="shared" si="37"/>
        <v>2022 q4</v>
      </c>
      <c r="C2376" s="7">
        <v>10.878</v>
      </c>
      <c r="D2376" s="7">
        <v>11.0061</v>
      </c>
      <c r="E2376" s="7">
        <v>11.2706</v>
      </c>
      <c r="F2376" s="7">
        <v>11.580500000000001</v>
      </c>
      <c r="G2376" s="7">
        <v>11.701599999999999</v>
      </c>
      <c r="H2376" s="7">
        <v>11.7393</v>
      </c>
      <c r="I2376" s="7">
        <v>11.89</v>
      </c>
      <c r="J2376" s="7">
        <v>11.955</v>
      </c>
      <c r="K2376" s="7">
        <v>11.9758</v>
      </c>
      <c r="L2376" s="7">
        <v>11.988899999999999</v>
      </c>
      <c r="M2376" s="7">
        <v>12.001099999999999</v>
      </c>
      <c r="N2376" s="7">
        <v>12.009600000000001</v>
      </c>
      <c r="O2376" s="7">
        <v>12.0168</v>
      </c>
      <c r="P2376" s="7">
        <v>12.019500000000001</v>
      </c>
      <c r="Q2376" s="7">
        <v>12.025</v>
      </c>
    </row>
    <row r="2377" spans="1:17">
      <c r="A2377" s="5">
        <v>44923</v>
      </c>
      <c r="B2377" s="5" t="str">
        <f t="shared" si="37"/>
        <v>2022 q4</v>
      </c>
      <c r="C2377" s="7">
        <v>10.8858</v>
      </c>
      <c r="D2377" s="7">
        <v>11.0107</v>
      </c>
      <c r="E2377" s="7">
        <v>11.2684</v>
      </c>
      <c r="F2377" s="7">
        <v>11.5785</v>
      </c>
      <c r="G2377" s="7">
        <v>11.701700000000001</v>
      </c>
      <c r="H2377" s="7">
        <v>11.740600000000001</v>
      </c>
      <c r="I2377" s="7">
        <v>11.896000000000001</v>
      </c>
      <c r="J2377" s="7">
        <v>11.9626</v>
      </c>
      <c r="K2377" s="7">
        <v>11.9839</v>
      </c>
      <c r="L2377" s="7">
        <v>11.997299999999999</v>
      </c>
      <c r="M2377" s="7">
        <v>12.0099</v>
      </c>
      <c r="N2377" s="7">
        <v>12.0185</v>
      </c>
      <c r="O2377" s="7">
        <v>12.0261</v>
      </c>
      <c r="P2377" s="7">
        <v>12.029299999999999</v>
      </c>
      <c r="Q2377" s="7">
        <v>12.033899999999999</v>
      </c>
    </row>
    <row r="2378" spans="1:17">
      <c r="A2378" s="5">
        <v>44924</v>
      </c>
      <c r="B2378" s="5" t="str">
        <f t="shared" si="37"/>
        <v>2022 q4</v>
      </c>
      <c r="C2378" s="7">
        <v>10.8582</v>
      </c>
      <c r="D2378" s="7">
        <v>10.983499999999999</v>
      </c>
      <c r="E2378" s="7">
        <v>11.242100000000001</v>
      </c>
      <c r="F2378" s="7">
        <v>11.5129</v>
      </c>
      <c r="G2378" s="7">
        <v>11.6652</v>
      </c>
      <c r="H2378" s="7">
        <v>11.7079</v>
      </c>
      <c r="I2378" s="7">
        <v>11.8636</v>
      </c>
      <c r="J2378" s="7">
        <v>11.9351</v>
      </c>
      <c r="K2378" s="7">
        <v>11.9642</v>
      </c>
      <c r="L2378" s="7">
        <v>11.9825</v>
      </c>
      <c r="M2378" s="7">
        <v>11.999700000000001</v>
      </c>
      <c r="N2378" s="7">
        <v>12.0114</v>
      </c>
      <c r="O2378" s="7">
        <v>12.021599999999999</v>
      </c>
      <c r="P2378" s="7">
        <v>12.025399999999999</v>
      </c>
      <c r="Q2378" s="7">
        <v>12.033099999999999</v>
      </c>
    </row>
    <row r="2379" spans="1:17">
      <c r="A2379" s="5">
        <v>44925</v>
      </c>
      <c r="B2379" s="5" t="str">
        <f t="shared" si="37"/>
        <v>2022 q4</v>
      </c>
      <c r="C2379" s="7">
        <v>10.867800000000001</v>
      </c>
      <c r="D2379" s="7">
        <v>10.985799999999999</v>
      </c>
      <c r="E2379" s="7">
        <v>11.229200000000001</v>
      </c>
      <c r="F2379" s="7">
        <v>11.470599999999999</v>
      </c>
      <c r="G2379" s="7">
        <v>11.639099999999999</v>
      </c>
      <c r="H2379" s="7">
        <v>11.6844</v>
      </c>
      <c r="I2379" s="7">
        <v>11.848800000000001</v>
      </c>
      <c r="J2379" s="7">
        <v>11.924300000000001</v>
      </c>
      <c r="K2379" s="7">
        <v>11.9556</v>
      </c>
      <c r="L2379" s="7">
        <v>11.9732</v>
      </c>
      <c r="M2379" s="7">
        <v>11.9937</v>
      </c>
      <c r="N2379" s="7">
        <v>12.006600000000001</v>
      </c>
      <c r="O2379" s="7">
        <v>12.017200000000001</v>
      </c>
      <c r="P2379" s="7">
        <v>12.0213</v>
      </c>
      <c r="Q2379" s="7">
        <v>12.029500000000001</v>
      </c>
    </row>
    <row r="2380" spans="1:17">
      <c r="A2380" s="5">
        <v>44929</v>
      </c>
      <c r="B2380" s="5" t="str">
        <f t="shared" si="37"/>
        <v>2023 q1</v>
      </c>
      <c r="C2380" s="7">
        <v>10.8705</v>
      </c>
      <c r="D2380" s="7">
        <v>10.9894</v>
      </c>
      <c r="E2380" s="7">
        <v>11.2349</v>
      </c>
      <c r="F2380" s="7">
        <v>11.4711</v>
      </c>
      <c r="G2380" s="7">
        <v>11.633100000000001</v>
      </c>
      <c r="H2380" s="7">
        <v>11.673500000000001</v>
      </c>
      <c r="I2380" s="7">
        <v>11.8241</v>
      </c>
      <c r="J2380" s="7">
        <v>11.8926</v>
      </c>
      <c r="K2380" s="7">
        <v>11.9207</v>
      </c>
      <c r="L2380" s="7">
        <v>11.936400000000001</v>
      </c>
      <c r="M2380" s="7">
        <v>11.954800000000001</v>
      </c>
      <c r="N2380" s="7">
        <v>11.966200000000001</v>
      </c>
      <c r="O2380" s="7">
        <v>11.976599999999999</v>
      </c>
      <c r="P2380" s="7">
        <v>11.98</v>
      </c>
      <c r="Q2380" s="7">
        <v>11.9869</v>
      </c>
    </row>
    <row r="2381" spans="1:17">
      <c r="A2381" s="5">
        <v>44930</v>
      </c>
      <c r="B2381" s="5" t="str">
        <f t="shared" si="37"/>
        <v>2023 q1</v>
      </c>
      <c r="C2381" s="7">
        <v>10.8872</v>
      </c>
      <c r="D2381" s="7">
        <v>11.0062</v>
      </c>
      <c r="E2381" s="7">
        <v>11.251799999999999</v>
      </c>
      <c r="F2381" s="7">
        <v>11.482900000000001</v>
      </c>
      <c r="G2381" s="7">
        <v>11.648</v>
      </c>
      <c r="H2381" s="7">
        <v>11.6883</v>
      </c>
      <c r="I2381" s="7">
        <v>11.849299999999999</v>
      </c>
      <c r="J2381" s="7">
        <v>11.921200000000001</v>
      </c>
      <c r="K2381" s="7">
        <v>11.9514</v>
      </c>
      <c r="L2381" s="7">
        <v>11.9681</v>
      </c>
      <c r="M2381" s="7">
        <v>11.9877</v>
      </c>
      <c r="N2381" s="7">
        <v>12.0001</v>
      </c>
      <c r="O2381" s="7">
        <v>12.010199999999999</v>
      </c>
      <c r="P2381" s="7">
        <v>12.014200000000001</v>
      </c>
      <c r="Q2381" s="7">
        <v>12.022</v>
      </c>
    </row>
    <row r="2382" spans="1:17">
      <c r="A2382" s="5">
        <v>44931</v>
      </c>
      <c r="B2382" s="5" t="str">
        <f t="shared" si="37"/>
        <v>2023 q1</v>
      </c>
      <c r="C2382" s="7">
        <v>10.895200000000001</v>
      </c>
      <c r="D2382" s="7">
        <v>11.0114</v>
      </c>
      <c r="E2382" s="7">
        <v>11.251300000000001</v>
      </c>
      <c r="F2382" s="7">
        <v>11.474600000000001</v>
      </c>
      <c r="G2382" s="7">
        <v>11.6342</v>
      </c>
      <c r="H2382" s="7">
        <v>11.673299999999999</v>
      </c>
      <c r="I2382" s="7">
        <v>11.829700000000001</v>
      </c>
      <c r="J2382" s="7">
        <v>11.8992</v>
      </c>
      <c r="K2382" s="7">
        <v>11.9285</v>
      </c>
      <c r="L2382" s="7">
        <v>11.944599999999999</v>
      </c>
      <c r="M2382" s="7">
        <v>11.9636</v>
      </c>
      <c r="N2382" s="7">
        <v>11.975300000000001</v>
      </c>
      <c r="O2382" s="7">
        <v>11.985300000000001</v>
      </c>
      <c r="P2382" s="7">
        <v>11.9892</v>
      </c>
      <c r="Q2382" s="7">
        <v>11.9968</v>
      </c>
    </row>
    <row r="2383" spans="1:17">
      <c r="A2383" s="5">
        <v>44935</v>
      </c>
      <c r="B2383" s="5" t="str">
        <f t="shared" si="37"/>
        <v>2023 q1</v>
      </c>
      <c r="C2383" s="7">
        <v>10.9018</v>
      </c>
      <c r="D2383" s="7">
        <v>11.016400000000001</v>
      </c>
      <c r="E2383" s="7">
        <v>11.253</v>
      </c>
      <c r="F2383" s="7">
        <v>11.4786</v>
      </c>
      <c r="G2383" s="7">
        <v>11.645</v>
      </c>
      <c r="H2383" s="7">
        <v>11.689</v>
      </c>
      <c r="I2383" s="7">
        <v>11.865</v>
      </c>
      <c r="J2383" s="7">
        <v>11.9434</v>
      </c>
      <c r="K2383" s="7">
        <v>11.9773</v>
      </c>
      <c r="L2383" s="7">
        <v>11.997999999999999</v>
      </c>
      <c r="M2383" s="7">
        <v>12.0177</v>
      </c>
      <c r="N2383" s="7">
        <v>12.0312</v>
      </c>
      <c r="O2383" s="7">
        <v>12.042899999999999</v>
      </c>
      <c r="P2383" s="7">
        <v>12.0473</v>
      </c>
      <c r="Q2383" s="7">
        <v>12.056100000000001</v>
      </c>
    </row>
    <row r="2384" spans="1:17">
      <c r="A2384" s="5">
        <v>44936</v>
      </c>
      <c r="B2384" s="5" t="str">
        <f t="shared" si="37"/>
        <v>2023 q1</v>
      </c>
      <c r="C2384" s="7">
        <v>10.117599999999999</v>
      </c>
      <c r="D2384" s="7">
        <v>10.4298</v>
      </c>
      <c r="E2384" s="7">
        <v>11.074199999999999</v>
      </c>
      <c r="F2384" s="7">
        <v>11.500400000000001</v>
      </c>
      <c r="G2384" s="7">
        <v>11.7288</v>
      </c>
      <c r="H2384" s="7">
        <v>11.7605</v>
      </c>
      <c r="I2384" s="7">
        <v>11.887600000000001</v>
      </c>
      <c r="J2384" s="7">
        <v>11.946</v>
      </c>
      <c r="K2384" s="7">
        <v>11.963699999999999</v>
      </c>
      <c r="L2384" s="7">
        <v>11.9754</v>
      </c>
      <c r="M2384" s="7">
        <v>11.9879</v>
      </c>
      <c r="N2384" s="7">
        <v>11.9964</v>
      </c>
      <c r="O2384" s="7">
        <v>12.0038</v>
      </c>
      <c r="P2384" s="7">
        <v>12.007</v>
      </c>
      <c r="Q2384" s="7">
        <v>12.0115</v>
      </c>
    </row>
    <row r="2385" spans="1:17">
      <c r="A2385" s="5">
        <v>44937</v>
      </c>
      <c r="B2385" s="5" t="str">
        <f t="shared" si="37"/>
        <v>2023 q1</v>
      </c>
      <c r="C2385" s="7">
        <v>10.1106</v>
      </c>
      <c r="D2385" s="7">
        <v>10.4284</v>
      </c>
      <c r="E2385" s="7">
        <v>11.0847</v>
      </c>
      <c r="F2385" s="7">
        <v>11.510199999999999</v>
      </c>
      <c r="G2385" s="7">
        <v>11.739699999999999</v>
      </c>
      <c r="H2385" s="7">
        <v>11.771800000000001</v>
      </c>
      <c r="I2385" s="7">
        <v>11.9002</v>
      </c>
      <c r="J2385" s="7">
        <v>11.953900000000001</v>
      </c>
      <c r="K2385" s="7">
        <v>11.9755</v>
      </c>
      <c r="L2385" s="7">
        <v>11.9885</v>
      </c>
      <c r="M2385" s="7">
        <v>12.001099999999999</v>
      </c>
      <c r="N2385" s="7">
        <v>12.009600000000001</v>
      </c>
      <c r="O2385" s="7">
        <v>12.016999999999999</v>
      </c>
      <c r="P2385" s="7">
        <v>12.0198</v>
      </c>
      <c r="Q2385" s="7">
        <v>12.025399999999999</v>
      </c>
    </row>
    <row r="2386" spans="1:17">
      <c r="A2386" s="5">
        <v>44938</v>
      </c>
      <c r="B2386" s="5" t="str">
        <f t="shared" si="37"/>
        <v>2023 q1</v>
      </c>
      <c r="C2386" s="7">
        <v>10.4979</v>
      </c>
      <c r="D2386" s="7">
        <v>10.6759</v>
      </c>
      <c r="E2386" s="7">
        <v>11.0434</v>
      </c>
      <c r="F2386" s="7">
        <v>11.457700000000001</v>
      </c>
      <c r="G2386" s="7">
        <v>11.6525</v>
      </c>
      <c r="H2386" s="7">
        <v>11.6913</v>
      </c>
      <c r="I2386" s="7">
        <v>11.8469</v>
      </c>
      <c r="J2386" s="7">
        <v>11.9114</v>
      </c>
      <c r="K2386" s="7">
        <v>11.9376</v>
      </c>
      <c r="L2386" s="7">
        <v>11.951599999999999</v>
      </c>
      <c r="M2386" s="7">
        <v>11.968400000000001</v>
      </c>
      <c r="N2386" s="7">
        <v>11.9787</v>
      </c>
      <c r="O2386" s="7">
        <v>11.9876</v>
      </c>
      <c r="P2386" s="7">
        <v>11.991</v>
      </c>
      <c r="Q2386" s="7">
        <v>11.9977</v>
      </c>
    </row>
    <row r="2387" spans="1:17">
      <c r="A2387" s="5">
        <v>44939</v>
      </c>
      <c r="B2387" s="5" t="str">
        <f t="shared" si="37"/>
        <v>2023 q1</v>
      </c>
      <c r="C2387" s="7">
        <v>10.5113</v>
      </c>
      <c r="D2387" s="7">
        <v>10.686999999999999</v>
      </c>
      <c r="E2387" s="7">
        <v>11.0497</v>
      </c>
      <c r="F2387" s="7">
        <v>11.455299999999999</v>
      </c>
      <c r="G2387" s="7">
        <v>11.646599999999999</v>
      </c>
      <c r="H2387" s="7">
        <v>11.6851</v>
      </c>
      <c r="I2387" s="7">
        <v>11.8392</v>
      </c>
      <c r="J2387" s="7">
        <v>11.902699999999999</v>
      </c>
      <c r="K2387" s="7">
        <v>11.928599999999999</v>
      </c>
      <c r="L2387" s="7">
        <v>11.942399999999999</v>
      </c>
      <c r="M2387" s="7">
        <v>11.9589</v>
      </c>
      <c r="N2387" s="7">
        <v>11.969099999999999</v>
      </c>
      <c r="O2387" s="7">
        <v>11.9779</v>
      </c>
      <c r="P2387" s="7">
        <v>11.981199999999999</v>
      </c>
      <c r="Q2387" s="7">
        <v>11.9879</v>
      </c>
    </row>
    <row r="2388" spans="1:17">
      <c r="A2388" s="5">
        <v>44942</v>
      </c>
      <c r="B2388" s="5" t="str">
        <f t="shared" si="37"/>
        <v>2023 q1</v>
      </c>
      <c r="C2388" s="7">
        <v>10.508699999999999</v>
      </c>
      <c r="D2388" s="7">
        <v>10.687900000000001</v>
      </c>
      <c r="E2388" s="7">
        <v>11.0578</v>
      </c>
      <c r="F2388" s="7">
        <v>11.4659</v>
      </c>
      <c r="G2388" s="7">
        <v>11.6548</v>
      </c>
      <c r="H2388" s="7">
        <v>11.6913</v>
      </c>
      <c r="I2388" s="7">
        <v>11.837300000000001</v>
      </c>
      <c r="J2388" s="7">
        <v>11.8971</v>
      </c>
      <c r="K2388" s="7">
        <v>11.9215</v>
      </c>
      <c r="L2388" s="7">
        <v>11.9345</v>
      </c>
      <c r="M2388" s="7">
        <v>11.950100000000001</v>
      </c>
      <c r="N2388" s="7">
        <v>11.9596</v>
      </c>
      <c r="O2388" s="7">
        <v>11.9679</v>
      </c>
      <c r="P2388" s="7">
        <v>11.971</v>
      </c>
      <c r="Q2388" s="7">
        <v>11.9773</v>
      </c>
    </row>
    <row r="2389" spans="1:17">
      <c r="A2389" s="5">
        <v>44943</v>
      </c>
      <c r="B2389" s="5" t="str">
        <f t="shared" si="37"/>
        <v>2023 q1</v>
      </c>
      <c r="C2389" s="7">
        <v>10.8687</v>
      </c>
      <c r="D2389" s="7">
        <v>10.947699999999999</v>
      </c>
      <c r="E2389" s="7">
        <v>11.110799999999999</v>
      </c>
      <c r="F2389" s="7">
        <v>11.308199999999999</v>
      </c>
      <c r="G2389" s="7">
        <v>11.450100000000001</v>
      </c>
      <c r="H2389" s="7">
        <v>11.591100000000001</v>
      </c>
      <c r="I2389" s="7">
        <v>11.7828</v>
      </c>
      <c r="J2389" s="7">
        <v>11.8743</v>
      </c>
      <c r="K2389" s="7">
        <v>11.926299999999999</v>
      </c>
      <c r="L2389" s="7">
        <v>11.9537</v>
      </c>
      <c r="M2389" s="7">
        <v>11.9869</v>
      </c>
      <c r="N2389" s="7">
        <v>12.007400000000001</v>
      </c>
      <c r="O2389" s="7">
        <v>12.025</v>
      </c>
      <c r="P2389" s="7">
        <v>12.031700000000001</v>
      </c>
      <c r="Q2389" s="7">
        <v>12.0451</v>
      </c>
    </row>
    <row r="2390" spans="1:17">
      <c r="A2390" s="5">
        <v>44944</v>
      </c>
      <c r="B2390" s="5" t="str">
        <f t="shared" si="37"/>
        <v>2023 q1</v>
      </c>
      <c r="C2390" s="7">
        <v>10.868600000000001</v>
      </c>
      <c r="D2390" s="7">
        <v>10.948399999999999</v>
      </c>
      <c r="E2390" s="7">
        <v>11.113099999999999</v>
      </c>
      <c r="F2390" s="7">
        <v>11.3108</v>
      </c>
      <c r="G2390" s="7">
        <v>11.4534</v>
      </c>
      <c r="H2390" s="7">
        <v>11.5938</v>
      </c>
      <c r="I2390" s="7">
        <v>11.784800000000001</v>
      </c>
      <c r="J2390" s="7">
        <v>11.875299999999999</v>
      </c>
      <c r="K2390" s="7">
        <v>11.9268</v>
      </c>
      <c r="L2390" s="7">
        <v>11.9537</v>
      </c>
      <c r="M2390" s="7">
        <v>11.986599999999999</v>
      </c>
      <c r="N2390" s="7">
        <v>12.0069</v>
      </c>
      <c r="O2390" s="7">
        <v>12.0243</v>
      </c>
      <c r="P2390" s="7">
        <v>12.030900000000001</v>
      </c>
      <c r="Q2390" s="7">
        <v>12.0441</v>
      </c>
    </row>
    <row r="2391" spans="1:17">
      <c r="A2391" s="5">
        <v>44945</v>
      </c>
      <c r="B2391" s="5" t="str">
        <f t="shared" si="37"/>
        <v>2023 q1</v>
      </c>
      <c r="C2391" s="7">
        <v>10.8673</v>
      </c>
      <c r="D2391" s="7">
        <v>10.9481</v>
      </c>
      <c r="E2391" s="7">
        <v>11.1151</v>
      </c>
      <c r="F2391" s="7">
        <v>11.313800000000001</v>
      </c>
      <c r="G2391" s="7">
        <v>11.457100000000001</v>
      </c>
      <c r="H2391" s="7">
        <v>11.597300000000001</v>
      </c>
      <c r="I2391" s="7">
        <v>11.7867</v>
      </c>
      <c r="J2391" s="7">
        <v>11.8759</v>
      </c>
      <c r="K2391" s="7">
        <v>11.926600000000001</v>
      </c>
      <c r="L2391" s="7">
        <v>11.953099999999999</v>
      </c>
      <c r="M2391" s="7">
        <v>11.9854</v>
      </c>
      <c r="N2391" s="7">
        <v>12.0053</v>
      </c>
      <c r="O2391" s="7">
        <v>12.022399999999999</v>
      </c>
      <c r="P2391" s="7">
        <v>12.0289</v>
      </c>
      <c r="Q2391" s="7">
        <v>12.0418</v>
      </c>
    </row>
    <row r="2392" spans="1:17">
      <c r="A2392" s="5">
        <v>44946</v>
      </c>
      <c r="B2392" s="5" t="str">
        <f t="shared" si="37"/>
        <v>2023 q1</v>
      </c>
      <c r="C2392" s="7">
        <v>10.8672</v>
      </c>
      <c r="D2392" s="7">
        <v>10.9489</v>
      </c>
      <c r="E2392" s="7">
        <v>11.1175</v>
      </c>
      <c r="F2392" s="7">
        <v>11.3165</v>
      </c>
      <c r="G2392" s="7">
        <v>11.4604</v>
      </c>
      <c r="H2392" s="7">
        <v>11.6</v>
      </c>
      <c r="I2392" s="7">
        <v>11.788600000000001</v>
      </c>
      <c r="J2392" s="7">
        <v>11.876899999999999</v>
      </c>
      <c r="K2392" s="7">
        <v>11.927</v>
      </c>
      <c r="L2392" s="7">
        <v>11.953099999999999</v>
      </c>
      <c r="M2392" s="7">
        <v>11.985099999999999</v>
      </c>
      <c r="N2392" s="7">
        <v>12.0047</v>
      </c>
      <c r="O2392" s="7">
        <v>12.021599999999999</v>
      </c>
      <c r="P2392" s="7">
        <v>12.028</v>
      </c>
      <c r="Q2392" s="7">
        <v>12.040900000000001</v>
      </c>
    </row>
    <row r="2393" spans="1:17">
      <c r="A2393" s="5">
        <v>44949</v>
      </c>
      <c r="B2393" s="5" t="str">
        <f t="shared" si="37"/>
        <v>2023 q1</v>
      </c>
      <c r="C2393" s="7">
        <v>10.867100000000001</v>
      </c>
      <c r="D2393" s="7">
        <v>10.9496</v>
      </c>
      <c r="E2393" s="7">
        <v>11.1198</v>
      </c>
      <c r="F2393" s="7">
        <v>11.3192</v>
      </c>
      <c r="G2393" s="7">
        <v>11.463800000000001</v>
      </c>
      <c r="H2393" s="7">
        <v>11.6029</v>
      </c>
      <c r="I2393" s="7">
        <v>11.7906</v>
      </c>
      <c r="J2393" s="7">
        <v>11.877800000000001</v>
      </c>
      <c r="K2393" s="7">
        <v>11.9275</v>
      </c>
      <c r="L2393" s="7">
        <v>11.953200000000001</v>
      </c>
      <c r="M2393" s="7">
        <v>11.9848</v>
      </c>
      <c r="N2393" s="7">
        <v>12.004099999999999</v>
      </c>
      <c r="O2393" s="7">
        <v>12.020799999999999</v>
      </c>
      <c r="P2393" s="7">
        <v>12.027200000000001</v>
      </c>
      <c r="Q2393" s="7">
        <v>12.039899999999999</v>
      </c>
    </row>
    <row r="2394" spans="1:17">
      <c r="A2394" s="5">
        <v>44950</v>
      </c>
      <c r="B2394" s="5" t="str">
        <f t="shared" si="37"/>
        <v>2023 q1</v>
      </c>
      <c r="C2394" s="7">
        <v>11.177199999999999</v>
      </c>
      <c r="D2394" s="7">
        <v>11.200100000000001</v>
      </c>
      <c r="E2394" s="7">
        <v>11.247400000000001</v>
      </c>
      <c r="F2394" s="7">
        <v>11.3142</v>
      </c>
      <c r="G2394" s="7">
        <v>11.3774</v>
      </c>
      <c r="H2394" s="7">
        <v>11.426600000000001</v>
      </c>
      <c r="I2394" s="7">
        <v>11.6076</v>
      </c>
      <c r="J2394" s="7">
        <v>11.7302</v>
      </c>
      <c r="K2394" s="7">
        <v>11.832000000000001</v>
      </c>
      <c r="L2394" s="7">
        <v>11.897500000000001</v>
      </c>
      <c r="M2394" s="7">
        <v>11.997299999999999</v>
      </c>
      <c r="N2394" s="7">
        <v>12.0687</v>
      </c>
      <c r="O2394" s="7">
        <v>12.1326</v>
      </c>
      <c r="P2394" s="7">
        <v>12.157299999999999</v>
      </c>
      <c r="Q2394" s="7">
        <v>12.2066</v>
      </c>
    </row>
    <row r="2395" spans="1:17">
      <c r="A2395" s="5">
        <v>44951</v>
      </c>
      <c r="B2395" s="5" t="str">
        <f t="shared" si="37"/>
        <v>2023 q1</v>
      </c>
      <c r="C2395" s="7">
        <v>11.180300000000001</v>
      </c>
      <c r="D2395" s="7">
        <v>11.2028</v>
      </c>
      <c r="E2395" s="7">
        <v>11.249499999999999</v>
      </c>
      <c r="F2395" s="7">
        <v>11.3154</v>
      </c>
      <c r="G2395" s="7">
        <v>11.3781</v>
      </c>
      <c r="H2395" s="7">
        <v>11.427</v>
      </c>
      <c r="I2395" s="7">
        <v>11.6083</v>
      </c>
      <c r="J2395" s="7">
        <v>11.7323</v>
      </c>
      <c r="K2395" s="7">
        <v>11.8361</v>
      </c>
      <c r="L2395" s="7">
        <v>11.903499999999999</v>
      </c>
      <c r="M2395" s="7">
        <v>12.007099999999999</v>
      </c>
      <c r="N2395" s="7">
        <v>12.082100000000001</v>
      </c>
      <c r="O2395" s="7">
        <v>12.1496</v>
      </c>
      <c r="P2395" s="7">
        <v>12.175700000000001</v>
      </c>
      <c r="Q2395" s="7">
        <v>12.2279</v>
      </c>
    </row>
    <row r="2396" spans="1:17">
      <c r="A2396" s="5">
        <v>44952</v>
      </c>
      <c r="B2396" s="5" t="str">
        <f t="shared" si="37"/>
        <v>2023 q1</v>
      </c>
      <c r="C2396" s="7">
        <v>11.1714</v>
      </c>
      <c r="D2396" s="7">
        <v>11.189500000000001</v>
      </c>
      <c r="E2396" s="7">
        <v>11.226699999999999</v>
      </c>
      <c r="F2396" s="7">
        <v>11.280200000000001</v>
      </c>
      <c r="G2396" s="7">
        <v>11.3317</v>
      </c>
      <c r="H2396" s="7">
        <v>11.3773</v>
      </c>
      <c r="I2396" s="7">
        <v>11.542</v>
      </c>
      <c r="J2396" s="7">
        <v>11.6675</v>
      </c>
      <c r="K2396" s="7">
        <v>11.779299999999999</v>
      </c>
      <c r="L2396" s="7">
        <v>11.8598</v>
      </c>
      <c r="M2396" s="7">
        <v>11.993</v>
      </c>
      <c r="N2396" s="7">
        <v>12.1038</v>
      </c>
      <c r="O2396" s="7">
        <v>12.2112</v>
      </c>
      <c r="P2396" s="7">
        <v>12.2553</v>
      </c>
      <c r="Q2396" s="7">
        <v>12.3436</v>
      </c>
    </row>
    <row r="2397" spans="1:17">
      <c r="A2397" s="5">
        <v>44953</v>
      </c>
      <c r="B2397" s="5" t="str">
        <f t="shared" si="37"/>
        <v>2023 q1</v>
      </c>
      <c r="C2397" s="7">
        <v>11.1416</v>
      </c>
      <c r="D2397" s="7">
        <v>11.165699999999999</v>
      </c>
      <c r="E2397" s="7">
        <v>11.215299999999999</v>
      </c>
      <c r="F2397" s="7">
        <v>11.285</v>
      </c>
      <c r="G2397" s="7">
        <v>11.350899999999999</v>
      </c>
      <c r="H2397" s="7">
        <v>11.4061</v>
      </c>
      <c r="I2397" s="7">
        <v>11.595700000000001</v>
      </c>
      <c r="J2397" s="7">
        <v>11.725099999999999</v>
      </c>
      <c r="K2397" s="7">
        <v>11.8338</v>
      </c>
      <c r="L2397" s="7">
        <v>11.9038</v>
      </c>
      <c r="M2397" s="7">
        <v>12.0113</v>
      </c>
      <c r="N2397" s="7">
        <v>12.0885</v>
      </c>
      <c r="O2397" s="7">
        <v>12.157999999999999</v>
      </c>
      <c r="P2397" s="7">
        <v>12.184799999999999</v>
      </c>
      <c r="Q2397" s="7">
        <v>12.2384</v>
      </c>
    </row>
    <row r="2398" spans="1:17">
      <c r="A2398" s="5">
        <v>44956</v>
      </c>
      <c r="B2398" s="5" t="str">
        <f t="shared" si="37"/>
        <v>2023 q1</v>
      </c>
      <c r="C2398" s="7">
        <v>11.118499999999999</v>
      </c>
      <c r="D2398" s="7">
        <v>11.1469</v>
      </c>
      <c r="E2398" s="7">
        <v>11.2056</v>
      </c>
      <c r="F2398" s="7">
        <v>11.286199999999999</v>
      </c>
      <c r="G2398" s="7">
        <v>11.3613</v>
      </c>
      <c r="H2398" s="7">
        <v>11.420999999999999</v>
      </c>
      <c r="I2398" s="7">
        <v>11.618</v>
      </c>
      <c r="J2398" s="7">
        <v>11.741300000000001</v>
      </c>
      <c r="K2398" s="7">
        <v>11.839600000000001</v>
      </c>
      <c r="L2398" s="7">
        <v>11.898199999999999</v>
      </c>
      <c r="M2398" s="7">
        <v>11.983499999999999</v>
      </c>
      <c r="N2398" s="7">
        <v>12.0403</v>
      </c>
      <c r="O2398" s="7">
        <v>12.09</v>
      </c>
      <c r="P2398" s="7">
        <v>12.109</v>
      </c>
      <c r="Q2398" s="7">
        <v>12.1469</v>
      </c>
    </row>
    <row r="2399" spans="1:17">
      <c r="A2399" s="5">
        <v>44957</v>
      </c>
      <c r="B2399" s="5" t="str">
        <f t="shared" si="37"/>
        <v>2023 q1</v>
      </c>
      <c r="C2399" s="7">
        <v>11.119400000000001</v>
      </c>
      <c r="D2399" s="7">
        <v>11.109500000000001</v>
      </c>
      <c r="E2399" s="7">
        <v>11.0891</v>
      </c>
      <c r="F2399" s="7">
        <v>11.171099999999999</v>
      </c>
      <c r="G2399" s="7">
        <v>11.254899999999999</v>
      </c>
      <c r="H2399" s="7">
        <v>11.3353</v>
      </c>
      <c r="I2399" s="7">
        <v>11.648300000000001</v>
      </c>
      <c r="J2399" s="7">
        <v>11.7995</v>
      </c>
      <c r="K2399" s="7">
        <v>11.898400000000001</v>
      </c>
      <c r="L2399" s="7">
        <v>11.948</v>
      </c>
      <c r="M2399" s="7">
        <v>12.0108</v>
      </c>
      <c r="N2399" s="7">
        <v>12.0494</v>
      </c>
      <c r="O2399" s="7">
        <v>12.0825</v>
      </c>
      <c r="P2399" s="7">
        <v>12.0952</v>
      </c>
      <c r="Q2399" s="7">
        <v>12.1204</v>
      </c>
    </row>
    <row r="2400" spans="1:17">
      <c r="A2400" s="5">
        <v>44958</v>
      </c>
      <c r="B2400" s="5" t="str">
        <f t="shared" si="37"/>
        <v>2023 q1</v>
      </c>
      <c r="C2400" s="7">
        <v>11.121600000000001</v>
      </c>
      <c r="D2400" s="7">
        <v>11.1472</v>
      </c>
      <c r="E2400" s="7">
        <v>11.200100000000001</v>
      </c>
      <c r="F2400" s="7">
        <v>11.274100000000001</v>
      </c>
      <c r="G2400" s="7">
        <v>11.344799999999999</v>
      </c>
      <c r="H2400" s="7">
        <v>11.401999999999999</v>
      </c>
      <c r="I2400" s="7">
        <v>11.6004</v>
      </c>
      <c r="J2400" s="7">
        <v>11.731400000000001</v>
      </c>
      <c r="K2400" s="7">
        <v>11.8409</v>
      </c>
      <c r="L2400" s="7">
        <v>11.9091</v>
      </c>
      <c r="M2400" s="7">
        <v>12.0129</v>
      </c>
      <c r="N2400" s="7">
        <v>12.085699999999999</v>
      </c>
      <c r="O2400" s="7">
        <v>12.150499999999999</v>
      </c>
      <c r="P2400" s="7">
        <v>12.1755</v>
      </c>
      <c r="Q2400" s="7">
        <v>12.2254</v>
      </c>
    </row>
    <row r="2401" spans="1:17">
      <c r="A2401" s="5">
        <v>44959</v>
      </c>
      <c r="B2401" s="5" t="str">
        <f t="shared" si="37"/>
        <v>2023 q1</v>
      </c>
      <c r="C2401" s="7">
        <v>11.122999999999999</v>
      </c>
      <c r="D2401" s="7">
        <v>11.1486</v>
      </c>
      <c r="E2401" s="7">
        <v>11.201499999999999</v>
      </c>
      <c r="F2401" s="7">
        <v>11.2753</v>
      </c>
      <c r="G2401" s="7">
        <v>11.346</v>
      </c>
      <c r="H2401" s="7">
        <v>11.402900000000001</v>
      </c>
      <c r="I2401" s="7">
        <v>11.6012</v>
      </c>
      <c r="J2401" s="7">
        <v>11.7318</v>
      </c>
      <c r="K2401" s="7">
        <v>11.841200000000001</v>
      </c>
      <c r="L2401" s="7">
        <v>11.9092</v>
      </c>
      <c r="M2401" s="7">
        <v>12.0128</v>
      </c>
      <c r="N2401" s="7">
        <v>12.085599999999999</v>
      </c>
      <c r="O2401" s="7">
        <v>12.1503</v>
      </c>
      <c r="P2401" s="7">
        <v>12.1752</v>
      </c>
      <c r="Q2401" s="7">
        <v>12.225</v>
      </c>
    </row>
    <row r="2402" spans="1:17">
      <c r="A2402" s="5">
        <v>44960</v>
      </c>
      <c r="B2402" s="5" t="str">
        <f t="shared" si="37"/>
        <v>2023 q1</v>
      </c>
      <c r="C2402" s="7">
        <v>11.1393</v>
      </c>
      <c r="D2402" s="7">
        <v>11.1622</v>
      </c>
      <c r="E2402" s="7">
        <v>11.2095</v>
      </c>
      <c r="F2402" s="7">
        <v>11.2761</v>
      </c>
      <c r="G2402" s="7">
        <v>11.340400000000001</v>
      </c>
      <c r="H2402" s="7">
        <v>11.3933</v>
      </c>
      <c r="I2402" s="7">
        <v>11.581899999999999</v>
      </c>
      <c r="J2402" s="7">
        <v>11.7118</v>
      </c>
      <c r="K2402" s="7">
        <v>11.823499999999999</v>
      </c>
      <c r="L2402" s="7">
        <v>11.895799999999999</v>
      </c>
      <c r="M2402" s="7">
        <v>12.009399999999999</v>
      </c>
      <c r="N2402" s="7">
        <v>12.093</v>
      </c>
      <c r="O2402" s="7">
        <v>12.168900000000001</v>
      </c>
      <c r="P2402" s="7">
        <v>12.198399999999999</v>
      </c>
      <c r="Q2402" s="7">
        <v>12.2576</v>
      </c>
    </row>
    <row r="2403" spans="1:17">
      <c r="A2403" s="5">
        <v>44963</v>
      </c>
      <c r="B2403" s="5" t="str">
        <f t="shared" si="37"/>
        <v>2023 q1</v>
      </c>
      <c r="C2403" s="7">
        <v>11.141299999999999</v>
      </c>
      <c r="D2403" s="7">
        <v>11.164099999999999</v>
      </c>
      <c r="E2403" s="7">
        <v>11.2111</v>
      </c>
      <c r="F2403" s="7">
        <v>11.277200000000001</v>
      </c>
      <c r="G2403" s="7">
        <v>11.341100000000001</v>
      </c>
      <c r="H2403" s="7">
        <v>11.393599999999999</v>
      </c>
      <c r="I2403" s="7">
        <v>11.5816</v>
      </c>
      <c r="J2403" s="7">
        <v>11.7111</v>
      </c>
      <c r="K2403" s="7">
        <v>11.822900000000001</v>
      </c>
      <c r="L2403" s="7">
        <v>11.895200000000001</v>
      </c>
      <c r="M2403" s="7">
        <v>12.0092</v>
      </c>
      <c r="N2403" s="7">
        <v>12.093400000000001</v>
      </c>
      <c r="O2403" s="7">
        <v>12.1698</v>
      </c>
      <c r="P2403" s="7">
        <v>12.1997</v>
      </c>
      <c r="Q2403" s="7">
        <v>12.2593</v>
      </c>
    </row>
    <row r="2404" spans="1:17">
      <c r="A2404" s="5">
        <v>44964</v>
      </c>
      <c r="B2404" s="5" t="str">
        <f t="shared" si="37"/>
        <v>2023 q1</v>
      </c>
      <c r="C2404" s="7">
        <v>11.191599999999999</v>
      </c>
      <c r="D2404" s="7">
        <v>11.209199999999999</v>
      </c>
      <c r="E2404" s="7">
        <v>11.2456</v>
      </c>
      <c r="F2404" s="7">
        <v>11.296900000000001</v>
      </c>
      <c r="G2404" s="7">
        <v>11.3466</v>
      </c>
      <c r="H2404" s="7">
        <v>11.3962</v>
      </c>
      <c r="I2404" s="7">
        <v>11.5542</v>
      </c>
      <c r="J2404" s="7">
        <v>11.673999999999999</v>
      </c>
      <c r="K2404" s="7">
        <v>11.7828</v>
      </c>
      <c r="L2404" s="7">
        <v>11.859299999999999</v>
      </c>
      <c r="M2404" s="7">
        <v>11.986700000000001</v>
      </c>
      <c r="N2404" s="7">
        <v>12.091799999999999</v>
      </c>
      <c r="O2404" s="7">
        <v>12.193199999999999</v>
      </c>
      <c r="P2404" s="7">
        <v>12.2348</v>
      </c>
      <c r="Q2404" s="7">
        <v>12.318</v>
      </c>
    </row>
    <row r="2405" spans="1:17">
      <c r="A2405" s="5">
        <v>44965</v>
      </c>
      <c r="B2405" s="5" t="str">
        <f t="shared" si="37"/>
        <v>2023 q1</v>
      </c>
      <c r="C2405" s="7">
        <v>11.158899999999999</v>
      </c>
      <c r="D2405" s="7">
        <v>11.181800000000001</v>
      </c>
      <c r="E2405" s="7">
        <v>11.229100000000001</v>
      </c>
      <c r="F2405" s="7">
        <v>11.293900000000001</v>
      </c>
      <c r="G2405" s="7">
        <v>11.3561</v>
      </c>
      <c r="H2405" s="7">
        <v>11.417899999999999</v>
      </c>
      <c r="I2405" s="7">
        <v>11.5984</v>
      </c>
      <c r="J2405" s="7">
        <v>11.7232</v>
      </c>
      <c r="K2405" s="7">
        <v>11.832000000000001</v>
      </c>
      <c r="L2405" s="7">
        <v>11.9011</v>
      </c>
      <c r="M2405" s="7">
        <v>12.0098</v>
      </c>
      <c r="N2405" s="7">
        <v>12.089</v>
      </c>
      <c r="O2405" s="7">
        <v>12.160500000000001</v>
      </c>
      <c r="P2405" s="7">
        <v>12.1883</v>
      </c>
      <c r="Q2405" s="7">
        <v>12.244</v>
      </c>
    </row>
    <row r="2406" spans="1:17">
      <c r="A2406" s="5">
        <v>44966</v>
      </c>
      <c r="B2406" s="5" t="str">
        <f t="shared" si="37"/>
        <v>2023 q1</v>
      </c>
      <c r="C2406" s="7">
        <v>11.1891</v>
      </c>
      <c r="D2406" s="7">
        <v>11.2059</v>
      </c>
      <c r="E2406" s="7">
        <v>11.240500000000001</v>
      </c>
      <c r="F2406" s="7">
        <v>11.289300000000001</v>
      </c>
      <c r="G2406" s="7">
        <v>11.337</v>
      </c>
      <c r="H2406" s="7">
        <v>11.3843</v>
      </c>
      <c r="I2406" s="7">
        <v>11.5383</v>
      </c>
      <c r="J2406" s="7">
        <v>11.657299999999999</v>
      </c>
      <c r="K2406" s="7">
        <v>11.766400000000001</v>
      </c>
      <c r="L2406" s="7">
        <v>11.8446</v>
      </c>
      <c r="M2406" s="7">
        <v>11.976900000000001</v>
      </c>
      <c r="N2406" s="7">
        <v>12.089399999999999</v>
      </c>
      <c r="O2406" s="7">
        <v>12.2019</v>
      </c>
      <c r="P2406" s="7">
        <v>12.2552</v>
      </c>
      <c r="Q2406" s="7">
        <v>12.330500000000001</v>
      </c>
    </row>
    <row r="2407" spans="1:17">
      <c r="A2407" s="5">
        <v>44967</v>
      </c>
      <c r="B2407" s="5" t="str">
        <f t="shared" si="37"/>
        <v>2023 q1</v>
      </c>
      <c r="C2407" s="7">
        <v>11.146699999999999</v>
      </c>
      <c r="D2407" s="7">
        <v>11.1707</v>
      </c>
      <c r="E2407" s="7">
        <v>11.2202</v>
      </c>
      <c r="F2407" s="7">
        <v>11.2873</v>
      </c>
      <c r="G2407" s="7">
        <v>11.351699999999999</v>
      </c>
      <c r="H2407" s="7">
        <v>11.4152</v>
      </c>
      <c r="I2407" s="7">
        <v>11.5974</v>
      </c>
      <c r="J2407" s="7">
        <v>11.719900000000001</v>
      </c>
      <c r="K2407" s="7">
        <v>11.825799999999999</v>
      </c>
      <c r="L2407" s="7">
        <v>11.8912</v>
      </c>
      <c r="M2407" s="7">
        <v>11.992800000000001</v>
      </c>
      <c r="N2407" s="7">
        <v>12.0648</v>
      </c>
      <c r="O2407" s="7">
        <v>12.129200000000001</v>
      </c>
      <c r="P2407" s="7">
        <v>12.154199999999999</v>
      </c>
      <c r="Q2407" s="7">
        <v>12.204000000000001</v>
      </c>
    </row>
    <row r="2408" spans="1:17">
      <c r="A2408" s="5">
        <v>44970</v>
      </c>
      <c r="B2408" s="5" t="str">
        <f t="shared" si="37"/>
        <v>2023 q1</v>
      </c>
      <c r="C2408" s="7">
        <v>11.146000000000001</v>
      </c>
      <c r="D2408" s="7">
        <v>11.17</v>
      </c>
      <c r="E2408" s="7">
        <v>11.2196</v>
      </c>
      <c r="F2408" s="7">
        <v>11.2873</v>
      </c>
      <c r="G2408" s="7">
        <v>11.352499999999999</v>
      </c>
      <c r="H2408" s="7">
        <v>11.416700000000001</v>
      </c>
      <c r="I2408" s="7">
        <v>11.6059</v>
      </c>
      <c r="J2408" s="7">
        <v>11.736000000000001</v>
      </c>
      <c r="K2408" s="7">
        <v>11.85</v>
      </c>
      <c r="L2408" s="7">
        <v>11.922000000000001</v>
      </c>
      <c r="M2408" s="7">
        <v>12.035600000000001</v>
      </c>
      <c r="N2408" s="7">
        <v>12.1183</v>
      </c>
      <c r="O2408" s="7">
        <v>12.193</v>
      </c>
      <c r="P2408" s="7">
        <v>12.222099999999999</v>
      </c>
      <c r="Q2408" s="7">
        <v>12.2803</v>
      </c>
    </row>
    <row r="2409" spans="1:17">
      <c r="A2409" s="5">
        <v>44971</v>
      </c>
      <c r="B2409" s="5" t="str">
        <f t="shared" si="37"/>
        <v>2023 q1</v>
      </c>
      <c r="C2409" s="7">
        <v>11.178100000000001</v>
      </c>
      <c r="D2409" s="7">
        <v>11.201599999999999</v>
      </c>
      <c r="E2409" s="7">
        <v>11.2499</v>
      </c>
      <c r="F2409" s="7">
        <v>11.3154</v>
      </c>
      <c r="G2409" s="7">
        <v>11.3787</v>
      </c>
      <c r="H2409" s="7">
        <v>11.4405</v>
      </c>
      <c r="I2409" s="7">
        <v>11.622999999999999</v>
      </c>
      <c r="J2409" s="7">
        <v>11.747</v>
      </c>
      <c r="K2409" s="7">
        <v>11.8558</v>
      </c>
      <c r="L2409" s="7">
        <v>11.923500000000001</v>
      </c>
      <c r="M2409" s="7">
        <v>12.0304</v>
      </c>
      <c r="N2409" s="7">
        <v>12.107699999999999</v>
      </c>
      <c r="O2409" s="7">
        <v>12.177199999999999</v>
      </c>
      <c r="P2409" s="7">
        <v>12.2042</v>
      </c>
      <c r="Q2409" s="7">
        <v>12.2583</v>
      </c>
    </row>
    <row r="2410" spans="1:17">
      <c r="A2410" s="5">
        <v>44972</v>
      </c>
      <c r="B2410" s="5" t="str">
        <f t="shared" si="37"/>
        <v>2023 q1</v>
      </c>
      <c r="C2410" s="7">
        <v>11.171900000000001</v>
      </c>
      <c r="D2410" s="7">
        <v>11.1967</v>
      </c>
      <c r="E2410" s="7">
        <v>11.247999999999999</v>
      </c>
      <c r="F2410" s="7">
        <v>11.3155</v>
      </c>
      <c r="G2410" s="7">
        <v>11.3802</v>
      </c>
      <c r="H2410" s="7">
        <v>11.4428</v>
      </c>
      <c r="I2410" s="7">
        <v>11.6143</v>
      </c>
      <c r="J2410" s="7">
        <v>11.7217</v>
      </c>
      <c r="K2410" s="7">
        <v>11.8126</v>
      </c>
      <c r="L2410" s="7">
        <v>11.8649</v>
      </c>
      <c r="M2410" s="7">
        <v>11.944000000000001</v>
      </c>
      <c r="N2410" s="7">
        <v>11.997199999999999</v>
      </c>
      <c r="O2410" s="7">
        <v>12.043699999999999</v>
      </c>
      <c r="P2410" s="7">
        <v>12.0616</v>
      </c>
      <c r="Q2410" s="7">
        <v>12.0974</v>
      </c>
    </row>
    <row r="2411" spans="1:17">
      <c r="A2411" s="5">
        <v>44973</v>
      </c>
      <c r="B2411" s="5" t="str">
        <f t="shared" si="37"/>
        <v>2023 q1</v>
      </c>
      <c r="C2411" s="7">
        <v>11.1754</v>
      </c>
      <c r="D2411" s="7">
        <v>11.1997</v>
      </c>
      <c r="E2411" s="7">
        <v>11.249700000000001</v>
      </c>
      <c r="F2411" s="7">
        <v>11.315300000000001</v>
      </c>
      <c r="G2411" s="7">
        <v>11.378299999999999</v>
      </c>
      <c r="H2411" s="7">
        <v>11.4389</v>
      </c>
      <c r="I2411" s="7">
        <v>11.6046</v>
      </c>
      <c r="J2411" s="7">
        <v>11.7073</v>
      </c>
      <c r="K2411" s="7">
        <v>11.7942</v>
      </c>
      <c r="L2411" s="7">
        <v>11.8438</v>
      </c>
      <c r="M2411" s="7">
        <v>11.9186</v>
      </c>
      <c r="N2411" s="7">
        <v>11.9687</v>
      </c>
      <c r="O2411" s="7">
        <v>12.0131</v>
      </c>
      <c r="P2411" s="7">
        <v>12.032500000000001</v>
      </c>
      <c r="Q2411" s="7">
        <v>12.0596</v>
      </c>
    </row>
    <row r="2412" spans="1:17">
      <c r="A2412" s="5">
        <v>44974</v>
      </c>
      <c r="B2412" s="5" t="str">
        <f t="shared" si="37"/>
        <v>2023 q1</v>
      </c>
      <c r="C2412" s="7">
        <v>11.2074</v>
      </c>
      <c r="D2412" s="7">
        <v>11.2247</v>
      </c>
      <c r="E2412" s="7">
        <v>11.2605</v>
      </c>
      <c r="F2412" s="7">
        <v>11.309200000000001</v>
      </c>
      <c r="G2412" s="7">
        <v>11.3566</v>
      </c>
      <c r="H2412" s="7">
        <v>11.4026</v>
      </c>
      <c r="I2412" s="7">
        <v>11.5435</v>
      </c>
      <c r="J2412" s="7">
        <v>11.6418</v>
      </c>
      <c r="K2412" s="7">
        <v>11.7295</v>
      </c>
      <c r="L2412" s="7">
        <v>11.785500000000001</v>
      </c>
      <c r="M2412" s="7">
        <v>11.8759</v>
      </c>
      <c r="N2412" s="7">
        <v>11.9435</v>
      </c>
      <c r="O2412" s="7">
        <v>12.0063</v>
      </c>
      <c r="P2412" s="7">
        <v>12.0342</v>
      </c>
      <c r="Q2412" s="7">
        <v>12.073399999999999</v>
      </c>
    </row>
    <row r="2413" spans="1:17">
      <c r="A2413" s="5">
        <v>44977</v>
      </c>
      <c r="B2413" s="5" t="str">
        <f t="shared" si="37"/>
        <v>2023 q1</v>
      </c>
      <c r="C2413" s="7">
        <v>11.1571</v>
      </c>
      <c r="D2413" s="7">
        <v>11.1861</v>
      </c>
      <c r="E2413" s="7">
        <v>11.245900000000001</v>
      </c>
      <c r="F2413" s="7">
        <v>11.319599999999999</v>
      </c>
      <c r="G2413" s="7">
        <v>11.3895</v>
      </c>
      <c r="H2413" s="7">
        <v>11.455399999999999</v>
      </c>
      <c r="I2413" s="7">
        <v>11.611800000000001</v>
      </c>
      <c r="J2413" s="7">
        <v>11.696199999999999</v>
      </c>
      <c r="K2413" s="7">
        <v>11.763199999999999</v>
      </c>
      <c r="L2413" s="7">
        <v>11.7974</v>
      </c>
      <c r="M2413" s="7">
        <v>11.8461</v>
      </c>
      <c r="N2413" s="7">
        <v>11.8767</v>
      </c>
      <c r="O2413" s="7">
        <v>11.903</v>
      </c>
      <c r="P2413" s="7">
        <v>11.9131</v>
      </c>
      <c r="Q2413" s="7">
        <v>11.933199999999999</v>
      </c>
    </row>
    <row r="2414" spans="1:17">
      <c r="A2414" s="5">
        <v>44978</v>
      </c>
      <c r="B2414" s="5" t="str">
        <f t="shared" si="37"/>
        <v>2023 q1</v>
      </c>
      <c r="C2414" s="7">
        <v>11.160399999999999</v>
      </c>
      <c r="D2414" s="7">
        <v>11.1896</v>
      </c>
      <c r="E2414" s="7">
        <v>11.2498</v>
      </c>
      <c r="F2414" s="7">
        <v>11.326499999999999</v>
      </c>
      <c r="G2414" s="7">
        <v>11.400600000000001</v>
      </c>
      <c r="H2414" s="7">
        <v>11.4468</v>
      </c>
      <c r="I2414" s="7">
        <v>11.6128</v>
      </c>
      <c r="J2414" s="7">
        <v>11.697800000000001</v>
      </c>
      <c r="K2414" s="7">
        <v>11.764099999999999</v>
      </c>
      <c r="L2414" s="7">
        <v>11.797700000000001</v>
      </c>
      <c r="M2414" s="7">
        <v>11.845599999999999</v>
      </c>
      <c r="N2414" s="7">
        <v>11.875500000000001</v>
      </c>
      <c r="O2414" s="7">
        <v>11.901400000000001</v>
      </c>
      <c r="P2414" s="7">
        <v>11.911300000000001</v>
      </c>
      <c r="Q2414" s="7">
        <v>11.931100000000001</v>
      </c>
    </row>
    <row r="2415" spans="1:17">
      <c r="A2415" s="5">
        <v>44979</v>
      </c>
      <c r="B2415" s="5" t="str">
        <f t="shared" si="37"/>
        <v>2023 q1</v>
      </c>
      <c r="C2415" s="7">
        <v>11.164899999999999</v>
      </c>
      <c r="D2415" s="7">
        <v>11.194000000000001</v>
      </c>
      <c r="E2415" s="7">
        <v>11.254099999999999</v>
      </c>
      <c r="F2415" s="7">
        <v>11.330399999999999</v>
      </c>
      <c r="G2415" s="7">
        <v>11.404400000000001</v>
      </c>
      <c r="H2415" s="7">
        <v>11.45</v>
      </c>
      <c r="I2415" s="7">
        <v>11.6149</v>
      </c>
      <c r="J2415" s="7">
        <v>11.6989</v>
      </c>
      <c r="K2415" s="7">
        <v>11.7645</v>
      </c>
      <c r="L2415" s="7">
        <v>11.797499999999999</v>
      </c>
      <c r="M2415" s="7">
        <v>11.8447</v>
      </c>
      <c r="N2415" s="7">
        <v>11.8742</v>
      </c>
      <c r="O2415" s="7">
        <v>11.899699999999999</v>
      </c>
      <c r="P2415" s="7">
        <v>11.9094</v>
      </c>
      <c r="Q2415" s="7">
        <v>11.928900000000001</v>
      </c>
    </row>
    <row r="2416" spans="1:17">
      <c r="A2416" s="5">
        <v>44980</v>
      </c>
      <c r="B2416" s="5" t="str">
        <f t="shared" si="37"/>
        <v>2023 q1</v>
      </c>
      <c r="C2416" s="7">
        <v>11.0654</v>
      </c>
      <c r="D2416" s="7">
        <v>11.1043</v>
      </c>
      <c r="E2416" s="7">
        <v>11.1846</v>
      </c>
      <c r="F2416" s="7">
        <v>11.2896</v>
      </c>
      <c r="G2416" s="7">
        <v>11.382099999999999</v>
      </c>
      <c r="H2416" s="7">
        <v>11.433400000000001</v>
      </c>
      <c r="I2416" s="7">
        <v>11.616</v>
      </c>
      <c r="J2416" s="7">
        <v>11.698</v>
      </c>
      <c r="K2416" s="7">
        <v>11.7577</v>
      </c>
      <c r="L2416" s="7">
        <v>11.786</v>
      </c>
      <c r="M2416" s="7">
        <v>11.8249</v>
      </c>
      <c r="N2416" s="7">
        <v>11.848800000000001</v>
      </c>
      <c r="O2416" s="7">
        <v>11.869400000000001</v>
      </c>
      <c r="P2416" s="7">
        <v>11.8773</v>
      </c>
      <c r="Q2416" s="7">
        <v>11.893000000000001</v>
      </c>
    </row>
    <row r="2417" spans="1:17">
      <c r="A2417" s="5">
        <v>44981</v>
      </c>
      <c r="B2417" s="5" t="str">
        <f t="shared" si="37"/>
        <v>2023 q1</v>
      </c>
      <c r="C2417" s="7">
        <v>11.055400000000001</v>
      </c>
      <c r="D2417" s="7">
        <v>11.0974</v>
      </c>
      <c r="E2417" s="7">
        <v>11.184100000000001</v>
      </c>
      <c r="F2417" s="7">
        <v>11.295199999999999</v>
      </c>
      <c r="G2417" s="7">
        <v>11.3917</v>
      </c>
      <c r="H2417" s="7">
        <v>11.441599999999999</v>
      </c>
      <c r="I2417" s="7">
        <v>11.6182</v>
      </c>
      <c r="J2417" s="7">
        <v>11.693300000000001</v>
      </c>
      <c r="K2417" s="7">
        <v>11.7463</v>
      </c>
      <c r="L2417" s="7">
        <v>11.770799999999999</v>
      </c>
      <c r="M2417" s="7">
        <v>11.8043</v>
      </c>
      <c r="N2417" s="7">
        <v>11.8248</v>
      </c>
      <c r="O2417" s="7">
        <v>11.842499999999999</v>
      </c>
      <c r="P2417" s="7">
        <v>11.8492</v>
      </c>
      <c r="Q2417" s="7">
        <v>11.8627</v>
      </c>
    </row>
    <row r="2418" spans="1:17">
      <c r="A2418" s="5">
        <v>44984</v>
      </c>
      <c r="B2418" s="5" t="str">
        <f t="shared" si="37"/>
        <v>2023 q1</v>
      </c>
      <c r="C2418" s="7">
        <v>10.9543</v>
      </c>
      <c r="D2418" s="7">
        <v>11.038500000000001</v>
      </c>
      <c r="E2418" s="7">
        <v>11.212300000000001</v>
      </c>
      <c r="F2418" s="7">
        <v>11.443300000000001</v>
      </c>
      <c r="G2418" s="7">
        <v>11.548999999999999</v>
      </c>
      <c r="H2418" s="7">
        <v>11.5838</v>
      </c>
      <c r="I2418" s="7">
        <v>11.7234</v>
      </c>
      <c r="J2418" s="7">
        <v>11.7645</v>
      </c>
      <c r="K2418" s="7">
        <v>11.784599999999999</v>
      </c>
      <c r="L2418" s="7">
        <v>11.7935</v>
      </c>
      <c r="M2418" s="7">
        <v>11.8055</v>
      </c>
      <c r="N2418" s="7">
        <v>11.812900000000001</v>
      </c>
      <c r="O2418" s="7">
        <v>11.8192</v>
      </c>
      <c r="P2418" s="7">
        <v>11.8216</v>
      </c>
      <c r="Q2418" s="7">
        <v>11.8264</v>
      </c>
    </row>
    <row r="2419" spans="1:17">
      <c r="A2419" s="5">
        <v>44985</v>
      </c>
      <c r="B2419" s="5" t="str">
        <f t="shared" si="37"/>
        <v>2023 q1</v>
      </c>
      <c r="C2419" s="7">
        <v>10.936</v>
      </c>
      <c r="D2419" s="7">
        <v>11.032500000000001</v>
      </c>
      <c r="E2419" s="7">
        <v>11.2316</v>
      </c>
      <c r="F2419" s="7">
        <v>11.4869</v>
      </c>
      <c r="G2419" s="7">
        <v>11.5344</v>
      </c>
      <c r="H2419" s="7">
        <v>11.5715</v>
      </c>
      <c r="I2419" s="7">
        <v>11.7197</v>
      </c>
      <c r="J2419" s="7">
        <v>11.7598</v>
      </c>
      <c r="K2419" s="7">
        <v>11.778</v>
      </c>
      <c r="L2419" s="7">
        <v>11.786</v>
      </c>
      <c r="M2419" s="7">
        <v>11.796900000000001</v>
      </c>
      <c r="N2419" s="7">
        <v>11.8035</v>
      </c>
      <c r="O2419" s="7">
        <v>11.809200000000001</v>
      </c>
      <c r="P2419" s="7">
        <v>11.811400000000001</v>
      </c>
      <c r="Q2419" s="7">
        <v>11.815799999999999</v>
      </c>
    </row>
    <row r="2420" spans="1:17">
      <c r="A2420" s="5">
        <v>44986</v>
      </c>
      <c r="B2420" s="5" t="str">
        <f t="shared" si="37"/>
        <v>2023 q1</v>
      </c>
      <c r="C2420" s="7">
        <v>11.234</v>
      </c>
      <c r="D2420" s="7">
        <v>11.2464</v>
      </c>
      <c r="E2420" s="7">
        <v>11.272</v>
      </c>
      <c r="F2420" s="7">
        <v>11.3096</v>
      </c>
      <c r="G2420" s="7">
        <v>11.344200000000001</v>
      </c>
      <c r="H2420" s="7">
        <v>11.3786</v>
      </c>
      <c r="I2420" s="7">
        <v>11.4991</v>
      </c>
      <c r="J2420" s="7">
        <v>11.589600000000001</v>
      </c>
      <c r="K2420" s="7">
        <v>11.674799999999999</v>
      </c>
      <c r="L2420" s="7">
        <v>11.7286</v>
      </c>
      <c r="M2420" s="7">
        <v>11.8148</v>
      </c>
      <c r="N2420" s="7">
        <v>11.8383</v>
      </c>
      <c r="O2420" s="7">
        <v>11.7674</v>
      </c>
      <c r="P2420" s="7">
        <v>11.602</v>
      </c>
      <c r="Q2420" s="7">
        <v>11.2713</v>
      </c>
    </row>
    <row r="2421" spans="1:17">
      <c r="A2421" s="5">
        <v>44987</v>
      </c>
      <c r="B2421" s="5" t="str">
        <f t="shared" si="37"/>
        <v>2023 q1</v>
      </c>
      <c r="C2421" s="7">
        <v>10.8428</v>
      </c>
      <c r="D2421" s="7">
        <v>10.971399999999999</v>
      </c>
      <c r="E2421" s="7">
        <v>11.2369</v>
      </c>
      <c r="F2421" s="7">
        <v>11.5154</v>
      </c>
      <c r="G2421" s="7">
        <v>11.5473</v>
      </c>
      <c r="H2421" s="7">
        <v>11.5732</v>
      </c>
      <c r="I2421" s="7">
        <v>11.6767</v>
      </c>
      <c r="J2421" s="7">
        <v>11.6968</v>
      </c>
      <c r="K2421" s="7">
        <v>11.700699999999999</v>
      </c>
      <c r="L2421" s="7">
        <v>11.702299999999999</v>
      </c>
      <c r="M2421" s="7">
        <v>11.704599999999999</v>
      </c>
      <c r="N2421" s="7">
        <v>11.706</v>
      </c>
      <c r="O2421" s="7">
        <v>11.707100000000001</v>
      </c>
      <c r="P2421" s="7">
        <v>11.707599999999999</v>
      </c>
      <c r="Q2421" s="7">
        <v>11.708500000000001</v>
      </c>
    </row>
    <row r="2422" spans="1:17">
      <c r="A2422" s="5">
        <v>44988</v>
      </c>
      <c r="B2422" s="5" t="str">
        <f t="shared" si="37"/>
        <v>2023 q1</v>
      </c>
      <c r="C2422" s="7">
        <v>10.842499999999999</v>
      </c>
      <c r="D2422" s="7">
        <v>10.9727</v>
      </c>
      <c r="E2422" s="7">
        <v>11.2416</v>
      </c>
      <c r="F2422" s="7">
        <v>11.522500000000001</v>
      </c>
      <c r="G2422" s="7">
        <v>11.551399999999999</v>
      </c>
      <c r="H2422" s="7">
        <v>11.5763</v>
      </c>
      <c r="I2422" s="7">
        <v>11.675599999999999</v>
      </c>
      <c r="J2422" s="7">
        <v>11.692399999999999</v>
      </c>
      <c r="K2422" s="7">
        <v>11.6936</v>
      </c>
      <c r="L2422" s="7">
        <v>11.694000000000001</v>
      </c>
      <c r="M2422" s="7">
        <v>11.694599999999999</v>
      </c>
      <c r="N2422" s="7">
        <v>11.695</v>
      </c>
      <c r="O2422" s="7">
        <v>11.6953</v>
      </c>
      <c r="P2422" s="7">
        <v>11.695399999999999</v>
      </c>
      <c r="Q2422" s="7">
        <v>11.6957</v>
      </c>
    </row>
    <row r="2423" spans="1:17">
      <c r="A2423" s="5">
        <v>44991</v>
      </c>
      <c r="B2423" s="5" t="str">
        <f t="shared" si="37"/>
        <v>2023 q1</v>
      </c>
      <c r="C2423" s="7">
        <v>10.8447</v>
      </c>
      <c r="D2423" s="7">
        <v>10.975899999999999</v>
      </c>
      <c r="E2423" s="7">
        <v>11.2468</v>
      </c>
      <c r="F2423" s="7">
        <v>11.525499999999999</v>
      </c>
      <c r="G2423" s="7">
        <v>11.5503</v>
      </c>
      <c r="H2423" s="7">
        <v>11.5731</v>
      </c>
      <c r="I2423" s="7">
        <v>11.664199999999999</v>
      </c>
      <c r="J2423" s="7">
        <v>11.678000000000001</v>
      </c>
      <c r="K2423" s="7">
        <v>11.6775</v>
      </c>
      <c r="L2423" s="7">
        <v>11.677300000000001</v>
      </c>
      <c r="M2423" s="7">
        <v>11.6769</v>
      </c>
      <c r="N2423" s="7">
        <v>11.6767</v>
      </c>
      <c r="O2423" s="7">
        <v>11.676500000000001</v>
      </c>
      <c r="P2423" s="7">
        <v>11.676500000000001</v>
      </c>
      <c r="Q2423" s="7">
        <v>11.676299999999999</v>
      </c>
    </row>
    <row r="2424" spans="1:17">
      <c r="A2424" s="5">
        <v>44992</v>
      </c>
      <c r="B2424" s="5" t="str">
        <f t="shared" si="37"/>
        <v>2023 q1</v>
      </c>
      <c r="C2424" s="7">
        <v>10.983700000000001</v>
      </c>
      <c r="D2424" s="7">
        <v>11.0663</v>
      </c>
      <c r="E2424" s="7">
        <v>11.2369</v>
      </c>
      <c r="F2424" s="7">
        <v>11.4884</v>
      </c>
      <c r="G2424" s="7">
        <v>11.5343</v>
      </c>
      <c r="H2424" s="7">
        <v>11.5794</v>
      </c>
      <c r="I2424" s="7">
        <v>11.6218</v>
      </c>
      <c r="J2424" s="7">
        <v>11.636699999999999</v>
      </c>
      <c r="K2424" s="7">
        <v>11.646800000000001</v>
      </c>
      <c r="L2424" s="7">
        <v>11.6511</v>
      </c>
      <c r="M2424" s="7">
        <v>11.6571</v>
      </c>
      <c r="N2424" s="7">
        <v>11.6607</v>
      </c>
      <c r="O2424" s="7">
        <v>11.6638</v>
      </c>
      <c r="P2424" s="7">
        <v>11.664999999999999</v>
      </c>
      <c r="Q2424" s="7">
        <v>11.667400000000001</v>
      </c>
    </row>
    <row r="2425" spans="1:17">
      <c r="A2425" s="5">
        <v>44994</v>
      </c>
      <c r="B2425" s="5" t="str">
        <f t="shared" si="37"/>
        <v>2023 q1</v>
      </c>
      <c r="C2425" s="7">
        <v>11.0222</v>
      </c>
      <c r="D2425" s="7">
        <v>11.0893</v>
      </c>
      <c r="E2425" s="7">
        <v>11.2278</v>
      </c>
      <c r="F2425" s="7">
        <v>11.430999999999999</v>
      </c>
      <c r="G2425" s="7">
        <v>11.4971</v>
      </c>
      <c r="H2425" s="7">
        <v>11.561500000000001</v>
      </c>
      <c r="I2425" s="7">
        <v>11.6289</v>
      </c>
      <c r="J2425" s="7">
        <v>11.6526</v>
      </c>
      <c r="K2425" s="7">
        <v>11.668799999999999</v>
      </c>
      <c r="L2425" s="7">
        <v>11.675599999999999</v>
      </c>
      <c r="M2425" s="7">
        <v>11.6852</v>
      </c>
      <c r="N2425" s="7">
        <v>11.690899999999999</v>
      </c>
      <c r="O2425" s="7">
        <v>11.6959</v>
      </c>
      <c r="P2425" s="7">
        <v>11.697800000000001</v>
      </c>
      <c r="Q2425" s="7">
        <v>11.701700000000001</v>
      </c>
    </row>
    <row r="2426" spans="1:17">
      <c r="A2426" s="5">
        <v>44995</v>
      </c>
      <c r="B2426" s="5" t="str">
        <f t="shared" si="37"/>
        <v>2023 q1</v>
      </c>
      <c r="C2426" s="7">
        <v>11.0688</v>
      </c>
      <c r="D2426" s="7">
        <v>11.1175</v>
      </c>
      <c r="E2426" s="7">
        <v>11.2181</v>
      </c>
      <c r="F2426" s="7">
        <v>11.364599999999999</v>
      </c>
      <c r="G2426" s="7">
        <v>11.4352</v>
      </c>
      <c r="H2426" s="7">
        <v>11.503299999999999</v>
      </c>
      <c r="I2426" s="7">
        <v>11.596299999999999</v>
      </c>
      <c r="J2426" s="7">
        <v>11.629799999999999</v>
      </c>
      <c r="K2426" s="7">
        <v>11.653600000000001</v>
      </c>
      <c r="L2426" s="7">
        <v>11.663600000000001</v>
      </c>
      <c r="M2426" s="7">
        <v>11.6775</v>
      </c>
      <c r="N2426" s="7">
        <v>11.686</v>
      </c>
      <c r="O2426" s="7">
        <v>11.693300000000001</v>
      </c>
      <c r="P2426" s="7">
        <v>11.696099999999999</v>
      </c>
      <c r="Q2426" s="7">
        <v>11.701700000000001</v>
      </c>
    </row>
    <row r="2427" spans="1:17">
      <c r="A2427" s="5">
        <v>44998</v>
      </c>
      <c r="B2427" s="5" t="str">
        <f t="shared" si="37"/>
        <v>2023 q1</v>
      </c>
      <c r="C2427" s="7">
        <v>11.047000000000001</v>
      </c>
      <c r="D2427" s="7">
        <v>11.1037</v>
      </c>
      <c r="E2427" s="7">
        <v>11.220800000000001</v>
      </c>
      <c r="F2427" s="7">
        <v>11.3895</v>
      </c>
      <c r="G2427" s="7">
        <v>11.458600000000001</v>
      </c>
      <c r="H2427" s="7">
        <v>11.5244</v>
      </c>
      <c r="I2427" s="7">
        <v>11.6035</v>
      </c>
      <c r="J2427" s="7">
        <v>11.631</v>
      </c>
      <c r="K2427" s="7">
        <v>11.6503</v>
      </c>
      <c r="L2427" s="7">
        <v>11.658300000000001</v>
      </c>
      <c r="M2427" s="7">
        <v>11.669600000000001</v>
      </c>
      <c r="N2427" s="7">
        <v>11.676399999999999</v>
      </c>
      <c r="O2427" s="7">
        <v>11.6823</v>
      </c>
      <c r="P2427" s="7">
        <v>11.6846</v>
      </c>
      <c r="Q2427" s="7">
        <v>11.6891</v>
      </c>
    </row>
    <row r="2428" spans="1:17">
      <c r="A2428" s="5">
        <v>44999</v>
      </c>
      <c r="B2428" s="5" t="str">
        <f t="shared" si="37"/>
        <v>2023 q1</v>
      </c>
      <c r="C2428" s="7">
        <v>11.001300000000001</v>
      </c>
      <c r="D2428" s="7">
        <v>11.085900000000001</v>
      </c>
      <c r="E2428" s="7">
        <v>11.2606</v>
      </c>
      <c r="F2428" s="7">
        <v>11.505000000000001</v>
      </c>
      <c r="G2428" s="7">
        <v>11.5626</v>
      </c>
      <c r="H2428" s="7">
        <v>11.5868</v>
      </c>
      <c r="I2428" s="7">
        <v>11.631600000000001</v>
      </c>
      <c r="J2428" s="7">
        <v>11.645899999999999</v>
      </c>
      <c r="K2428" s="7">
        <v>11.6557</v>
      </c>
      <c r="L2428" s="7">
        <v>11.659700000000001</v>
      </c>
      <c r="M2428" s="7">
        <v>11.6654</v>
      </c>
      <c r="N2428" s="7">
        <v>11.668799999999999</v>
      </c>
      <c r="O2428" s="7">
        <v>11.671799999999999</v>
      </c>
      <c r="P2428" s="7">
        <v>11.673</v>
      </c>
      <c r="Q2428" s="7">
        <v>11.6752</v>
      </c>
    </row>
    <row r="2429" spans="1:17">
      <c r="A2429" s="5">
        <v>45000</v>
      </c>
      <c r="B2429" s="5" t="str">
        <f t="shared" si="37"/>
        <v>2023 q1</v>
      </c>
      <c r="C2429" s="7">
        <v>10.8209</v>
      </c>
      <c r="D2429" s="7">
        <v>10.9374</v>
      </c>
      <c r="E2429" s="7">
        <v>11.1777</v>
      </c>
      <c r="F2429" s="7">
        <v>11.508599999999999</v>
      </c>
      <c r="G2429" s="7">
        <v>11.5688</v>
      </c>
      <c r="H2429" s="7">
        <v>11.5937</v>
      </c>
      <c r="I2429" s="7">
        <v>11.6403</v>
      </c>
      <c r="J2429" s="7">
        <v>11.654999999999999</v>
      </c>
      <c r="K2429" s="7">
        <v>11.665100000000001</v>
      </c>
      <c r="L2429" s="7">
        <v>11.6693</v>
      </c>
      <c r="M2429" s="7">
        <v>11.6751</v>
      </c>
      <c r="N2429" s="7">
        <v>11.678699999999999</v>
      </c>
      <c r="O2429" s="7">
        <v>11.681699999999999</v>
      </c>
      <c r="P2429" s="7">
        <v>11.6829</v>
      </c>
      <c r="Q2429" s="7">
        <v>11.6853</v>
      </c>
    </row>
    <row r="2430" spans="1:17">
      <c r="A2430" s="5">
        <v>45001</v>
      </c>
      <c r="B2430" s="5" t="str">
        <f t="shared" si="37"/>
        <v>2023 q1</v>
      </c>
      <c r="C2430" s="7">
        <v>10.824400000000001</v>
      </c>
      <c r="D2430" s="7">
        <v>10.9415</v>
      </c>
      <c r="E2430" s="7">
        <v>11.183299999999999</v>
      </c>
      <c r="F2430" s="7">
        <v>11.514799999999999</v>
      </c>
      <c r="G2430" s="7">
        <v>11.5837</v>
      </c>
      <c r="H2430" s="7">
        <v>11.612299999999999</v>
      </c>
      <c r="I2430" s="7">
        <v>11.6661</v>
      </c>
      <c r="J2430" s="7">
        <v>11.683</v>
      </c>
      <c r="K2430" s="7">
        <v>11.694699999999999</v>
      </c>
      <c r="L2430" s="7">
        <v>11.699400000000001</v>
      </c>
      <c r="M2430" s="7">
        <v>11.706200000000001</v>
      </c>
      <c r="N2430" s="7">
        <v>11.7103</v>
      </c>
      <c r="O2430" s="7">
        <v>11.713800000000001</v>
      </c>
      <c r="P2430" s="7">
        <v>11.715199999999999</v>
      </c>
      <c r="Q2430" s="7">
        <v>11.7179</v>
      </c>
    </row>
    <row r="2431" spans="1:17">
      <c r="A2431" s="5">
        <v>45002</v>
      </c>
      <c r="B2431" s="5" t="str">
        <f t="shared" si="37"/>
        <v>2023 q1</v>
      </c>
      <c r="C2431" s="7">
        <v>10.8286</v>
      </c>
      <c r="D2431" s="7">
        <v>10.945399999999999</v>
      </c>
      <c r="E2431" s="7">
        <v>11.186500000000001</v>
      </c>
      <c r="F2431" s="7">
        <v>11.513199999999999</v>
      </c>
      <c r="G2431" s="7">
        <v>11.576499999999999</v>
      </c>
      <c r="H2431" s="7">
        <v>11.602600000000001</v>
      </c>
      <c r="I2431" s="7">
        <v>11.652200000000001</v>
      </c>
      <c r="J2431" s="7">
        <v>11.6677</v>
      </c>
      <c r="K2431" s="7">
        <v>11.6784</v>
      </c>
      <c r="L2431" s="7">
        <v>11.682700000000001</v>
      </c>
      <c r="M2431" s="7">
        <v>11.6889</v>
      </c>
      <c r="N2431" s="7">
        <v>11.6927</v>
      </c>
      <c r="O2431" s="7">
        <v>11.6959</v>
      </c>
      <c r="P2431" s="7">
        <v>11.6972</v>
      </c>
      <c r="Q2431" s="7">
        <v>11.6997</v>
      </c>
    </row>
    <row r="2432" spans="1:17">
      <c r="A2432" s="5">
        <v>45005</v>
      </c>
      <c r="B2432" s="5" t="str">
        <f t="shared" si="37"/>
        <v>2023 q1</v>
      </c>
      <c r="C2432" s="7">
        <v>10.831099999999999</v>
      </c>
      <c r="D2432" s="7">
        <v>10.9488</v>
      </c>
      <c r="E2432" s="7">
        <v>11.1919</v>
      </c>
      <c r="F2432" s="7">
        <v>11.5176</v>
      </c>
      <c r="G2432" s="7">
        <v>11.5768</v>
      </c>
      <c r="H2432" s="7">
        <v>11.601000000000001</v>
      </c>
      <c r="I2432" s="7">
        <v>11.647399999999999</v>
      </c>
      <c r="J2432" s="7">
        <v>11.6617</v>
      </c>
      <c r="K2432" s="7">
        <v>11.6717</v>
      </c>
      <c r="L2432" s="7">
        <v>11.675700000000001</v>
      </c>
      <c r="M2432" s="7">
        <v>11.6815</v>
      </c>
      <c r="N2432" s="7">
        <v>11.685</v>
      </c>
      <c r="O2432" s="7">
        <v>11.688000000000001</v>
      </c>
      <c r="P2432" s="7">
        <v>11.6891</v>
      </c>
      <c r="Q2432" s="7">
        <v>11.6915</v>
      </c>
    </row>
    <row r="2433" spans="1:17">
      <c r="A2433" s="5">
        <v>45006</v>
      </c>
      <c r="B2433" s="5" t="str">
        <f t="shared" si="37"/>
        <v>2023 q1</v>
      </c>
      <c r="C2433" s="7">
        <v>10.880599999999999</v>
      </c>
      <c r="D2433" s="7">
        <v>10.973699999999999</v>
      </c>
      <c r="E2433" s="7">
        <v>11.165800000000001</v>
      </c>
      <c r="F2433" s="7">
        <v>11.4261</v>
      </c>
      <c r="G2433" s="7">
        <v>11.5524</v>
      </c>
      <c r="H2433" s="7">
        <v>11.6052</v>
      </c>
      <c r="I2433" s="7">
        <v>11.694800000000001</v>
      </c>
      <c r="J2433" s="7">
        <v>11.7003</v>
      </c>
      <c r="K2433" s="7">
        <v>11.695399999999999</v>
      </c>
      <c r="L2433" s="7">
        <v>11.6921</v>
      </c>
      <c r="M2433" s="7">
        <v>11.6866</v>
      </c>
      <c r="N2433" s="7">
        <v>11.6831</v>
      </c>
      <c r="O2433" s="7">
        <v>11.680199999999999</v>
      </c>
      <c r="P2433" s="7">
        <v>11.679</v>
      </c>
      <c r="Q2433" s="7">
        <v>11.6768</v>
      </c>
    </row>
    <row r="2434" spans="1:17">
      <c r="A2434" s="5">
        <v>45007</v>
      </c>
      <c r="B2434" s="5" t="str">
        <f t="shared" si="37"/>
        <v>2023 q1</v>
      </c>
      <c r="C2434" s="7">
        <v>10.8874</v>
      </c>
      <c r="D2434" s="7">
        <v>10.980499999999999</v>
      </c>
      <c r="E2434" s="7">
        <v>11.172800000000001</v>
      </c>
      <c r="F2434" s="7">
        <v>11.424899999999999</v>
      </c>
      <c r="G2434" s="7">
        <v>11.516400000000001</v>
      </c>
      <c r="H2434" s="7">
        <v>11.5564</v>
      </c>
      <c r="I2434" s="7">
        <v>11.635199999999999</v>
      </c>
      <c r="J2434" s="7">
        <v>11.6577</v>
      </c>
      <c r="K2434" s="7">
        <v>11.673500000000001</v>
      </c>
      <c r="L2434" s="7">
        <v>11.6797</v>
      </c>
      <c r="M2434" s="7">
        <v>11.688700000000001</v>
      </c>
      <c r="N2434" s="7">
        <v>11.6942</v>
      </c>
      <c r="O2434" s="7">
        <v>11.6989</v>
      </c>
      <c r="P2434" s="7">
        <v>11.700699999999999</v>
      </c>
      <c r="Q2434" s="7">
        <v>11.7043</v>
      </c>
    </row>
    <row r="2435" spans="1:17">
      <c r="A2435" s="5">
        <v>45008</v>
      </c>
      <c r="B2435" s="5" t="str">
        <f t="shared" ref="B2435:B2498" si="38">YEAR(A2435)&amp;" q"&amp;ROUNDUP(MONTH(A2435)/3,0)</f>
        <v>2023 q1</v>
      </c>
      <c r="C2435" s="7">
        <v>10.917299999999999</v>
      </c>
      <c r="D2435" s="7">
        <v>10.9977</v>
      </c>
      <c r="E2435" s="7">
        <v>11.1638</v>
      </c>
      <c r="F2435" s="7">
        <v>11.3878</v>
      </c>
      <c r="G2435" s="7">
        <v>11.5077</v>
      </c>
      <c r="H2435" s="7">
        <v>11.5672</v>
      </c>
      <c r="I2435" s="7">
        <v>11.7159</v>
      </c>
      <c r="J2435" s="7">
        <v>11.760300000000001</v>
      </c>
      <c r="K2435" s="7">
        <v>11.7925</v>
      </c>
      <c r="L2435" s="7">
        <v>11.805099999999999</v>
      </c>
      <c r="M2435" s="7">
        <v>11.823499999999999</v>
      </c>
      <c r="N2435" s="7">
        <v>11.8347</v>
      </c>
      <c r="O2435" s="7">
        <v>11.8444</v>
      </c>
      <c r="P2435" s="7">
        <v>11.848699999999999</v>
      </c>
      <c r="Q2435" s="7">
        <v>11.8546</v>
      </c>
    </row>
    <row r="2436" spans="1:17">
      <c r="A2436" s="5">
        <v>45009</v>
      </c>
      <c r="B2436" s="5" t="str">
        <f t="shared" si="38"/>
        <v>2023 q1</v>
      </c>
      <c r="C2436" s="7">
        <v>10.883599999999999</v>
      </c>
      <c r="D2436" s="7">
        <v>10.980399999999999</v>
      </c>
      <c r="E2436" s="7">
        <v>11.180099999999999</v>
      </c>
      <c r="F2436" s="7">
        <v>11.438000000000001</v>
      </c>
      <c r="G2436" s="7">
        <v>11.535399999999999</v>
      </c>
      <c r="H2436" s="7">
        <v>11.5749</v>
      </c>
      <c r="I2436" s="7">
        <v>11.6517</v>
      </c>
      <c r="J2436" s="7">
        <v>11.671200000000001</v>
      </c>
      <c r="K2436" s="7">
        <v>11.6843</v>
      </c>
      <c r="L2436" s="7">
        <v>11.689399999999999</v>
      </c>
      <c r="M2436" s="7">
        <v>11.6968</v>
      </c>
      <c r="N2436" s="7">
        <v>11.7013</v>
      </c>
      <c r="O2436" s="7">
        <v>11.7052</v>
      </c>
      <c r="P2436" s="7">
        <v>11.7067</v>
      </c>
      <c r="Q2436" s="7">
        <v>11.7097</v>
      </c>
    </row>
    <row r="2437" spans="1:17">
      <c r="A2437" s="5">
        <v>45012</v>
      </c>
      <c r="B2437" s="5" t="str">
        <f t="shared" si="38"/>
        <v>2023 q1</v>
      </c>
      <c r="C2437" s="7">
        <v>10.8947</v>
      </c>
      <c r="D2437" s="7">
        <v>10.989699999999999</v>
      </c>
      <c r="E2437" s="7">
        <v>11.186</v>
      </c>
      <c r="F2437" s="7">
        <v>11.4361</v>
      </c>
      <c r="G2437" s="7">
        <v>11.5265</v>
      </c>
      <c r="H2437" s="7">
        <v>11.5634</v>
      </c>
      <c r="I2437" s="7">
        <v>11.6402</v>
      </c>
      <c r="J2437" s="7">
        <v>11.6615</v>
      </c>
      <c r="K2437" s="7">
        <v>11.6767</v>
      </c>
      <c r="L2437" s="7">
        <v>11.682600000000001</v>
      </c>
      <c r="M2437" s="7">
        <v>11.6913</v>
      </c>
      <c r="N2437" s="7">
        <v>11.6965</v>
      </c>
      <c r="O2437" s="7">
        <v>11.7011</v>
      </c>
      <c r="P2437" s="7">
        <v>11.7028</v>
      </c>
      <c r="Q2437" s="7">
        <v>11.706300000000001</v>
      </c>
    </row>
    <row r="2438" spans="1:17">
      <c r="A2438" s="5">
        <v>45013</v>
      </c>
      <c r="B2438" s="5" t="str">
        <f t="shared" si="38"/>
        <v>2023 q1</v>
      </c>
      <c r="C2438" s="7">
        <v>10.9415</v>
      </c>
      <c r="D2438" s="7">
        <v>11.008100000000001</v>
      </c>
      <c r="E2438" s="7">
        <v>11.1454</v>
      </c>
      <c r="F2438" s="7">
        <v>11.3238</v>
      </c>
      <c r="G2438" s="7">
        <v>11.4998</v>
      </c>
      <c r="H2438" s="7">
        <v>11.5558</v>
      </c>
      <c r="I2438" s="7">
        <v>11.648</v>
      </c>
      <c r="J2438" s="7">
        <v>11.6729</v>
      </c>
      <c r="K2438" s="7">
        <v>11.691000000000001</v>
      </c>
      <c r="L2438" s="7">
        <v>11.697900000000001</v>
      </c>
      <c r="M2438" s="7">
        <v>11.7081</v>
      </c>
      <c r="N2438" s="7">
        <v>11.714399999999999</v>
      </c>
      <c r="O2438" s="7">
        <v>11.7197</v>
      </c>
      <c r="P2438" s="7">
        <v>11.7218</v>
      </c>
      <c r="Q2438" s="7">
        <v>11.725899999999999</v>
      </c>
    </row>
    <row r="2439" spans="1:17">
      <c r="A2439" s="5">
        <v>45014</v>
      </c>
      <c r="B2439" s="5" t="str">
        <f t="shared" si="38"/>
        <v>2023 q1</v>
      </c>
      <c r="C2439" s="7">
        <v>10.9809</v>
      </c>
      <c r="D2439" s="7">
        <v>10.989599999999999</v>
      </c>
      <c r="E2439" s="7">
        <v>11.007400000000001</v>
      </c>
      <c r="F2439" s="7">
        <v>11.2372</v>
      </c>
      <c r="G2439" s="7">
        <v>11.482799999999999</v>
      </c>
      <c r="H2439" s="7">
        <v>11.5585</v>
      </c>
      <c r="I2439" s="7">
        <v>11.686400000000001</v>
      </c>
      <c r="J2439" s="7">
        <v>11.7279</v>
      </c>
      <c r="K2439" s="7">
        <v>11.7463</v>
      </c>
      <c r="L2439" s="7">
        <v>11.755100000000001</v>
      </c>
      <c r="M2439" s="7">
        <v>11.7692</v>
      </c>
      <c r="N2439" s="7">
        <v>11.778</v>
      </c>
      <c r="O2439" s="7">
        <v>11.7852</v>
      </c>
      <c r="P2439" s="7">
        <v>11.7881</v>
      </c>
      <c r="Q2439" s="7">
        <v>11.793799999999999</v>
      </c>
    </row>
    <row r="2440" spans="1:17">
      <c r="A2440" s="5">
        <v>45015</v>
      </c>
      <c r="B2440" s="5" t="str">
        <f t="shared" si="38"/>
        <v>2023 q1</v>
      </c>
      <c r="C2440" s="7">
        <v>10.971500000000001</v>
      </c>
      <c r="D2440" s="7">
        <v>10.9877</v>
      </c>
      <c r="E2440" s="7">
        <v>11.021100000000001</v>
      </c>
      <c r="F2440" s="7">
        <v>11.233599999999999</v>
      </c>
      <c r="G2440" s="7">
        <v>11.4567</v>
      </c>
      <c r="H2440" s="7">
        <v>11.523</v>
      </c>
      <c r="I2440" s="7">
        <v>11.638199999999999</v>
      </c>
      <c r="J2440" s="7">
        <v>11.6686</v>
      </c>
      <c r="K2440" s="7">
        <v>11.6911</v>
      </c>
      <c r="L2440" s="7">
        <v>11.700799999999999</v>
      </c>
      <c r="M2440" s="7">
        <v>11.712199999999999</v>
      </c>
      <c r="N2440" s="7">
        <v>11.719900000000001</v>
      </c>
      <c r="O2440" s="7">
        <v>11.7265</v>
      </c>
      <c r="P2440" s="7">
        <v>11.729100000000001</v>
      </c>
      <c r="Q2440" s="7">
        <v>11.7342</v>
      </c>
    </row>
    <row r="2441" spans="1:17">
      <c r="A2441" s="5">
        <v>45016</v>
      </c>
      <c r="B2441" s="5" t="str">
        <f t="shared" si="38"/>
        <v>2023 q1</v>
      </c>
      <c r="C2441" s="7">
        <v>10.975</v>
      </c>
      <c r="D2441" s="7">
        <v>10.989000000000001</v>
      </c>
      <c r="E2441" s="7">
        <v>11.018000000000001</v>
      </c>
      <c r="F2441" s="7">
        <v>11.2462</v>
      </c>
      <c r="G2441" s="7">
        <v>11.4842</v>
      </c>
      <c r="H2441" s="7">
        <v>11.5525</v>
      </c>
      <c r="I2441" s="7">
        <v>11.674300000000001</v>
      </c>
      <c r="J2441" s="7">
        <v>11.713100000000001</v>
      </c>
      <c r="K2441" s="7">
        <v>11.730399999999999</v>
      </c>
      <c r="L2441" s="7">
        <v>11.7387</v>
      </c>
      <c r="M2441" s="7">
        <v>11.752000000000001</v>
      </c>
      <c r="N2441" s="7">
        <v>11.760300000000001</v>
      </c>
      <c r="O2441" s="7">
        <v>11.767099999999999</v>
      </c>
      <c r="P2441" s="7">
        <v>11.7698</v>
      </c>
      <c r="Q2441" s="7">
        <v>11.7752</v>
      </c>
    </row>
    <row r="2442" spans="1:17">
      <c r="A2442" s="5">
        <v>45019</v>
      </c>
      <c r="B2442" s="5" t="str">
        <f t="shared" si="38"/>
        <v>2023 q2</v>
      </c>
      <c r="C2442" s="7">
        <v>10.9741</v>
      </c>
      <c r="D2442" s="7">
        <v>10.9886</v>
      </c>
      <c r="E2442" s="7">
        <v>11.0185</v>
      </c>
      <c r="F2442" s="7">
        <v>11.234999999999999</v>
      </c>
      <c r="G2442" s="7">
        <v>11.458399999999999</v>
      </c>
      <c r="H2442" s="7">
        <v>11.520099999999999</v>
      </c>
      <c r="I2442" s="7">
        <v>11.6335</v>
      </c>
      <c r="J2442" s="7">
        <v>11.662800000000001</v>
      </c>
      <c r="K2442" s="7">
        <v>11.684799999999999</v>
      </c>
      <c r="L2442" s="7">
        <v>11.693</v>
      </c>
      <c r="M2442" s="7">
        <v>11.705299999999999</v>
      </c>
      <c r="N2442" s="7">
        <v>11.712899999999999</v>
      </c>
      <c r="O2442" s="7">
        <v>11.7193</v>
      </c>
      <c r="P2442" s="7">
        <v>11.7218</v>
      </c>
      <c r="Q2442" s="7">
        <v>11.726800000000001</v>
      </c>
    </row>
    <row r="2443" spans="1:17">
      <c r="A2443" s="5">
        <v>45020</v>
      </c>
      <c r="B2443" s="5" t="str">
        <f t="shared" si="38"/>
        <v>2023 q2</v>
      </c>
      <c r="C2443" s="7">
        <v>10.567399999999999</v>
      </c>
      <c r="D2443" s="7">
        <v>10.695600000000001</v>
      </c>
      <c r="E2443" s="7">
        <v>10.9603</v>
      </c>
      <c r="F2443" s="7">
        <v>11.2904</v>
      </c>
      <c r="G2443" s="7">
        <v>11.4816</v>
      </c>
      <c r="H2443" s="7">
        <v>11.578200000000001</v>
      </c>
      <c r="I2443" s="7">
        <v>11.6648</v>
      </c>
      <c r="J2443" s="7">
        <v>11.6797</v>
      </c>
      <c r="K2443" s="7">
        <v>11.6892</v>
      </c>
      <c r="L2443" s="7">
        <v>11.692299999999999</v>
      </c>
      <c r="M2443" s="7">
        <v>11.696899999999999</v>
      </c>
      <c r="N2443" s="7">
        <v>11.6997</v>
      </c>
      <c r="O2443" s="7">
        <v>11.7021</v>
      </c>
      <c r="P2443" s="7">
        <v>11.703099999999999</v>
      </c>
      <c r="Q2443" s="7">
        <v>11.7049</v>
      </c>
    </row>
    <row r="2444" spans="1:17">
      <c r="A2444" s="5">
        <v>45021</v>
      </c>
      <c r="B2444" s="5" t="str">
        <f t="shared" si="38"/>
        <v>2023 q2</v>
      </c>
      <c r="C2444" s="7">
        <v>9.9885999999999999</v>
      </c>
      <c r="D2444" s="7">
        <v>10.3369</v>
      </c>
      <c r="E2444" s="7">
        <v>11.055999999999999</v>
      </c>
      <c r="F2444" s="7">
        <v>11.455</v>
      </c>
      <c r="G2444" s="7">
        <v>11.5571</v>
      </c>
      <c r="H2444" s="7">
        <v>11.6561</v>
      </c>
      <c r="I2444" s="7">
        <v>11.679500000000001</v>
      </c>
      <c r="J2444" s="7">
        <v>11.6882</v>
      </c>
      <c r="K2444" s="7">
        <v>11.692299999999999</v>
      </c>
      <c r="L2444" s="7">
        <v>11.6942</v>
      </c>
      <c r="M2444" s="7">
        <v>11.6974</v>
      </c>
      <c r="N2444" s="7">
        <v>11.699400000000001</v>
      </c>
      <c r="O2444" s="7">
        <v>11.701000000000001</v>
      </c>
      <c r="P2444" s="7">
        <v>11.701599999999999</v>
      </c>
      <c r="Q2444" s="7">
        <v>11.7029</v>
      </c>
    </row>
    <row r="2445" spans="1:17">
      <c r="A2445" s="5">
        <v>45022</v>
      </c>
      <c r="B2445" s="5" t="str">
        <f t="shared" si="38"/>
        <v>2023 q2</v>
      </c>
      <c r="C2445" s="7">
        <v>9.9968000000000004</v>
      </c>
      <c r="D2445" s="7">
        <v>10.3461</v>
      </c>
      <c r="E2445" s="7">
        <v>11.067399999999999</v>
      </c>
      <c r="F2445" s="7">
        <v>11.4594</v>
      </c>
      <c r="G2445" s="7">
        <v>11.5656</v>
      </c>
      <c r="H2445" s="7">
        <v>11.6675</v>
      </c>
      <c r="I2445" s="7">
        <v>11.6959</v>
      </c>
      <c r="J2445" s="7">
        <v>11.7064</v>
      </c>
      <c r="K2445" s="7">
        <v>11.7113</v>
      </c>
      <c r="L2445" s="7">
        <v>11.7136</v>
      </c>
      <c r="M2445" s="7">
        <v>11.717499999999999</v>
      </c>
      <c r="N2445" s="7">
        <v>11.719900000000001</v>
      </c>
      <c r="O2445" s="7">
        <v>11.7218</v>
      </c>
      <c r="P2445" s="7">
        <v>11.7226</v>
      </c>
      <c r="Q2445" s="7">
        <v>11.7241</v>
      </c>
    </row>
    <row r="2446" spans="1:17">
      <c r="A2446" s="5">
        <v>45023</v>
      </c>
      <c r="B2446" s="5" t="str">
        <f t="shared" si="38"/>
        <v>2023 q2</v>
      </c>
      <c r="C2446" s="7">
        <v>9.9871999999999996</v>
      </c>
      <c r="D2446" s="7">
        <v>10.3432</v>
      </c>
      <c r="E2446" s="7">
        <v>11.078200000000001</v>
      </c>
      <c r="F2446" s="7">
        <v>11.4581</v>
      </c>
      <c r="G2446" s="7">
        <v>11.554399999999999</v>
      </c>
      <c r="H2446" s="7">
        <v>11.645799999999999</v>
      </c>
      <c r="I2446" s="7">
        <v>11.6637</v>
      </c>
      <c r="J2446" s="7">
        <v>11.668900000000001</v>
      </c>
      <c r="K2446" s="7">
        <v>11.673299999999999</v>
      </c>
      <c r="L2446" s="7">
        <v>11.674799999999999</v>
      </c>
      <c r="M2446" s="7">
        <v>11.677199999999999</v>
      </c>
      <c r="N2446" s="7">
        <v>11.678699999999999</v>
      </c>
      <c r="O2446" s="7">
        <v>11.68</v>
      </c>
      <c r="P2446" s="7">
        <v>11.6805</v>
      </c>
      <c r="Q2446" s="7">
        <v>11.6814</v>
      </c>
    </row>
    <row r="2447" spans="1:17">
      <c r="A2447" s="5">
        <v>45026</v>
      </c>
      <c r="B2447" s="5" t="str">
        <f t="shared" si="38"/>
        <v>2023 q2</v>
      </c>
      <c r="C2447" s="7">
        <v>10.0191</v>
      </c>
      <c r="D2447" s="7">
        <v>10.368499999999999</v>
      </c>
      <c r="E2447" s="7">
        <v>11.0898</v>
      </c>
      <c r="F2447" s="7">
        <v>11.4589</v>
      </c>
      <c r="G2447" s="7">
        <v>11.5631</v>
      </c>
      <c r="H2447" s="7">
        <v>11.661</v>
      </c>
      <c r="I2447" s="7">
        <v>11.6899</v>
      </c>
      <c r="J2447" s="7">
        <v>11.6982</v>
      </c>
      <c r="K2447" s="7">
        <v>11.7051</v>
      </c>
      <c r="L2447" s="7">
        <v>11.707599999999999</v>
      </c>
      <c r="M2447" s="7">
        <v>11.711499999999999</v>
      </c>
      <c r="N2447" s="7">
        <v>11.713900000000001</v>
      </c>
      <c r="O2447" s="7">
        <v>11.7159</v>
      </c>
      <c r="P2447" s="7">
        <v>11.716699999999999</v>
      </c>
      <c r="Q2447" s="7">
        <v>11.7182</v>
      </c>
    </row>
    <row r="2448" spans="1:17">
      <c r="A2448" s="5">
        <v>45027</v>
      </c>
      <c r="B2448" s="5" t="str">
        <f t="shared" si="38"/>
        <v>2023 q2</v>
      </c>
      <c r="C2448" s="7">
        <v>10.011100000000001</v>
      </c>
      <c r="D2448" s="7">
        <v>10.374499999999999</v>
      </c>
      <c r="E2448" s="7">
        <v>11.124599999999999</v>
      </c>
      <c r="F2448" s="7">
        <v>11.4618</v>
      </c>
      <c r="G2448" s="7">
        <v>11.5532</v>
      </c>
      <c r="H2448" s="7">
        <v>11.636100000000001</v>
      </c>
      <c r="I2448" s="7">
        <v>11.6526</v>
      </c>
      <c r="J2448" s="7">
        <v>11.6572</v>
      </c>
      <c r="K2448" s="7">
        <v>11.661199999999999</v>
      </c>
      <c r="L2448" s="7">
        <v>11.662599999999999</v>
      </c>
      <c r="M2448" s="7">
        <v>11.6648</v>
      </c>
      <c r="N2448" s="7">
        <v>11.6661</v>
      </c>
      <c r="O2448" s="7">
        <v>11.667199999999999</v>
      </c>
      <c r="P2448" s="7">
        <v>11.6677</v>
      </c>
      <c r="Q2448" s="7">
        <v>11.6686</v>
      </c>
    </row>
    <row r="2449" spans="1:17">
      <c r="A2449" s="5">
        <v>45028</v>
      </c>
      <c r="B2449" s="5" t="str">
        <f t="shared" si="38"/>
        <v>2023 q2</v>
      </c>
      <c r="C2449" s="7">
        <v>9.9632000000000005</v>
      </c>
      <c r="D2449" s="7">
        <v>10.3462</v>
      </c>
      <c r="E2449" s="7">
        <v>11.136799999999999</v>
      </c>
      <c r="F2449" s="7">
        <v>11.475</v>
      </c>
      <c r="G2449" s="7">
        <v>11.5648</v>
      </c>
      <c r="H2449" s="7">
        <v>11.645</v>
      </c>
      <c r="I2449" s="7">
        <v>11.6556</v>
      </c>
      <c r="J2449" s="7">
        <v>11.6586</v>
      </c>
      <c r="K2449" s="7">
        <v>11.661099999999999</v>
      </c>
      <c r="L2449" s="7">
        <v>11.662000000000001</v>
      </c>
      <c r="M2449" s="7">
        <v>11.663399999999999</v>
      </c>
      <c r="N2449" s="7">
        <v>11.664199999999999</v>
      </c>
      <c r="O2449" s="7">
        <v>11.664999999999999</v>
      </c>
      <c r="P2449" s="7">
        <v>11.6652</v>
      </c>
      <c r="Q2449" s="7">
        <v>11.665800000000001</v>
      </c>
    </row>
    <row r="2450" spans="1:17">
      <c r="A2450" s="5">
        <v>45029</v>
      </c>
      <c r="B2450" s="5" t="str">
        <f t="shared" si="38"/>
        <v>2023 q2</v>
      </c>
      <c r="C2450" s="7">
        <v>10.033200000000001</v>
      </c>
      <c r="D2450" s="7">
        <v>10.3972</v>
      </c>
      <c r="E2450" s="7">
        <v>11.1486</v>
      </c>
      <c r="F2450" s="7">
        <v>11.465299999999999</v>
      </c>
      <c r="G2450" s="7">
        <v>11.559200000000001</v>
      </c>
      <c r="H2450" s="7">
        <v>11.6425</v>
      </c>
      <c r="I2450" s="7">
        <v>11.6637</v>
      </c>
      <c r="J2450" s="7">
        <v>11.669499999999999</v>
      </c>
      <c r="K2450" s="7">
        <v>11.6746</v>
      </c>
      <c r="L2450" s="7">
        <v>11.676399999999999</v>
      </c>
      <c r="M2450" s="7">
        <v>11.6792</v>
      </c>
      <c r="N2450" s="7">
        <v>11.680899999999999</v>
      </c>
      <c r="O2450" s="7">
        <v>11.6823</v>
      </c>
      <c r="P2450" s="7">
        <v>11.6829</v>
      </c>
      <c r="Q2450" s="7">
        <v>11.6838</v>
      </c>
    </row>
    <row r="2451" spans="1:17">
      <c r="A2451" s="5">
        <v>45030</v>
      </c>
      <c r="B2451" s="5" t="str">
        <f t="shared" si="38"/>
        <v>2023 q2</v>
      </c>
      <c r="C2451" s="7">
        <v>9.9651999999999994</v>
      </c>
      <c r="D2451" s="7">
        <v>10.3561</v>
      </c>
      <c r="E2451" s="7">
        <v>11.163</v>
      </c>
      <c r="F2451" s="7">
        <v>11.479799999999999</v>
      </c>
      <c r="G2451" s="7">
        <v>11.567</v>
      </c>
      <c r="H2451" s="7">
        <v>11.643000000000001</v>
      </c>
      <c r="I2451" s="7">
        <v>11.651999999999999</v>
      </c>
      <c r="J2451" s="7">
        <v>11.654500000000001</v>
      </c>
      <c r="K2451" s="7">
        <v>11.656599999999999</v>
      </c>
      <c r="L2451" s="7">
        <v>11.657400000000001</v>
      </c>
      <c r="M2451" s="7">
        <v>11.6585</v>
      </c>
      <c r="N2451" s="7">
        <v>11.6593</v>
      </c>
      <c r="O2451" s="7">
        <v>11.6599</v>
      </c>
      <c r="P2451" s="7">
        <v>11.6601</v>
      </c>
      <c r="Q2451" s="7">
        <v>11.660600000000001</v>
      </c>
    </row>
    <row r="2452" spans="1:17">
      <c r="A2452" s="5">
        <v>45033</v>
      </c>
      <c r="B2452" s="5" t="str">
        <f t="shared" si="38"/>
        <v>2023 q2</v>
      </c>
      <c r="C2452" s="7">
        <v>9.9548000000000005</v>
      </c>
      <c r="D2452" s="7">
        <v>10.3535</v>
      </c>
      <c r="E2452" s="7">
        <v>11.176600000000001</v>
      </c>
      <c r="F2452" s="7">
        <v>11.482699999999999</v>
      </c>
      <c r="G2452" s="7">
        <v>11.566000000000001</v>
      </c>
      <c r="H2452" s="7">
        <v>11.637600000000001</v>
      </c>
      <c r="I2452" s="7">
        <v>11.6424</v>
      </c>
      <c r="J2452" s="7">
        <v>11.643700000000001</v>
      </c>
      <c r="K2452" s="7">
        <v>11.6449</v>
      </c>
      <c r="L2452" s="7">
        <v>11.645200000000001</v>
      </c>
      <c r="M2452" s="7">
        <v>11.645899999999999</v>
      </c>
      <c r="N2452" s="7">
        <v>11.6463</v>
      </c>
      <c r="O2452" s="7">
        <v>11.646599999999999</v>
      </c>
      <c r="P2452" s="7">
        <v>11.646699999999999</v>
      </c>
      <c r="Q2452" s="7">
        <v>11.647</v>
      </c>
    </row>
    <row r="2453" spans="1:17">
      <c r="A2453" s="5">
        <v>45034</v>
      </c>
      <c r="B2453" s="5" t="str">
        <f t="shared" si="38"/>
        <v>2023 q2</v>
      </c>
      <c r="C2453" s="7">
        <v>9.8882999999999992</v>
      </c>
      <c r="D2453" s="7">
        <v>10.3239</v>
      </c>
      <c r="E2453" s="7">
        <v>11.2232</v>
      </c>
      <c r="F2453" s="7">
        <v>11.5296</v>
      </c>
      <c r="G2453" s="7">
        <v>11.636799999999999</v>
      </c>
      <c r="H2453" s="7">
        <v>11.659800000000001</v>
      </c>
      <c r="I2453" s="7">
        <v>11.658899999999999</v>
      </c>
      <c r="J2453" s="7">
        <v>11.6587</v>
      </c>
      <c r="K2453" s="7">
        <v>11.6585</v>
      </c>
      <c r="L2453" s="7">
        <v>11.6584</v>
      </c>
      <c r="M2453" s="7">
        <v>11.658300000000001</v>
      </c>
      <c r="N2453" s="7">
        <v>11.658200000000001</v>
      </c>
      <c r="O2453" s="7">
        <v>11.658200000000001</v>
      </c>
      <c r="P2453" s="7">
        <v>11.658099999999999</v>
      </c>
      <c r="Q2453" s="7">
        <v>11.658099999999999</v>
      </c>
    </row>
    <row r="2454" spans="1:17">
      <c r="A2454" s="5">
        <v>45035</v>
      </c>
      <c r="B2454" s="5" t="str">
        <f t="shared" si="38"/>
        <v>2023 q2</v>
      </c>
      <c r="C2454" s="7">
        <v>10.6623</v>
      </c>
      <c r="D2454" s="7">
        <v>10.784800000000001</v>
      </c>
      <c r="E2454" s="7">
        <v>11.037599999999999</v>
      </c>
      <c r="F2454" s="7">
        <v>11.3057</v>
      </c>
      <c r="G2454" s="7">
        <v>11.457599999999999</v>
      </c>
      <c r="H2454" s="7">
        <v>11.5044</v>
      </c>
      <c r="I2454" s="7">
        <v>11.584</v>
      </c>
      <c r="J2454" s="7">
        <v>11.5931</v>
      </c>
      <c r="K2454" s="7">
        <v>11.600099999999999</v>
      </c>
      <c r="L2454" s="7">
        <v>11.6023</v>
      </c>
      <c r="M2454" s="7">
        <v>11.6059</v>
      </c>
      <c r="N2454" s="7">
        <v>11.6081</v>
      </c>
      <c r="O2454" s="7">
        <v>11.6099</v>
      </c>
      <c r="P2454" s="7">
        <v>11.6107</v>
      </c>
      <c r="Q2454" s="7">
        <v>11.6121</v>
      </c>
    </row>
    <row r="2455" spans="1:17">
      <c r="A2455" s="5">
        <v>45036</v>
      </c>
      <c r="B2455" s="5" t="str">
        <f t="shared" si="38"/>
        <v>2023 q2</v>
      </c>
      <c r="C2455" s="7">
        <v>10.633900000000001</v>
      </c>
      <c r="D2455" s="7">
        <v>10.7666</v>
      </c>
      <c r="E2455" s="7">
        <v>11.0404</v>
      </c>
      <c r="F2455" s="7">
        <v>11.320499999999999</v>
      </c>
      <c r="G2455" s="7">
        <v>11.469900000000001</v>
      </c>
      <c r="H2455" s="7">
        <v>11.504200000000001</v>
      </c>
      <c r="I2455" s="7">
        <v>11.530900000000001</v>
      </c>
      <c r="J2455" s="7">
        <v>11.5198</v>
      </c>
      <c r="K2455" s="7">
        <v>11.5077</v>
      </c>
      <c r="L2455" s="7">
        <v>11.503399999999999</v>
      </c>
      <c r="M2455" s="7">
        <v>11.4963</v>
      </c>
      <c r="N2455" s="7">
        <v>11.492000000000001</v>
      </c>
      <c r="O2455" s="7">
        <v>11.4884</v>
      </c>
      <c r="P2455" s="7">
        <v>11.4869</v>
      </c>
      <c r="Q2455" s="7">
        <v>11.4841</v>
      </c>
    </row>
    <row r="2456" spans="1:17">
      <c r="A2456" s="5">
        <v>45037</v>
      </c>
      <c r="B2456" s="5" t="str">
        <f t="shared" si="38"/>
        <v>2023 q2</v>
      </c>
      <c r="C2456" s="7">
        <v>10.638999999999999</v>
      </c>
      <c r="D2456" s="7">
        <v>10.7721</v>
      </c>
      <c r="E2456" s="7">
        <v>11.046900000000001</v>
      </c>
      <c r="F2456" s="7">
        <v>11.3149</v>
      </c>
      <c r="G2456" s="7">
        <v>11.444800000000001</v>
      </c>
      <c r="H2456" s="7">
        <v>11.471500000000001</v>
      </c>
      <c r="I2456" s="7">
        <v>11.4862</v>
      </c>
      <c r="J2456" s="7">
        <v>11.479100000000001</v>
      </c>
      <c r="K2456" s="7">
        <v>11.471500000000001</v>
      </c>
      <c r="L2456" s="7">
        <v>11.4689</v>
      </c>
      <c r="M2456" s="7">
        <v>11.464600000000001</v>
      </c>
      <c r="N2456" s="7">
        <v>11.462</v>
      </c>
      <c r="O2456" s="7">
        <v>11.4598</v>
      </c>
      <c r="P2456" s="7">
        <v>11.4589</v>
      </c>
      <c r="Q2456" s="7">
        <v>11.4572</v>
      </c>
    </row>
    <row r="2457" spans="1:17">
      <c r="A2457" s="5">
        <v>45041</v>
      </c>
      <c r="B2457" s="5" t="str">
        <f t="shared" si="38"/>
        <v>2023 q2</v>
      </c>
      <c r="C2457" s="7">
        <v>10.6358</v>
      </c>
      <c r="D2457" s="7">
        <v>10.771100000000001</v>
      </c>
      <c r="E2457" s="7">
        <v>11.0504</v>
      </c>
      <c r="F2457" s="7">
        <v>11.322699999999999</v>
      </c>
      <c r="G2457" s="7">
        <v>11.4604</v>
      </c>
      <c r="H2457" s="7">
        <v>11.485099999999999</v>
      </c>
      <c r="I2457" s="7">
        <v>11.490500000000001</v>
      </c>
      <c r="J2457" s="7">
        <v>11.4765</v>
      </c>
      <c r="K2457" s="7">
        <v>11.4621</v>
      </c>
      <c r="L2457" s="7">
        <v>11.4572</v>
      </c>
      <c r="M2457" s="7">
        <v>11.4491</v>
      </c>
      <c r="N2457" s="7">
        <v>11.4442</v>
      </c>
      <c r="O2457" s="7">
        <v>11.44</v>
      </c>
      <c r="P2457" s="7">
        <v>11.4384</v>
      </c>
      <c r="Q2457" s="7">
        <v>11.4351</v>
      </c>
    </row>
    <row r="2458" spans="1:17">
      <c r="A2458" s="5">
        <v>45042</v>
      </c>
      <c r="B2458" s="5" t="str">
        <f t="shared" si="38"/>
        <v>2023 q2</v>
      </c>
      <c r="C2458" s="7">
        <v>10.6549</v>
      </c>
      <c r="D2458" s="7">
        <v>10.7902</v>
      </c>
      <c r="E2458" s="7">
        <v>11.0694</v>
      </c>
      <c r="F2458" s="7">
        <v>11.330500000000001</v>
      </c>
      <c r="G2458" s="7">
        <v>11.4703</v>
      </c>
      <c r="H2458" s="7">
        <v>11.492000000000001</v>
      </c>
      <c r="I2458" s="7">
        <v>11.5099</v>
      </c>
      <c r="J2458" s="7">
        <v>11.500299999999999</v>
      </c>
      <c r="K2458" s="7">
        <v>11.490500000000001</v>
      </c>
      <c r="L2458" s="7">
        <v>11.4872</v>
      </c>
      <c r="M2458" s="7">
        <v>11.4817</v>
      </c>
      <c r="N2458" s="7">
        <v>11.478300000000001</v>
      </c>
      <c r="O2458" s="7">
        <v>11.4754</v>
      </c>
      <c r="P2458" s="7">
        <v>11.474299999999999</v>
      </c>
      <c r="Q2458" s="7">
        <v>11.472099999999999</v>
      </c>
    </row>
    <row r="2459" spans="1:17">
      <c r="A2459" s="5">
        <v>45043</v>
      </c>
      <c r="B2459" s="5" t="str">
        <f t="shared" si="38"/>
        <v>2023 q2</v>
      </c>
      <c r="C2459" s="7">
        <v>10.6568</v>
      </c>
      <c r="D2459" s="7">
        <v>10.792999999999999</v>
      </c>
      <c r="E2459" s="7">
        <v>11.074199999999999</v>
      </c>
      <c r="F2459" s="7">
        <v>11.333</v>
      </c>
      <c r="G2459" s="7">
        <v>11.4717</v>
      </c>
      <c r="H2459" s="7">
        <v>11.490500000000001</v>
      </c>
      <c r="I2459" s="7">
        <v>11.5031</v>
      </c>
      <c r="J2459" s="7">
        <v>11.492000000000001</v>
      </c>
      <c r="K2459" s="7">
        <v>11.480600000000001</v>
      </c>
      <c r="L2459" s="7">
        <v>11.476900000000001</v>
      </c>
      <c r="M2459" s="7">
        <v>11.470599999999999</v>
      </c>
      <c r="N2459" s="7">
        <v>11.466799999999999</v>
      </c>
      <c r="O2459" s="7">
        <v>11.4635</v>
      </c>
      <c r="P2459" s="7">
        <v>11.462300000000001</v>
      </c>
      <c r="Q2459" s="7">
        <v>11.4597</v>
      </c>
    </row>
    <row r="2460" spans="1:17">
      <c r="A2460" s="5">
        <v>45044</v>
      </c>
      <c r="B2460" s="5" t="str">
        <f t="shared" si="38"/>
        <v>2023 q2</v>
      </c>
      <c r="C2460" s="7">
        <v>10.660399999999999</v>
      </c>
      <c r="D2460" s="7">
        <v>10.7974</v>
      </c>
      <c r="E2460" s="7">
        <v>11.08</v>
      </c>
      <c r="F2460" s="7">
        <v>11.330299999999999</v>
      </c>
      <c r="G2460" s="7">
        <v>11.4581</v>
      </c>
      <c r="H2460" s="7">
        <v>11.472099999999999</v>
      </c>
      <c r="I2460" s="7">
        <v>11.4748</v>
      </c>
      <c r="J2460" s="7">
        <v>11.4641</v>
      </c>
      <c r="K2460" s="7">
        <v>11.4534</v>
      </c>
      <c r="L2460" s="7">
        <v>11.45</v>
      </c>
      <c r="M2460" s="7">
        <v>11.444100000000001</v>
      </c>
      <c r="N2460" s="7">
        <v>11.4406</v>
      </c>
      <c r="O2460" s="7">
        <v>11.4375</v>
      </c>
      <c r="P2460" s="7">
        <v>11.436299999999999</v>
      </c>
      <c r="Q2460" s="7">
        <v>11.433999999999999</v>
      </c>
    </row>
    <row r="2461" spans="1:17">
      <c r="A2461" s="5">
        <v>45048</v>
      </c>
      <c r="B2461" s="5" t="str">
        <f t="shared" si="38"/>
        <v>2023 q2</v>
      </c>
      <c r="C2461" s="7">
        <v>10.6646</v>
      </c>
      <c r="D2461" s="7">
        <v>10.801600000000001</v>
      </c>
      <c r="E2461" s="7">
        <v>11.0844</v>
      </c>
      <c r="F2461" s="7">
        <v>11.3347</v>
      </c>
      <c r="G2461" s="7">
        <v>11.4678</v>
      </c>
      <c r="H2461" s="7">
        <v>11.482100000000001</v>
      </c>
      <c r="I2461" s="7">
        <v>11.49</v>
      </c>
      <c r="J2461" s="7">
        <v>11.4794</v>
      </c>
      <c r="K2461" s="7">
        <v>11.4688</v>
      </c>
      <c r="L2461" s="7">
        <v>11.465400000000001</v>
      </c>
      <c r="M2461" s="7">
        <v>11.4595</v>
      </c>
      <c r="N2461" s="7">
        <v>11.456</v>
      </c>
      <c r="O2461" s="7">
        <v>11.4529</v>
      </c>
      <c r="P2461" s="7">
        <v>11.4518</v>
      </c>
      <c r="Q2461" s="7">
        <v>11.449400000000001</v>
      </c>
    </row>
    <row r="2462" spans="1:17">
      <c r="A2462" s="5">
        <v>45049</v>
      </c>
      <c r="B2462" s="5" t="str">
        <f t="shared" si="38"/>
        <v>2023 q2</v>
      </c>
      <c r="C2462" s="7">
        <v>10.7926</v>
      </c>
      <c r="D2462" s="7">
        <v>10.8886</v>
      </c>
      <c r="E2462" s="7">
        <v>11.0869</v>
      </c>
      <c r="F2462" s="7">
        <v>11.2484</v>
      </c>
      <c r="G2462" s="7">
        <v>11.3338</v>
      </c>
      <c r="H2462" s="7">
        <v>11.3934</v>
      </c>
      <c r="I2462" s="7">
        <v>11.429399999999999</v>
      </c>
      <c r="J2462" s="7">
        <v>11.4352</v>
      </c>
      <c r="K2462" s="7">
        <v>11.440899999999999</v>
      </c>
      <c r="L2462" s="7">
        <v>11.4427</v>
      </c>
      <c r="M2462" s="7">
        <v>11.4457</v>
      </c>
      <c r="N2462" s="7">
        <v>11.4475</v>
      </c>
      <c r="O2462" s="7">
        <v>11.4491</v>
      </c>
      <c r="P2462" s="7">
        <v>11.4497</v>
      </c>
      <c r="Q2462" s="7">
        <v>11.451000000000001</v>
      </c>
    </row>
    <row r="2463" spans="1:17">
      <c r="A2463" s="5">
        <v>45050</v>
      </c>
      <c r="B2463" s="5" t="str">
        <f t="shared" si="38"/>
        <v>2023 q2</v>
      </c>
      <c r="C2463" s="7">
        <v>10.8102</v>
      </c>
      <c r="D2463" s="7">
        <v>10.900700000000001</v>
      </c>
      <c r="E2463" s="7">
        <v>11.0875</v>
      </c>
      <c r="F2463" s="7">
        <v>11.2584</v>
      </c>
      <c r="G2463" s="7">
        <v>11.371</v>
      </c>
      <c r="H2463" s="7">
        <v>11.4499</v>
      </c>
      <c r="I2463" s="7">
        <v>11.514699999999999</v>
      </c>
      <c r="J2463" s="7">
        <v>11.519299999999999</v>
      </c>
      <c r="K2463" s="7">
        <v>11.523899999999999</v>
      </c>
      <c r="L2463" s="7">
        <v>11.524800000000001</v>
      </c>
      <c r="M2463" s="7">
        <v>11.5265</v>
      </c>
      <c r="N2463" s="7">
        <v>11.5276</v>
      </c>
      <c r="O2463" s="7">
        <v>11.5283</v>
      </c>
      <c r="P2463" s="7">
        <v>11.528600000000001</v>
      </c>
      <c r="Q2463" s="7">
        <v>11.529299999999999</v>
      </c>
    </row>
    <row r="2464" spans="1:17">
      <c r="A2464" s="5">
        <v>45051</v>
      </c>
      <c r="B2464" s="5" t="str">
        <f t="shared" si="38"/>
        <v>2023 q2</v>
      </c>
      <c r="C2464" s="7">
        <v>11.155900000000001</v>
      </c>
      <c r="D2464" s="7">
        <v>11.158899999999999</v>
      </c>
      <c r="E2464" s="7">
        <v>11.164999999999999</v>
      </c>
      <c r="F2464" s="7">
        <v>11.174300000000001</v>
      </c>
      <c r="G2464" s="7">
        <v>11.1835</v>
      </c>
      <c r="H2464" s="7">
        <v>11.1928</v>
      </c>
      <c r="I2464" s="7">
        <v>11.229799999999999</v>
      </c>
      <c r="J2464" s="7">
        <v>11.2667</v>
      </c>
      <c r="K2464" s="7">
        <v>11.303599999999999</v>
      </c>
      <c r="L2464" s="7">
        <v>11.340400000000001</v>
      </c>
      <c r="M2464" s="7">
        <v>11.4139</v>
      </c>
      <c r="N2464" s="7">
        <v>11.5238</v>
      </c>
      <c r="O2464" s="7">
        <v>11.705500000000001</v>
      </c>
      <c r="P2464" s="7">
        <v>11.8856</v>
      </c>
      <c r="Q2464" s="7">
        <v>12.245900000000001</v>
      </c>
    </row>
    <row r="2465" spans="1:17">
      <c r="A2465" s="5">
        <v>45054</v>
      </c>
      <c r="B2465" s="5" t="str">
        <f t="shared" si="38"/>
        <v>2023 q2</v>
      </c>
      <c r="C2465" s="7">
        <v>10.852399999999999</v>
      </c>
      <c r="D2465" s="7">
        <v>10.923500000000001</v>
      </c>
      <c r="E2465" s="7">
        <v>11.0703</v>
      </c>
      <c r="F2465" s="7">
        <v>11.1904</v>
      </c>
      <c r="G2465" s="7">
        <v>11.2621</v>
      </c>
      <c r="H2465" s="7">
        <v>11.309699999999999</v>
      </c>
      <c r="I2465" s="7">
        <v>11.337199999999999</v>
      </c>
      <c r="J2465" s="7">
        <v>11.3391</v>
      </c>
      <c r="K2465" s="7">
        <v>11.340999999999999</v>
      </c>
      <c r="L2465" s="7">
        <v>11.3415</v>
      </c>
      <c r="M2465" s="7">
        <v>11.3424</v>
      </c>
      <c r="N2465" s="7">
        <v>11.343</v>
      </c>
      <c r="O2465" s="7">
        <v>11.343400000000001</v>
      </c>
      <c r="P2465" s="7">
        <v>11.343500000000001</v>
      </c>
      <c r="Q2465" s="7">
        <v>11.3439</v>
      </c>
    </row>
    <row r="2466" spans="1:17">
      <c r="A2466" s="5">
        <v>45056</v>
      </c>
      <c r="B2466" s="5" t="str">
        <f t="shared" si="38"/>
        <v>2023 q2</v>
      </c>
      <c r="C2466" s="7">
        <v>10.8569</v>
      </c>
      <c r="D2466" s="7">
        <v>10.929</v>
      </c>
      <c r="E2466" s="7">
        <v>11.077999999999999</v>
      </c>
      <c r="F2466" s="7">
        <v>11.1958</v>
      </c>
      <c r="G2466" s="7">
        <v>11.2697</v>
      </c>
      <c r="H2466" s="7">
        <v>11.3149</v>
      </c>
      <c r="I2466" s="7">
        <v>11.326499999999999</v>
      </c>
      <c r="J2466" s="7">
        <v>11.3193</v>
      </c>
      <c r="K2466" s="7">
        <v>11.312200000000001</v>
      </c>
      <c r="L2466" s="7">
        <v>11.309699999999999</v>
      </c>
      <c r="M2466" s="7">
        <v>11.305400000000001</v>
      </c>
      <c r="N2466" s="7">
        <v>11.3028</v>
      </c>
      <c r="O2466" s="7">
        <v>11.3004</v>
      </c>
      <c r="P2466" s="7">
        <v>11.2996</v>
      </c>
      <c r="Q2466" s="7">
        <v>11.298</v>
      </c>
    </row>
    <row r="2467" spans="1:17">
      <c r="A2467" s="5">
        <v>45057</v>
      </c>
      <c r="B2467" s="5" t="str">
        <f t="shared" si="38"/>
        <v>2023 q2</v>
      </c>
      <c r="C2467" s="7">
        <v>10.824999999999999</v>
      </c>
      <c r="D2467" s="7">
        <v>10.9125</v>
      </c>
      <c r="E2467" s="7">
        <v>11.0931</v>
      </c>
      <c r="F2467" s="7">
        <v>11.246600000000001</v>
      </c>
      <c r="G2467" s="7">
        <v>11.326700000000001</v>
      </c>
      <c r="H2467" s="7">
        <v>11.327500000000001</v>
      </c>
      <c r="I2467" s="7">
        <v>11.3299</v>
      </c>
      <c r="J2467" s="7">
        <v>11.3085</v>
      </c>
      <c r="K2467" s="7">
        <v>11.287599999999999</v>
      </c>
      <c r="L2467" s="7">
        <v>11.2806</v>
      </c>
      <c r="M2467" s="7">
        <v>11.2684</v>
      </c>
      <c r="N2467" s="7">
        <v>11.261100000000001</v>
      </c>
      <c r="O2467" s="7">
        <v>11.254899999999999</v>
      </c>
      <c r="P2467" s="7">
        <v>11.2524</v>
      </c>
      <c r="Q2467" s="7">
        <v>11.2475</v>
      </c>
    </row>
    <row r="2468" spans="1:17">
      <c r="A2468" s="5">
        <v>45058</v>
      </c>
      <c r="B2468" s="5" t="str">
        <f t="shared" si="38"/>
        <v>2023 q2</v>
      </c>
      <c r="C2468" s="7">
        <v>10.983599999999999</v>
      </c>
      <c r="D2468" s="7">
        <v>11.020200000000001</v>
      </c>
      <c r="E2468" s="7">
        <v>11.095800000000001</v>
      </c>
      <c r="F2468" s="7">
        <v>11.189</v>
      </c>
      <c r="G2468" s="7">
        <v>11.260199999999999</v>
      </c>
      <c r="H2468" s="7">
        <v>11.294</v>
      </c>
      <c r="I2468" s="7">
        <v>11.4244</v>
      </c>
      <c r="J2468" s="7">
        <v>11.408799999999999</v>
      </c>
      <c r="K2468" s="7">
        <v>11.392300000000001</v>
      </c>
      <c r="L2468" s="7">
        <v>11.3505</v>
      </c>
      <c r="M2468" s="7">
        <v>11.278600000000001</v>
      </c>
      <c r="N2468" s="7">
        <v>11.211600000000001</v>
      </c>
      <c r="O2468" s="7">
        <v>11.1488</v>
      </c>
      <c r="P2468" s="7">
        <v>11.1235</v>
      </c>
      <c r="Q2468" s="7">
        <v>11.072900000000001</v>
      </c>
    </row>
    <row r="2469" spans="1:17">
      <c r="A2469" s="5">
        <v>45061</v>
      </c>
      <c r="B2469" s="5" t="str">
        <f t="shared" si="38"/>
        <v>2023 q2</v>
      </c>
      <c r="C2469" s="7">
        <v>10.9893</v>
      </c>
      <c r="D2469" s="7">
        <v>11.024800000000001</v>
      </c>
      <c r="E2469" s="7">
        <v>11.0982</v>
      </c>
      <c r="F2469" s="7">
        <v>11.189</v>
      </c>
      <c r="G2469" s="7">
        <v>11.258699999999999</v>
      </c>
      <c r="H2469" s="7">
        <v>11.293200000000001</v>
      </c>
      <c r="I2469" s="7">
        <v>11.426</v>
      </c>
      <c r="J2469" s="7">
        <v>11.414400000000001</v>
      </c>
      <c r="K2469" s="7">
        <v>11.4017</v>
      </c>
      <c r="L2469" s="7">
        <v>11.3613</v>
      </c>
      <c r="M2469" s="7">
        <v>11.289099999999999</v>
      </c>
      <c r="N2469" s="7">
        <v>11.2201</v>
      </c>
      <c r="O2469" s="7">
        <v>11.1546</v>
      </c>
      <c r="P2469" s="7">
        <v>11.1281</v>
      </c>
      <c r="Q2469" s="7">
        <v>11.074999999999999</v>
      </c>
    </row>
    <row r="2470" spans="1:17">
      <c r="A2470" s="5">
        <v>45062</v>
      </c>
      <c r="B2470" s="5" t="str">
        <f t="shared" si="38"/>
        <v>2023 q2</v>
      </c>
      <c r="C2470" s="7">
        <v>10.983599999999999</v>
      </c>
      <c r="D2470" s="7">
        <v>11.016500000000001</v>
      </c>
      <c r="E2470" s="7">
        <v>11.0846</v>
      </c>
      <c r="F2470" s="7">
        <v>11.1622</v>
      </c>
      <c r="G2470" s="7">
        <v>11.233000000000001</v>
      </c>
      <c r="H2470" s="7">
        <v>11.303000000000001</v>
      </c>
      <c r="I2470" s="7">
        <v>11.420999999999999</v>
      </c>
      <c r="J2470" s="7">
        <v>11.4216</v>
      </c>
      <c r="K2470" s="7">
        <v>11.420400000000001</v>
      </c>
      <c r="L2470" s="7">
        <v>11.3803</v>
      </c>
      <c r="M2470" s="7">
        <v>11.296200000000001</v>
      </c>
      <c r="N2470" s="7">
        <v>11.205500000000001</v>
      </c>
      <c r="O2470" s="7">
        <v>11.113099999999999</v>
      </c>
      <c r="P2470" s="7">
        <v>11.074</v>
      </c>
      <c r="Q2470" s="7">
        <v>10.9956</v>
      </c>
    </row>
    <row r="2471" spans="1:17">
      <c r="A2471" s="5">
        <v>45063</v>
      </c>
      <c r="B2471" s="5" t="str">
        <f t="shared" si="38"/>
        <v>2023 q2</v>
      </c>
      <c r="C2471" s="7">
        <v>11.586399999999999</v>
      </c>
      <c r="D2471" s="7">
        <v>11.4664</v>
      </c>
      <c r="E2471" s="7">
        <v>11.2187</v>
      </c>
      <c r="F2471" s="7">
        <v>11.1762</v>
      </c>
      <c r="G2471" s="7">
        <v>11.2195</v>
      </c>
      <c r="H2471" s="7">
        <v>11.2616</v>
      </c>
      <c r="I2471" s="7">
        <v>11.2875</v>
      </c>
      <c r="J2471" s="7">
        <v>11.2942</v>
      </c>
      <c r="K2471" s="7">
        <v>11.300800000000001</v>
      </c>
      <c r="L2471" s="7">
        <v>11.3034</v>
      </c>
      <c r="M2471" s="7">
        <v>11.3063</v>
      </c>
      <c r="N2471" s="7">
        <v>11.308400000000001</v>
      </c>
      <c r="O2471" s="7">
        <v>11.3102</v>
      </c>
      <c r="P2471" s="7">
        <v>11.3109</v>
      </c>
      <c r="Q2471" s="7">
        <v>11.3123</v>
      </c>
    </row>
    <row r="2472" spans="1:17">
      <c r="A2472" s="5">
        <v>45064</v>
      </c>
      <c r="B2472" s="5" t="str">
        <f t="shared" si="38"/>
        <v>2023 q2</v>
      </c>
      <c r="C2472" s="7">
        <v>11.5768</v>
      </c>
      <c r="D2472" s="7">
        <v>11.462899999999999</v>
      </c>
      <c r="E2472" s="7">
        <v>11.2278</v>
      </c>
      <c r="F2472" s="7">
        <v>11.1877</v>
      </c>
      <c r="G2472" s="7">
        <v>11.2235</v>
      </c>
      <c r="H2472" s="7">
        <v>11.258100000000001</v>
      </c>
      <c r="I2472" s="7">
        <v>11.279400000000001</v>
      </c>
      <c r="J2472" s="7">
        <v>11.2849</v>
      </c>
      <c r="K2472" s="7">
        <v>11.2902</v>
      </c>
      <c r="L2472" s="7">
        <v>11.2919</v>
      </c>
      <c r="M2472" s="7">
        <v>11.2948</v>
      </c>
      <c r="N2472" s="7">
        <v>11.2967</v>
      </c>
      <c r="O2472" s="7">
        <v>11.298</v>
      </c>
      <c r="P2472" s="7">
        <v>11.298500000000001</v>
      </c>
      <c r="Q2472" s="7">
        <v>11.2997</v>
      </c>
    </row>
    <row r="2473" spans="1:17">
      <c r="A2473" s="5">
        <v>45065</v>
      </c>
      <c r="B2473" s="5" t="str">
        <f t="shared" si="38"/>
        <v>2023 q2</v>
      </c>
      <c r="C2473" s="7">
        <v>11.5678</v>
      </c>
      <c r="D2473" s="7">
        <v>11.4587</v>
      </c>
      <c r="E2473" s="7">
        <v>11.2333</v>
      </c>
      <c r="F2473" s="7">
        <v>11.1892</v>
      </c>
      <c r="G2473" s="7">
        <v>11.2118</v>
      </c>
      <c r="H2473" s="7">
        <v>11.2333</v>
      </c>
      <c r="I2473" s="7">
        <v>11.246600000000001</v>
      </c>
      <c r="J2473" s="7">
        <v>11.25</v>
      </c>
      <c r="K2473" s="7">
        <v>11.253299999999999</v>
      </c>
      <c r="L2473" s="7">
        <v>11.2544</v>
      </c>
      <c r="M2473" s="7">
        <v>11.2562</v>
      </c>
      <c r="N2473" s="7">
        <v>11.257199999999999</v>
      </c>
      <c r="O2473" s="7">
        <v>11.258100000000001</v>
      </c>
      <c r="P2473" s="7">
        <v>11.2585</v>
      </c>
      <c r="Q2473" s="7">
        <v>11.2592</v>
      </c>
    </row>
    <row r="2474" spans="1:17">
      <c r="A2474" s="5">
        <v>45068</v>
      </c>
      <c r="B2474" s="5" t="str">
        <f t="shared" si="38"/>
        <v>2023 q2</v>
      </c>
      <c r="C2474" s="7">
        <v>11.5504</v>
      </c>
      <c r="D2474" s="7">
        <v>11.4689</v>
      </c>
      <c r="E2474" s="7">
        <v>11.3004</v>
      </c>
      <c r="F2474" s="7">
        <v>11.191700000000001</v>
      </c>
      <c r="G2474" s="7">
        <v>11.219099999999999</v>
      </c>
      <c r="H2474" s="7">
        <v>11.245200000000001</v>
      </c>
      <c r="I2474" s="7">
        <v>11.2653</v>
      </c>
      <c r="J2474" s="7">
        <v>11.2706</v>
      </c>
      <c r="K2474" s="7">
        <v>11.275600000000001</v>
      </c>
      <c r="L2474" s="7">
        <v>11.277200000000001</v>
      </c>
      <c r="M2474" s="7">
        <v>11.2799</v>
      </c>
      <c r="N2474" s="7">
        <v>11.281700000000001</v>
      </c>
      <c r="O2474" s="7">
        <v>11.2829</v>
      </c>
      <c r="P2474" s="7">
        <v>11.2835</v>
      </c>
      <c r="Q2474" s="7">
        <v>11.2845</v>
      </c>
    </row>
    <row r="2475" spans="1:17">
      <c r="A2475" s="5">
        <v>45069</v>
      </c>
      <c r="B2475" s="5" t="str">
        <f t="shared" si="38"/>
        <v>2023 q2</v>
      </c>
      <c r="C2475" s="7">
        <v>11.5382</v>
      </c>
      <c r="D2475" s="7">
        <v>11.4573</v>
      </c>
      <c r="E2475" s="7">
        <v>11.2903</v>
      </c>
      <c r="F2475" s="7">
        <v>11.1851</v>
      </c>
      <c r="G2475" s="7">
        <v>11.2006</v>
      </c>
      <c r="H2475" s="7">
        <v>11.2052</v>
      </c>
      <c r="I2475" s="7">
        <v>11.216200000000001</v>
      </c>
      <c r="J2475" s="7">
        <v>11.218500000000001</v>
      </c>
      <c r="K2475" s="7">
        <v>11.220800000000001</v>
      </c>
      <c r="L2475" s="7">
        <v>11.221399999999999</v>
      </c>
      <c r="M2475" s="7">
        <v>11.2226</v>
      </c>
      <c r="N2475" s="7">
        <v>11.2233</v>
      </c>
      <c r="O2475" s="7">
        <v>11.2239</v>
      </c>
      <c r="P2475" s="7">
        <v>11.2242</v>
      </c>
      <c r="Q2475" s="7">
        <v>11.2247</v>
      </c>
    </row>
    <row r="2476" spans="1:17">
      <c r="A2476" s="5">
        <v>45070</v>
      </c>
      <c r="B2476" s="5" t="str">
        <f t="shared" si="38"/>
        <v>2023 q2</v>
      </c>
      <c r="C2476" s="7">
        <v>11.537800000000001</v>
      </c>
      <c r="D2476" s="7">
        <v>11.451700000000001</v>
      </c>
      <c r="E2476" s="7">
        <v>11.273899999999999</v>
      </c>
      <c r="F2476" s="7">
        <v>11.166499999999999</v>
      </c>
      <c r="G2476" s="7">
        <v>11.185600000000001</v>
      </c>
      <c r="H2476" s="7">
        <v>11.1913</v>
      </c>
      <c r="I2476" s="7">
        <v>11.204800000000001</v>
      </c>
      <c r="J2476" s="7">
        <v>11.207700000000001</v>
      </c>
      <c r="K2476" s="7">
        <v>11.2104</v>
      </c>
      <c r="L2476" s="7">
        <v>11.2113</v>
      </c>
      <c r="M2476" s="7">
        <v>11.2127</v>
      </c>
      <c r="N2476" s="7">
        <v>11.2136</v>
      </c>
      <c r="O2476" s="7">
        <v>11.2143</v>
      </c>
      <c r="P2476" s="7">
        <v>11.214600000000001</v>
      </c>
      <c r="Q2476" s="7">
        <v>11.215199999999999</v>
      </c>
    </row>
    <row r="2477" spans="1:17">
      <c r="A2477" s="5">
        <v>45071</v>
      </c>
      <c r="B2477" s="5" t="str">
        <f t="shared" si="38"/>
        <v>2023 q2</v>
      </c>
      <c r="C2477" s="7">
        <v>11.659700000000001</v>
      </c>
      <c r="D2477" s="7">
        <v>11.545500000000001</v>
      </c>
      <c r="E2477" s="7">
        <v>11.3096</v>
      </c>
      <c r="F2477" s="7">
        <v>11.175800000000001</v>
      </c>
      <c r="G2477" s="7">
        <v>11.209300000000001</v>
      </c>
      <c r="H2477" s="7">
        <v>11.2188</v>
      </c>
      <c r="I2477" s="7">
        <v>11.2424</v>
      </c>
      <c r="J2477" s="7">
        <v>11.247400000000001</v>
      </c>
      <c r="K2477" s="7">
        <v>11.2521</v>
      </c>
      <c r="L2477" s="7">
        <v>11.2536</v>
      </c>
      <c r="M2477" s="7">
        <v>11.2561</v>
      </c>
      <c r="N2477" s="7">
        <v>11.2576</v>
      </c>
      <c r="O2477" s="7">
        <v>11.258900000000001</v>
      </c>
      <c r="P2477" s="7">
        <v>11.259399999999999</v>
      </c>
      <c r="Q2477" s="7">
        <v>11.2605</v>
      </c>
    </row>
    <row r="2478" spans="1:17">
      <c r="A2478" s="5">
        <v>45072</v>
      </c>
      <c r="B2478" s="5" t="str">
        <f t="shared" si="38"/>
        <v>2023 q2</v>
      </c>
      <c r="C2478" s="7">
        <v>11.644399999999999</v>
      </c>
      <c r="D2478" s="7">
        <v>11.5373</v>
      </c>
      <c r="E2478" s="7">
        <v>11.3163</v>
      </c>
      <c r="F2478" s="7">
        <v>11.1846</v>
      </c>
      <c r="G2478" s="7">
        <v>11.1983</v>
      </c>
      <c r="H2478" s="7">
        <v>11.202</v>
      </c>
      <c r="I2478" s="7">
        <v>11.211600000000001</v>
      </c>
      <c r="J2478" s="7">
        <v>11.2136</v>
      </c>
      <c r="K2478" s="7">
        <v>11.2155</v>
      </c>
      <c r="L2478" s="7">
        <v>11.216100000000001</v>
      </c>
      <c r="M2478" s="7">
        <v>11.2171</v>
      </c>
      <c r="N2478" s="7">
        <v>11.217700000000001</v>
      </c>
      <c r="O2478" s="7">
        <v>11.2182</v>
      </c>
      <c r="P2478" s="7">
        <v>11.218400000000001</v>
      </c>
      <c r="Q2478" s="7">
        <v>11.2188</v>
      </c>
    </row>
    <row r="2479" spans="1:17">
      <c r="A2479" s="5">
        <v>45075</v>
      </c>
      <c r="B2479" s="5" t="str">
        <f t="shared" si="38"/>
        <v>2023 q2</v>
      </c>
      <c r="C2479" s="7">
        <v>11.640599999999999</v>
      </c>
      <c r="D2479" s="7">
        <v>11.5336</v>
      </c>
      <c r="E2479" s="7">
        <v>11.3125</v>
      </c>
      <c r="F2479" s="7">
        <v>11.185</v>
      </c>
      <c r="G2479" s="7">
        <v>11.199199999999999</v>
      </c>
      <c r="H2479" s="7">
        <v>11.202999999999999</v>
      </c>
      <c r="I2479" s="7">
        <v>11.212899999999999</v>
      </c>
      <c r="J2479" s="7">
        <v>11.215</v>
      </c>
      <c r="K2479" s="7">
        <v>11.216900000000001</v>
      </c>
      <c r="L2479" s="7">
        <v>11.217599999999999</v>
      </c>
      <c r="M2479" s="7">
        <v>11.2186</v>
      </c>
      <c r="N2479" s="7">
        <v>11.219200000000001</v>
      </c>
      <c r="O2479" s="7">
        <v>11.219799999999999</v>
      </c>
      <c r="P2479" s="7">
        <v>11.22</v>
      </c>
      <c r="Q2479" s="7">
        <v>11.2204</v>
      </c>
    </row>
    <row r="2480" spans="1:17">
      <c r="A2480" s="5">
        <v>45076</v>
      </c>
      <c r="B2480" s="5" t="str">
        <f t="shared" si="38"/>
        <v>2023 q2</v>
      </c>
      <c r="C2480" s="7">
        <v>11.5939</v>
      </c>
      <c r="D2480" s="7">
        <v>11.5182</v>
      </c>
      <c r="E2480" s="7">
        <v>11.3621</v>
      </c>
      <c r="F2480" s="7">
        <v>11.172000000000001</v>
      </c>
      <c r="G2480" s="7">
        <v>11.1921</v>
      </c>
      <c r="H2480" s="7">
        <v>11.197900000000001</v>
      </c>
      <c r="I2480" s="7">
        <v>11.2157</v>
      </c>
      <c r="J2480" s="7">
        <v>11.2195</v>
      </c>
      <c r="K2480" s="7">
        <v>11.223000000000001</v>
      </c>
      <c r="L2480" s="7">
        <v>11.2241</v>
      </c>
      <c r="M2480" s="7">
        <v>11.226000000000001</v>
      </c>
      <c r="N2480" s="7">
        <v>11.2272</v>
      </c>
      <c r="O2480" s="7">
        <v>11.2281</v>
      </c>
      <c r="P2480" s="7">
        <v>11.2286</v>
      </c>
      <c r="Q2480" s="7">
        <v>11.229200000000001</v>
      </c>
    </row>
    <row r="2481" spans="1:17">
      <c r="A2481" s="5">
        <v>45077</v>
      </c>
      <c r="B2481" s="5" t="str">
        <f t="shared" si="38"/>
        <v>2023 q2</v>
      </c>
      <c r="C2481" s="7">
        <v>11.591699999999999</v>
      </c>
      <c r="D2481" s="7">
        <v>11.5151</v>
      </c>
      <c r="E2481" s="7">
        <v>11.356999999999999</v>
      </c>
      <c r="F2481" s="7">
        <v>11.1663</v>
      </c>
      <c r="G2481" s="7">
        <v>11.181100000000001</v>
      </c>
      <c r="H2481" s="7">
        <v>11.1853</v>
      </c>
      <c r="I2481" s="7">
        <v>11.198399999999999</v>
      </c>
      <c r="J2481" s="7">
        <v>11.2011</v>
      </c>
      <c r="K2481" s="7">
        <v>11.2037</v>
      </c>
      <c r="L2481" s="7">
        <v>11.204499999999999</v>
      </c>
      <c r="M2481" s="7">
        <v>11.2059</v>
      </c>
      <c r="N2481" s="7">
        <v>11.2067</v>
      </c>
      <c r="O2481" s="7">
        <v>11.2075</v>
      </c>
      <c r="P2481" s="7">
        <v>11.207800000000001</v>
      </c>
      <c r="Q2481" s="7">
        <v>11.2082</v>
      </c>
    </row>
    <row r="2482" spans="1:17">
      <c r="A2482" s="5">
        <v>45078</v>
      </c>
      <c r="B2482" s="5" t="str">
        <f t="shared" si="38"/>
        <v>2023 q2</v>
      </c>
      <c r="C2482" s="7">
        <v>11.589600000000001</v>
      </c>
      <c r="D2482" s="7">
        <v>11.5131</v>
      </c>
      <c r="E2482" s="7">
        <v>11.3552</v>
      </c>
      <c r="F2482" s="7">
        <v>11.1692</v>
      </c>
      <c r="G2482" s="7">
        <v>11.192500000000001</v>
      </c>
      <c r="H2482" s="7">
        <v>11.1988</v>
      </c>
      <c r="I2482" s="7">
        <v>11.219200000000001</v>
      </c>
      <c r="J2482" s="7">
        <v>11.2235</v>
      </c>
      <c r="K2482" s="7">
        <v>11.227499999999999</v>
      </c>
      <c r="L2482" s="7">
        <v>11.2288</v>
      </c>
      <c r="M2482" s="7">
        <v>11.231</v>
      </c>
      <c r="N2482" s="7">
        <v>11.2323</v>
      </c>
      <c r="O2482" s="7">
        <v>11.2334</v>
      </c>
      <c r="P2482" s="7">
        <v>11.2339</v>
      </c>
      <c r="Q2482" s="7">
        <v>11.2346</v>
      </c>
    </row>
    <row r="2483" spans="1:17">
      <c r="A2483" s="5">
        <v>45079</v>
      </c>
      <c r="B2483" s="5" t="str">
        <f t="shared" si="38"/>
        <v>2023 q2</v>
      </c>
      <c r="C2483" s="7">
        <v>11.577500000000001</v>
      </c>
      <c r="D2483" s="7">
        <v>11.507999999999999</v>
      </c>
      <c r="E2483" s="7">
        <v>11.3645</v>
      </c>
      <c r="F2483" s="7">
        <v>11.195600000000001</v>
      </c>
      <c r="G2483" s="7">
        <v>11.204599999999999</v>
      </c>
      <c r="H2483" s="7">
        <v>11.206899999999999</v>
      </c>
      <c r="I2483" s="7">
        <v>11.214700000000001</v>
      </c>
      <c r="J2483" s="7">
        <v>11.2164</v>
      </c>
      <c r="K2483" s="7">
        <v>11.2179</v>
      </c>
      <c r="L2483" s="7">
        <v>11.218400000000001</v>
      </c>
      <c r="M2483" s="7">
        <v>11.219200000000001</v>
      </c>
      <c r="N2483" s="7">
        <v>11.2197</v>
      </c>
      <c r="O2483" s="7">
        <v>11.2201</v>
      </c>
      <c r="P2483" s="7">
        <v>11.2203</v>
      </c>
      <c r="Q2483" s="7">
        <v>11.220599999999999</v>
      </c>
    </row>
    <row r="2484" spans="1:17">
      <c r="A2484" s="5">
        <v>45082</v>
      </c>
      <c r="B2484" s="5" t="str">
        <f t="shared" si="38"/>
        <v>2023 q2</v>
      </c>
      <c r="C2484" s="7">
        <v>11.5749</v>
      </c>
      <c r="D2484" s="7">
        <v>11.5044</v>
      </c>
      <c r="E2484" s="7">
        <v>11.3589</v>
      </c>
      <c r="F2484" s="7">
        <v>11.1875</v>
      </c>
      <c r="G2484" s="7">
        <v>11.1852</v>
      </c>
      <c r="H2484" s="7">
        <v>11.184699999999999</v>
      </c>
      <c r="I2484" s="7">
        <v>11.182700000000001</v>
      </c>
      <c r="J2484" s="7">
        <v>11.1823</v>
      </c>
      <c r="K2484" s="7">
        <v>11.181900000000001</v>
      </c>
      <c r="L2484" s="7">
        <v>11.181800000000001</v>
      </c>
      <c r="M2484" s="7">
        <v>11.1816</v>
      </c>
      <c r="N2484" s="7">
        <v>11.1815</v>
      </c>
      <c r="O2484" s="7">
        <v>11.1814</v>
      </c>
      <c r="P2484" s="7">
        <v>11.1813</v>
      </c>
      <c r="Q2484" s="7">
        <v>11.1813</v>
      </c>
    </row>
    <row r="2485" spans="1:17">
      <c r="A2485" s="5">
        <v>45083</v>
      </c>
      <c r="B2485" s="5" t="str">
        <f t="shared" si="38"/>
        <v>2023 q2</v>
      </c>
      <c r="C2485" s="7">
        <v>11.5733</v>
      </c>
      <c r="D2485" s="7">
        <v>11.497400000000001</v>
      </c>
      <c r="E2485" s="7">
        <v>11.3407</v>
      </c>
      <c r="F2485" s="7">
        <v>11.1654</v>
      </c>
      <c r="G2485" s="7">
        <v>11.1694</v>
      </c>
      <c r="H2485" s="7">
        <v>11.173400000000001</v>
      </c>
      <c r="I2485" s="7">
        <v>11.1769</v>
      </c>
      <c r="J2485" s="7">
        <v>11.1778</v>
      </c>
      <c r="K2485" s="7">
        <v>11.178699999999999</v>
      </c>
      <c r="L2485" s="7">
        <v>11.179</v>
      </c>
      <c r="M2485" s="7">
        <v>11.179500000000001</v>
      </c>
      <c r="N2485" s="7">
        <v>11.1797</v>
      </c>
      <c r="O2485" s="7">
        <v>11.18</v>
      </c>
      <c r="P2485" s="7">
        <v>11.180099999999999</v>
      </c>
      <c r="Q2485" s="7">
        <v>11.180300000000001</v>
      </c>
    </row>
    <row r="2486" spans="1:17">
      <c r="A2486" s="5">
        <v>45084</v>
      </c>
      <c r="B2486" s="5" t="str">
        <f t="shared" si="38"/>
        <v>2023 q2</v>
      </c>
      <c r="C2486" s="7">
        <v>11.5692</v>
      </c>
      <c r="D2486" s="7">
        <v>11.4933</v>
      </c>
      <c r="E2486" s="7">
        <v>11.336499999999999</v>
      </c>
      <c r="F2486" s="7">
        <v>11.161300000000001</v>
      </c>
      <c r="G2486" s="7">
        <v>11.1563</v>
      </c>
      <c r="H2486" s="7">
        <v>11.151300000000001</v>
      </c>
      <c r="I2486" s="7">
        <v>11.1471</v>
      </c>
      <c r="J2486" s="7">
        <v>11.145899999999999</v>
      </c>
      <c r="K2486" s="7">
        <v>11.1448</v>
      </c>
      <c r="L2486" s="7">
        <v>11.144399999999999</v>
      </c>
      <c r="M2486" s="7">
        <v>11.1439</v>
      </c>
      <c r="N2486" s="7">
        <v>11.1435</v>
      </c>
      <c r="O2486" s="7">
        <v>11.1432</v>
      </c>
      <c r="P2486" s="7">
        <v>11.1431</v>
      </c>
      <c r="Q2486" s="7">
        <v>11.142899999999999</v>
      </c>
    </row>
    <row r="2487" spans="1:17">
      <c r="A2487" s="5">
        <v>45085</v>
      </c>
      <c r="B2487" s="5" t="str">
        <f t="shared" si="38"/>
        <v>2023 q2</v>
      </c>
      <c r="C2487" s="7">
        <v>10.9557</v>
      </c>
      <c r="D2487" s="7">
        <v>10.973699999999999</v>
      </c>
      <c r="E2487" s="7">
        <v>11.010999999999999</v>
      </c>
      <c r="F2487" s="7">
        <v>11.0641</v>
      </c>
      <c r="G2487" s="7">
        <v>11.109299999999999</v>
      </c>
      <c r="H2487" s="7">
        <v>11.1442</v>
      </c>
      <c r="I2487" s="7">
        <v>11.2148</v>
      </c>
      <c r="J2487" s="7">
        <v>11.2089</v>
      </c>
      <c r="K2487" s="7">
        <v>11.1989</v>
      </c>
      <c r="L2487" s="7">
        <v>11.1538</v>
      </c>
      <c r="M2487" s="7">
        <v>11.064</v>
      </c>
      <c r="N2487" s="7">
        <v>10.952999999999999</v>
      </c>
      <c r="O2487" s="7">
        <v>10.831300000000001</v>
      </c>
      <c r="P2487" s="7">
        <v>10.7751</v>
      </c>
      <c r="Q2487" s="7">
        <v>10.662800000000001</v>
      </c>
    </row>
    <row r="2488" spans="1:17">
      <c r="A2488" s="5">
        <v>45086</v>
      </c>
      <c r="B2488" s="5" t="str">
        <f t="shared" si="38"/>
        <v>2023 q2</v>
      </c>
      <c r="C2488" s="7">
        <v>10.967599999999999</v>
      </c>
      <c r="D2488" s="7">
        <v>10.984</v>
      </c>
      <c r="E2488" s="7">
        <v>11.017799999999999</v>
      </c>
      <c r="F2488" s="7">
        <v>11.0649</v>
      </c>
      <c r="G2488" s="7">
        <v>11.1023</v>
      </c>
      <c r="H2488" s="7">
        <v>11.1272</v>
      </c>
      <c r="I2488" s="7">
        <v>11.153700000000001</v>
      </c>
      <c r="J2488" s="7">
        <v>11.1111</v>
      </c>
      <c r="K2488" s="7">
        <v>11.066599999999999</v>
      </c>
      <c r="L2488" s="7">
        <v>11.007199999999999</v>
      </c>
      <c r="M2488" s="7">
        <v>10.896699999999999</v>
      </c>
      <c r="N2488" s="7">
        <v>10.7897</v>
      </c>
      <c r="O2488" s="7">
        <v>10.684200000000001</v>
      </c>
      <c r="P2488" s="7">
        <v>10.6396</v>
      </c>
      <c r="Q2488" s="7">
        <v>10.5505</v>
      </c>
    </row>
    <row r="2489" spans="1:17">
      <c r="A2489" s="5">
        <v>45089</v>
      </c>
      <c r="B2489" s="5" t="str">
        <f t="shared" si="38"/>
        <v>2023 q2</v>
      </c>
      <c r="C2489" s="7">
        <v>11.0617</v>
      </c>
      <c r="D2489" s="7">
        <v>11.0585</v>
      </c>
      <c r="E2489" s="7">
        <v>11.0519</v>
      </c>
      <c r="F2489" s="7">
        <v>11.042</v>
      </c>
      <c r="G2489" s="7">
        <v>11.032299999999999</v>
      </c>
      <c r="H2489" s="7">
        <v>11.0229</v>
      </c>
      <c r="I2489" s="7">
        <v>10.9854</v>
      </c>
      <c r="J2489" s="7">
        <v>10.951000000000001</v>
      </c>
      <c r="K2489" s="7">
        <v>10.9171</v>
      </c>
      <c r="L2489" s="7">
        <v>10.8872</v>
      </c>
      <c r="M2489" s="7">
        <v>10.8302</v>
      </c>
      <c r="N2489" s="7">
        <v>10.7636</v>
      </c>
      <c r="O2489" s="7">
        <v>10.690300000000001</v>
      </c>
      <c r="P2489" s="7">
        <v>10.665800000000001</v>
      </c>
      <c r="Q2489" s="7">
        <v>10.616899999999999</v>
      </c>
    </row>
    <row r="2490" spans="1:17">
      <c r="A2490" s="5">
        <v>45090</v>
      </c>
      <c r="B2490" s="5" t="str">
        <f t="shared" si="38"/>
        <v>2023 q2</v>
      </c>
      <c r="C2490" s="7">
        <v>10.9802</v>
      </c>
      <c r="D2490" s="7">
        <v>10.9841</v>
      </c>
      <c r="E2490" s="7">
        <v>10.9922</v>
      </c>
      <c r="F2490" s="7">
        <v>11.003399999999999</v>
      </c>
      <c r="G2490" s="7">
        <v>11.0069</v>
      </c>
      <c r="H2490" s="7">
        <v>11.007099999999999</v>
      </c>
      <c r="I2490" s="7">
        <v>11.0039</v>
      </c>
      <c r="J2490" s="7">
        <v>10.968999999999999</v>
      </c>
      <c r="K2490" s="7">
        <v>10.933400000000001</v>
      </c>
      <c r="L2490" s="7">
        <v>10.892899999999999</v>
      </c>
      <c r="M2490" s="7">
        <v>10.816599999999999</v>
      </c>
      <c r="N2490" s="7">
        <v>10.7378</v>
      </c>
      <c r="O2490" s="7">
        <v>10.6541</v>
      </c>
      <c r="P2490" s="7">
        <v>10.6121</v>
      </c>
      <c r="Q2490" s="7">
        <v>10.554399999999999</v>
      </c>
    </row>
    <row r="2491" spans="1:17">
      <c r="A2491" s="5">
        <v>45091</v>
      </c>
      <c r="B2491" s="5" t="str">
        <f t="shared" si="38"/>
        <v>2023 q2</v>
      </c>
      <c r="C2491" s="7">
        <v>11.0153</v>
      </c>
      <c r="D2491" s="7">
        <v>11.0115</v>
      </c>
      <c r="E2491" s="7">
        <v>11.0037</v>
      </c>
      <c r="F2491" s="7">
        <v>10.992100000000001</v>
      </c>
      <c r="G2491" s="7">
        <v>10.981</v>
      </c>
      <c r="H2491" s="7">
        <v>10.9701</v>
      </c>
      <c r="I2491" s="7">
        <v>10.927300000000001</v>
      </c>
      <c r="J2491" s="7">
        <v>10.8893</v>
      </c>
      <c r="K2491" s="7">
        <v>10.8521</v>
      </c>
      <c r="L2491" s="7">
        <v>10.821199999999999</v>
      </c>
      <c r="M2491" s="7">
        <v>10.763500000000001</v>
      </c>
      <c r="N2491" s="7">
        <v>10.7059</v>
      </c>
      <c r="O2491" s="7">
        <v>10.659700000000001</v>
      </c>
      <c r="P2491" s="7">
        <v>10.672000000000001</v>
      </c>
      <c r="Q2491" s="7">
        <v>10.7768</v>
      </c>
    </row>
    <row r="2492" spans="1:17">
      <c r="A2492" s="5">
        <v>45092</v>
      </c>
      <c r="B2492" s="5" t="str">
        <f t="shared" si="38"/>
        <v>2023 q2</v>
      </c>
      <c r="C2492" s="7">
        <v>10.9557</v>
      </c>
      <c r="D2492" s="7">
        <v>10.965199999999999</v>
      </c>
      <c r="E2492" s="7">
        <v>10.9849</v>
      </c>
      <c r="F2492" s="7">
        <v>11.0123</v>
      </c>
      <c r="G2492" s="7">
        <v>11.024800000000001</v>
      </c>
      <c r="H2492" s="7">
        <v>11.031599999999999</v>
      </c>
      <c r="I2492" s="7">
        <v>11.0512</v>
      </c>
      <c r="J2492" s="7">
        <v>11.0162</v>
      </c>
      <c r="K2492" s="7">
        <v>10.963100000000001</v>
      </c>
      <c r="L2492" s="7">
        <v>10.906499999999999</v>
      </c>
      <c r="M2492" s="7">
        <v>10.7997</v>
      </c>
      <c r="N2492" s="7">
        <v>10.6891</v>
      </c>
      <c r="O2492" s="7">
        <v>10.575100000000001</v>
      </c>
      <c r="P2492" s="7">
        <v>10.524800000000001</v>
      </c>
      <c r="Q2492" s="7">
        <v>10.424200000000001</v>
      </c>
    </row>
    <row r="2493" spans="1:17">
      <c r="A2493" s="5">
        <v>45093</v>
      </c>
      <c r="B2493" s="5" t="str">
        <f t="shared" si="38"/>
        <v>2023 q2</v>
      </c>
      <c r="C2493" s="7">
        <v>11.0326</v>
      </c>
      <c r="D2493" s="7">
        <v>11.0289</v>
      </c>
      <c r="E2493" s="7">
        <v>11.021000000000001</v>
      </c>
      <c r="F2493" s="7">
        <v>11.009399999999999</v>
      </c>
      <c r="G2493" s="7">
        <v>10.998100000000001</v>
      </c>
      <c r="H2493" s="7">
        <v>10.987</v>
      </c>
      <c r="I2493" s="7">
        <v>10.9434</v>
      </c>
      <c r="J2493" s="7">
        <v>10.903700000000001</v>
      </c>
      <c r="K2493" s="7">
        <v>10.864699999999999</v>
      </c>
      <c r="L2493" s="7">
        <v>10.831</v>
      </c>
      <c r="M2493" s="7">
        <v>10.767099999999999</v>
      </c>
      <c r="N2493" s="7">
        <v>10.696</v>
      </c>
      <c r="O2493" s="7">
        <v>10.625500000000001</v>
      </c>
      <c r="P2493" s="7">
        <v>10.616300000000001</v>
      </c>
      <c r="Q2493" s="7">
        <v>10.597799999999999</v>
      </c>
    </row>
    <row r="2494" spans="1:17">
      <c r="A2494" s="5">
        <v>45096</v>
      </c>
      <c r="B2494" s="5" t="str">
        <f t="shared" si="38"/>
        <v>2023 q2</v>
      </c>
      <c r="C2494" s="7">
        <v>10.9953</v>
      </c>
      <c r="D2494" s="7">
        <v>10.995900000000001</v>
      </c>
      <c r="E2494" s="7">
        <v>10.9971</v>
      </c>
      <c r="F2494" s="7">
        <v>10.9985</v>
      </c>
      <c r="G2494" s="7">
        <v>10.9964</v>
      </c>
      <c r="H2494" s="7">
        <v>10.993</v>
      </c>
      <c r="I2494" s="7">
        <v>10.977</v>
      </c>
      <c r="J2494" s="7">
        <v>10.944699999999999</v>
      </c>
      <c r="K2494" s="7">
        <v>10.9116</v>
      </c>
      <c r="L2494" s="7">
        <v>10.873799999999999</v>
      </c>
      <c r="M2494" s="7">
        <v>10.800599999999999</v>
      </c>
      <c r="N2494" s="7">
        <v>10.712999999999999</v>
      </c>
      <c r="O2494" s="7">
        <v>10.611700000000001</v>
      </c>
      <c r="P2494" s="7">
        <v>10.5593</v>
      </c>
      <c r="Q2494" s="7">
        <v>10.4544</v>
      </c>
    </row>
    <row r="2495" spans="1:17">
      <c r="A2495" s="5">
        <v>45097</v>
      </c>
      <c r="B2495" s="5" t="str">
        <f t="shared" si="38"/>
        <v>2023 q2</v>
      </c>
      <c r="C2495" s="7">
        <v>11.0404</v>
      </c>
      <c r="D2495" s="7">
        <v>11.0421</v>
      </c>
      <c r="E2495" s="7">
        <v>11.045500000000001</v>
      </c>
      <c r="F2495" s="7">
        <v>11.0489</v>
      </c>
      <c r="G2495" s="7">
        <v>11.0495</v>
      </c>
      <c r="H2495" s="7">
        <v>11.0436</v>
      </c>
      <c r="I2495" s="7">
        <v>11.012600000000001</v>
      </c>
      <c r="J2495" s="7">
        <v>10.9611</v>
      </c>
      <c r="K2495" s="7">
        <v>10.9101</v>
      </c>
      <c r="L2495" s="7">
        <v>10.861599999999999</v>
      </c>
      <c r="M2495" s="7">
        <v>10.772600000000001</v>
      </c>
      <c r="N2495" s="7">
        <v>10.6881</v>
      </c>
      <c r="O2495" s="7">
        <v>10.6035</v>
      </c>
      <c r="P2495" s="7">
        <v>10.566800000000001</v>
      </c>
      <c r="Q2495" s="7">
        <v>10.493499999999999</v>
      </c>
    </row>
    <row r="2496" spans="1:17">
      <c r="A2496" s="5">
        <v>45098</v>
      </c>
      <c r="B2496" s="5" t="str">
        <f t="shared" si="38"/>
        <v>2023 q2</v>
      </c>
      <c r="C2496" s="7">
        <v>11.021000000000001</v>
      </c>
      <c r="D2496" s="7">
        <v>11.032</v>
      </c>
      <c r="E2496" s="7">
        <v>11.0548</v>
      </c>
      <c r="F2496" s="7">
        <v>11.0806</v>
      </c>
      <c r="G2496" s="7">
        <v>11.094099999999999</v>
      </c>
      <c r="H2496" s="7">
        <v>11.0891</v>
      </c>
      <c r="I2496" s="7">
        <v>11.052099999999999</v>
      </c>
      <c r="J2496" s="7">
        <v>10.9777</v>
      </c>
      <c r="K2496" s="7">
        <v>10.9061</v>
      </c>
      <c r="L2496" s="7">
        <v>10.8504</v>
      </c>
      <c r="M2496" s="7">
        <v>10.753299999999999</v>
      </c>
      <c r="N2496" s="7">
        <v>10.679399999999999</v>
      </c>
      <c r="O2496" s="7">
        <v>10.6113</v>
      </c>
      <c r="P2496" s="7">
        <v>10.580500000000001</v>
      </c>
      <c r="Q2496" s="7">
        <v>10.538600000000001</v>
      </c>
    </row>
    <row r="2497" spans="1:17">
      <c r="A2497" s="5">
        <v>45099</v>
      </c>
      <c r="B2497" s="5" t="str">
        <f t="shared" si="38"/>
        <v>2023 q2</v>
      </c>
      <c r="C2497" s="7">
        <v>11.0213</v>
      </c>
      <c r="D2497" s="7">
        <v>11.0237</v>
      </c>
      <c r="E2497" s="7">
        <v>11.0288</v>
      </c>
      <c r="F2497" s="7">
        <v>11.033899999999999</v>
      </c>
      <c r="G2497" s="7">
        <v>11.0359</v>
      </c>
      <c r="H2497" s="7">
        <v>11.0314</v>
      </c>
      <c r="I2497" s="7">
        <v>11.0067</v>
      </c>
      <c r="J2497" s="7">
        <v>10.9605</v>
      </c>
      <c r="K2497" s="7">
        <v>10.914199999999999</v>
      </c>
      <c r="L2497" s="7">
        <v>10.8673</v>
      </c>
      <c r="M2497" s="7">
        <v>10.780099999999999</v>
      </c>
      <c r="N2497" s="7">
        <v>10.6929</v>
      </c>
      <c r="O2497" s="7">
        <v>10.6031</v>
      </c>
      <c r="P2497" s="7">
        <v>10.563000000000001</v>
      </c>
      <c r="Q2497" s="7">
        <v>10.482900000000001</v>
      </c>
    </row>
    <row r="2498" spans="1:17">
      <c r="A2498" s="5">
        <v>45100</v>
      </c>
      <c r="B2498" s="5" t="str">
        <f t="shared" si="38"/>
        <v>2023 q2</v>
      </c>
      <c r="C2498" s="7">
        <v>11.021599999999999</v>
      </c>
      <c r="D2498" s="7">
        <v>11.0242</v>
      </c>
      <c r="E2498" s="7">
        <v>11.029400000000001</v>
      </c>
      <c r="F2498" s="7">
        <v>11.034700000000001</v>
      </c>
      <c r="G2498" s="7">
        <v>11.0367</v>
      </c>
      <c r="H2498" s="7">
        <v>11.032</v>
      </c>
      <c r="I2498" s="7">
        <v>11.0063</v>
      </c>
      <c r="J2498" s="7">
        <v>10.9598</v>
      </c>
      <c r="K2498" s="7">
        <v>10.913399999999999</v>
      </c>
      <c r="L2498" s="7">
        <v>10.867699999999999</v>
      </c>
      <c r="M2498" s="7">
        <v>10.7834</v>
      </c>
      <c r="N2498" s="7">
        <v>10.7018</v>
      </c>
      <c r="O2498" s="7">
        <v>10.6174</v>
      </c>
      <c r="P2498" s="7">
        <v>10.575900000000001</v>
      </c>
      <c r="Q2498" s="7">
        <v>10.5191</v>
      </c>
    </row>
    <row r="2499" spans="1:17">
      <c r="A2499" s="5">
        <v>45103</v>
      </c>
      <c r="B2499" s="5" t="str">
        <f t="shared" ref="B2499:B2562" si="39">YEAR(A2499)&amp;" q"&amp;ROUNDUP(MONTH(A2499)/3,0)</f>
        <v>2023 q2</v>
      </c>
      <c r="C2499" s="7">
        <v>11.0457</v>
      </c>
      <c r="D2499" s="7">
        <v>11.043100000000001</v>
      </c>
      <c r="E2499" s="7">
        <v>11.037800000000001</v>
      </c>
      <c r="F2499" s="7">
        <v>11.0298</v>
      </c>
      <c r="G2499" s="7">
        <v>11.021800000000001</v>
      </c>
      <c r="H2499" s="7">
        <v>11.014099999999999</v>
      </c>
      <c r="I2499" s="7">
        <v>10.9833</v>
      </c>
      <c r="J2499" s="7">
        <v>10.953900000000001</v>
      </c>
      <c r="K2499" s="7">
        <v>10.9247</v>
      </c>
      <c r="L2499" s="7">
        <v>10.8973</v>
      </c>
      <c r="M2499" s="7">
        <v>10.8437</v>
      </c>
      <c r="N2499" s="7">
        <v>10.771599999999999</v>
      </c>
      <c r="O2499" s="7">
        <v>10.666600000000001</v>
      </c>
      <c r="P2499" s="7">
        <v>10.580500000000001</v>
      </c>
      <c r="Q2499" s="7">
        <v>10.4084</v>
      </c>
    </row>
    <row r="2500" spans="1:17">
      <c r="A2500" s="5">
        <v>45104</v>
      </c>
      <c r="B2500" s="5" t="str">
        <f t="shared" si="39"/>
        <v>2023 q2</v>
      </c>
      <c r="C2500" s="7">
        <v>11.0238</v>
      </c>
      <c r="D2500" s="7">
        <v>11.024900000000001</v>
      </c>
      <c r="E2500" s="7">
        <v>11.0273</v>
      </c>
      <c r="F2500" s="7">
        <v>11.027900000000001</v>
      </c>
      <c r="G2500" s="7">
        <v>11.0281</v>
      </c>
      <c r="H2500" s="7">
        <v>11.0238</v>
      </c>
      <c r="I2500" s="7">
        <v>11.0021</v>
      </c>
      <c r="J2500" s="7">
        <v>10.964700000000001</v>
      </c>
      <c r="K2500" s="7">
        <v>10.926500000000001</v>
      </c>
      <c r="L2500" s="7">
        <v>10.884499999999999</v>
      </c>
      <c r="M2500" s="7">
        <v>10.804</v>
      </c>
      <c r="N2500" s="7">
        <v>10.712400000000001</v>
      </c>
      <c r="O2500" s="7">
        <v>10.6097</v>
      </c>
      <c r="P2500" s="7">
        <v>10.5587</v>
      </c>
      <c r="Q2500" s="7">
        <v>10.4567</v>
      </c>
    </row>
    <row r="2501" spans="1:17">
      <c r="A2501" s="5">
        <v>45105</v>
      </c>
      <c r="B2501" s="5" t="str">
        <f t="shared" si="39"/>
        <v>2023 q2</v>
      </c>
      <c r="C2501" s="7">
        <v>10.9711</v>
      </c>
      <c r="D2501" s="7">
        <v>10.9747</v>
      </c>
      <c r="E2501" s="7">
        <v>10.982200000000001</v>
      </c>
      <c r="F2501" s="7">
        <v>10.9893</v>
      </c>
      <c r="G2501" s="7">
        <v>10.9962</v>
      </c>
      <c r="H2501" s="7">
        <v>10.996600000000001</v>
      </c>
      <c r="I2501" s="7">
        <v>10.9925</v>
      </c>
      <c r="J2501" s="7">
        <v>10.9649</v>
      </c>
      <c r="K2501" s="7">
        <v>10.9354</v>
      </c>
      <c r="L2501" s="7">
        <v>10.8964</v>
      </c>
      <c r="M2501" s="7">
        <v>10.82</v>
      </c>
      <c r="N2501" s="7">
        <v>10.726800000000001</v>
      </c>
      <c r="O2501" s="7">
        <v>10.6195</v>
      </c>
      <c r="P2501" s="7">
        <v>10.5648</v>
      </c>
      <c r="Q2501" s="7">
        <v>10.455500000000001</v>
      </c>
    </row>
    <row r="2502" spans="1:17">
      <c r="A2502" s="5">
        <v>45106</v>
      </c>
      <c r="B2502" s="5" t="str">
        <f t="shared" si="39"/>
        <v>2023 q2</v>
      </c>
      <c r="C2502" s="7">
        <v>10.9168</v>
      </c>
      <c r="D2502" s="7">
        <v>10.922599999999999</v>
      </c>
      <c r="E2502" s="7">
        <v>10.9345</v>
      </c>
      <c r="F2502" s="7">
        <v>10.9473</v>
      </c>
      <c r="G2502" s="7">
        <v>10.9598</v>
      </c>
      <c r="H2502" s="7">
        <v>10.9641</v>
      </c>
      <c r="I2502" s="7">
        <v>10.9741</v>
      </c>
      <c r="J2502" s="7">
        <v>10.954000000000001</v>
      </c>
      <c r="K2502" s="7">
        <v>10.931100000000001</v>
      </c>
      <c r="L2502" s="7">
        <v>10.894399999999999</v>
      </c>
      <c r="M2502" s="7">
        <v>10.8215</v>
      </c>
      <c r="N2502" s="7">
        <v>10.729200000000001</v>
      </c>
      <c r="O2502" s="7">
        <v>10.622199999999999</v>
      </c>
      <c r="P2502" s="7">
        <v>10.567600000000001</v>
      </c>
      <c r="Q2502" s="7">
        <v>10.458299999999999</v>
      </c>
    </row>
    <row r="2503" spans="1:17">
      <c r="A2503" s="5">
        <v>45107</v>
      </c>
      <c r="B2503" s="5" t="str">
        <f t="shared" si="39"/>
        <v>2023 q2</v>
      </c>
      <c r="C2503" s="7">
        <v>10.9115</v>
      </c>
      <c r="D2503" s="7">
        <v>10.920299999999999</v>
      </c>
      <c r="E2503" s="7">
        <v>10.9384</v>
      </c>
      <c r="F2503" s="7">
        <v>10.957100000000001</v>
      </c>
      <c r="G2503" s="7">
        <v>10.9754</v>
      </c>
      <c r="H2503" s="7">
        <v>10.981</v>
      </c>
      <c r="I2503" s="7">
        <v>10.993499999999999</v>
      </c>
      <c r="J2503" s="7">
        <v>10.9651</v>
      </c>
      <c r="K2503" s="7">
        <v>10.934200000000001</v>
      </c>
      <c r="L2503" s="7">
        <v>10.8901</v>
      </c>
      <c r="M2503" s="7">
        <v>10.8057</v>
      </c>
      <c r="N2503" s="7">
        <v>10.712</v>
      </c>
      <c r="O2503" s="7">
        <v>10.6119</v>
      </c>
      <c r="P2503" s="7">
        <v>10.5657</v>
      </c>
      <c r="Q2503" s="7">
        <v>10.4733</v>
      </c>
    </row>
    <row r="2504" spans="1:17">
      <c r="A2504" s="5">
        <v>45110</v>
      </c>
      <c r="B2504" s="5" t="str">
        <f t="shared" si="39"/>
        <v>2023 q3</v>
      </c>
      <c r="C2504" s="7">
        <v>10.929</v>
      </c>
      <c r="D2504" s="7">
        <v>10.932399999999999</v>
      </c>
      <c r="E2504" s="7">
        <v>10.9392</v>
      </c>
      <c r="F2504" s="7">
        <v>10.9476</v>
      </c>
      <c r="G2504" s="7">
        <v>10.9559</v>
      </c>
      <c r="H2504" s="7">
        <v>10.959899999999999</v>
      </c>
      <c r="I2504" s="7">
        <v>10.971500000000001</v>
      </c>
      <c r="J2504" s="7">
        <v>10.9635</v>
      </c>
      <c r="K2504" s="7">
        <v>10.952500000000001</v>
      </c>
      <c r="L2504" s="7">
        <v>10.926600000000001</v>
      </c>
      <c r="M2504" s="7">
        <v>10.8705</v>
      </c>
      <c r="N2504" s="7">
        <v>10.775</v>
      </c>
      <c r="O2504" s="7">
        <v>10.6393</v>
      </c>
      <c r="P2504" s="7">
        <v>10.5458</v>
      </c>
      <c r="Q2504" s="7">
        <v>10.3589</v>
      </c>
    </row>
    <row r="2505" spans="1:17">
      <c r="A2505" s="5">
        <v>45111</v>
      </c>
      <c r="B2505" s="5" t="str">
        <f t="shared" si="39"/>
        <v>2023 q3</v>
      </c>
      <c r="C2505" s="7">
        <v>11.103199999999999</v>
      </c>
      <c r="D2505" s="7">
        <v>11.1004</v>
      </c>
      <c r="E2505" s="7">
        <v>11.0947</v>
      </c>
      <c r="F2505" s="7">
        <v>11.086</v>
      </c>
      <c r="G2505" s="7">
        <v>11.076499999999999</v>
      </c>
      <c r="H2505" s="7">
        <v>11.066800000000001</v>
      </c>
      <c r="I2505" s="7">
        <v>11.0235</v>
      </c>
      <c r="J2505" s="7">
        <v>10.9777</v>
      </c>
      <c r="K2505" s="7">
        <v>10.932499999999999</v>
      </c>
      <c r="L2505" s="7">
        <v>10.8902</v>
      </c>
      <c r="M2505" s="7">
        <v>10.8103</v>
      </c>
      <c r="N2505" s="7">
        <v>10.722099999999999</v>
      </c>
      <c r="O2505" s="7">
        <v>10.622400000000001</v>
      </c>
      <c r="P2505" s="7">
        <v>10.571199999999999</v>
      </c>
      <c r="Q2505" s="7">
        <v>10.4687</v>
      </c>
    </row>
    <row r="2506" spans="1:17">
      <c r="A2506" s="5">
        <v>45113</v>
      </c>
      <c r="B2506" s="5" t="str">
        <f t="shared" si="39"/>
        <v>2023 q3</v>
      </c>
      <c r="C2506" s="7">
        <v>11.067500000000001</v>
      </c>
      <c r="D2506" s="7">
        <v>11.0671</v>
      </c>
      <c r="E2506" s="7">
        <v>11.0662</v>
      </c>
      <c r="F2506" s="7">
        <v>11.064500000000001</v>
      </c>
      <c r="G2506" s="7">
        <v>11.061</v>
      </c>
      <c r="H2506" s="7">
        <v>11.0572</v>
      </c>
      <c r="I2506" s="7">
        <v>11.0296</v>
      </c>
      <c r="J2506" s="7">
        <v>10.9917</v>
      </c>
      <c r="K2506" s="7">
        <v>10.953099999999999</v>
      </c>
      <c r="L2506" s="7">
        <v>10.9108</v>
      </c>
      <c r="M2506" s="7">
        <v>10.828900000000001</v>
      </c>
      <c r="N2506" s="7">
        <v>10.7301</v>
      </c>
      <c r="O2506" s="7">
        <v>10.614100000000001</v>
      </c>
      <c r="P2506" s="7">
        <v>10.5517</v>
      </c>
      <c r="Q2506" s="7">
        <v>10.427099999999999</v>
      </c>
    </row>
    <row r="2507" spans="1:17">
      <c r="A2507" s="5">
        <v>45114</v>
      </c>
      <c r="B2507" s="5" t="str">
        <f t="shared" si="39"/>
        <v>2023 q3</v>
      </c>
      <c r="C2507" s="7">
        <v>11.0684</v>
      </c>
      <c r="D2507" s="7">
        <v>11.0672</v>
      </c>
      <c r="E2507" s="7">
        <v>11.0648</v>
      </c>
      <c r="F2507" s="7">
        <v>11.0611</v>
      </c>
      <c r="G2507" s="7">
        <v>11.0563</v>
      </c>
      <c r="H2507" s="7">
        <v>11.051399999999999</v>
      </c>
      <c r="I2507" s="7">
        <v>11.0246</v>
      </c>
      <c r="J2507" s="7">
        <v>10.9915</v>
      </c>
      <c r="K2507" s="7">
        <v>10.957700000000001</v>
      </c>
      <c r="L2507" s="7">
        <v>10.920999999999999</v>
      </c>
      <c r="M2507" s="7">
        <v>10.848800000000001</v>
      </c>
      <c r="N2507" s="7">
        <v>10.7554</v>
      </c>
      <c r="O2507" s="7">
        <v>10.6379</v>
      </c>
      <c r="P2507" s="7">
        <v>10.5672</v>
      </c>
      <c r="Q2507" s="7">
        <v>10.425800000000001</v>
      </c>
    </row>
    <row r="2508" spans="1:17">
      <c r="A2508" s="5">
        <v>45117</v>
      </c>
      <c r="B2508" s="5" t="str">
        <f t="shared" si="39"/>
        <v>2023 q3</v>
      </c>
      <c r="C2508" s="7">
        <v>11.068300000000001</v>
      </c>
      <c r="D2508" s="7">
        <v>11.067500000000001</v>
      </c>
      <c r="E2508" s="7">
        <v>11.066000000000001</v>
      </c>
      <c r="F2508" s="7">
        <v>11.0633</v>
      </c>
      <c r="G2508" s="7">
        <v>11.0586</v>
      </c>
      <c r="H2508" s="7">
        <v>11.0535</v>
      </c>
      <c r="I2508" s="7">
        <v>11.020799999999999</v>
      </c>
      <c r="J2508" s="7">
        <v>10.9794</v>
      </c>
      <c r="K2508" s="7">
        <v>10.937900000000001</v>
      </c>
      <c r="L2508" s="7">
        <v>10.8963</v>
      </c>
      <c r="M2508" s="7">
        <v>10.818</v>
      </c>
      <c r="N2508" s="7">
        <v>10.7331</v>
      </c>
      <c r="O2508" s="7">
        <v>10.6403</v>
      </c>
      <c r="P2508" s="7">
        <v>10.5952</v>
      </c>
      <c r="Q2508" s="7">
        <v>10.505000000000001</v>
      </c>
    </row>
    <row r="2509" spans="1:17">
      <c r="A2509" s="5">
        <v>45118</v>
      </c>
      <c r="B2509" s="5" t="str">
        <f t="shared" si="39"/>
        <v>2023 q3</v>
      </c>
      <c r="C2509" s="7">
        <v>10.9621</v>
      </c>
      <c r="D2509" s="7">
        <v>10.9651</v>
      </c>
      <c r="E2509" s="7">
        <v>10.971299999999999</v>
      </c>
      <c r="F2509" s="7">
        <v>10.979100000000001</v>
      </c>
      <c r="G2509" s="7">
        <v>10.9847</v>
      </c>
      <c r="H2509" s="7">
        <v>10.989699999999999</v>
      </c>
      <c r="I2509" s="7">
        <v>10.9855</v>
      </c>
      <c r="J2509" s="7">
        <v>10.962</v>
      </c>
      <c r="K2509" s="7">
        <v>10.936</v>
      </c>
      <c r="L2509" s="7">
        <v>10.9002</v>
      </c>
      <c r="M2509" s="7">
        <v>10.829800000000001</v>
      </c>
      <c r="N2509" s="7">
        <v>10.7422</v>
      </c>
      <c r="O2509" s="7">
        <v>10.640499999999999</v>
      </c>
      <c r="P2509" s="7">
        <v>10.5877</v>
      </c>
      <c r="Q2509" s="7">
        <v>10.4823</v>
      </c>
    </row>
    <row r="2510" spans="1:17">
      <c r="A2510" s="5">
        <v>45119</v>
      </c>
      <c r="B2510" s="5" t="str">
        <f t="shared" si="39"/>
        <v>2023 q3</v>
      </c>
      <c r="C2510" s="7">
        <v>10.9634</v>
      </c>
      <c r="D2510" s="7">
        <v>10.967700000000001</v>
      </c>
      <c r="E2510" s="7">
        <v>10.9765</v>
      </c>
      <c r="F2510" s="7">
        <v>10.9864</v>
      </c>
      <c r="G2510" s="7">
        <v>10.991400000000001</v>
      </c>
      <c r="H2510" s="7">
        <v>10.9954</v>
      </c>
      <c r="I2510" s="7">
        <v>10.9681</v>
      </c>
      <c r="J2510" s="7">
        <v>10.9152</v>
      </c>
      <c r="K2510" s="7">
        <v>10.8622</v>
      </c>
      <c r="L2510" s="7">
        <v>10.808299999999999</v>
      </c>
      <c r="M2510" s="7">
        <v>10.710100000000001</v>
      </c>
      <c r="N2510" s="7">
        <v>10.617100000000001</v>
      </c>
      <c r="O2510" s="7">
        <v>10.5246</v>
      </c>
      <c r="P2510" s="7">
        <v>10.484500000000001</v>
      </c>
      <c r="Q2510" s="7">
        <v>10.404400000000001</v>
      </c>
    </row>
    <row r="2511" spans="1:17">
      <c r="A2511" s="5">
        <v>45120</v>
      </c>
      <c r="B2511" s="5" t="str">
        <f t="shared" si="39"/>
        <v>2023 q3</v>
      </c>
      <c r="C2511" s="7">
        <v>10.897399999999999</v>
      </c>
      <c r="D2511" s="7">
        <v>10.896699999999999</v>
      </c>
      <c r="E2511" s="7">
        <v>10.8954</v>
      </c>
      <c r="F2511" s="7">
        <v>10.8932</v>
      </c>
      <c r="G2511" s="7">
        <v>10.891</v>
      </c>
      <c r="H2511" s="7">
        <v>10.8888</v>
      </c>
      <c r="I2511" s="7">
        <v>10.878</v>
      </c>
      <c r="J2511" s="7">
        <v>10.8653</v>
      </c>
      <c r="K2511" s="7">
        <v>10.851699999999999</v>
      </c>
      <c r="L2511" s="7">
        <v>10.8352</v>
      </c>
      <c r="M2511" s="7">
        <v>10.7996</v>
      </c>
      <c r="N2511" s="7">
        <v>10.7347</v>
      </c>
      <c r="O2511" s="7">
        <v>10.591200000000001</v>
      </c>
      <c r="P2511" s="7">
        <v>10.4192</v>
      </c>
      <c r="Q2511" s="7">
        <v>10.0754</v>
      </c>
    </row>
    <row r="2512" spans="1:17">
      <c r="A2512" s="5">
        <v>45121</v>
      </c>
      <c r="B2512" s="5" t="str">
        <f t="shared" si="39"/>
        <v>2023 q3</v>
      </c>
      <c r="C2512" s="7">
        <v>10.9582</v>
      </c>
      <c r="D2512" s="7">
        <v>10.960900000000001</v>
      </c>
      <c r="E2512" s="7">
        <v>10.9663</v>
      </c>
      <c r="F2512" s="7">
        <v>10.9727</v>
      </c>
      <c r="G2512" s="7">
        <v>10.976800000000001</v>
      </c>
      <c r="H2512" s="7">
        <v>10.9802</v>
      </c>
      <c r="I2512" s="7">
        <v>10.9671</v>
      </c>
      <c r="J2512" s="7">
        <v>10.930899999999999</v>
      </c>
      <c r="K2512" s="7">
        <v>10.891400000000001</v>
      </c>
      <c r="L2512" s="7">
        <v>10.838699999999999</v>
      </c>
      <c r="M2512" s="7">
        <v>10.727600000000001</v>
      </c>
      <c r="N2512" s="7">
        <v>10.5801</v>
      </c>
      <c r="O2512" s="7">
        <v>10.396599999999999</v>
      </c>
      <c r="P2512" s="7">
        <v>10.2906</v>
      </c>
      <c r="Q2512" s="7">
        <v>10.0785</v>
      </c>
    </row>
    <row r="2513" spans="1:17">
      <c r="A2513" s="5">
        <v>45124</v>
      </c>
      <c r="B2513" s="5" t="str">
        <f t="shared" si="39"/>
        <v>2023 q3</v>
      </c>
      <c r="C2513" s="7">
        <v>10.962199999999999</v>
      </c>
      <c r="D2513" s="7">
        <v>10.964399999999999</v>
      </c>
      <c r="E2513" s="7">
        <v>10.9689</v>
      </c>
      <c r="F2513" s="7">
        <v>10.9739</v>
      </c>
      <c r="G2513" s="7">
        <v>10.976599999999999</v>
      </c>
      <c r="H2513" s="7">
        <v>10.978300000000001</v>
      </c>
      <c r="I2513" s="7">
        <v>10.9581</v>
      </c>
      <c r="J2513" s="7">
        <v>10.9153</v>
      </c>
      <c r="K2513" s="7">
        <v>10.8696</v>
      </c>
      <c r="L2513" s="7">
        <v>10.812900000000001</v>
      </c>
      <c r="M2513" s="7">
        <v>10.698499999999999</v>
      </c>
      <c r="N2513" s="7">
        <v>10.555</v>
      </c>
      <c r="O2513" s="7">
        <v>10.384</v>
      </c>
      <c r="P2513" s="7">
        <v>10.290900000000001</v>
      </c>
      <c r="Q2513" s="7">
        <v>10.104699999999999</v>
      </c>
    </row>
    <row r="2514" spans="1:17">
      <c r="A2514" s="5">
        <v>45125</v>
      </c>
      <c r="B2514" s="5" t="str">
        <f t="shared" si="39"/>
        <v>2023 q3</v>
      </c>
      <c r="C2514" s="7">
        <v>11.098100000000001</v>
      </c>
      <c r="D2514" s="7">
        <v>11.0909</v>
      </c>
      <c r="E2514" s="7">
        <v>11.0761</v>
      </c>
      <c r="F2514" s="7">
        <v>11.053900000000001</v>
      </c>
      <c r="G2514" s="7">
        <v>11.0321</v>
      </c>
      <c r="H2514" s="7">
        <v>11.011200000000001</v>
      </c>
      <c r="I2514" s="7">
        <v>10.9306</v>
      </c>
      <c r="J2514" s="7">
        <v>10.8575</v>
      </c>
      <c r="K2514" s="7">
        <v>10.7872</v>
      </c>
      <c r="L2514" s="7">
        <v>10.727600000000001</v>
      </c>
      <c r="M2514" s="7">
        <v>10.6172</v>
      </c>
      <c r="N2514" s="7">
        <v>10.504899999999999</v>
      </c>
      <c r="O2514" s="7">
        <v>10.415800000000001</v>
      </c>
      <c r="P2514" s="7">
        <v>10.443899999999999</v>
      </c>
      <c r="Q2514" s="7">
        <v>10.5002</v>
      </c>
    </row>
    <row r="2515" spans="1:17">
      <c r="A2515" s="5">
        <v>45126</v>
      </c>
      <c r="B2515" s="5" t="str">
        <f t="shared" si="39"/>
        <v>2023 q3</v>
      </c>
      <c r="C2515" s="7">
        <v>11.0298</v>
      </c>
      <c r="D2515" s="7">
        <v>11.026400000000001</v>
      </c>
      <c r="E2515" s="7">
        <v>11.019399999999999</v>
      </c>
      <c r="F2515" s="7">
        <v>11.008800000000001</v>
      </c>
      <c r="G2515" s="7">
        <v>10.9983</v>
      </c>
      <c r="H2515" s="7">
        <v>10.988</v>
      </c>
      <c r="I2515" s="7">
        <v>10.947100000000001</v>
      </c>
      <c r="J2515" s="7">
        <v>10.907299999999999</v>
      </c>
      <c r="K2515" s="7">
        <v>10.8681</v>
      </c>
      <c r="L2515" s="7">
        <v>10.8306</v>
      </c>
      <c r="M2515" s="7">
        <v>10.757199999999999</v>
      </c>
      <c r="N2515" s="7">
        <v>10.654500000000001</v>
      </c>
      <c r="O2515" s="7">
        <v>10.510300000000001</v>
      </c>
      <c r="P2515" s="7">
        <v>10.3902</v>
      </c>
      <c r="Q2515" s="7">
        <v>10.149900000000001</v>
      </c>
    </row>
    <row r="2516" spans="1:17">
      <c r="A2516" s="5">
        <v>45127</v>
      </c>
      <c r="B2516" s="5" t="str">
        <f t="shared" si="39"/>
        <v>2023 q3</v>
      </c>
      <c r="C2516" s="7">
        <v>10.9137</v>
      </c>
      <c r="D2516" s="7">
        <v>10.9213</v>
      </c>
      <c r="E2516" s="7">
        <v>10.936999999999999</v>
      </c>
      <c r="F2516" s="7">
        <v>10.96</v>
      </c>
      <c r="G2516" s="7">
        <v>10.973000000000001</v>
      </c>
      <c r="H2516" s="7">
        <v>10.975099999999999</v>
      </c>
      <c r="I2516" s="7">
        <v>10.9552</v>
      </c>
      <c r="J2516" s="7">
        <v>10.8919</v>
      </c>
      <c r="K2516" s="7">
        <v>10.827500000000001</v>
      </c>
      <c r="L2516" s="7">
        <v>10.7598</v>
      </c>
      <c r="M2516" s="7">
        <v>10.636900000000001</v>
      </c>
      <c r="N2516" s="7">
        <v>10.521699999999999</v>
      </c>
      <c r="O2516" s="7">
        <v>10.408200000000001</v>
      </c>
      <c r="P2516" s="7">
        <v>10.359400000000001</v>
      </c>
      <c r="Q2516" s="7">
        <v>10.261799999999999</v>
      </c>
    </row>
    <row r="2517" spans="1:17">
      <c r="A2517" s="5">
        <v>45128</v>
      </c>
      <c r="B2517" s="5" t="str">
        <f t="shared" si="39"/>
        <v>2023 q3</v>
      </c>
      <c r="C2517" s="7">
        <v>10.9819</v>
      </c>
      <c r="D2517" s="7">
        <v>10.976100000000001</v>
      </c>
      <c r="E2517" s="7">
        <v>10.9643</v>
      </c>
      <c r="F2517" s="7">
        <v>10.9466</v>
      </c>
      <c r="G2517" s="7">
        <v>10.9293</v>
      </c>
      <c r="H2517" s="7">
        <v>10.912599999999999</v>
      </c>
      <c r="I2517" s="7">
        <v>10.8485</v>
      </c>
      <c r="J2517" s="7">
        <v>10.7903</v>
      </c>
      <c r="K2517" s="7">
        <v>10.734500000000001</v>
      </c>
      <c r="L2517" s="7">
        <v>10.687200000000001</v>
      </c>
      <c r="M2517" s="7">
        <v>10.5999</v>
      </c>
      <c r="N2517" s="7">
        <v>10.512499999999999</v>
      </c>
      <c r="O2517" s="7">
        <v>10.448</v>
      </c>
      <c r="P2517" s="7">
        <v>10.481</v>
      </c>
      <c r="Q2517" s="7">
        <v>10.5471</v>
      </c>
    </row>
    <row r="2518" spans="1:17">
      <c r="A2518" s="5">
        <v>45131</v>
      </c>
      <c r="B2518" s="5" t="str">
        <f t="shared" si="39"/>
        <v>2023 q3</v>
      </c>
      <c r="C2518" s="7">
        <v>10.9032</v>
      </c>
      <c r="D2518" s="7">
        <v>10.913500000000001</v>
      </c>
      <c r="E2518" s="7">
        <v>10.934699999999999</v>
      </c>
      <c r="F2518" s="7">
        <v>10.9656</v>
      </c>
      <c r="G2518" s="7">
        <v>10.982799999999999</v>
      </c>
      <c r="H2518" s="7">
        <v>10.9855</v>
      </c>
      <c r="I2518" s="7">
        <v>10.962300000000001</v>
      </c>
      <c r="J2518" s="7">
        <v>10.89</v>
      </c>
      <c r="K2518" s="7">
        <v>10.818300000000001</v>
      </c>
      <c r="L2518" s="7">
        <v>10.748900000000001</v>
      </c>
      <c r="M2518" s="7">
        <v>10.626099999999999</v>
      </c>
      <c r="N2518" s="7">
        <v>10.5207</v>
      </c>
      <c r="O2518" s="7">
        <v>10.4214</v>
      </c>
      <c r="P2518" s="7">
        <v>10.38</v>
      </c>
      <c r="Q2518" s="7">
        <v>10.2974</v>
      </c>
    </row>
    <row r="2519" spans="1:17">
      <c r="A2519" s="5">
        <v>45132</v>
      </c>
      <c r="B2519" s="5" t="str">
        <f t="shared" si="39"/>
        <v>2023 q3</v>
      </c>
      <c r="C2519" s="7">
        <v>10.912699999999999</v>
      </c>
      <c r="D2519" s="7">
        <v>10.9206</v>
      </c>
      <c r="E2519" s="7">
        <v>10.936999999999999</v>
      </c>
      <c r="F2519" s="7">
        <v>10.9602</v>
      </c>
      <c r="G2519" s="7">
        <v>10.971299999999999</v>
      </c>
      <c r="H2519" s="7">
        <v>10.9689</v>
      </c>
      <c r="I2519" s="7">
        <v>10.9323</v>
      </c>
      <c r="J2519" s="7">
        <v>10.8574</v>
      </c>
      <c r="K2519" s="7">
        <v>10.785</v>
      </c>
      <c r="L2519" s="7">
        <v>10.720700000000001</v>
      </c>
      <c r="M2519" s="7">
        <v>10.608499999999999</v>
      </c>
      <c r="N2519" s="7">
        <v>10.5167</v>
      </c>
      <c r="O2519" s="7">
        <v>10.4298</v>
      </c>
      <c r="P2519" s="7">
        <v>10.3894</v>
      </c>
      <c r="Q2519" s="7">
        <v>10.335000000000001</v>
      </c>
    </row>
    <row r="2520" spans="1:17">
      <c r="A2520" s="5">
        <v>45133</v>
      </c>
      <c r="B2520" s="5" t="str">
        <f t="shared" si="39"/>
        <v>2023 q3</v>
      </c>
      <c r="C2520" s="7">
        <v>10.927</v>
      </c>
      <c r="D2520" s="7">
        <v>10.9308</v>
      </c>
      <c r="E2520" s="7">
        <v>10.938700000000001</v>
      </c>
      <c r="F2520" s="7">
        <v>10.9498</v>
      </c>
      <c r="G2520" s="7">
        <v>10.9542</v>
      </c>
      <c r="H2520" s="7">
        <v>10.9504</v>
      </c>
      <c r="I2520" s="7">
        <v>10.9178</v>
      </c>
      <c r="J2520" s="7">
        <v>10.856999999999999</v>
      </c>
      <c r="K2520" s="7">
        <v>10.7965</v>
      </c>
      <c r="L2520" s="7">
        <v>10.737</v>
      </c>
      <c r="M2520" s="7">
        <v>10.6297</v>
      </c>
      <c r="N2520" s="7">
        <v>10.5303</v>
      </c>
      <c r="O2520" s="7">
        <v>10.430199999999999</v>
      </c>
      <c r="P2520" s="7">
        <v>10.381600000000001</v>
      </c>
      <c r="Q2520" s="7">
        <v>10.315899999999999</v>
      </c>
    </row>
    <row r="2521" spans="1:17">
      <c r="A2521" s="5">
        <v>45134</v>
      </c>
      <c r="B2521" s="5" t="str">
        <f t="shared" si="39"/>
        <v>2023 q3</v>
      </c>
      <c r="C2521" s="7">
        <v>10.9147</v>
      </c>
      <c r="D2521" s="7">
        <v>10.9224</v>
      </c>
      <c r="E2521" s="7">
        <v>10.9383</v>
      </c>
      <c r="F2521" s="7">
        <v>10.960699999999999</v>
      </c>
      <c r="G2521" s="7">
        <v>10.9718</v>
      </c>
      <c r="H2521" s="7">
        <v>10.9695</v>
      </c>
      <c r="I2521" s="7">
        <v>10.934699999999999</v>
      </c>
      <c r="J2521" s="7">
        <v>10.860799999999999</v>
      </c>
      <c r="K2521" s="7">
        <v>10.7888</v>
      </c>
      <c r="L2521" s="7">
        <v>10.7226</v>
      </c>
      <c r="M2521" s="7">
        <v>10.6065</v>
      </c>
      <c r="N2521" s="7">
        <v>10.509</v>
      </c>
      <c r="O2521" s="7">
        <v>10.4175</v>
      </c>
      <c r="P2521" s="7">
        <v>10.3796</v>
      </c>
      <c r="Q2521" s="7">
        <v>10.303599999999999</v>
      </c>
    </row>
    <row r="2522" spans="1:17">
      <c r="A2522" s="5">
        <v>45135</v>
      </c>
      <c r="B2522" s="5" t="str">
        <f t="shared" si="39"/>
        <v>2023 q3</v>
      </c>
      <c r="C2522" s="7">
        <v>10.968999999999999</v>
      </c>
      <c r="D2522" s="7">
        <v>10.964</v>
      </c>
      <c r="E2522" s="7">
        <v>10.9536</v>
      </c>
      <c r="F2522" s="7">
        <v>10.938000000000001</v>
      </c>
      <c r="G2522" s="7">
        <v>10.922800000000001</v>
      </c>
      <c r="H2522" s="7">
        <v>10.908099999999999</v>
      </c>
      <c r="I2522" s="7">
        <v>10.8513</v>
      </c>
      <c r="J2522" s="7">
        <v>10.7994</v>
      </c>
      <c r="K2522" s="7">
        <v>10.749599999999999</v>
      </c>
      <c r="L2522" s="7">
        <v>10.7067</v>
      </c>
      <c r="M2522" s="7">
        <v>10.6272</v>
      </c>
      <c r="N2522" s="7">
        <v>10.5444</v>
      </c>
      <c r="O2522" s="7">
        <v>10.476000000000001</v>
      </c>
      <c r="P2522" s="7">
        <v>10.491099999999999</v>
      </c>
      <c r="Q2522" s="7">
        <v>10.5212</v>
      </c>
    </row>
    <row r="2523" spans="1:17">
      <c r="A2523" s="5">
        <v>45138</v>
      </c>
      <c r="B2523" s="5" t="str">
        <f t="shared" si="39"/>
        <v>2023 q3</v>
      </c>
      <c r="C2523" s="7">
        <v>10.964499999999999</v>
      </c>
      <c r="D2523" s="7">
        <v>10.960900000000001</v>
      </c>
      <c r="E2523" s="7">
        <v>10.9535</v>
      </c>
      <c r="F2523" s="7">
        <v>10.942500000000001</v>
      </c>
      <c r="G2523" s="7">
        <v>10.9315</v>
      </c>
      <c r="H2523" s="7">
        <v>10.9208</v>
      </c>
      <c r="I2523" s="7">
        <v>10.8787</v>
      </c>
      <c r="J2523" s="7">
        <v>10.8384</v>
      </c>
      <c r="K2523" s="7">
        <v>10.798999999999999</v>
      </c>
      <c r="L2523" s="7">
        <v>10.7623</v>
      </c>
      <c r="M2523" s="7">
        <v>10.6915</v>
      </c>
      <c r="N2523" s="7">
        <v>10.5969</v>
      </c>
      <c r="O2523" s="7">
        <v>10.480700000000001</v>
      </c>
      <c r="P2523" s="7">
        <v>10.4001</v>
      </c>
      <c r="Q2523" s="7">
        <v>10.238899999999999</v>
      </c>
    </row>
    <row r="2524" spans="1:17">
      <c r="A2524" s="5">
        <v>45139</v>
      </c>
      <c r="B2524" s="5" t="str">
        <f t="shared" si="39"/>
        <v>2023 q3</v>
      </c>
      <c r="C2524" s="7">
        <v>10.7281</v>
      </c>
      <c r="D2524" s="7">
        <v>10.7539</v>
      </c>
      <c r="E2524" s="7">
        <v>10.8071</v>
      </c>
      <c r="F2524" s="7">
        <v>10.880800000000001</v>
      </c>
      <c r="G2524" s="7">
        <v>10.9252</v>
      </c>
      <c r="H2524" s="7">
        <v>10.9345</v>
      </c>
      <c r="I2524" s="7">
        <v>10.9237</v>
      </c>
      <c r="J2524" s="7">
        <v>10.839399999999999</v>
      </c>
      <c r="K2524" s="7">
        <v>10.7599</v>
      </c>
      <c r="L2524" s="7">
        <v>10.6945</v>
      </c>
      <c r="M2524" s="7">
        <v>10.5848</v>
      </c>
      <c r="N2524" s="7">
        <v>10.505599999999999</v>
      </c>
      <c r="O2524" s="7">
        <v>10.435499999999999</v>
      </c>
      <c r="P2524" s="7">
        <v>10.407299999999999</v>
      </c>
      <c r="Q2524" s="7">
        <v>10.3508</v>
      </c>
    </row>
    <row r="2525" spans="1:17">
      <c r="A2525" s="5">
        <v>45140</v>
      </c>
      <c r="B2525" s="5" t="str">
        <f t="shared" si="39"/>
        <v>2023 q3</v>
      </c>
      <c r="C2525" s="7">
        <v>10.569900000000001</v>
      </c>
      <c r="D2525" s="7">
        <v>10.6411</v>
      </c>
      <c r="E2525" s="7">
        <v>10.788</v>
      </c>
      <c r="F2525" s="7">
        <v>10.966900000000001</v>
      </c>
      <c r="G2525" s="7">
        <v>10.9627</v>
      </c>
      <c r="H2525" s="7">
        <v>10.9178</v>
      </c>
      <c r="I2525" s="7">
        <v>10.7469</v>
      </c>
      <c r="J2525" s="7">
        <v>10.6707</v>
      </c>
      <c r="K2525" s="7">
        <v>10.6084</v>
      </c>
      <c r="L2525" s="7">
        <v>10.586499999999999</v>
      </c>
      <c r="M2525" s="7">
        <v>10.551600000000001</v>
      </c>
      <c r="N2525" s="7">
        <v>10.530900000000001</v>
      </c>
      <c r="O2525" s="7">
        <v>10.513199999999999</v>
      </c>
      <c r="P2525" s="7">
        <v>10.506</v>
      </c>
      <c r="Q2525" s="7">
        <v>10.4918</v>
      </c>
    </row>
    <row r="2526" spans="1:17">
      <c r="A2526" s="5">
        <v>45141</v>
      </c>
      <c r="B2526" s="5" t="str">
        <f t="shared" si="39"/>
        <v>2023 q3</v>
      </c>
      <c r="C2526" s="7">
        <v>10.552099999999999</v>
      </c>
      <c r="D2526" s="7">
        <v>10.630800000000001</v>
      </c>
      <c r="E2526" s="7">
        <v>10.793200000000001</v>
      </c>
      <c r="F2526" s="7">
        <v>10.9765</v>
      </c>
      <c r="G2526" s="7">
        <v>10.9108</v>
      </c>
      <c r="H2526" s="7">
        <v>10.856</v>
      </c>
      <c r="I2526" s="7">
        <v>10.684200000000001</v>
      </c>
      <c r="J2526" s="7">
        <v>10.6309</v>
      </c>
      <c r="K2526" s="7">
        <v>10.5877</v>
      </c>
      <c r="L2526" s="7">
        <v>10.572800000000001</v>
      </c>
      <c r="M2526" s="7">
        <v>10.549200000000001</v>
      </c>
      <c r="N2526" s="7">
        <v>10.5336</v>
      </c>
      <c r="O2526" s="7">
        <v>10.523199999999999</v>
      </c>
      <c r="P2526" s="7">
        <v>10.5184</v>
      </c>
      <c r="Q2526" s="7">
        <v>10.508800000000001</v>
      </c>
    </row>
    <row r="2527" spans="1:17">
      <c r="A2527" s="5">
        <v>45142</v>
      </c>
      <c r="B2527" s="5" t="str">
        <f t="shared" si="39"/>
        <v>2023 q3</v>
      </c>
      <c r="C2527" s="7">
        <v>10.553000000000001</v>
      </c>
      <c r="D2527" s="7">
        <v>10.632400000000001</v>
      </c>
      <c r="E2527" s="7">
        <v>10.7965</v>
      </c>
      <c r="F2527" s="7">
        <v>10.978</v>
      </c>
      <c r="G2527" s="7">
        <v>10.9108</v>
      </c>
      <c r="H2527" s="7">
        <v>10.8513</v>
      </c>
      <c r="I2527" s="7">
        <v>10.662800000000001</v>
      </c>
      <c r="J2527" s="7">
        <v>10.6029</v>
      </c>
      <c r="K2527" s="7">
        <v>10.554399999999999</v>
      </c>
      <c r="L2527" s="7">
        <v>10.537599999999999</v>
      </c>
      <c r="M2527" s="7">
        <v>10.511200000000001</v>
      </c>
      <c r="N2527" s="7">
        <v>10.4955</v>
      </c>
      <c r="O2527" s="7">
        <v>10.481999999999999</v>
      </c>
      <c r="P2527" s="7">
        <v>10.476599999999999</v>
      </c>
      <c r="Q2527" s="7">
        <v>10.4658</v>
      </c>
    </row>
    <row r="2528" spans="1:17">
      <c r="A2528" s="5">
        <v>45145</v>
      </c>
      <c r="B2528" s="5" t="str">
        <f t="shared" si="39"/>
        <v>2023 q3</v>
      </c>
      <c r="C2528" s="7">
        <v>10.5562</v>
      </c>
      <c r="D2528" s="7">
        <v>10.6355</v>
      </c>
      <c r="E2528" s="7">
        <v>10.799300000000001</v>
      </c>
      <c r="F2528" s="7">
        <v>10.9785</v>
      </c>
      <c r="G2528" s="7">
        <v>10.917899999999999</v>
      </c>
      <c r="H2528" s="7">
        <v>10.8575</v>
      </c>
      <c r="I2528" s="7">
        <v>10.662800000000001</v>
      </c>
      <c r="J2528" s="7">
        <v>10.5985</v>
      </c>
      <c r="K2528" s="7">
        <v>10.5465</v>
      </c>
      <c r="L2528" s="7">
        <v>10.528600000000001</v>
      </c>
      <c r="M2528" s="7">
        <v>10.5002</v>
      </c>
      <c r="N2528" s="7">
        <v>10.4833</v>
      </c>
      <c r="O2528" s="7">
        <v>10.4689</v>
      </c>
      <c r="P2528" s="7">
        <v>10.463100000000001</v>
      </c>
      <c r="Q2528" s="7">
        <v>10.451499999999999</v>
      </c>
    </row>
    <row r="2529" spans="1:17">
      <c r="A2529" s="5">
        <v>45146</v>
      </c>
      <c r="B2529" s="5" t="str">
        <f t="shared" si="39"/>
        <v>2023 q3</v>
      </c>
      <c r="C2529" s="7">
        <v>10.5639</v>
      </c>
      <c r="D2529" s="7">
        <v>10.6435</v>
      </c>
      <c r="E2529" s="7">
        <v>10.8079</v>
      </c>
      <c r="F2529" s="7">
        <v>10.977600000000001</v>
      </c>
      <c r="G2529" s="7">
        <v>10.9163</v>
      </c>
      <c r="H2529" s="7">
        <v>10.857200000000001</v>
      </c>
      <c r="I2529" s="7">
        <v>10.668799999999999</v>
      </c>
      <c r="J2529" s="7">
        <v>10.607200000000001</v>
      </c>
      <c r="K2529" s="7">
        <v>10.557600000000001</v>
      </c>
      <c r="L2529" s="7">
        <v>10.5405</v>
      </c>
      <c r="M2529" s="7">
        <v>10.513400000000001</v>
      </c>
      <c r="N2529" s="7">
        <v>10.497299999999999</v>
      </c>
      <c r="O2529" s="7">
        <v>10.483599999999999</v>
      </c>
      <c r="P2529" s="7">
        <v>10.478</v>
      </c>
      <c r="Q2529" s="7">
        <v>10.467000000000001</v>
      </c>
    </row>
    <row r="2530" spans="1:17">
      <c r="A2530" s="5">
        <v>45147</v>
      </c>
      <c r="B2530" s="5" t="str">
        <f t="shared" si="39"/>
        <v>2023 q3</v>
      </c>
      <c r="C2530" s="7">
        <v>10.569800000000001</v>
      </c>
      <c r="D2530" s="7">
        <v>10.648099999999999</v>
      </c>
      <c r="E2530" s="7">
        <v>10.809799999999999</v>
      </c>
      <c r="F2530" s="7">
        <v>10.978</v>
      </c>
      <c r="G2530" s="7">
        <v>10.934900000000001</v>
      </c>
      <c r="H2530" s="7">
        <v>10.876099999999999</v>
      </c>
      <c r="I2530" s="7">
        <v>10.6843</v>
      </c>
      <c r="J2530" s="7">
        <v>10.615500000000001</v>
      </c>
      <c r="K2530" s="7">
        <v>10.5604</v>
      </c>
      <c r="L2530" s="7">
        <v>10.5411</v>
      </c>
      <c r="M2530" s="7">
        <v>10.5108</v>
      </c>
      <c r="N2530" s="7">
        <v>10.492900000000001</v>
      </c>
      <c r="O2530" s="7">
        <v>10.477499999999999</v>
      </c>
      <c r="P2530" s="7">
        <v>10.471299999999999</v>
      </c>
      <c r="Q2530" s="7">
        <v>10.4589</v>
      </c>
    </row>
    <row r="2531" spans="1:17">
      <c r="A2531" s="5">
        <v>45148</v>
      </c>
      <c r="B2531" s="5" t="str">
        <f t="shared" si="39"/>
        <v>2023 q3</v>
      </c>
      <c r="C2531" s="7">
        <v>10.5777</v>
      </c>
      <c r="D2531" s="7">
        <v>10.653600000000001</v>
      </c>
      <c r="E2531" s="7">
        <v>10.8104</v>
      </c>
      <c r="F2531" s="7">
        <v>10.960900000000001</v>
      </c>
      <c r="G2531" s="7">
        <v>10.884499999999999</v>
      </c>
      <c r="H2531" s="7">
        <v>10.814399999999999</v>
      </c>
      <c r="I2531" s="7">
        <v>10.592700000000001</v>
      </c>
      <c r="J2531" s="7">
        <v>10.519</v>
      </c>
      <c r="K2531" s="7">
        <v>10.458299999999999</v>
      </c>
      <c r="L2531" s="7">
        <v>10.4343</v>
      </c>
      <c r="M2531" s="7">
        <v>10.407400000000001</v>
      </c>
      <c r="N2531" s="7">
        <v>10.388299999999999</v>
      </c>
      <c r="O2531" s="7">
        <v>10.3719</v>
      </c>
      <c r="P2531" s="7">
        <v>10.3653</v>
      </c>
      <c r="Q2531" s="7">
        <v>10.3521</v>
      </c>
    </row>
    <row r="2532" spans="1:17">
      <c r="A2532" s="5">
        <v>45149</v>
      </c>
      <c r="B2532" s="5" t="str">
        <f t="shared" si="39"/>
        <v>2023 q3</v>
      </c>
      <c r="C2532" s="7">
        <v>10.5695</v>
      </c>
      <c r="D2532" s="7">
        <v>10.6501</v>
      </c>
      <c r="E2532" s="7">
        <v>10.8163</v>
      </c>
      <c r="F2532" s="7">
        <v>10.960599999999999</v>
      </c>
      <c r="G2532" s="7">
        <v>10.838200000000001</v>
      </c>
      <c r="H2532" s="7">
        <v>10.757099999999999</v>
      </c>
      <c r="I2532" s="7">
        <v>10.506500000000001</v>
      </c>
      <c r="J2532" s="7">
        <v>10.430300000000001</v>
      </c>
      <c r="K2532" s="7">
        <v>10.3696</v>
      </c>
      <c r="L2532" s="7">
        <v>10.3485</v>
      </c>
      <c r="M2532" s="7">
        <v>10.315300000000001</v>
      </c>
      <c r="N2532" s="7">
        <v>10.2957</v>
      </c>
      <c r="O2532" s="7">
        <v>10.2788</v>
      </c>
      <c r="P2532" s="7">
        <v>10.2721</v>
      </c>
      <c r="Q2532" s="7">
        <v>10.2585</v>
      </c>
    </row>
    <row r="2533" spans="1:17">
      <c r="A2533" s="5">
        <v>45152</v>
      </c>
      <c r="B2533" s="5" t="str">
        <f t="shared" si="39"/>
        <v>2023 q3</v>
      </c>
      <c r="C2533" s="7">
        <v>10.569599999999999</v>
      </c>
      <c r="D2533" s="7">
        <v>10.651</v>
      </c>
      <c r="E2533" s="7">
        <v>10.8192</v>
      </c>
      <c r="F2533" s="7">
        <v>10.953900000000001</v>
      </c>
      <c r="G2533" s="7">
        <v>10.8049</v>
      </c>
      <c r="H2533" s="7">
        <v>10.725199999999999</v>
      </c>
      <c r="I2533" s="7">
        <v>10.4816</v>
      </c>
      <c r="J2533" s="7">
        <v>10.4115</v>
      </c>
      <c r="K2533" s="7">
        <v>10.3559</v>
      </c>
      <c r="L2533" s="7">
        <v>10.336499999999999</v>
      </c>
      <c r="M2533" s="7">
        <v>10.306100000000001</v>
      </c>
      <c r="N2533" s="7">
        <v>10.2881</v>
      </c>
      <c r="O2533" s="7">
        <v>10.272600000000001</v>
      </c>
      <c r="P2533" s="7">
        <v>10.266400000000001</v>
      </c>
      <c r="Q2533" s="7">
        <v>10.254</v>
      </c>
    </row>
    <row r="2534" spans="1:17">
      <c r="A2534" s="5">
        <v>45153</v>
      </c>
      <c r="B2534" s="5" t="str">
        <f t="shared" si="39"/>
        <v>2023 q3</v>
      </c>
      <c r="C2534" s="7">
        <v>10.2973</v>
      </c>
      <c r="D2534" s="7">
        <v>10.3848</v>
      </c>
      <c r="E2534" s="7">
        <v>10.5655</v>
      </c>
      <c r="F2534" s="7">
        <v>10.7182</v>
      </c>
      <c r="G2534" s="7">
        <v>10.6264</v>
      </c>
      <c r="H2534" s="7">
        <v>10.536099999999999</v>
      </c>
      <c r="I2534" s="7">
        <v>10.464</v>
      </c>
      <c r="J2534" s="7">
        <v>10.439299999999999</v>
      </c>
      <c r="K2534" s="7">
        <v>10.4192</v>
      </c>
      <c r="L2534" s="7">
        <v>10.4117</v>
      </c>
      <c r="M2534" s="7">
        <v>10.4025</v>
      </c>
      <c r="N2534" s="7">
        <v>10.3963</v>
      </c>
      <c r="O2534" s="7">
        <v>10.3904</v>
      </c>
      <c r="P2534" s="7">
        <v>10.3881</v>
      </c>
      <c r="Q2534" s="7">
        <v>10.3849</v>
      </c>
    </row>
    <row r="2535" spans="1:17">
      <c r="A2535" s="5">
        <v>45154</v>
      </c>
      <c r="B2535" s="5" t="str">
        <f t="shared" si="39"/>
        <v>2023 q3</v>
      </c>
      <c r="C2535" s="7">
        <v>10.289</v>
      </c>
      <c r="D2535" s="7">
        <v>10.382199999999999</v>
      </c>
      <c r="E2535" s="7">
        <v>10.5745</v>
      </c>
      <c r="F2535" s="7">
        <v>10.727600000000001</v>
      </c>
      <c r="G2535" s="7">
        <v>10.6145</v>
      </c>
      <c r="H2535" s="7">
        <v>10.504099999999999</v>
      </c>
      <c r="I2535" s="7">
        <v>10.4155</v>
      </c>
      <c r="J2535" s="7">
        <v>10.385199999999999</v>
      </c>
      <c r="K2535" s="7">
        <v>10.3614</v>
      </c>
      <c r="L2535" s="7">
        <v>10.3531</v>
      </c>
      <c r="M2535" s="7">
        <v>10.3401</v>
      </c>
      <c r="N2535" s="7">
        <v>10.3322</v>
      </c>
      <c r="O2535" s="7">
        <v>10.325799999999999</v>
      </c>
      <c r="P2535" s="7">
        <v>10.3231</v>
      </c>
      <c r="Q2535" s="7">
        <v>10.3178</v>
      </c>
    </row>
    <row r="2536" spans="1:17">
      <c r="A2536" s="5">
        <v>45155</v>
      </c>
      <c r="B2536" s="5" t="str">
        <f t="shared" si="39"/>
        <v>2023 q3</v>
      </c>
      <c r="C2536" s="7">
        <v>10.293100000000001</v>
      </c>
      <c r="D2536" s="7">
        <v>10.385199999999999</v>
      </c>
      <c r="E2536" s="7">
        <v>10.5755</v>
      </c>
      <c r="F2536" s="7">
        <v>10.719799999999999</v>
      </c>
      <c r="G2536" s="7">
        <v>10.599500000000001</v>
      </c>
      <c r="H2536" s="7">
        <v>10.4831</v>
      </c>
      <c r="I2536" s="7">
        <v>10.389699999999999</v>
      </c>
      <c r="J2536" s="7">
        <v>10.357699999999999</v>
      </c>
      <c r="K2536" s="7">
        <v>10.332700000000001</v>
      </c>
      <c r="L2536" s="7">
        <v>10.324</v>
      </c>
      <c r="M2536" s="7">
        <v>10.3103</v>
      </c>
      <c r="N2536" s="7">
        <v>10.302199999999999</v>
      </c>
      <c r="O2536" s="7">
        <v>10.295199999999999</v>
      </c>
      <c r="P2536" s="7">
        <v>10.292400000000001</v>
      </c>
      <c r="Q2536" s="7">
        <v>10.286799999999999</v>
      </c>
    </row>
    <row r="2537" spans="1:17">
      <c r="A2537" s="5">
        <v>45156</v>
      </c>
      <c r="B2537" s="5" t="str">
        <f t="shared" si="39"/>
        <v>2023 q3</v>
      </c>
      <c r="C2537" s="7">
        <v>10.2936</v>
      </c>
      <c r="D2537" s="7">
        <v>10.387</v>
      </c>
      <c r="E2537" s="7">
        <v>10.5799</v>
      </c>
      <c r="F2537" s="7">
        <v>10.7211</v>
      </c>
      <c r="G2537" s="7">
        <v>10.597300000000001</v>
      </c>
      <c r="H2537" s="7">
        <v>10.4787</v>
      </c>
      <c r="I2537" s="7">
        <v>10.3835</v>
      </c>
      <c r="J2537" s="7">
        <v>10.350899999999999</v>
      </c>
      <c r="K2537" s="7">
        <v>10.3246</v>
      </c>
      <c r="L2537" s="7">
        <v>10.3142</v>
      </c>
      <c r="M2537" s="7">
        <v>10.3026</v>
      </c>
      <c r="N2537" s="7">
        <v>10.2943</v>
      </c>
      <c r="O2537" s="7">
        <v>10.2873</v>
      </c>
      <c r="P2537" s="7">
        <v>10.2844</v>
      </c>
      <c r="Q2537" s="7">
        <v>10.278700000000001</v>
      </c>
    </row>
    <row r="2538" spans="1:17">
      <c r="A2538" s="5">
        <v>45159</v>
      </c>
      <c r="B2538" s="5" t="str">
        <f t="shared" si="39"/>
        <v>2023 q3</v>
      </c>
      <c r="C2538" s="7">
        <v>10.309200000000001</v>
      </c>
      <c r="D2538" s="7">
        <v>10.3956</v>
      </c>
      <c r="E2538" s="7">
        <v>10.574</v>
      </c>
      <c r="F2538" s="7">
        <v>10.7052</v>
      </c>
      <c r="G2538" s="7">
        <v>10.6036</v>
      </c>
      <c r="H2538" s="7">
        <v>10.507</v>
      </c>
      <c r="I2538" s="7">
        <v>10.4299</v>
      </c>
      <c r="J2538" s="7">
        <v>10.403499999999999</v>
      </c>
      <c r="K2538" s="7">
        <v>10.382899999999999</v>
      </c>
      <c r="L2538" s="7">
        <v>10.3757</v>
      </c>
      <c r="M2538" s="7">
        <v>10.3644</v>
      </c>
      <c r="N2538" s="7">
        <v>10.3569</v>
      </c>
      <c r="O2538" s="7">
        <v>10.351599999999999</v>
      </c>
      <c r="P2538" s="7">
        <v>10.349500000000001</v>
      </c>
      <c r="Q2538" s="7">
        <v>10.3452</v>
      </c>
    </row>
    <row r="2539" spans="1:17">
      <c r="A2539" s="5">
        <v>45160</v>
      </c>
      <c r="B2539" s="5" t="str">
        <f t="shared" si="39"/>
        <v>2023 q3</v>
      </c>
      <c r="C2539" s="7">
        <v>10.3126</v>
      </c>
      <c r="D2539" s="7">
        <v>10.401199999999999</v>
      </c>
      <c r="E2539" s="7">
        <v>10.5839</v>
      </c>
      <c r="F2539" s="7">
        <v>10.690799999999999</v>
      </c>
      <c r="G2539" s="7">
        <v>10.5489</v>
      </c>
      <c r="H2539" s="7">
        <v>10.5</v>
      </c>
      <c r="I2539" s="7">
        <v>10.397</v>
      </c>
      <c r="J2539" s="7">
        <v>10.368</v>
      </c>
      <c r="K2539" s="7">
        <v>10.345499999999999</v>
      </c>
      <c r="L2539" s="7">
        <v>10.3376</v>
      </c>
      <c r="M2539" s="7">
        <v>10.3253</v>
      </c>
      <c r="N2539" s="7">
        <v>10.318</v>
      </c>
      <c r="O2539" s="7">
        <v>10.311299999999999</v>
      </c>
      <c r="P2539" s="7">
        <v>10.308999999999999</v>
      </c>
      <c r="Q2539" s="7">
        <v>10.3043</v>
      </c>
    </row>
    <row r="2540" spans="1:17">
      <c r="A2540" s="5">
        <v>45161</v>
      </c>
      <c r="B2540" s="5" t="str">
        <f t="shared" si="39"/>
        <v>2023 q3</v>
      </c>
      <c r="C2540" s="7">
        <v>10.302199999999999</v>
      </c>
      <c r="D2540" s="7">
        <v>10.398999999999999</v>
      </c>
      <c r="E2540" s="7">
        <v>10.598800000000001</v>
      </c>
      <c r="F2540" s="7">
        <v>10.7081</v>
      </c>
      <c r="G2540" s="7">
        <v>10.546900000000001</v>
      </c>
      <c r="H2540" s="7">
        <v>10.492900000000001</v>
      </c>
      <c r="I2540" s="7">
        <v>10.3766</v>
      </c>
      <c r="J2540" s="7">
        <v>10.3438</v>
      </c>
      <c r="K2540" s="7">
        <v>10.3186</v>
      </c>
      <c r="L2540" s="7">
        <v>10.3096</v>
      </c>
      <c r="M2540" s="7">
        <v>10.2958</v>
      </c>
      <c r="N2540" s="7">
        <v>10.287599999999999</v>
      </c>
      <c r="O2540" s="7">
        <v>10.2805</v>
      </c>
      <c r="P2540" s="7">
        <v>10.277699999999999</v>
      </c>
      <c r="Q2540" s="7">
        <v>10.272</v>
      </c>
    </row>
    <row r="2541" spans="1:17">
      <c r="A2541" s="5">
        <v>45162</v>
      </c>
      <c r="B2541" s="5" t="str">
        <f t="shared" si="39"/>
        <v>2023 q3</v>
      </c>
      <c r="C2541" s="7">
        <v>10.4163</v>
      </c>
      <c r="D2541" s="7">
        <v>10.44</v>
      </c>
      <c r="E2541" s="7">
        <v>10.489100000000001</v>
      </c>
      <c r="F2541" s="7">
        <v>10.5017</v>
      </c>
      <c r="G2541" s="7">
        <v>10.4313</v>
      </c>
      <c r="H2541" s="7">
        <v>10.4086</v>
      </c>
      <c r="I2541" s="7">
        <v>10.3591</v>
      </c>
      <c r="J2541" s="7">
        <v>10.3452</v>
      </c>
      <c r="K2541" s="7">
        <v>10.3344</v>
      </c>
      <c r="L2541" s="7">
        <v>10.3306</v>
      </c>
      <c r="M2541" s="7">
        <v>10.3247</v>
      </c>
      <c r="N2541" s="7">
        <v>10.321300000000001</v>
      </c>
      <c r="O2541" s="7">
        <v>10.318300000000001</v>
      </c>
      <c r="P2541" s="7">
        <v>10.3171</v>
      </c>
      <c r="Q2541" s="7">
        <v>10.3146</v>
      </c>
    </row>
    <row r="2542" spans="1:17">
      <c r="A2542" s="5">
        <v>45163</v>
      </c>
      <c r="B2542" s="5" t="str">
        <f t="shared" si="39"/>
        <v>2023 q3</v>
      </c>
      <c r="C2542" s="7">
        <v>10.417199999999999</v>
      </c>
      <c r="D2542" s="7">
        <v>10.4406</v>
      </c>
      <c r="E2542" s="7">
        <v>10.488799999999999</v>
      </c>
      <c r="F2542" s="7">
        <v>10.498799999999999</v>
      </c>
      <c r="G2542" s="7">
        <v>10.4276</v>
      </c>
      <c r="H2542" s="7">
        <v>10.4053</v>
      </c>
      <c r="I2542" s="7">
        <v>10.355600000000001</v>
      </c>
      <c r="J2542" s="7">
        <v>10.3416</v>
      </c>
      <c r="K2542" s="7">
        <v>10.3309</v>
      </c>
      <c r="L2542" s="7">
        <v>10.3271</v>
      </c>
      <c r="M2542" s="7">
        <v>10.321199999999999</v>
      </c>
      <c r="N2542" s="7">
        <v>10.3177</v>
      </c>
      <c r="O2542" s="7">
        <v>10.3147</v>
      </c>
      <c r="P2542" s="7">
        <v>10.313499999999999</v>
      </c>
      <c r="Q2542" s="7">
        <v>10.3111</v>
      </c>
    </row>
    <row r="2543" spans="1:17">
      <c r="A2543" s="5">
        <v>45166</v>
      </c>
      <c r="B2543" s="5" t="str">
        <f t="shared" si="39"/>
        <v>2023 q3</v>
      </c>
      <c r="C2543" s="7">
        <v>10.5403</v>
      </c>
      <c r="D2543" s="7">
        <v>10.5228</v>
      </c>
      <c r="E2543" s="7">
        <v>10.486599999999999</v>
      </c>
      <c r="F2543" s="7">
        <v>10.4411</v>
      </c>
      <c r="G2543" s="7">
        <v>10.406499999999999</v>
      </c>
      <c r="H2543" s="7">
        <v>10.3919</v>
      </c>
      <c r="I2543" s="7">
        <v>10.363099999999999</v>
      </c>
      <c r="J2543" s="7">
        <v>10.3786</v>
      </c>
      <c r="K2543" s="7">
        <v>10.3962</v>
      </c>
      <c r="L2543" s="7">
        <v>10.417999999999999</v>
      </c>
      <c r="M2543" s="7">
        <v>10.455</v>
      </c>
      <c r="N2543" s="7">
        <v>10.4872</v>
      </c>
      <c r="O2543" s="7">
        <v>10.5093</v>
      </c>
      <c r="P2543" s="7">
        <v>10.5198</v>
      </c>
      <c r="Q2543" s="7">
        <v>10.540800000000001</v>
      </c>
    </row>
    <row r="2544" spans="1:17">
      <c r="A2544" s="5">
        <v>45167</v>
      </c>
      <c r="B2544" s="5" t="str">
        <f t="shared" si="39"/>
        <v>2023 q3</v>
      </c>
      <c r="C2544" s="7">
        <v>10.3788</v>
      </c>
      <c r="D2544" s="7">
        <v>10.377599999999999</v>
      </c>
      <c r="E2544" s="7">
        <v>10.375299999999999</v>
      </c>
      <c r="F2544" s="7">
        <v>10.3719</v>
      </c>
      <c r="G2544" s="7">
        <v>10.368499999999999</v>
      </c>
      <c r="H2544" s="7">
        <v>10.3653</v>
      </c>
      <c r="I2544" s="7">
        <v>10.353400000000001</v>
      </c>
      <c r="J2544" s="7">
        <v>10.3429</v>
      </c>
      <c r="K2544" s="7">
        <v>10.333500000000001</v>
      </c>
      <c r="L2544" s="7">
        <v>10.3261</v>
      </c>
      <c r="M2544" s="7">
        <v>10.3139</v>
      </c>
      <c r="N2544" s="7">
        <v>10.3086</v>
      </c>
      <c r="O2544" s="7">
        <v>10.3263</v>
      </c>
      <c r="P2544" s="7">
        <v>10.375500000000001</v>
      </c>
      <c r="Q2544" s="7">
        <v>10.473800000000001</v>
      </c>
    </row>
    <row r="2545" spans="1:17">
      <c r="A2545" s="5">
        <v>45168</v>
      </c>
      <c r="B2545" s="5" t="str">
        <f t="shared" si="39"/>
        <v>2023 q3</v>
      </c>
      <c r="C2545" s="7">
        <v>10.3744</v>
      </c>
      <c r="D2545" s="7">
        <v>10.3734</v>
      </c>
      <c r="E2545" s="7">
        <v>10.3712</v>
      </c>
      <c r="F2545" s="7">
        <v>10.368</v>
      </c>
      <c r="G2545" s="7">
        <v>10.3649</v>
      </c>
      <c r="H2545" s="7">
        <v>10.362</v>
      </c>
      <c r="I2545" s="7">
        <v>10.351000000000001</v>
      </c>
      <c r="J2545" s="7">
        <v>10.3413</v>
      </c>
      <c r="K2545" s="7">
        <v>10.332599999999999</v>
      </c>
      <c r="L2545" s="7">
        <v>10.325799999999999</v>
      </c>
      <c r="M2545" s="7">
        <v>10.3146</v>
      </c>
      <c r="N2545" s="7">
        <v>10.3101</v>
      </c>
      <c r="O2545" s="7">
        <v>10.327400000000001</v>
      </c>
      <c r="P2545" s="7">
        <v>10.3743</v>
      </c>
      <c r="Q2545" s="7">
        <v>10.4681</v>
      </c>
    </row>
    <row r="2546" spans="1:17">
      <c r="A2546" s="5">
        <v>45169</v>
      </c>
      <c r="B2546" s="5" t="str">
        <f t="shared" si="39"/>
        <v>2023 q3</v>
      </c>
      <c r="C2546" s="7">
        <v>10.3725</v>
      </c>
      <c r="D2546" s="7">
        <v>10.371600000000001</v>
      </c>
      <c r="E2546" s="7">
        <v>10.3698</v>
      </c>
      <c r="F2546" s="7">
        <v>10.3672</v>
      </c>
      <c r="G2546" s="7">
        <v>10.364599999999999</v>
      </c>
      <c r="H2546" s="7">
        <v>10.3621</v>
      </c>
      <c r="I2546" s="7">
        <v>10.353</v>
      </c>
      <c r="J2546" s="7">
        <v>10.344799999999999</v>
      </c>
      <c r="K2546" s="7">
        <v>10.3375</v>
      </c>
      <c r="L2546" s="7">
        <v>10.3317</v>
      </c>
      <c r="M2546" s="7">
        <v>10.322100000000001</v>
      </c>
      <c r="N2546" s="7">
        <v>10.317600000000001</v>
      </c>
      <c r="O2546" s="7">
        <v>10.3308</v>
      </c>
      <c r="P2546" s="7">
        <v>10.368499999999999</v>
      </c>
      <c r="Q2546" s="7">
        <v>10.443899999999999</v>
      </c>
    </row>
    <row r="2547" spans="1:17">
      <c r="A2547" s="5">
        <v>45170</v>
      </c>
      <c r="B2547" s="5" t="str">
        <f t="shared" si="39"/>
        <v>2023 q3</v>
      </c>
      <c r="C2547" s="7">
        <v>10.3873</v>
      </c>
      <c r="D2547" s="7">
        <v>10.385199999999999</v>
      </c>
      <c r="E2547" s="7">
        <v>10.3809</v>
      </c>
      <c r="F2547" s="7">
        <v>10.3748</v>
      </c>
      <c r="G2547" s="7">
        <v>10.3687</v>
      </c>
      <c r="H2547" s="7">
        <v>10.363300000000001</v>
      </c>
      <c r="I2547" s="7">
        <v>10.3443</v>
      </c>
      <c r="J2547" s="7">
        <v>10.3294</v>
      </c>
      <c r="K2547" s="7">
        <v>10.3178</v>
      </c>
      <c r="L2547" s="7">
        <v>10.312200000000001</v>
      </c>
      <c r="M2547" s="7">
        <v>10.308199999999999</v>
      </c>
      <c r="N2547" s="7">
        <v>10.337999999999999</v>
      </c>
      <c r="O2547" s="7">
        <v>10.4529</v>
      </c>
      <c r="P2547" s="7">
        <v>10.6411</v>
      </c>
      <c r="Q2547" s="7">
        <v>11.057399999999999</v>
      </c>
    </row>
    <row r="2548" spans="1:17">
      <c r="A2548" s="5">
        <v>45173</v>
      </c>
      <c r="B2548" s="5" t="str">
        <f t="shared" si="39"/>
        <v>2023 q3</v>
      </c>
      <c r="C2548" s="7">
        <v>10.3886</v>
      </c>
      <c r="D2548" s="7">
        <v>10.3864</v>
      </c>
      <c r="E2548" s="7">
        <v>10.3818</v>
      </c>
      <c r="F2548" s="7">
        <v>10.375299999999999</v>
      </c>
      <c r="G2548" s="7">
        <v>10.3688</v>
      </c>
      <c r="H2548" s="7">
        <v>10.363200000000001</v>
      </c>
      <c r="I2548" s="7">
        <v>10.3429</v>
      </c>
      <c r="J2548" s="7">
        <v>10.327</v>
      </c>
      <c r="K2548" s="7">
        <v>10.314399999999999</v>
      </c>
      <c r="L2548" s="7">
        <v>10.3081</v>
      </c>
      <c r="M2548" s="7">
        <v>10.302899999999999</v>
      </c>
      <c r="N2548" s="7">
        <v>10.3325</v>
      </c>
      <c r="O2548" s="7">
        <v>10.4488</v>
      </c>
      <c r="P2548" s="7">
        <v>10.6409</v>
      </c>
      <c r="Q2548" s="7">
        <v>11.065799999999999</v>
      </c>
    </row>
    <row r="2549" spans="1:17">
      <c r="A2549" s="5">
        <v>45174</v>
      </c>
      <c r="B2549" s="5" t="str">
        <f t="shared" si="39"/>
        <v>2023 q3</v>
      </c>
      <c r="C2549" s="7">
        <v>10.0649</v>
      </c>
      <c r="D2549" s="7">
        <v>10.1591</v>
      </c>
      <c r="E2549" s="7">
        <v>10.3535</v>
      </c>
      <c r="F2549" s="7">
        <v>10.4575</v>
      </c>
      <c r="G2549" s="7">
        <v>10.4108</v>
      </c>
      <c r="H2549" s="7">
        <v>10.3811</v>
      </c>
      <c r="I2549" s="7">
        <v>10.3384</v>
      </c>
      <c r="J2549" s="7">
        <v>10.321899999999999</v>
      </c>
      <c r="K2549" s="7">
        <v>10.314399999999999</v>
      </c>
      <c r="L2549" s="7">
        <v>10.310499999999999</v>
      </c>
      <c r="M2549" s="7">
        <v>10.3043</v>
      </c>
      <c r="N2549" s="7">
        <v>10.300700000000001</v>
      </c>
      <c r="O2549" s="7">
        <v>10.297599999999999</v>
      </c>
      <c r="P2549" s="7">
        <v>10.2964</v>
      </c>
      <c r="Q2549" s="7">
        <v>10.293900000000001</v>
      </c>
    </row>
    <row r="2550" spans="1:17">
      <c r="A2550" s="5">
        <v>45175</v>
      </c>
      <c r="B2550" s="5" t="str">
        <f t="shared" si="39"/>
        <v>2023 q3</v>
      </c>
      <c r="C2550" s="7">
        <v>10.421200000000001</v>
      </c>
      <c r="D2550" s="7">
        <v>10.418100000000001</v>
      </c>
      <c r="E2550" s="7">
        <v>10.411799999999999</v>
      </c>
      <c r="F2550" s="7">
        <v>10.402699999999999</v>
      </c>
      <c r="G2550" s="7">
        <v>10.393800000000001</v>
      </c>
      <c r="H2550" s="7">
        <v>10.385</v>
      </c>
      <c r="I2550" s="7">
        <v>10.356199999999999</v>
      </c>
      <c r="J2550" s="7">
        <v>10.3325</v>
      </c>
      <c r="K2550" s="7">
        <v>10.3131</v>
      </c>
      <c r="L2550" s="7">
        <v>10.3017</v>
      </c>
      <c r="M2550" s="7">
        <v>10.2881</v>
      </c>
      <c r="N2550" s="7">
        <v>10.314399999999999</v>
      </c>
      <c r="O2550" s="7">
        <v>10.440300000000001</v>
      </c>
      <c r="P2550" s="7">
        <v>10.657299999999999</v>
      </c>
      <c r="Q2550" s="7">
        <v>11.1389</v>
      </c>
    </row>
    <row r="2551" spans="1:17">
      <c r="A2551" s="5">
        <v>45176</v>
      </c>
      <c r="B2551" s="5" t="str">
        <f t="shared" si="39"/>
        <v>2023 q3</v>
      </c>
      <c r="C2551" s="7">
        <v>10.367900000000001</v>
      </c>
      <c r="D2551" s="7">
        <v>10.365600000000001</v>
      </c>
      <c r="E2551" s="7">
        <v>10.360900000000001</v>
      </c>
      <c r="F2551" s="7">
        <v>10.354200000000001</v>
      </c>
      <c r="G2551" s="7">
        <v>10.3476</v>
      </c>
      <c r="H2551" s="7">
        <v>10.340999999999999</v>
      </c>
      <c r="I2551" s="7">
        <v>10.3203</v>
      </c>
      <c r="J2551" s="7">
        <v>10.303699999999999</v>
      </c>
      <c r="K2551" s="7">
        <v>10.290699999999999</v>
      </c>
      <c r="L2551" s="7">
        <v>10.2842</v>
      </c>
      <c r="M2551" s="7">
        <v>10.279199999999999</v>
      </c>
      <c r="N2551" s="7">
        <v>10.310700000000001</v>
      </c>
      <c r="O2551" s="7">
        <v>10.433400000000001</v>
      </c>
      <c r="P2551" s="7">
        <v>10.6343</v>
      </c>
      <c r="Q2551" s="7">
        <v>11.0784</v>
      </c>
    </row>
    <row r="2552" spans="1:17">
      <c r="A2552" s="5">
        <v>45177</v>
      </c>
      <c r="B2552" s="5" t="str">
        <f t="shared" si="39"/>
        <v>2023 q3</v>
      </c>
      <c r="C2552" s="7">
        <v>10.368600000000001</v>
      </c>
      <c r="D2552" s="7">
        <v>10.366300000000001</v>
      </c>
      <c r="E2552" s="7">
        <v>10.361499999999999</v>
      </c>
      <c r="F2552" s="7">
        <v>10.354699999999999</v>
      </c>
      <c r="G2552" s="7">
        <v>10.348100000000001</v>
      </c>
      <c r="H2552" s="7">
        <v>10.3415</v>
      </c>
      <c r="I2552" s="7">
        <v>10.320600000000001</v>
      </c>
      <c r="J2552" s="7">
        <v>10.303900000000001</v>
      </c>
      <c r="K2552" s="7">
        <v>10.290699999999999</v>
      </c>
      <c r="L2552" s="7">
        <v>10.2841</v>
      </c>
      <c r="M2552" s="7">
        <v>10.278700000000001</v>
      </c>
      <c r="N2552" s="7">
        <v>10.309799999999999</v>
      </c>
      <c r="O2552" s="7">
        <v>10.431699999999999</v>
      </c>
      <c r="P2552" s="7">
        <v>10.6319</v>
      </c>
      <c r="Q2552" s="7">
        <v>11.0746</v>
      </c>
    </row>
    <row r="2553" spans="1:17">
      <c r="A2553" s="5">
        <v>45180</v>
      </c>
      <c r="B2553" s="5" t="str">
        <f t="shared" si="39"/>
        <v>2023 q3</v>
      </c>
      <c r="C2553" s="7">
        <v>10.359400000000001</v>
      </c>
      <c r="D2553" s="7">
        <v>10.358599999999999</v>
      </c>
      <c r="E2553" s="7">
        <v>10.356999999999999</v>
      </c>
      <c r="F2553" s="7">
        <v>10.354699999999999</v>
      </c>
      <c r="G2553" s="7">
        <v>10.3523</v>
      </c>
      <c r="H2553" s="7">
        <v>10.35</v>
      </c>
      <c r="I2553" s="7">
        <v>10.3416</v>
      </c>
      <c r="J2553" s="7">
        <v>10.3337</v>
      </c>
      <c r="K2553" s="7">
        <v>10.3264</v>
      </c>
      <c r="L2553" s="7">
        <v>10.3202</v>
      </c>
      <c r="M2553" s="7">
        <v>10.308999999999999</v>
      </c>
      <c r="N2553" s="7">
        <v>10.299200000000001</v>
      </c>
      <c r="O2553" s="7">
        <v>10.2974</v>
      </c>
      <c r="P2553" s="7">
        <v>10.312900000000001</v>
      </c>
      <c r="Q2553" s="7">
        <v>10.343999999999999</v>
      </c>
    </row>
    <row r="2554" spans="1:17">
      <c r="A2554" s="5">
        <v>45181</v>
      </c>
      <c r="B2554" s="5" t="str">
        <f t="shared" si="39"/>
        <v>2023 q3</v>
      </c>
      <c r="C2554" s="7">
        <v>10.3691</v>
      </c>
      <c r="D2554" s="7">
        <v>10.367599999999999</v>
      </c>
      <c r="E2554" s="7">
        <v>10.3644</v>
      </c>
      <c r="F2554" s="7">
        <v>10.3599</v>
      </c>
      <c r="G2554" s="7">
        <v>10.355499999999999</v>
      </c>
      <c r="H2554" s="7">
        <v>10.3512</v>
      </c>
      <c r="I2554" s="7">
        <v>10.336600000000001</v>
      </c>
      <c r="J2554" s="7">
        <v>10.324400000000001</v>
      </c>
      <c r="K2554" s="7">
        <v>10.314299999999999</v>
      </c>
      <c r="L2554" s="7">
        <v>10.3079</v>
      </c>
      <c r="M2554" s="7">
        <v>10.299799999999999</v>
      </c>
      <c r="N2554" s="7">
        <v>10.3109</v>
      </c>
      <c r="O2554" s="7">
        <v>10.374499999999999</v>
      </c>
      <c r="P2554" s="7">
        <v>10.4893</v>
      </c>
      <c r="Q2554" s="7">
        <v>10.7188</v>
      </c>
    </row>
    <row r="2555" spans="1:17">
      <c r="A2555" s="5">
        <v>45182</v>
      </c>
      <c r="B2555" s="5" t="str">
        <f t="shared" si="39"/>
        <v>2023 q3</v>
      </c>
      <c r="C2555" s="7">
        <v>9.2380999999999993</v>
      </c>
      <c r="D2555" s="7">
        <v>9.5054999999999996</v>
      </c>
      <c r="E2555" s="7">
        <v>10.057499999999999</v>
      </c>
      <c r="F2555" s="7">
        <v>10.3369</v>
      </c>
      <c r="G2555" s="7">
        <v>10.3094</v>
      </c>
      <c r="H2555" s="7">
        <v>10.282500000000001</v>
      </c>
      <c r="I2555" s="7">
        <v>10.2219</v>
      </c>
      <c r="J2555" s="7">
        <v>10.1996</v>
      </c>
      <c r="K2555" s="7">
        <v>10.183299999999999</v>
      </c>
      <c r="L2555" s="7">
        <v>10.1774</v>
      </c>
      <c r="M2555" s="7">
        <v>10.1684</v>
      </c>
      <c r="N2555" s="7">
        <v>10.1631</v>
      </c>
      <c r="O2555" s="7">
        <v>10.1585</v>
      </c>
      <c r="P2555" s="7">
        <v>10.156599999999999</v>
      </c>
      <c r="Q2555" s="7">
        <v>10.152900000000001</v>
      </c>
    </row>
    <row r="2556" spans="1:17">
      <c r="A2556" s="5">
        <v>45183</v>
      </c>
      <c r="B2556" s="5" t="str">
        <f t="shared" si="39"/>
        <v>2023 q3</v>
      </c>
      <c r="C2556" s="7">
        <v>10.0998</v>
      </c>
      <c r="D2556" s="7">
        <v>10.1157</v>
      </c>
      <c r="E2556" s="7">
        <v>10.1487</v>
      </c>
      <c r="F2556" s="7">
        <v>10.1898</v>
      </c>
      <c r="G2556" s="7">
        <v>10.2264</v>
      </c>
      <c r="H2556" s="7">
        <v>10.260999999999999</v>
      </c>
      <c r="I2556" s="7">
        <v>10.3195</v>
      </c>
      <c r="J2556" s="7">
        <v>10.329499999999999</v>
      </c>
      <c r="K2556" s="7">
        <v>10.3093</v>
      </c>
      <c r="L2556" s="7">
        <v>10.2751</v>
      </c>
      <c r="M2556" s="7">
        <v>10.198399999999999</v>
      </c>
      <c r="N2556" s="7">
        <v>10.106999999999999</v>
      </c>
      <c r="O2556" s="7">
        <v>10.007300000000001</v>
      </c>
      <c r="P2556" s="7">
        <v>9.9594000000000005</v>
      </c>
      <c r="Q2556" s="7">
        <v>9.8635999999999999</v>
      </c>
    </row>
    <row r="2557" spans="1:17">
      <c r="A2557" s="5">
        <v>45184</v>
      </c>
      <c r="B2557" s="5" t="str">
        <f t="shared" si="39"/>
        <v>2023 q3</v>
      </c>
      <c r="C2557" s="7">
        <v>9.2743000000000002</v>
      </c>
      <c r="D2557" s="7">
        <v>9.5358000000000001</v>
      </c>
      <c r="E2557" s="7">
        <v>10.0756</v>
      </c>
      <c r="F2557" s="7">
        <v>10.319800000000001</v>
      </c>
      <c r="G2557" s="7">
        <v>10.2765</v>
      </c>
      <c r="H2557" s="7">
        <v>10.2356</v>
      </c>
      <c r="I2557" s="7">
        <v>10.1663</v>
      </c>
      <c r="J2557" s="7">
        <v>10.140700000000001</v>
      </c>
      <c r="K2557" s="7">
        <v>10.122199999999999</v>
      </c>
      <c r="L2557" s="7">
        <v>10.115399999999999</v>
      </c>
      <c r="M2557" s="7">
        <v>10.1051</v>
      </c>
      <c r="N2557" s="7">
        <v>10.0991</v>
      </c>
      <c r="O2557" s="7">
        <v>10.0939</v>
      </c>
      <c r="P2557" s="7">
        <v>10.091699999999999</v>
      </c>
      <c r="Q2557" s="7">
        <v>10.0875</v>
      </c>
    </row>
    <row r="2558" spans="1:17">
      <c r="A2558" s="5">
        <v>45187</v>
      </c>
      <c r="B2558" s="5" t="str">
        <f t="shared" si="39"/>
        <v>2023 q3</v>
      </c>
      <c r="C2558" s="7">
        <v>9.2464999999999993</v>
      </c>
      <c r="D2558" s="7">
        <v>9.52</v>
      </c>
      <c r="E2558" s="7">
        <v>10.0846</v>
      </c>
      <c r="F2558" s="7">
        <v>10.3377</v>
      </c>
      <c r="G2558" s="7">
        <v>10.3033</v>
      </c>
      <c r="H2558" s="7">
        <v>10.2707</v>
      </c>
      <c r="I2558" s="7">
        <v>10.204700000000001</v>
      </c>
      <c r="J2558" s="7">
        <v>10.179399999999999</v>
      </c>
      <c r="K2558" s="7">
        <v>10.168200000000001</v>
      </c>
      <c r="L2558" s="7">
        <v>10.162100000000001</v>
      </c>
      <c r="M2558" s="7">
        <v>10.152799999999999</v>
      </c>
      <c r="N2558" s="7">
        <v>10.147399999999999</v>
      </c>
      <c r="O2558" s="7">
        <v>10.1427</v>
      </c>
      <c r="P2558" s="7">
        <v>10.1408</v>
      </c>
      <c r="Q2558" s="7">
        <v>10.137</v>
      </c>
    </row>
    <row r="2559" spans="1:17">
      <c r="A2559" s="5">
        <v>45188</v>
      </c>
      <c r="B2559" s="5" t="str">
        <f t="shared" si="39"/>
        <v>2023 q3</v>
      </c>
      <c r="C2559" s="7">
        <v>9.5504999999999995</v>
      </c>
      <c r="D2559" s="7">
        <v>9.7294999999999998</v>
      </c>
      <c r="E2559" s="7">
        <v>10.099</v>
      </c>
      <c r="F2559" s="7">
        <v>10.237399999999999</v>
      </c>
      <c r="G2559" s="7">
        <v>10.202999999999999</v>
      </c>
      <c r="H2559" s="7">
        <v>10.184699999999999</v>
      </c>
      <c r="I2559" s="7">
        <v>10.1411</v>
      </c>
      <c r="J2559" s="7">
        <v>10.1274</v>
      </c>
      <c r="K2559" s="7">
        <v>10.117699999999999</v>
      </c>
      <c r="L2559" s="7">
        <v>10.114100000000001</v>
      </c>
      <c r="M2559" s="7">
        <v>10.108700000000001</v>
      </c>
      <c r="N2559" s="7">
        <v>10.105499999999999</v>
      </c>
      <c r="O2559" s="7">
        <v>10.1027</v>
      </c>
      <c r="P2559" s="7">
        <v>10.101599999999999</v>
      </c>
      <c r="Q2559" s="7">
        <v>10.099399999999999</v>
      </c>
    </row>
    <row r="2560" spans="1:17">
      <c r="A2560" s="5">
        <v>45189</v>
      </c>
      <c r="B2560" s="5" t="str">
        <f t="shared" si="39"/>
        <v>2023 q3</v>
      </c>
      <c r="C2560" s="7">
        <v>9.6358999999999995</v>
      </c>
      <c r="D2560" s="7">
        <v>9.7863000000000007</v>
      </c>
      <c r="E2560" s="7">
        <v>10.0969</v>
      </c>
      <c r="F2560" s="7">
        <v>10.2044</v>
      </c>
      <c r="G2560" s="7">
        <v>10.1707</v>
      </c>
      <c r="H2560" s="7">
        <v>10.1549</v>
      </c>
      <c r="I2560" s="7">
        <v>10.118600000000001</v>
      </c>
      <c r="J2560" s="7">
        <v>10.107200000000001</v>
      </c>
      <c r="K2560" s="7">
        <v>10.0991</v>
      </c>
      <c r="L2560" s="7">
        <v>10.0961</v>
      </c>
      <c r="M2560" s="7">
        <v>10.0916</v>
      </c>
      <c r="N2560" s="7">
        <v>10.088900000000001</v>
      </c>
      <c r="O2560" s="7">
        <v>10.086600000000001</v>
      </c>
      <c r="P2560" s="7">
        <v>10.085699999999999</v>
      </c>
      <c r="Q2560" s="7">
        <v>10.0838</v>
      </c>
    </row>
    <row r="2561" spans="1:17">
      <c r="A2561" s="5">
        <v>45191</v>
      </c>
      <c r="B2561" s="5" t="str">
        <f t="shared" si="39"/>
        <v>2023 q3</v>
      </c>
      <c r="C2561" s="7">
        <v>10.0604</v>
      </c>
      <c r="D2561" s="7">
        <v>10.041499999999999</v>
      </c>
      <c r="E2561" s="7">
        <v>10.002599999999999</v>
      </c>
      <c r="F2561" s="7">
        <v>9.9819999999999993</v>
      </c>
      <c r="G2561" s="7">
        <v>9.9995999999999992</v>
      </c>
      <c r="H2561" s="7">
        <v>10.021800000000001</v>
      </c>
      <c r="I2561" s="7">
        <v>10.087999999999999</v>
      </c>
      <c r="J2561" s="7">
        <v>10.1151</v>
      </c>
      <c r="K2561" s="7">
        <v>10.1343</v>
      </c>
      <c r="L2561" s="7">
        <v>10.141500000000001</v>
      </c>
      <c r="M2561" s="7">
        <v>10.1524</v>
      </c>
      <c r="N2561" s="7">
        <v>10.158799999999999</v>
      </c>
      <c r="O2561" s="7">
        <v>10.164199999999999</v>
      </c>
      <c r="P2561" s="7">
        <v>10.166499999999999</v>
      </c>
      <c r="Q2561" s="7">
        <v>10.1709</v>
      </c>
    </row>
    <row r="2562" spans="1:17">
      <c r="A2562" s="5">
        <v>45194</v>
      </c>
      <c r="B2562" s="5" t="str">
        <f t="shared" si="39"/>
        <v>2023 q3</v>
      </c>
      <c r="C2562" s="7">
        <v>10.0776</v>
      </c>
      <c r="D2562" s="7">
        <v>10.051600000000001</v>
      </c>
      <c r="E2562" s="7">
        <v>9.9979999999999993</v>
      </c>
      <c r="F2562" s="7">
        <v>9.9743999999999993</v>
      </c>
      <c r="G2562" s="7">
        <v>9.9699000000000009</v>
      </c>
      <c r="H2562" s="7">
        <v>9.9933999999999994</v>
      </c>
      <c r="I2562" s="7">
        <v>10.0762</v>
      </c>
      <c r="J2562" s="7">
        <v>10.123900000000001</v>
      </c>
      <c r="K2562" s="7">
        <v>10.157999999999999</v>
      </c>
      <c r="L2562" s="7">
        <v>10.1717</v>
      </c>
      <c r="M2562" s="7">
        <v>10.1922</v>
      </c>
      <c r="N2562" s="7">
        <v>10.2042</v>
      </c>
      <c r="O2562" s="7">
        <v>10.214600000000001</v>
      </c>
      <c r="P2562" s="7">
        <v>10.2188</v>
      </c>
      <c r="Q2562" s="7">
        <v>10.2273</v>
      </c>
    </row>
    <row r="2563" spans="1:17">
      <c r="A2563" s="5">
        <v>45195</v>
      </c>
      <c r="B2563" s="5" t="str">
        <f t="shared" ref="B2563:B2626" si="40">YEAR(A2563)&amp;" q"&amp;ROUNDUP(MONTH(A2563)/3,0)</f>
        <v>2023 q3</v>
      </c>
      <c r="C2563" s="7">
        <v>9.7939000000000007</v>
      </c>
      <c r="D2563" s="7">
        <v>9.8672000000000004</v>
      </c>
      <c r="E2563" s="7">
        <v>10.018700000000001</v>
      </c>
      <c r="F2563" s="7">
        <v>10.133800000000001</v>
      </c>
      <c r="G2563" s="7">
        <v>10.1798</v>
      </c>
      <c r="H2563" s="7">
        <v>10.182700000000001</v>
      </c>
      <c r="I2563" s="7">
        <v>10.186999999999999</v>
      </c>
      <c r="J2563" s="7">
        <v>10.1805</v>
      </c>
      <c r="K2563" s="7">
        <v>10.175700000000001</v>
      </c>
      <c r="L2563" s="7">
        <v>10.1737</v>
      </c>
      <c r="M2563" s="7">
        <v>10.1714</v>
      </c>
      <c r="N2563" s="7">
        <v>10.1699</v>
      </c>
      <c r="O2563" s="7">
        <v>10.1685</v>
      </c>
      <c r="P2563" s="7">
        <v>10.167999999999999</v>
      </c>
      <c r="Q2563" s="7">
        <v>10.1669</v>
      </c>
    </row>
    <row r="2564" spans="1:17">
      <c r="A2564" s="5">
        <v>45196</v>
      </c>
      <c r="B2564" s="5" t="str">
        <f t="shared" si="40"/>
        <v>2023 q3</v>
      </c>
      <c r="C2564" s="7">
        <v>10.235099999999999</v>
      </c>
      <c r="D2564" s="7">
        <v>10.2736</v>
      </c>
      <c r="E2564" s="7">
        <v>10.353300000000001</v>
      </c>
      <c r="F2564" s="7">
        <v>10.3134</v>
      </c>
      <c r="G2564" s="7">
        <v>10.2622</v>
      </c>
      <c r="H2564" s="7">
        <v>10.244</v>
      </c>
      <c r="I2564" s="7">
        <v>10.1957</v>
      </c>
      <c r="J2564" s="7">
        <v>10.1829</v>
      </c>
      <c r="K2564" s="7">
        <v>10.173999999999999</v>
      </c>
      <c r="L2564" s="7">
        <v>10.1706</v>
      </c>
      <c r="M2564" s="7">
        <v>10.1656</v>
      </c>
      <c r="N2564" s="7">
        <v>10.162699999999999</v>
      </c>
      <c r="O2564" s="7">
        <v>10.1602</v>
      </c>
      <c r="P2564" s="7">
        <v>10.1591</v>
      </c>
      <c r="Q2564" s="7">
        <v>10.1571</v>
      </c>
    </row>
    <row r="2565" spans="1:17">
      <c r="A2565" s="5">
        <v>45197</v>
      </c>
      <c r="B2565" s="5" t="str">
        <f t="shared" si="40"/>
        <v>2023 q3</v>
      </c>
      <c r="C2565" s="7">
        <v>10.236599999999999</v>
      </c>
      <c r="D2565" s="7">
        <v>10.275</v>
      </c>
      <c r="E2565" s="7">
        <v>10.354200000000001</v>
      </c>
      <c r="F2565" s="7">
        <v>10.315899999999999</v>
      </c>
      <c r="G2565" s="7">
        <v>10.268599999999999</v>
      </c>
      <c r="H2565" s="7">
        <v>10.251899999999999</v>
      </c>
      <c r="I2565" s="7">
        <v>10.207700000000001</v>
      </c>
      <c r="J2565" s="7">
        <v>10.196</v>
      </c>
      <c r="K2565" s="7">
        <v>10.187200000000001</v>
      </c>
      <c r="L2565" s="7">
        <v>10.1844</v>
      </c>
      <c r="M2565" s="7">
        <v>10.180199999999999</v>
      </c>
      <c r="N2565" s="7">
        <v>10.1775</v>
      </c>
      <c r="O2565" s="7">
        <v>10.1752</v>
      </c>
      <c r="P2565" s="7">
        <v>10.174300000000001</v>
      </c>
      <c r="Q2565" s="7">
        <v>10.1724</v>
      </c>
    </row>
    <row r="2566" spans="1:17">
      <c r="A2566" s="5">
        <v>45198</v>
      </c>
      <c r="B2566" s="5" t="str">
        <f t="shared" si="40"/>
        <v>2023 q3</v>
      </c>
      <c r="C2566" s="7">
        <v>10.238300000000001</v>
      </c>
      <c r="D2566" s="7">
        <v>10.276899999999999</v>
      </c>
      <c r="E2566" s="7">
        <v>10.3566</v>
      </c>
      <c r="F2566" s="7">
        <v>10.313000000000001</v>
      </c>
      <c r="G2566" s="7">
        <v>10.263400000000001</v>
      </c>
      <c r="H2566" s="7">
        <v>10.2448</v>
      </c>
      <c r="I2566" s="7">
        <v>10.1957</v>
      </c>
      <c r="J2566" s="7">
        <v>10.182600000000001</v>
      </c>
      <c r="K2566" s="7">
        <v>10.1736</v>
      </c>
      <c r="L2566" s="7">
        <v>10.170199999999999</v>
      </c>
      <c r="M2566" s="7">
        <v>10.165100000000001</v>
      </c>
      <c r="N2566" s="7">
        <v>10.162100000000001</v>
      </c>
      <c r="O2566" s="7">
        <v>10.1595</v>
      </c>
      <c r="P2566" s="7">
        <v>10.1585</v>
      </c>
      <c r="Q2566" s="7">
        <v>10.1564</v>
      </c>
    </row>
    <row r="2567" spans="1:17">
      <c r="A2567" s="5">
        <v>45201</v>
      </c>
      <c r="B2567" s="5" t="str">
        <f t="shared" si="40"/>
        <v>2023 q4</v>
      </c>
      <c r="C2567" s="7">
        <v>9.4390000000000001</v>
      </c>
      <c r="D2567" s="7">
        <v>9.6944999999999997</v>
      </c>
      <c r="E2567" s="7">
        <v>10.2219</v>
      </c>
      <c r="F2567" s="7">
        <v>10.326499999999999</v>
      </c>
      <c r="G2567" s="7">
        <v>10.295999999999999</v>
      </c>
      <c r="H2567" s="7">
        <v>10.274699999999999</v>
      </c>
      <c r="I2567" s="7">
        <v>10.2188</v>
      </c>
      <c r="J2567" s="7">
        <v>10.203900000000001</v>
      </c>
      <c r="K2567" s="7">
        <v>10.1937</v>
      </c>
      <c r="L2567" s="7">
        <v>10.1898</v>
      </c>
      <c r="M2567" s="7">
        <v>10.183999999999999</v>
      </c>
      <c r="N2567" s="7">
        <v>10.1806</v>
      </c>
      <c r="O2567" s="7">
        <v>10.1777</v>
      </c>
      <c r="P2567" s="7">
        <v>10.176500000000001</v>
      </c>
      <c r="Q2567" s="7">
        <v>10.174099999999999</v>
      </c>
    </row>
    <row r="2568" spans="1:17">
      <c r="A2568" s="5">
        <v>45202</v>
      </c>
      <c r="B2568" s="5" t="str">
        <f t="shared" si="40"/>
        <v>2023 q4</v>
      </c>
      <c r="C2568" s="7">
        <v>9.5027000000000008</v>
      </c>
      <c r="D2568" s="7">
        <v>9.7425999999999995</v>
      </c>
      <c r="E2568" s="7">
        <v>10.2378</v>
      </c>
      <c r="F2568" s="7">
        <v>10.3216</v>
      </c>
      <c r="G2568" s="7">
        <v>10.2971</v>
      </c>
      <c r="H2568" s="7">
        <v>10.2796</v>
      </c>
      <c r="I2568" s="7">
        <v>10.254799999999999</v>
      </c>
      <c r="J2568" s="7">
        <v>10.245100000000001</v>
      </c>
      <c r="K2568" s="7">
        <v>10.2401</v>
      </c>
      <c r="L2568" s="7">
        <v>10.2379</v>
      </c>
      <c r="M2568" s="7">
        <v>10.2356</v>
      </c>
      <c r="N2568" s="7">
        <v>10.232100000000001</v>
      </c>
      <c r="O2568" s="7">
        <v>10.230600000000001</v>
      </c>
      <c r="P2568" s="7">
        <v>10.229799999999999</v>
      </c>
      <c r="Q2568" s="7">
        <v>10.228300000000001</v>
      </c>
    </row>
    <row r="2569" spans="1:17">
      <c r="A2569" s="5">
        <v>45203</v>
      </c>
      <c r="B2569" s="5" t="str">
        <f t="shared" si="40"/>
        <v>2023 q4</v>
      </c>
      <c r="C2569" s="7">
        <v>9.5298999999999996</v>
      </c>
      <c r="D2569" s="7">
        <v>9.7614999999999998</v>
      </c>
      <c r="E2569" s="7">
        <v>10.239599999999999</v>
      </c>
      <c r="F2569" s="7">
        <v>10.3095</v>
      </c>
      <c r="G2569" s="7">
        <v>10.282500000000001</v>
      </c>
      <c r="H2569" s="7">
        <v>10.2654</v>
      </c>
      <c r="I2569" s="7">
        <v>10.241099999999999</v>
      </c>
      <c r="J2569" s="7">
        <v>10.2319</v>
      </c>
      <c r="K2569" s="7">
        <v>10.227499999999999</v>
      </c>
      <c r="L2569" s="7">
        <v>10.224500000000001</v>
      </c>
      <c r="M2569" s="7">
        <v>10.222300000000001</v>
      </c>
      <c r="N2569" s="7">
        <v>10.2189</v>
      </c>
      <c r="O2569" s="7">
        <v>10.2174</v>
      </c>
      <c r="P2569" s="7">
        <v>10.2166</v>
      </c>
      <c r="Q2569" s="7">
        <v>10.215199999999999</v>
      </c>
    </row>
    <row r="2570" spans="1:17">
      <c r="A2570" s="5">
        <v>45204</v>
      </c>
      <c r="B2570" s="5" t="str">
        <f t="shared" si="40"/>
        <v>2023 q4</v>
      </c>
      <c r="C2570" s="7">
        <v>9.5787999999999993</v>
      </c>
      <c r="D2570" s="7">
        <v>9.7920999999999996</v>
      </c>
      <c r="E2570" s="7">
        <v>10.2325</v>
      </c>
      <c r="F2570" s="7">
        <v>10.305400000000001</v>
      </c>
      <c r="G2570" s="7">
        <v>10.298400000000001</v>
      </c>
      <c r="H2570" s="7">
        <v>10.2902</v>
      </c>
      <c r="I2570" s="7">
        <v>10.2784</v>
      </c>
      <c r="J2570" s="7">
        <v>10.273999999999999</v>
      </c>
      <c r="K2570" s="7">
        <v>10.2719</v>
      </c>
      <c r="L2570" s="7">
        <v>10.2704</v>
      </c>
      <c r="M2570" s="7">
        <v>10.269299999999999</v>
      </c>
      <c r="N2570" s="7">
        <v>10.2677</v>
      </c>
      <c r="O2570" s="7">
        <v>10.266999999999999</v>
      </c>
      <c r="P2570" s="7">
        <v>10.2666</v>
      </c>
      <c r="Q2570" s="7">
        <v>10.2659</v>
      </c>
    </row>
    <row r="2571" spans="1:17">
      <c r="A2571" s="5">
        <v>45205</v>
      </c>
      <c r="B2571" s="5" t="str">
        <f t="shared" si="40"/>
        <v>2023 q4</v>
      </c>
      <c r="C2571" s="7">
        <v>9.5770999999999997</v>
      </c>
      <c r="D2571" s="7">
        <v>9.7943999999999996</v>
      </c>
      <c r="E2571" s="7">
        <v>10.243</v>
      </c>
      <c r="F2571" s="7">
        <v>10.3104</v>
      </c>
      <c r="G2571" s="7">
        <v>10.303900000000001</v>
      </c>
      <c r="H2571" s="7">
        <v>10.296099999999999</v>
      </c>
      <c r="I2571" s="7">
        <v>10.284800000000001</v>
      </c>
      <c r="J2571" s="7">
        <v>10.2806</v>
      </c>
      <c r="K2571" s="7">
        <v>10.278600000000001</v>
      </c>
      <c r="L2571" s="7">
        <v>10.277200000000001</v>
      </c>
      <c r="M2571" s="7">
        <v>10.276199999999999</v>
      </c>
      <c r="N2571" s="7">
        <v>10.2746</v>
      </c>
      <c r="O2571" s="7">
        <v>10.273899999999999</v>
      </c>
      <c r="P2571" s="7">
        <v>10.2736</v>
      </c>
      <c r="Q2571" s="7">
        <v>10.2729</v>
      </c>
    </row>
    <row r="2572" spans="1:17">
      <c r="A2572" s="5">
        <v>45208</v>
      </c>
      <c r="B2572" s="5" t="str">
        <f t="shared" si="40"/>
        <v>2023 q4</v>
      </c>
      <c r="C2572" s="7">
        <v>9.5015000000000001</v>
      </c>
      <c r="D2572" s="7">
        <v>9.7565000000000008</v>
      </c>
      <c r="E2572" s="7">
        <v>10.2829</v>
      </c>
      <c r="F2572" s="7">
        <v>10.351100000000001</v>
      </c>
      <c r="G2572" s="7">
        <v>10.340999999999999</v>
      </c>
      <c r="H2572" s="7">
        <v>10.331300000000001</v>
      </c>
      <c r="I2572" s="7">
        <v>10.3162</v>
      </c>
      <c r="J2572" s="7">
        <v>10.3102</v>
      </c>
      <c r="K2572" s="7">
        <v>10.3073</v>
      </c>
      <c r="L2572" s="7">
        <v>10.305899999999999</v>
      </c>
      <c r="M2572" s="7">
        <v>10.304500000000001</v>
      </c>
      <c r="N2572" s="7">
        <v>10.3025</v>
      </c>
      <c r="O2572" s="7">
        <v>10.301500000000001</v>
      </c>
      <c r="P2572" s="7">
        <v>10.3011</v>
      </c>
      <c r="Q2572" s="7">
        <v>10.3002</v>
      </c>
    </row>
    <row r="2573" spans="1:17">
      <c r="A2573" s="5">
        <v>45209</v>
      </c>
      <c r="B2573" s="5" t="str">
        <f t="shared" si="40"/>
        <v>2023 q4</v>
      </c>
      <c r="C2573" s="7">
        <v>10.119199999999999</v>
      </c>
      <c r="D2573" s="7">
        <v>10.141299999999999</v>
      </c>
      <c r="E2573" s="7">
        <v>10.186999999999999</v>
      </c>
      <c r="F2573" s="7">
        <v>10.239800000000001</v>
      </c>
      <c r="G2573" s="7">
        <v>10.291499999999999</v>
      </c>
      <c r="H2573" s="7">
        <v>10.341200000000001</v>
      </c>
      <c r="I2573" s="7">
        <v>10.437099999999999</v>
      </c>
      <c r="J2573" s="7">
        <v>10.4688</v>
      </c>
      <c r="K2573" s="7">
        <v>10.465400000000001</v>
      </c>
      <c r="L2573" s="7">
        <v>10.4496</v>
      </c>
      <c r="M2573" s="7">
        <v>10.3871</v>
      </c>
      <c r="N2573" s="7">
        <v>10.293200000000001</v>
      </c>
      <c r="O2573" s="7">
        <v>10.2051</v>
      </c>
      <c r="P2573" s="7">
        <v>10.1569</v>
      </c>
      <c r="Q2573" s="7">
        <v>10.060499999999999</v>
      </c>
    </row>
    <row r="2574" spans="1:17">
      <c r="A2574" s="5">
        <v>45210</v>
      </c>
      <c r="B2574" s="5" t="str">
        <f t="shared" si="40"/>
        <v>2023 q4</v>
      </c>
      <c r="C2574" s="7">
        <v>9.9772999999999996</v>
      </c>
      <c r="D2574" s="7">
        <v>10.0121</v>
      </c>
      <c r="E2574" s="7">
        <v>10.0838</v>
      </c>
      <c r="F2574" s="7">
        <v>10.187799999999999</v>
      </c>
      <c r="G2574" s="7">
        <v>10.259499999999999</v>
      </c>
      <c r="H2574" s="7">
        <v>10.3277</v>
      </c>
      <c r="I2574" s="7">
        <v>10.4407</v>
      </c>
      <c r="J2574" s="7">
        <v>10.4651</v>
      </c>
      <c r="K2574" s="7">
        <v>10.450699999999999</v>
      </c>
      <c r="L2574" s="7">
        <v>10.432700000000001</v>
      </c>
      <c r="M2574" s="7">
        <v>10.3878</v>
      </c>
      <c r="N2574" s="7">
        <v>10.320499999999999</v>
      </c>
      <c r="O2574" s="7">
        <v>10.278499999999999</v>
      </c>
      <c r="P2574" s="7">
        <v>10.257899999999999</v>
      </c>
      <c r="Q2574" s="7">
        <v>10.2166</v>
      </c>
    </row>
    <row r="2575" spans="1:17">
      <c r="A2575" s="5">
        <v>45211</v>
      </c>
      <c r="B2575" s="5" t="str">
        <f t="shared" si="40"/>
        <v>2023 q4</v>
      </c>
      <c r="C2575" s="7">
        <v>10.0107</v>
      </c>
      <c r="D2575" s="7">
        <v>10.038500000000001</v>
      </c>
      <c r="E2575" s="7">
        <v>10.095700000000001</v>
      </c>
      <c r="F2575" s="7">
        <v>10.1791</v>
      </c>
      <c r="G2575" s="7">
        <v>10.242900000000001</v>
      </c>
      <c r="H2575" s="7">
        <v>10.3041</v>
      </c>
      <c r="I2575" s="7">
        <v>10.435</v>
      </c>
      <c r="J2575" s="7">
        <v>10.485799999999999</v>
      </c>
      <c r="K2575" s="7">
        <v>10.494899999999999</v>
      </c>
      <c r="L2575" s="7">
        <v>10.489699999999999</v>
      </c>
      <c r="M2575" s="7">
        <v>10.4442</v>
      </c>
      <c r="N2575" s="7">
        <v>10.376099999999999</v>
      </c>
      <c r="O2575" s="7">
        <v>10.314500000000001</v>
      </c>
      <c r="P2575" s="7">
        <v>10.2819</v>
      </c>
      <c r="Q2575" s="7">
        <v>10.216799999999999</v>
      </c>
    </row>
    <row r="2576" spans="1:17">
      <c r="A2576" s="5">
        <v>45212</v>
      </c>
      <c r="B2576" s="5" t="str">
        <f t="shared" si="40"/>
        <v>2023 q4</v>
      </c>
      <c r="C2576" s="7">
        <v>9.7960999999999991</v>
      </c>
      <c r="D2576" s="7">
        <v>9.9116</v>
      </c>
      <c r="E2576" s="7">
        <v>10.15</v>
      </c>
      <c r="F2576" s="7">
        <v>10.4735</v>
      </c>
      <c r="G2576" s="7">
        <v>10.5161</v>
      </c>
      <c r="H2576" s="7">
        <v>10.516299999999999</v>
      </c>
      <c r="I2576" s="7">
        <v>10.4612</v>
      </c>
      <c r="J2576" s="7">
        <v>10.4331</v>
      </c>
      <c r="K2576" s="7">
        <v>10.419</v>
      </c>
      <c r="L2576" s="7">
        <v>10.409599999999999</v>
      </c>
      <c r="M2576" s="7">
        <v>10.4024</v>
      </c>
      <c r="N2576" s="7">
        <v>10.3917</v>
      </c>
      <c r="O2576" s="7">
        <v>10.386799999999999</v>
      </c>
      <c r="P2576" s="7">
        <v>10.384499999999999</v>
      </c>
      <c r="Q2576" s="7">
        <v>10.379899999999999</v>
      </c>
    </row>
    <row r="2577" spans="1:17">
      <c r="A2577" s="5">
        <v>45215</v>
      </c>
      <c r="B2577" s="5" t="str">
        <f t="shared" si="40"/>
        <v>2023 q4</v>
      </c>
      <c r="C2577" s="7">
        <v>9.4467999999999996</v>
      </c>
      <c r="D2577" s="7">
        <v>9.6216000000000008</v>
      </c>
      <c r="E2577" s="7">
        <v>9.9824000000000002</v>
      </c>
      <c r="F2577" s="7">
        <v>10.466100000000001</v>
      </c>
      <c r="G2577" s="7">
        <v>10.523199999999999</v>
      </c>
      <c r="H2577" s="7">
        <v>10.5206</v>
      </c>
      <c r="I2577" s="7">
        <v>10.444100000000001</v>
      </c>
      <c r="J2577" s="7">
        <v>10.406599999999999</v>
      </c>
      <c r="K2577" s="7">
        <v>10.3879</v>
      </c>
      <c r="L2577" s="7">
        <v>10.3756</v>
      </c>
      <c r="M2577" s="7">
        <v>10.366099999999999</v>
      </c>
      <c r="N2577" s="7">
        <v>10.351800000000001</v>
      </c>
      <c r="O2577" s="7">
        <v>10.3454</v>
      </c>
      <c r="P2577" s="7">
        <v>10.3424</v>
      </c>
      <c r="Q2577" s="7">
        <v>10.3362</v>
      </c>
    </row>
    <row r="2578" spans="1:17">
      <c r="A2578" s="5">
        <v>45216</v>
      </c>
      <c r="B2578" s="5" t="str">
        <f t="shared" si="40"/>
        <v>2023 q4</v>
      </c>
      <c r="C2578" s="7">
        <v>9.6676000000000002</v>
      </c>
      <c r="D2578" s="7">
        <v>9.7524999999999995</v>
      </c>
      <c r="E2578" s="7">
        <v>9.9277999999999995</v>
      </c>
      <c r="F2578" s="7">
        <v>10.1715</v>
      </c>
      <c r="G2578" s="7">
        <v>10.3161</v>
      </c>
      <c r="H2578" s="7">
        <v>10.395899999999999</v>
      </c>
      <c r="I2578" s="7">
        <v>10.5131</v>
      </c>
      <c r="J2578" s="7">
        <v>10.501200000000001</v>
      </c>
      <c r="K2578" s="7">
        <v>10.466200000000001</v>
      </c>
      <c r="L2578" s="7">
        <v>10.4407</v>
      </c>
      <c r="M2578" s="7">
        <v>10.411799999999999</v>
      </c>
      <c r="N2578" s="7">
        <v>10.3683</v>
      </c>
      <c r="O2578" s="7">
        <v>10.3483</v>
      </c>
      <c r="P2578" s="7">
        <v>10.3386</v>
      </c>
      <c r="Q2578" s="7">
        <v>10.3193</v>
      </c>
    </row>
    <row r="2579" spans="1:17">
      <c r="A2579" s="5">
        <v>45217</v>
      </c>
      <c r="B2579" s="5" t="str">
        <f t="shared" si="40"/>
        <v>2023 q4</v>
      </c>
      <c r="C2579" s="7">
        <v>9.6068999999999996</v>
      </c>
      <c r="D2579" s="7">
        <v>9.7125000000000004</v>
      </c>
      <c r="E2579" s="7">
        <v>9.9304000000000006</v>
      </c>
      <c r="F2579" s="7">
        <v>10.221500000000001</v>
      </c>
      <c r="G2579" s="7">
        <v>10.343</v>
      </c>
      <c r="H2579" s="7">
        <v>10.3947</v>
      </c>
      <c r="I2579" s="7">
        <v>10.4419</v>
      </c>
      <c r="J2579" s="7">
        <v>10.4323</v>
      </c>
      <c r="K2579" s="7">
        <v>10.4224</v>
      </c>
      <c r="L2579" s="7">
        <v>10.415900000000001</v>
      </c>
      <c r="M2579" s="7">
        <v>10.410600000000001</v>
      </c>
      <c r="N2579" s="7">
        <v>10.4025</v>
      </c>
      <c r="O2579" s="7">
        <v>10.398899999999999</v>
      </c>
      <c r="P2579" s="7">
        <v>10.3972</v>
      </c>
      <c r="Q2579" s="7">
        <v>10.393700000000001</v>
      </c>
    </row>
    <row r="2580" spans="1:17">
      <c r="A2580" s="5">
        <v>45218</v>
      </c>
      <c r="B2580" s="5" t="str">
        <f t="shared" si="40"/>
        <v>2023 q4</v>
      </c>
      <c r="C2580" s="7">
        <v>9.7077000000000009</v>
      </c>
      <c r="D2580" s="7">
        <v>9.7824000000000009</v>
      </c>
      <c r="E2580" s="7">
        <v>9.9365000000000006</v>
      </c>
      <c r="F2580" s="7">
        <v>10.151199999999999</v>
      </c>
      <c r="G2580" s="7">
        <v>10.2928</v>
      </c>
      <c r="H2580" s="7">
        <v>10.376799999999999</v>
      </c>
      <c r="I2580" s="7">
        <v>10.526899999999999</v>
      </c>
      <c r="J2580" s="7">
        <v>10.5304</v>
      </c>
      <c r="K2580" s="7">
        <v>10.4956</v>
      </c>
      <c r="L2580" s="7">
        <v>10.467599999999999</v>
      </c>
      <c r="M2580" s="7">
        <v>10.427300000000001</v>
      </c>
      <c r="N2580" s="7">
        <v>10.3667</v>
      </c>
      <c r="O2580" s="7">
        <v>10.337400000000001</v>
      </c>
      <c r="P2580" s="7">
        <v>10.3232</v>
      </c>
      <c r="Q2580" s="7">
        <v>10.294700000000001</v>
      </c>
    </row>
    <row r="2581" spans="1:17">
      <c r="A2581" s="5">
        <v>45219</v>
      </c>
      <c r="B2581" s="5" t="str">
        <f t="shared" si="40"/>
        <v>2023 q4</v>
      </c>
      <c r="C2581" s="7">
        <v>9.7050000000000001</v>
      </c>
      <c r="D2581" s="7">
        <v>9.7812000000000001</v>
      </c>
      <c r="E2581" s="7">
        <v>9.9384999999999994</v>
      </c>
      <c r="F2581" s="7">
        <v>10.1562</v>
      </c>
      <c r="G2581" s="7">
        <v>10.298500000000001</v>
      </c>
      <c r="H2581" s="7">
        <v>10.380800000000001</v>
      </c>
      <c r="I2581" s="7">
        <v>10.525499999999999</v>
      </c>
      <c r="J2581" s="7">
        <v>10.5261</v>
      </c>
      <c r="K2581" s="7">
        <v>10.491</v>
      </c>
      <c r="L2581" s="7">
        <v>10.4634</v>
      </c>
      <c r="M2581" s="7">
        <v>10.425000000000001</v>
      </c>
      <c r="N2581" s="7">
        <v>10.3675</v>
      </c>
      <c r="O2581" s="7">
        <v>10.3401</v>
      </c>
      <c r="P2581" s="7">
        <v>10.326700000000001</v>
      </c>
      <c r="Q2581" s="7">
        <v>10.3</v>
      </c>
    </row>
    <row r="2582" spans="1:17">
      <c r="A2582" s="5">
        <v>45222</v>
      </c>
      <c r="B2582" s="5" t="str">
        <f t="shared" si="40"/>
        <v>2023 q4</v>
      </c>
      <c r="C2582" s="7">
        <v>10.2254</v>
      </c>
      <c r="D2582" s="7">
        <v>10.2425</v>
      </c>
      <c r="E2582" s="7">
        <v>10.277799999999999</v>
      </c>
      <c r="F2582" s="7">
        <v>10.3283</v>
      </c>
      <c r="G2582" s="7">
        <v>10.369400000000001</v>
      </c>
      <c r="H2582" s="7">
        <v>10.399800000000001</v>
      </c>
      <c r="I2582" s="7">
        <v>10.4781</v>
      </c>
      <c r="J2582" s="7">
        <v>10.4998</v>
      </c>
      <c r="K2582" s="7">
        <v>10.494400000000001</v>
      </c>
      <c r="L2582" s="7">
        <v>10.479100000000001</v>
      </c>
      <c r="M2582" s="7">
        <v>10.426399999999999</v>
      </c>
      <c r="N2582" s="7">
        <v>10.3475</v>
      </c>
      <c r="O2582" s="7">
        <v>10.276899999999999</v>
      </c>
      <c r="P2582" s="7">
        <v>10.2385</v>
      </c>
      <c r="Q2582" s="7">
        <v>10.1617</v>
      </c>
    </row>
    <row r="2583" spans="1:17">
      <c r="A2583" s="5">
        <v>45223</v>
      </c>
      <c r="B2583" s="5" t="str">
        <f t="shared" si="40"/>
        <v>2023 q4</v>
      </c>
      <c r="C2583" s="7">
        <v>10.311299999999999</v>
      </c>
      <c r="D2583" s="7">
        <v>10.3248</v>
      </c>
      <c r="E2583" s="7">
        <v>10.352600000000001</v>
      </c>
      <c r="F2583" s="7">
        <v>10.3863</v>
      </c>
      <c r="G2583" s="7">
        <v>10.4186</v>
      </c>
      <c r="H2583" s="7">
        <v>10.4407</v>
      </c>
      <c r="I2583" s="7">
        <v>10.494400000000001</v>
      </c>
      <c r="J2583" s="7">
        <v>10.5036</v>
      </c>
      <c r="K2583" s="7">
        <v>10.4917</v>
      </c>
      <c r="L2583" s="7">
        <v>10.472300000000001</v>
      </c>
      <c r="M2583" s="7">
        <v>10.4176</v>
      </c>
      <c r="N2583" s="7">
        <v>10.335599999999999</v>
      </c>
      <c r="O2583" s="7">
        <v>10.2631</v>
      </c>
      <c r="P2583" s="7">
        <v>10.223000000000001</v>
      </c>
      <c r="Q2583" s="7">
        <v>10.143000000000001</v>
      </c>
    </row>
    <row r="2584" spans="1:17">
      <c r="A2584" s="5">
        <v>45224</v>
      </c>
      <c r="B2584" s="5" t="str">
        <f t="shared" si="40"/>
        <v>2023 q4</v>
      </c>
      <c r="C2584" s="7">
        <v>10.255100000000001</v>
      </c>
      <c r="D2584" s="7">
        <v>10.271000000000001</v>
      </c>
      <c r="E2584" s="7">
        <v>10.303800000000001</v>
      </c>
      <c r="F2584" s="7">
        <v>10.344799999999999</v>
      </c>
      <c r="G2584" s="7">
        <v>10.384499999999999</v>
      </c>
      <c r="H2584" s="7">
        <v>10.4133</v>
      </c>
      <c r="I2584" s="7">
        <v>10.4915</v>
      </c>
      <c r="J2584" s="7">
        <v>10.518000000000001</v>
      </c>
      <c r="K2584" s="7">
        <v>10.518800000000001</v>
      </c>
      <c r="L2584" s="7">
        <v>10.506</v>
      </c>
      <c r="M2584" s="7">
        <v>10.451599999999999</v>
      </c>
      <c r="N2584" s="7">
        <v>10.369899999999999</v>
      </c>
      <c r="O2584" s="7">
        <v>10.282</v>
      </c>
      <c r="P2584" s="7">
        <v>10.230700000000001</v>
      </c>
      <c r="Q2584" s="7">
        <v>10.128</v>
      </c>
    </row>
    <row r="2585" spans="1:17">
      <c r="A2585" s="5">
        <v>45225</v>
      </c>
      <c r="B2585" s="5" t="str">
        <f t="shared" si="40"/>
        <v>2023 q4</v>
      </c>
      <c r="C2585" s="7">
        <v>10.2339</v>
      </c>
      <c r="D2585" s="7">
        <v>10.253500000000001</v>
      </c>
      <c r="E2585" s="7">
        <v>10.294</v>
      </c>
      <c r="F2585" s="7">
        <v>10.344900000000001</v>
      </c>
      <c r="G2585" s="7">
        <v>10.394399999999999</v>
      </c>
      <c r="H2585" s="7">
        <v>10.430999999999999</v>
      </c>
      <c r="I2585" s="7">
        <v>10.5328</v>
      </c>
      <c r="J2585" s="7">
        <v>10.570399999999999</v>
      </c>
      <c r="K2585" s="7">
        <v>10.575200000000001</v>
      </c>
      <c r="L2585" s="7">
        <v>10.56</v>
      </c>
      <c r="M2585" s="7">
        <v>10.4877</v>
      </c>
      <c r="N2585" s="7">
        <v>10.379200000000001</v>
      </c>
      <c r="O2585" s="7">
        <v>10.2501</v>
      </c>
      <c r="P2585" s="7">
        <v>10.1717</v>
      </c>
      <c r="Q2585" s="7">
        <v>10.014699999999999</v>
      </c>
    </row>
    <row r="2586" spans="1:17">
      <c r="A2586" s="5">
        <v>45226</v>
      </c>
      <c r="B2586" s="5" t="str">
        <f t="shared" si="40"/>
        <v>2023 q4</v>
      </c>
      <c r="C2586" s="7">
        <v>10.2493</v>
      </c>
      <c r="D2586" s="7">
        <v>10.2667</v>
      </c>
      <c r="E2586" s="7">
        <v>10.3025</v>
      </c>
      <c r="F2586" s="7">
        <v>10.347300000000001</v>
      </c>
      <c r="G2586" s="7">
        <v>10.3909</v>
      </c>
      <c r="H2586" s="7">
        <v>10.422700000000001</v>
      </c>
      <c r="I2586" s="7">
        <v>10.5108</v>
      </c>
      <c r="J2586" s="7">
        <v>10.5426</v>
      </c>
      <c r="K2586" s="7">
        <v>10.5463</v>
      </c>
      <c r="L2586" s="7">
        <v>10.5335</v>
      </c>
      <c r="M2586" s="7">
        <v>10.4742</v>
      </c>
      <c r="N2586" s="7">
        <v>10.3851</v>
      </c>
      <c r="O2586" s="7">
        <v>10.2841</v>
      </c>
      <c r="P2586" s="7">
        <v>10.224</v>
      </c>
      <c r="Q2586" s="7">
        <v>10.1037</v>
      </c>
    </row>
    <row r="2587" spans="1:17">
      <c r="A2587" s="5">
        <v>45229</v>
      </c>
      <c r="B2587" s="5" t="str">
        <f t="shared" si="40"/>
        <v>2023 q4</v>
      </c>
      <c r="C2587" s="7">
        <v>10.216100000000001</v>
      </c>
      <c r="D2587" s="7">
        <v>10.2334</v>
      </c>
      <c r="E2587" s="7">
        <v>10.2691</v>
      </c>
      <c r="F2587" s="7">
        <v>10.315799999999999</v>
      </c>
      <c r="G2587" s="7">
        <v>10.357900000000001</v>
      </c>
      <c r="H2587" s="7">
        <v>10.3903</v>
      </c>
      <c r="I2587" s="7">
        <v>10.4908</v>
      </c>
      <c r="J2587" s="7">
        <v>10.5335</v>
      </c>
      <c r="K2587" s="7">
        <v>10.547800000000001</v>
      </c>
      <c r="L2587" s="7">
        <v>10.541499999999999</v>
      </c>
      <c r="M2587" s="7">
        <v>10.4869</v>
      </c>
      <c r="N2587" s="7">
        <v>10.404999999999999</v>
      </c>
      <c r="O2587" s="7">
        <v>10.2919</v>
      </c>
      <c r="P2587" s="7">
        <v>10.219900000000001</v>
      </c>
      <c r="Q2587" s="7">
        <v>10.076000000000001</v>
      </c>
    </row>
    <row r="2588" spans="1:17">
      <c r="A2588" s="5">
        <v>45230</v>
      </c>
      <c r="B2588" s="5" t="str">
        <f t="shared" si="40"/>
        <v>2023 q4</v>
      </c>
      <c r="C2588" s="7">
        <v>10.2417</v>
      </c>
      <c r="D2588" s="7">
        <v>10.260300000000001</v>
      </c>
      <c r="E2588" s="7">
        <v>10.2986</v>
      </c>
      <c r="F2588" s="7">
        <v>10.348800000000001</v>
      </c>
      <c r="G2588" s="7">
        <v>10.3965</v>
      </c>
      <c r="H2588" s="7">
        <v>10.4323</v>
      </c>
      <c r="I2588" s="7">
        <v>10.541499999999999</v>
      </c>
      <c r="J2588" s="7">
        <v>10.5914</v>
      </c>
      <c r="K2588" s="7">
        <v>10.6107</v>
      </c>
      <c r="L2588" s="7">
        <v>10.605600000000001</v>
      </c>
      <c r="M2588" s="7">
        <v>10.546900000000001</v>
      </c>
      <c r="N2588" s="7">
        <v>10.4589</v>
      </c>
      <c r="O2588" s="7">
        <v>10.3262</v>
      </c>
      <c r="P2588" s="7">
        <v>10.2387</v>
      </c>
      <c r="Q2588" s="7">
        <v>10.063800000000001</v>
      </c>
    </row>
    <row r="2589" spans="1:17">
      <c r="A2589" s="5">
        <v>45231</v>
      </c>
      <c r="B2589" s="5" t="str">
        <f t="shared" si="40"/>
        <v>2023 q4</v>
      </c>
      <c r="C2589" s="7">
        <v>10.2803</v>
      </c>
      <c r="D2589" s="7">
        <v>10.2919</v>
      </c>
      <c r="E2589" s="7">
        <v>10.315799999999999</v>
      </c>
      <c r="F2589" s="7">
        <v>10.349500000000001</v>
      </c>
      <c r="G2589" s="7">
        <v>10.382300000000001</v>
      </c>
      <c r="H2589" s="7">
        <v>10.411099999999999</v>
      </c>
      <c r="I2589" s="7">
        <v>10.512700000000001</v>
      </c>
      <c r="J2589" s="7">
        <v>10.5853</v>
      </c>
      <c r="K2589" s="7">
        <v>10.6411</v>
      </c>
      <c r="L2589" s="7">
        <v>10.674300000000001</v>
      </c>
      <c r="M2589" s="7">
        <v>10.696099999999999</v>
      </c>
      <c r="N2589" s="7">
        <v>10.6698</v>
      </c>
      <c r="O2589" s="7">
        <v>10.475199999999999</v>
      </c>
      <c r="P2589" s="7">
        <v>10.230700000000001</v>
      </c>
      <c r="Q2589" s="7">
        <v>9.7416</v>
      </c>
    </row>
    <row r="2590" spans="1:17">
      <c r="A2590" s="5">
        <v>45232</v>
      </c>
      <c r="B2590" s="5" t="str">
        <f t="shared" si="40"/>
        <v>2023 q4</v>
      </c>
      <c r="C2590" s="7">
        <v>10.2546</v>
      </c>
      <c r="D2590" s="7">
        <v>10.266500000000001</v>
      </c>
      <c r="E2590" s="7">
        <v>10.2912</v>
      </c>
      <c r="F2590" s="7">
        <v>10.327</v>
      </c>
      <c r="G2590" s="7">
        <v>10.359299999999999</v>
      </c>
      <c r="H2590" s="7">
        <v>10.385999999999999</v>
      </c>
      <c r="I2590" s="7">
        <v>10.473699999999999</v>
      </c>
      <c r="J2590" s="7">
        <v>10.5246</v>
      </c>
      <c r="K2590" s="7">
        <v>10.5556</v>
      </c>
      <c r="L2590" s="7">
        <v>10.563800000000001</v>
      </c>
      <c r="M2590" s="7">
        <v>10.5364</v>
      </c>
      <c r="N2590" s="7">
        <v>10.495200000000001</v>
      </c>
      <c r="O2590" s="7">
        <v>10.375500000000001</v>
      </c>
      <c r="P2590" s="7">
        <v>10.278</v>
      </c>
      <c r="Q2590" s="7">
        <v>10.0829</v>
      </c>
    </row>
    <row r="2591" spans="1:17">
      <c r="A2591" s="5">
        <v>45233</v>
      </c>
      <c r="B2591" s="5" t="str">
        <f t="shared" si="40"/>
        <v>2023 q4</v>
      </c>
      <c r="C2591" s="7">
        <v>10.1592</v>
      </c>
      <c r="D2591" s="7">
        <v>10.176299999999999</v>
      </c>
      <c r="E2591" s="7">
        <v>10.2117</v>
      </c>
      <c r="F2591" s="7">
        <v>10.263199999999999</v>
      </c>
      <c r="G2591" s="7">
        <v>10.310600000000001</v>
      </c>
      <c r="H2591" s="7">
        <v>10.3508</v>
      </c>
      <c r="I2591" s="7">
        <v>10.4878</v>
      </c>
      <c r="J2591" s="7">
        <v>10.5762</v>
      </c>
      <c r="K2591" s="7">
        <v>10.6379</v>
      </c>
      <c r="L2591" s="7">
        <v>10.6645</v>
      </c>
      <c r="M2591" s="7">
        <v>10.650600000000001</v>
      </c>
      <c r="N2591" s="7">
        <v>10.6296</v>
      </c>
      <c r="O2591" s="7">
        <v>10.4596</v>
      </c>
      <c r="P2591" s="7">
        <v>10.3087</v>
      </c>
      <c r="Q2591" s="7">
        <v>10.0069</v>
      </c>
    </row>
    <row r="2592" spans="1:17">
      <c r="A2592" s="5">
        <v>45236</v>
      </c>
      <c r="B2592" s="5" t="str">
        <f t="shared" si="40"/>
        <v>2023 q4</v>
      </c>
      <c r="C2592" s="7">
        <v>9.9215</v>
      </c>
      <c r="D2592" s="7">
        <v>9.9594000000000005</v>
      </c>
      <c r="E2592" s="7">
        <v>10.037699999999999</v>
      </c>
      <c r="F2592" s="7">
        <v>10.1495</v>
      </c>
      <c r="G2592" s="7">
        <v>10.241099999999999</v>
      </c>
      <c r="H2592" s="7">
        <v>10.314</v>
      </c>
      <c r="I2592" s="7">
        <v>10.5337</v>
      </c>
      <c r="J2592" s="7">
        <v>10.6235</v>
      </c>
      <c r="K2592" s="7">
        <v>10.6549</v>
      </c>
      <c r="L2592" s="7">
        <v>10.65</v>
      </c>
      <c r="M2592" s="7">
        <v>10.571300000000001</v>
      </c>
      <c r="N2592" s="7">
        <v>10.4534</v>
      </c>
      <c r="O2592" s="7">
        <v>10.3162</v>
      </c>
      <c r="P2592" s="7">
        <v>10.236700000000001</v>
      </c>
      <c r="Q2592" s="7">
        <v>10.0777</v>
      </c>
    </row>
    <row r="2593" spans="1:17">
      <c r="A2593" s="5">
        <v>45237</v>
      </c>
      <c r="B2593" s="5" t="str">
        <f t="shared" si="40"/>
        <v>2023 q4</v>
      </c>
      <c r="C2593" s="7">
        <v>9.9227000000000007</v>
      </c>
      <c r="D2593" s="7">
        <v>9.9602000000000004</v>
      </c>
      <c r="E2593" s="7">
        <v>10.0375</v>
      </c>
      <c r="F2593" s="7">
        <v>10.1442</v>
      </c>
      <c r="G2593" s="7">
        <v>10.236499999999999</v>
      </c>
      <c r="H2593" s="7">
        <v>10.328200000000001</v>
      </c>
      <c r="I2593" s="7">
        <v>10.539199999999999</v>
      </c>
      <c r="J2593" s="7">
        <v>10.637499999999999</v>
      </c>
      <c r="K2593" s="7">
        <v>10.677899999999999</v>
      </c>
      <c r="L2593" s="7">
        <v>10.6769</v>
      </c>
      <c r="M2593" s="7">
        <v>10.599299999999999</v>
      </c>
      <c r="N2593" s="7">
        <v>10.482900000000001</v>
      </c>
      <c r="O2593" s="7">
        <v>10.331099999999999</v>
      </c>
      <c r="P2593" s="7">
        <v>10.2399</v>
      </c>
      <c r="Q2593" s="7">
        <v>10.057600000000001</v>
      </c>
    </row>
    <row r="2594" spans="1:17">
      <c r="A2594" s="5">
        <v>45238</v>
      </c>
      <c r="B2594" s="5" t="str">
        <f t="shared" si="40"/>
        <v>2023 q4</v>
      </c>
      <c r="C2594" s="7">
        <v>9.9285999999999994</v>
      </c>
      <c r="D2594" s="7">
        <v>9.9661000000000008</v>
      </c>
      <c r="E2594" s="7">
        <v>10.0435</v>
      </c>
      <c r="F2594" s="7">
        <v>10.1508</v>
      </c>
      <c r="G2594" s="7">
        <v>10.244999999999999</v>
      </c>
      <c r="H2594" s="7">
        <v>10.3383</v>
      </c>
      <c r="I2594" s="7">
        <v>10.563700000000001</v>
      </c>
      <c r="J2594" s="7">
        <v>10.6753</v>
      </c>
      <c r="K2594" s="7">
        <v>10.727499999999999</v>
      </c>
      <c r="L2594" s="7">
        <v>10.7338</v>
      </c>
      <c r="M2594" s="7">
        <v>10.6632</v>
      </c>
      <c r="N2594" s="7">
        <v>10.5214</v>
      </c>
      <c r="O2594" s="7">
        <v>10.3294</v>
      </c>
      <c r="P2594" s="7">
        <v>10.207000000000001</v>
      </c>
      <c r="Q2594" s="7">
        <v>9.9620999999999995</v>
      </c>
    </row>
    <row r="2595" spans="1:17">
      <c r="A2595" s="5">
        <v>45239</v>
      </c>
      <c r="B2595" s="5" t="str">
        <f t="shared" si="40"/>
        <v>2023 q4</v>
      </c>
      <c r="C2595" s="7">
        <v>9.9114000000000004</v>
      </c>
      <c r="D2595" s="7">
        <v>9.9525000000000006</v>
      </c>
      <c r="E2595" s="7">
        <v>10.0373</v>
      </c>
      <c r="F2595" s="7">
        <v>10.152200000000001</v>
      </c>
      <c r="G2595" s="7">
        <v>10.2498</v>
      </c>
      <c r="H2595" s="7">
        <v>10.346</v>
      </c>
      <c r="I2595" s="7">
        <v>10.5486</v>
      </c>
      <c r="J2595" s="7">
        <v>10.629799999999999</v>
      </c>
      <c r="K2595" s="7">
        <v>10.652100000000001</v>
      </c>
      <c r="L2595" s="7">
        <v>10.641400000000001</v>
      </c>
      <c r="M2595" s="7">
        <v>10.5611</v>
      </c>
      <c r="N2595" s="7">
        <v>10.440799999999999</v>
      </c>
      <c r="O2595" s="7">
        <v>10.319599999999999</v>
      </c>
      <c r="P2595" s="7">
        <v>10.2522</v>
      </c>
      <c r="Q2595" s="7">
        <v>10.1174</v>
      </c>
    </row>
    <row r="2596" spans="1:17">
      <c r="A2596" s="5">
        <v>45240</v>
      </c>
      <c r="B2596" s="5" t="str">
        <f t="shared" si="40"/>
        <v>2023 q4</v>
      </c>
      <c r="C2596" s="7">
        <v>9.9133999999999993</v>
      </c>
      <c r="D2596" s="7">
        <v>9.9542000000000002</v>
      </c>
      <c r="E2596" s="7">
        <v>10.038399999999999</v>
      </c>
      <c r="F2596" s="7">
        <v>10.1525</v>
      </c>
      <c r="G2596" s="7">
        <v>10.250400000000001</v>
      </c>
      <c r="H2596" s="7">
        <v>10.346500000000001</v>
      </c>
      <c r="I2596" s="7">
        <v>10.5548</v>
      </c>
      <c r="J2596" s="7">
        <v>10.641400000000001</v>
      </c>
      <c r="K2596" s="7">
        <v>10.6685</v>
      </c>
      <c r="L2596" s="7">
        <v>10.659000000000001</v>
      </c>
      <c r="M2596" s="7">
        <v>10.5755</v>
      </c>
      <c r="N2596" s="7">
        <v>10.4504</v>
      </c>
      <c r="O2596" s="7">
        <v>10.315899999999999</v>
      </c>
      <c r="P2596" s="7">
        <v>10.2395</v>
      </c>
      <c r="Q2596" s="7">
        <v>10.0867</v>
      </c>
    </row>
    <row r="2597" spans="1:17">
      <c r="A2597" s="5">
        <v>45243</v>
      </c>
      <c r="B2597" s="5" t="str">
        <f t="shared" si="40"/>
        <v>2023 q4</v>
      </c>
      <c r="C2597" s="7">
        <v>9.9156999999999993</v>
      </c>
      <c r="D2597" s="7">
        <v>9.9563000000000006</v>
      </c>
      <c r="E2597" s="7">
        <v>10.040100000000001</v>
      </c>
      <c r="F2597" s="7">
        <v>10.153600000000001</v>
      </c>
      <c r="G2597" s="7">
        <v>10.2514</v>
      </c>
      <c r="H2597" s="7">
        <v>10.347099999999999</v>
      </c>
      <c r="I2597" s="7">
        <v>10.5566</v>
      </c>
      <c r="J2597" s="7">
        <v>10.644500000000001</v>
      </c>
      <c r="K2597" s="7">
        <v>10.673</v>
      </c>
      <c r="L2597" s="7">
        <v>10.664</v>
      </c>
      <c r="M2597" s="7">
        <v>10.58</v>
      </c>
      <c r="N2597" s="7">
        <v>10.4541</v>
      </c>
      <c r="O2597" s="7">
        <v>10.3162</v>
      </c>
      <c r="P2597" s="7">
        <v>10.237299999999999</v>
      </c>
      <c r="Q2597" s="7">
        <v>10.079499999999999</v>
      </c>
    </row>
    <row r="2598" spans="1:17">
      <c r="A2598" s="5">
        <v>45244</v>
      </c>
      <c r="B2598" s="5" t="str">
        <f t="shared" si="40"/>
        <v>2023 q4</v>
      </c>
      <c r="C2598" s="7">
        <v>9.9292999999999996</v>
      </c>
      <c r="D2598" s="7">
        <v>9.9708000000000006</v>
      </c>
      <c r="E2598" s="7">
        <v>10.0565</v>
      </c>
      <c r="F2598" s="7">
        <v>10.177</v>
      </c>
      <c r="G2598" s="7">
        <v>10.279500000000001</v>
      </c>
      <c r="H2598" s="7">
        <v>10.3696</v>
      </c>
      <c r="I2598" s="7">
        <v>10.5855</v>
      </c>
      <c r="J2598" s="7">
        <v>10.675800000000001</v>
      </c>
      <c r="K2598" s="7">
        <v>10.705500000000001</v>
      </c>
      <c r="L2598" s="7">
        <v>10.694100000000001</v>
      </c>
      <c r="M2598" s="7">
        <v>10.6014</v>
      </c>
      <c r="N2598" s="7">
        <v>10.4625</v>
      </c>
      <c r="O2598" s="7">
        <v>10.3064</v>
      </c>
      <c r="P2598" s="7">
        <v>10.2159</v>
      </c>
      <c r="Q2598" s="7">
        <v>10.035</v>
      </c>
    </row>
    <row r="2599" spans="1:17">
      <c r="A2599" s="5">
        <v>45245</v>
      </c>
      <c r="B2599" s="5" t="str">
        <f t="shared" si="40"/>
        <v>2023 q4</v>
      </c>
      <c r="C2599" s="7">
        <v>9.9130000000000003</v>
      </c>
      <c r="D2599" s="7">
        <v>9.9583999999999993</v>
      </c>
      <c r="E2599" s="7">
        <v>10.052</v>
      </c>
      <c r="F2599" s="7">
        <v>10.182700000000001</v>
      </c>
      <c r="G2599" s="7">
        <v>10.292299999999999</v>
      </c>
      <c r="H2599" s="7">
        <v>10.387499999999999</v>
      </c>
      <c r="I2599" s="7">
        <v>10.606299999999999</v>
      </c>
      <c r="J2599" s="7">
        <v>10.6898</v>
      </c>
      <c r="K2599" s="7">
        <v>10.709899999999999</v>
      </c>
      <c r="L2599" s="7">
        <v>10.6927</v>
      </c>
      <c r="M2599" s="7">
        <v>10.595800000000001</v>
      </c>
      <c r="N2599" s="7">
        <v>10.450799999999999</v>
      </c>
      <c r="O2599" s="7">
        <v>10.3073</v>
      </c>
      <c r="P2599" s="7">
        <v>10.2273</v>
      </c>
      <c r="Q2599" s="7">
        <v>10.0671</v>
      </c>
    </row>
    <row r="2600" spans="1:17">
      <c r="A2600" s="5">
        <v>45246</v>
      </c>
      <c r="B2600" s="5" t="str">
        <f t="shared" si="40"/>
        <v>2023 q4</v>
      </c>
      <c r="C2600" s="7">
        <v>9.9009</v>
      </c>
      <c r="D2600" s="7">
        <v>9.9478000000000009</v>
      </c>
      <c r="E2600" s="7">
        <v>10.044499999999999</v>
      </c>
      <c r="F2600" s="7">
        <v>10.180300000000001</v>
      </c>
      <c r="G2600" s="7">
        <v>10.296099999999999</v>
      </c>
      <c r="H2600" s="7">
        <v>10.398099999999999</v>
      </c>
      <c r="I2600" s="7">
        <v>10.6457</v>
      </c>
      <c r="J2600" s="7">
        <v>10.7498</v>
      </c>
      <c r="K2600" s="7">
        <v>10.785</v>
      </c>
      <c r="L2600" s="7">
        <v>10.77</v>
      </c>
      <c r="M2600" s="7">
        <v>10.656700000000001</v>
      </c>
      <c r="N2600" s="7">
        <v>10.4869</v>
      </c>
      <c r="O2600" s="7">
        <v>10.288600000000001</v>
      </c>
      <c r="P2600" s="7">
        <v>10.171799999999999</v>
      </c>
      <c r="Q2600" s="7">
        <v>9.9380000000000006</v>
      </c>
    </row>
    <row r="2601" spans="1:17">
      <c r="A2601" s="5">
        <v>45247</v>
      </c>
      <c r="B2601" s="5" t="str">
        <f t="shared" si="40"/>
        <v>2023 q4</v>
      </c>
      <c r="C2601" s="7">
        <v>9.8660999999999994</v>
      </c>
      <c r="D2601" s="7">
        <v>9.9154</v>
      </c>
      <c r="E2601" s="7">
        <v>10.017200000000001</v>
      </c>
      <c r="F2601" s="7">
        <v>10.1591</v>
      </c>
      <c r="G2601" s="7">
        <v>10.278499999999999</v>
      </c>
      <c r="H2601" s="7">
        <v>10.382400000000001</v>
      </c>
      <c r="I2601" s="7">
        <v>10.6256</v>
      </c>
      <c r="J2601" s="7">
        <v>10.7212</v>
      </c>
      <c r="K2601" s="7">
        <v>10.7479</v>
      </c>
      <c r="L2601" s="7">
        <v>10.7311</v>
      </c>
      <c r="M2601" s="7">
        <v>10.6259</v>
      </c>
      <c r="N2601" s="7">
        <v>10.468500000000001</v>
      </c>
      <c r="O2601" s="7">
        <v>10.3064</v>
      </c>
      <c r="P2601" s="7">
        <v>10.2149</v>
      </c>
      <c r="Q2601" s="7">
        <v>10.0319</v>
      </c>
    </row>
    <row r="2602" spans="1:17">
      <c r="A2602" s="5">
        <v>45250</v>
      </c>
      <c r="B2602" s="5" t="str">
        <f t="shared" si="40"/>
        <v>2023 q4</v>
      </c>
      <c r="C2602" s="7">
        <v>9.7499000000000002</v>
      </c>
      <c r="D2602" s="7">
        <v>9.8093000000000004</v>
      </c>
      <c r="E2602" s="7">
        <v>9.9316999999999993</v>
      </c>
      <c r="F2602" s="7">
        <v>10.101599999999999</v>
      </c>
      <c r="G2602" s="7">
        <v>10.2431</v>
      </c>
      <c r="H2602" s="7">
        <v>10.3653</v>
      </c>
      <c r="I2602" s="7">
        <v>10.6455</v>
      </c>
      <c r="J2602" s="7">
        <v>10.7539</v>
      </c>
      <c r="K2602" s="7">
        <v>10.7845</v>
      </c>
      <c r="L2602" s="7">
        <v>10.7704</v>
      </c>
      <c r="M2602" s="7">
        <v>10.6698</v>
      </c>
      <c r="N2602" s="7">
        <v>10.519600000000001</v>
      </c>
      <c r="O2602" s="7">
        <v>10.376300000000001</v>
      </c>
      <c r="P2602" s="7">
        <v>10.297800000000001</v>
      </c>
      <c r="Q2602" s="7">
        <v>10.1408</v>
      </c>
    </row>
    <row r="2603" spans="1:17">
      <c r="A2603" s="5">
        <v>45251</v>
      </c>
      <c r="B2603" s="5" t="str">
        <f t="shared" si="40"/>
        <v>2023 q4</v>
      </c>
      <c r="C2603" s="7">
        <v>9.7547999999999995</v>
      </c>
      <c r="D2603" s="7">
        <v>9.8127999999999993</v>
      </c>
      <c r="E2603" s="7">
        <v>9.9326000000000008</v>
      </c>
      <c r="F2603" s="7">
        <v>10.094200000000001</v>
      </c>
      <c r="G2603" s="7">
        <v>10.240600000000001</v>
      </c>
      <c r="H2603" s="7">
        <v>10.347799999999999</v>
      </c>
      <c r="I2603" s="7">
        <v>10.645899999999999</v>
      </c>
      <c r="J2603" s="7">
        <v>10.760999999999999</v>
      </c>
      <c r="K2603" s="7">
        <v>10.798400000000001</v>
      </c>
      <c r="L2603" s="7">
        <v>10.7845</v>
      </c>
      <c r="M2603" s="7">
        <v>10.676</v>
      </c>
      <c r="N2603" s="7">
        <v>10.5138</v>
      </c>
      <c r="O2603" s="7">
        <v>10.3398</v>
      </c>
      <c r="P2603" s="7">
        <v>10.2311</v>
      </c>
      <c r="Q2603" s="7">
        <v>10.0868</v>
      </c>
    </row>
    <row r="2604" spans="1:17">
      <c r="A2604" s="5">
        <v>45252</v>
      </c>
      <c r="B2604" s="5" t="str">
        <f t="shared" si="40"/>
        <v>2023 q4</v>
      </c>
      <c r="C2604" s="7">
        <v>9.7391000000000005</v>
      </c>
      <c r="D2604" s="7">
        <v>9.8034999999999997</v>
      </c>
      <c r="E2604" s="7">
        <v>9.9362999999999992</v>
      </c>
      <c r="F2604" s="7">
        <v>10.110900000000001</v>
      </c>
      <c r="G2604" s="7">
        <v>10.265700000000001</v>
      </c>
      <c r="H2604" s="7">
        <v>10.370900000000001</v>
      </c>
      <c r="I2604" s="7">
        <v>10.6434</v>
      </c>
      <c r="J2604" s="7">
        <v>10.7293</v>
      </c>
      <c r="K2604" s="7">
        <v>10.7431</v>
      </c>
      <c r="L2604" s="7">
        <v>10.7265</v>
      </c>
      <c r="M2604" s="7">
        <v>10.646100000000001</v>
      </c>
      <c r="N2604" s="7">
        <v>10.5265</v>
      </c>
      <c r="O2604" s="7">
        <v>10.434900000000001</v>
      </c>
      <c r="P2604" s="7">
        <v>10.3872</v>
      </c>
      <c r="Q2604" s="7">
        <v>10.2918</v>
      </c>
    </row>
    <row r="2605" spans="1:17">
      <c r="A2605" s="5">
        <v>45253</v>
      </c>
      <c r="B2605" s="5" t="str">
        <f t="shared" si="40"/>
        <v>2023 q4</v>
      </c>
      <c r="C2605" s="7">
        <v>9.6273999999999997</v>
      </c>
      <c r="D2605" s="7">
        <v>9.6923999999999992</v>
      </c>
      <c r="E2605" s="7">
        <v>9.8265999999999991</v>
      </c>
      <c r="F2605" s="7">
        <v>10.008599999999999</v>
      </c>
      <c r="G2605" s="7">
        <v>10.1759</v>
      </c>
      <c r="H2605" s="7">
        <v>10.301399999999999</v>
      </c>
      <c r="I2605" s="7">
        <v>10.6656</v>
      </c>
      <c r="J2605" s="7">
        <v>10.8247</v>
      </c>
      <c r="K2605" s="7">
        <v>10.895</v>
      </c>
      <c r="L2605" s="7">
        <v>10.893599999999999</v>
      </c>
      <c r="M2605" s="7">
        <v>10.780900000000001</v>
      </c>
      <c r="N2605" s="7">
        <v>10.6119</v>
      </c>
      <c r="O2605" s="7">
        <v>10.3996</v>
      </c>
      <c r="P2605" s="7">
        <v>10.2743</v>
      </c>
      <c r="Q2605" s="7">
        <v>10.0238</v>
      </c>
    </row>
    <row r="2606" spans="1:17">
      <c r="A2606" s="5">
        <v>45254</v>
      </c>
      <c r="B2606" s="5" t="str">
        <f t="shared" si="40"/>
        <v>2023 q4</v>
      </c>
      <c r="C2606" s="7">
        <v>9.6189</v>
      </c>
      <c r="D2606" s="7">
        <v>9.6868999999999996</v>
      </c>
      <c r="E2606" s="7">
        <v>9.8274000000000008</v>
      </c>
      <c r="F2606" s="7">
        <v>10.0159</v>
      </c>
      <c r="G2606" s="7">
        <v>10.1882</v>
      </c>
      <c r="H2606" s="7">
        <v>10.313499999999999</v>
      </c>
      <c r="I2606" s="7">
        <v>10.6691</v>
      </c>
      <c r="J2606" s="7">
        <v>10.8139</v>
      </c>
      <c r="K2606" s="7">
        <v>10.8706</v>
      </c>
      <c r="L2606" s="7">
        <v>10.865399999999999</v>
      </c>
      <c r="M2606" s="7">
        <v>10.761100000000001</v>
      </c>
      <c r="N2606" s="7">
        <v>10.6051</v>
      </c>
      <c r="O2606" s="7">
        <v>10.4358</v>
      </c>
      <c r="P2606" s="7">
        <v>10.3405</v>
      </c>
      <c r="Q2606" s="7">
        <v>10.149800000000001</v>
      </c>
    </row>
    <row r="2607" spans="1:17">
      <c r="A2607" s="5">
        <v>45257</v>
      </c>
      <c r="B2607" s="5" t="str">
        <f t="shared" si="40"/>
        <v>2023 q4</v>
      </c>
      <c r="C2607" s="7">
        <v>9.6292000000000009</v>
      </c>
      <c r="D2607" s="7">
        <v>9.6954999999999991</v>
      </c>
      <c r="E2607" s="7">
        <v>9.8323999999999998</v>
      </c>
      <c r="F2607" s="7">
        <v>10.0158</v>
      </c>
      <c r="G2607" s="7">
        <v>10.183999999999999</v>
      </c>
      <c r="H2607" s="7">
        <v>10.3062</v>
      </c>
      <c r="I2607" s="7">
        <v>10.6555</v>
      </c>
      <c r="J2607" s="7">
        <v>10.8005</v>
      </c>
      <c r="K2607" s="7">
        <v>10.860799999999999</v>
      </c>
      <c r="L2607" s="7">
        <v>10.8599</v>
      </c>
      <c r="M2607" s="7">
        <v>10.766299999999999</v>
      </c>
      <c r="N2607" s="7">
        <v>10.6264</v>
      </c>
      <c r="O2607" s="7">
        <v>10.470800000000001</v>
      </c>
      <c r="P2607" s="7">
        <v>10.383100000000001</v>
      </c>
      <c r="Q2607" s="7">
        <v>10.207599999999999</v>
      </c>
    </row>
    <row r="2608" spans="1:17">
      <c r="A2608" s="5">
        <v>45258</v>
      </c>
      <c r="B2608" s="5" t="str">
        <f t="shared" si="40"/>
        <v>2023 q4</v>
      </c>
      <c r="C2608" s="7">
        <v>9.7628000000000004</v>
      </c>
      <c r="D2608" s="7">
        <v>9.8177000000000003</v>
      </c>
      <c r="E2608" s="7">
        <v>9.9308999999999994</v>
      </c>
      <c r="F2608" s="7">
        <v>10.0908</v>
      </c>
      <c r="G2608" s="7">
        <v>10.209099999999999</v>
      </c>
      <c r="H2608" s="7">
        <v>10.3249</v>
      </c>
      <c r="I2608" s="7">
        <v>10.672800000000001</v>
      </c>
      <c r="J2608" s="7">
        <v>10.834099999999999</v>
      </c>
      <c r="K2608" s="7">
        <v>10.9207</v>
      </c>
      <c r="L2608" s="7">
        <v>10.9314</v>
      </c>
      <c r="M2608" s="7">
        <v>10.8424</v>
      </c>
      <c r="N2608" s="7">
        <v>10.708</v>
      </c>
      <c r="O2608" s="7">
        <v>10.491</v>
      </c>
      <c r="P2608" s="7">
        <v>10.3535</v>
      </c>
      <c r="Q2608" s="7">
        <v>10.0783</v>
      </c>
    </row>
    <row r="2609" spans="1:17">
      <c r="A2609" s="5">
        <v>45259</v>
      </c>
      <c r="B2609" s="5" t="str">
        <f t="shared" si="40"/>
        <v>2023 q4</v>
      </c>
      <c r="C2609" s="7">
        <v>9.7433999999999994</v>
      </c>
      <c r="D2609" s="7">
        <v>9.8054000000000006</v>
      </c>
      <c r="E2609" s="7">
        <v>9.9335000000000004</v>
      </c>
      <c r="F2609" s="7">
        <v>10.1121</v>
      </c>
      <c r="G2609" s="7">
        <v>10.2372</v>
      </c>
      <c r="H2609" s="7">
        <v>10.3598</v>
      </c>
      <c r="I2609" s="7">
        <v>10.710100000000001</v>
      </c>
      <c r="J2609" s="7">
        <v>10.8489</v>
      </c>
      <c r="K2609" s="7">
        <v>10.9078</v>
      </c>
      <c r="L2609" s="7">
        <v>10.9024</v>
      </c>
      <c r="M2609" s="7">
        <v>10.7994</v>
      </c>
      <c r="N2609" s="7">
        <v>10.645300000000001</v>
      </c>
      <c r="O2609" s="7">
        <v>10.459300000000001</v>
      </c>
      <c r="P2609" s="7">
        <v>10.340199999999999</v>
      </c>
      <c r="Q2609" s="7">
        <v>10.181699999999999</v>
      </c>
    </row>
    <row r="2610" spans="1:17">
      <c r="A2610" s="5">
        <v>45260</v>
      </c>
      <c r="B2610" s="5" t="str">
        <f t="shared" si="40"/>
        <v>2023 q4</v>
      </c>
      <c r="C2610" s="7">
        <v>9.7433999999999994</v>
      </c>
      <c r="D2610" s="7">
        <v>9.8062000000000005</v>
      </c>
      <c r="E2610" s="7">
        <v>9.9357000000000006</v>
      </c>
      <c r="F2610" s="7">
        <v>10.1157</v>
      </c>
      <c r="G2610" s="7">
        <v>10.240600000000001</v>
      </c>
      <c r="H2610" s="7">
        <v>10.363200000000001</v>
      </c>
      <c r="I2610" s="7">
        <v>10.7111</v>
      </c>
      <c r="J2610" s="7">
        <v>10.8461</v>
      </c>
      <c r="K2610" s="7">
        <v>10.901899999999999</v>
      </c>
      <c r="L2610" s="7">
        <v>10.895799999999999</v>
      </c>
      <c r="M2610" s="7">
        <v>10.7959</v>
      </c>
      <c r="N2610" s="7">
        <v>10.6464</v>
      </c>
      <c r="O2610" s="7">
        <v>10.4788</v>
      </c>
      <c r="P2610" s="7">
        <v>10.383100000000001</v>
      </c>
      <c r="Q2610" s="7">
        <v>10.191800000000001</v>
      </c>
    </row>
    <row r="2611" spans="1:17">
      <c r="A2611" s="5">
        <v>45261</v>
      </c>
      <c r="B2611" s="5" t="str">
        <f t="shared" si="40"/>
        <v>2023 q4</v>
      </c>
      <c r="C2611" s="7">
        <v>9.7448999999999995</v>
      </c>
      <c r="D2611" s="7">
        <v>9.8073999999999995</v>
      </c>
      <c r="E2611" s="7">
        <v>9.9365000000000006</v>
      </c>
      <c r="F2611" s="7">
        <v>10.116400000000001</v>
      </c>
      <c r="G2611" s="7">
        <v>10.242900000000001</v>
      </c>
      <c r="H2611" s="7">
        <v>10.367800000000001</v>
      </c>
      <c r="I2611" s="7">
        <v>10.726599999999999</v>
      </c>
      <c r="J2611" s="7">
        <v>10.871499999999999</v>
      </c>
      <c r="K2611" s="7">
        <v>10.936</v>
      </c>
      <c r="L2611" s="7">
        <v>10.930999999999999</v>
      </c>
      <c r="M2611" s="7">
        <v>10.823499999999999</v>
      </c>
      <c r="N2611" s="7">
        <v>10.662599999999999</v>
      </c>
      <c r="O2611" s="7">
        <v>10.4665</v>
      </c>
      <c r="P2611" s="7">
        <v>10.3514</v>
      </c>
      <c r="Q2611" s="7">
        <v>10.1213</v>
      </c>
    </row>
    <row r="2612" spans="1:17">
      <c r="A2612" s="5">
        <v>45264</v>
      </c>
      <c r="B2612" s="5" t="str">
        <f t="shared" si="40"/>
        <v>2023 q4</v>
      </c>
      <c r="C2612" s="7">
        <v>9.8298000000000005</v>
      </c>
      <c r="D2612" s="7">
        <v>9.8813999999999993</v>
      </c>
      <c r="E2612" s="7">
        <v>9.9878999999999998</v>
      </c>
      <c r="F2612" s="7">
        <v>10.138999999999999</v>
      </c>
      <c r="G2612" s="7">
        <v>10.25</v>
      </c>
      <c r="H2612" s="7">
        <v>10.360200000000001</v>
      </c>
      <c r="I2612" s="7">
        <v>10.6876</v>
      </c>
      <c r="J2612" s="7">
        <v>10.835900000000001</v>
      </c>
      <c r="K2612" s="7">
        <v>10.914400000000001</v>
      </c>
      <c r="L2612" s="7">
        <v>10.9194</v>
      </c>
      <c r="M2612" s="7">
        <v>10.8271</v>
      </c>
      <c r="N2612" s="7">
        <v>10.688000000000001</v>
      </c>
      <c r="O2612" s="7">
        <v>10.4724</v>
      </c>
      <c r="P2612" s="7">
        <v>10.3361</v>
      </c>
      <c r="Q2612" s="7">
        <v>10.0634</v>
      </c>
    </row>
    <row r="2613" spans="1:17">
      <c r="A2613" s="5">
        <v>45265</v>
      </c>
      <c r="B2613" s="5" t="str">
        <f t="shared" si="40"/>
        <v>2023 q4</v>
      </c>
      <c r="C2613" s="7">
        <v>10.027699999999999</v>
      </c>
      <c r="D2613" s="7">
        <v>10.0677</v>
      </c>
      <c r="E2613" s="7">
        <v>10.1503</v>
      </c>
      <c r="F2613" s="7">
        <v>10.273899999999999</v>
      </c>
      <c r="G2613" s="7">
        <v>10.371499999999999</v>
      </c>
      <c r="H2613" s="7">
        <v>10.4687</v>
      </c>
      <c r="I2613" s="7">
        <v>10.6988</v>
      </c>
      <c r="J2613" s="7">
        <v>10.8028</v>
      </c>
      <c r="K2613" s="7">
        <v>10.851699999999999</v>
      </c>
      <c r="L2613" s="7">
        <v>10.846500000000001</v>
      </c>
      <c r="M2613" s="7">
        <v>10.763400000000001</v>
      </c>
      <c r="N2613" s="7">
        <v>10.6386</v>
      </c>
      <c r="O2613" s="7">
        <v>10.468500000000001</v>
      </c>
      <c r="P2613" s="7">
        <v>10.354699999999999</v>
      </c>
      <c r="Q2613" s="7">
        <v>10.2014</v>
      </c>
    </row>
    <row r="2614" spans="1:17">
      <c r="A2614" s="5">
        <v>45266</v>
      </c>
      <c r="B2614" s="5" t="str">
        <f t="shared" si="40"/>
        <v>2023 q4</v>
      </c>
      <c r="C2614" s="7">
        <v>9.9812999999999992</v>
      </c>
      <c r="D2614" s="7">
        <v>10.0261</v>
      </c>
      <c r="E2614" s="7">
        <v>10.118600000000001</v>
      </c>
      <c r="F2614" s="7">
        <v>10.2568</v>
      </c>
      <c r="G2614" s="7">
        <v>10.3681</v>
      </c>
      <c r="H2614" s="7">
        <v>10.4785</v>
      </c>
      <c r="I2614" s="7">
        <v>10.75</v>
      </c>
      <c r="J2614" s="7">
        <v>10.9024</v>
      </c>
      <c r="K2614" s="7">
        <v>10.962899999999999</v>
      </c>
      <c r="L2614" s="7">
        <v>10.9476</v>
      </c>
      <c r="M2614" s="7">
        <v>10.855700000000001</v>
      </c>
      <c r="N2614" s="7">
        <v>10.7172</v>
      </c>
      <c r="O2614" s="7">
        <v>10.508599999999999</v>
      </c>
      <c r="P2614" s="7">
        <v>10.3764</v>
      </c>
      <c r="Q2614" s="7">
        <v>10.1121</v>
      </c>
    </row>
    <row r="2615" spans="1:17">
      <c r="A2615" s="5">
        <v>45267</v>
      </c>
      <c r="B2615" s="5" t="str">
        <f t="shared" si="40"/>
        <v>2023 q4</v>
      </c>
      <c r="C2615" s="7">
        <v>9.9903999999999993</v>
      </c>
      <c r="D2615" s="7">
        <v>10.031599999999999</v>
      </c>
      <c r="E2615" s="7">
        <v>10.1166</v>
      </c>
      <c r="F2615" s="7">
        <v>10.243499999999999</v>
      </c>
      <c r="G2615" s="7">
        <v>10.3462</v>
      </c>
      <c r="H2615" s="7">
        <v>10.448</v>
      </c>
      <c r="I2615" s="7">
        <v>10.7019</v>
      </c>
      <c r="J2615" s="7">
        <v>10.827</v>
      </c>
      <c r="K2615" s="7">
        <v>10.895899999999999</v>
      </c>
      <c r="L2615" s="7">
        <v>10.9008</v>
      </c>
      <c r="M2615" s="7">
        <v>10.8268</v>
      </c>
      <c r="N2615" s="7">
        <v>10.7149</v>
      </c>
      <c r="O2615" s="7">
        <v>10.5352</v>
      </c>
      <c r="P2615" s="7">
        <v>10.420500000000001</v>
      </c>
      <c r="Q2615" s="7">
        <v>10.191000000000001</v>
      </c>
    </row>
    <row r="2616" spans="1:17">
      <c r="A2616" s="5">
        <v>45268</v>
      </c>
      <c r="B2616" s="5" t="str">
        <f t="shared" si="40"/>
        <v>2023 q4</v>
      </c>
      <c r="C2616" s="7">
        <v>9.9901999999999997</v>
      </c>
      <c r="D2616" s="7">
        <v>10.0318</v>
      </c>
      <c r="E2616" s="7">
        <v>10.117699999999999</v>
      </c>
      <c r="F2616" s="7">
        <v>10.2454</v>
      </c>
      <c r="G2616" s="7">
        <v>10.348800000000001</v>
      </c>
      <c r="H2616" s="7">
        <v>10.451000000000001</v>
      </c>
      <c r="I2616" s="7">
        <v>10.7049</v>
      </c>
      <c r="J2616" s="7">
        <v>10.828900000000001</v>
      </c>
      <c r="K2616" s="7">
        <v>10.896599999999999</v>
      </c>
      <c r="L2616" s="7">
        <v>10.900700000000001</v>
      </c>
      <c r="M2616" s="7">
        <v>10.8262</v>
      </c>
      <c r="N2616" s="7">
        <v>10.7136</v>
      </c>
      <c r="O2616" s="7">
        <v>10.5367</v>
      </c>
      <c r="P2616" s="7">
        <v>10.4246</v>
      </c>
      <c r="Q2616" s="7">
        <v>10.2003</v>
      </c>
    </row>
    <row r="2617" spans="1:17">
      <c r="A2617" s="5">
        <v>45271</v>
      </c>
      <c r="B2617" s="5" t="str">
        <f t="shared" si="40"/>
        <v>2023 q4</v>
      </c>
      <c r="C2617" s="7">
        <v>10</v>
      </c>
      <c r="D2617" s="7">
        <v>10.0396</v>
      </c>
      <c r="E2617" s="7">
        <v>10.1214</v>
      </c>
      <c r="F2617" s="7">
        <v>10.242800000000001</v>
      </c>
      <c r="G2617" s="7">
        <v>10.3405</v>
      </c>
      <c r="H2617" s="7">
        <v>10.4367</v>
      </c>
      <c r="I2617" s="7">
        <v>10.6721</v>
      </c>
      <c r="J2617" s="7">
        <v>10.784599999999999</v>
      </c>
      <c r="K2617" s="7">
        <v>10.844799999999999</v>
      </c>
      <c r="L2617" s="7">
        <v>10.848699999999999</v>
      </c>
      <c r="M2617" s="7">
        <v>10.7844</v>
      </c>
      <c r="N2617" s="7">
        <v>10.6874</v>
      </c>
      <c r="O2617" s="7">
        <v>10.544499999999999</v>
      </c>
      <c r="P2617" s="7">
        <v>10.4564</v>
      </c>
      <c r="Q2617" s="7">
        <v>10.2803</v>
      </c>
    </row>
    <row r="2618" spans="1:17">
      <c r="A2618" s="5">
        <v>45272</v>
      </c>
      <c r="B2618" s="5" t="str">
        <f t="shared" si="40"/>
        <v>2023 q4</v>
      </c>
      <c r="C2618" s="7">
        <v>9.9994999999999994</v>
      </c>
      <c r="D2618" s="7">
        <v>10.0398</v>
      </c>
      <c r="E2618" s="7">
        <v>10.123200000000001</v>
      </c>
      <c r="F2618" s="7">
        <v>10.2462</v>
      </c>
      <c r="G2618" s="7">
        <v>10.3469</v>
      </c>
      <c r="H2618" s="7">
        <v>10.445399999999999</v>
      </c>
      <c r="I2618" s="7">
        <v>10.693</v>
      </c>
      <c r="J2618" s="7">
        <v>10.814399999999999</v>
      </c>
      <c r="K2618" s="7">
        <v>10.8828</v>
      </c>
      <c r="L2618" s="7">
        <v>10.887499999999999</v>
      </c>
      <c r="M2618" s="7">
        <v>10.818</v>
      </c>
      <c r="N2618" s="7">
        <v>10.7127</v>
      </c>
      <c r="O2618" s="7">
        <v>10.5425</v>
      </c>
      <c r="P2618" s="7">
        <v>10.4338</v>
      </c>
      <c r="Q2618" s="7">
        <v>10.2164</v>
      </c>
    </row>
    <row r="2619" spans="1:17">
      <c r="A2619" s="5">
        <v>45273</v>
      </c>
      <c r="B2619" s="5" t="str">
        <f t="shared" si="40"/>
        <v>2023 q4</v>
      </c>
      <c r="C2619" s="7">
        <v>9.8421000000000003</v>
      </c>
      <c r="D2619" s="7">
        <v>9.8957999999999995</v>
      </c>
      <c r="E2619" s="7">
        <v>10.0067</v>
      </c>
      <c r="F2619" s="7">
        <v>10.158799999999999</v>
      </c>
      <c r="G2619" s="7">
        <v>10.276300000000001</v>
      </c>
      <c r="H2619" s="7">
        <v>10.3851</v>
      </c>
      <c r="I2619" s="7">
        <v>10.700900000000001</v>
      </c>
      <c r="J2619" s="7">
        <v>10.837</v>
      </c>
      <c r="K2619" s="7">
        <v>10.908099999999999</v>
      </c>
      <c r="L2619" s="7">
        <v>10.9095</v>
      </c>
      <c r="M2619" s="7">
        <v>10.827299999999999</v>
      </c>
      <c r="N2619" s="7">
        <v>10.7035</v>
      </c>
      <c r="O2619" s="7">
        <v>10.5336</v>
      </c>
      <c r="P2619" s="7">
        <v>10.430999999999999</v>
      </c>
      <c r="Q2619" s="7">
        <v>10.2258</v>
      </c>
    </row>
    <row r="2620" spans="1:17">
      <c r="A2620" s="5">
        <v>45274</v>
      </c>
      <c r="B2620" s="5" t="str">
        <f t="shared" si="40"/>
        <v>2023 q4</v>
      </c>
      <c r="C2620" s="7">
        <v>9.8277999999999999</v>
      </c>
      <c r="D2620" s="7">
        <v>9.8879000000000001</v>
      </c>
      <c r="E2620" s="7">
        <v>10.011900000000001</v>
      </c>
      <c r="F2620" s="7">
        <v>10.162699999999999</v>
      </c>
      <c r="G2620" s="7">
        <v>10.304600000000001</v>
      </c>
      <c r="H2620" s="7">
        <v>10.440899999999999</v>
      </c>
      <c r="I2620" s="7">
        <v>10.7258</v>
      </c>
      <c r="J2620" s="7">
        <v>10.8399</v>
      </c>
      <c r="K2620" s="7">
        <v>10.886799999999999</v>
      </c>
      <c r="L2620" s="7">
        <v>10.8789</v>
      </c>
      <c r="M2620" s="7">
        <v>10.7965</v>
      </c>
      <c r="N2620" s="7">
        <v>10.6739</v>
      </c>
      <c r="O2620" s="7">
        <v>10.548999999999999</v>
      </c>
      <c r="P2620" s="7">
        <v>10.479699999999999</v>
      </c>
      <c r="Q2620" s="7">
        <v>10.3409</v>
      </c>
    </row>
    <row r="2621" spans="1:17">
      <c r="A2621" s="5">
        <v>45275</v>
      </c>
      <c r="B2621" s="5" t="str">
        <f t="shared" si="40"/>
        <v>2023 q4</v>
      </c>
      <c r="C2621" s="7">
        <v>9.8173999999999992</v>
      </c>
      <c r="D2621" s="7">
        <v>9.8811999999999998</v>
      </c>
      <c r="E2621" s="7">
        <v>10.013</v>
      </c>
      <c r="F2621" s="7">
        <v>10.1684</v>
      </c>
      <c r="G2621" s="7">
        <v>10.313800000000001</v>
      </c>
      <c r="H2621" s="7">
        <v>10.452400000000001</v>
      </c>
      <c r="I2621" s="7">
        <v>10.7201</v>
      </c>
      <c r="J2621" s="7">
        <v>10.817500000000001</v>
      </c>
      <c r="K2621" s="7">
        <v>10.850899999999999</v>
      </c>
      <c r="L2621" s="7">
        <v>10.842700000000001</v>
      </c>
      <c r="M2621" s="7">
        <v>10.776899999999999</v>
      </c>
      <c r="N2621" s="7">
        <v>10.679399999999999</v>
      </c>
      <c r="O2621" s="7">
        <v>10.597</v>
      </c>
      <c r="P2621" s="7">
        <v>10.5532</v>
      </c>
      <c r="Q2621" s="7">
        <v>10.4656</v>
      </c>
    </row>
    <row r="2622" spans="1:17">
      <c r="A2622" s="5">
        <v>45278</v>
      </c>
      <c r="B2622" s="5" t="str">
        <f t="shared" si="40"/>
        <v>2023 q4</v>
      </c>
      <c r="C2622" s="7">
        <v>9.5962999999999994</v>
      </c>
      <c r="D2622" s="7">
        <v>9.6959</v>
      </c>
      <c r="E2622" s="7">
        <v>9.9016000000000002</v>
      </c>
      <c r="F2622" s="7">
        <v>10.115399999999999</v>
      </c>
      <c r="G2622" s="7">
        <v>10.308400000000001</v>
      </c>
      <c r="H2622" s="7">
        <v>10.4876</v>
      </c>
      <c r="I2622" s="7">
        <v>10.724500000000001</v>
      </c>
      <c r="J2622" s="7">
        <v>10.778</v>
      </c>
      <c r="K2622" s="7">
        <v>10.7746</v>
      </c>
      <c r="L2622" s="7">
        <v>10.761699999999999</v>
      </c>
      <c r="M2622" s="7">
        <v>10.7248</v>
      </c>
      <c r="N2622" s="7">
        <v>10.6708</v>
      </c>
      <c r="O2622" s="7">
        <v>10.6427</v>
      </c>
      <c r="P2622" s="7">
        <v>10.628500000000001</v>
      </c>
      <c r="Q2622" s="7">
        <v>10.600099999999999</v>
      </c>
    </row>
    <row r="2623" spans="1:17">
      <c r="A2623" s="5">
        <v>45279</v>
      </c>
      <c r="B2623" s="5" t="str">
        <f t="shared" si="40"/>
        <v>2023 q4</v>
      </c>
      <c r="C2623" s="7">
        <v>10.802300000000001</v>
      </c>
      <c r="D2623" s="7">
        <v>10.583</v>
      </c>
      <c r="E2623" s="7">
        <v>10.1302</v>
      </c>
      <c r="F2623" s="7">
        <v>10.225899999999999</v>
      </c>
      <c r="G2623" s="7">
        <v>10.4557</v>
      </c>
      <c r="H2623" s="7">
        <v>10.5319</v>
      </c>
      <c r="I2623" s="7">
        <v>10.651300000000001</v>
      </c>
      <c r="J2623" s="7">
        <v>10.690099999999999</v>
      </c>
      <c r="K2623" s="7">
        <v>10.711600000000001</v>
      </c>
      <c r="L2623" s="7">
        <v>10.7227</v>
      </c>
      <c r="M2623" s="7">
        <v>10.733000000000001</v>
      </c>
      <c r="N2623" s="7">
        <v>10.748100000000001</v>
      </c>
      <c r="O2623" s="7">
        <v>10.7544</v>
      </c>
      <c r="P2623" s="7">
        <v>10.7577</v>
      </c>
      <c r="Q2623" s="7">
        <v>10.764099999999999</v>
      </c>
    </row>
    <row r="2624" spans="1:17">
      <c r="A2624" s="5">
        <v>45280</v>
      </c>
      <c r="B2624" s="5" t="str">
        <f t="shared" si="40"/>
        <v>2023 q4</v>
      </c>
      <c r="C2624" s="7">
        <v>10.7995</v>
      </c>
      <c r="D2624" s="7">
        <v>10.577999999999999</v>
      </c>
      <c r="E2624" s="7">
        <v>10.120900000000001</v>
      </c>
      <c r="F2624" s="7">
        <v>10.231199999999999</v>
      </c>
      <c r="G2624" s="7">
        <v>10.467499999999999</v>
      </c>
      <c r="H2624" s="7">
        <v>10.5434</v>
      </c>
      <c r="I2624" s="7">
        <v>10.664400000000001</v>
      </c>
      <c r="J2624" s="7">
        <v>10.7036</v>
      </c>
      <c r="K2624" s="7">
        <v>10.7254</v>
      </c>
      <c r="L2624" s="7">
        <v>10.736599999999999</v>
      </c>
      <c r="M2624" s="7">
        <v>10.747</v>
      </c>
      <c r="N2624" s="7">
        <v>10.7622</v>
      </c>
      <c r="O2624" s="7">
        <v>10.768700000000001</v>
      </c>
      <c r="P2624" s="7">
        <v>10.7719</v>
      </c>
      <c r="Q2624" s="7">
        <v>10.778499999999999</v>
      </c>
    </row>
    <row r="2625" spans="1:17">
      <c r="A2625" s="5">
        <v>45281</v>
      </c>
      <c r="B2625" s="5" t="str">
        <f t="shared" si="40"/>
        <v>2023 q4</v>
      </c>
      <c r="C2625" s="7">
        <v>10.832700000000001</v>
      </c>
      <c r="D2625" s="7">
        <v>10.588200000000001</v>
      </c>
      <c r="E2625" s="7">
        <v>10.083600000000001</v>
      </c>
      <c r="F2625" s="7">
        <v>10.201499999999999</v>
      </c>
      <c r="G2625" s="7">
        <v>10.4451</v>
      </c>
      <c r="H2625" s="7">
        <v>10.521100000000001</v>
      </c>
      <c r="I2625" s="7">
        <v>10.644500000000001</v>
      </c>
      <c r="J2625" s="7">
        <v>10.6845</v>
      </c>
      <c r="K2625" s="7">
        <v>10.706799999999999</v>
      </c>
      <c r="L2625" s="7">
        <v>10.7182</v>
      </c>
      <c r="M2625" s="7">
        <v>10.7288</v>
      </c>
      <c r="N2625" s="7">
        <v>10.744300000000001</v>
      </c>
      <c r="O2625" s="7">
        <v>10.7509</v>
      </c>
      <c r="P2625" s="7">
        <v>10.754200000000001</v>
      </c>
      <c r="Q2625" s="7">
        <v>10.760899999999999</v>
      </c>
    </row>
    <row r="2626" spans="1:17">
      <c r="A2626" s="5">
        <v>45282</v>
      </c>
      <c r="B2626" s="5" t="str">
        <f t="shared" si="40"/>
        <v>2023 q4</v>
      </c>
      <c r="C2626" s="7">
        <v>10.833500000000001</v>
      </c>
      <c r="D2626" s="7">
        <v>10.584300000000001</v>
      </c>
      <c r="E2626" s="7">
        <v>10.069699999999999</v>
      </c>
      <c r="F2626" s="7">
        <v>10.204499999999999</v>
      </c>
      <c r="G2626" s="7">
        <v>10.456899999999999</v>
      </c>
      <c r="H2626" s="7">
        <v>10.5329</v>
      </c>
      <c r="I2626" s="7">
        <v>10.658899999999999</v>
      </c>
      <c r="J2626" s="7">
        <v>10.6996</v>
      </c>
      <c r="K2626" s="7">
        <v>10.7224</v>
      </c>
      <c r="L2626" s="7">
        <v>10.734</v>
      </c>
      <c r="M2626" s="7">
        <v>10.7448</v>
      </c>
      <c r="N2626" s="7">
        <v>10.7607</v>
      </c>
      <c r="O2626" s="7">
        <v>10.7674</v>
      </c>
      <c r="P2626" s="7">
        <v>10.7707</v>
      </c>
      <c r="Q2626" s="7">
        <v>10.7775</v>
      </c>
    </row>
    <row r="2627" spans="1:17">
      <c r="A2627" s="5">
        <v>45285</v>
      </c>
      <c r="B2627" s="5" t="str">
        <f t="shared" ref="B2627:B2690" si="41">YEAR(A2627)&amp;" q"&amp;ROUNDUP(MONTH(A2627)/3,0)</f>
        <v>2023 q4</v>
      </c>
      <c r="C2627" s="7">
        <v>10.834899999999999</v>
      </c>
      <c r="D2627" s="7">
        <v>10.579800000000001</v>
      </c>
      <c r="E2627" s="7">
        <v>10.0532</v>
      </c>
      <c r="F2627" s="7">
        <v>10.198399999999999</v>
      </c>
      <c r="G2627" s="7">
        <v>10.4519</v>
      </c>
      <c r="H2627" s="7">
        <v>10.525600000000001</v>
      </c>
      <c r="I2627" s="7">
        <v>10.650499999999999</v>
      </c>
      <c r="J2627" s="7">
        <v>10.690799999999999</v>
      </c>
      <c r="K2627" s="7">
        <v>10.7133</v>
      </c>
      <c r="L2627" s="7">
        <v>10.7257</v>
      </c>
      <c r="M2627" s="7">
        <v>10.7392</v>
      </c>
      <c r="N2627" s="7">
        <v>10.751200000000001</v>
      </c>
      <c r="O2627" s="7">
        <v>10.7578</v>
      </c>
      <c r="P2627" s="7">
        <v>10.761200000000001</v>
      </c>
      <c r="Q2627" s="7">
        <v>10.767899999999999</v>
      </c>
    </row>
    <row r="2628" spans="1:17">
      <c r="A2628" s="5">
        <v>45286</v>
      </c>
      <c r="B2628" s="5" t="str">
        <f t="shared" si="41"/>
        <v>2023 q4</v>
      </c>
      <c r="C2628" s="7">
        <v>10.7928</v>
      </c>
      <c r="D2628" s="7">
        <v>10.5494</v>
      </c>
      <c r="E2628" s="7">
        <v>10.046900000000001</v>
      </c>
      <c r="F2628" s="7">
        <v>10.2278</v>
      </c>
      <c r="G2628" s="7">
        <v>10.4802</v>
      </c>
      <c r="H2628" s="7">
        <v>10.5451</v>
      </c>
      <c r="I2628" s="7">
        <v>10.6632</v>
      </c>
      <c r="J2628" s="7">
        <v>10.700900000000001</v>
      </c>
      <c r="K2628" s="7">
        <v>10.722300000000001</v>
      </c>
      <c r="L2628" s="7">
        <v>10.733000000000001</v>
      </c>
      <c r="M2628" s="7">
        <v>10.7432</v>
      </c>
      <c r="N2628" s="7">
        <v>10.757899999999999</v>
      </c>
      <c r="O2628" s="7">
        <v>10.764200000000001</v>
      </c>
      <c r="P2628" s="7">
        <v>10.767300000000001</v>
      </c>
      <c r="Q2628" s="7">
        <v>10.7736</v>
      </c>
    </row>
    <row r="2629" spans="1:17">
      <c r="A2629" s="5">
        <v>45287</v>
      </c>
      <c r="B2629" s="5" t="str">
        <f t="shared" si="41"/>
        <v>2023 q4</v>
      </c>
      <c r="C2629" s="7">
        <v>10.6226</v>
      </c>
      <c r="D2629" s="7">
        <v>10.509399999999999</v>
      </c>
      <c r="E2629" s="7">
        <v>10.275700000000001</v>
      </c>
      <c r="F2629" s="7">
        <v>10.1982</v>
      </c>
      <c r="G2629" s="7">
        <v>10.4259</v>
      </c>
      <c r="H2629" s="7">
        <v>10.4991</v>
      </c>
      <c r="I2629" s="7">
        <v>10.6441</v>
      </c>
      <c r="J2629" s="7">
        <v>10.6904</v>
      </c>
      <c r="K2629" s="7">
        <v>10.7166</v>
      </c>
      <c r="L2629" s="7">
        <v>10.729699999999999</v>
      </c>
      <c r="M2629" s="7">
        <v>10.7422</v>
      </c>
      <c r="N2629" s="7">
        <v>10.760199999999999</v>
      </c>
      <c r="O2629" s="7">
        <v>10.768599999999999</v>
      </c>
      <c r="P2629" s="7">
        <v>10.7722</v>
      </c>
      <c r="Q2629" s="7">
        <v>10.779299999999999</v>
      </c>
    </row>
    <row r="2630" spans="1:17">
      <c r="A2630" s="5">
        <v>45288</v>
      </c>
      <c r="B2630" s="5" t="str">
        <f t="shared" si="41"/>
        <v>2023 q4</v>
      </c>
      <c r="C2630" s="7">
        <v>10.6258</v>
      </c>
      <c r="D2630" s="7">
        <v>10.5093</v>
      </c>
      <c r="E2630" s="7">
        <v>10.2689</v>
      </c>
      <c r="F2630" s="7">
        <v>10.197699999999999</v>
      </c>
      <c r="G2630" s="7">
        <v>10.436</v>
      </c>
      <c r="H2630" s="7">
        <v>10.510400000000001</v>
      </c>
      <c r="I2630" s="7">
        <v>10.6607</v>
      </c>
      <c r="J2630" s="7">
        <v>10.708600000000001</v>
      </c>
      <c r="K2630" s="7">
        <v>10.735799999999999</v>
      </c>
      <c r="L2630" s="7">
        <v>10.750400000000001</v>
      </c>
      <c r="M2630" s="7">
        <v>10.7666</v>
      </c>
      <c r="N2630" s="7">
        <v>10.780900000000001</v>
      </c>
      <c r="O2630" s="7">
        <v>10.7889</v>
      </c>
      <c r="P2630" s="7">
        <v>10.792899999999999</v>
      </c>
      <c r="Q2630" s="7">
        <v>10.8009</v>
      </c>
    </row>
    <row r="2631" spans="1:17">
      <c r="A2631" s="5">
        <v>45289</v>
      </c>
      <c r="B2631" s="5" t="str">
        <f t="shared" si="41"/>
        <v>2023 q4</v>
      </c>
      <c r="C2631" s="7">
        <v>10.620699999999999</v>
      </c>
      <c r="D2631" s="7">
        <v>10.5054</v>
      </c>
      <c r="E2631" s="7">
        <v>10.267200000000001</v>
      </c>
      <c r="F2631" s="7">
        <v>10.2026</v>
      </c>
      <c r="G2631" s="7">
        <v>10.4373</v>
      </c>
      <c r="H2631" s="7">
        <v>10.5083</v>
      </c>
      <c r="I2631" s="7">
        <v>10.6549</v>
      </c>
      <c r="J2631" s="7">
        <v>10.7014</v>
      </c>
      <c r="K2631" s="7">
        <v>10.7279</v>
      </c>
      <c r="L2631" s="7">
        <v>10.741</v>
      </c>
      <c r="M2631" s="7">
        <v>10.7537</v>
      </c>
      <c r="N2631" s="7">
        <v>10.7719</v>
      </c>
      <c r="O2631" s="7">
        <v>10.7796</v>
      </c>
      <c r="P2631" s="7">
        <v>10.7835</v>
      </c>
      <c r="Q2631" s="7">
        <v>10.7913</v>
      </c>
    </row>
    <row r="2632" spans="1:17">
      <c r="A2632" s="5">
        <v>45294</v>
      </c>
      <c r="B2632" s="5" t="str">
        <f t="shared" si="41"/>
        <v>2024 q1</v>
      </c>
      <c r="C2632" s="7">
        <v>10.6234</v>
      </c>
      <c r="D2632" s="7">
        <v>10.504899999999999</v>
      </c>
      <c r="E2632" s="7">
        <v>10.260300000000001</v>
      </c>
      <c r="F2632" s="7">
        <v>10.202199999999999</v>
      </c>
      <c r="G2632" s="7">
        <v>10.446400000000001</v>
      </c>
      <c r="H2632" s="7">
        <v>10.518000000000001</v>
      </c>
      <c r="I2632" s="7">
        <v>10.668900000000001</v>
      </c>
      <c r="J2632" s="7">
        <v>10.716799999999999</v>
      </c>
      <c r="K2632" s="7">
        <v>10.7441</v>
      </c>
      <c r="L2632" s="7">
        <v>10.7576</v>
      </c>
      <c r="M2632" s="7">
        <v>10.7706</v>
      </c>
      <c r="N2632" s="7">
        <v>10.789300000000001</v>
      </c>
      <c r="O2632" s="7">
        <v>10.7973</v>
      </c>
      <c r="P2632" s="7">
        <v>10.801299999999999</v>
      </c>
      <c r="Q2632" s="7">
        <v>10.8093</v>
      </c>
    </row>
    <row r="2633" spans="1:17">
      <c r="A2633" s="5">
        <v>45295</v>
      </c>
      <c r="B2633" s="5" t="str">
        <f t="shared" si="41"/>
        <v>2024 q1</v>
      </c>
      <c r="C2633" s="7">
        <v>9.6748999999999992</v>
      </c>
      <c r="D2633" s="7">
        <v>9.7652000000000001</v>
      </c>
      <c r="E2633" s="7">
        <v>9.9515999999999991</v>
      </c>
      <c r="F2633" s="7">
        <v>10.1914</v>
      </c>
      <c r="G2633" s="7">
        <v>10.3962</v>
      </c>
      <c r="H2633" s="7">
        <v>10.511100000000001</v>
      </c>
      <c r="I2633" s="7">
        <v>10.764699999999999</v>
      </c>
      <c r="J2633" s="7">
        <v>10.812099999999999</v>
      </c>
      <c r="K2633" s="7">
        <v>10.808</v>
      </c>
      <c r="L2633" s="7">
        <v>10.793699999999999</v>
      </c>
      <c r="M2633" s="7">
        <v>10.7553</v>
      </c>
      <c r="N2633" s="7">
        <v>10.6998</v>
      </c>
      <c r="O2633" s="7">
        <v>10.671099999999999</v>
      </c>
      <c r="P2633" s="7">
        <v>10.656599999999999</v>
      </c>
      <c r="Q2633" s="7">
        <v>10.6275</v>
      </c>
    </row>
    <row r="2634" spans="1:17">
      <c r="A2634" s="5">
        <v>45296</v>
      </c>
      <c r="B2634" s="5" t="str">
        <f t="shared" si="41"/>
        <v>2024 q1</v>
      </c>
      <c r="C2634" s="7">
        <v>9.6832999999999991</v>
      </c>
      <c r="D2634" s="7">
        <v>9.7723999999999993</v>
      </c>
      <c r="E2634" s="7">
        <v>9.9565000000000001</v>
      </c>
      <c r="F2634" s="7">
        <v>10.193</v>
      </c>
      <c r="G2634" s="7">
        <v>10.395300000000001</v>
      </c>
      <c r="H2634" s="7">
        <v>10.5107</v>
      </c>
      <c r="I2634" s="7">
        <v>10.768599999999999</v>
      </c>
      <c r="J2634" s="7">
        <v>10.821199999999999</v>
      </c>
      <c r="K2634" s="7">
        <v>10.8226</v>
      </c>
      <c r="L2634" s="7">
        <v>10.811199999999999</v>
      </c>
      <c r="M2634" s="7">
        <v>10.776400000000001</v>
      </c>
      <c r="N2634" s="7">
        <v>10.7262</v>
      </c>
      <c r="O2634" s="7">
        <v>10.6998</v>
      </c>
      <c r="P2634" s="7">
        <v>10.686500000000001</v>
      </c>
      <c r="Q2634" s="7">
        <v>10.659700000000001</v>
      </c>
    </row>
    <row r="2635" spans="1:17">
      <c r="A2635" s="5">
        <v>45299</v>
      </c>
      <c r="B2635" s="5" t="str">
        <f t="shared" si="41"/>
        <v>2024 q1</v>
      </c>
      <c r="C2635" s="7">
        <v>9.7493999999999996</v>
      </c>
      <c r="D2635" s="7">
        <v>9.8233999999999995</v>
      </c>
      <c r="E2635" s="7">
        <v>9.9762000000000004</v>
      </c>
      <c r="F2635" s="7">
        <v>10.1774</v>
      </c>
      <c r="G2635" s="7">
        <v>10.3544</v>
      </c>
      <c r="H2635" s="7">
        <v>10.4673</v>
      </c>
      <c r="I2635" s="7">
        <v>10.744</v>
      </c>
      <c r="J2635" s="7">
        <v>10.82</v>
      </c>
      <c r="K2635" s="7">
        <v>10.8408</v>
      </c>
      <c r="L2635" s="7">
        <v>10.832700000000001</v>
      </c>
      <c r="M2635" s="7">
        <v>10.79</v>
      </c>
      <c r="N2635" s="7">
        <v>10.7279</v>
      </c>
      <c r="O2635" s="7">
        <v>10.687900000000001</v>
      </c>
      <c r="P2635" s="7">
        <v>10.667299999999999</v>
      </c>
      <c r="Q2635" s="7">
        <v>10.626200000000001</v>
      </c>
    </row>
    <row r="2636" spans="1:17">
      <c r="A2636" s="5">
        <v>45300</v>
      </c>
      <c r="B2636" s="5" t="str">
        <f t="shared" si="41"/>
        <v>2024 q1</v>
      </c>
      <c r="C2636" s="7">
        <v>9.6231000000000009</v>
      </c>
      <c r="D2636" s="7">
        <v>9.7286000000000001</v>
      </c>
      <c r="E2636" s="7">
        <v>9.9464000000000006</v>
      </c>
      <c r="F2636" s="7">
        <v>10.201000000000001</v>
      </c>
      <c r="G2636" s="7">
        <v>10.4107</v>
      </c>
      <c r="H2636" s="7">
        <v>10.5769</v>
      </c>
      <c r="I2636" s="7">
        <v>10.795</v>
      </c>
      <c r="J2636" s="7">
        <v>10.8246</v>
      </c>
      <c r="K2636" s="7">
        <v>10.8081</v>
      </c>
      <c r="L2636" s="7">
        <v>10.7904</v>
      </c>
      <c r="M2636" s="7">
        <v>10.7538</v>
      </c>
      <c r="N2636" s="7">
        <v>10.7012</v>
      </c>
      <c r="O2636" s="7">
        <v>10.6761</v>
      </c>
      <c r="P2636" s="7">
        <v>10.663399999999999</v>
      </c>
      <c r="Q2636" s="7">
        <v>10.6381</v>
      </c>
    </row>
    <row r="2637" spans="1:17">
      <c r="A2637" s="5">
        <v>45301</v>
      </c>
      <c r="B2637" s="5" t="str">
        <f t="shared" si="41"/>
        <v>2024 q1</v>
      </c>
      <c r="C2637" s="7">
        <v>9.6847999999999992</v>
      </c>
      <c r="D2637" s="7">
        <v>9.7749000000000006</v>
      </c>
      <c r="E2637" s="7">
        <v>9.9606999999999992</v>
      </c>
      <c r="F2637" s="7">
        <v>10.1846</v>
      </c>
      <c r="G2637" s="7">
        <v>10.3757</v>
      </c>
      <c r="H2637" s="7">
        <v>10.531000000000001</v>
      </c>
      <c r="I2637" s="7">
        <v>10.7768</v>
      </c>
      <c r="J2637" s="7">
        <v>10.8293</v>
      </c>
      <c r="K2637" s="7">
        <v>10.8308</v>
      </c>
      <c r="L2637" s="7">
        <v>10.818099999999999</v>
      </c>
      <c r="M2637" s="7">
        <v>10.780200000000001</v>
      </c>
      <c r="N2637" s="7">
        <v>10.7255</v>
      </c>
      <c r="O2637" s="7">
        <v>10.6965</v>
      </c>
      <c r="P2637" s="7">
        <v>10.681699999999999</v>
      </c>
      <c r="Q2637" s="7">
        <v>10.652200000000001</v>
      </c>
    </row>
    <row r="2638" spans="1:17">
      <c r="A2638" s="5">
        <v>45302</v>
      </c>
      <c r="B2638" s="5" t="str">
        <f t="shared" si="41"/>
        <v>2024 q1</v>
      </c>
      <c r="C2638" s="7">
        <v>9.6252999999999993</v>
      </c>
      <c r="D2638" s="7">
        <v>9.7324000000000002</v>
      </c>
      <c r="E2638" s="7">
        <v>9.9535</v>
      </c>
      <c r="F2638" s="7">
        <v>10.2082</v>
      </c>
      <c r="G2638" s="7">
        <v>10.418900000000001</v>
      </c>
      <c r="H2638" s="7">
        <v>10.582800000000001</v>
      </c>
      <c r="I2638" s="7">
        <v>10.7919</v>
      </c>
      <c r="J2638" s="7">
        <v>10.8149</v>
      </c>
      <c r="K2638" s="7">
        <v>10.793900000000001</v>
      </c>
      <c r="L2638" s="7">
        <v>10.771100000000001</v>
      </c>
      <c r="M2638" s="7">
        <v>10.7242</v>
      </c>
      <c r="N2638" s="7">
        <v>10.6806</v>
      </c>
      <c r="O2638" s="7">
        <v>10.6546</v>
      </c>
      <c r="P2638" s="7">
        <v>10.641500000000001</v>
      </c>
      <c r="Q2638" s="7">
        <v>10.6152</v>
      </c>
    </row>
    <row r="2639" spans="1:17">
      <c r="A2639" s="5">
        <v>45303</v>
      </c>
      <c r="B2639" s="5" t="str">
        <f t="shared" si="41"/>
        <v>2024 q1</v>
      </c>
      <c r="C2639" s="7">
        <v>9.6765000000000008</v>
      </c>
      <c r="D2639" s="7">
        <v>9.7712000000000003</v>
      </c>
      <c r="E2639" s="7">
        <v>9.9665999999999997</v>
      </c>
      <c r="F2639" s="7">
        <v>10.248100000000001</v>
      </c>
      <c r="G2639" s="7">
        <v>10.4336</v>
      </c>
      <c r="H2639" s="7">
        <v>10.5824</v>
      </c>
      <c r="I2639" s="7">
        <v>10.797700000000001</v>
      </c>
      <c r="J2639" s="7">
        <v>10.8277</v>
      </c>
      <c r="K2639" s="7">
        <v>10.8134</v>
      </c>
      <c r="L2639" s="7">
        <v>10.796799999999999</v>
      </c>
      <c r="M2639" s="7">
        <v>10.761799999999999</v>
      </c>
      <c r="N2639" s="7">
        <v>10.711499999999999</v>
      </c>
      <c r="O2639" s="7">
        <v>10.6875</v>
      </c>
      <c r="P2639" s="7">
        <v>10.6753</v>
      </c>
      <c r="Q2639" s="7">
        <v>10.651</v>
      </c>
    </row>
    <row r="2640" spans="1:17">
      <c r="A2640" s="5">
        <v>45306</v>
      </c>
      <c r="B2640" s="5" t="str">
        <f t="shared" si="41"/>
        <v>2024 q1</v>
      </c>
      <c r="C2640" s="7">
        <v>9.6982999999999997</v>
      </c>
      <c r="D2640" s="7">
        <v>9.7882999999999996</v>
      </c>
      <c r="E2640" s="7">
        <v>9.9740000000000002</v>
      </c>
      <c r="F2640" s="7">
        <v>10.2403</v>
      </c>
      <c r="G2640" s="7">
        <v>10.416700000000001</v>
      </c>
      <c r="H2640" s="7">
        <v>10.557399999999999</v>
      </c>
      <c r="I2640" s="7">
        <v>10.764099999999999</v>
      </c>
      <c r="J2640" s="7">
        <v>10.7963</v>
      </c>
      <c r="K2640" s="7">
        <v>10.786899999999999</v>
      </c>
      <c r="L2640" s="7">
        <v>10.773899999999999</v>
      </c>
      <c r="M2640" s="7">
        <v>10.7447</v>
      </c>
      <c r="N2640" s="7">
        <v>10.7027</v>
      </c>
      <c r="O2640" s="7">
        <v>10.682700000000001</v>
      </c>
      <c r="P2640" s="7">
        <v>10.672499999999999</v>
      </c>
      <c r="Q2640" s="7">
        <v>10.652100000000001</v>
      </c>
    </row>
    <row r="2641" spans="1:17">
      <c r="A2641" s="5">
        <v>45307</v>
      </c>
      <c r="B2641" s="5" t="str">
        <f t="shared" si="41"/>
        <v>2024 q1</v>
      </c>
      <c r="C2641" s="7">
        <v>9.7711000000000006</v>
      </c>
      <c r="D2641" s="7">
        <v>9.8408999999999995</v>
      </c>
      <c r="E2641" s="7">
        <v>9.9849999999999994</v>
      </c>
      <c r="F2641" s="7">
        <v>10.190300000000001</v>
      </c>
      <c r="G2641" s="7">
        <v>10.3354</v>
      </c>
      <c r="H2641" s="7">
        <v>10.479200000000001</v>
      </c>
      <c r="I2641" s="7">
        <v>10.712400000000001</v>
      </c>
      <c r="J2641" s="7">
        <v>10.7744</v>
      </c>
      <c r="K2641" s="7">
        <v>10.789199999999999</v>
      </c>
      <c r="L2641" s="7">
        <v>10.7803</v>
      </c>
      <c r="M2641" s="7">
        <v>10.743399999999999</v>
      </c>
      <c r="N2641" s="7">
        <v>10.69</v>
      </c>
      <c r="O2641" s="7">
        <v>10.657999999999999</v>
      </c>
      <c r="P2641" s="7">
        <v>10.6416</v>
      </c>
      <c r="Q2641" s="7">
        <v>10.608700000000001</v>
      </c>
    </row>
    <row r="2642" spans="1:17">
      <c r="A2642" s="5">
        <v>45308</v>
      </c>
      <c r="B2642" s="5" t="str">
        <f t="shared" si="41"/>
        <v>2024 q1</v>
      </c>
      <c r="C2642" s="7">
        <v>9.7449999999999992</v>
      </c>
      <c r="D2642" s="7">
        <v>9.8216000000000001</v>
      </c>
      <c r="E2642" s="7">
        <v>9.9796999999999993</v>
      </c>
      <c r="F2642" s="7">
        <v>10.2034</v>
      </c>
      <c r="G2642" s="7">
        <v>10.3584</v>
      </c>
      <c r="H2642" s="7">
        <v>10.5114</v>
      </c>
      <c r="I2642" s="7">
        <v>10.7407</v>
      </c>
      <c r="J2642" s="7">
        <v>10.7879</v>
      </c>
      <c r="K2642" s="7">
        <v>10.7864</v>
      </c>
      <c r="L2642" s="7">
        <v>10.767799999999999</v>
      </c>
      <c r="M2642" s="7">
        <v>10.7171</v>
      </c>
      <c r="N2642" s="7">
        <v>10.6441</v>
      </c>
      <c r="O2642" s="7">
        <v>10.6035</v>
      </c>
      <c r="P2642" s="7">
        <v>10.582700000000001</v>
      </c>
      <c r="Q2642" s="7">
        <v>10.5412</v>
      </c>
    </row>
    <row r="2643" spans="1:17">
      <c r="A2643" s="5">
        <v>45309</v>
      </c>
      <c r="B2643" s="5" t="str">
        <f t="shared" si="41"/>
        <v>2024 q1</v>
      </c>
      <c r="C2643" s="7">
        <v>9.26</v>
      </c>
      <c r="D2643" s="7">
        <v>9.4258000000000006</v>
      </c>
      <c r="E2643" s="7">
        <v>9.7681000000000004</v>
      </c>
      <c r="F2643" s="7">
        <v>10.2174</v>
      </c>
      <c r="G2643" s="7">
        <v>10.3645</v>
      </c>
      <c r="H2643" s="7">
        <v>10.507300000000001</v>
      </c>
      <c r="I2643" s="7">
        <v>10.6121</v>
      </c>
      <c r="J2643" s="7">
        <v>10.648</v>
      </c>
      <c r="K2643" s="7">
        <v>10.6692</v>
      </c>
      <c r="L2643" s="7">
        <v>10.678699999999999</v>
      </c>
      <c r="M2643" s="7">
        <v>10.688599999999999</v>
      </c>
      <c r="N2643" s="7">
        <v>10.7027</v>
      </c>
      <c r="O2643" s="7">
        <v>10.7087</v>
      </c>
      <c r="P2643" s="7">
        <v>10.7117</v>
      </c>
      <c r="Q2643" s="7">
        <v>10.717700000000001</v>
      </c>
    </row>
    <row r="2644" spans="1:17">
      <c r="A2644" s="5">
        <v>45310</v>
      </c>
      <c r="B2644" s="5" t="str">
        <f t="shared" si="41"/>
        <v>2024 q1</v>
      </c>
      <c r="C2644" s="7">
        <v>9.2652000000000001</v>
      </c>
      <c r="D2644" s="7">
        <v>9.4314</v>
      </c>
      <c r="E2644" s="7">
        <v>9.7743000000000002</v>
      </c>
      <c r="F2644" s="7">
        <v>10.223100000000001</v>
      </c>
      <c r="G2644" s="7">
        <v>10.3849</v>
      </c>
      <c r="H2644" s="7">
        <v>10.5405</v>
      </c>
      <c r="I2644" s="7">
        <v>10.640499999999999</v>
      </c>
      <c r="J2644" s="7">
        <v>10.6699</v>
      </c>
      <c r="K2644" s="7">
        <v>10.686</v>
      </c>
      <c r="L2644" s="7">
        <v>10.693099999999999</v>
      </c>
      <c r="M2644" s="7">
        <v>10.7006</v>
      </c>
      <c r="N2644" s="7">
        <v>10.7111</v>
      </c>
      <c r="O2644" s="7">
        <v>10.7156</v>
      </c>
      <c r="P2644" s="7">
        <v>10.7179</v>
      </c>
      <c r="Q2644" s="7">
        <v>10.7224</v>
      </c>
    </row>
    <row r="2645" spans="1:17">
      <c r="A2645" s="5">
        <v>45313</v>
      </c>
      <c r="B2645" s="5" t="str">
        <f t="shared" si="41"/>
        <v>2024 q1</v>
      </c>
      <c r="C2645" s="7">
        <v>9.4015000000000004</v>
      </c>
      <c r="D2645" s="7">
        <v>9.5302000000000007</v>
      </c>
      <c r="E2645" s="7">
        <v>9.7957000000000001</v>
      </c>
      <c r="F2645" s="7">
        <v>10.1556</v>
      </c>
      <c r="G2645" s="7">
        <v>10.3589</v>
      </c>
      <c r="H2645" s="7">
        <v>10.5548</v>
      </c>
      <c r="I2645" s="7">
        <v>10.7293</v>
      </c>
      <c r="J2645" s="7">
        <v>10.7456</v>
      </c>
      <c r="K2645" s="7">
        <v>10.728899999999999</v>
      </c>
      <c r="L2645" s="7">
        <v>10.7171</v>
      </c>
      <c r="M2645" s="7">
        <v>10.696999999999999</v>
      </c>
      <c r="N2645" s="7">
        <v>10.6684</v>
      </c>
      <c r="O2645" s="7">
        <v>10.655900000000001</v>
      </c>
      <c r="P2645" s="7">
        <v>10.6495</v>
      </c>
      <c r="Q2645" s="7">
        <v>10.636799999999999</v>
      </c>
    </row>
    <row r="2646" spans="1:17">
      <c r="A2646" s="5">
        <v>45314</v>
      </c>
      <c r="B2646" s="5" t="str">
        <f t="shared" si="41"/>
        <v>2024 q1</v>
      </c>
      <c r="C2646" s="7">
        <v>9.3431999999999995</v>
      </c>
      <c r="D2646" s="7">
        <v>9.4936000000000007</v>
      </c>
      <c r="E2646" s="7">
        <v>9.8041</v>
      </c>
      <c r="F2646" s="7">
        <v>10.2181</v>
      </c>
      <c r="G2646" s="7">
        <v>10.4595</v>
      </c>
      <c r="H2646" s="7">
        <v>10.573</v>
      </c>
      <c r="I2646" s="7">
        <v>10.718999999999999</v>
      </c>
      <c r="J2646" s="7">
        <v>10.7279</v>
      </c>
      <c r="K2646" s="7">
        <v>10.7173</v>
      </c>
      <c r="L2646" s="7">
        <v>10.7113</v>
      </c>
      <c r="M2646" s="7">
        <v>10.7028</v>
      </c>
      <c r="N2646" s="7">
        <v>10.6906</v>
      </c>
      <c r="O2646" s="7">
        <v>10.6854</v>
      </c>
      <c r="P2646" s="7">
        <v>10.6828</v>
      </c>
      <c r="Q2646" s="7">
        <v>10.6775</v>
      </c>
    </row>
    <row r="2647" spans="1:17">
      <c r="A2647" s="5">
        <v>45315</v>
      </c>
      <c r="B2647" s="5" t="str">
        <f t="shared" si="41"/>
        <v>2024 q1</v>
      </c>
      <c r="C2647" s="7">
        <v>9.2936999999999994</v>
      </c>
      <c r="D2647" s="7">
        <v>9.4598999999999993</v>
      </c>
      <c r="E2647" s="7">
        <v>9.8031000000000006</v>
      </c>
      <c r="F2647" s="7">
        <v>10.239599999999999</v>
      </c>
      <c r="G2647" s="7">
        <v>10.430099999999999</v>
      </c>
      <c r="H2647" s="7">
        <v>10.5045</v>
      </c>
      <c r="I2647" s="7">
        <v>10.610799999999999</v>
      </c>
      <c r="J2647" s="7">
        <v>10.638500000000001</v>
      </c>
      <c r="K2647" s="7">
        <v>10.6546</v>
      </c>
      <c r="L2647" s="7">
        <v>10.6615</v>
      </c>
      <c r="M2647" s="7">
        <v>10.668900000000001</v>
      </c>
      <c r="N2647" s="7">
        <v>10.679500000000001</v>
      </c>
      <c r="O2647" s="7">
        <v>10.6839</v>
      </c>
      <c r="P2647" s="7">
        <v>10.686199999999999</v>
      </c>
      <c r="Q2647" s="7">
        <v>10.6907</v>
      </c>
    </row>
    <row r="2648" spans="1:17">
      <c r="A2648" s="5">
        <v>45316</v>
      </c>
      <c r="B2648" s="5" t="str">
        <f t="shared" si="41"/>
        <v>2024 q1</v>
      </c>
      <c r="C2648" s="7">
        <v>9.4779</v>
      </c>
      <c r="D2648" s="7">
        <v>9.5925999999999991</v>
      </c>
      <c r="E2648" s="7">
        <v>9.8293999999999997</v>
      </c>
      <c r="F2648" s="7">
        <v>10.1511</v>
      </c>
      <c r="G2648" s="7">
        <v>10.373799999999999</v>
      </c>
      <c r="H2648" s="7">
        <v>10.498900000000001</v>
      </c>
      <c r="I2648" s="7">
        <v>10.7052</v>
      </c>
      <c r="J2648" s="7">
        <v>10.7232</v>
      </c>
      <c r="K2648" s="7">
        <v>10.705299999999999</v>
      </c>
      <c r="L2648" s="7">
        <v>10.6906</v>
      </c>
      <c r="M2648" s="7">
        <v>10.663399999999999</v>
      </c>
      <c r="N2648" s="7">
        <v>10.6248</v>
      </c>
      <c r="O2648" s="7">
        <v>10.6074</v>
      </c>
      <c r="P2648" s="7">
        <v>10.5985</v>
      </c>
      <c r="Q2648" s="7">
        <v>10.5807</v>
      </c>
    </row>
    <row r="2649" spans="1:17">
      <c r="A2649" s="5">
        <v>45317</v>
      </c>
      <c r="B2649" s="5" t="str">
        <f t="shared" si="41"/>
        <v>2024 q1</v>
      </c>
      <c r="C2649" s="7">
        <v>9.3179999999999996</v>
      </c>
      <c r="D2649" s="7">
        <v>9.48</v>
      </c>
      <c r="E2649" s="7">
        <v>9.8143999999999991</v>
      </c>
      <c r="F2649" s="7">
        <v>10.2378</v>
      </c>
      <c r="G2649" s="7">
        <v>10.442500000000001</v>
      </c>
      <c r="H2649" s="7">
        <v>10.521000000000001</v>
      </c>
      <c r="I2649" s="7">
        <v>10.629200000000001</v>
      </c>
      <c r="J2649" s="7">
        <v>10.651999999999999</v>
      </c>
      <c r="K2649" s="7">
        <v>10.663500000000001</v>
      </c>
      <c r="L2649" s="7">
        <v>10.6684</v>
      </c>
      <c r="M2649" s="7">
        <v>10.673500000000001</v>
      </c>
      <c r="N2649" s="7">
        <v>10.680899999999999</v>
      </c>
      <c r="O2649" s="7">
        <v>10.6839</v>
      </c>
      <c r="P2649" s="7">
        <v>10.685499999999999</v>
      </c>
      <c r="Q2649" s="7">
        <v>10.688599999999999</v>
      </c>
    </row>
    <row r="2650" spans="1:17">
      <c r="A2650" s="5">
        <v>45320</v>
      </c>
      <c r="B2650" s="5" t="str">
        <f t="shared" si="41"/>
        <v>2024 q1</v>
      </c>
      <c r="C2650" s="7">
        <v>9.3309999999999995</v>
      </c>
      <c r="D2650" s="7">
        <v>9.4905000000000008</v>
      </c>
      <c r="E2650" s="7">
        <v>9.82</v>
      </c>
      <c r="F2650" s="7">
        <v>10.2363</v>
      </c>
      <c r="G2650" s="7">
        <v>10.4466</v>
      </c>
      <c r="H2650" s="7">
        <v>10.527699999999999</v>
      </c>
      <c r="I2650" s="7">
        <v>10.6403</v>
      </c>
      <c r="J2650" s="7">
        <v>10.6624</v>
      </c>
      <c r="K2650" s="7">
        <v>10.672599999999999</v>
      </c>
      <c r="L2650" s="7">
        <v>10.6768</v>
      </c>
      <c r="M2650" s="7">
        <v>10.6813</v>
      </c>
      <c r="N2650" s="7">
        <v>10.6876</v>
      </c>
      <c r="O2650" s="7">
        <v>10.690200000000001</v>
      </c>
      <c r="P2650" s="7">
        <v>10.691599999999999</v>
      </c>
      <c r="Q2650" s="7">
        <v>10.6943</v>
      </c>
    </row>
    <row r="2651" spans="1:17">
      <c r="A2651" s="5">
        <v>45321</v>
      </c>
      <c r="B2651" s="5" t="str">
        <f t="shared" si="41"/>
        <v>2024 q1</v>
      </c>
      <c r="C2651" s="7">
        <v>8.4916999999999998</v>
      </c>
      <c r="D2651" s="7">
        <v>9.0991999999999997</v>
      </c>
      <c r="E2651" s="7">
        <v>10.353400000000001</v>
      </c>
      <c r="F2651" s="7">
        <v>10.769299999999999</v>
      </c>
      <c r="G2651" s="7">
        <v>10.7631</v>
      </c>
      <c r="H2651" s="7">
        <v>10.728999999999999</v>
      </c>
      <c r="I2651" s="7">
        <v>10.667</v>
      </c>
      <c r="J2651" s="7">
        <v>10.6494</v>
      </c>
      <c r="K2651" s="7">
        <v>10.638400000000001</v>
      </c>
      <c r="L2651" s="7">
        <v>10.633800000000001</v>
      </c>
      <c r="M2651" s="7">
        <v>10.6287</v>
      </c>
      <c r="N2651" s="7">
        <v>10.621499999999999</v>
      </c>
      <c r="O2651" s="7">
        <v>10.618499999999999</v>
      </c>
      <c r="P2651" s="7">
        <v>10.616899999999999</v>
      </c>
      <c r="Q2651" s="7">
        <v>10.613899999999999</v>
      </c>
    </row>
    <row r="2652" spans="1:17">
      <c r="A2652" s="5">
        <v>45322</v>
      </c>
      <c r="B2652" s="5" t="str">
        <f t="shared" si="41"/>
        <v>2024 q1</v>
      </c>
      <c r="C2652" s="7">
        <v>8.5259</v>
      </c>
      <c r="D2652" s="7">
        <v>9.1248000000000005</v>
      </c>
      <c r="E2652" s="7">
        <v>10.3613</v>
      </c>
      <c r="F2652" s="7">
        <v>10.7356</v>
      </c>
      <c r="G2652" s="7">
        <v>10.7218</v>
      </c>
      <c r="H2652" s="7">
        <v>10.684699999999999</v>
      </c>
      <c r="I2652" s="7">
        <v>10.6183</v>
      </c>
      <c r="J2652" s="7">
        <v>10.5997</v>
      </c>
      <c r="K2652" s="7">
        <v>10.588100000000001</v>
      </c>
      <c r="L2652" s="7">
        <v>10.5832</v>
      </c>
      <c r="M2652" s="7">
        <v>10.5778</v>
      </c>
      <c r="N2652" s="7">
        <v>10.5702</v>
      </c>
      <c r="O2652" s="7">
        <v>10.567</v>
      </c>
      <c r="P2652" s="7">
        <v>10.5654</v>
      </c>
      <c r="Q2652" s="7">
        <v>10.562099999999999</v>
      </c>
    </row>
    <row r="2653" spans="1:17">
      <c r="A2653" s="5">
        <v>45323</v>
      </c>
      <c r="B2653" s="5" t="str">
        <f t="shared" si="41"/>
        <v>2024 q1</v>
      </c>
      <c r="C2653" s="7">
        <v>8.4091000000000005</v>
      </c>
      <c r="D2653" s="7">
        <v>9.0480999999999998</v>
      </c>
      <c r="E2653" s="7">
        <v>10.3673</v>
      </c>
      <c r="F2653" s="7">
        <v>10.7286</v>
      </c>
      <c r="G2653" s="7">
        <v>10.697900000000001</v>
      </c>
      <c r="H2653" s="7">
        <v>10.645300000000001</v>
      </c>
      <c r="I2653" s="7">
        <v>10.5518</v>
      </c>
      <c r="J2653" s="7">
        <v>10.5259</v>
      </c>
      <c r="K2653" s="7">
        <v>10.509499999999999</v>
      </c>
      <c r="L2653" s="7">
        <v>10.502700000000001</v>
      </c>
      <c r="M2653" s="7">
        <v>10.495200000000001</v>
      </c>
      <c r="N2653" s="7">
        <v>10.484500000000001</v>
      </c>
      <c r="O2653" s="7">
        <v>10.4801</v>
      </c>
      <c r="P2653" s="7">
        <v>10.4778</v>
      </c>
      <c r="Q2653" s="7">
        <v>10.4732</v>
      </c>
    </row>
    <row r="2654" spans="1:17">
      <c r="A2654" s="5">
        <v>45324</v>
      </c>
      <c r="B2654" s="5" t="str">
        <f t="shared" si="41"/>
        <v>2024 q1</v>
      </c>
      <c r="C2654" s="7">
        <v>8.4090000000000007</v>
      </c>
      <c r="D2654" s="7">
        <v>9.0585000000000004</v>
      </c>
      <c r="E2654" s="7">
        <v>10.3994</v>
      </c>
      <c r="F2654" s="7">
        <v>10.7211</v>
      </c>
      <c r="G2654" s="7">
        <v>10.675700000000001</v>
      </c>
      <c r="H2654" s="7">
        <v>10.612</v>
      </c>
      <c r="I2654" s="7">
        <v>10.500299999999999</v>
      </c>
      <c r="J2654" s="7">
        <v>10.4696</v>
      </c>
      <c r="K2654" s="7">
        <v>10.450100000000001</v>
      </c>
      <c r="L2654" s="7">
        <v>10.4421</v>
      </c>
      <c r="M2654" s="7">
        <v>10.4331</v>
      </c>
      <c r="N2654" s="7">
        <v>10.420500000000001</v>
      </c>
      <c r="O2654" s="7">
        <v>10.4152</v>
      </c>
      <c r="P2654" s="7">
        <v>10.4125</v>
      </c>
      <c r="Q2654" s="7">
        <v>10.4071</v>
      </c>
    </row>
    <row r="2655" spans="1:17">
      <c r="A2655" s="5">
        <v>45327</v>
      </c>
      <c r="B2655" s="5" t="str">
        <f t="shared" si="41"/>
        <v>2024 q1</v>
      </c>
      <c r="C2655" s="7">
        <v>8.3999000000000006</v>
      </c>
      <c r="D2655" s="7">
        <v>9.0624000000000002</v>
      </c>
      <c r="E2655" s="7">
        <v>10.43</v>
      </c>
      <c r="F2655" s="7">
        <v>10.716100000000001</v>
      </c>
      <c r="G2655" s="7">
        <v>10.6585</v>
      </c>
      <c r="H2655" s="7">
        <v>10.5855</v>
      </c>
      <c r="I2655" s="7">
        <v>10.4587</v>
      </c>
      <c r="J2655" s="7">
        <v>10.424099999999999</v>
      </c>
      <c r="K2655" s="7">
        <v>10.402100000000001</v>
      </c>
      <c r="L2655" s="7">
        <v>10.393000000000001</v>
      </c>
      <c r="M2655" s="7">
        <v>10.382899999999999</v>
      </c>
      <c r="N2655" s="7">
        <v>10.368600000000001</v>
      </c>
      <c r="O2655" s="7">
        <v>10.3626</v>
      </c>
      <c r="P2655" s="7">
        <v>10.3596</v>
      </c>
      <c r="Q2655" s="7">
        <v>10.353400000000001</v>
      </c>
    </row>
    <row r="2656" spans="1:17">
      <c r="A2656" s="5">
        <v>45328</v>
      </c>
      <c r="B2656" s="5" t="str">
        <f t="shared" si="41"/>
        <v>2024 q1</v>
      </c>
      <c r="C2656" s="7">
        <v>8.6599000000000004</v>
      </c>
      <c r="D2656" s="7">
        <v>9.2309000000000001</v>
      </c>
      <c r="E2656" s="7">
        <v>10.409599999999999</v>
      </c>
      <c r="F2656" s="7">
        <v>10.561299999999999</v>
      </c>
      <c r="G2656" s="7">
        <v>10.499499999999999</v>
      </c>
      <c r="H2656" s="7">
        <v>10.439</v>
      </c>
      <c r="I2656" s="7">
        <v>10.3725</v>
      </c>
      <c r="J2656" s="7">
        <v>10.3454</v>
      </c>
      <c r="K2656" s="7">
        <v>10.332800000000001</v>
      </c>
      <c r="L2656" s="7">
        <v>10.3278</v>
      </c>
      <c r="M2656" s="7">
        <v>10.3209</v>
      </c>
      <c r="N2656" s="7">
        <v>10.311199999999999</v>
      </c>
      <c r="O2656" s="7">
        <v>10.3071</v>
      </c>
      <c r="P2656" s="7">
        <v>10.305</v>
      </c>
      <c r="Q2656" s="7">
        <v>10.300800000000001</v>
      </c>
    </row>
    <row r="2657" spans="1:17">
      <c r="A2657" s="5">
        <v>45329</v>
      </c>
      <c r="B2657" s="5" t="str">
        <f t="shared" si="41"/>
        <v>2024 q1</v>
      </c>
      <c r="C2657" s="7">
        <v>8.6699000000000002</v>
      </c>
      <c r="D2657" s="7">
        <v>9.2482000000000006</v>
      </c>
      <c r="E2657" s="7">
        <v>10.442</v>
      </c>
      <c r="F2657" s="7">
        <v>10.5581</v>
      </c>
      <c r="G2657" s="7">
        <v>10.487299999999999</v>
      </c>
      <c r="H2657" s="7">
        <v>10.4209</v>
      </c>
      <c r="I2657" s="7">
        <v>10.3482</v>
      </c>
      <c r="J2657" s="7">
        <v>10.3226</v>
      </c>
      <c r="K2657" s="7">
        <v>10.3062</v>
      </c>
      <c r="L2657" s="7">
        <v>10.2995</v>
      </c>
      <c r="M2657" s="7">
        <v>10.292</v>
      </c>
      <c r="N2657" s="7">
        <v>10.2814</v>
      </c>
      <c r="O2657" s="7">
        <v>10.276899999999999</v>
      </c>
      <c r="P2657" s="7">
        <v>10.274699999999999</v>
      </c>
      <c r="Q2657" s="7">
        <v>10.270099999999999</v>
      </c>
    </row>
    <row r="2658" spans="1:17">
      <c r="A2658" s="5">
        <v>45330</v>
      </c>
      <c r="B2658" s="5" t="str">
        <f t="shared" si="41"/>
        <v>2024 q1</v>
      </c>
      <c r="C2658" s="7">
        <v>8.6809999999999992</v>
      </c>
      <c r="D2658" s="7">
        <v>9.2614999999999998</v>
      </c>
      <c r="E2658" s="7">
        <v>10.4598</v>
      </c>
      <c r="F2658" s="7">
        <v>10.5526</v>
      </c>
      <c r="G2658" s="7">
        <v>10.482699999999999</v>
      </c>
      <c r="H2658" s="7">
        <v>10.418799999999999</v>
      </c>
      <c r="I2658" s="7">
        <v>10.3489</v>
      </c>
      <c r="J2658" s="7">
        <v>10.324400000000001</v>
      </c>
      <c r="K2658" s="7">
        <v>10.3086</v>
      </c>
      <c r="L2658" s="7">
        <v>10.302199999999999</v>
      </c>
      <c r="M2658" s="7">
        <v>10.295</v>
      </c>
      <c r="N2658" s="7">
        <v>10.284800000000001</v>
      </c>
      <c r="O2658" s="7">
        <v>10.2805</v>
      </c>
      <c r="P2658" s="7">
        <v>10.2784</v>
      </c>
      <c r="Q2658" s="7">
        <v>10.273999999999999</v>
      </c>
    </row>
    <row r="2659" spans="1:17">
      <c r="A2659" s="5">
        <v>45331</v>
      </c>
      <c r="B2659" s="5" t="str">
        <f t="shared" si="41"/>
        <v>2024 q1</v>
      </c>
      <c r="C2659" s="7">
        <v>8.6654999999999998</v>
      </c>
      <c r="D2659" s="7">
        <v>9.2617999999999991</v>
      </c>
      <c r="E2659" s="7">
        <v>10.492800000000001</v>
      </c>
      <c r="F2659" s="7">
        <v>10.5564</v>
      </c>
      <c r="G2659" s="7">
        <v>10.479799999999999</v>
      </c>
      <c r="H2659" s="7">
        <v>10.4114</v>
      </c>
      <c r="I2659" s="7">
        <v>10.3367</v>
      </c>
      <c r="J2659" s="7">
        <v>10.310600000000001</v>
      </c>
      <c r="K2659" s="7">
        <v>10.293699999999999</v>
      </c>
      <c r="L2659" s="7">
        <v>10.287000000000001</v>
      </c>
      <c r="M2659" s="7">
        <v>10.279299999999999</v>
      </c>
      <c r="N2659" s="7">
        <v>10.2684</v>
      </c>
      <c r="O2659" s="7">
        <v>10.2639</v>
      </c>
      <c r="P2659" s="7">
        <v>10.2615</v>
      </c>
      <c r="Q2659" s="7">
        <v>10.2569</v>
      </c>
    </row>
    <row r="2660" spans="1:17">
      <c r="A2660" s="5">
        <v>45334</v>
      </c>
      <c r="B2660" s="5" t="str">
        <f t="shared" si="41"/>
        <v>2024 q1</v>
      </c>
      <c r="C2660" s="7">
        <v>8.6647999999999996</v>
      </c>
      <c r="D2660" s="7">
        <v>9.2684999999999995</v>
      </c>
      <c r="E2660" s="7">
        <v>10.514799999999999</v>
      </c>
      <c r="F2660" s="7">
        <v>10.5611</v>
      </c>
      <c r="G2660" s="7">
        <v>10.488</v>
      </c>
      <c r="H2660" s="7">
        <v>10.4237</v>
      </c>
      <c r="I2660" s="7">
        <v>10.3538</v>
      </c>
      <c r="J2660" s="7">
        <v>10.3294</v>
      </c>
      <c r="K2660" s="7">
        <v>10.313499999999999</v>
      </c>
      <c r="L2660" s="7">
        <v>10.3072</v>
      </c>
      <c r="M2660" s="7">
        <v>10.3</v>
      </c>
      <c r="N2660" s="7">
        <v>10.2898</v>
      </c>
      <c r="O2660" s="7">
        <v>10.285500000000001</v>
      </c>
      <c r="P2660" s="7">
        <v>10.2834</v>
      </c>
      <c r="Q2660" s="7">
        <v>10.279</v>
      </c>
    </row>
    <row r="2661" spans="1:17">
      <c r="A2661" s="5">
        <v>45335</v>
      </c>
      <c r="B2661" s="5" t="str">
        <f t="shared" si="41"/>
        <v>2024 q1</v>
      </c>
      <c r="C2661" s="7">
        <v>9.3874999999999993</v>
      </c>
      <c r="D2661" s="7">
        <v>9.5248000000000008</v>
      </c>
      <c r="E2661" s="7">
        <v>9.8082999999999991</v>
      </c>
      <c r="F2661" s="7">
        <v>10.233700000000001</v>
      </c>
      <c r="G2661" s="7">
        <v>10.2746</v>
      </c>
      <c r="H2661" s="7">
        <v>10.308400000000001</v>
      </c>
      <c r="I2661" s="7">
        <v>10.343999999999999</v>
      </c>
      <c r="J2661" s="7">
        <v>10.356299999999999</v>
      </c>
      <c r="K2661" s="7">
        <v>10.3643</v>
      </c>
      <c r="L2661" s="7">
        <v>10.3675</v>
      </c>
      <c r="M2661" s="7">
        <v>10.3711</v>
      </c>
      <c r="N2661" s="7">
        <v>10.376300000000001</v>
      </c>
      <c r="O2661" s="7">
        <v>10.378399999999999</v>
      </c>
      <c r="P2661" s="7">
        <v>10.3795</v>
      </c>
      <c r="Q2661" s="7">
        <v>10.3818</v>
      </c>
    </row>
    <row r="2662" spans="1:17">
      <c r="A2662" s="5">
        <v>45336</v>
      </c>
      <c r="B2662" s="5" t="str">
        <f t="shared" si="41"/>
        <v>2024 q1</v>
      </c>
      <c r="C2662" s="7">
        <v>9.3577999999999992</v>
      </c>
      <c r="D2662" s="7">
        <v>9.5084999999999997</v>
      </c>
      <c r="E2662" s="7">
        <v>9.8194999999999997</v>
      </c>
      <c r="F2662" s="7">
        <v>10.280799999999999</v>
      </c>
      <c r="G2662" s="7">
        <v>10.250999999999999</v>
      </c>
      <c r="H2662" s="7">
        <v>10.226599999999999</v>
      </c>
      <c r="I2662" s="7">
        <v>10.2004</v>
      </c>
      <c r="J2662" s="7">
        <v>10.1914</v>
      </c>
      <c r="K2662" s="7">
        <v>10.1854</v>
      </c>
      <c r="L2662" s="7">
        <v>10.1831</v>
      </c>
      <c r="M2662" s="7">
        <v>10.180400000000001</v>
      </c>
      <c r="N2662" s="7">
        <v>10.176600000000001</v>
      </c>
      <c r="O2662" s="7">
        <v>10.1751</v>
      </c>
      <c r="P2662" s="7">
        <v>10.174200000000001</v>
      </c>
      <c r="Q2662" s="7">
        <v>10.172599999999999</v>
      </c>
    </row>
    <row r="2663" spans="1:17">
      <c r="A2663" s="5">
        <v>45337</v>
      </c>
      <c r="B2663" s="5" t="str">
        <f t="shared" si="41"/>
        <v>2024 q1</v>
      </c>
      <c r="C2663" s="7">
        <v>9.8762000000000008</v>
      </c>
      <c r="D2663" s="7">
        <v>9.9388000000000005</v>
      </c>
      <c r="E2663" s="7">
        <v>10.0679</v>
      </c>
      <c r="F2663" s="7">
        <v>10.2561</v>
      </c>
      <c r="G2663" s="7">
        <v>10.1951</v>
      </c>
      <c r="H2663" s="7">
        <v>10.1454</v>
      </c>
      <c r="I2663" s="7">
        <v>10.092499999999999</v>
      </c>
      <c r="J2663" s="7">
        <v>10.074400000000001</v>
      </c>
      <c r="K2663" s="7">
        <v>10.0624</v>
      </c>
      <c r="L2663" s="7">
        <v>10.057700000000001</v>
      </c>
      <c r="M2663" s="7">
        <v>10.052300000000001</v>
      </c>
      <c r="N2663" s="7">
        <v>10.044600000000001</v>
      </c>
      <c r="O2663" s="7">
        <v>10.041399999999999</v>
      </c>
      <c r="P2663" s="7">
        <v>10.0398</v>
      </c>
      <c r="Q2663" s="7">
        <v>10.0365</v>
      </c>
    </row>
    <row r="2664" spans="1:17">
      <c r="A2664" s="5">
        <v>45338</v>
      </c>
      <c r="B2664" s="5" t="str">
        <f t="shared" si="41"/>
        <v>2024 q1</v>
      </c>
      <c r="C2664" s="7">
        <v>9.8755000000000006</v>
      </c>
      <c r="D2664" s="7">
        <v>9.9392999999999994</v>
      </c>
      <c r="E2664" s="7">
        <v>10.071099999999999</v>
      </c>
      <c r="F2664" s="7">
        <v>10.259</v>
      </c>
      <c r="G2664" s="7">
        <v>10.161199999999999</v>
      </c>
      <c r="H2664" s="7">
        <v>10.082000000000001</v>
      </c>
      <c r="I2664" s="7">
        <v>9.9966000000000008</v>
      </c>
      <c r="J2664" s="7">
        <v>9.9673999999999996</v>
      </c>
      <c r="K2664" s="7">
        <v>9.9480000000000004</v>
      </c>
      <c r="L2664" s="7">
        <v>9.9405999999999999</v>
      </c>
      <c r="M2664" s="7">
        <v>9.9318000000000008</v>
      </c>
      <c r="N2664" s="7">
        <v>9.9193999999999996</v>
      </c>
      <c r="O2664" s="7">
        <v>9.9143000000000008</v>
      </c>
      <c r="P2664" s="7">
        <v>9.9116</v>
      </c>
      <c r="Q2664" s="7">
        <v>9.9062999999999999</v>
      </c>
    </row>
    <row r="2665" spans="1:17">
      <c r="A2665" s="5">
        <v>45341</v>
      </c>
      <c r="B2665" s="5" t="str">
        <f t="shared" si="41"/>
        <v>2024 q1</v>
      </c>
      <c r="C2665" s="7">
        <v>9.9773999999999994</v>
      </c>
      <c r="D2665" s="7">
        <v>9.9751999999999992</v>
      </c>
      <c r="E2665" s="7">
        <v>9.9707000000000008</v>
      </c>
      <c r="F2665" s="7">
        <v>9.9641999999999999</v>
      </c>
      <c r="G2665" s="7">
        <v>9.9579000000000004</v>
      </c>
      <c r="H2665" s="7">
        <v>9.9517000000000007</v>
      </c>
      <c r="I2665" s="7">
        <v>9.9304000000000006</v>
      </c>
      <c r="J2665" s="7">
        <v>9.9144000000000005</v>
      </c>
      <c r="K2665" s="7">
        <v>9.8994999999999997</v>
      </c>
      <c r="L2665" s="7">
        <v>9.8940999999999999</v>
      </c>
      <c r="M2665" s="7">
        <v>9.8880999999999997</v>
      </c>
      <c r="N2665" s="7">
        <v>9.8820999999999994</v>
      </c>
      <c r="O2665" s="7">
        <v>9.9443999999999999</v>
      </c>
      <c r="P2665" s="7">
        <v>10.037000000000001</v>
      </c>
      <c r="Q2665" s="7">
        <v>10.222200000000001</v>
      </c>
    </row>
    <row r="2666" spans="1:17">
      <c r="A2666" s="5">
        <v>45342</v>
      </c>
      <c r="B2666" s="5" t="str">
        <f t="shared" si="41"/>
        <v>2024 q1</v>
      </c>
      <c r="C2666" s="7">
        <v>10.0662</v>
      </c>
      <c r="D2666" s="7">
        <v>10.007099999999999</v>
      </c>
      <c r="E2666" s="7">
        <v>9.8851999999999993</v>
      </c>
      <c r="F2666" s="7">
        <v>9.7881</v>
      </c>
      <c r="G2666" s="7">
        <v>9.7646999999999995</v>
      </c>
      <c r="H2666" s="7">
        <v>9.7835999999999999</v>
      </c>
      <c r="I2666" s="7">
        <v>9.8779000000000003</v>
      </c>
      <c r="J2666" s="7">
        <v>9.9240999999999993</v>
      </c>
      <c r="K2666" s="7">
        <v>9.9593000000000007</v>
      </c>
      <c r="L2666" s="7">
        <v>9.9725999999999999</v>
      </c>
      <c r="M2666" s="7">
        <v>9.9888999999999992</v>
      </c>
      <c r="N2666" s="7">
        <v>10.0116</v>
      </c>
      <c r="O2666" s="7">
        <v>10.021100000000001</v>
      </c>
      <c r="P2666" s="7">
        <v>10.0259</v>
      </c>
      <c r="Q2666" s="7">
        <v>10.0357</v>
      </c>
    </row>
    <row r="2667" spans="1:17">
      <c r="A2667" s="5">
        <v>45343</v>
      </c>
      <c r="B2667" s="5" t="str">
        <f t="shared" si="41"/>
        <v>2024 q1</v>
      </c>
      <c r="C2667" s="7">
        <v>10.088900000000001</v>
      </c>
      <c r="D2667" s="7">
        <v>10.0185</v>
      </c>
      <c r="E2667" s="7">
        <v>9.8733000000000004</v>
      </c>
      <c r="F2667" s="7">
        <v>9.7736000000000001</v>
      </c>
      <c r="G2667" s="7">
        <v>9.7706999999999997</v>
      </c>
      <c r="H2667" s="7">
        <v>9.7996999999999996</v>
      </c>
      <c r="I2667" s="7">
        <v>9.8897999999999993</v>
      </c>
      <c r="J2667" s="7">
        <v>9.9316999999999993</v>
      </c>
      <c r="K2667" s="7">
        <v>9.952</v>
      </c>
      <c r="L2667" s="7">
        <v>9.9598999999999993</v>
      </c>
      <c r="M2667" s="7">
        <v>9.9713999999999992</v>
      </c>
      <c r="N2667" s="7">
        <v>9.9872999999999994</v>
      </c>
      <c r="O2667" s="7">
        <v>9.9939999999999998</v>
      </c>
      <c r="P2667" s="7">
        <v>9.9974000000000007</v>
      </c>
      <c r="Q2667" s="7">
        <v>10.004200000000001</v>
      </c>
    </row>
    <row r="2668" spans="1:17">
      <c r="A2668" s="5">
        <v>45344</v>
      </c>
      <c r="B2668" s="5" t="str">
        <f t="shared" si="41"/>
        <v>2024 q1</v>
      </c>
      <c r="C2668" s="7">
        <v>10.070600000000001</v>
      </c>
      <c r="D2668" s="7">
        <v>10.0078</v>
      </c>
      <c r="E2668" s="7">
        <v>9.8780000000000001</v>
      </c>
      <c r="F2668" s="7">
        <v>9.7827999999999999</v>
      </c>
      <c r="G2668" s="7">
        <v>9.7655999999999992</v>
      </c>
      <c r="H2668" s="7">
        <v>9.7888999999999999</v>
      </c>
      <c r="I2668" s="7">
        <v>9.8818000000000001</v>
      </c>
      <c r="J2668" s="7">
        <v>9.9311000000000007</v>
      </c>
      <c r="K2668" s="7">
        <v>9.9560999999999993</v>
      </c>
      <c r="L2668" s="7">
        <v>9.9672999999999998</v>
      </c>
      <c r="M2668" s="7">
        <v>9.9850999999999992</v>
      </c>
      <c r="N2668" s="7">
        <v>9.9995999999999992</v>
      </c>
      <c r="O2668" s="7">
        <v>10.0078</v>
      </c>
      <c r="P2668" s="7">
        <v>10.0121</v>
      </c>
      <c r="Q2668" s="7">
        <v>10.0205</v>
      </c>
    </row>
    <row r="2669" spans="1:17">
      <c r="A2669" s="5">
        <v>45345</v>
      </c>
      <c r="B2669" s="5" t="str">
        <f t="shared" si="41"/>
        <v>2024 q1</v>
      </c>
      <c r="C2669" s="7">
        <v>10.1028</v>
      </c>
      <c r="D2669" s="7">
        <v>10.0228</v>
      </c>
      <c r="E2669" s="7">
        <v>9.8577999999999992</v>
      </c>
      <c r="F2669" s="7">
        <v>9.7720000000000002</v>
      </c>
      <c r="G2669" s="7">
        <v>9.8073999999999995</v>
      </c>
      <c r="H2669" s="7">
        <v>9.8449000000000009</v>
      </c>
      <c r="I2669" s="7">
        <v>9.9237000000000002</v>
      </c>
      <c r="J2669" s="7">
        <v>9.9499999999999993</v>
      </c>
      <c r="K2669" s="7">
        <v>9.968</v>
      </c>
      <c r="L2669" s="7">
        <v>9.9746000000000006</v>
      </c>
      <c r="M2669" s="7">
        <v>9.9826999999999995</v>
      </c>
      <c r="N2669" s="7">
        <v>9.9939999999999998</v>
      </c>
      <c r="O2669" s="7">
        <v>9.9987999999999992</v>
      </c>
      <c r="P2669" s="7">
        <v>10.001200000000001</v>
      </c>
      <c r="Q2669" s="7">
        <v>10.006</v>
      </c>
    </row>
    <row r="2670" spans="1:17">
      <c r="A2670" s="5">
        <v>45348</v>
      </c>
      <c r="B2670" s="5" t="str">
        <f t="shared" si="41"/>
        <v>2024 q1</v>
      </c>
      <c r="C2670" s="7">
        <v>10.098699999999999</v>
      </c>
      <c r="D2670" s="7">
        <v>10.019399999999999</v>
      </c>
      <c r="E2670" s="7">
        <v>9.8558000000000003</v>
      </c>
      <c r="F2670" s="7">
        <v>9.7721</v>
      </c>
      <c r="G2670" s="7">
        <v>9.8046000000000006</v>
      </c>
      <c r="H2670" s="7">
        <v>9.8428000000000004</v>
      </c>
      <c r="I2670" s="7">
        <v>9.9253999999999998</v>
      </c>
      <c r="J2670" s="7">
        <v>9.9532000000000007</v>
      </c>
      <c r="K2670" s="7">
        <v>9.9723000000000006</v>
      </c>
      <c r="L2670" s="7">
        <v>9.9802</v>
      </c>
      <c r="M2670" s="7">
        <v>9.9910999999999994</v>
      </c>
      <c r="N2670" s="7">
        <v>10</v>
      </c>
      <c r="O2670" s="7">
        <v>10.005000000000001</v>
      </c>
      <c r="P2670" s="7">
        <v>10.0076</v>
      </c>
      <c r="Q2670" s="7">
        <v>10.0128</v>
      </c>
    </row>
    <row r="2671" spans="1:17">
      <c r="A2671" s="5">
        <v>45349</v>
      </c>
      <c r="B2671" s="5" t="str">
        <f t="shared" si="41"/>
        <v>2024 q1</v>
      </c>
      <c r="C2671" s="7">
        <v>10.105600000000001</v>
      </c>
      <c r="D2671" s="7">
        <v>10.012499999999999</v>
      </c>
      <c r="E2671" s="7">
        <v>9.8202999999999996</v>
      </c>
      <c r="F2671" s="7">
        <v>9.8117000000000001</v>
      </c>
      <c r="G2671" s="7">
        <v>9.8245000000000005</v>
      </c>
      <c r="H2671" s="7">
        <v>9.8552999999999997</v>
      </c>
      <c r="I2671" s="7">
        <v>9.9216999999999995</v>
      </c>
      <c r="J2671" s="7">
        <v>9.9436999999999998</v>
      </c>
      <c r="K2671" s="7">
        <v>9.9589999999999996</v>
      </c>
      <c r="L2671" s="7">
        <v>9.9644999999999992</v>
      </c>
      <c r="M2671" s="7">
        <v>9.9713999999999992</v>
      </c>
      <c r="N2671" s="7">
        <v>9.9809999999999999</v>
      </c>
      <c r="O2671" s="7">
        <v>9.9849999999999994</v>
      </c>
      <c r="P2671" s="7">
        <v>9.9870000000000001</v>
      </c>
      <c r="Q2671" s="7">
        <v>9.9910999999999994</v>
      </c>
    </row>
    <row r="2672" spans="1:17">
      <c r="A2672" s="5">
        <v>45350</v>
      </c>
      <c r="B2672" s="5" t="str">
        <f t="shared" si="41"/>
        <v>2024 q1</v>
      </c>
      <c r="C2672" s="7">
        <v>10.132300000000001</v>
      </c>
      <c r="D2672" s="7">
        <v>10.0129</v>
      </c>
      <c r="E2672" s="7">
        <v>9.7665000000000006</v>
      </c>
      <c r="F2672" s="7">
        <v>9.7666000000000004</v>
      </c>
      <c r="G2672" s="7">
        <v>9.7902000000000005</v>
      </c>
      <c r="H2672" s="7">
        <v>9.8289000000000009</v>
      </c>
      <c r="I2672" s="7">
        <v>9.9083000000000006</v>
      </c>
      <c r="J2672" s="7">
        <v>9.9338999999999995</v>
      </c>
      <c r="K2672" s="7">
        <v>9.9519000000000002</v>
      </c>
      <c r="L2672" s="7">
        <v>9.9582999999999995</v>
      </c>
      <c r="M2672" s="7">
        <v>9.9664000000000001</v>
      </c>
      <c r="N2672" s="7">
        <v>9.9776000000000007</v>
      </c>
      <c r="O2672" s="7">
        <v>9.9823000000000004</v>
      </c>
      <c r="P2672" s="7">
        <v>9.9847000000000001</v>
      </c>
      <c r="Q2672" s="7">
        <v>9.9894999999999996</v>
      </c>
    </row>
    <row r="2673" spans="1:17">
      <c r="A2673" s="5">
        <v>45351</v>
      </c>
      <c r="B2673" s="5" t="str">
        <f t="shared" si="41"/>
        <v>2024 q1</v>
      </c>
      <c r="C2673" s="7">
        <v>9.0709</v>
      </c>
      <c r="D2673" s="7">
        <v>9.2722999999999995</v>
      </c>
      <c r="E2673" s="7">
        <v>9.6881000000000004</v>
      </c>
      <c r="F2673" s="7">
        <v>9.7987000000000002</v>
      </c>
      <c r="G2673" s="7">
        <v>9.8826000000000001</v>
      </c>
      <c r="H2673" s="7">
        <v>9.8994999999999997</v>
      </c>
      <c r="I2673" s="7">
        <v>9.9257000000000009</v>
      </c>
      <c r="J2673" s="7">
        <v>9.9336000000000002</v>
      </c>
      <c r="K2673" s="7">
        <v>9.9391999999999996</v>
      </c>
      <c r="L2673" s="7">
        <v>9.9412000000000003</v>
      </c>
      <c r="M2673" s="7">
        <v>9.9436999999999998</v>
      </c>
      <c r="N2673" s="7">
        <v>9.9472000000000005</v>
      </c>
      <c r="O2673" s="7">
        <v>9.9486000000000008</v>
      </c>
      <c r="P2673" s="7">
        <v>9.9494000000000007</v>
      </c>
      <c r="Q2673" s="7">
        <v>9.9509000000000007</v>
      </c>
    </row>
    <row r="2674" spans="1:17">
      <c r="A2674" s="5">
        <v>45352</v>
      </c>
      <c r="B2674" s="5" t="str">
        <f t="shared" si="41"/>
        <v>2024 q1</v>
      </c>
      <c r="C2674" s="7">
        <v>9.1217000000000006</v>
      </c>
      <c r="D2674" s="7">
        <v>9.3066999999999993</v>
      </c>
      <c r="E2674" s="7">
        <v>9.6885999999999992</v>
      </c>
      <c r="F2674" s="7">
        <v>9.7882999999999996</v>
      </c>
      <c r="G2674" s="7">
        <v>9.8691999999999993</v>
      </c>
      <c r="H2674" s="7">
        <v>9.8854000000000006</v>
      </c>
      <c r="I2674" s="7">
        <v>9.9117999999999995</v>
      </c>
      <c r="J2674" s="7">
        <v>9.9199000000000002</v>
      </c>
      <c r="K2674" s="7">
        <v>9.9254999999999995</v>
      </c>
      <c r="L2674" s="7">
        <v>9.9275000000000002</v>
      </c>
      <c r="M2674" s="7">
        <v>9.9300999999999995</v>
      </c>
      <c r="N2674" s="7">
        <v>9.9336000000000002</v>
      </c>
      <c r="O2674" s="7">
        <v>9.9350000000000005</v>
      </c>
      <c r="P2674" s="7">
        <v>9.9358000000000004</v>
      </c>
      <c r="Q2674" s="7">
        <v>9.9373000000000005</v>
      </c>
    </row>
    <row r="2675" spans="1:17">
      <c r="A2675" s="5">
        <v>45355</v>
      </c>
      <c r="B2675" s="5" t="str">
        <f t="shared" si="41"/>
        <v>2024 q1</v>
      </c>
      <c r="C2675" s="7">
        <v>9.1379000000000001</v>
      </c>
      <c r="D2675" s="7">
        <v>9.3191000000000006</v>
      </c>
      <c r="E2675" s="7">
        <v>9.6931999999999992</v>
      </c>
      <c r="F2675" s="7">
        <v>9.7874999999999996</v>
      </c>
      <c r="G2675" s="7">
        <v>9.8686000000000007</v>
      </c>
      <c r="H2675" s="7">
        <v>9.8844999999999992</v>
      </c>
      <c r="I2675" s="7">
        <v>9.9114000000000004</v>
      </c>
      <c r="J2675" s="7">
        <v>9.9196000000000009</v>
      </c>
      <c r="K2675" s="7">
        <v>9.9253999999999998</v>
      </c>
      <c r="L2675" s="7">
        <v>9.9274000000000004</v>
      </c>
      <c r="M2675" s="7">
        <v>9.93</v>
      </c>
      <c r="N2675" s="7">
        <v>9.9336000000000002</v>
      </c>
      <c r="O2675" s="7">
        <v>9.9350000000000005</v>
      </c>
      <c r="P2675" s="7">
        <v>9.9358000000000004</v>
      </c>
      <c r="Q2675" s="7">
        <v>9.9374000000000002</v>
      </c>
    </row>
    <row r="2676" spans="1:17">
      <c r="A2676" s="5">
        <v>45356</v>
      </c>
      <c r="B2676" s="5" t="str">
        <f t="shared" si="41"/>
        <v>2024 q1</v>
      </c>
      <c r="C2676" s="7">
        <v>9.8053000000000008</v>
      </c>
      <c r="D2676" s="7">
        <v>9.7874999999999996</v>
      </c>
      <c r="E2676" s="7">
        <v>9.7507999999999999</v>
      </c>
      <c r="F2676" s="7">
        <v>9.7116000000000007</v>
      </c>
      <c r="G2676" s="7">
        <v>9.7255000000000003</v>
      </c>
      <c r="H2676" s="7">
        <v>9.7395999999999994</v>
      </c>
      <c r="I2676" s="7">
        <v>9.8407999999999998</v>
      </c>
      <c r="J2676" s="7">
        <v>9.8876000000000008</v>
      </c>
      <c r="K2676" s="7">
        <v>9.9253</v>
      </c>
      <c r="L2676" s="7">
        <v>9.9403000000000006</v>
      </c>
      <c r="M2676" s="7">
        <v>9.9621999999999993</v>
      </c>
      <c r="N2676" s="7">
        <v>9.9796999999999993</v>
      </c>
      <c r="O2676" s="7">
        <v>9.9896999999999991</v>
      </c>
      <c r="P2676" s="7">
        <v>9.9948999999999995</v>
      </c>
      <c r="Q2676" s="7">
        <v>10.0052</v>
      </c>
    </row>
    <row r="2677" spans="1:17">
      <c r="A2677" s="5">
        <v>45357</v>
      </c>
      <c r="B2677" s="5" t="str">
        <f t="shared" si="41"/>
        <v>2024 q1</v>
      </c>
      <c r="C2677" s="7">
        <v>9.8422000000000001</v>
      </c>
      <c r="D2677" s="7">
        <v>9.8146000000000004</v>
      </c>
      <c r="E2677" s="7">
        <v>9.7575000000000003</v>
      </c>
      <c r="F2677" s="7">
        <v>9.6917000000000009</v>
      </c>
      <c r="G2677" s="7">
        <v>9.6880000000000006</v>
      </c>
      <c r="H2677" s="7">
        <v>9.6847999999999992</v>
      </c>
      <c r="I2677" s="7">
        <v>9.7744</v>
      </c>
      <c r="J2677" s="7">
        <v>9.8216000000000001</v>
      </c>
      <c r="K2677" s="7">
        <v>9.8613999999999997</v>
      </c>
      <c r="L2677" s="7">
        <v>9.8752999999999993</v>
      </c>
      <c r="M2677" s="7">
        <v>9.8940000000000001</v>
      </c>
      <c r="N2677" s="7">
        <v>9.9198000000000004</v>
      </c>
      <c r="O2677" s="7">
        <v>9.9305000000000003</v>
      </c>
      <c r="P2677" s="7">
        <v>9.9360999999999997</v>
      </c>
      <c r="Q2677" s="7">
        <v>9.9472000000000005</v>
      </c>
    </row>
    <row r="2678" spans="1:17">
      <c r="A2678" s="5">
        <v>45358</v>
      </c>
      <c r="B2678" s="5" t="str">
        <f t="shared" si="41"/>
        <v>2024 q1</v>
      </c>
      <c r="C2678" s="7">
        <v>9.8838000000000008</v>
      </c>
      <c r="D2678" s="7">
        <v>9.8452000000000002</v>
      </c>
      <c r="E2678" s="7">
        <v>9.7654999999999994</v>
      </c>
      <c r="F2678" s="7">
        <v>9.6713000000000005</v>
      </c>
      <c r="G2678" s="7">
        <v>9.6521000000000008</v>
      </c>
      <c r="H2678" s="7">
        <v>9.6341999999999999</v>
      </c>
      <c r="I2678" s="7">
        <v>9.7399000000000004</v>
      </c>
      <c r="J2678" s="7">
        <v>9.8072999999999997</v>
      </c>
      <c r="K2678" s="7">
        <v>9.8672000000000004</v>
      </c>
      <c r="L2678" s="7">
        <v>9.8919999999999995</v>
      </c>
      <c r="M2678" s="7">
        <v>9.9295000000000009</v>
      </c>
      <c r="N2678" s="7">
        <v>9.9594000000000005</v>
      </c>
      <c r="O2678" s="7">
        <v>9.9764999999999997</v>
      </c>
      <c r="P2678" s="7">
        <v>9.9853000000000005</v>
      </c>
      <c r="Q2678" s="7">
        <v>10.003</v>
      </c>
    </row>
    <row r="2679" spans="1:17">
      <c r="A2679" s="5">
        <v>45362</v>
      </c>
      <c r="B2679" s="5" t="str">
        <f t="shared" si="41"/>
        <v>2024 q1</v>
      </c>
      <c r="C2679" s="7">
        <v>9.7286999999999999</v>
      </c>
      <c r="D2679" s="7">
        <v>9.7144999999999992</v>
      </c>
      <c r="E2679" s="7">
        <v>9.6852999999999998</v>
      </c>
      <c r="F2679" s="7">
        <v>9.6544000000000008</v>
      </c>
      <c r="G2679" s="7">
        <v>9.6597000000000008</v>
      </c>
      <c r="H2679" s="7">
        <v>9.6655999999999995</v>
      </c>
      <c r="I2679" s="7">
        <v>9.7423999999999999</v>
      </c>
      <c r="J2679" s="7">
        <v>9.7891999999999992</v>
      </c>
      <c r="K2679" s="7">
        <v>9.8308999999999997</v>
      </c>
      <c r="L2679" s="7">
        <v>9.8460000000000001</v>
      </c>
      <c r="M2679" s="7">
        <v>9.8673999999999999</v>
      </c>
      <c r="N2679" s="7">
        <v>9.8968000000000007</v>
      </c>
      <c r="O2679" s="7">
        <v>9.9091000000000005</v>
      </c>
      <c r="P2679" s="7">
        <v>9.9154999999999998</v>
      </c>
      <c r="Q2679" s="7">
        <v>9.9282000000000004</v>
      </c>
    </row>
    <row r="2680" spans="1:17">
      <c r="A2680" s="5">
        <v>45363</v>
      </c>
      <c r="B2680" s="5" t="str">
        <f t="shared" si="41"/>
        <v>2024 q1</v>
      </c>
      <c r="C2680" s="7">
        <v>9.6618999999999993</v>
      </c>
      <c r="D2680" s="7">
        <v>9.6668000000000003</v>
      </c>
      <c r="E2680" s="7">
        <v>9.6768000000000001</v>
      </c>
      <c r="F2680" s="7">
        <v>9.6913999999999998</v>
      </c>
      <c r="G2680" s="7">
        <v>9.7050999999999998</v>
      </c>
      <c r="H2680" s="7">
        <v>9.7187000000000001</v>
      </c>
      <c r="I2680" s="7">
        <v>9.7645</v>
      </c>
      <c r="J2680" s="7">
        <v>9.7980999999999998</v>
      </c>
      <c r="K2680" s="7">
        <v>9.8299000000000003</v>
      </c>
      <c r="L2680" s="7">
        <v>9.8425999999999991</v>
      </c>
      <c r="M2680" s="7">
        <v>9.8620999999999999</v>
      </c>
      <c r="N2680" s="7">
        <v>9.8861000000000008</v>
      </c>
      <c r="O2680" s="7">
        <v>9.8473000000000006</v>
      </c>
      <c r="P2680" s="7">
        <v>9.7824000000000009</v>
      </c>
      <c r="Q2680" s="7">
        <v>9.6525999999999996</v>
      </c>
    </row>
    <row r="2681" spans="1:17">
      <c r="A2681" s="5">
        <v>45364</v>
      </c>
      <c r="B2681" s="5" t="str">
        <f t="shared" si="41"/>
        <v>2024 q1</v>
      </c>
      <c r="C2681" s="7">
        <v>9.7403999999999993</v>
      </c>
      <c r="D2681" s="7">
        <v>9.7199000000000009</v>
      </c>
      <c r="E2681" s="7">
        <v>9.6774000000000004</v>
      </c>
      <c r="F2681" s="7">
        <v>9.6294000000000004</v>
      </c>
      <c r="G2681" s="7">
        <v>9.6149000000000004</v>
      </c>
      <c r="H2681" s="7">
        <v>9.6021999999999998</v>
      </c>
      <c r="I2681" s="7">
        <v>9.6441999999999997</v>
      </c>
      <c r="J2681" s="7">
        <v>9.6843000000000004</v>
      </c>
      <c r="K2681" s="7">
        <v>9.7233999999999998</v>
      </c>
      <c r="L2681" s="7">
        <v>9.7386999999999997</v>
      </c>
      <c r="M2681" s="7">
        <v>9.7622</v>
      </c>
      <c r="N2681" s="7">
        <v>9.7944999999999993</v>
      </c>
      <c r="O2681" s="7">
        <v>9.8081999999999994</v>
      </c>
      <c r="P2681" s="7">
        <v>9.8152000000000008</v>
      </c>
      <c r="Q2681" s="7">
        <v>9.8293999999999997</v>
      </c>
    </row>
    <row r="2682" spans="1:17">
      <c r="A2682" s="5">
        <v>45365</v>
      </c>
      <c r="B2682" s="5" t="str">
        <f t="shared" si="41"/>
        <v>2024 q1</v>
      </c>
      <c r="C2682" s="7">
        <v>9.7286000000000001</v>
      </c>
      <c r="D2682" s="7">
        <v>9.7104999999999997</v>
      </c>
      <c r="E2682" s="7">
        <v>9.6731999999999996</v>
      </c>
      <c r="F2682" s="7">
        <v>9.6357999999999997</v>
      </c>
      <c r="G2682" s="7">
        <v>9.6363000000000003</v>
      </c>
      <c r="H2682" s="7">
        <v>9.6380999999999997</v>
      </c>
      <c r="I2682" s="7">
        <v>9.6849000000000007</v>
      </c>
      <c r="J2682" s="7">
        <v>9.7088999999999999</v>
      </c>
      <c r="K2682" s="7">
        <v>9.7295999999999996</v>
      </c>
      <c r="L2682" s="7">
        <v>9.7364999999999995</v>
      </c>
      <c r="M2682" s="7">
        <v>9.7462</v>
      </c>
      <c r="N2682" s="7">
        <v>9.7594999999999992</v>
      </c>
      <c r="O2682" s="7">
        <v>9.7650000000000006</v>
      </c>
      <c r="P2682" s="7">
        <v>9.7678999999999991</v>
      </c>
      <c r="Q2682" s="7">
        <v>9.7736000000000001</v>
      </c>
    </row>
    <row r="2683" spans="1:17">
      <c r="A2683" s="5">
        <v>45366</v>
      </c>
      <c r="B2683" s="5" t="str">
        <f t="shared" si="41"/>
        <v>2024 q1</v>
      </c>
      <c r="C2683" s="7">
        <v>9.6316000000000006</v>
      </c>
      <c r="D2683" s="7">
        <v>9.6340000000000003</v>
      </c>
      <c r="E2683" s="7">
        <v>9.6389999999999993</v>
      </c>
      <c r="F2683" s="7">
        <v>9.6461000000000006</v>
      </c>
      <c r="G2683" s="7">
        <v>9.6524999999999999</v>
      </c>
      <c r="H2683" s="7">
        <v>9.6587999999999994</v>
      </c>
      <c r="I2683" s="7">
        <v>9.6773000000000007</v>
      </c>
      <c r="J2683" s="7">
        <v>9.6864000000000008</v>
      </c>
      <c r="K2683" s="7">
        <v>9.6943000000000001</v>
      </c>
      <c r="L2683" s="7">
        <v>9.6889000000000003</v>
      </c>
      <c r="M2683" s="7">
        <v>9.6743000000000006</v>
      </c>
      <c r="N2683" s="7">
        <v>9.6494</v>
      </c>
      <c r="O2683" s="7">
        <v>9.5695999999999994</v>
      </c>
      <c r="P2683" s="7">
        <v>9.4871999999999996</v>
      </c>
      <c r="Q2683" s="7">
        <v>9.3224</v>
      </c>
    </row>
    <row r="2684" spans="1:17">
      <c r="A2684" s="5">
        <v>45369</v>
      </c>
      <c r="B2684" s="5" t="str">
        <f t="shared" si="41"/>
        <v>2024 q1</v>
      </c>
      <c r="C2684" s="7">
        <v>9.6180000000000003</v>
      </c>
      <c r="D2684" s="7">
        <v>9.6252999999999993</v>
      </c>
      <c r="E2684" s="7">
        <v>9.6404999999999994</v>
      </c>
      <c r="F2684" s="7">
        <v>9.6622000000000003</v>
      </c>
      <c r="G2684" s="7">
        <v>9.6818000000000008</v>
      </c>
      <c r="H2684" s="7">
        <v>9.7011000000000003</v>
      </c>
      <c r="I2684" s="7">
        <v>9.7588000000000008</v>
      </c>
      <c r="J2684" s="7">
        <v>9.7898999999999994</v>
      </c>
      <c r="K2684" s="7">
        <v>9.8173999999999992</v>
      </c>
      <c r="L2684" s="7">
        <v>9.8082999999999991</v>
      </c>
      <c r="M2684" s="7">
        <v>9.7798999999999996</v>
      </c>
      <c r="N2684" s="7">
        <v>9.7291000000000007</v>
      </c>
      <c r="O2684" s="7">
        <v>9.5462000000000007</v>
      </c>
      <c r="P2684" s="7">
        <v>9.3589000000000002</v>
      </c>
      <c r="Q2684" s="7">
        <v>8.9844000000000008</v>
      </c>
    </row>
    <row r="2685" spans="1:17">
      <c r="A2685" s="5">
        <v>45370</v>
      </c>
      <c r="B2685" s="5" t="str">
        <f t="shared" si="41"/>
        <v>2024 q1</v>
      </c>
      <c r="C2685" s="7">
        <v>9.6067999999999998</v>
      </c>
      <c r="D2685" s="7">
        <v>9.6113999999999997</v>
      </c>
      <c r="E2685" s="7">
        <v>9.6207999999999991</v>
      </c>
      <c r="F2685" s="7">
        <v>9.6342999999999996</v>
      </c>
      <c r="G2685" s="7">
        <v>9.6469000000000005</v>
      </c>
      <c r="H2685" s="7">
        <v>9.6585999999999999</v>
      </c>
      <c r="I2685" s="7">
        <v>9.6960999999999995</v>
      </c>
      <c r="J2685" s="7">
        <v>9.7173999999999996</v>
      </c>
      <c r="K2685" s="7">
        <v>9.7367000000000008</v>
      </c>
      <c r="L2685" s="7">
        <v>9.7315000000000005</v>
      </c>
      <c r="M2685" s="7">
        <v>9.7146000000000008</v>
      </c>
      <c r="N2685" s="7">
        <v>9.6826000000000008</v>
      </c>
      <c r="O2685" s="7">
        <v>9.5414999999999992</v>
      </c>
      <c r="P2685" s="7">
        <v>9.3849999999999998</v>
      </c>
      <c r="Q2685" s="7">
        <v>9.0721000000000007</v>
      </c>
    </row>
    <row r="2686" spans="1:17">
      <c r="A2686" s="5">
        <v>45371</v>
      </c>
      <c r="B2686" s="5" t="str">
        <f t="shared" si="41"/>
        <v>2024 q1</v>
      </c>
      <c r="C2686" s="7">
        <v>9.7794000000000008</v>
      </c>
      <c r="D2686" s="7">
        <v>9.6423000000000005</v>
      </c>
      <c r="E2686" s="7">
        <v>9.3591999999999995</v>
      </c>
      <c r="F2686" s="7">
        <v>9.1760000000000002</v>
      </c>
      <c r="G2686" s="7">
        <v>9.3620999999999999</v>
      </c>
      <c r="H2686" s="7">
        <v>9.4620999999999995</v>
      </c>
      <c r="I2686" s="7">
        <v>9.5850000000000009</v>
      </c>
      <c r="J2686" s="7">
        <v>9.6218000000000004</v>
      </c>
      <c r="K2686" s="7">
        <v>9.6501000000000001</v>
      </c>
      <c r="L2686" s="7">
        <v>9.6586999999999996</v>
      </c>
      <c r="M2686" s="7">
        <v>9.6712000000000007</v>
      </c>
      <c r="N2686" s="7">
        <v>9.6882000000000001</v>
      </c>
      <c r="O2686" s="7">
        <v>9.6951999999999998</v>
      </c>
      <c r="P2686" s="7">
        <v>9.6988000000000003</v>
      </c>
      <c r="Q2686" s="7">
        <v>9.7062000000000008</v>
      </c>
    </row>
    <row r="2687" spans="1:17">
      <c r="A2687" s="5">
        <v>45372</v>
      </c>
      <c r="B2687" s="5" t="str">
        <f t="shared" si="41"/>
        <v>2024 q1</v>
      </c>
      <c r="C2687" s="7">
        <v>9.7661999999999995</v>
      </c>
      <c r="D2687" s="7">
        <v>9.6613000000000007</v>
      </c>
      <c r="E2687" s="7">
        <v>9.4446999999999992</v>
      </c>
      <c r="F2687" s="7">
        <v>9.3444000000000003</v>
      </c>
      <c r="G2687" s="7">
        <v>9.4695999999999998</v>
      </c>
      <c r="H2687" s="7">
        <v>9.5381999999999998</v>
      </c>
      <c r="I2687" s="7">
        <v>9.6347000000000005</v>
      </c>
      <c r="J2687" s="7">
        <v>9.6635000000000009</v>
      </c>
      <c r="K2687" s="7">
        <v>9.6857000000000006</v>
      </c>
      <c r="L2687" s="7">
        <v>9.6923999999999992</v>
      </c>
      <c r="M2687" s="7">
        <v>9.7021999999999995</v>
      </c>
      <c r="N2687" s="7">
        <v>9.7155000000000005</v>
      </c>
      <c r="O2687" s="7">
        <v>9.7210999999999999</v>
      </c>
      <c r="P2687" s="7">
        <v>9.7239000000000004</v>
      </c>
      <c r="Q2687" s="7">
        <v>9.7296999999999993</v>
      </c>
    </row>
    <row r="2688" spans="1:17">
      <c r="A2688" s="5">
        <v>45373</v>
      </c>
      <c r="B2688" s="5" t="str">
        <f t="shared" si="41"/>
        <v>2024 q1</v>
      </c>
      <c r="C2688" s="7">
        <v>9.7518999999999991</v>
      </c>
      <c r="D2688" s="7">
        <v>9.6534999999999993</v>
      </c>
      <c r="E2688" s="7">
        <v>9.4504000000000001</v>
      </c>
      <c r="F2688" s="7">
        <v>9.3582000000000001</v>
      </c>
      <c r="G2688" s="7">
        <v>9.4690999999999992</v>
      </c>
      <c r="H2688" s="7">
        <v>9.5297000000000001</v>
      </c>
      <c r="I2688" s="7">
        <v>9.6152999999999995</v>
      </c>
      <c r="J2688" s="7">
        <v>9.6407000000000007</v>
      </c>
      <c r="K2688" s="7">
        <v>9.6605000000000008</v>
      </c>
      <c r="L2688" s="7">
        <v>9.6663999999999994</v>
      </c>
      <c r="M2688" s="7">
        <v>9.6751000000000005</v>
      </c>
      <c r="N2688" s="7">
        <v>9.6868999999999996</v>
      </c>
      <c r="O2688" s="7">
        <v>9.6918000000000006</v>
      </c>
      <c r="P2688" s="7">
        <v>9.6943000000000001</v>
      </c>
      <c r="Q2688" s="7">
        <v>9.6994000000000007</v>
      </c>
    </row>
    <row r="2689" spans="1:17">
      <c r="A2689" s="5">
        <v>45376</v>
      </c>
      <c r="B2689" s="5" t="str">
        <f t="shared" si="41"/>
        <v>2024 q1</v>
      </c>
      <c r="C2689" s="7">
        <v>8.6568000000000005</v>
      </c>
      <c r="D2689" s="7">
        <v>8.7629000000000001</v>
      </c>
      <c r="E2689" s="7">
        <v>8.9819999999999993</v>
      </c>
      <c r="F2689" s="7">
        <v>9.2819000000000003</v>
      </c>
      <c r="G2689" s="7">
        <v>9.4825999999999997</v>
      </c>
      <c r="H2689" s="7">
        <v>9.6242000000000001</v>
      </c>
      <c r="I2689" s="7">
        <v>9.8321000000000005</v>
      </c>
      <c r="J2689" s="7">
        <v>9.8204999999999991</v>
      </c>
      <c r="K2689" s="7">
        <v>9.7874999999999996</v>
      </c>
      <c r="L2689" s="7">
        <v>9.7571999999999992</v>
      </c>
      <c r="M2689" s="7">
        <v>9.6972000000000005</v>
      </c>
      <c r="N2689" s="7">
        <v>9.6146999999999991</v>
      </c>
      <c r="O2689" s="7">
        <v>9.5760000000000005</v>
      </c>
      <c r="P2689" s="7">
        <v>9.5557999999999996</v>
      </c>
      <c r="Q2689" s="7">
        <v>9.5153999999999996</v>
      </c>
    </row>
    <row r="2690" spans="1:17">
      <c r="A2690" s="5">
        <v>45377</v>
      </c>
      <c r="B2690" s="5" t="str">
        <f t="shared" si="41"/>
        <v>2024 q1</v>
      </c>
      <c r="C2690" s="7">
        <v>8.6674000000000007</v>
      </c>
      <c r="D2690" s="7">
        <v>8.7634000000000007</v>
      </c>
      <c r="E2690" s="7">
        <v>8.9616000000000007</v>
      </c>
      <c r="F2690" s="7">
        <v>9.2353000000000005</v>
      </c>
      <c r="G2690" s="7">
        <v>9.4036000000000008</v>
      </c>
      <c r="H2690" s="7">
        <v>9.5663999999999998</v>
      </c>
      <c r="I2690" s="7">
        <v>9.8363999999999994</v>
      </c>
      <c r="J2690" s="7">
        <v>9.8457000000000008</v>
      </c>
      <c r="K2690" s="7">
        <v>9.8315999999999999</v>
      </c>
      <c r="L2690" s="7">
        <v>9.7952999999999992</v>
      </c>
      <c r="M2690" s="7">
        <v>9.718</v>
      </c>
      <c r="N2690" s="7">
        <v>9.6111000000000004</v>
      </c>
      <c r="O2690" s="7">
        <v>9.5542999999999996</v>
      </c>
      <c r="P2690" s="7">
        <v>9.5245999999999995</v>
      </c>
      <c r="Q2690" s="7">
        <v>9.4651999999999994</v>
      </c>
    </row>
    <row r="2691" spans="1:17">
      <c r="A2691" s="5">
        <v>45378</v>
      </c>
      <c r="B2691" s="5" t="str">
        <f t="shared" ref="B2691:B2725" si="42">YEAR(A2691)&amp;" q"&amp;ROUNDUP(MONTH(A2691)/3,0)</f>
        <v>2024 q1</v>
      </c>
      <c r="C2691" s="7">
        <v>8.6786999999999992</v>
      </c>
      <c r="D2691" s="7">
        <v>8.7712000000000003</v>
      </c>
      <c r="E2691" s="7">
        <v>8.9620999999999995</v>
      </c>
      <c r="F2691" s="7">
        <v>9.2248999999999999</v>
      </c>
      <c r="G2691" s="7">
        <v>9.3850999999999996</v>
      </c>
      <c r="H2691" s="7">
        <v>9.5409000000000006</v>
      </c>
      <c r="I2691" s="7">
        <v>9.7980999999999998</v>
      </c>
      <c r="J2691" s="7">
        <v>9.8103999999999996</v>
      </c>
      <c r="K2691" s="7">
        <v>9.8015000000000008</v>
      </c>
      <c r="L2691" s="7">
        <v>9.7712000000000003</v>
      </c>
      <c r="M2691" s="7">
        <v>9.7063000000000006</v>
      </c>
      <c r="N2691" s="7">
        <v>9.6165000000000003</v>
      </c>
      <c r="O2691" s="7">
        <v>9.5693999999999999</v>
      </c>
      <c r="P2691" s="7">
        <v>9.5448000000000004</v>
      </c>
      <c r="Q2691" s="7">
        <v>9.4954999999999998</v>
      </c>
    </row>
    <row r="2692" spans="1:17">
      <c r="A2692" s="5">
        <v>45379</v>
      </c>
      <c r="B2692" s="5" t="str">
        <f t="shared" si="42"/>
        <v>2024 q1</v>
      </c>
      <c r="C2692" s="7">
        <v>8.6437000000000008</v>
      </c>
      <c r="D2692" s="7">
        <v>8.7451000000000008</v>
      </c>
      <c r="E2692" s="7">
        <v>8.9543999999999997</v>
      </c>
      <c r="F2692" s="7">
        <v>9.2408999999999999</v>
      </c>
      <c r="G2692" s="7">
        <v>9.4109999999999996</v>
      </c>
      <c r="H2692" s="7">
        <v>9.5771999999999995</v>
      </c>
      <c r="I2692" s="7">
        <v>9.8346</v>
      </c>
      <c r="J2692" s="7">
        <v>9.8314000000000004</v>
      </c>
      <c r="K2692" s="7">
        <v>9.8063000000000002</v>
      </c>
      <c r="L2692" s="7">
        <v>9.7682000000000002</v>
      </c>
      <c r="M2692" s="7">
        <v>9.6892999999999994</v>
      </c>
      <c r="N2692" s="7">
        <v>9.5805000000000007</v>
      </c>
      <c r="O2692" s="7">
        <v>9.5251000000000001</v>
      </c>
      <c r="P2692" s="7">
        <v>9.4962</v>
      </c>
      <c r="Q2692" s="7">
        <v>9.4382999999999999</v>
      </c>
    </row>
    <row r="2693" spans="1:17">
      <c r="A2693" s="5">
        <v>45380</v>
      </c>
      <c r="B2693" s="5" t="str">
        <f t="shared" si="42"/>
        <v>2024 q1</v>
      </c>
      <c r="C2693" s="7">
        <v>8.6198999999999995</v>
      </c>
      <c r="D2693" s="7">
        <v>8.7291000000000007</v>
      </c>
      <c r="E2693" s="7">
        <v>8.9542999999999999</v>
      </c>
      <c r="F2693" s="7">
        <v>9.26</v>
      </c>
      <c r="G2693" s="7">
        <v>9.4341000000000008</v>
      </c>
      <c r="H2693" s="7">
        <v>9.6049000000000007</v>
      </c>
      <c r="I2693" s="7">
        <v>9.8507999999999996</v>
      </c>
      <c r="J2693" s="7">
        <v>9.8613999999999997</v>
      </c>
      <c r="K2693" s="7">
        <v>9.8109999999999999</v>
      </c>
      <c r="L2693" s="7">
        <v>9.7736000000000001</v>
      </c>
      <c r="M2693" s="7">
        <v>9.702</v>
      </c>
      <c r="N2693" s="7">
        <v>9.6037999999999997</v>
      </c>
      <c r="O2693" s="7">
        <v>9.5561000000000007</v>
      </c>
      <c r="P2693" s="7">
        <v>9.5312000000000001</v>
      </c>
      <c r="Q2693" s="7">
        <v>9.4814000000000007</v>
      </c>
    </row>
    <row r="2694" spans="1:17">
      <c r="A2694" s="5">
        <v>45383</v>
      </c>
      <c r="B2694" s="5" t="str">
        <f t="shared" si="42"/>
        <v>2024 q2</v>
      </c>
      <c r="C2694" s="7">
        <v>8.6380999999999997</v>
      </c>
      <c r="D2694" s="7">
        <v>8.7436000000000007</v>
      </c>
      <c r="E2694" s="7">
        <v>8.9612999999999996</v>
      </c>
      <c r="F2694" s="7">
        <v>9.2571999999999992</v>
      </c>
      <c r="G2694" s="7">
        <v>9.4291</v>
      </c>
      <c r="H2694" s="7">
        <v>9.5990000000000002</v>
      </c>
      <c r="I2694" s="7">
        <v>9.8535000000000004</v>
      </c>
      <c r="J2694" s="7">
        <v>9.8475000000000001</v>
      </c>
      <c r="K2694" s="7">
        <v>9.8209999999999997</v>
      </c>
      <c r="L2694" s="7">
        <v>9.7774999999999999</v>
      </c>
      <c r="M2694" s="7">
        <v>9.6872000000000007</v>
      </c>
      <c r="N2694" s="7">
        <v>9.6060999999999996</v>
      </c>
      <c r="O2694" s="7">
        <v>9.5546000000000006</v>
      </c>
      <c r="P2694" s="7">
        <v>9.5276999999999994</v>
      </c>
      <c r="Q2694" s="7">
        <v>9.4739000000000004</v>
      </c>
    </row>
    <row r="2695" spans="1:17">
      <c r="A2695" s="5">
        <v>45384</v>
      </c>
      <c r="B2695" s="5" t="str">
        <f t="shared" si="42"/>
        <v>2024 q2</v>
      </c>
      <c r="C2695" s="7">
        <v>8.7129999999999992</v>
      </c>
      <c r="D2695" s="7">
        <v>8.7974999999999994</v>
      </c>
      <c r="E2695" s="7">
        <v>8.9717000000000002</v>
      </c>
      <c r="F2695" s="7">
        <v>9.2321000000000009</v>
      </c>
      <c r="G2695" s="7">
        <v>9.3923000000000005</v>
      </c>
      <c r="H2695" s="7">
        <v>9.5513999999999992</v>
      </c>
      <c r="I2695" s="7">
        <v>9.7871000000000006</v>
      </c>
      <c r="J2695" s="7">
        <v>9.8290000000000006</v>
      </c>
      <c r="K2695" s="7">
        <v>9.8047000000000004</v>
      </c>
      <c r="L2695" s="7">
        <v>9.7683</v>
      </c>
      <c r="M2695" s="7">
        <v>9.7068999999999992</v>
      </c>
      <c r="N2695" s="7">
        <v>9.6493000000000002</v>
      </c>
      <c r="O2695" s="7">
        <v>9.6103000000000005</v>
      </c>
      <c r="P2695" s="7">
        <v>9.5898000000000003</v>
      </c>
      <c r="Q2695" s="7">
        <v>9.5489999999999995</v>
      </c>
    </row>
    <row r="2696" spans="1:17">
      <c r="A2696" s="5">
        <v>45385</v>
      </c>
      <c r="B2696" s="5" t="str">
        <f t="shared" si="42"/>
        <v>2024 q2</v>
      </c>
      <c r="C2696" s="7">
        <v>8.6372999999999998</v>
      </c>
      <c r="D2696" s="7">
        <v>8.7398000000000007</v>
      </c>
      <c r="E2696" s="7">
        <v>8.9513999999999996</v>
      </c>
      <c r="F2696" s="7">
        <v>9.2657000000000007</v>
      </c>
      <c r="G2696" s="7">
        <v>9.4370999999999992</v>
      </c>
      <c r="H2696" s="7">
        <v>9.6069999999999993</v>
      </c>
      <c r="I2696" s="7">
        <v>9.7965999999999998</v>
      </c>
      <c r="J2696" s="7">
        <v>9.7865000000000002</v>
      </c>
      <c r="K2696" s="7">
        <v>9.7617999999999991</v>
      </c>
      <c r="L2696" s="7">
        <v>9.7280999999999995</v>
      </c>
      <c r="M2696" s="7">
        <v>9.6831999999999994</v>
      </c>
      <c r="N2696" s="7">
        <v>9.6346000000000007</v>
      </c>
      <c r="O2696" s="7">
        <v>9.6069999999999993</v>
      </c>
      <c r="P2696" s="7">
        <v>9.5925999999999991</v>
      </c>
      <c r="Q2696" s="7">
        <v>9.5637000000000008</v>
      </c>
    </row>
    <row r="2697" spans="1:17">
      <c r="A2697" s="5">
        <v>45386</v>
      </c>
      <c r="B2697" s="5" t="str">
        <f t="shared" si="42"/>
        <v>2024 q2</v>
      </c>
      <c r="C2697" s="7">
        <v>8.7096</v>
      </c>
      <c r="D2697" s="7">
        <v>8.7818000000000005</v>
      </c>
      <c r="E2697" s="7">
        <v>8.9307999999999996</v>
      </c>
      <c r="F2697" s="7">
        <v>9.1522000000000006</v>
      </c>
      <c r="G2697" s="7">
        <v>9.3047000000000004</v>
      </c>
      <c r="H2697" s="7">
        <v>9.4545999999999992</v>
      </c>
      <c r="I2697" s="7">
        <v>9.7344000000000008</v>
      </c>
      <c r="J2697" s="7">
        <v>9.8155999999999999</v>
      </c>
      <c r="K2697" s="7">
        <v>9.8078000000000003</v>
      </c>
      <c r="L2697" s="7">
        <v>9.7675999999999998</v>
      </c>
      <c r="M2697" s="7">
        <v>9.6905000000000001</v>
      </c>
      <c r="N2697" s="7">
        <v>9.5863999999999994</v>
      </c>
      <c r="O2697" s="7">
        <v>9.5138999999999996</v>
      </c>
      <c r="P2697" s="7">
        <v>9.4750999999999994</v>
      </c>
      <c r="Q2697" s="7">
        <v>9.3976000000000006</v>
      </c>
    </row>
    <row r="2698" spans="1:17">
      <c r="A2698" s="5">
        <v>45387</v>
      </c>
      <c r="B2698" s="5" t="str">
        <f t="shared" si="42"/>
        <v>2024 q2</v>
      </c>
      <c r="C2698" s="7">
        <v>8.6598000000000006</v>
      </c>
      <c r="D2698" s="7">
        <v>8.7522000000000002</v>
      </c>
      <c r="E2698" s="7">
        <v>8.9429999999999996</v>
      </c>
      <c r="F2698" s="7">
        <v>9.2238000000000007</v>
      </c>
      <c r="G2698" s="7">
        <v>9.3849</v>
      </c>
      <c r="H2698" s="7">
        <v>9.5419999999999998</v>
      </c>
      <c r="I2698" s="7">
        <v>9.7441999999999993</v>
      </c>
      <c r="J2698" s="7">
        <v>9.7347999999999999</v>
      </c>
      <c r="K2698" s="7">
        <v>9.7173999999999996</v>
      </c>
      <c r="L2698" s="7">
        <v>9.6844999999999999</v>
      </c>
      <c r="M2698" s="7">
        <v>9.6390999999999991</v>
      </c>
      <c r="N2698" s="7">
        <v>9.5885999999999996</v>
      </c>
      <c r="O2698" s="7">
        <v>9.5595999999999997</v>
      </c>
      <c r="P2698" s="7">
        <v>9.5443999999999996</v>
      </c>
      <c r="Q2698" s="7">
        <v>9.5139999999999993</v>
      </c>
    </row>
    <row r="2699" spans="1:17">
      <c r="A2699" s="5">
        <v>45390</v>
      </c>
      <c r="B2699" s="5" t="str">
        <f t="shared" si="42"/>
        <v>2024 q2</v>
      </c>
      <c r="C2699" s="7">
        <v>8.6454000000000004</v>
      </c>
      <c r="D2699" s="7">
        <v>8.7373999999999992</v>
      </c>
      <c r="E2699" s="7">
        <v>8.9273000000000007</v>
      </c>
      <c r="F2699" s="7">
        <v>9.2056000000000004</v>
      </c>
      <c r="G2699" s="7">
        <v>9.3673000000000002</v>
      </c>
      <c r="H2699" s="7">
        <v>9.5259</v>
      </c>
      <c r="I2699" s="7">
        <v>9.7309999999999999</v>
      </c>
      <c r="J2699" s="7">
        <v>9.7384000000000004</v>
      </c>
      <c r="K2699" s="7">
        <v>9.7329000000000008</v>
      </c>
      <c r="L2699" s="7">
        <v>9.7082999999999995</v>
      </c>
      <c r="M2699" s="7">
        <v>9.6684000000000001</v>
      </c>
      <c r="N2699" s="7">
        <v>9.6339000000000006</v>
      </c>
      <c r="O2699" s="7">
        <v>9.6113</v>
      </c>
      <c r="P2699" s="7">
        <v>9.5993999999999993</v>
      </c>
      <c r="Q2699" s="7">
        <v>9.5756999999999994</v>
      </c>
    </row>
    <row r="2700" spans="1:17">
      <c r="A2700" s="5">
        <v>45391</v>
      </c>
      <c r="B2700" s="5" t="str">
        <f t="shared" si="42"/>
        <v>2024 q2</v>
      </c>
      <c r="C2700" s="7">
        <v>8.6754999999999995</v>
      </c>
      <c r="D2700" s="7">
        <v>8.7620000000000005</v>
      </c>
      <c r="E2700" s="7">
        <v>8.9406999999999996</v>
      </c>
      <c r="F2700" s="7">
        <v>9.2014999999999993</v>
      </c>
      <c r="G2700" s="7">
        <v>9.3853000000000009</v>
      </c>
      <c r="H2700" s="7">
        <v>9.4618000000000002</v>
      </c>
      <c r="I2700" s="7">
        <v>9.7428000000000008</v>
      </c>
      <c r="J2700" s="7">
        <v>9.7536000000000005</v>
      </c>
      <c r="K2700" s="7">
        <v>9.7479999999999993</v>
      </c>
      <c r="L2700" s="7">
        <v>9.7118000000000002</v>
      </c>
      <c r="M2700" s="7">
        <v>9.6498000000000008</v>
      </c>
      <c r="N2700" s="7">
        <v>9.5929000000000002</v>
      </c>
      <c r="O2700" s="7">
        <v>9.5546000000000006</v>
      </c>
      <c r="P2700" s="7">
        <v>9.5344999999999995</v>
      </c>
      <c r="Q2700" s="7">
        <v>9.4943000000000008</v>
      </c>
    </row>
    <row r="2701" spans="1:17">
      <c r="A2701" s="5">
        <v>45392</v>
      </c>
      <c r="B2701" s="5" t="str">
        <f t="shared" si="42"/>
        <v>2024 q2</v>
      </c>
      <c r="C2701" s="7">
        <v>8.5365000000000002</v>
      </c>
      <c r="D2701" s="7">
        <v>8.6620000000000008</v>
      </c>
      <c r="E2701" s="7">
        <v>8.9209999999999994</v>
      </c>
      <c r="F2701" s="7">
        <v>9.2507000000000001</v>
      </c>
      <c r="G2701" s="7">
        <v>9.4966000000000008</v>
      </c>
      <c r="H2701" s="7">
        <v>9.6448</v>
      </c>
      <c r="I2701" s="7">
        <v>9.8521000000000001</v>
      </c>
      <c r="J2701" s="7">
        <v>9.8234999999999992</v>
      </c>
      <c r="K2701" s="7">
        <v>9.7826000000000004</v>
      </c>
      <c r="L2701" s="7">
        <v>9.7350999999999992</v>
      </c>
      <c r="M2701" s="7">
        <v>9.6737000000000002</v>
      </c>
      <c r="N2701" s="7">
        <v>9.6071000000000009</v>
      </c>
      <c r="O2701" s="7">
        <v>9.5693000000000001</v>
      </c>
      <c r="P2701" s="7">
        <v>9.5495999999999999</v>
      </c>
      <c r="Q2701" s="7">
        <v>9.51</v>
      </c>
    </row>
    <row r="2702" spans="1:17">
      <c r="A2702" s="5">
        <v>45393</v>
      </c>
      <c r="B2702" s="5" t="str">
        <f t="shared" si="42"/>
        <v>2024 q2</v>
      </c>
      <c r="C2702" s="7">
        <v>8.6159999999999997</v>
      </c>
      <c r="D2702" s="7">
        <v>8.7159999999999993</v>
      </c>
      <c r="E2702" s="7">
        <v>8.9224999999999994</v>
      </c>
      <c r="F2702" s="7">
        <v>9.1832999999999991</v>
      </c>
      <c r="G2702" s="7">
        <v>9.3775999999999993</v>
      </c>
      <c r="H2702" s="7">
        <v>9.4423999999999992</v>
      </c>
      <c r="I2702" s="7">
        <v>9.6837</v>
      </c>
      <c r="J2702" s="7">
        <v>9.7087000000000003</v>
      </c>
      <c r="K2702" s="7">
        <v>9.7218999999999998</v>
      </c>
      <c r="L2702" s="7">
        <v>9.7174999999999994</v>
      </c>
      <c r="M2702" s="7">
        <v>9.7091999999999992</v>
      </c>
      <c r="N2702" s="7">
        <v>9.7019000000000002</v>
      </c>
      <c r="O2702" s="7">
        <v>9.6971000000000007</v>
      </c>
      <c r="P2702" s="7">
        <v>9.6946999999999992</v>
      </c>
      <c r="Q2702" s="7">
        <v>9.6905999999999999</v>
      </c>
    </row>
    <row r="2703" spans="1:17">
      <c r="A2703" s="5">
        <v>45394</v>
      </c>
      <c r="B2703" s="5" t="str">
        <f t="shared" si="42"/>
        <v>2024 q2</v>
      </c>
      <c r="C2703" s="7">
        <v>8.6245999999999992</v>
      </c>
      <c r="D2703" s="7">
        <v>8.7224000000000004</v>
      </c>
      <c r="E2703" s="7">
        <v>8.9240999999999993</v>
      </c>
      <c r="F2703" s="7">
        <v>9.1836000000000002</v>
      </c>
      <c r="G2703" s="7">
        <v>9.3867999999999991</v>
      </c>
      <c r="H2703" s="7">
        <v>9.4586000000000006</v>
      </c>
      <c r="I2703" s="7">
        <v>9.734</v>
      </c>
      <c r="J2703" s="7">
        <v>9.7393000000000001</v>
      </c>
      <c r="K2703" s="7">
        <v>9.7306000000000008</v>
      </c>
      <c r="L2703" s="7">
        <v>9.6982999999999997</v>
      </c>
      <c r="M2703" s="7">
        <v>9.6522000000000006</v>
      </c>
      <c r="N2703" s="7">
        <v>9.5997000000000003</v>
      </c>
      <c r="O2703" s="7">
        <v>9.5691000000000006</v>
      </c>
      <c r="P2703" s="7">
        <v>9.5531000000000006</v>
      </c>
      <c r="Q2703" s="7">
        <v>9.5210000000000008</v>
      </c>
    </row>
    <row r="2704" spans="1:17">
      <c r="A2704" s="5">
        <v>45397</v>
      </c>
      <c r="B2704" s="5" t="str">
        <f t="shared" si="42"/>
        <v>2024 q2</v>
      </c>
      <c r="C2704" s="7">
        <v>8.5922000000000001</v>
      </c>
      <c r="D2704" s="7">
        <v>8.7064000000000004</v>
      </c>
      <c r="E2704" s="7">
        <v>8.9421999999999997</v>
      </c>
      <c r="F2704" s="7">
        <v>9.2443000000000008</v>
      </c>
      <c r="G2704" s="7">
        <v>9.4071999999999996</v>
      </c>
      <c r="H2704" s="7">
        <v>9.4754000000000005</v>
      </c>
      <c r="I2704" s="7">
        <v>9.7484000000000002</v>
      </c>
      <c r="J2704" s="7">
        <v>9.7359000000000009</v>
      </c>
      <c r="K2704" s="7">
        <v>9.7096</v>
      </c>
      <c r="L2704" s="7">
        <v>9.6786999999999992</v>
      </c>
      <c r="M2704" s="7">
        <v>9.6397999999999993</v>
      </c>
      <c r="N2704" s="7">
        <v>9.5981000000000005</v>
      </c>
      <c r="O2704" s="7">
        <v>9.5747999999999998</v>
      </c>
      <c r="P2704" s="7">
        <v>9.5625</v>
      </c>
      <c r="Q2704" s="7">
        <v>9.5380000000000003</v>
      </c>
    </row>
    <row r="2705" spans="1:17">
      <c r="A2705" s="5">
        <v>45398</v>
      </c>
      <c r="B2705" s="5" t="str">
        <f t="shared" si="42"/>
        <v>2024 q2</v>
      </c>
      <c r="C2705" s="7">
        <v>8.6546000000000003</v>
      </c>
      <c r="D2705" s="7">
        <v>8.7476000000000003</v>
      </c>
      <c r="E2705" s="7">
        <v>8.9396000000000004</v>
      </c>
      <c r="F2705" s="7">
        <v>9.1758000000000006</v>
      </c>
      <c r="G2705" s="7">
        <v>9.3556000000000008</v>
      </c>
      <c r="H2705" s="7">
        <v>9.4390999999999998</v>
      </c>
      <c r="I2705" s="7">
        <v>9.6712000000000007</v>
      </c>
      <c r="J2705" s="7">
        <v>9.6905000000000001</v>
      </c>
      <c r="K2705" s="7">
        <v>9.7013999999999996</v>
      </c>
      <c r="L2705" s="7">
        <v>9.6920000000000002</v>
      </c>
      <c r="M2705" s="7">
        <v>9.6781000000000006</v>
      </c>
      <c r="N2705" s="7">
        <v>9.6622000000000003</v>
      </c>
      <c r="O2705" s="7">
        <v>9.6531000000000002</v>
      </c>
      <c r="P2705" s="7">
        <v>9.6483000000000008</v>
      </c>
      <c r="Q2705" s="7">
        <v>9.6387999999999998</v>
      </c>
    </row>
    <row r="2706" spans="1:17">
      <c r="A2706" s="5">
        <v>45399</v>
      </c>
      <c r="B2706" s="5" t="str">
        <f t="shared" si="42"/>
        <v>2024 q2</v>
      </c>
      <c r="C2706" s="7">
        <v>8.6577999999999999</v>
      </c>
      <c r="D2706" s="7">
        <v>8.7460000000000004</v>
      </c>
      <c r="E2706" s="7">
        <v>8.9280000000000008</v>
      </c>
      <c r="F2706" s="7">
        <v>9.1565999999999992</v>
      </c>
      <c r="G2706" s="7">
        <v>9.3385999999999996</v>
      </c>
      <c r="H2706" s="7">
        <v>9.4284999999999997</v>
      </c>
      <c r="I2706" s="7">
        <v>9.6968999999999994</v>
      </c>
      <c r="J2706" s="7">
        <v>9.7212999999999994</v>
      </c>
      <c r="K2706" s="7">
        <v>9.7368000000000006</v>
      </c>
      <c r="L2706" s="7">
        <v>9.7195</v>
      </c>
      <c r="M2706" s="7">
        <v>9.6920999999999999</v>
      </c>
      <c r="N2706" s="7">
        <v>9.6592000000000002</v>
      </c>
      <c r="O2706" s="7">
        <v>9.6396999999999995</v>
      </c>
      <c r="P2706" s="7">
        <v>9.6294000000000004</v>
      </c>
      <c r="Q2706" s="7">
        <v>9.6088000000000005</v>
      </c>
    </row>
    <row r="2707" spans="1:17">
      <c r="A2707" s="5">
        <v>45400</v>
      </c>
      <c r="B2707" s="5" t="str">
        <f t="shared" si="42"/>
        <v>2024 q2</v>
      </c>
      <c r="C2707" s="7">
        <v>8.6541999999999994</v>
      </c>
      <c r="D2707" s="7">
        <v>8.7485999999999997</v>
      </c>
      <c r="E2707" s="7">
        <v>8.9434000000000005</v>
      </c>
      <c r="F2707" s="7">
        <v>9.1811000000000007</v>
      </c>
      <c r="G2707" s="7">
        <v>9.3642000000000003</v>
      </c>
      <c r="H2707" s="7">
        <v>9.4910999999999994</v>
      </c>
      <c r="I2707" s="7">
        <v>9.6860999999999997</v>
      </c>
      <c r="J2707" s="7">
        <v>9.7030999999999992</v>
      </c>
      <c r="K2707" s="7">
        <v>9.7141999999999999</v>
      </c>
      <c r="L2707" s="7">
        <v>9.7042999999999999</v>
      </c>
      <c r="M2707" s="7">
        <v>9.6896000000000004</v>
      </c>
      <c r="N2707" s="7">
        <v>9.6729000000000003</v>
      </c>
      <c r="O2707" s="7">
        <v>9.6632999999999996</v>
      </c>
      <c r="P2707" s="7">
        <v>9.6583000000000006</v>
      </c>
      <c r="Q2707" s="7">
        <v>9.6481999999999992</v>
      </c>
    </row>
    <row r="2708" spans="1:17">
      <c r="A2708" s="5">
        <v>45401</v>
      </c>
      <c r="B2708" s="5" t="str">
        <f t="shared" si="42"/>
        <v>2024 q2</v>
      </c>
      <c r="C2708" s="7">
        <v>8.6211000000000002</v>
      </c>
      <c r="D2708" s="7">
        <v>8.7315000000000005</v>
      </c>
      <c r="E2708" s="7">
        <v>8.9594000000000005</v>
      </c>
      <c r="F2708" s="7">
        <v>9.2256</v>
      </c>
      <c r="G2708" s="7">
        <v>9.4192999999999998</v>
      </c>
      <c r="H2708" s="7">
        <v>9.5409000000000006</v>
      </c>
      <c r="I2708" s="7">
        <v>9.7022999999999993</v>
      </c>
      <c r="J2708" s="7">
        <v>9.7123000000000008</v>
      </c>
      <c r="K2708" s="7">
        <v>9.7179000000000002</v>
      </c>
      <c r="L2708" s="7">
        <v>9.7126000000000001</v>
      </c>
      <c r="M2708" s="7">
        <v>9.7043999999999997</v>
      </c>
      <c r="N2708" s="7">
        <v>9.6978000000000009</v>
      </c>
      <c r="O2708" s="7">
        <v>9.6935000000000002</v>
      </c>
      <c r="P2708" s="7">
        <v>9.6913</v>
      </c>
      <c r="Q2708" s="7">
        <v>9.6867999999999999</v>
      </c>
    </row>
    <row r="2709" spans="1:17">
      <c r="A2709" s="5">
        <v>45404</v>
      </c>
      <c r="B2709" s="5" t="str">
        <f t="shared" si="42"/>
        <v>2024 q2</v>
      </c>
      <c r="C2709" s="7">
        <v>8.4069000000000003</v>
      </c>
      <c r="D2709" s="7">
        <v>8.5540000000000003</v>
      </c>
      <c r="E2709" s="7">
        <v>8.8574999999999999</v>
      </c>
      <c r="F2709" s="7">
        <v>9.2030999999999992</v>
      </c>
      <c r="G2709" s="7">
        <v>9.4478000000000009</v>
      </c>
      <c r="H2709" s="7">
        <v>9.5269999999999992</v>
      </c>
      <c r="I2709" s="7">
        <v>9.7135999999999996</v>
      </c>
      <c r="J2709" s="7">
        <v>9.7126999999999999</v>
      </c>
      <c r="K2709" s="7">
        <v>9.7065000000000001</v>
      </c>
      <c r="L2709" s="7">
        <v>9.6997</v>
      </c>
      <c r="M2709" s="7">
        <v>9.6915999999999993</v>
      </c>
      <c r="N2709" s="7">
        <v>9.6832999999999991</v>
      </c>
      <c r="O2709" s="7">
        <v>9.6786999999999992</v>
      </c>
      <c r="P2709" s="7">
        <v>9.6762999999999995</v>
      </c>
      <c r="Q2709" s="7">
        <v>9.6715</v>
      </c>
    </row>
    <row r="2710" spans="1:17">
      <c r="A2710" s="5">
        <v>45405</v>
      </c>
      <c r="B2710" s="5" t="str">
        <f t="shared" si="42"/>
        <v>2024 q2</v>
      </c>
      <c r="C2710" s="7">
        <v>8.3551000000000002</v>
      </c>
      <c r="D2710" s="7">
        <v>8.5413999999999994</v>
      </c>
      <c r="E2710" s="7">
        <v>8.9260000000000002</v>
      </c>
      <c r="F2710" s="7">
        <v>9.3053000000000008</v>
      </c>
      <c r="G2710" s="7">
        <v>9.5256000000000007</v>
      </c>
      <c r="H2710" s="7">
        <v>9.5765999999999991</v>
      </c>
      <c r="I2710" s="7">
        <v>9.6774000000000004</v>
      </c>
      <c r="J2710" s="7">
        <v>9.6861999999999995</v>
      </c>
      <c r="K2710" s="7">
        <v>9.6930999999999994</v>
      </c>
      <c r="L2710" s="7">
        <v>9.6954999999999991</v>
      </c>
      <c r="M2710" s="7">
        <v>9.6986000000000008</v>
      </c>
      <c r="N2710" s="7">
        <v>9.7010000000000005</v>
      </c>
      <c r="O2710" s="7">
        <v>9.7025000000000006</v>
      </c>
      <c r="P2710" s="7">
        <v>9.7033000000000005</v>
      </c>
      <c r="Q2710" s="7">
        <v>9.7048000000000005</v>
      </c>
    </row>
    <row r="2711" spans="1:17">
      <c r="A2711" s="5">
        <v>45407</v>
      </c>
      <c r="B2711" s="5" t="str">
        <f t="shared" si="42"/>
        <v>2024 q2</v>
      </c>
      <c r="C2711" s="7">
        <v>8.3866999999999994</v>
      </c>
      <c r="D2711" s="7">
        <v>8.5576000000000008</v>
      </c>
      <c r="E2711" s="7">
        <v>8.9103999999999992</v>
      </c>
      <c r="F2711" s="7">
        <v>9.2627000000000006</v>
      </c>
      <c r="G2711" s="7">
        <v>9.4787999999999997</v>
      </c>
      <c r="H2711" s="7">
        <v>9.5349000000000004</v>
      </c>
      <c r="I2711" s="7">
        <v>9.6715</v>
      </c>
      <c r="J2711" s="7">
        <v>9.6925000000000008</v>
      </c>
      <c r="K2711" s="7">
        <v>9.7114999999999991</v>
      </c>
      <c r="L2711" s="7">
        <v>9.7186000000000003</v>
      </c>
      <c r="M2711" s="7">
        <v>9.7263999999999999</v>
      </c>
      <c r="N2711" s="7">
        <v>9.7342999999999993</v>
      </c>
      <c r="O2711" s="7">
        <v>9.7385999999999999</v>
      </c>
      <c r="P2711" s="7">
        <v>9.7408999999999999</v>
      </c>
      <c r="Q2711" s="7">
        <v>9.7454999999999998</v>
      </c>
    </row>
    <row r="2712" spans="1:17">
      <c r="A2712" s="5">
        <v>45408</v>
      </c>
      <c r="B2712" s="5" t="str">
        <f t="shared" si="42"/>
        <v>2024 q2</v>
      </c>
      <c r="C2712" s="7">
        <v>8.3976000000000006</v>
      </c>
      <c r="D2712" s="7">
        <v>8.5687999999999995</v>
      </c>
      <c r="E2712" s="7">
        <v>8.9222000000000001</v>
      </c>
      <c r="F2712" s="7">
        <v>9.2688000000000006</v>
      </c>
      <c r="G2712" s="7">
        <v>9.4861000000000004</v>
      </c>
      <c r="H2712" s="7">
        <v>9.5379000000000005</v>
      </c>
      <c r="I2712" s="7">
        <v>9.6725999999999992</v>
      </c>
      <c r="J2712" s="7">
        <v>9.6915999999999993</v>
      </c>
      <c r="K2712" s="7">
        <v>9.7093000000000007</v>
      </c>
      <c r="L2712" s="7">
        <v>9.7157</v>
      </c>
      <c r="M2712" s="7">
        <v>9.7240000000000002</v>
      </c>
      <c r="N2712" s="7">
        <v>9.7302999999999997</v>
      </c>
      <c r="O2712" s="7">
        <v>9.7342999999999993</v>
      </c>
      <c r="P2712" s="7">
        <v>9.7363999999999997</v>
      </c>
      <c r="Q2712" s="7">
        <v>9.7406000000000006</v>
      </c>
    </row>
    <row r="2713" spans="1:17">
      <c r="A2713" s="5">
        <v>45411</v>
      </c>
      <c r="B2713" s="5" t="str">
        <f t="shared" si="42"/>
        <v>2024 q2</v>
      </c>
      <c r="C2713" s="7">
        <v>8.4522999999999993</v>
      </c>
      <c r="D2713" s="7">
        <v>8.6064000000000007</v>
      </c>
      <c r="E2713" s="7">
        <v>8.9245000000000001</v>
      </c>
      <c r="F2713" s="7">
        <v>9.2674000000000003</v>
      </c>
      <c r="G2713" s="7">
        <v>9.5197000000000003</v>
      </c>
      <c r="H2713" s="7">
        <v>9.5854999999999997</v>
      </c>
      <c r="I2713" s="7">
        <v>9.7768999999999995</v>
      </c>
      <c r="J2713" s="7">
        <v>9.7773000000000003</v>
      </c>
      <c r="K2713" s="7">
        <v>9.7760999999999996</v>
      </c>
      <c r="L2713" s="7">
        <v>9.7720000000000002</v>
      </c>
      <c r="M2713" s="7">
        <v>9.7672000000000008</v>
      </c>
      <c r="N2713" s="7">
        <v>9.7622999999999998</v>
      </c>
      <c r="O2713" s="7">
        <v>9.7596000000000007</v>
      </c>
      <c r="P2713" s="7">
        <v>9.7581000000000007</v>
      </c>
      <c r="Q2713" s="7">
        <v>9.7553000000000001</v>
      </c>
    </row>
    <row r="2714" spans="1:17">
      <c r="A2714" s="5">
        <v>45412</v>
      </c>
      <c r="B2714" s="5" t="str">
        <f t="shared" si="42"/>
        <v>2024 q2</v>
      </c>
      <c r="C2714" s="7">
        <v>8.4494000000000007</v>
      </c>
      <c r="D2714" s="7">
        <v>8.61</v>
      </c>
      <c r="E2714" s="7">
        <v>8.9414999999999996</v>
      </c>
      <c r="F2714" s="7">
        <v>9.2864000000000004</v>
      </c>
      <c r="G2714" s="7">
        <v>9.5419999999999998</v>
      </c>
      <c r="H2714" s="7">
        <v>9.5973000000000006</v>
      </c>
      <c r="I2714" s="7">
        <v>9.7721999999999998</v>
      </c>
      <c r="J2714" s="7">
        <v>9.7650000000000006</v>
      </c>
      <c r="K2714" s="7">
        <v>9.7577999999999996</v>
      </c>
      <c r="L2714" s="7">
        <v>9.7516999999999996</v>
      </c>
      <c r="M2714" s="7">
        <v>9.7446999999999999</v>
      </c>
      <c r="N2714" s="7">
        <v>9.7375000000000007</v>
      </c>
      <c r="O2714" s="7">
        <v>9.7335999999999991</v>
      </c>
      <c r="P2714" s="7">
        <v>9.7315000000000005</v>
      </c>
      <c r="Q2714" s="7">
        <v>9.7272999999999996</v>
      </c>
    </row>
    <row r="2715" spans="1:17">
      <c r="A2715" s="5">
        <v>45414</v>
      </c>
      <c r="B2715" s="5" t="str">
        <f t="shared" si="42"/>
        <v>2024 q2</v>
      </c>
      <c r="C2715" s="7">
        <v>8.4319000000000006</v>
      </c>
      <c r="D2715" s="7">
        <v>8.6012000000000004</v>
      </c>
      <c r="E2715" s="7">
        <v>8.9509000000000007</v>
      </c>
      <c r="F2715" s="7">
        <v>9.2886000000000006</v>
      </c>
      <c r="G2715" s="7">
        <v>9.5215999999999994</v>
      </c>
      <c r="H2715" s="7">
        <v>9.5684000000000005</v>
      </c>
      <c r="I2715" s="7">
        <v>9.7211999999999996</v>
      </c>
      <c r="J2715" s="7">
        <v>9.7377000000000002</v>
      </c>
      <c r="K2715" s="7">
        <v>9.7540999999999993</v>
      </c>
      <c r="L2715" s="7">
        <v>9.7598000000000003</v>
      </c>
      <c r="M2715" s="7">
        <v>9.7670999999999992</v>
      </c>
      <c r="N2715" s="7">
        <v>9.7726000000000006</v>
      </c>
      <c r="O2715" s="7">
        <v>9.7766000000000002</v>
      </c>
      <c r="P2715" s="7">
        <v>9.7786000000000008</v>
      </c>
      <c r="Q2715" s="7">
        <v>9.7812000000000001</v>
      </c>
    </row>
    <row r="2716" spans="1:17">
      <c r="A2716" s="5">
        <v>45415</v>
      </c>
      <c r="B2716" s="5" t="str">
        <f t="shared" si="42"/>
        <v>2024 q2</v>
      </c>
      <c r="C2716" s="7">
        <v>8.4243000000000006</v>
      </c>
      <c r="D2716" s="7">
        <v>8.6012000000000004</v>
      </c>
      <c r="E2716" s="7">
        <v>8.9663000000000004</v>
      </c>
      <c r="F2716" s="7">
        <v>9.2932000000000006</v>
      </c>
      <c r="G2716" s="7">
        <v>9.5076999999999998</v>
      </c>
      <c r="H2716" s="7">
        <v>9.5436999999999994</v>
      </c>
      <c r="I2716" s="7">
        <v>9.6708999999999996</v>
      </c>
      <c r="J2716" s="7">
        <v>9.6885999999999992</v>
      </c>
      <c r="K2716" s="7">
        <v>9.7062000000000008</v>
      </c>
      <c r="L2716" s="7">
        <v>9.7126000000000001</v>
      </c>
      <c r="M2716" s="7">
        <v>9.7208000000000006</v>
      </c>
      <c r="N2716" s="7">
        <v>9.7270000000000003</v>
      </c>
      <c r="O2716" s="7">
        <v>9.7309999999999999</v>
      </c>
      <c r="P2716" s="7">
        <v>9.7331000000000003</v>
      </c>
      <c r="Q2716" s="7">
        <v>9.7372999999999994</v>
      </c>
    </row>
    <row r="2717" spans="1:17">
      <c r="A2717" s="5">
        <v>45418</v>
      </c>
      <c r="B2717" s="5" t="str">
        <f t="shared" si="42"/>
        <v>2024 q2</v>
      </c>
      <c r="C2717" s="7">
        <v>8.4207000000000001</v>
      </c>
      <c r="D2717" s="7">
        <v>8.6014999999999997</v>
      </c>
      <c r="E2717" s="7">
        <v>8.9747000000000003</v>
      </c>
      <c r="F2717" s="7">
        <v>9.2937999999999992</v>
      </c>
      <c r="G2717" s="7">
        <v>9.4964999999999993</v>
      </c>
      <c r="H2717" s="7">
        <v>9.5245999999999995</v>
      </c>
      <c r="I2717" s="7">
        <v>9.6282999999999994</v>
      </c>
      <c r="J2717" s="7">
        <v>9.6417999999999999</v>
      </c>
      <c r="K2717" s="7">
        <v>9.6552000000000007</v>
      </c>
      <c r="L2717" s="7">
        <v>9.6600999999999999</v>
      </c>
      <c r="M2717" s="7">
        <v>9.6655999999999995</v>
      </c>
      <c r="N2717" s="7">
        <v>9.6710999999999991</v>
      </c>
      <c r="O2717" s="7">
        <v>9.6742000000000008</v>
      </c>
      <c r="P2717" s="7">
        <v>9.6758000000000006</v>
      </c>
      <c r="Q2717" s="7">
        <v>9.6790000000000003</v>
      </c>
    </row>
    <row r="2718" spans="1:17">
      <c r="A2718" s="5">
        <v>45419</v>
      </c>
      <c r="B2718" s="5" t="str">
        <f t="shared" si="42"/>
        <v>2024 q2</v>
      </c>
      <c r="C2718" s="7">
        <v>8.4863</v>
      </c>
      <c r="D2718" s="7">
        <v>8.6475000000000009</v>
      </c>
      <c r="E2718" s="7">
        <v>8.9804999999999993</v>
      </c>
      <c r="F2718" s="7">
        <v>9.2242999999999995</v>
      </c>
      <c r="G2718" s="7">
        <v>9.3618000000000006</v>
      </c>
      <c r="H2718" s="7">
        <v>9.4981000000000009</v>
      </c>
      <c r="I2718" s="7">
        <v>9.5989000000000004</v>
      </c>
      <c r="J2718" s="7">
        <v>9.6244999999999994</v>
      </c>
      <c r="K2718" s="7">
        <v>9.6498000000000008</v>
      </c>
      <c r="L2718" s="7">
        <v>9.6591000000000005</v>
      </c>
      <c r="M2718" s="7">
        <v>9.6694999999999993</v>
      </c>
      <c r="N2718" s="7">
        <v>9.68</v>
      </c>
      <c r="O2718" s="7">
        <v>9.6858000000000004</v>
      </c>
      <c r="P2718" s="7">
        <v>9.6888000000000005</v>
      </c>
      <c r="Q2718" s="7">
        <v>9.6950000000000003</v>
      </c>
    </row>
    <row r="2719" spans="1:17">
      <c r="A2719" s="5">
        <v>45420</v>
      </c>
      <c r="B2719" s="5" t="str">
        <f t="shared" si="42"/>
        <v>2024 q2</v>
      </c>
      <c r="C2719" s="7">
        <v>8.1598000000000006</v>
      </c>
      <c r="D2719" s="7">
        <v>8.3978999999999999</v>
      </c>
      <c r="E2719" s="7">
        <v>8.8895999999999997</v>
      </c>
      <c r="F2719" s="7">
        <v>9.1996000000000002</v>
      </c>
      <c r="G2719" s="7">
        <v>9.3411000000000008</v>
      </c>
      <c r="H2719" s="7">
        <v>9.4801000000000002</v>
      </c>
      <c r="I2719" s="7">
        <v>9.5718999999999994</v>
      </c>
      <c r="J2719" s="7">
        <v>9.5952999999999999</v>
      </c>
      <c r="K2719" s="7">
        <v>9.6182999999999996</v>
      </c>
      <c r="L2719" s="7">
        <v>9.6266999999999996</v>
      </c>
      <c r="M2719" s="7">
        <v>9.6361000000000008</v>
      </c>
      <c r="N2719" s="7">
        <v>9.6456999999999997</v>
      </c>
      <c r="O2719" s="7">
        <v>9.6509</v>
      </c>
      <c r="P2719" s="7">
        <v>9.6537000000000006</v>
      </c>
      <c r="Q2719" s="7">
        <v>9.6593</v>
      </c>
    </row>
    <row r="2720" spans="1:17">
      <c r="A2720" s="5">
        <v>45422</v>
      </c>
      <c r="B2720" s="5" t="str">
        <f t="shared" si="42"/>
        <v>2024 q2</v>
      </c>
      <c r="C2720" s="7">
        <v>8.1448</v>
      </c>
      <c r="D2720" s="7">
        <v>8.3938000000000006</v>
      </c>
      <c r="E2720" s="7">
        <v>8.9077999999999999</v>
      </c>
      <c r="F2720" s="7">
        <v>9.2119</v>
      </c>
      <c r="G2720" s="7">
        <v>9.3415999999999997</v>
      </c>
      <c r="H2720" s="7">
        <v>9.4678000000000004</v>
      </c>
      <c r="I2720" s="7">
        <v>9.5501000000000005</v>
      </c>
      <c r="J2720" s="7">
        <v>9.5709999999999997</v>
      </c>
      <c r="K2720" s="7">
        <v>9.5915999999999997</v>
      </c>
      <c r="L2720" s="7">
        <v>9.5991</v>
      </c>
      <c r="M2720" s="7">
        <v>9.6074999999999999</v>
      </c>
      <c r="N2720" s="7">
        <v>9.6160999999999994</v>
      </c>
      <c r="O2720" s="7">
        <v>9.6207999999999991</v>
      </c>
      <c r="P2720" s="7">
        <v>9.6233000000000004</v>
      </c>
      <c r="Q2720" s="7">
        <v>9.6281999999999996</v>
      </c>
    </row>
    <row r="2721" spans="1:17">
      <c r="A2721" s="5">
        <v>45425</v>
      </c>
      <c r="B2721" s="5" t="str">
        <f t="shared" si="42"/>
        <v>2024 q2</v>
      </c>
      <c r="C2721" s="7">
        <v>8.5254999999999992</v>
      </c>
      <c r="D2721" s="7">
        <v>8.5836000000000006</v>
      </c>
      <c r="E2721" s="7">
        <v>8.7035999999999998</v>
      </c>
      <c r="F2721" s="7">
        <v>8.907</v>
      </c>
      <c r="G2721" s="7">
        <v>9.1402999999999999</v>
      </c>
      <c r="H2721" s="7">
        <v>9.3634000000000004</v>
      </c>
      <c r="I2721" s="7">
        <v>9.5459999999999994</v>
      </c>
      <c r="J2721" s="7">
        <v>9.5923999999999996</v>
      </c>
      <c r="K2721" s="7">
        <v>9.6379000000000001</v>
      </c>
      <c r="L2721" s="7">
        <v>9.6546000000000003</v>
      </c>
      <c r="M2721" s="7">
        <v>9.6731999999999996</v>
      </c>
      <c r="N2721" s="7">
        <v>9.6921999999999997</v>
      </c>
      <c r="O2721" s="7">
        <v>9.7025000000000006</v>
      </c>
      <c r="P2721" s="7">
        <v>9.7080000000000002</v>
      </c>
      <c r="Q2721" s="7">
        <v>9.7189999999999994</v>
      </c>
    </row>
    <row r="2722" spans="1:17">
      <c r="A2722" s="5">
        <v>45426</v>
      </c>
      <c r="B2722" s="5" t="str">
        <f t="shared" si="42"/>
        <v>2024 q2</v>
      </c>
      <c r="C2722" s="7">
        <v>8.5274000000000001</v>
      </c>
      <c r="D2722" s="7">
        <v>8.5889000000000006</v>
      </c>
      <c r="E2722" s="7">
        <v>8.7159999999999993</v>
      </c>
      <c r="F2722" s="7">
        <v>8.9300999999999995</v>
      </c>
      <c r="G2722" s="7">
        <v>9.1706000000000003</v>
      </c>
      <c r="H2722" s="7">
        <v>9.3942999999999994</v>
      </c>
      <c r="I2722" s="7">
        <v>9.5778999999999996</v>
      </c>
      <c r="J2722" s="7">
        <v>9.6245999999999992</v>
      </c>
      <c r="K2722" s="7">
        <v>9.6700999999999997</v>
      </c>
      <c r="L2722" s="7">
        <v>9.6868999999999996</v>
      </c>
      <c r="M2722" s="7">
        <v>9.7082999999999995</v>
      </c>
      <c r="N2722" s="7">
        <v>9.7243999999999993</v>
      </c>
      <c r="O2722" s="7">
        <v>9.7347999999999999</v>
      </c>
      <c r="P2722" s="7">
        <v>9.7402999999999995</v>
      </c>
      <c r="Q2722" s="7">
        <v>9.7513000000000005</v>
      </c>
    </row>
    <row r="2723" spans="1:17">
      <c r="A2723" s="5">
        <v>45427</v>
      </c>
      <c r="B2723" s="5" t="str">
        <f t="shared" si="42"/>
        <v>2024 q2</v>
      </c>
      <c r="C2723" s="7">
        <v>8.5006000000000004</v>
      </c>
      <c r="D2723" s="7">
        <v>8.5665999999999993</v>
      </c>
      <c r="E2723" s="7">
        <v>8.7027999999999999</v>
      </c>
      <c r="F2723" s="7">
        <v>8.9161000000000001</v>
      </c>
      <c r="G2723" s="7">
        <v>9.1387999999999998</v>
      </c>
      <c r="H2723" s="7">
        <v>9.3447999999999993</v>
      </c>
      <c r="I2723" s="7">
        <v>9.5446000000000009</v>
      </c>
      <c r="J2723" s="7">
        <v>9.5953999999999997</v>
      </c>
      <c r="K2723" s="7">
        <v>9.6448999999999998</v>
      </c>
      <c r="L2723" s="7">
        <v>9.6631999999999998</v>
      </c>
      <c r="M2723" s="7">
        <v>9.6832999999999991</v>
      </c>
      <c r="N2723" s="7">
        <v>9.7039000000000009</v>
      </c>
      <c r="O2723" s="7">
        <v>9.7150999999999996</v>
      </c>
      <c r="P2723" s="7">
        <v>9.7210999999999999</v>
      </c>
      <c r="Q2723" s="7">
        <v>9.7331000000000003</v>
      </c>
    </row>
    <row r="2724" spans="1:17">
      <c r="A2724" s="5">
        <v>45428</v>
      </c>
      <c r="B2724" s="5" t="str">
        <f t="shared" si="42"/>
        <v>2024 q2</v>
      </c>
      <c r="C2724" s="7">
        <v>8.5030000000000001</v>
      </c>
      <c r="D2724" s="7">
        <v>8.5690000000000008</v>
      </c>
      <c r="E2724" s="7">
        <v>8.7050999999999998</v>
      </c>
      <c r="F2724" s="7">
        <v>8.9198000000000004</v>
      </c>
      <c r="G2724" s="7">
        <v>9.1453000000000007</v>
      </c>
      <c r="H2724" s="7">
        <v>9.3519000000000005</v>
      </c>
      <c r="I2724" s="7">
        <v>9.5524000000000004</v>
      </c>
      <c r="J2724" s="7">
        <v>9.6035000000000004</v>
      </c>
      <c r="K2724" s="7">
        <v>9.6532</v>
      </c>
      <c r="L2724" s="7">
        <v>9.6730999999999998</v>
      </c>
      <c r="M2724" s="7">
        <v>9.6915999999999993</v>
      </c>
      <c r="N2724" s="7">
        <v>9.7121999999999993</v>
      </c>
      <c r="O2724" s="7">
        <v>9.7234999999999996</v>
      </c>
      <c r="P2724" s="7">
        <v>9.7294999999999998</v>
      </c>
      <c r="Q2724" s="7">
        <v>9.7415000000000003</v>
      </c>
    </row>
    <row r="2725" spans="1:17">
      <c r="A2725" s="5">
        <v>45429</v>
      </c>
      <c r="B2725" s="5" t="str">
        <f t="shared" si="42"/>
        <v>2024 q2</v>
      </c>
      <c r="C2725" s="7">
        <v>8.5088000000000008</v>
      </c>
      <c r="D2725" s="7">
        <v>8.5738000000000003</v>
      </c>
      <c r="E2725" s="7">
        <v>8.7080000000000002</v>
      </c>
      <c r="F2725" s="7">
        <v>8.9201999999999995</v>
      </c>
      <c r="G2725" s="7">
        <v>9.1430000000000007</v>
      </c>
      <c r="H2725" s="7">
        <v>9.3447999999999993</v>
      </c>
      <c r="I2725" s="7">
        <v>9.5282999999999998</v>
      </c>
      <c r="J2725" s="7">
        <v>9.5749999999999993</v>
      </c>
      <c r="K2725" s="7">
        <v>9.6203000000000003</v>
      </c>
      <c r="L2725" s="7">
        <v>9.6370000000000005</v>
      </c>
      <c r="M2725" s="7">
        <v>9.6554000000000002</v>
      </c>
      <c r="N2725" s="7">
        <v>9.6742000000000008</v>
      </c>
      <c r="O2725" s="7">
        <v>9.6844999999999999</v>
      </c>
      <c r="P2725" s="7">
        <v>9.69</v>
      </c>
      <c r="Q2725" s="7">
        <v>9.7009000000000007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DEC1-596E-46EF-8E6E-7C5DA245DBF3}">
  <dimension ref="A1:S300"/>
  <sheetViews>
    <sheetView zoomScaleNormal="100" workbookViewId="0">
      <pane ySplit="5" topLeftCell="A12" activePane="bottomLeft" state="frozen"/>
      <selection pane="bottomLeft" activeCell="O18" sqref="O18:O103"/>
    </sheetView>
  </sheetViews>
  <sheetFormatPr baseColWidth="10" defaultColWidth="9.1640625" defaultRowHeight="13"/>
  <cols>
    <col min="1" max="1" width="17.5" style="15" customWidth="1"/>
    <col min="2" max="2" width="14.83203125" style="12" customWidth="1"/>
    <col min="3" max="4" width="15.5" style="12" customWidth="1"/>
    <col min="5" max="5" width="15.83203125" style="12" customWidth="1"/>
    <col min="6" max="6" width="23.1640625" style="12" customWidth="1"/>
    <col min="7" max="7" width="19.83203125" style="12" customWidth="1"/>
    <col min="8" max="8" width="20.33203125" style="12" customWidth="1"/>
    <col min="9" max="16384" width="9.1640625" style="13"/>
  </cols>
  <sheetData>
    <row r="1" spans="1:18" ht="18">
      <c r="A1" s="11" t="s">
        <v>19</v>
      </c>
    </row>
    <row r="2" spans="1:18" ht="16">
      <c r="A2" s="14"/>
    </row>
    <row r="3" spans="1:18">
      <c r="H3" s="16" t="s">
        <v>20</v>
      </c>
    </row>
    <row r="4" spans="1:18" ht="18" customHeight="1">
      <c r="A4" s="17"/>
      <c r="B4" s="18" t="s">
        <v>21</v>
      </c>
      <c r="C4" s="19"/>
      <c r="D4" s="19"/>
      <c r="E4" s="20"/>
      <c r="F4" s="72" t="s">
        <v>22</v>
      </c>
      <c r="G4" s="74" t="s">
        <v>23</v>
      </c>
      <c r="H4" s="72" t="s">
        <v>24</v>
      </c>
    </row>
    <row r="5" spans="1:18" ht="43.5" customHeight="1">
      <c r="A5" s="21"/>
      <c r="B5" s="22" t="s">
        <v>25</v>
      </c>
      <c r="C5" s="22" t="s">
        <v>26</v>
      </c>
      <c r="D5" s="22" t="s">
        <v>27</v>
      </c>
      <c r="E5" s="22" t="s">
        <v>28</v>
      </c>
      <c r="F5" s="73"/>
      <c r="G5" s="75"/>
      <c r="H5" s="73"/>
      <c r="I5" s="13" t="s">
        <v>0</v>
      </c>
      <c r="J5" s="13" t="s">
        <v>18</v>
      </c>
      <c r="K5" s="13" t="s">
        <v>67</v>
      </c>
      <c r="L5" s="13" t="s">
        <v>68</v>
      </c>
      <c r="M5" s="13" t="s">
        <v>69</v>
      </c>
      <c r="P5" s="13" t="s">
        <v>67</v>
      </c>
      <c r="Q5" s="13" t="s">
        <v>68</v>
      </c>
      <c r="R5" s="13" t="s">
        <v>69</v>
      </c>
    </row>
    <row r="6" spans="1:18">
      <c r="A6" s="23" t="s">
        <v>29</v>
      </c>
      <c r="B6" s="24">
        <v>36.799999999999997</v>
      </c>
      <c r="C6" s="24">
        <v>43.04</v>
      </c>
      <c r="D6" s="24">
        <v>42.2</v>
      </c>
      <c r="E6" s="24"/>
      <c r="F6" s="24"/>
      <c r="G6" s="24"/>
      <c r="H6" s="24"/>
      <c r="I6" s="27">
        <v>36526</v>
      </c>
      <c r="J6" s="5" t="str">
        <f>YEAR(I6)&amp;" q"&amp;ROUNDUP(MONTH(I6)/3,0)</f>
        <v>2000 q1</v>
      </c>
      <c r="K6" s="12">
        <f>IFERROR(AVERAGE(B6:E6)/100,"")</f>
        <v>0.40679999999999999</v>
      </c>
      <c r="L6" s="12" t="str">
        <f>IFERROR(AVERAGE(F6:G6)/100,"")</f>
        <v/>
      </c>
      <c r="M6" s="12" t="str">
        <f>IF(IFERROR(H6/100,"")=0,"",IFERROR(H6/100,""))</f>
        <v/>
      </c>
      <c r="O6" s="13" t="s">
        <v>70</v>
      </c>
      <c r="P6" s="13">
        <f>AVERAGEIF($J$6:$J$297,$O6,K$6:K$297)</f>
        <v>0.31926199284475837</v>
      </c>
      <c r="Q6" s="13">
        <f t="shared" ref="Q6" si="0">AVERAGEIF($J$6:$J$297,$O6,L$6:L$297)</f>
        <v>0.27200000000000002</v>
      </c>
      <c r="R6" s="13">
        <f t="shared" ref="R6:R8" si="1">Q6+AVERAGE($S$24:$S$37)</f>
        <v>0.29251472766088737</v>
      </c>
    </row>
    <row r="7" spans="1:18">
      <c r="A7" s="23" t="s">
        <v>30</v>
      </c>
      <c r="B7" s="25">
        <v>30.227512521773352</v>
      </c>
      <c r="C7" s="25">
        <v>28.172478891936699</v>
      </c>
      <c r="D7" s="25">
        <v>30.18</v>
      </c>
      <c r="E7" s="25">
        <v>35.069099999999999</v>
      </c>
      <c r="F7" s="24"/>
      <c r="G7" s="24"/>
      <c r="H7" s="24"/>
      <c r="I7" s="27">
        <v>36557</v>
      </c>
      <c r="J7" s="5" t="str">
        <f t="shared" ref="J7:J70" si="2">YEAR(I7)&amp;" q"&amp;ROUNDUP(MONTH(I7)/3,0)</f>
        <v>2000 q1</v>
      </c>
      <c r="K7" s="12">
        <f t="shared" ref="K7:K70" si="3">IFERROR(AVERAGE(B7:E7)/100,"")</f>
        <v>0.30912272853427508</v>
      </c>
      <c r="L7" s="12" t="str">
        <f t="shared" ref="L7:L70" si="4">IFERROR(AVERAGE(F7:G7)/100,"")</f>
        <v/>
      </c>
      <c r="M7" s="12" t="str">
        <f t="shared" ref="M7:M70" si="5">IF(IFERROR(H7/100,"")=0,"",IFERROR(H7/100,""))</f>
        <v/>
      </c>
      <c r="O7" s="13" t="s">
        <v>71</v>
      </c>
      <c r="P7" s="13">
        <f t="shared" ref="P7:P70" si="6">AVERAGEIF($J$6:$J$297,$O7,K$6:K$297)</f>
        <v>0.18687584313725492</v>
      </c>
      <c r="Q7" s="13">
        <f t="shared" ref="Q7:Q70" si="7">AVERAGEIF($J$6:$J$297,$O7,L$6:L$297)</f>
        <v>0.21849999999999997</v>
      </c>
      <c r="R7" s="13">
        <f t="shared" si="1"/>
        <v>0.2390147276608873</v>
      </c>
    </row>
    <row r="8" spans="1:18">
      <c r="A8" s="23" t="s">
        <v>31</v>
      </c>
      <c r="B8" s="24">
        <v>20.966999999999999</v>
      </c>
      <c r="C8" s="24">
        <v>25.85</v>
      </c>
      <c r="D8" s="24">
        <v>25.741975000000004</v>
      </c>
      <c r="E8" s="24"/>
      <c r="F8" s="25">
        <v>27.2</v>
      </c>
      <c r="G8" s="24"/>
      <c r="H8" s="24"/>
      <c r="I8" s="27">
        <v>36586</v>
      </c>
      <c r="J8" s="5" t="str">
        <f t="shared" si="2"/>
        <v>2000 q1</v>
      </c>
      <c r="K8" s="12">
        <f t="shared" si="3"/>
        <v>0.24186325</v>
      </c>
      <c r="L8" s="12">
        <f t="shared" si="4"/>
        <v>0.27200000000000002</v>
      </c>
      <c r="M8" s="12" t="str">
        <f t="shared" si="5"/>
        <v/>
      </c>
      <c r="O8" s="13" t="s">
        <v>72</v>
      </c>
      <c r="P8" s="13">
        <f t="shared" si="6"/>
        <v>0.22851967887806637</v>
      </c>
      <c r="Q8" s="13">
        <f t="shared" si="7"/>
        <v>0.25496953263055272</v>
      </c>
      <c r="R8" s="13">
        <f t="shared" si="1"/>
        <v>0.27548426029144008</v>
      </c>
    </row>
    <row r="9" spans="1:18">
      <c r="A9" s="23" t="s">
        <v>32</v>
      </c>
      <c r="B9" s="25">
        <v>17.151</v>
      </c>
      <c r="C9" s="25">
        <v>19.877770588235293</v>
      </c>
      <c r="D9" s="25">
        <v>20.719300000000004</v>
      </c>
      <c r="E9" s="25">
        <v>21.178000000000001</v>
      </c>
      <c r="F9" s="25">
        <v>24.3</v>
      </c>
      <c r="G9" s="24"/>
      <c r="H9" s="24"/>
      <c r="I9" s="27">
        <v>36617</v>
      </c>
      <c r="J9" s="5" t="str">
        <f t="shared" si="2"/>
        <v>2000 q2</v>
      </c>
      <c r="K9" s="12">
        <f t="shared" si="3"/>
        <v>0.19731517647058822</v>
      </c>
      <c r="L9" s="12">
        <f t="shared" si="4"/>
        <v>0.24299999999999999</v>
      </c>
      <c r="M9" s="12" t="str">
        <f t="shared" si="5"/>
        <v/>
      </c>
      <c r="O9" s="13" t="s">
        <v>73</v>
      </c>
      <c r="P9" s="13">
        <f t="shared" si="6"/>
        <v>0.2666906378404949</v>
      </c>
      <c r="Q9" s="13">
        <f t="shared" si="7"/>
        <v>0.27500000000000002</v>
      </c>
      <c r="R9" s="13">
        <f t="shared" ref="R9:R22" si="8">Q9+AVERAGE($S$24:$S$37)</f>
        <v>0.29551472766088738</v>
      </c>
    </row>
    <row r="10" spans="1:18">
      <c r="A10" s="23" t="s">
        <v>33</v>
      </c>
      <c r="B10" s="25">
        <v>14.4093</v>
      </c>
      <c r="C10" s="25">
        <v>16.540933333333331</v>
      </c>
      <c r="D10" s="25">
        <v>18.868600000000001</v>
      </c>
      <c r="E10" s="25">
        <v>19.776500000000002</v>
      </c>
      <c r="F10" s="25">
        <v>19.399999999999999</v>
      </c>
      <c r="G10" s="24"/>
      <c r="H10" s="24"/>
      <c r="I10" s="27">
        <v>36647</v>
      </c>
      <c r="J10" s="5" t="str">
        <f t="shared" si="2"/>
        <v>2000 q2</v>
      </c>
      <c r="K10" s="12">
        <f t="shared" si="3"/>
        <v>0.17398833333333333</v>
      </c>
      <c r="L10" s="12">
        <f t="shared" si="4"/>
        <v>0.19399999999999998</v>
      </c>
      <c r="M10" s="12" t="str">
        <f t="shared" si="5"/>
        <v/>
      </c>
      <c r="O10" s="13" t="s">
        <v>74</v>
      </c>
      <c r="P10" s="13">
        <f t="shared" si="6"/>
        <v>0.24431088888888888</v>
      </c>
      <c r="Q10" s="13">
        <f t="shared" si="7"/>
        <v>0.25923133333333331</v>
      </c>
      <c r="R10" s="13">
        <f t="shared" si="8"/>
        <v>0.27974606099422067</v>
      </c>
    </row>
    <row r="11" spans="1:18">
      <c r="A11" s="23" t="s">
        <v>34</v>
      </c>
      <c r="B11" s="25"/>
      <c r="C11" s="25">
        <v>18.027205882352945</v>
      </c>
      <c r="D11" s="25">
        <v>18.260000000000002</v>
      </c>
      <c r="E11" s="25">
        <v>20.51</v>
      </c>
      <c r="F11" s="24"/>
      <c r="G11" s="24"/>
      <c r="H11" s="24"/>
      <c r="I11" s="27">
        <v>36678</v>
      </c>
      <c r="J11" s="5" t="str">
        <f t="shared" si="2"/>
        <v>2000 q2</v>
      </c>
      <c r="K11" s="12">
        <f t="shared" si="3"/>
        <v>0.18932401960784317</v>
      </c>
      <c r="L11" s="12" t="str">
        <f t="shared" si="4"/>
        <v/>
      </c>
      <c r="M11" s="12" t="str">
        <f t="shared" si="5"/>
        <v/>
      </c>
      <c r="O11" s="13" t="s">
        <v>75</v>
      </c>
      <c r="P11" s="13">
        <f t="shared" si="6"/>
        <v>0.21401361911487637</v>
      </c>
      <c r="Q11" s="13">
        <f t="shared" si="7"/>
        <v>0.24666666666666667</v>
      </c>
      <c r="R11" s="13">
        <f t="shared" si="8"/>
        <v>0.267181394327554</v>
      </c>
    </row>
    <row r="12" spans="1:18">
      <c r="A12" s="23" t="s">
        <v>35</v>
      </c>
      <c r="B12" s="25"/>
      <c r="C12" s="25">
        <v>19.97852</v>
      </c>
      <c r="D12" s="25">
        <v>23.65118125</v>
      </c>
      <c r="E12" s="25">
        <v>24.7669</v>
      </c>
      <c r="F12" s="24"/>
      <c r="G12" s="24"/>
      <c r="H12" s="24"/>
      <c r="I12" s="27">
        <v>36708</v>
      </c>
      <c r="J12" s="5" t="str">
        <f t="shared" si="2"/>
        <v>2000 q3</v>
      </c>
      <c r="K12" s="12">
        <f t="shared" si="3"/>
        <v>0.22798867083333335</v>
      </c>
      <c r="L12" s="12" t="str">
        <f t="shared" si="4"/>
        <v/>
      </c>
      <c r="M12" s="12" t="str">
        <f t="shared" si="5"/>
        <v/>
      </c>
      <c r="O12" s="13" t="s">
        <v>76</v>
      </c>
      <c r="P12" s="13">
        <f t="shared" si="6"/>
        <v>0.18122777777777777</v>
      </c>
      <c r="Q12" s="13">
        <f t="shared" si="7"/>
        <v>0.22270000000000001</v>
      </c>
      <c r="R12" s="13">
        <f t="shared" si="8"/>
        <v>0.24321472766088734</v>
      </c>
    </row>
    <row r="13" spans="1:18">
      <c r="A13" s="23" t="s">
        <v>36</v>
      </c>
      <c r="B13" s="25"/>
      <c r="C13" s="25">
        <v>24.250800000000002</v>
      </c>
      <c r="D13" s="25">
        <v>20.774914285714285</v>
      </c>
      <c r="E13" s="25">
        <v>22.133145454545456</v>
      </c>
      <c r="F13" s="25">
        <v>26</v>
      </c>
      <c r="G13" s="24"/>
      <c r="H13" s="24"/>
      <c r="I13" s="27">
        <v>36739</v>
      </c>
      <c r="J13" s="5" t="str">
        <f t="shared" si="2"/>
        <v>2000 q3</v>
      </c>
      <c r="K13" s="12">
        <f t="shared" si="3"/>
        <v>0.22386286580086578</v>
      </c>
      <c r="L13" s="12">
        <f t="shared" si="4"/>
        <v>0.26</v>
      </c>
      <c r="M13" s="12" t="str">
        <f t="shared" si="5"/>
        <v/>
      </c>
      <c r="O13" s="13" t="s">
        <v>77</v>
      </c>
      <c r="P13" s="13">
        <f t="shared" si="6"/>
        <v>0.16778994166666669</v>
      </c>
      <c r="Q13" s="13">
        <f t="shared" si="7"/>
        <v>0.19840199999999997</v>
      </c>
      <c r="R13" s="13">
        <f t="shared" si="8"/>
        <v>0.21891672766088729</v>
      </c>
    </row>
    <row r="14" spans="1:18">
      <c r="A14" s="23" t="s">
        <v>37</v>
      </c>
      <c r="B14" s="25"/>
      <c r="C14" s="25">
        <v>20.257749999999998</v>
      </c>
      <c r="D14" s="25">
        <v>23.922599999999999</v>
      </c>
      <c r="E14" s="25">
        <v>25.931899999999999</v>
      </c>
      <c r="F14" s="25">
        <v>24.993906526110539</v>
      </c>
      <c r="G14" s="24"/>
      <c r="H14" s="24"/>
      <c r="I14" s="27">
        <v>36770</v>
      </c>
      <c r="J14" s="5" t="str">
        <f t="shared" si="2"/>
        <v>2000 q3</v>
      </c>
      <c r="K14" s="12">
        <f t="shared" si="3"/>
        <v>0.23370749999999998</v>
      </c>
      <c r="L14" s="12">
        <f t="shared" si="4"/>
        <v>0.2499390652611054</v>
      </c>
      <c r="M14" s="12" t="str">
        <f t="shared" si="5"/>
        <v/>
      </c>
      <c r="O14" s="13" t="s">
        <v>78</v>
      </c>
      <c r="P14" s="13">
        <f t="shared" si="6"/>
        <v>0.13747072339181285</v>
      </c>
      <c r="Q14" s="13">
        <f t="shared" si="7"/>
        <v>0.14718200000000001</v>
      </c>
      <c r="R14" s="13">
        <f t="shared" si="8"/>
        <v>0.16769672766088733</v>
      </c>
    </row>
    <row r="15" spans="1:18">
      <c r="A15" s="23" t="s">
        <v>38</v>
      </c>
      <c r="B15" s="25"/>
      <c r="C15" s="25">
        <v>25.128178790369361</v>
      </c>
      <c r="D15" s="25">
        <v>26.470800000000001</v>
      </c>
      <c r="E15" s="25">
        <v>27.227599999999999</v>
      </c>
      <c r="F15" s="25">
        <v>27.5</v>
      </c>
      <c r="G15" s="24"/>
      <c r="H15" s="24"/>
      <c r="I15" s="27">
        <v>36800</v>
      </c>
      <c r="J15" s="5" t="str">
        <f t="shared" si="2"/>
        <v>2000 q4</v>
      </c>
      <c r="K15" s="12">
        <f t="shared" si="3"/>
        <v>0.2627552626345645</v>
      </c>
      <c r="L15" s="12">
        <f t="shared" si="4"/>
        <v>0.27500000000000002</v>
      </c>
      <c r="M15" s="12" t="str">
        <f t="shared" si="5"/>
        <v/>
      </c>
      <c r="O15" s="13" t="s">
        <v>79</v>
      </c>
      <c r="P15" s="13">
        <f t="shared" si="6"/>
        <v>0.14255966666666667</v>
      </c>
      <c r="Q15" s="13">
        <f t="shared" si="7"/>
        <v>0.17800771030140319</v>
      </c>
      <c r="R15" s="13">
        <f t="shared" si="8"/>
        <v>0.19852243796229052</v>
      </c>
    </row>
    <row r="16" spans="1:18">
      <c r="A16" s="23" t="s">
        <v>39</v>
      </c>
      <c r="B16" s="25"/>
      <c r="C16" s="25">
        <v>26.312655683327446</v>
      </c>
      <c r="D16" s="25">
        <v>26.710907607225526</v>
      </c>
      <c r="E16" s="25">
        <v>28.600999999999999</v>
      </c>
      <c r="F16" s="24"/>
      <c r="G16" s="24"/>
      <c r="H16" s="24"/>
      <c r="I16" s="27">
        <v>36831</v>
      </c>
      <c r="J16" s="5" t="str">
        <f t="shared" si="2"/>
        <v>2000 q4</v>
      </c>
      <c r="K16" s="12">
        <f t="shared" si="3"/>
        <v>0.27208187763517655</v>
      </c>
      <c r="L16" s="12" t="str">
        <f t="shared" si="4"/>
        <v/>
      </c>
      <c r="M16" s="12" t="str">
        <f t="shared" si="5"/>
        <v/>
      </c>
      <c r="O16" s="13" t="s">
        <v>80</v>
      </c>
      <c r="P16" s="13">
        <f t="shared" si="6"/>
        <v>0.15358212005438768</v>
      </c>
      <c r="Q16" s="13">
        <f t="shared" si="7"/>
        <v>0.18351653658536585</v>
      </c>
      <c r="R16" s="13">
        <f t="shared" si="8"/>
        <v>0.20403126424625317</v>
      </c>
    </row>
    <row r="17" spans="1:19">
      <c r="A17" s="23" t="s">
        <v>40</v>
      </c>
      <c r="B17" s="24">
        <v>26.5</v>
      </c>
      <c r="C17" s="24">
        <v>25.4</v>
      </c>
      <c r="D17" s="24">
        <v>27.670431975523126</v>
      </c>
      <c r="E17" s="24"/>
      <c r="F17" s="24"/>
      <c r="G17" s="24"/>
      <c r="H17" s="24"/>
      <c r="I17" s="27">
        <v>36861</v>
      </c>
      <c r="J17" s="5" t="str">
        <f t="shared" si="2"/>
        <v>2000 q4</v>
      </c>
      <c r="K17" s="12">
        <f t="shared" si="3"/>
        <v>0.26523477325174372</v>
      </c>
      <c r="L17" s="12" t="str">
        <f t="shared" si="4"/>
        <v/>
      </c>
      <c r="M17" s="12" t="str">
        <f t="shared" si="5"/>
        <v/>
      </c>
      <c r="O17" s="13" t="s">
        <v>81</v>
      </c>
      <c r="P17" s="13">
        <f t="shared" si="6"/>
        <v>0.15397614285714287</v>
      </c>
      <c r="Q17" s="13">
        <f t="shared" si="7"/>
        <v>0.18895735709936803</v>
      </c>
      <c r="R17" s="13">
        <f t="shared" si="8"/>
        <v>0.20947208476025536</v>
      </c>
    </row>
    <row r="18" spans="1:19">
      <c r="A18" s="23" t="s">
        <v>41</v>
      </c>
      <c r="B18" s="24"/>
      <c r="C18" s="24">
        <v>25.95</v>
      </c>
      <c r="D18" s="24">
        <v>25.87</v>
      </c>
      <c r="E18" s="24"/>
      <c r="F18" s="25">
        <v>27.3994</v>
      </c>
      <c r="G18" s="24"/>
      <c r="H18" s="24"/>
      <c r="I18" s="27">
        <v>36892</v>
      </c>
      <c r="J18" s="5" t="str">
        <f t="shared" si="2"/>
        <v>2001 q1</v>
      </c>
      <c r="K18" s="12">
        <f t="shared" si="3"/>
        <v>0.2591</v>
      </c>
      <c r="L18" s="12">
        <f t="shared" si="4"/>
        <v>0.27399400000000002</v>
      </c>
      <c r="M18" s="12" t="str">
        <f t="shared" si="5"/>
        <v/>
      </c>
      <c r="O18" s="13" t="s">
        <v>82</v>
      </c>
      <c r="P18" s="13">
        <f t="shared" si="6"/>
        <v>0.13654185042735045</v>
      </c>
      <c r="Q18" s="13">
        <f t="shared" si="7"/>
        <v>0.16146350000000001</v>
      </c>
      <c r="R18" s="13">
        <f t="shared" si="8"/>
        <v>0.18197822766088734</v>
      </c>
    </row>
    <row r="19" spans="1:19">
      <c r="A19" s="23" t="s">
        <v>30</v>
      </c>
      <c r="B19" s="24">
        <v>22.27</v>
      </c>
      <c r="C19" s="24">
        <v>23.65</v>
      </c>
      <c r="D19" s="24"/>
      <c r="E19" s="24"/>
      <c r="F19" s="25">
        <v>23.16</v>
      </c>
      <c r="G19" s="24"/>
      <c r="H19" s="24"/>
      <c r="I19" s="27">
        <v>36923</v>
      </c>
      <c r="J19" s="5" t="str">
        <f t="shared" si="2"/>
        <v>2001 q1</v>
      </c>
      <c r="K19" s="12">
        <f t="shared" si="3"/>
        <v>0.2296</v>
      </c>
      <c r="L19" s="12">
        <f t="shared" si="4"/>
        <v>0.2316</v>
      </c>
      <c r="M19" s="12" t="str">
        <f t="shared" si="5"/>
        <v/>
      </c>
      <c r="O19" s="13" t="s">
        <v>83</v>
      </c>
      <c r="P19" s="13">
        <f t="shared" si="6"/>
        <v>0.13411010784313726</v>
      </c>
      <c r="Q19" s="13">
        <f t="shared" si="7"/>
        <v>0.16544733333333334</v>
      </c>
      <c r="R19" s="13">
        <f t="shared" si="8"/>
        <v>0.18596206099422066</v>
      </c>
    </row>
    <row r="20" spans="1:19">
      <c r="A20" s="23" t="s">
        <v>31</v>
      </c>
      <c r="B20" s="25"/>
      <c r="C20" s="25">
        <v>24.02</v>
      </c>
      <c r="D20" s="25">
        <v>24.12</v>
      </c>
      <c r="E20" s="25">
        <v>25.129799999999999</v>
      </c>
      <c r="F20" s="25">
        <v>27.21</v>
      </c>
      <c r="G20" s="24"/>
      <c r="H20" s="24"/>
      <c r="I20" s="27">
        <v>36951</v>
      </c>
      <c r="J20" s="5" t="str">
        <f t="shared" si="2"/>
        <v>2001 q1</v>
      </c>
      <c r="K20" s="12">
        <f t="shared" si="3"/>
        <v>0.24423266666666665</v>
      </c>
      <c r="L20" s="12">
        <f t="shared" si="4"/>
        <v>0.27210000000000001</v>
      </c>
      <c r="M20" s="12" t="str">
        <f t="shared" si="5"/>
        <v/>
      </c>
      <c r="O20" s="13" t="s">
        <v>84</v>
      </c>
      <c r="P20" s="13">
        <f t="shared" si="6"/>
        <v>0.10521968864136043</v>
      </c>
      <c r="Q20" s="13">
        <f t="shared" si="7"/>
        <v>0.15862028571428571</v>
      </c>
      <c r="R20" s="13">
        <f t="shared" si="8"/>
        <v>0.17913501337517304</v>
      </c>
    </row>
    <row r="21" spans="1:19">
      <c r="A21" s="23" t="s">
        <v>32</v>
      </c>
      <c r="B21" s="25"/>
      <c r="C21" s="25">
        <v>24.135290000000001</v>
      </c>
      <c r="D21" s="25">
        <v>24.530799999999999</v>
      </c>
      <c r="E21" s="25">
        <v>24.556167203388735</v>
      </c>
      <c r="F21" s="25">
        <v>26</v>
      </c>
      <c r="G21" s="24"/>
      <c r="H21" s="24"/>
      <c r="I21" s="27">
        <v>36982</v>
      </c>
      <c r="J21" s="5" t="str">
        <f t="shared" si="2"/>
        <v>2001 q2</v>
      </c>
      <c r="K21" s="12">
        <f t="shared" si="3"/>
        <v>0.24407419067796243</v>
      </c>
      <c r="L21" s="12">
        <f t="shared" si="4"/>
        <v>0.26</v>
      </c>
      <c r="M21" s="12" t="str">
        <f t="shared" si="5"/>
        <v/>
      </c>
      <c r="O21" s="13" t="s">
        <v>85</v>
      </c>
      <c r="P21" s="13">
        <f t="shared" si="6"/>
        <v>9.9805777777777771E-2</v>
      </c>
      <c r="Q21" s="13">
        <f t="shared" si="7"/>
        <v>7.1481500000000003E-2</v>
      </c>
      <c r="R21" s="13">
        <f t="shared" si="8"/>
        <v>9.1996227660887331E-2</v>
      </c>
    </row>
    <row r="22" spans="1:19">
      <c r="A22" s="23" t="s">
        <v>33</v>
      </c>
      <c r="B22" s="25"/>
      <c r="C22" s="25">
        <v>19.309999999999999</v>
      </c>
      <c r="D22" s="25">
        <v>20.75</v>
      </c>
      <c r="E22" s="25">
        <v>21.04</v>
      </c>
      <c r="F22" s="25">
        <v>24.61</v>
      </c>
      <c r="G22" s="24"/>
      <c r="H22" s="24"/>
      <c r="I22" s="27">
        <v>37012</v>
      </c>
      <c r="J22" s="5" t="str">
        <f t="shared" si="2"/>
        <v>2001 q2</v>
      </c>
      <c r="K22" s="12">
        <f t="shared" si="3"/>
        <v>0.20366666666666666</v>
      </c>
      <c r="L22" s="12">
        <f t="shared" si="4"/>
        <v>0.24609999999999999</v>
      </c>
      <c r="M22" s="12" t="str">
        <f t="shared" si="5"/>
        <v/>
      </c>
      <c r="O22" s="13" t="s">
        <v>86</v>
      </c>
      <c r="P22" s="13">
        <f t="shared" si="6"/>
        <v>6.6186055555555554E-2</v>
      </c>
      <c r="Q22" s="13">
        <f t="shared" si="7"/>
        <v>9.7205E-2</v>
      </c>
      <c r="R22" s="13">
        <f t="shared" si="8"/>
        <v>0.11771972766088734</v>
      </c>
    </row>
    <row r="23" spans="1:19">
      <c r="A23" s="23" t="s">
        <v>34</v>
      </c>
      <c r="B23" s="25"/>
      <c r="C23" s="25">
        <v>18.93</v>
      </c>
      <c r="D23" s="25">
        <v>19.41</v>
      </c>
      <c r="E23" s="25">
        <v>19.95</v>
      </c>
      <c r="F23" s="25">
        <v>23.39</v>
      </c>
      <c r="G23" s="24"/>
      <c r="H23" s="24"/>
      <c r="I23" s="27">
        <v>37043</v>
      </c>
      <c r="J23" s="5" t="str">
        <f t="shared" si="2"/>
        <v>2001 q2</v>
      </c>
      <c r="K23" s="12">
        <f t="shared" si="3"/>
        <v>0.19430000000000003</v>
      </c>
      <c r="L23" s="12">
        <f t="shared" si="4"/>
        <v>0.2339</v>
      </c>
      <c r="M23" s="12" t="str">
        <f t="shared" si="5"/>
        <v/>
      </c>
      <c r="O23" s="13" t="s">
        <v>87</v>
      </c>
      <c r="P23" s="13">
        <f t="shared" si="6"/>
        <v>5.6279333333333327E-2</v>
      </c>
      <c r="Q23" s="13">
        <f t="shared" si="7"/>
        <v>9.1385333333333332E-2</v>
      </c>
      <c r="R23" s="13">
        <f>Q23+AVERAGE($S$24:$S$37)</f>
        <v>0.11190006099422067</v>
      </c>
    </row>
    <row r="24" spans="1:19">
      <c r="A24" s="23" t="s">
        <v>35</v>
      </c>
      <c r="B24" s="25"/>
      <c r="C24" s="25">
        <v>17.7</v>
      </c>
      <c r="D24" s="25">
        <v>18.329999999999998</v>
      </c>
      <c r="E24" s="25">
        <v>18.46</v>
      </c>
      <c r="F24" s="25">
        <v>22.33</v>
      </c>
      <c r="G24" s="24"/>
      <c r="H24" s="24"/>
      <c r="I24" s="27">
        <v>37073</v>
      </c>
      <c r="J24" s="5" t="str">
        <f t="shared" si="2"/>
        <v>2001 q3</v>
      </c>
      <c r="K24" s="12">
        <f t="shared" si="3"/>
        <v>0.18163333333333334</v>
      </c>
      <c r="L24" s="12">
        <f t="shared" si="4"/>
        <v>0.22329999999999997</v>
      </c>
      <c r="M24" s="12" t="str">
        <f t="shared" si="5"/>
        <v/>
      </c>
      <c r="O24" s="13" t="s">
        <v>88</v>
      </c>
      <c r="P24" s="13">
        <f t="shared" si="6"/>
        <v>4.9925388888888894E-2</v>
      </c>
      <c r="Q24" s="13">
        <f t="shared" si="7"/>
        <v>7.3165319508448554E-2</v>
      </c>
      <c r="R24" s="13">
        <f t="shared" ref="R24:R70" si="9">AVERAGEIF($J$6:$J$297,$O24,M$6:M$297)</f>
        <v>9.2446E-2</v>
      </c>
      <c r="S24" s="13">
        <f>R24-Q24</f>
        <v>1.9280680491551447E-2</v>
      </c>
    </row>
    <row r="25" spans="1:19">
      <c r="A25" s="23" t="s">
        <v>36</v>
      </c>
      <c r="B25" s="25"/>
      <c r="C25" s="25"/>
      <c r="D25" s="25">
        <v>17.7</v>
      </c>
      <c r="E25" s="25">
        <v>18</v>
      </c>
      <c r="F25" s="24"/>
      <c r="G25" s="24"/>
      <c r="H25" s="24"/>
      <c r="I25" s="27">
        <v>37104</v>
      </c>
      <c r="J25" s="5" t="str">
        <f t="shared" si="2"/>
        <v>2001 q3</v>
      </c>
      <c r="K25" s="12">
        <f t="shared" si="3"/>
        <v>0.17850000000000002</v>
      </c>
      <c r="L25" s="12" t="str">
        <f t="shared" si="4"/>
        <v/>
      </c>
      <c r="M25" s="12" t="str">
        <f t="shared" si="5"/>
        <v/>
      </c>
      <c r="O25" s="13" t="s">
        <v>89</v>
      </c>
      <c r="P25" s="13">
        <f t="shared" si="6"/>
        <v>3.9987208333333329E-2</v>
      </c>
      <c r="Q25" s="13">
        <f t="shared" si="7"/>
        <v>6.636199999999999E-2</v>
      </c>
      <c r="R25" s="13">
        <f t="shared" si="9"/>
        <v>9.2683000000000001E-2</v>
      </c>
      <c r="S25" s="13">
        <f t="shared" ref="S25:S88" si="10">R25-Q25</f>
        <v>2.6321000000000011E-2</v>
      </c>
    </row>
    <row r="26" spans="1:19">
      <c r="A26" s="23" t="s">
        <v>37</v>
      </c>
      <c r="B26" s="25"/>
      <c r="C26" s="25"/>
      <c r="D26" s="25">
        <v>17.71</v>
      </c>
      <c r="E26" s="25">
        <v>19</v>
      </c>
      <c r="F26" s="25">
        <v>22.21</v>
      </c>
      <c r="G26" s="24"/>
      <c r="H26" s="24"/>
      <c r="I26" s="27">
        <v>37135</v>
      </c>
      <c r="J26" s="5" t="str">
        <f t="shared" si="2"/>
        <v>2001 q3</v>
      </c>
      <c r="K26" s="12">
        <f t="shared" si="3"/>
        <v>0.18354999999999999</v>
      </c>
      <c r="L26" s="12">
        <f t="shared" si="4"/>
        <v>0.22210000000000002</v>
      </c>
      <c r="M26" s="12" t="str">
        <f t="shared" si="5"/>
        <v/>
      </c>
      <c r="O26" s="13" t="s">
        <v>90</v>
      </c>
      <c r="P26" s="13">
        <f t="shared" si="6"/>
        <v>4.1224555555555563E-2</v>
      </c>
      <c r="Q26" s="13">
        <f t="shared" si="7"/>
        <v>5.2538666666666657E-2</v>
      </c>
      <c r="R26" s="13">
        <f t="shared" si="9"/>
        <v>6.93E-2</v>
      </c>
      <c r="S26" s="13">
        <f t="shared" si="10"/>
        <v>1.6761333333333343E-2</v>
      </c>
    </row>
    <row r="27" spans="1:19">
      <c r="A27" s="23" t="s">
        <v>38</v>
      </c>
      <c r="B27" s="25"/>
      <c r="C27" s="25"/>
      <c r="D27" s="25">
        <v>16.93</v>
      </c>
      <c r="E27" s="25">
        <v>17.54</v>
      </c>
      <c r="F27" s="25">
        <v>20.765699999999999</v>
      </c>
      <c r="G27" s="24"/>
      <c r="H27" s="24"/>
      <c r="I27" s="27">
        <v>37165</v>
      </c>
      <c r="J27" s="5" t="str">
        <f t="shared" si="2"/>
        <v>2001 q4</v>
      </c>
      <c r="K27" s="12">
        <f t="shared" si="3"/>
        <v>0.17235</v>
      </c>
      <c r="L27" s="12">
        <f t="shared" si="4"/>
        <v>0.20765699999999998</v>
      </c>
      <c r="M27" s="12" t="str">
        <f t="shared" si="5"/>
        <v/>
      </c>
      <c r="O27" s="13" t="s">
        <v>91</v>
      </c>
      <c r="P27" s="13">
        <f t="shared" si="6"/>
        <v>4.5867096659079509E-2</v>
      </c>
      <c r="Q27" s="13">
        <f t="shared" si="7"/>
        <v>5.3465833333333324E-2</v>
      </c>
      <c r="R27" s="13">
        <f t="shared" si="9"/>
        <v>7.3701500000000003E-2</v>
      </c>
      <c r="S27" s="13">
        <f t="shared" si="10"/>
        <v>2.023566666666668E-2</v>
      </c>
    </row>
    <row r="28" spans="1:19">
      <c r="A28" s="23" t="s">
        <v>39</v>
      </c>
      <c r="B28" s="25"/>
      <c r="C28" s="25"/>
      <c r="D28" s="25">
        <v>16.625399999999999</v>
      </c>
      <c r="E28" s="25">
        <v>16.840165000000002</v>
      </c>
      <c r="F28" s="25">
        <v>18.816800000000001</v>
      </c>
      <c r="G28" s="24"/>
      <c r="H28" s="24"/>
      <c r="I28" s="27">
        <v>37196</v>
      </c>
      <c r="J28" s="5" t="str">
        <f t="shared" si="2"/>
        <v>2001 q4</v>
      </c>
      <c r="K28" s="12">
        <f t="shared" si="3"/>
        <v>0.16732782499999999</v>
      </c>
      <c r="L28" s="12">
        <f t="shared" si="4"/>
        <v>0.188168</v>
      </c>
      <c r="M28" s="12" t="str">
        <f t="shared" si="5"/>
        <v/>
      </c>
      <c r="O28" s="13" t="s">
        <v>92</v>
      </c>
      <c r="P28" s="13">
        <f t="shared" si="6"/>
        <v>3.7295944444444444E-2</v>
      </c>
      <c r="Q28" s="13">
        <f t="shared" si="7"/>
        <v>5.1908999999999997E-2</v>
      </c>
      <c r="R28" s="13">
        <f t="shared" si="9"/>
        <v>5.3790500000000005E-2</v>
      </c>
      <c r="S28" s="13">
        <f t="shared" si="10"/>
        <v>1.8815000000000082E-3</v>
      </c>
    </row>
    <row r="29" spans="1:19">
      <c r="A29" s="23" t="s">
        <v>40</v>
      </c>
      <c r="B29" s="25"/>
      <c r="C29" s="25"/>
      <c r="D29" s="25"/>
      <c r="E29" s="25">
        <v>16.369199999999999</v>
      </c>
      <c r="F29" s="25">
        <v>19.938099999999999</v>
      </c>
      <c r="G29" s="24"/>
      <c r="H29" s="24"/>
      <c r="I29" s="27">
        <v>37226</v>
      </c>
      <c r="J29" s="5" t="str">
        <f t="shared" si="2"/>
        <v>2001 q4</v>
      </c>
      <c r="K29" s="12">
        <f t="shared" si="3"/>
        <v>0.163692</v>
      </c>
      <c r="L29" s="12">
        <f t="shared" si="4"/>
        <v>0.19938099999999997</v>
      </c>
      <c r="M29" s="12" t="str">
        <f t="shared" si="5"/>
        <v/>
      </c>
      <c r="O29" s="13" t="s">
        <v>93</v>
      </c>
      <c r="P29" s="13">
        <f t="shared" si="6"/>
        <v>3.758425E-2</v>
      </c>
      <c r="Q29" s="13">
        <f t="shared" si="7"/>
        <v>5.1868499999999998E-2</v>
      </c>
      <c r="R29" s="13">
        <f t="shared" si="9"/>
        <v>8.8225999999999999E-2</v>
      </c>
      <c r="S29" s="13">
        <f t="shared" si="10"/>
        <v>3.6357500000000001E-2</v>
      </c>
    </row>
    <row r="30" spans="1:19">
      <c r="A30" s="23" t="s">
        <v>42</v>
      </c>
      <c r="B30" s="25"/>
      <c r="C30" s="25">
        <v>14.6792</v>
      </c>
      <c r="D30" s="25">
        <v>14.494199999999999</v>
      </c>
      <c r="E30" s="25">
        <v>14.254521052631578</v>
      </c>
      <c r="F30" s="25"/>
      <c r="G30" s="24"/>
      <c r="H30" s="24"/>
      <c r="I30" s="27">
        <v>37257</v>
      </c>
      <c r="J30" s="5" t="str">
        <f t="shared" si="2"/>
        <v>2002 q1</v>
      </c>
      <c r="K30" s="12">
        <f t="shared" si="3"/>
        <v>0.14475973684210525</v>
      </c>
      <c r="L30" s="12" t="str">
        <f t="shared" si="4"/>
        <v/>
      </c>
      <c r="M30" s="12" t="str">
        <f t="shared" si="5"/>
        <v/>
      </c>
      <c r="O30" s="13" t="s">
        <v>94</v>
      </c>
      <c r="P30" s="13">
        <f t="shared" si="6"/>
        <v>4.2058249999999998E-2</v>
      </c>
      <c r="Q30" s="13">
        <f t="shared" si="7"/>
        <v>4.9107000000000005E-2</v>
      </c>
      <c r="R30" s="13">
        <f t="shared" si="9"/>
        <v>8.5825543478260866E-2</v>
      </c>
      <c r="S30" s="13">
        <f t="shared" si="10"/>
        <v>3.6718543478260861E-2</v>
      </c>
    </row>
    <row r="31" spans="1:19">
      <c r="A31" s="23" t="s">
        <v>30</v>
      </c>
      <c r="B31" s="25"/>
      <c r="C31" s="25"/>
      <c r="D31" s="25">
        <v>13.877000000000001</v>
      </c>
      <c r="E31" s="25">
        <v>13.8134</v>
      </c>
      <c r="F31" s="25"/>
      <c r="G31" s="24"/>
      <c r="H31" s="24"/>
      <c r="I31" s="27">
        <v>37288</v>
      </c>
      <c r="J31" s="5" t="str">
        <f t="shared" si="2"/>
        <v>2002 q1</v>
      </c>
      <c r="K31" s="12">
        <f t="shared" si="3"/>
        <v>0.13845199999999999</v>
      </c>
      <c r="L31" s="12" t="str">
        <f t="shared" si="4"/>
        <v/>
      </c>
      <c r="M31" s="12" t="str">
        <f t="shared" si="5"/>
        <v/>
      </c>
      <c r="O31" s="13" t="s">
        <v>95</v>
      </c>
      <c r="P31" s="13">
        <f t="shared" si="6"/>
        <v>4.827759913293872E-2</v>
      </c>
      <c r="Q31" s="13">
        <f t="shared" si="7"/>
        <v>6.4560333333333345E-2</v>
      </c>
      <c r="R31" s="13">
        <f t="shared" si="9"/>
        <v>9.8780000000000007E-2</v>
      </c>
      <c r="S31" s="13">
        <f t="shared" si="10"/>
        <v>3.4219666666666662E-2</v>
      </c>
    </row>
    <row r="32" spans="1:19">
      <c r="A32" s="23" t="s">
        <v>31</v>
      </c>
      <c r="B32" s="25"/>
      <c r="C32" s="25"/>
      <c r="D32" s="25">
        <v>12.825799999999999</v>
      </c>
      <c r="E32" s="25">
        <v>13.014286666666667</v>
      </c>
      <c r="F32" s="25">
        <v>14.7182</v>
      </c>
      <c r="G32" s="24"/>
      <c r="H32" s="24"/>
      <c r="I32" s="27">
        <v>37316</v>
      </c>
      <c r="J32" s="5" t="str">
        <f t="shared" si="2"/>
        <v>2002 q1</v>
      </c>
      <c r="K32" s="12">
        <f t="shared" si="3"/>
        <v>0.12920043333333331</v>
      </c>
      <c r="L32" s="12">
        <f t="shared" si="4"/>
        <v>0.14718200000000001</v>
      </c>
      <c r="M32" s="12" t="str">
        <f t="shared" si="5"/>
        <v/>
      </c>
      <c r="O32" s="13" t="s">
        <v>96</v>
      </c>
      <c r="P32" s="13">
        <f t="shared" si="6"/>
        <v>4.9332336405529947E-2</v>
      </c>
      <c r="Q32" s="13">
        <f t="shared" si="7"/>
        <v>6.4769532212885159E-2</v>
      </c>
      <c r="R32" s="13">
        <f t="shared" si="9"/>
        <v>9.5756162162162164E-2</v>
      </c>
      <c r="S32" s="13">
        <f t="shared" si="10"/>
        <v>3.0986629949277006E-2</v>
      </c>
    </row>
    <row r="33" spans="1:19">
      <c r="A33" s="23" t="s">
        <v>32</v>
      </c>
      <c r="B33" s="25"/>
      <c r="C33" s="25">
        <v>13.5844</v>
      </c>
      <c r="D33" s="25">
        <v>12.4712</v>
      </c>
      <c r="E33" s="25">
        <v>14.1</v>
      </c>
      <c r="F33" s="24"/>
      <c r="G33" s="24"/>
      <c r="H33" s="24"/>
      <c r="I33" s="27">
        <v>37347</v>
      </c>
      <c r="J33" s="5" t="str">
        <f t="shared" si="2"/>
        <v>2002 q2</v>
      </c>
      <c r="K33" s="12">
        <f t="shared" si="3"/>
        <v>0.133852</v>
      </c>
      <c r="L33" s="12" t="str">
        <f t="shared" si="4"/>
        <v/>
      </c>
      <c r="M33" s="12" t="str">
        <f t="shared" si="5"/>
        <v/>
      </c>
      <c r="O33" s="13" t="s">
        <v>97</v>
      </c>
      <c r="P33" s="13">
        <f t="shared" si="6"/>
        <v>5.4834108906467109E-2</v>
      </c>
      <c r="Q33" s="13">
        <f t="shared" si="7"/>
        <v>6.6861000000000004E-2</v>
      </c>
      <c r="R33" s="13">
        <f t="shared" si="9"/>
        <v>9.3691999999999998E-2</v>
      </c>
      <c r="S33" s="13">
        <f t="shared" si="10"/>
        <v>2.6830999999999994E-2</v>
      </c>
    </row>
    <row r="34" spans="1:19">
      <c r="A34" s="23" t="s">
        <v>33</v>
      </c>
      <c r="B34" s="25"/>
      <c r="C34" s="25"/>
      <c r="D34" s="25"/>
      <c r="E34" s="25">
        <v>14.327</v>
      </c>
      <c r="F34" s="25">
        <v>16.9466</v>
      </c>
      <c r="G34" s="24"/>
      <c r="H34" s="24"/>
      <c r="I34" s="27">
        <v>37377</v>
      </c>
      <c r="J34" s="5" t="str">
        <f t="shared" si="2"/>
        <v>2002 q2</v>
      </c>
      <c r="K34" s="12">
        <f t="shared" si="3"/>
        <v>0.14327000000000001</v>
      </c>
      <c r="L34" s="12">
        <f t="shared" si="4"/>
        <v>0.16946600000000001</v>
      </c>
      <c r="M34" s="12" t="str">
        <f t="shared" si="5"/>
        <v/>
      </c>
      <c r="O34" s="13" t="s">
        <v>98</v>
      </c>
      <c r="P34" s="13">
        <f t="shared" si="6"/>
        <v>5.8939999999999999E-2</v>
      </c>
      <c r="Q34" s="13">
        <f t="shared" si="7"/>
        <v>6.876433333333333E-2</v>
      </c>
      <c r="R34" s="13">
        <f t="shared" si="9"/>
        <v>7.9896000000000009E-2</v>
      </c>
      <c r="S34" s="13">
        <f t="shared" si="10"/>
        <v>1.1131666666666679E-2</v>
      </c>
    </row>
    <row r="35" spans="1:19">
      <c r="A35" s="23" t="s">
        <v>34</v>
      </c>
      <c r="B35" s="25"/>
      <c r="C35" s="25"/>
      <c r="D35" s="25">
        <v>15.1355</v>
      </c>
      <c r="E35" s="25">
        <v>14.975899999999999</v>
      </c>
      <c r="F35" s="25">
        <v>18.654942060280639</v>
      </c>
      <c r="G35" s="24"/>
      <c r="H35" s="24"/>
      <c r="I35" s="27">
        <v>37408</v>
      </c>
      <c r="J35" s="5" t="str">
        <f t="shared" si="2"/>
        <v>2002 q2</v>
      </c>
      <c r="K35" s="12">
        <f t="shared" si="3"/>
        <v>0.150557</v>
      </c>
      <c r="L35" s="12">
        <f t="shared" si="4"/>
        <v>0.18654942060280638</v>
      </c>
      <c r="M35" s="12" t="str">
        <f t="shared" si="5"/>
        <v/>
      </c>
      <c r="O35" s="13" t="s">
        <v>99</v>
      </c>
      <c r="P35" s="13">
        <f t="shared" si="6"/>
        <v>5.9858000000000001E-2</v>
      </c>
      <c r="Q35" s="13">
        <f t="shared" si="7"/>
        <v>6.5858333333333338E-2</v>
      </c>
      <c r="R35" s="13">
        <f t="shared" si="9"/>
        <v>6.7365999999999995E-2</v>
      </c>
      <c r="S35" s="13">
        <f t="shared" si="10"/>
        <v>1.5076666666666572E-3</v>
      </c>
    </row>
    <row r="36" spans="1:19">
      <c r="A36" s="23" t="s">
        <v>35</v>
      </c>
      <c r="B36" s="25"/>
      <c r="C36" s="25"/>
      <c r="D36" s="25"/>
      <c r="E36" s="25">
        <v>15.633133333333333</v>
      </c>
      <c r="F36" s="25">
        <v>19.207707317073169</v>
      </c>
      <c r="G36" s="24"/>
      <c r="H36" s="24"/>
      <c r="I36" s="27">
        <v>37438</v>
      </c>
      <c r="J36" s="5" t="str">
        <f t="shared" si="2"/>
        <v>2002 q3</v>
      </c>
      <c r="K36" s="12">
        <f t="shared" si="3"/>
        <v>0.15633133333333332</v>
      </c>
      <c r="L36" s="12">
        <f t="shared" si="4"/>
        <v>0.19207707317073169</v>
      </c>
      <c r="M36" s="12" t="str">
        <f t="shared" si="5"/>
        <v/>
      </c>
      <c r="O36" s="13" t="s">
        <v>100</v>
      </c>
      <c r="P36" s="13">
        <f t="shared" si="6"/>
        <v>5.9434333333333332E-2</v>
      </c>
      <c r="Q36" s="13">
        <f t="shared" si="7"/>
        <v>6.5215833333333334E-2</v>
      </c>
      <c r="R36" s="13">
        <f t="shared" si="9"/>
        <v>6.7187999999999998E-2</v>
      </c>
      <c r="S36" s="13">
        <f t="shared" si="10"/>
        <v>1.9721666666666637E-3</v>
      </c>
    </row>
    <row r="37" spans="1:19">
      <c r="A37" s="23" t="s">
        <v>36</v>
      </c>
      <c r="B37" s="25"/>
      <c r="C37" s="25"/>
      <c r="D37" s="25">
        <v>15.301921155439629</v>
      </c>
      <c r="E37" s="25">
        <v>15.749000000000001</v>
      </c>
      <c r="F37" s="24"/>
      <c r="G37" s="24"/>
      <c r="H37" s="24"/>
      <c r="I37" s="27">
        <v>37469</v>
      </c>
      <c r="J37" s="5" t="str">
        <f t="shared" si="2"/>
        <v>2002 q3</v>
      </c>
      <c r="K37" s="12">
        <f t="shared" si="3"/>
        <v>0.15525460577719816</v>
      </c>
      <c r="L37" s="12" t="str">
        <f t="shared" si="4"/>
        <v/>
      </c>
      <c r="M37" s="12" t="str">
        <f t="shared" si="5"/>
        <v/>
      </c>
      <c r="O37" s="13" t="s">
        <v>101</v>
      </c>
      <c r="P37" s="13">
        <f t="shared" si="6"/>
        <v>6.5294000000000005E-2</v>
      </c>
      <c r="Q37" s="13">
        <f t="shared" si="7"/>
        <v>7.145583333333333E-2</v>
      </c>
      <c r="R37" s="13">
        <f t="shared" si="9"/>
        <v>9.4456999999999999E-2</v>
      </c>
      <c r="S37" s="13">
        <f t="shared" si="10"/>
        <v>2.300116666666667E-2</v>
      </c>
    </row>
    <row r="38" spans="1:19">
      <c r="A38" s="23" t="s">
        <v>37</v>
      </c>
      <c r="B38" s="25"/>
      <c r="C38" s="25"/>
      <c r="D38" s="25"/>
      <c r="E38" s="25">
        <v>14.916042105263157</v>
      </c>
      <c r="F38" s="25">
        <v>17.4956</v>
      </c>
      <c r="G38" s="24"/>
      <c r="H38" s="24"/>
      <c r="I38" s="27">
        <v>37500</v>
      </c>
      <c r="J38" s="5" t="str">
        <f t="shared" si="2"/>
        <v>2002 q3</v>
      </c>
      <c r="K38" s="12">
        <f t="shared" si="3"/>
        <v>0.14916042105263158</v>
      </c>
      <c r="L38" s="12">
        <f t="shared" si="4"/>
        <v>0.174956</v>
      </c>
      <c r="M38" s="12" t="str">
        <f t="shared" si="5"/>
        <v/>
      </c>
      <c r="O38" s="13" t="s">
        <v>102</v>
      </c>
      <c r="P38" s="13">
        <f t="shared" si="6"/>
        <v>6.8918200501253135E-2</v>
      </c>
      <c r="Q38" s="13">
        <f t="shared" si="7"/>
        <v>8.2521442938131628E-2</v>
      </c>
      <c r="R38" s="13">
        <f t="shared" si="9"/>
        <v>0.10423639194051443</v>
      </c>
      <c r="S38" s="13">
        <f t="shared" si="10"/>
        <v>2.17149490023828E-2</v>
      </c>
    </row>
    <row r="39" spans="1:19">
      <c r="A39" s="23" t="s">
        <v>38</v>
      </c>
      <c r="B39" s="25"/>
      <c r="C39" s="25"/>
      <c r="D39" s="25"/>
      <c r="E39" s="25">
        <v>15.5</v>
      </c>
      <c r="F39" s="25">
        <v>19.547699999999999</v>
      </c>
      <c r="G39" s="24"/>
      <c r="H39" s="24"/>
      <c r="I39" s="27">
        <v>37530</v>
      </c>
      <c r="J39" s="5" t="str">
        <f t="shared" si="2"/>
        <v>2002 q4</v>
      </c>
      <c r="K39" s="12">
        <f t="shared" si="3"/>
        <v>0.155</v>
      </c>
      <c r="L39" s="12">
        <f t="shared" si="4"/>
        <v>0.19547699999999998</v>
      </c>
      <c r="M39" s="12" t="str">
        <f t="shared" si="5"/>
        <v/>
      </c>
      <c r="O39" s="13" t="s">
        <v>103</v>
      </c>
      <c r="P39" s="13">
        <f t="shared" si="6"/>
        <v>7.0631000000000013E-2</v>
      </c>
      <c r="Q39" s="13">
        <f t="shared" si="7"/>
        <v>7.6798962962962958E-2</v>
      </c>
      <c r="R39" s="13">
        <f t="shared" si="9"/>
        <v>0.10328428089084568</v>
      </c>
      <c r="S39" s="13">
        <f t="shared" si="10"/>
        <v>2.6485317927882723E-2</v>
      </c>
    </row>
    <row r="40" spans="1:19">
      <c r="A40" s="23" t="s">
        <v>39</v>
      </c>
      <c r="B40" s="25"/>
      <c r="C40" s="25"/>
      <c r="D40" s="25">
        <v>15.0732</v>
      </c>
      <c r="E40" s="25">
        <v>15.112485714285715</v>
      </c>
      <c r="F40" s="25">
        <v>17.4758</v>
      </c>
      <c r="G40" s="24"/>
      <c r="H40" s="24"/>
      <c r="I40" s="27">
        <v>37561</v>
      </c>
      <c r="J40" s="5" t="str">
        <f t="shared" si="2"/>
        <v>2002 q4</v>
      </c>
      <c r="K40" s="12">
        <f t="shared" si="3"/>
        <v>0.15092842857142857</v>
      </c>
      <c r="L40" s="12">
        <f t="shared" si="4"/>
        <v>0.174758</v>
      </c>
      <c r="M40" s="12" t="str">
        <f t="shared" si="5"/>
        <v/>
      </c>
      <c r="O40" s="13" t="s">
        <v>104</v>
      </c>
      <c r="P40" s="13">
        <f t="shared" si="6"/>
        <v>7.9726416666666661E-2</v>
      </c>
      <c r="Q40" s="13">
        <f t="shared" si="7"/>
        <v>8.1021244396848616E-2</v>
      </c>
      <c r="R40" s="13">
        <f t="shared" si="9"/>
        <v>0.10574468085106384</v>
      </c>
      <c r="S40" s="13">
        <f t="shared" si="10"/>
        <v>2.4723436454215222E-2</v>
      </c>
    </row>
    <row r="41" spans="1:19">
      <c r="A41" s="23" t="s">
        <v>40</v>
      </c>
      <c r="B41" s="25"/>
      <c r="C41" s="25"/>
      <c r="D41" s="25"/>
      <c r="E41" s="25">
        <v>15.6</v>
      </c>
      <c r="F41" s="25">
        <v>19.663707129810415</v>
      </c>
      <c r="G41" s="24"/>
      <c r="H41" s="24"/>
      <c r="I41" s="27">
        <v>37591</v>
      </c>
      <c r="J41" s="5" t="str">
        <f t="shared" si="2"/>
        <v>2002 q4</v>
      </c>
      <c r="K41" s="12">
        <f t="shared" si="3"/>
        <v>0.156</v>
      </c>
      <c r="L41" s="12">
        <f t="shared" si="4"/>
        <v>0.19663707129810415</v>
      </c>
      <c r="M41" s="12" t="str">
        <f t="shared" si="5"/>
        <v/>
      </c>
      <c r="O41" s="13" t="s">
        <v>105</v>
      </c>
      <c r="P41" s="13">
        <f t="shared" si="6"/>
        <v>8.7888261111111102E-2</v>
      </c>
      <c r="Q41" s="13">
        <f t="shared" si="7"/>
        <v>9.4150656462585025E-2</v>
      </c>
      <c r="R41" s="28">
        <f>AVERAGE(R40,R42)</f>
        <v>0.11727284042553192</v>
      </c>
      <c r="S41" s="13">
        <f t="shared" si="10"/>
        <v>2.3122183962946893E-2</v>
      </c>
    </row>
    <row r="42" spans="1:19">
      <c r="A42" s="23" t="s">
        <v>43</v>
      </c>
      <c r="B42" s="24"/>
      <c r="C42" s="24"/>
      <c r="D42" s="24">
        <v>14.92</v>
      </c>
      <c r="E42" s="24">
        <v>14.89</v>
      </c>
      <c r="F42" s="24"/>
      <c r="G42" s="24"/>
      <c r="H42" s="24"/>
      <c r="I42" s="27">
        <v>37622</v>
      </c>
      <c r="J42" s="5" t="str">
        <f t="shared" si="2"/>
        <v>2003 q1</v>
      </c>
      <c r="K42" s="12">
        <f t="shared" si="3"/>
        <v>0.14905000000000002</v>
      </c>
      <c r="L42" s="12" t="str">
        <f t="shared" si="4"/>
        <v/>
      </c>
      <c r="M42" s="12" t="str">
        <f t="shared" si="5"/>
        <v/>
      </c>
      <c r="O42" s="13" t="s">
        <v>106</v>
      </c>
      <c r="P42" s="13">
        <f t="shared" si="6"/>
        <v>9.9619205935078323E-2</v>
      </c>
      <c r="Q42" s="13">
        <f t="shared" si="7"/>
        <v>0.1048655</v>
      </c>
      <c r="R42" s="13">
        <f t="shared" si="9"/>
        <v>0.128801</v>
      </c>
      <c r="S42" s="13">
        <f t="shared" si="10"/>
        <v>2.3935499999999998E-2</v>
      </c>
    </row>
    <row r="43" spans="1:19">
      <c r="A43" s="23" t="s">
        <v>30</v>
      </c>
      <c r="B43" s="24"/>
      <c r="C43" s="24"/>
      <c r="D43" s="24">
        <v>12.186500000000001</v>
      </c>
      <c r="E43" s="24">
        <v>12.832476923076923</v>
      </c>
      <c r="F43" s="24"/>
      <c r="G43" s="24"/>
      <c r="H43" s="24"/>
      <c r="I43" s="27">
        <v>37653</v>
      </c>
      <c r="J43" s="5" t="str">
        <f t="shared" si="2"/>
        <v>2003 q1</v>
      </c>
      <c r="K43" s="12">
        <f t="shared" si="3"/>
        <v>0.12509488461538462</v>
      </c>
      <c r="L43" s="12" t="str">
        <f t="shared" si="4"/>
        <v/>
      </c>
      <c r="M43" s="12" t="str">
        <f t="shared" si="5"/>
        <v/>
      </c>
      <c r="O43" s="13" t="s">
        <v>107</v>
      </c>
      <c r="P43" s="13">
        <f t="shared" si="6"/>
        <v>0.10957740054766252</v>
      </c>
      <c r="Q43" s="13">
        <f t="shared" si="7"/>
        <v>0.1342975655149935</v>
      </c>
      <c r="R43" s="13">
        <f t="shared" si="9"/>
        <v>0.15515499999999999</v>
      </c>
      <c r="S43" s="13">
        <f t="shared" si="10"/>
        <v>2.0857434485006487E-2</v>
      </c>
    </row>
    <row r="44" spans="1:19">
      <c r="A44" s="23" t="s">
        <v>31</v>
      </c>
      <c r="B44" s="24"/>
      <c r="C44" s="24"/>
      <c r="D44" s="24"/>
      <c r="E44" s="24">
        <v>13.548066666666665</v>
      </c>
      <c r="F44" s="24">
        <v>16.146350000000002</v>
      </c>
      <c r="G44" s="24"/>
      <c r="H44" s="24"/>
      <c r="I44" s="27">
        <v>37681</v>
      </c>
      <c r="J44" s="5" t="str">
        <f t="shared" si="2"/>
        <v>2003 q1</v>
      </c>
      <c r="K44" s="12">
        <f t="shared" si="3"/>
        <v>0.13548066666666667</v>
      </c>
      <c r="L44" s="12">
        <f t="shared" si="4"/>
        <v>0.16146350000000001</v>
      </c>
      <c r="M44" s="12" t="str">
        <f t="shared" si="5"/>
        <v/>
      </c>
      <c r="O44" s="13" t="s">
        <v>108</v>
      </c>
      <c r="P44" s="13">
        <f t="shared" si="6"/>
        <v>7.6035444444444433E-2</v>
      </c>
      <c r="Q44" s="13">
        <f t="shared" si="7"/>
        <v>0.1068076952991453</v>
      </c>
      <c r="R44" s="13">
        <f t="shared" si="9"/>
        <v>0.13334300000000002</v>
      </c>
      <c r="S44" s="13">
        <f t="shared" si="10"/>
        <v>2.6535304700854717E-2</v>
      </c>
    </row>
    <row r="45" spans="1:19">
      <c r="A45" s="23" t="s">
        <v>32</v>
      </c>
      <c r="B45" s="24"/>
      <c r="C45" s="24"/>
      <c r="D45" s="24"/>
      <c r="E45" s="24">
        <v>14.662182352941176</v>
      </c>
      <c r="F45" s="24">
        <v>17.5684</v>
      </c>
      <c r="G45" s="24"/>
      <c r="H45" s="24"/>
      <c r="I45" s="27">
        <v>37712</v>
      </c>
      <c r="J45" s="5" t="str">
        <f t="shared" si="2"/>
        <v>2003 q2</v>
      </c>
      <c r="K45" s="12">
        <f t="shared" si="3"/>
        <v>0.14662182352941178</v>
      </c>
      <c r="L45" s="12">
        <f t="shared" si="4"/>
        <v>0.17568400000000001</v>
      </c>
      <c r="M45" s="12" t="str">
        <f t="shared" si="5"/>
        <v/>
      </c>
      <c r="O45" s="13" t="s">
        <v>109</v>
      </c>
      <c r="P45" s="13">
        <f t="shared" si="6"/>
        <v>8.2983183673469393E-2</v>
      </c>
      <c r="Q45" s="13">
        <f t="shared" si="7"/>
        <v>0.12842020939277174</v>
      </c>
      <c r="R45" s="28">
        <f>AVERAGE(R44,R46)</f>
        <v>0.1462508647798742</v>
      </c>
      <c r="S45" s="13">
        <f t="shared" si="10"/>
        <v>1.7830655387102462E-2</v>
      </c>
    </row>
    <row r="46" spans="1:19">
      <c r="A46" s="23" t="s">
        <v>33</v>
      </c>
      <c r="B46" s="24"/>
      <c r="C46" s="24"/>
      <c r="D46" s="24">
        <v>13.9899</v>
      </c>
      <c r="E46" s="24">
        <v>13.536199999999999</v>
      </c>
      <c r="F46" s="24">
        <v>16.248699999999999</v>
      </c>
      <c r="G46" s="24"/>
      <c r="H46" s="24"/>
      <c r="I46" s="27">
        <v>37742</v>
      </c>
      <c r="J46" s="5" t="str">
        <f t="shared" si="2"/>
        <v>2003 q2</v>
      </c>
      <c r="K46" s="12">
        <f t="shared" si="3"/>
        <v>0.13763049999999999</v>
      </c>
      <c r="L46" s="12">
        <f t="shared" si="4"/>
        <v>0.16248699999999999</v>
      </c>
      <c r="M46" s="12" t="str">
        <f t="shared" si="5"/>
        <v/>
      </c>
      <c r="O46" s="13" t="s">
        <v>110</v>
      </c>
      <c r="P46" s="13">
        <f t="shared" si="6"/>
        <v>8.8015761851425275E-2</v>
      </c>
      <c r="Q46" s="13">
        <f t="shared" si="7"/>
        <v>0.13447813332563108</v>
      </c>
      <c r="R46" s="13">
        <f t="shared" si="9"/>
        <v>0.15915872955974841</v>
      </c>
      <c r="S46" s="13">
        <f t="shared" si="10"/>
        <v>2.4680596234117336E-2</v>
      </c>
    </row>
    <row r="47" spans="1:19">
      <c r="A47" s="23" t="s">
        <v>34</v>
      </c>
      <c r="B47" s="24"/>
      <c r="C47" s="24"/>
      <c r="D47" s="24"/>
      <c r="E47" s="24">
        <v>11.8078</v>
      </c>
      <c r="F47" s="24">
        <v>15.8171</v>
      </c>
      <c r="G47" s="24"/>
      <c r="H47" s="24"/>
      <c r="I47" s="27">
        <v>37773</v>
      </c>
      <c r="J47" s="5" t="str">
        <f t="shared" si="2"/>
        <v>2003 q2</v>
      </c>
      <c r="K47" s="12">
        <f t="shared" si="3"/>
        <v>0.118078</v>
      </c>
      <c r="L47" s="12">
        <f t="shared" si="4"/>
        <v>0.15817100000000001</v>
      </c>
      <c r="M47" s="12" t="str">
        <f t="shared" si="5"/>
        <v/>
      </c>
      <c r="O47" s="13" t="s">
        <v>111</v>
      </c>
      <c r="P47" s="13">
        <f t="shared" si="6"/>
        <v>0.11362407623223485</v>
      </c>
      <c r="Q47" s="13">
        <f t="shared" si="7"/>
        <v>0.14493446491228068</v>
      </c>
      <c r="R47" s="13">
        <f t="shared" si="9"/>
        <v>0.15120133333333333</v>
      </c>
      <c r="S47" s="13">
        <f t="shared" si="10"/>
        <v>6.266868421052646E-3</v>
      </c>
    </row>
    <row r="48" spans="1:19">
      <c r="A48" s="23" t="s">
        <v>35</v>
      </c>
      <c r="B48" s="24"/>
      <c r="C48" s="24"/>
      <c r="D48" s="24"/>
      <c r="E48" s="24">
        <v>10.566358823529411</v>
      </c>
      <c r="F48" s="24">
        <v>16.5046</v>
      </c>
      <c r="G48" s="24"/>
      <c r="H48" s="24"/>
      <c r="I48" s="27">
        <v>37803</v>
      </c>
      <c r="J48" s="5" t="str">
        <f t="shared" si="2"/>
        <v>2003 q3</v>
      </c>
      <c r="K48" s="12">
        <f t="shared" si="3"/>
        <v>0.10566358823529411</v>
      </c>
      <c r="L48" s="12">
        <f t="shared" si="4"/>
        <v>0.165046</v>
      </c>
      <c r="M48" s="12" t="str">
        <f t="shared" si="5"/>
        <v/>
      </c>
      <c r="O48" s="13" t="s">
        <v>112</v>
      </c>
      <c r="P48" s="13">
        <f t="shared" si="6"/>
        <v>9.8185385804989186E-2</v>
      </c>
      <c r="Q48" s="13">
        <f t="shared" si="7"/>
        <v>0.13485466666666668</v>
      </c>
      <c r="R48" s="13">
        <f t="shared" si="9"/>
        <v>0.15950542147752769</v>
      </c>
      <c r="S48" s="13">
        <f t="shared" si="10"/>
        <v>2.4650754810861014E-2</v>
      </c>
    </row>
    <row r="49" spans="1:19">
      <c r="A49" s="23" t="s">
        <v>36</v>
      </c>
      <c r="B49" s="24"/>
      <c r="C49" s="24"/>
      <c r="D49" s="24">
        <v>10.341200000000001</v>
      </c>
      <c r="E49" s="24">
        <v>10.645086842105263</v>
      </c>
      <c r="F49" s="24"/>
      <c r="G49" s="24"/>
      <c r="H49" s="24"/>
      <c r="I49" s="27">
        <v>37834</v>
      </c>
      <c r="J49" s="5" t="str">
        <f t="shared" si="2"/>
        <v>2003 q3</v>
      </c>
      <c r="K49" s="12">
        <f t="shared" si="3"/>
        <v>0.10493143421052632</v>
      </c>
      <c r="L49" s="12" t="str">
        <f t="shared" si="4"/>
        <v/>
      </c>
      <c r="M49" s="12" t="str">
        <f t="shared" si="5"/>
        <v/>
      </c>
      <c r="O49" s="13" t="s">
        <v>113</v>
      </c>
      <c r="P49" s="13">
        <f t="shared" si="6"/>
        <v>9.2965918650793636E-2</v>
      </c>
      <c r="Q49" s="13">
        <f t="shared" si="7"/>
        <v>0.14376066666666668</v>
      </c>
      <c r="R49" s="28">
        <f>AVERAGE(R48,R50)</f>
        <v>0.15655558573876382</v>
      </c>
      <c r="S49" s="13">
        <f t="shared" si="10"/>
        <v>1.279491907209715E-2</v>
      </c>
    </row>
    <row r="50" spans="1:19">
      <c r="A50" s="23" t="s">
        <v>37</v>
      </c>
      <c r="B50" s="24"/>
      <c r="C50" s="24"/>
      <c r="D50" s="24"/>
      <c r="E50" s="24">
        <v>10.506404347826086</v>
      </c>
      <c r="F50" s="24">
        <v>15.219457142857145</v>
      </c>
      <c r="G50" s="24"/>
      <c r="H50" s="24"/>
      <c r="I50" s="27">
        <v>37865</v>
      </c>
      <c r="J50" s="5" t="str">
        <f t="shared" si="2"/>
        <v>2003 q3</v>
      </c>
      <c r="K50" s="12">
        <f t="shared" si="3"/>
        <v>0.10506404347826086</v>
      </c>
      <c r="L50" s="12">
        <f t="shared" si="4"/>
        <v>0.15219457142857146</v>
      </c>
      <c r="M50" s="12" t="str">
        <f t="shared" si="5"/>
        <v/>
      </c>
      <c r="O50" s="13" t="s">
        <v>114</v>
      </c>
      <c r="P50" s="13">
        <f t="shared" si="6"/>
        <v>8.0862201851851848E-2</v>
      </c>
      <c r="Q50" s="13">
        <f t="shared" si="7"/>
        <v>0.136819</v>
      </c>
      <c r="R50" s="13">
        <f t="shared" si="9"/>
        <v>0.15360574999999999</v>
      </c>
      <c r="S50" s="13">
        <f t="shared" si="10"/>
        <v>1.6786749999999989E-2</v>
      </c>
    </row>
    <row r="51" spans="1:19">
      <c r="A51" s="23" t="s">
        <v>38</v>
      </c>
      <c r="B51" s="24"/>
      <c r="C51" s="24"/>
      <c r="D51" s="24"/>
      <c r="E51" s="24">
        <v>10.120999999999999</v>
      </c>
      <c r="F51" s="24">
        <v>0</v>
      </c>
      <c r="G51" s="24"/>
      <c r="H51" s="24"/>
      <c r="I51" s="27">
        <v>37895</v>
      </c>
      <c r="J51" s="5" t="str">
        <f t="shared" si="2"/>
        <v>2003 q4</v>
      </c>
      <c r="K51" s="12">
        <f t="shared" si="3"/>
        <v>0.10120999999999998</v>
      </c>
      <c r="L51" s="12">
        <f t="shared" si="4"/>
        <v>0</v>
      </c>
      <c r="M51" s="12" t="str">
        <f t="shared" si="5"/>
        <v/>
      </c>
      <c r="O51" s="13" t="s">
        <v>115</v>
      </c>
      <c r="P51" s="13">
        <f t="shared" si="6"/>
        <v>9.2917623308557282E-2</v>
      </c>
      <c r="Q51" s="13">
        <f t="shared" si="7"/>
        <v>0.13870375000000001</v>
      </c>
      <c r="R51" s="13">
        <f t="shared" si="9"/>
        <v>0.15454938709677418</v>
      </c>
      <c r="S51" s="13">
        <f t="shared" si="10"/>
        <v>1.5845637096774168E-2</v>
      </c>
    </row>
    <row r="52" spans="1:19">
      <c r="A52" s="23" t="s">
        <v>39</v>
      </c>
      <c r="B52" s="24"/>
      <c r="C52" s="24"/>
      <c r="D52" s="24"/>
      <c r="E52" s="24">
        <v>10.136333333333333</v>
      </c>
      <c r="F52" s="24">
        <v>14.2963</v>
      </c>
      <c r="G52" s="24"/>
      <c r="H52" s="24"/>
      <c r="I52" s="27">
        <v>37926</v>
      </c>
      <c r="J52" s="5" t="str">
        <f t="shared" si="2"/>
        <v>2003 q4</v>
      </c>
      <c r="K52" s="12">
        <f t="shared" si="3"/>
        <v>0.10136333333333333</v>
      </c>
      <c r="L52" s="12">
        <f t="shared" si="4"/>
        <v>0.14296300000000001</v>
      </c>
      <c r="M52" s="12" t="str">
        <f t="shared" si="5"/>
        <v/>
      </c>
      <c r="O52" s="13" t="s">
        <v>116</v>
      </c>
      <c r="P52" s="13">
        <f t="shared" si="6"/>
        <v>8.1242333333333347E-2</v>
      </c>
      <c r="Q52" s="13">
        <f t="shared" si="7"/>
        <v>0.13785461252115058</v>
      </c>
      <c r="R52" s="13">
        <f t="shared" si="9"/>
        <v>0.15517225000000001</v>
      </c>
      <c r="S52" s="13">
        <f t="shared" si="10"/>
        <v>1.7317637478849429E-2</v>
      </c>
    </row>
    <row r="53" spans="1:19">
      <c r="A53" s="23" t="s">
        <v>40</v>
      </c>
      <c r="B53" s="24"/>
      <c r="C53" s="24"/>
      <c r="D53" s="24"/>
      <c r="E53" s="24">
        <v>9.6843999999999983</v>
      </c>
      <c r="F53" s="24"/>
      <c r="G53" s="24"/>
      <c r="H53" s="24"/>
      <c r="I53" s="27">
        <v>37956</v>
      </c>
      <c r="J53" s="5" t="str">
        <f t="shared" si="2"/>
        <v>2003 q4</v>
      </c>
      <c r="K53" s="12">
        <f t="shared" si="3"/>
        <v>9.6843999999999986E-2</v>
      </c>
      <c r="L53" s="12" t="str">
        <f t="shared" si="4"/>
        <v/>
      </c>
      <c r="M53" s="12" t="str">
        <f t="shared" si="5"/>
        <v/>
      </c>
      <c r="O53" s="13" t="s">
        <v>117</v>
      </c>
      <c r="P53" s="13">
        <f t="shared" si="6"/>
        <v>9.2404937707641188E-2</v>
      </c>
      <c r="Q53" s="13">
        <f t="shared" si="7"/>
        <v>0.13854374999999999</v>
      </c>
      <c r="R53" s="13">
        <f t="shared" si="9"/>
        <v>0.15828249999999999</v>
      </c>
      <c r="S53" s="13">
        <f t="shared" si="10"/>
        <v>1.9738749999999999E-2</v>
      </c>
    </row>
    <row r="54" spans="1:19">
      <c r="A54" s="23" t="s">
        <v>44</v>
      </c>
      <c r="B54" s="24"/>
      <c r="C54" s="24"/>
      <c r="D54" s="24"/>
      <c r="E54" s="24">
        <v>7.5335000000000001</v>
      </c>
      <c r="F54" s="24"/>
      <c r="G54" s="24"/>
      <c r="H54" s="24"/>
      <c r="I54" s="27">
        <v>37987</v>
      </c>
      <c r="J54" s="5" t="str">
        <f t="shared" si="2"/>
        <v>2004 q1</v>
      </c>
      <c r="K54" s="12">
        <f t="shared" si="3"/>
        <v>7.5334999999999999E-2</v>
      </c>
      <c r="L54" s="12" t="str">
        <f t="shared" si="4"/>
        <v/>
      </c>
      <c r="M54" s="12" t="str">
        <f t="shared" si="5"/>
        <v/>
      </c>
      <c r="O54" s="13" t="s">
        <v>118</v>
      </c>
      <c r="P54" s="13">
        <f t="shared" si="6"/>
        <v>9.3738805555555541E-2</v>
      </c>
      <c r="Q54" s="13">
        <f t="shared" si="7"/>
        <v>0.13985550139664804</v>
      </c>
      <c r="R54" s="13">
        <f t="shared" si="9"/>
        <v>0.157528</v>
      </c>
      <c r="S54" s="13">
        <f t="shared" si="10"/>
        <v>1.767249860335196E-2</v>
      </c>
    </row>
    <row r="55" spans="1:19">
      <c r="A55" s="23" t="s">
        <v>30</v>
      </c>
      <c r="B55" s="24"/>
      <c r="C55" s="24"/>
      <c r="D55" s="24"/>
      <c r="E55" s="24">
        <v>6.37235</v>
      </c>
      <c r="F55" s="24">
        <v>9.6564999999999994</v>
      </c>
      <c r="G55" s="24"/>
      <c r="H55" s="24"/>
      <c r="I55" s="27">
        <v>38018</v>
      </c>
      <c r="J55" s="5" t="str">
        <f t="shared" si="2"/>
        <v>2004 q1</v>
      </c>
      <c r="K55" s="12">
        <f t="shared" si="3"/>
        <v>6.3723500000000002E-2</v>
      </c>
      <c r="L55" s="12">
        <f t="shared" si="4"/>
        <v>9.6564999999999998E-2</v>
      </c>
      <c r="M55" s="12" t="str">
        <f t="shared" si="5"/>
        <v/>
      </c>
      <c r="O55" s="13" t="s">
        <v>119</v>
      </c>
      <c r="P55" s="13">
        <f t="shared" si="6"/>
        <v>8.7835972222222211E-2</v>
      </c>
      <c r="Q55" s="13">
        <f t="shared" si="7"/>
        <v>0.14122806818181818</v>
      </c>
      <c r="R55" s="13">
        <f t="shared" si="9"/>
        <v>0.15788216926838444</v>
      </c>
      <c r="S55" s="13">
        <f t="shared" si="10"/>
        <v>1.6654101086566259E-2</v>
      </c>
    </row>
    <row r="56" spans="1:19">
      <c r="A56" s="23" t="s">
        <v>31</v>
      </c>
      <c r="B56" s="24"/>
      <c r="C56" s="24"/>
      <c r="D56" s="24"/>
      <c r="E56" s="24">
        <v>5.9499666666666657</v>
      </c>
      <c r="F56" s="24">
        <v>9.7844999999999995</v>
      </c>
      <c r="G56" s="24"/>
      <c r="H56" s="24"/>
      <c r="I56" s="27">
        <v>38047</v>
      </c>
      <c r="J56" s="5" t="str">
        <f t="shared" si="2"/>
        <v>2004 q1</v>
      </c>
      <c r="K56" s="12">
        <f t="shared" si="3"/>
        <v>5.9499666666666659E-2</v>
      </c>
      <c r="L56" s="12">
        <f t="shared" si="4"/>
        <v>9.7845000000000001E-2</v>
      </c>
      <c r="M56" s="12" t="str">
        <f t="shared" si="5"/>
        <v/>
      </c>
      <c r="O56" s="13" t="s">
        <v>120</v>
      </c>
      <c r="P56" s="13">
        <f t="shared" si="6"/>
        <v>9.252111111111111E-2</v>
      </c>
      <c r="Q56" s="13">
        <f t="shared" si="7"/>
        <v>0.14558145454545457</v>
      </c>
      <c r="R56" s="13">
        <f t="shared" si="9"/>
        <v>0.15855764285714286</v>
      </c>
      <c r="S56" s="13">
        <f t="shared" si="10"/>
        <v>1.2976188311688286E-2</v>
      </c>
    </row>
    <row r="57" spans="1:19">
      <c r="A57" s="23" t="s">
        <v>32</v>
      </c>
      <c r="B57" s="24"/>
      <c r="C57" s="24"/>
      <c r="D57" s="24"/>
      <c r="E57" s="24">
        <v>5.8132999999999999</v>
      </c>
      <c r="F57" s="24">
        <v>9.6607000000000003</v>
      </c>
      <c r="G57" s="24"/>
      <c r="H57" s="24"/>
      <c r="I57" s="27">
        <v>38078</v>
      </c>
      <c r="J57" s="5" t="str">
        <f t="shared" si="2"/>
        <v>2004 q2</v>
      </c>
      <c r="K57" s="12">
        <f t="shared" si="3"/>
        <v>5.8132999999999997E-2</v>
      </c>
      <c r="L57" s="12">
        <f t="shared" si="4"/>
        <v>9.6606999999999998E-2</v>
      </c>
      <c r="M57" s="12" t="str">
        <f t="shared" si="5"/>
        <v/>
      </c>
      <c r="O57" s="13" t="s">
        <v>121</v>
      </c>
      <c r="P57" s="13">
        <f t="shared" si="6"/>
        <v>9.9569666666666667E-2</v>
      </c>
      <c r="Q57" s="13">
        <f t="shared" si="7"/>
        <v>0.14534316666666666</v>
      </c>
      <c r="R57" s="13">
        <f t="shared" si="9"/>
        <v>0.15882377589453858</v>
      </c>
      <c r="S57" s="13">
        <f t="shared" si="10"/>
        <v>1.348060922787192E-2</v>
      </c>
    </row>
    <row r="58" spans="1:19">
      <c r="A58" s="23" t="s">
        <v>33</v>
      </c>
      <c r="B58" s="24"/>
      <c r="C58" s="24"/>
      <c r="D58" s="24"/>
      <c r="E58" s="24">
        <v>5.8139000000000003</v>
      </c>
      <c r="F58" s="24">
        <v>9.3628999999999998</v>
      </c>
      <c r="G58" s="24"/>
      <c r="H58" s="24"/>
      <c r="I58" s="27">
        <v>38108</v>
      </c>
      <c r="J58" s="5" t="str">
        <f t="shared" si="2"/>
        <v>2004 q2</v>
      </c>
      <c r="K58" s="12">
        <f t="shared" si="3"/>
        <v>5.8139000000000003E-2</v>
      </c>
      <c r="L58" s="12">
        <f t="shared" si="4"/>
        <v>9.3629000000000004E-2</v>
      </c>
      <c r="M58" s="12" t="str">
        <f t="shared" si="5"/>
        <v/>
      </c>
      <c r="O58" s="13" t="s">
        <v>122</v>
      </c>
      <c r="P58" s="13">
        <f t="shared" si="6"/>
        <v>9.5297499999999993E-2</v>
      </c>
      <c r="Q58" s="13">
        <f t="shared" si="7"/>
        <v>0.14777366666666666</v>
      </c>
      <c r="R58" s="13">
        <f t="shared" si="9"/>
        <v>0.161998</v>
      </c>
      <c r="S58" s="13">
        <f t="shared" si="10"/>
        <v>1.4224333333333339E-2</v>
      </c>
    </row>
    <row r="59" spans="1:19">
      <c r="A59" s="23" t="s">
        <v>34</v>
      </c>
      <c r="B59" s="24"/>
      <c r="C59" s="24"/>
      <c r="D59" s="24"/>
      <c r="E59" s="24">
        <v>5.2565999999999997</v>
      </c>
      <c r="F59" s="24">
        <v>8.3919999999999995</v>
      </c>
      <c r="G59" s="24"/>
      <c r="H59" s="24"/>
      <c r="I59" s="27">
        <v>38139</v>
      </c>
      <c r="J59" s="5" t="str">
        <f t="shared" si="2"/>
        <v>2004 q2</v>
      </c>
      <c r="K59" s="12">
        <f t="shared" si="3"/>
        <v>5.2565999999999995E-2</v>
      </c>
      <c r="L59" s="12">
        <f t="shared" si="4"/>
        <v>8.3919999999999995E-2</v>
      </c>
      <c r="M59" s="12" t="str">
        <f t="shared" si="5"/>
        <v/>
      </c>
      <c r="O59" s="13" t="s">
        <v>123</v>
      </c>
      <c r="P59" s="13">
        <f t="shared" si="6"/>
        <v>9.0943930555555552E-2</v>
      </c>
      <c r="Q59" s="13">
        <f t="shared" si="7"/>
        <v>0.13692446666666666</v>
      </c>
      <c r="R59" s="13">
        <f t="shared" si="9"/>
        <v>0.15633</v>
      </c>
      <c r="S59" s="13">
        <f t="shared" si="10"/>
        <v>1.9405533333333336E-2</v>
      </c>
    </row>
    <row r="60" spans="1:19">
      <c r="A60" s="23" t="s">
        <v>35</v>
      </c>
      <c r="B60" s="24"/>
      <c r="C60" s="24"/>
      <c r="D60" s="24"/>
      <c r="E60" s="24">
        <v>4.8107500000000005</v>
      </c>
      <c r="F60" s="24">
        <v>7.1522387096774205</v>
      </c>
      <c r="G60" s="24"/>
      <c r="H60" s="24"/>
      <c r="I60" s="27">
        <v>38169</v>
      </c>
      <c r="J60" s="5" t="str">
        <f t="shared" si="2"/>
        <v>2004 q3</v>
      </c>
      <c r="K60" s="12">
        <f t="shared" si="3"/>
        <v>4.8107500000000004E-2</v>
      </c>
      <c r="L60" s="12">
        <f t="shared" si="4"/>
        <v>7.1522387096774206E-2</v>
      </c>
      <c r="M60" s="12" t="str">
        <f t="shared" si="5"/>
        <v/>
      </c>
      <c r="O60" s="13" t="s">
        <v>124</v>
      </c>
      <c r="P60" s="13">
        <f t="shared" si="6"/>
        <v>8.9355999999999991E-2</v>
      </c>
      <c r="Q60" s="13">
        <f t="shared" si="7"/>
        <v>0.1327325</v>
      </c>
      <c r="R60" s="13">
        <f t="shared" si="9"/>
        <v>0.1496305</v>
      </c>
      <c r="S60" s="13">
        <f t="shared" si="10"/>
        <v>1.6897999999999996E-2</v>
      </c>
    </row>
    <row r="61" spans="1:19">
      <c r="A61" s="23" t="s">
        <v>36</v>
      </c>
      <c r="B61" s="24"/>
      <c r="C61" s="24"/>
      <c r="D61" s="24"/>
      <c r="E61" s="24">
        <v>5.1449666666666669</v>
      </c>
      <c r="F61" s="24">
        <v>7.4996571428571439</v>
      </c>
      <c r="G61" s="24"/>
      <c r="H61" s="24"/>
      <c r="I61" s="27">
        <v>38200</v>
      </c>
      <c r="J61" s="5" t="str">
        <f t="shared" si="2"/>
        <v>2004 q3</v>
      </c>
      <c r="K61" s="12">
        <f t="shared" si="3"/>
        <v>5.1449666666666671E-2</v>
      </c>
      <c r="L61" s="12">
        <f t="shared" si="4"/>
        <v>7.499657142857144E-2</v>
      </c>
      <c r="M61" s="12" t="str">
        <f t="shared" si="5"/>
        <v/>
      </c>
      <c r="O61" s="13" t="s">
        <v>125</v>
      </c>
      <c r="P61" s="13">
        <f t="shared" si="6"/>
        <v>8.5680972222222221E-2</v>
      </c>
      <c r="Q61" s="13">
        <f t="shared" si="7"/>
        <v>0.11070605531038542</v>
      </c>
      <c r="R61" s="13">
        <f t="shared" si="9"/>
        <v>0.116385</v>
      </c>
      <c r="S61" s="13">
        <f t="shared" si="10"/>
        <v>5.678944689614579E-3</v>
      </c>
    </row>
    <row r="62" spans="1:19">
      <c r="A62" s="23" t="s">
        <v>37</v>
      </c>
      <c r="B62" s="24"/>
      <c r="C62" s="24"/>
      <c r="D62" s="24"/>
      <c r="E62" s="24">
        <v>5.0219000000000005</v>
      </c>
      <c r="F62" s="24">
        <v>7.2976999999999999</v>
      </c>
      <c r="G62" s="24"/>
      <c r="H62" s="24">
        <v>9.2446000000000002</v>
      </c>
      <c r="I62" s="27">
        <v>38231</v>
      </c>
      <c r="J62" s="5" t="str">
        <f t="shared" si="2"/>
        <v>2004 q3</v>
      </c>
      <c r="K62" s="12">
        <f t="shared" si="3"/>
        <v>5.0219000000000007E-2</v>
      </c>
      <c r="L62" s="12">
        <f t="shared" si="4"/>
        <v>7.2977E-2</v>
      </c>
      <c r="M62" s="12">
        <f t="shared" si="5"/>
        <v>9.2446E-2</v>
      </c>
      <c r="O62" s="13" t="s">
        <v>126</v>
      </c>
      <c r="P62" s="13">
        <f t="shared" si="6"/>
        <v>7.9597111111111118E-2</v>
      </c>
      <c r="Q62" s="13">
        <f t="shared" si="7"/>
        <v>9.5915500000000001E-2</v>
      </c>
      <c r="R62" s="13">
        <f t="shared" si="9"/>
        <v>0.109932</v>
      </c>
      <c r="S62" s="13">
        <f t="shared" si="10"/>
        <v>1.4016500000000001E-2</v>
      </c>
    </row>
    <row r="63" spans="1:19">
      <c r="A63" s="23" t="s">
        <v>38</v>
      </c>
      <c r="B63" s="24">
        <v>3.9880749999999998</v>
      </c>
      <c r="C63" s="24"/>
      <c r="D63" s="24"/>
      <c r="E63" s="24"/>
      <c r="F63" s="24">
        <v>7.2443999999999997</v>
      </c>
      <c r="G63" s="24">
        <v>7.1082000000000001</v>
      </c>
      <c r="H63" s="24"/>
      <c r="I63" s="27">
        <v>38261</v>
      </c>
      <c r="J63" s="5" t="str">
        <f t="shared" si="2"/>
        <v>2004 q4</v>
      </c>
      <c r="K63" s="12">
        <f t="shared" si="3"/>
        <v>3.988075E-2</v>
      </c>
      <c r="L63" s="12">
        <f t="shared" si="4"/>
        <v>7.1762999999999993E-2</v>
      </c>
      <c r="M63" s="12" t="str">
        <f t="shared" si="5"/>
        <v/>
      </c>
      <c r="O63" s="13" t="s">
        <v>127</v>
      </c>
      <c r="P63" s="13">
        <f t="shared" si="6"/>
        <v>7.8375194444444449E-2</v>
      </c>
      <c r="Q63" s="13">
        <f t="shared" si="7"/>
        <v>9.9352666666666659E-2</v>
      </c>
      <c r="R63" s="13">
        <f t="shared" si="9"/>
        <v>0.11541300000000002</v>
      </c>
      <c r="S63" s="13">
        <f t="shared" si="10"/>
        <v>1.6060333333333357E-2</v>
      </c>
    </row>
    <row r="64" spans="1:19">
      <c r="A64" s="23" t="s">
        <v>39</v>
      </c>
      <c r="B64" s="24">
        <v>4.0093666666666667</v>
      </c>
      <c r="C64" s="24"/>
      <c r="D64" s="24"/>
      <c r="E64" s="24"/>
      <c r="F64" s="24">
        <v>7.1321000000000003</v>
      </c>
      <c r="G64" s="24"/>
      <c r="H64" s="24"/>
      <c r="I64" s="27">
        <v>38292</v>
      </c>
      <c r="J64" s="5" t="str">
        <f t="shared" si="2"/>
        <v>2004 q4</v>
      </c>
      <c r="K64" s="12">
        <f t="shared" si="3"/>
        <v>4.0093666666666666E-2</v>
      </c>
      <c r="L64" s="12">
        <f t="shared" si="4"/>
        <v>7.1321000000000009E-2</v>
      </c>
      <c r="M64" s="12" t="str">
        <f t="shared" si="5"/>
        <v/>
      </c>
      <c r="O64" s="13" t="s">
        <v>128</v>
      </c>
      <c r="P64" s="13">
        <f t="shared" si="6"/>
        <v>7.4414925925925926E-2</v>
      </c>
      <c r="Q64" s="13">
        <f t="shared" si="7"/>
        <v>9.851983333333332E-2</v>
      </c>
      <c r="R64" s="13">
        <f t="shared" si="9"/>
        <v>0.11597650000000001</v>
      </c>
      <c r="S64" s="13">
        <f t="shared" si="10"/>
        <v>1.745666666666669E-2</v>
      </c>
    </row>
    <row r="65" spans="1:19">
      <c r="A65" s="23" t="s">
        <v>40</v>
      </c>
      <c r="B65" s="24"/>
      <c r="C65" s="24"/>
      <c r="D65" s="24"/>
      <c r="E65" s="24"/>
      <c r="F65" s="24">
        <v>5.6002000000000001</v>
      </c>
      <c r="G65" s="24"/>
      <c r="H65" s="24">
        <v>9.2683</v>
      </c>
      <c r="I65" s="27">
        <v>38322</v>
      </c>
      <c r="J65" s="5" t="str">
        <f t="shared" si="2"/>
        <v>2004 q4</v>
      </c>
      <c r="K65" s="12" t="str">
        <f t="shared" si="3"/>
        <v/>
      </c>
      <c r="L65" s="12">
        <f t="shared" si="4"/>
        <v>5.6002000000000003E-2</v>
      </c>
      <c r="M65" s="12">
        <f t="shared" si="5"/>
        <v>9.2683000000000001E-2</v>
      </c>
      <c r="O65" s="13" t="s">
        <v>129</v>
      </c>
      <c r="P65" s="13">
        <f t="shared" si="6"/>
        <v>7.0937749999999994E-2</v>
      </c>
      <c r="Q65" s="13">
        <f t="shared" si="7"/>
        <v>9.9113000000000007E-2</v>
      </c>
      <c r="R65" s="13">
        <f t="shared" si="9"/>
        <v>0.12149499999999999</v>
      </c>
      <c r="S65" s="13">
        <f t="shared" si="10"/>
        <v>2.2381999999999985E-2</v>
      </c>
    </row>
    <row r="66" spans="1:19">
      <c r="A66" s="23" t="s">
        <v>45</v>
      </c>
      <c r="B66" s="24"/>
      <c r="C66" s="24">
        <v>4.3126666666666669</v>
      </c>
      <c r="D66" s="24"/>
      <c r="E66" s="24"/>
      <c r="F66" s="24">
        <v>5.9505999999999997</v>
      </c>
      <c r="G66" s="24"/>
      <c r="H66" s="24"/>
      <c r="I66" s="27">
        <v>38353</v>
      </c>
      <c r="J66" s="5" t="str">
        <f t="shared" si="2"/>
        <v>2005 q1</v>
      </c>
      <c r="K66" s="12">
        <f t="shared" si="3"/>
        <v>4.3126666666666667E-2</v>
      </c>
      <c r="L66" s="12">
        <f t="shared" si="4"/>
        <v>5.9505999999999996E-2</v>
      </c>
      <c r="M66" s="12" t="str">
        <f t="shared" si="5"/>
        <v/>
      </c>
      <c r="O66" s="13" t="s">
        <v>130</v>
      </c>
      <c r="P66" s="13">
        <f t="shared" si="6"/>
        <v>0.14423377380952379</v>
      </c>
      <c r="Q66" s="13">
        <f t="shared" si="7"/>
        <v>0.14046600000000001</v>
      </c>
      <c r="R66" s="13">
        <f t="shared" si="9"/>
        <v>0.160103</v>
      </c>
      <c r="S66" s="13">
        <f t="shared" si="10"/>
        <v>1.9636999999999988E-2</v>
      </c>
    </row>
    <row r="67" spans="1:19">
      <c r="A67" s="23" t="s">
        <v>30</v>
      </c>
      <c r="B67" s="24"/>
      <c r="C67" s="24">
        <v>4.1896000000000004</v>
      </c>
      <c r="D67" s="24"/>
      <c r="E67" s="24">
        <v>4.2869999999999999</v>
      </c>
      <c r="F67" s="24">
        <v>4.5536000000000003</v>
      </c>
      <c r="G67" s="24">
        <v>5.8398000000000003</v>
      </c>
      <c r="H67" s="24"/>
      <c r="I67" s="27">
        <v>38384</v>
      </c>
      <c r="J67" s="5" t="str">
        <f t="shared" si="2"/>
        <v>2005 q1</v>
      </c>
      <c r="K67" s="12">
        <f t="shared" si="3"/>
        <v>4.2383000000000004E-2</v>
      </c>
      <c r="L67" s="12">
        <f t="shared" si="4"/>
        <v>5.1966999999999999E-2</v>
      </c>
      <c r="M67" s="12" t="str">
        <f t="shared" si="5"/>
        <v/>
      </c>
      <c r="O67" s="13" t="s">
        <v>131</v>
      </c>
      <c r="P67" s="13">
        <f t="shared" si="6"/>
        <v>0.12574416666666663</v>
      </c>
      <c r="Q67" s="13">
        <f t="shared" si="7"/>
        <v>0.14336055684454754</v>
      </c>
      <c r="R67" s="13">
        <f t="shared" si="9"/>
        <v>0.15966536296296296</v>
      </c>
      <c r="S67" s="13">
        <f t="shared" si="10"/>
        <v>1.6304806118415421E-2</v>
      </c>
    </row>
    <row r="68" spans="1:19">
      <c r="A68" s="23" t="s">
        <v>31</v>
      </c>
      <c r="B68" s="24"/>
      <c r="C68" s="24"/>
      <c r="D68" s="24">
        <v>3.7442000000000002</v>
      </c>
      <c r="E68" s="24">
        <v>3.8885999999999998</v>
      </c>
      <c r="F68" s="24">
        <v>4.6143000000000001</v>
      </c>
      <c r="G68" s="24"/>
      <c r="H68" s="24">
        <v>6.93</v>
      </c>
      <c r="I68" s="27">
        <v>38412</v>
      </c>
      <c r="J68" s="5" t="str">
        <f t="shared" si="2"/>
        <v>2005 q1</v>
      </c>
      <c r="K68" s="12">
        <f t="shared" si="3"/>
        <v>3.8163999999999997E-2</v>
      </c>
      <c r="L68" s="12">
        <f t="shared" si="4"/>
        <v>4.6143000000000003E-2</v>
      </c>
      <c r="M68" s="12">
        <f t="shared" si="5"/>
        <v>6.93E-2</v>
      </c>
      <c r="O68" s="13" t="s">
        <v>132</v>
      </c>
      <c r="P68" s="13">
        <f t="shared" si="6"/>
        <v>0.11903283333333335</v>
      </c>
      <c r="Q68" s="13">
        <f t="shared" si="7"/>
        <v>0.144287</v>
      </c>
      <c r="R68" s="13">
        <f t="shared" si="9"/>
        <v>0.15949350000000001</v>
      </c>
      <c r="S68" s="13">
        <f t="shared" si="10"/>
        <v>1.5206500000000012E-2</v>
      </c>
    </row>
    <row r="69" spans="1:19">
      <c r="A69" s="23" t="s">
        <v>32</v>
      </c>
      <c r="B69" s="24">
        <v>3.7658</v>
      </c>
      <c r="C69" s="24">
        <v>4.1844000000000001</v>
      </c>
      <c r="D69" s="24">
        <v>4.5195999999999996</v>
      </c>
      <c r="E69" s="24">
        <v>3.6936</v>
      </c>
      <c r="F69" s="24">
        <v>5.2625999999999999</v>
      </c>
      <c r="G69" s="24">
        <v>5.4478999999999997</v>
      </c>
      <c r="H69" s="24"/>
      <c r="I69" s="27">
        <v>38443</v>
      </c>
      <c r="J69" s="5" t="str">
        <f t="shared" si="2"/>
        <v>2005 q2</v>
      </c>
      <c r="K69" s="12">
        <f t="shared" si="3"/>
        <v>4.04085E-2</v>
      </c>
      <c r="L69" s="12">
        <f t="shared" si="4"/>
        <v>5.3552499999999996E-2</v>
      </c>
      <c r="M69" s="12" t="str">
        <f t="shared" si="5"/>
        <v/>
      </c>
      <c r="O69" s="13" t="s">
        <v>133</v>
      </c>
      <c r="P69" s="13">
        <f t="shared" si="6"/>
        <v>0.11904288888888888</v>
      </c>
      <c r="Q69" s="13">
        <f t="shared" si="7"/>
        <v>0.14828833333333333</v>
      </c>
      <c r="R69" s="13">
        <f t="shared" si="9"/>
        <v>0.1641381629297459</v>
      </c>
      <c r="S69" s="13">
        <f t="shared" si="10"/>
        <v>1.5849829596412568E-2</v>
      </c>
    </row>
    <row r="70" spans="1:19">
      <c r="A70" s="23" t="s">
        <v>33</v>
      </c>
      <c r="B70" s="24"/>
      <c r="C70" s="24">
        <v>4.8751369931715605</v>
      </c>
      <c r="D70" s="24">
        <v>5.0266000000000002</v>
      </c>
      <c r="E70" s="24">
        <v>4.8813000000000004</v>
      </c>
      <c r="F70" s="24">
        <v>4.9493999999999998</v>
      </c>
      <c r="G70" s="24"/>
      <c r="H70" s="24">
        <v>6.6771000000000003</v>
      </c>
      <c r="I70" s="27">
        <v>38473</v>
      </c>
      <c r="J70" s="5" t="str">
        <f t="shared" si="2"/>
        <v>2005 q2</v>
      </c>
      <c r="K70" s="12">
        <f t="shared" si="3"/>
        <v>4.9276789977238528E-2</v>
      </c>
      <c r="L70" s="12">
        <f t="shared" si="4"/>
        <v>4.9493999999999996E-2</v>
      </c>
      <c r="M70" s="12">
        <f t="shared" si="5"/>
        <v>6.6770999999999997E-2</v>
      </c>
      <c r="O70" s="13" t="s">
        <v>134</v>
      </c>
      <c r="P70" s="13">
        <f t="shared" si="6"/>
        <v>0.11052260000000001</v>
      </c>
      <c r="Q70" s="13">
        <f t="shared" si="7"/>
        <v>0.14505259523809524</v>
      </c>
      <c r="R70" s="13">
        <f t="shared" si="9"/>
        <v>0.16327100000000003</v>
      </c>
      <c r="S70" s="13">
        <f t="shared" si="10"/>
        <v>1.8218404761904783E-2</v>
      </c>
    </row>
    <row r="71" spans="1:19">
      <c r="A71" s="23" t="s">
        <v>34</v>
      </c>
      <c r="B71" s="24"/>
      <c r="C71" s="24">
        <v>4.6600999999999999</v>
      </c>
      <c r="D71" s="24">
        <v>4.9230999999999998</v>
      </c>
      <c r="E71" s="24"/>
      <c r="F71" s="24">
        <v>5.7351000000000001</v>
      </c>
      <c r="G71" s="24"/>
      <c r="H71" s="24">
        <v>8.0632000000000001</v>
      </c>
      <c r="I71" s="27">
        <v>38504</v>
      </c>
      <c r="J71" s="5" t="str">
        <f t="shared" ref="J71:J134" si="11">YEAR(I71)&amp;" q"&amp;ROUNDUP(MONTH(I71)/3,0)</f>
        <v>2005 q2</v>
      </c>
      <c r="K71" s="12">
        <f t="shared" ref="K71:K134" si="12">IFERROR(AVERAGE(B71:E71)/100,"")</f>
        <v>4.7916E-2</v>
      </c>
      <c r="L71" s="12">
        <f t="shared" ref="L71:L134" si="13">IFERROR(AVERAGE(F71:G71)/100,"")</f>
        <v>5.7350999999999999E-2</v>
      </c>
      <c r="M71" s="12">
        <f t="shared" ref="M71:M134" si="14">IF(IFERROR(H71/100,"")=0,"",IFERROR(H71/100,""))</f>
        <v>8.0631999999999995E-2</v>
      </c>
      <c r="O71" s="13" t="s">
        <v>135</v>
      </c>
      <c r="P71" s="13">
        <f t="shared" ref="P71:P103" si="15">AVERAGEIF($J$6:$J$297,$O71,K$6:K$297)</f>
        <v>9.9144444444444438E-2</v>
      </c>
      <c r="Q71" s="13">
        <f t="shared" ref="Q71:Q103" si="16">AVERAGEIF($J$6:$J$297,$O71,L$6:L$297)</f>
        <v>0.1377938376906318</v>
      </c>
      <c r="R71" s="13">
        <f t="shared" ref="R71:R103" si="17">AVERAGEIF($J$6:$J$297,$O71,M$6:M$297)</f>
        <v>0.16350405555555556</v>
      </c>
      <c r="S71" s="13">
        <f t="shared" si="10"/>
        <v>2.5710217864923751E-2</v>
      </c>
    </row>
    <row r="72" spans="1:19">
      <c r="A72" s="23" t="s">
        <v>35</v>
      </c>
      <c r="B72" s="24"/>
      <c r="C72" s="24">
        <v>4.0706000000000007</v>
      </c>
      <c r="D72" s="24"/>
      <c r="E72" s="24"/>
      <c r="F72" s="24">
        <v>5.3220999999999998</v>
      </c>
      <c r="G72" s="24"/>
      <c r="H72" s="24">
        <v>4.8581000000000003</v>
      </c>
      <c r="I72" s="27">
        <v>38534</v>
      </c>
      <c r="J72" s="5" t="str">
        <f t="shared" si="11"/>
        <v>2005 q3</v>
      </c>
      <c r="K72" s="12">
        <f t="shared" si="12"/>
        <v>4.0706000000000006E-2</v>
      </c>
      <c r="L72" s="12">
        <f t="shared" si="13"/>
        <v>5.3220999999999997E-2</v>
      </c>
      <c r="M72" s="12">
        <f t="shared" si="14"/>
        <v>4.8581000000000006E-2</v>
      </c>
      <c r="O72" s="13" t="s">
        <v>136</v>
      </c>
      <c r="P72" s="13">
        <f t="shared" si="15"/>
        <v>8.3952874999999996E-2</v>
      </c>
      <c r="Q72" s="13">
        <f t="shared" si="16"/>
        <v>0.11104473333333333</v>
      </c>
      <c r="R72" s="13">
        <f t="shared" si="17"/>
        <v>0.13601849999999999</v>
      </c>
      <c r="S72" s="13">
        <f t="shared" si="10"/>
        <v>2.4973766666666661E-2</v>
      </c>
    </row>
    <row r="73" spans="1:19">
      <c r="A73" s="23" t="s">
        <v>36</v>
      </c>
      <c r="B73" s="24"/>
      <c r="C73" s="24"/>
      <c r="D73" s="24">
        <v>3.3685</v>
      </c>
      <c r="E73" s="24">
        <v>3.2418</v>
      </c>
      <c r="F73" s="24">
        <v>5.0597000000000003</v>
      </c>
      <c r="G73" s="24"/>
      <c r="H73" s="24"/>
      <c r="I73" s="27">
        <v>38565</v>
      </c>
      <c r="J73" s="5" t="str">
        <f t="shared" si="11"/>
        <v>2005 q3</v>
      </c>
      <c r="K73" s="12">
        <f t="shared" si="12"/>
        <v>3.3051500000000004E-2</v>
      </c>
      <c r="L73" s="12">
        <f t="shared" si="13"/>
        <v>5.0597000000000003E-2</v>
      </c>
      <c r="M73" s="12" t="str">
        <f t="shared" si="14"/>
        <v/>
      </c>
      <c r="O73" s="13" t="s">
        <v>137</v>
      </c>
      <c r="P73" s="13">
        <f t="shared" si="15"/>
        <v>7.1713352028220753E-2</v>
      </c>
      <c r="Q73" s="13">
        <f t="shared" si="16"/>
        <v>0.10070533333333333</v>
      </c>
      <c r="R73" s="13">
        <f t="shared" si="17"/>
        <v>0.12836266666666665</v>
      </c>
      <c r="S73" s="13">
        <f t="shared" si="10"/>
        <v>2.7657333333333325E-2</v>
      </c>
    </row>
    <row r="74" spans="1:19">
      <c r="A74" s="23" t="s">
        <v>37</v>
      </c>
      <c r="B74" s="24"/>
      <c r="C74" s="24"/>
      <c r="D74" s="24"/>
      <c r="E74" s="24">
        <v>3.8130333333333333</v>
      </c>
      <c r="F74" s="24"/>
      <c r="G74" s="24"/>
      <c r="H74" s="24">
        <v>5.9</v>
      </c>
      <c r="I74" s="27">
        <v>38596</v>
      </c>
      <c r="J74" s="5" t="str">
        <f t="shared" si="11"/>
        <v>2005 q3</v>
      </c>
      <c r="K74" s="12">
        <f t="shared" si="12"/>
        <v>3.8130333333333336E-2</v>
      </c>
      <c r="L74" s="12" t="str">
        <f t="shared" si="13"/>
        <v/>
      </c>
      <c r="M74" s="12">
        <f t="shared" si="14"/>
        <v>5.9000000000000004E-2</v>
      </c>
      <c r="O74" s="13" t="s">
        <v>138</v>
      </c>
      <c r="P74" s="13">
        <f t="shared" si="15"/>
        <v>6.9584444444444449E-2</v>
      </c>
      <c r="Q74" s="13">
        <f t="shared" si="16"/>
        <v>9.9613166666666655E-2</v>
      </c>
      <c r="R74" s="13">
        <f t="shared" si="17"/>
        <v>0.1253435</v>
      </c>
      <c r="S74" s="13">
        <f t="shared" si="10"/>
        <v>2.5730333333333341E-2</v>
      </c>
    </row>
    <row r="75" spans="1:19">
      <c r="A75" s="23" t="s">
        <v>38</v>
      </c>
      <c r="B75" s="24"/>
      <c r="C75" s="24">
        <v>3.6913</v>
      </c>
      <c r="D75" s="24"/>
      <c r="E75" s="24">
        <v>3.8565999999999998</v>
      </c>
      <c r="F75" s="24"/>
      <c r="G75" s="24">
        <v>5.2878999999999996</v>
      </c>
      <c r="H75" s="24"/>
      <c r="I75" s="27">
        <v>38626</v>
      </c>
      <c r="J75" s="5" t="str">
        <f t="shared" si="11"/>
        <v>2005 q4</v>
      </c>
      <c r="K75" s="12">
        <f t="shared" si="12"/>
        <v>3.7739500000000002E-2</v>
      </c>
      <c r="L75" s="12">
        <f t="shared" si="13"/>
        <v>5.2878999999999995E-2</v>
      </c>
      <c r="M75" s="12" t="str">
        <f t="shared" si="14"/>
        <v/>
      </c>
      <c r="O75" s="13" t="s">
        <v>139</v>
      </c>
      <c r="P75" s="13">
        <f t="shared" si="15"/>
        <v>6.4473666666666665E-2</v>
      </c>
      <c r="Q75" s="13">
        <f t="shared" si="16"/>
        <v>8.8082473818646242E-2</v>
      </c>
      <c r="R75" s="13">
        <f t="shared" si="17"/>
        <v>0.12114</v>
      </c>
      <c r="S75" s="13">
        <f t="shared" si="10"/>
        <v>3.3057526181353755E-2</v>
      </c>
    </row>
    <row r="76" spans="1:19">
      <c r="A76" s="23" t="s">
        <v>39</v>
      </c>
      <c r="B76" s="24"/>
      <c r="C76" s="24"/>
      <c r="D76" s="24">
        <v>3.6798000000000002</v>
      </c>
      <c r="E76" s="24">
        <v>3.806</v>
      </c>
      <c r="F76" s="24">
        <v>5.0857999999999999</v>
      </c>
      <c r="G76" s="24"/>
      <c r="H76" s="24"/>
      <c r="I76" s="27">
        <v>38657</v>
      </c>
      <c r="J76" s="5" t="str">
        <f t="shared" si="11"/>
        <v>2005 q4</v>
      </c>
      <c r="K76" s="12">
        <f t="shared" si="12"/>
        <v>3.7429000000000004E-2</v>
      </c>
      <c r="L76" s="12">
        <f t="shared" si="13"/>
        <v>5.0858E-2</v>
      </c>
      <c r="M76" s="12" t="str">
        <f t="shared" si="14"/>
        <v/>
      </c>
      <c r="O76" s="13" t="s">
        <v>140</v>
      </c>
      <c r="P76" s="13">
        <f t="shared" si="15"/>
        <v>6.1384444444444443E-2</v>
      </c>
      <c r="Q76" s="13">
        <f t="shared" si="16"/>
        <v>8.4164170342721403E-2</v>
      </c>
      <c r="R76" s="13">
        <f t="shared" si="17"/>
        <v>0.100299</v>
      </c>
      <c r="S76" s="13">
        <f t="shared" si="10"/>
        <v>1.6134829657278596E-2</v>
      </c>
    </row>
    <row r="77" spans="1:19">
      <c r="A77" s="23" t="s">
        <v>40</v>
      </c>
      <c r="B77" s="24"/>
      <c r="C77" s="24"/>
      <c r="D77" s="24"/>
      <c r="E77" s="24"/>
      <c r="F77" s="24"/>
      <c r="G77" s="24"/>
      <c r="H77" s="24">
        <v>8.8225999999999996</v>
      </c>
      <c r="I77" s="27">
        <v>38687</v>
      </c>
      <c r="J77" s="5" t="str">
        <f t="shared" si="11"/>
        <v>2005 q4</v>
      </c>
      <c r="K77" s="12" t="str">
        <f t="shared" si="12"/>
        <v/>
      </c>
      <c r="L77" s="12" t="str">
        <f t="shared" si="13"/>
        <v/>
      </c>
      <c r="M77" s="12">
        <f t="shared" si="14"/>
        <v>8.8225999999999999E-2</v>
      </c>
      <c r="O77" s="13" t="s">
        <v>141</v>
      </c>
      <c r="P77" s="13">
        <f t="shared" si="15"/>
        <v>5.9343166666666669E-2</v>
      </c>
      <c r="Q77" s="13">
        <f t="shared" si="16"/>
        <v>7.9013575039494466E-2</v>
      </c>
      <c r="R77" s="13">
        <f t="shared" si="17"/>
        <v>9.8999000000000004E-2</v>
      </c>
      <c r="S77" s="13">
        <f t="shared" si="10"/>
        <v>1.9985424960505538E-2</v>
      </c>
    </row>
    <row r="78" spans="1:19">
      <c r="A78" s="23" t="s">
        <v>46</v>
      </c>
      <c r="B78" s="24"/>
      <c r="C78" s="24"/>
      <c r="D78" s="24"/>
      <c r="E78" s="24"/>
      <c r="F78" s="24">
        <v>4.9396000000000004</v>
      </c>
      <c r="G78" s="24"/>
      <c r="H78" s="24"/>
      <c r="I78" s="27">
        <v>38718</v>
      </c>
      <c r="J78" s="5" t="str">
        <f t="shared" si="11"/>
        <v>2006 q1</v>
      </c>
      <c r="K78" s="12" t="str">
        <f t="shared" si="12"/>
        <v/>
      </c>
      <c r="L78" s="12">
        <f t="shared" si="13"/>
        <v>4.9396000000000002E-2</v>
      </c>
      <c r="M78" s="12" t="str">
        <f t="shared" si="14"/>
        <v/>
      </c>
      <c r="O78" s="13" t="s">
        <v>142</v>
      </c>
      <c r="P78" s="13">
        <f t="shared" si="15"/>
        <v>6.0449833333333335E-2</v>
      </c>
      <c r="Q78" s="13">
        <f t="shared" si="16"/>
        <v>7.6175999999999994E-2</v>
      </c>
      <c r="R78" s="13">
        <f t="shared" si="17"/>
        <v>0.122891</v>
      </c>
      <c r="S78" s="13">
        <f t="shared" si="10"/>
        <v>4.6715000000000007E-2</v>
      </c>
    </row>
    <row r="79" spans="1:19">
      <c r="A79" s="23" t="s">
        <v>30</v>
      </c>
      <c r="B79" s="24"/>
      <c r="C79" s="24">
        <v>3.9659</v>
      </c>
      <c r="D79" s="24"/>
      <c r="E79" s="24">
        <v>4.2263999999999999</v>
      </c>
      <c r="F79" s="24">
        <v>4.9132999999999996</v>
      </c>
      <c r="G79" s="24"/>
      <c r="H79" s="24"/>
      <c r="I79" s="27">
        <v>38749</v>
      </c>
      <c r="J79" s="5" t="str">
        <f t="shared" si="11"/>
        <v>2006 q1</v>
      </c>
      <c r="K79" s="12">
        <f t="shared" si="12"/>
        <v>4.0961499999999998E-2</v>
      </c>
      <c r="L79" s="12">
        <f t="shared" si="13"/>
        <v>4.9132999999999996E-2</v>
      </c>
      <c r="M79" s="12" t="str">
        <f t="shared" si="14"/>
        <v/>
      </c>
      <c r="O79" s="13" t="s">
        <v>143</v>
      </c>
      <c r="P79" s="13">
        <f t="shared" si="15"/>
        <v>6.1320333333333331E-2</v>
      </c>
      <c r="Q79" s="13">
        <f t="shared" si="16"/>
        <v>8.3642999999999995E-2</v>
      </c>
      <c r="R79" s="13">
        <f t="shared" si="17"/>
        <v>9.3040999999999999E-2</v>
      </c>
      <c r="S79" s="13">
        <f t="shared" si="10"/>
        <v>9.3980000000000036E-3</v>
      </c>
    </row>
    <row r="80" spans="1:19">
      <c r="A80" s="23" t="s">
        <v>31</v>
      </c>
      <c r="B80" s="24"/>
      <c r="C80" s="24"/>
      <c r="D80" s="24"/>
      <c r="E80" s="24">
        <v>4.3155000000000001</v>
      </c>
      <c r="F80" s="24">
        <v>4.8792</v>
      </c>
      <c r="G80" s="24"/>
      <c r="H80" s="24">
        <v>8.5825543478260862</v>
      </c>
      <c r="I80" s="27">
        <v>38777</v>
      </c>
      <c r="J80" s="5" t="str">
        <f t="shared" si="11"/>
        <v>2006 q1</v>
      </c>
      <c r="K80" s="12">
        <f t="shared" si="12"/>
        <v>4.3154999999999999E-2</v>
      </c>
      <c r="L80" s="12">
        <f t="shared" si="13"/>
        <v>4.8792000000000002E-2</v>
      </c>
      <c r="M80" s="12">
        <f t="shared" si="14"/>
        <v>8.5825543478260866E-2</v>
      </c>
      <c r="O80" s="13" t="s">
        <v>144</v>
      </c>
      <c r="P80" s="13">
        <f t="shared" si="15"/>
        <v>6.1875388888888889E-2</v>
      </c>
      <c r="Q80" s="13">
        <f t="shared" si="16"/>
        <v>8.2392000000000007E-2</v>
      </c>
      <c r="R80" s="13">
        <f t="shared" si="17"/>
        <v>0.113743</v>
      </c>
      <c r="S80" s="13">
        <f t="shared" si="10"/>
        <v>3.135099999999999E-2</v>
      </c>
    </row>
    <row r="81" spans="1:19">
      <c r="A81" s="23" t="s">
        <v>32</v>
      </c>
      <c r="B81" s="24"/>
      <c r="C81" s="24"/>
      <c r="D81" s="24">
        <v>4.4424000000000001</v>
      </c>
      <c r="E81" s="24">
        <v>4.8555999999999999</v>
      </c>
      <c r="F81" s="24"/>
      <c r="G81" s="24">
        <v>6.5266999999999999</v>
      </c>
      <c r="H81" s="24"/>
      <c r="I81" s="27">
        <v>38808</v>
      </c>
      <c r="J81" s="5" t="str">
        <f t="shared" si="11"/>
        <v>2006 q2</v>
      </c>
      <c r="K81" s="12">
        <f t="shared" si="12"/>
        <v>4.6490000000000004E-2</v>
      </c>
      <c r="L81" s="12">
        <f t="shared" si="13"/>
        <v>6.5267000000000006E-2</v>
      </c>
      <c r="M81" s="12" t="str">
        <f t="shared" si="14"/>
        <v/>
      </c>
      <c r="O81" s="13" t="s">
        <v>145</v>
      </c>
      <c r="P81" s="13">
        <f t="shared" si="15"/>
        <v>6.1693638888888895E-2</v>
      </c>
      <c r="Q81" s="13">
        <f t="shared" si="16"/>
        <v>8.1789000000000001E-2</v>
      </c>
      <c r="R81" s="13">
        <f t="shared" si="17"/>
        <v>9.2475000000000002E-2</v>
      </c>
      <c r="S81" s="13">
        <f t="shared" si="10"/>
        <v>1.0686000000000001E-2</v>
      </c>
    </row>
    <row r="82" spans="1:19">
      <c r="A82" s="23" t="s">
        <v>33</v>
      </c>
      <c r="B82" s="24"/>
      <c r="C82" s="24"/>
      <c r="D82" s="24"/>
      <c r="E82" s="24">
        <v>4.9216797398816139</v>
      </c>
      <c r="F82" s="24"/>
      <c r="G82" s="24">
        <v>6.7759999999999998</v>
      </c>
      <c r="H82" s="24"/>
      <c r="I82" s="27">
        <v>38838</v>
      </c>
      <c r="J82" s="5" t="str">
        <f t="shared" si="11"/>
        <v>2006 q2</v>
      </c>
      <c r="K82" s="12">
        <f t="shared" si="12"/>
        <v>4.9216797398816139E-2</v>
      </c>
      <c r="L82" s="12">
        <f t="shared" si="13"/>
        <v>6.7760000000000001E-2</v>
      </c>
      <c r="M82" s="12" t="str">
        <f t="shared" si="14"/>
        <v/>
      </c>
      <c r="O82" s="13" t="s">
        <v>146</v>
      </c>
      <c r="P82" s="13">
        <f t="shared" si="15"/>
        <v>6.1574777777777777E-2</v>
      </c>
      <c r="Q82" s="13">
        <f t="shared" si="16"/>
        <v>8.3415000000000003E-2</v>
      </c>
      <c r="R82" s="13">
        <f t="shared" si="17"/>
        <v>9.7417999999999991E-2</v>
      </c>
      <c r="S82" s="13">
        <f t="shared" si="10"/>
        <v>1.4002999999999988E-2</v>
      </c>
    </row>
    <row r="83" spans="1:19">
      <c r="A83" s="23" t="s">
        <v>34</v>
      </c>
      <c r="B83" s="24"/>
      <c r="C83" s="24"/>
      <c r="D83" s="24">
        <v>4.9126000000000003</v>
      </c>
      <c r="E83" s="24"/>
      <c r="F83" s="24">
        <v>6.0654000000000003</v>
      </c>
      <c r="G83" s="24"/>
      <c r="H83" s="24">
        <v>9.8780000000000001</v>
      </c>
      <c r="I83" s="27">
        <v>38869</v>
      </c>
      <c r="J83" s="5" t="str">
        <f t="shared" si="11"/>
        <v>2006 q2</v>
      </c>
      <c r="K83" s="12">
        <f t="shared" si="12"/>
        <v>4.9126000000000003E-2</v>
      </c>
      <c r="L83" s="12">
        <f t="shared" si="13"/>
        <v>6.0654000000000007E-2</v>
      </c>
      <c r="M83" s="12">
        <f t="shared" si="14"/>
        <v>9.8780000000000007E-2</v>
      </c>
      <c r="O83" s="13" t="s">
        <v>147</v>
      </c>
      <c r="P83" s="13">
        <f t="shared" si="15"/>
        <v>5.9476744350282475E-2</v>
      </c>
      <c r="Q83" s="13">
        <f t="shared" si="16"/>
        <v>7.8354000000000007E-2</v>
      </c>
      <c r="R83" s="13">
        <f t="shared" si="17"/>
        <v>0.11644199999999999</v>
      </c>
      <c r="S83" s="13">
        <f t="shared" si="10"/>
        <v>3.8087999999999983E-2</v>
      </c>
    </row>
    <row r="84" spans="1:19">
      <c r="A84" s="23" t="s">
        <v>35</v>
      </c>
      <c r="B84" s="24"/>
      <c r="C84" s="24">
        <v>4.8114999999999997</v>
      </c>
      <c r="D84" s="24"/>
      <c r="E84" s="24">
        <v>4.9252000000000002</v>
      </c>
      <c r="F84" s="24"/>
      <c r="G84" s="24">
        <v>6.7111999999999998</v>
      </c>
      <c r="H84" s="24"/>
      <c r="I84" s="27">
        <v>38899</v>
      </c>
      <c r="J84" s="5" t="str">
        <f t="shared" si="11"/>
        <v>2006 q3</v>
      </c>
      <c r="K84" s="12">
        <f t="shared" si="12"/>
        <v>4.8683499999999998E-2</v>
      </c>
      <c r="L84" s="12">
        <f t="shared" si="13"/>
        <v>6.7112000000000005E-2</v>
      </c>
      <c r="M84" s="12" t="str">
        <f t="shared" si="14"/>
        <v/>
      </c>
      <c r="O84" s="13" t="s">
        <v>148</v>
      </c>
      <c r="P84" s="13">
        <f t="shared" si="15"/>
        <v>5.908808333333334E-2</v>
      </c>
      <c r="Q84" s="13">
        <f t="shared" si="16"/>
        <v>7.5620999999999994E-2</v>
      </c>
      <c r="R84" s="13">
        <f t="shared" si="17"/>
        <v>9.6748999999999988E-2</v>
      </c>
      <c r="S84" s="13">
        <f t="shared" si="10"/>
        <v>2.1127999999999994E-2</v>
      </c>
    </row>
    <row r="85" spans="1:19">
      <c r="A85" s="23" t="s">
        <v>36</v>
      </c>
      <c r="B85" s="24"/>
      <c r="C85" s="24">
        <v>4.9684999999999997</v>
      </c>
      <c r="D85" s="24">
        <v>4.9668999999999999</v>
      </c>
      <c r="E85" s="24"/>
      <c r="F85" s="24"/>
      <c r="G85" s="24">
        <v>6.7638999999999996</v>
      </c>
      <c r="H85" s="24"/>
      <c r="I85" s="27">
        <v>38930</v>
      </c>
      <c r="J85" s="5" t="str">
        <f t="shared" si="11"/>
        <v>2006 q3</v>
      </c>
      <c r="K85" s="12">
        <f t="shared" si="12"/>
        <v>4.9676999999999999E-2</v>
      </c>
      <c r="L85" s="12">
        <f t="shared" si="13"/>
        <v>6.7638999999999991E-2</v>
      </c>
      <c r="M85" s="12" t="str">
        <f t="shared" si="14"/>
        <v/>
      </c>
      <c r="O85" s="13" t="s">
        <v>149</v>
      </c>
      <c r="P85" s="13">
        <f t="shared" si="15"/>
        <v>5.6718499999999998E-2</v>
      </c>
      <c r="Q85" s="13">
        <f t="shared" si="16"/>
        <v>6.82585E-2</v>
      </c>
      <c r="R85" s="13">
        <f t="shared" si="17"/>
        <v>0.10902100000000001</v>
      </c>
      <c r="S85" s="13">
        <f t="shared" si="10"/>
        <v>4.0762500000000007E-2</v>
      </c>
    </row>
    <row r="86" spans="1:19">
      <c r="A86" s="23" t="s">
        <v>37</v>
      </c>
      <c r="B86" s="24"/>
      <c r="C86" s="24"/>
      <c r="D86" s="24">
        <v>4.9824999999999999</v>
      </c>
      <c r="E86" s="24">
        <v>4.9448018433179719</v>
      </c>
      <c r="F86" s="24">
        <v>5.9557596638655461</v>
      </c>
      <c r="G86" s="24"/>
      <c r="H86" s="24">
        <v>9.5756162162162166</v>
      </c>
      <c r="I86" s="27">
        <v>38961</v>
      </c>
      <c r="J86" s="5" t="str">
        <f t="shared" si="11"/>
        <v>2006 q3</v>
      </c>
      <c r="K86" s="12">
        <f t="shared" si="12"/>
        <v>4.9636509216589859E-2</v>
      </c>
      <c r="L86" s="12">
        <f t="shared" si="13"/>
        <v>5.9557596638655459E-2</v>
      </c>
      <c r="M86" s="12">
        <f t="shared" si="14"/>
        <v>9.5756162162162164E-2</v>
      </c>
      <c r="O86" s="13" t="s">
        <v>150</v>
      </c>
      <c r="P86" s="13">
        <f t="shared" si="15"/>
        <v>5.5868919999999996E-2</v>
      </c>
      <c r="Q86" s="13">
        <f t="shared" si="16"/>
        <v>6.4605499999999996E-2</v>
      </c>
      <c r="R86" s="13">
        <f t="shared" si="17"/>
        <v>8.1011E-2</v>
      </c>
      <c r="S86" s="13">
        <f t="shared" si="10"/>
        <v>1.6405500000000003E-2</v>
      </c>
    </row>
    <row r="87" spans="1:19">
      <c r="A87" s="23" t="s">
        <v>38</v>
      </c>
      <c r="B87" s="24"/>
      <c r="C87" s="24">
        <v>5</v>
      </c>
      <c r="D87" s="24">
        <v>4.9977161665053247</v>
      </c>
      <c r="E87" s="24">
        <v>4.9999068493150682</v>
      </c>
      <c r="F87" s="24"/>
      <c r="G87" s="24">
        <v>6.7538999999999998</v>
      </c>
      <c r="H87" s="24"/>
      <c r="I87" s="27">
        <v>38991</v>
      </c>
      <c r="J87" s="5" t="str">
        <f t="shared" si="11"/>
        <v>2006 q4</v>
      </c>
      <c r="K87" s="12">
        <f t="shared" si="12"/>
        <v>4.9992076719401306E-2</v>
      </c>
      <c r="L87" s="12">
        <f t="shared" si="13"/>
        <v>6.7539000000000002E-2</v>
      </c>
      <c r="M87" s="12" t="str">
        <f t="shared" si="14"/>
        <v/>
      </c>
      <c r="O87" s="13" t="s">
        <v>151</v>
      </c>
      <c r="P87" s="13">
        <f t="shared" si="15"/>
        <v>5.7161909346092506E-2</v>
      </c>
      <c r="Q87" s="13">
        <f t="shared" si="16"/>
        <v>6.8927070247933889E-2</v>
      </c>
      <c r="R87" s="13">
        <f t="shared" si="17"/>
        <v>9.3685051678535719E-2</v>
      </c>
      <c r="S87" s="13">
        <f t="shared" si="10"/>
        <v>2.475798143060183E-2</v>
      </c>
    </row>
    <row r="88" spans="1:19">
      <c r="A88" s="23" t="s">
        <v>39</v>
      </c>
      <c r="B88" s="24">
        <v>5.8168500000000005</v>
      </c>
      <c r="C88" s="24"/>
      <c r="D88" s="24"/>
      <c r="E88" s="24">
        <v>5</v>
      </c>
      <c r="F88" s="24"/>
      <c r="G88" s="24">
        <v>6.8079999999999998</v>
      </c>
      <c r="H88" s="24"/>
      <c r="I88" s="27">
        <v>39022</v>
      </c>
      <c r="J88" s="5" t="str">
        <f t="shared" si="11"/>
        <v>2006 q4</v>
      </c>
      <c r="K88" s="12">
        <f t="shared" si="12"/>
        <v>5.408425E-2</v>
      </c>
      <c r="L88" s="12">
        <f t="shared" si="13"/>
        <v>6.8080000000000002E-2</v>
      </c>
      <c r="M88" s="12" t="str">
        <f t="shared" si="14"/>
        <v/>
      </c>
      <c r="O88" s="13" t="s">
        <v>152</v>
      </c>
      <c r="P88" s="13">
        <f t="shared" si="15"/>
        <v>5.5652242877034873E-2</v>
      </c>
      <c r="Q88" s="13">
        <f t="shared" si="16"/>
        <v>6.668329466666667E-2</v>
      </c>
      <c r="R88" s="13">
        <f t="shared" si="17"/>
        <v>7.92478014463424E-2</v>
      </c>
      <c r="S88" s="13">
        <f t="shared" si="10"/>
        <v>1.256450677967573E-2</v>
      </c>
    </row>
    <row r="89" spans="1:19">
      <c r="A89" s="23" t="s">
        <v>40</v>
      </c>
      <c r="B89" s="24">
        <v>6.0426000000000002</v>
      </c>
      <c r="C89" s="24"/>
      <c r="D89" s="24"/>
      <c r="E89" s="24"/>
      <c r="F89" s="24">
        <v>6.4964000000000004</v>
      </c>
      <c r="G89" s="24"/>
      <c r="H89" s="24">
        <v>9.3691999999999993</v>
      </c>
      <c r="I89" s="27">
        <v>39052</v>
      </c>
      <c r="J89" s="5" t="str">
        <f t="shared" si="11"/>
        <v>2006 q4</v>
      </c>
      <c r="K89" s="12">
        <f t="shared" si="12"/>
        <v>6.0426000000000001E-2</v>
      </c>
      <c r="L89" s="12">
        <f t="shared" si="13"/>
        <v>6.4964000000000008E-2</v>
      </c>
      <c r="M89" s="12">
        <f t="shared" si="14"/>
        <v>9.3691999999999998E-2</v>
      </c>
      <c r="O89" s="13" t="s">
        <v>153</v>
      </c>
      <c r="P89" s="13">
        <f t="shared" si="15"/>
        <v>5.9642676714251441E-2</v>
      </c>
      <c r="Q89" s="13">
        <f t="shared" si="16"/>
        <v>7.349174382244747E-2</v>
      </c>
      <c r="R89" s="13">
        <f t="shared" si="17"/>
        <v>9.0678438931297706E-2</v>
      </c>
      <c r="S89" s="13">
        <f t="shared" ref="S89:S103" si="18">R89-Q89</f>
        <v>1.7186695108850236E-2</v>
      </c>
    </row>
    <row r="90" spans="1:19">
      <c r="A90" s="23" t="s">
        <v>47</v>
      </c>
      <c r="B90" s="24"/>
      <c r="C90" s="24"/>
      <c r="D90" s="24"/>
      <c r="E90" s="24">
        <v>5.9496000000000002</v>
      </c>
      <c r="F90" s="24"/>
      <c r="G90" s="24">
        <v>7.1308999999999996</v>
      </c>
      <c r="H90" s="24"/>
      <c r="I90" s="27">
        <v>39083</v>
      </c>
      <c r="J90" s="5" t="str">
        <f t="shared" si="11"/>
        <v>2007 q1</v>
      </c>
      <c r="K90" s="12">
        <f t="shared" si="12"/>
        <v>5.9496E-2</v>
      </c>
      <c r="L90" s="12">
        <f t="shared" si="13"/>
        <v>7.1308999999999997E-2</v>
      </c>
      <c r="M90" s="12" t="str">
        <f t="shared" si="14"/>
        <v/>
      </c>
      <c r="O90" s="13" t="s">
        <v>154</v>
      </c>
      <c r="P90" s="13">
        <f t="shared" si="15"/>
        <v>6.7318910852713174E-2</v>
      </c>
      <c r="Q90" s="13">
        <f t="shared" si="16"/>
        <v>8.0319500000000002E-2</v>
      </c>
      <c r="R90" s="13">
        <f t="shared" si="17"/>
        <v>9.6814315256103955E-2</v>
      </c>
      <c r="S90" s="13">
        <f t="shared" si="18"/>
        <v>1.6494815256103953E-2</v>
      </c>
    </row>
    <row r="91" spans="1:19">
      <c r="A91" s="23" t="s">
        <v>30</v>
      </c>
      <c r="B91" s="24"/>
      <c r="C91" s="24"/>
      <c r="D91" s="24"/>
      <c r="E91" s="24">
        <v>5.8384</v>
      </c>
      <c r="F91" s="24"/>
      <c r="G91" s="24">
        <v>7.0986000000000002</v>
      </c>
      <c r="H91" s="24"/>
      <c r="I91" s="27">
        <v>39114</v>
      </c>
      <c r="J91" s="5" t="str">
        <f t="shared" si="11"/>
        <v>2007 q1</v>
      </c>
      <c r="K91" s="12">
        <f t="shared" si="12"/>
        <v>5.8383999999999998E-2</v>
      </c>
      <c r="L91" s="12">
        <f t="shared" si="13"/>
        <v>7.0986000000000007E-2</v>
      </c>
      <c r="M91" s="12" t="str">
        <f t="shared" si="14"/>
        <v/>
      </c>
      <c r="O91" s="13" t="s">
        <v>155</v>
      </c>
      <c r="P91" s="13">
        <f t="shared" si="15"/>
        <v>7.0593000000000003E-2</v>
      </c>
      <c r="Q91" s="13">
        <f t="shared" si="16"/>
        <v>8.5431000000000007E-2</v>
      </c>
      <c r="R91" s="13">
        <f t="shared" si="17"/>
        <v>9.8704542865300879E-2</v>
      </c>
      <c r="S91" s="13">
        <f t="shared" si="18"/>
        <v>1.3273542865300872E-2</v>
      </c>
    </row>
    <row r="92" spans="1:19">
      <c r="A92" s="23" t="s">
        <v>31</v>
      </c>
      <c r="B92" s="24"/>
      <c r="C92" s="24"/>
      <c r="D92" s="24"/>
      <c r="E92" s="24"/>
      <c r="F92" s="24">
        <v>6.3997999999999999</v>
      </c>
      <c r="G92" s="24"/>
      <c r="H92" s="24">
        <v>7.9896000000000003</v>
      </c>
      <c r="I92" s="27">
        <v>39142</v>
      </c>
      <c r="J92" s="5" t="str">
        <f t="shared" si="11"/>
        <v>2007 q1</v>
      </c>
      <c r="K92" s="12" t="str">
        <f t="shared" si="12"/>
        <v/>
      </c>
      <c r="L92" s="12">
        <f t="shared" si="13"/>
        <v>6.3997999999999999E-2</v>
      </c>
      <c r="M92" s="12">
        <f t="shared" si="14"/>
        <v>7.9896000000000009E-2</v>
      </c>
      <c r="O92" s="13" t="s">
        <v>156</v>
      </c>
      <c r="P92" s="13">
        <f t="shared" si="15"/>
        <v>8.1341329166666657E-2</v>
      </c>
      <c r="Q92" s="13">
        <f t="shared" si="16"/>
        <v>9.4789999999999999E-2</v>
      </c>
      <c r="R92" s="13">
        <f t="shared" si="17"/>
        <v>9.9130999999999997E-2</v>
      </c>
      <c r="S92" s="13">
        <f t="shared" si="18"/>
        <v>4.3409999999999976E-3</v>
      </c>
    </row>
    <row r="93" spans="1:19">
      <c r="A93" s="23" t="s">
        <v>32</v>
      </c>
      <c r="B93" s="24"/>
      <c r="C93" s="24"/>
      <c r="D93" s="24"/>
      <c r="E93" s="24"/>
      <c r="F93" s="24">
        <v>6.4569999999999999</v>
      </c>
      <c r="G93" s="24">
        <v>7.1238000000000001</v>
      </c>
      <c r="H93" s="24"/>
      <c r="I93" s="27">
        <v>39173</v>
      </c>
      <c r="J93" s="5" t="str">
        <f t="shared" si="11"/>
        <v>2007 q2</v>
      </c>
      <c r="K93" s="12" t="str">
        <f t="shared" si="12"/>
        <v/>
      </c>
      <c r="L93" s="12">
        <f t="shared" si="13"/>
        <v>6.7904000000000006E-2</v>
      </c>
      <c r="M93" s="12" t="str">
        <f t="shared" si="14"/>
        <v/>
      </c>
      <c r="O93" s="13" t="s">
        <v>157</v>
      </c>
      <c r="P93" s="13">
        <f t="shared" si="15"/>
        <v>8.6816999999999991E-2</v>
      </c>
      <c r="Q93" s="13">
        <f t="shared" si="16"/>
        <v>9.7094333333333324E-2</v>
      </c>
      <c r="R93" s="13">
        <f t="shared" si="17"/>
        <v>0.10289874523669795</v>
      </c>
      <c r="S93" s="13">
        <f t="shared" si="18"/>
        <v>5.8044119033646285E-3</v>
      </c>
    </row>
    <row r="94" spans="1:19">
      <c r="A94" s="23" t="s">
        <v>33</v>
      </c>
      <c r="B94" s="24"/>
      <c r="C94" s="24"/>
      <c r="D94" s="24">
        <v>5.9858000000000002</v>
      </c>
      <c r="E94" s="24"/>
      <c r="F94" s="24"/>
      <c r="G94" s="24">
        <v>6.9760999999999997</v>
      </c>
      <c r="H94" s="24"/>
      <c r="I94" s="27">
        <v>39203</v>
      </c>
      <c r="J94" s="5" t="str">
        <f t="shared" si="11"/>
        <v>2007 q2</v>
      </c>
      <c r="K94" s="12">
        <f t="shared" si="12"/>
        <v>5.9858000000000001E-2</v>
      </c>
      <c r="L94" s="12">
        <f t="shared" si="13"/>
        <v>6.9761000000000004E-2</v>
      </c>
      <c r="M94" s="12" t="str">
        <f t="shared" si="14"/>
        <v/>
      </c>
      <c r="O94" s="13" t="s">
        <v>158</v>
      </c>
      <c r="P94" s="13">
        <f t="shared" si="15"/>
        <v>9.2928027777777769E-2</v>
      </c>
      <c r="Q94" s="13">
        <f t="shared" si="16"/>
        <v>0.1017895</v>
      </c>
      <c r="R94" s="13">
        <f t="shared" si="17"/>
        <v>0.106031</v>
      </c>
      <c r="S94" s="13">
        <f t="shared" si="18"/>
        <v>4.2414999999999953E-3</v>
      </c>
    </row>
    <row r="95" spans="1:19">
      <c r="A95" s="23" t="s">
        <v>34</v>
      </c>
      <c r="B95" s="24"/>
      <c r="C95" s="24"/>
      <c r="D95" s="24"/>
      <c r="E95" s="24"/>
      <c r="F95" s="24">
        <v>5.9909999999999997</v>
      </c>
      <c r="G95" s="24"/>
      <c r="H95" s="24">
        <v>6.7366000000000001</v>
      </c>
      <c r="I95" s="27">
        <v>39234</v>
      </c>
      <c r="J95" s="5" t="str">
        <f t="shared" si="11"/>
        <v>2007 q2</v>
      </c>
      <c r="K95" s="12" t="str">
        <f t="shared" si="12"/>
        <v/>
      </c>
      <c r="L95" s="12">
        <f t="shared" si="13"/>
        <v>5.9909999999999998E-2</v>
      </c>
      <c r="M95" s="12">
        <f t="shared" si="14"/>
        <v>6.7365999999999995E-2</v>
      </c>
      <c r="O95" s="13" t="s">
        <v>159</v>
      </c>
      <c r="P95" s="13">
        <f t="shared" si="15"/>
        <v>0.10354000870327602</v>
      </c>
      <c r="Q95" s="13">
        <f t="shared" si="16"/>
        <v>0.1108865</v>
      </c>
      <c r="R95" s="13">
        <f t="shared" si="17"/>
        <v>0.11692732145649502</v>
      </c>
      <c r="S95" s="13">
        <f t="shared" si="18"/>
        <v>6.0408214564950241E-3</v>
      </c>
    </row>
    <row r="96" spans="1:19">
      <c r="A96" s="23" t="s">
        <v>35</v>
      </c>
      <c r="B96" s="24"/>
      <c r="C96" s="24"/>
      <c r="D96" s="24"/>
      <c r="E96" s="24">
        <v>5.7511999999999999</v>
      </c>
      <c r="F96" s="24">
        <v>5.9794</v>
      </c>
      <c r="G96" s="24">
        <v>6.6578999999999997</v>
      </c>
      <c r="H96" s="24"/>
      <c r="I96" s="27">
        <v>39264</v>
      </c>
      <c r="J96" s="5" t="str">
        <f t="shared" si="11"/>
        <v>2007 q3</v>
      </c>
      <c r="K96" s="12">
        <f t="shared" si="12"/>
        <v>5.7512000000000001E-2</v>
      </c>
      <c r="L96" s="12">
        <f t="shared" si="13"/>
        <v>6.3186499999999993E-2</v>
      </c>
      <c r="M96" s="12" t="str">
        <f t="shared" si="14"/>
        <v/>
      </c>
      <c r="O96" s="13" t="s">
        <v>160</v>
      </c>
      <c r="P96" s="13">
        <f t="shared" si="15"/>
        <v>0.10651549999999999</v>
      </c>
      <c r="Q96" s="13">
        <f t="shared" si="16"/>
        <v>0.11275076435239832</v>
      </c>
      <c r="R96" s="13">
        <f t="shared" si="17"/>
        <v>0.11890299999999999</v>
      </c>
      <c r="S96" s="13">
        <f t="shared" si="18"/>
        <v>6.1522356476016726E-3</v>
      </c>
    </row>
    <row r="97" spans="1:19">
      <c r="A97" s="23" t="s">
        <v>36</v>
      </c>
      <c r="B97" s="24"/>
      <c r="C97" s="24"/>
      <c r="D97" s="24"/>
      <c r="E97" s="24">
        <v>5.6767000000000003</v>
      </c>
      <c r="F97" s="24"/>
      <c r="G97" s="24">
        <v>6.7213000000000003</v>
      </c>
      <c r="H97" s="24"/>
      <c r="I97" s="27">
        <v>39295</v>
      </c>
      <c r="J97" s="5" t="str">
        <f t="shared" si="11"/>
        <v>2007 q3</v>
      </c>
      <c r="K97" s="12">
        <f t="shared" si="12"/>
        <v>5.6767000000000005E-2</v>
      </c>
      <c r="L97" s="12">
        <f t="shared" si="13"/>
        <v>6.7213000000000009E-2</v>
      </c>
      <c r="M97" s="12" t="str">
        <f t="shared" si="14"/>
        <v/>
      </c>
      <c r="O97" s="13" t="s">
        <v>161</v>
      </c>
      <c r="P97" s="13">
        <f t="shared" si="15"/>
        <v>0.11495818976084841</v>
      </c>
      <c r="Q97" s="13">
        <f t="shared" si="16"/>
        <v>0.11762</v>
      </c>
      <c r="R97" s="28">
        <f>AVERAGE(R96,R98)</f>
        <v>0.119352</v>
      </c>
      <c r="S97" s="13">
        <f t="shared" si="18"/>
        <v>1.7319999999999974E-3</v>
      </c>
    </row>
    <row r="98" spans="1:19">
      <c r="A98" s="23" t="s">
        <v>37</v>
      </c>
      <c r="B98" s="24"/>
      <c r="C98" s="24"/>
      <c r="D98" s="24"/>
      <c r="E98" s="24">
        <v>6.4024000000000001</v>
      </c>
      <c r="F98" s="24">
        <v>6.5247999999999999</v>
      </c>
      <c r="G98" s="24"/>
      <c r="H98" s="24">
        <v>6.7187999999999999</v>
      </c>
      <c r="I98" s="27">
        <v>39326</v>
      </c>
      <c r="J98" s="5" t="str">
        <f t="shared" si="11"/>
        <v>2007 q3</v>
      </c>
      <c r="K98" s="12">
        <f t="shared" si="12"/>
        <v>6.4023999999999998E-2</v>
      </c>
      <c r="L98" s="12">
        <f t="shared" si="13"/>
        <v>6.5248E-2</v>
      </c>
      <c r="M98" s="12">
        <f t="shared" si="14"/>
        <v>6.7187999999999998E-2</v>
      </c>
      <c r="O98" s="13" t="s">
        <v>162</v>
      </c>
      <c r="P98" s="13">
        <f t="shared" si="15"/>
        <v>0.11442346534829588</v>
      </c>
      <c r="Q98" s="13">
        <f t="shared" si="16"/>
        <v>0.1192995</v>
      </c>
      <c r="R98" s="13">
        <f t="shared" si="17"/>
        <v>0.119801</v>
      </c>
      <c r="S98" s="13">
        <f t="shared" si="18"/>
        <v>5.0150000000000194E-4</v>
      </c>
    </row>
    <row r="99" spans="1:19">
      <c r="A99" s="23" t="s">
        <v>38</v>
      </c>
      <c r="B99" s="24"/>
      <c r="C99" s="24"/>
      <c r="D99" s="24"/>
      <c r="E99" s="24"/>
      <c r="F99" s="24">
        <v>6.7567000000000004</v>
      </c>
      <c r="G99" s="24">
        <v>6.8212000000000002</v>
      </c>
      <c r="H99" s="24"/>
      <c r="I99" s="27">
        <v>39356</v>
      </c>
      <c r="J99" s="5" t="str">
        <f t="shared" si="11"/>
        <v>2007 q4</v>
      </c>
      <c r="K99" s="12" t="str">
        <f t="shared" si="12"/>
        <v/>
      </c>
      <c r="L99" s="12">
        <f t="shared" si="13"/>
        <v>6.7889499999999992E-2</v>
      </c>
      <c r="M99" s="12" t="str">
        <f t="shared" si="14"/>
        <v/>
      </c>
      <c r="O99" s="13" t="s">
        <v>163</v>
      </c>
      <c r="P99" s="13">
        <f t="shared" si="15"/>
        <v>0.11378157348286067</v>
      </c>
      <c r="Q99" s="13">
        <f t="shared" si="16"/>
        <v>0.11451892837829226</v>
      </c>
      <c r="R99" s="13">
        <f t="shared" si="17"/>
        <v>0.11785311305468578</v>
      </c>
      <c r="S99" s="13">
        <f t="shared" si="18"/>
        <v>3.3341846763935146E-3</v>
      </c>
    </row>
    <row r="100" spans="1:19">
      <c r="A100" s="23" t="s">
        <v>39</v>
      </c>
      <c r="B100" s="24"/>
      <c r="C100" s="24"/>
      <c r="D100" s="24"/>
      <c r="E100" s="24">
        <v>6.5293999999999999</v>
      </c>
      <c r="F100" s="24"/>
      <c r="G100" s="24">
        <v>7.125</v>
      </c>
      <c r="H100" s="24"/>
      <c r="I100" s="27">
        <v>39387</v>
      </c>
      <c r="J100" s="5" t="str">
        <f t="shared" si="11"/>
        <v>2007 q4</v>
      </c>
      <c r="K100" s="12">
        <f t="shared" si="12"/>
        <v>6.5294000000000005E-2</v>
      </c>
      <c r="L100" s="12">
        <f t="shared" si="13"/>
        <v>7.1249999999999994E-2</v>
      </c>
      <c r="M100" s="12" t="str">
        <f t="shared" si="14"/>
        <v/>
      </c>
      <c r="O100" s="13" t="s">
        <v>164</v>
      </c>
      <c r="P100" s="13">
        <f t="shared" si="15"/>
        <v>0.10584256818181818</v>
      </c>
      <c r="Q100" s="13">
        <f t="shared" si="16"/>
        <v>0.1064985</v>
      </c>
      <c r="R100" s="13">
        <f t="shared" si="17"/>
        <v>0.11116300000000001</v>
      </c>
      <c r="S100" s="13">
        <f t="shared" si="18"/>
        <v>4.6645000000000159E-3</v>
      </c>
    </row>
    <row r="101" spans="1:19">
      <c r="A101" s="23" t="s">
        <v>40</v>
      </c>
      <c r="B101" s="24"/>
      <c r="C101" s="24"/>
      <c r="D101" s="24"/>
      <c r="E101" s="24"/>
      <c r="F101" s="24">
        <v>7.5228000000000002</v>
      </c>
      <c r="G101" s="24"/>
      <c r="H101" s="24">
        <v>9.4457000000000004</v>
      </c>
      <c r="I101" s="27">
        <v>39417</v>
      </c>
      <c r="J101" s="5" t="str">
        <f t="shared" si="11"/>
        <v>2007 q4</v>
      </c>
      <c r="K101" s="12" t="str">
        <f t="shared" si="12"/>
        <v/>
      </c>
      <c r="L101" s="12">
        <f t="shared" si="13"/>
        <v>7.5228000000000003E-2</v>
      </c>
      <c r="M101" s="12">
        <f t="shared" si="14"/>
        <v>9.4456999999999999E-2</v>
      </c>
      <c r="O101" s="13" t="s">
        <v>165</v>
      </c>
      <c r="P101" s="13">
        <f t="shared" si="15"/>
        <v>0.10544073284063293</v>
      </c>
      <c r="Q101" s="13">
        <f t="shared" si="16"/>
        <v>0.10843333333333333</v>
      </c>
      <c r="R101" s="13">
        <f t="shared" si="17"/>
        <v>0.10855047819566405</v>
      </c>
      <c r="S101" s="13">
        <f t="shared" si="18"/>
        <v>1.171448623307203E-4</v>
      </c>
    </row>
    <row r="102" spans="1:19">
      <c r="A102" s="23" t="s">
        <v>48</v>
      </c>
      <c r="B102" s="24"/>
      <c r="C102" s="24"/>
      <c r="D102" s="24"/>
      <c r="E102" s="24">
        <v>6.8918200501253137</v>
      </c>
      <c r="F102" s="24"/>
      <c r="G102" s="24"/>
      <c r="H102" s="24"/>
      <c r="I102" s="27">
        <v>39448</v>
      </c>
      <c r="J102" s="5" t="str">
        <f t="shared" si="11"/>
        <v>2008 q1</v>
      </c>
      <c r="K102" s="12">
        <f t="shared" si="12"/>
        <v>6.8918200501253135E-2</v>
      </c>
      <c r="L102" s="12" t="str">
        <f t="shared" si="13"/>
        <v/>
      </c>
      <c r="M102" s="12" t="str">
        <f t="shared" si="14"/>
        <v/>
      </c>
      <c r="O102" s="13" t="s">
        <v>166</v>
      </c>
      <c r="P102" s="13">
        <f t="shared" si="15"/>
        <v>9.9694084372679057E-2</v>
      </c>
      <c r="Q102" s="13">
        <f t="shared" si="16"/>
        <v>0.1005335</v>
      </c>
      <c r="R102" s="13">
        <f t="shared" si="17"/>
        <v>0.10952400000000001</v>
      </c>
      <c r="S102" s="13">
        <f t="shared" si="18"/>
        <v>8.9905000000000124E-3</v>
      </c>
    </row>
    <row r="103" spans="1:19">
      <c r="A103" s="23" t="s">
        <v>30</v>
      </c>
      <c r="B103" s="24"/>
      <c r="C103" s="24"/>
      <c r="D103" s="24"/>
      <c r="E103" s="24"/>
      <c r="F103" s="24"/>
      <c r="G103" s="24">
        <v>8.0141885876263252</v>
      </c>
      <c r="H103" s="24">
        <v>10.515597462634851</v>
      </c>
      <c r="I103" s="27">
        <v>39479</v>
      </c>
      <c r="J103" s="5" t="str">
        <f t="shared" si="11"/>
        <v>2008 q1</v>
      </c>
      <c r="K103" s="12" t="str">
        <f t="shared" si="12"/>
        <v/>
      </c>
      <c r="L103" s="12">
        <f t="shared" si="13"/>
        <v>8.0141885876263252E-2</v>
      </c>
      <c r="M103" s="12">
        <f t="shared" si="14"/>
        <v>0.10515597462634851</v>
      </c>
      <c r="O103" s="13" t="s">
        <v>167</v>
      </c>
      <c r="P103" s="13">
        <f t="shared" si="15"/>
        <v>9.3817999999999999E-2</v>
      </c>
      <c r="Q103" s="13">
        <f t="shared" si="16"/>
        <v>9.9157238182459986E-2</v>
      </c>
      <c r="R103" s="13">
        <f t="shared" si="17"/>
        <v>9.8873995672562914E-2</v>
      </c>
      <c r="S103" s="13">
        <f t="shared" si="18"/>
        <v>-2.83242509897072E-4</v>
      </c>
    </row>
    <row r="104" spans="1:19" ht="15">
      <c r="A104" s="23" t="s">
        <v>31</v>
      </c>
      <c r="B104" s="24"/>
      <c r="C104" s="24"/>
      <c r="D104" s="24"/>
      <c r="E104" s="24"/>
      <c r="F104" s="24"/>
      <c r="G104" s="24">
        <v>8.4901</v>
      </c>
      <c r="H104" s="24">
        <v>10.331680925468033</v>
      </c>
      <c r="I104" s="27">
        <v>39508</v>
      </c>
      <c r="J104" s="5" t="str">
        <f t="shared" si="11"/>
        <v>2008 q1</v>
      </c>
      <c r="K104" s="12" t="str">
        <f t="shared" si="12"/>
        <v/>
      </c>
      <c r="L104" s="12">
        <f t="shared" si="13"/>
        <v>8.4901000000000004E-2</v>
      </c>
      <c r="M104" s="12">
        <f t="shared" si="14"/>
        <v>0.10331680925468033</v>
      </c>
      <c r="O104"/>
    </row>
    <row r="105" spans="1:19" ht="15">
      <c r="A105" s="23" t="s">
        <v>32</v>
      </c>
      <c r="B105" s="24"/>
      <c r="C105" s="24"/>
      <c r="D105" s="24"/>
      <c r="E105" s="24">
        <v>7</v>
      </c>
      <c r="F105" s="24"/>
      <c r="G105" s="24">
        <v>8.0396888888888878</v>
      </c>
      <c r="H105" s="24">
        <v>9.9992999999999999</v>
      </c>
      <c r="I105" s="27">
        <v>39539</v>
      </c>
      <c r="J105" s="5" t="str">
        <f t="shared" si="11"/>
        <v>2008 q2</v>
      </c>
      <c r="K105" s="12">
        <f t="shared" si="12"/>
        <v>7.0000000000000007E-2</v>
      </c>
      <c r="L105" s="12">
        <f t="shared" si="13"/>
        <v>8.0396888888888879E-2</v>
      </c>
      <c r="M105" s="12">
        <f t="shared" si="14"/>
        <v>9.9992999999999999E-2</v>
      </c>
      <c r="O105"/>
    </row>
    <row r="106" spans="1:19" ht="15">
      <c r="A106" s="23" t="s">
        <v>33</v>
      </c>
      <c r="B106" s="24"/>
      <c r="C106" s="24"/>
      <c r="D106" s="24"/>
      <c r="E106" s="24">
        <v>6.99</v>
      </c>
      <c r="F106" s="24"/>
      <c r="G106" s="24">
        <v>7.5</v>
      </c>
      <c r="H106" s="24"/>
      <c r="I106" s="27">
        <v>39569</v>
      </c>
      <c r="J106" s="5" t="str">
        <f t="shared" si="11"/>
        <v>2008 q2</v>
      </c>
      <c r="K106" s="12">
        <f t="shared" si="12"/>
        <v>6.9900000000000004E-2</v>
      </c>
      <c r="L106" s="12">
        <f t="shared" si="13"/>
        <v>7.4999999999999997E-2</v>
      </c>
      <c r="M106" s="12" t="str">
        <f t="shared" si="14"/>
        <v/>
      </c>
      <c r="O106"/>
    </row>
    <row r="107" spans="1:19" ht="15">
      <c r="A107" s="23" t="s">
        <v>34</v>
      </c>
      <c r="B107" s="24"/>
      <c r="C107" s="24"/>
      <c r="D107" s="24"/>
      <c r="E107" s="24">
        <v>7.1993</v>
      </c>
      <c r="F107" s="24"/>
      <c r="G107" s="24">
        <v>7.5</v>
      </c>
      <c r="H107" s="24">
        <v>10.657556178169136</v>
      </c>
      <c r="I107" s="27">
        <v>39600</v>
      </c>
      <c r="J107" s="5" t="str">
        <f t="shared" si="11"/>
        <v>2008 q2</v>
      </c>
      <c r="K107" s="12">
        <f t="shared" si="12"/>
        <v>7.1993000000000001E-2</v>
      </c>
      <c r="L107" s="12">
        <f t="shared" si="13"/>
        <v>7.4999999999999997E-2</v>
      </c>
      <c r="M107" s="12">
        <f t="shared" si="14"/>
        <v>0.10657556178169136</v>
      </c>
      <c r="O107"/>
    </row>
    <row r="108" spans="1:19" ht="15">
      <c r="A108" s="23" t="s">
        <v>35</v>
      </c>
      <c r="B108" s="24"/>
      <c r="C108" s="24"/>
      <c r="D108" s="24"/>
      <c r="E108" s="24">
        <v>7.4909999999999997</v>
      </c>
      <c r="F108" s="24"/>
      <c r="G108" s="24">
        <v>8.3065733190545856</v>
      </c>
      <c r="H108" s="24"/>
      <c r="I108" s="27">
        <v>39630</v>
      </c>
      <c r="J108" s="5" t="str">
        <f t="shared" si="11"/>
        <v>2008 q3</v>
      </c>
      <c r="K108" s="12">
        <f t="shared" si="12"/>
        <v>7.490999999999999E-2</v>
      </c>
      <c r="L108" s="12">
        <f t="shared" si="13"/>
        <v>8.306573319054586E-2</v>
      </c>
      <c r="M108" s="12" t="str">
        <f t="shared" si="14"/>
        <v/>
      </c>
      <c r="O108"/>
    </row>
    <row r="109" spans="1:19" ht="15">
      <c r="A109" s="23" t="s">
        <v>36</v>
      </c>
      <c r="B109" s="24"/>
      <c r="C109" s="24"/>
      <c r="D109" s="24">
        <v>8.2912499999999998</v>
      </c>
      <c r="E109" s="24">
        <v>8.0557999999999996</v>
      </c>
      <c r="F109" s="24"/>
      <c r="G109" s="24">
        <v>7.9997999999999996</v>
      </c>
      <c r="H109" s="24"/>
      <c r="I109" s="27">
        <v>39661</v>
      </c>
      <c r="J109" s="5" t="str">
        <f t="shared" si="11"/>
        <v>2008 q3</v>
      </c>
      <c r="K109" s="12">
        <f t="shared" si="12"/>
        <v>8.1735249999999995E-2</v>
      </c>
      <c r="L109" s="12">
        <f t="shared" si="13"/>
        <v>7.9998E-2</v>
      </c>
      <c r="M109" s="12" t="str">
        <f t="shared" si="14"/>
        <v/>
      </c>
      <c r="O109"/>
    </row>
    <row r="110" spans="1:19" ht="15">
      <c r="A110" s="23" t="s">
        <v>37</v>
      </c>
      <c r="B110" s="24">
        <v>8.1431000000000004</v>
      </c>
      <c r="C110" s="24">
        <v>8.2249999999999996</v>
      </c>
      <c r="D110" s="24"/>
      <c r="E110" s="24">
        <v>8.3920999999999992</v>
      </c>
      <c r="F110" s="24"/>
      <c r="G110" s="24">
        <v>8</v>
      </c>
      <c r="H110" s="24">
        <v>10.574468085106384</v>
      </c>
      <c r="I110" s="27">
        <v>39692</v>
      </c>
      <c r="J110" s="5" t="str">
        <f t="shared" si="11"/>
        <v>2008 q3</v>
      </c>
      <c r="K110" s="12">
        <f t="shared" si="12"/>
        <v>8.2533999999999996E-2</v>
      </c>
      <c r="L110" s="12">
        <f t="shared" si="13"/>
        <v>0.08</v>
      </c>
      <c r="M110" s="12">
        <f t="shared" si="14"/>
        <v>0.10574468085106384</v>
      </c>
      <c r="O110"/>
    </row>
    <row r="111" spans="1:19" ht="15">
      <c r="A111" s="23" t="s">
        <v>38</v>
      </c>
      <c r="B111" s="24">
        <v>8.4330999999999996</v>
      </c>
      <c r="C111" s="24">
        <v>8.39452</v>
      </c>
      <c r="D111" s="24"/>
      <c r="E111" s="24">
        <v>8.4178999999999995</v>
      </c>
      <c r="F111" s="24"/>
      <c r="G111" s="24">
        <v>9.2472999999999992</v>
      </c>
      <c r="H111" s="24"/>
      <c r="I111" s="27">
        <v>39722</v>
      </c>
      <c r="J111" s="5" t="str">
        <f t="shared" si="11"/>
        <v>2008 q4</v>
      </c>
      <c r="K111" s="12">
        <f t="shared" si="12"/>
        <v>8.4151733333333339E-2</v>
      </c>
      <c r="L111" s="12">
        <f t="shared" si="13"/>
        <v>9.2472999999999986E-2</v>
      </c>
      <c r="M111" s="12" t="str">
        <f t="shared" si="14"/>
        <v/>
      </c>
      <c r="O111"/>
    </row>
    <row r="112" spans="1:19" ht="15">
      <c r="A112" s="23" t="s">
        <v>39</v>
      </c>
      <c r="B112" s="24">
        <v>9.0056999999999992</v>
      </c>
      <c r="C112" s="24">
        <v>8.7639999999999993</v>
      </c>
      <c r="D112" s="24"/>
      <c r="E112" s="24">
        <v>8.7721</v>
      </c>
      <c r="F112" s="24"/>
      <c r="G112" s="24">
        <v>9.5828312925170067</v>
      </c>
      <c r="H112" s="24"/>
      <c r="I112" s="27">
        <v>39753</v>
      </c>
      <c r="J112" s="5" t="str">
        <f t="shared" si="11"/>
        <v>2008 q4</v>
      </c>
      <c r="K112" s="12">
        <f t="shared" si="12"/>
        <v>8.8472666666666686E-2</v>
      </c>
      <c r="L112" s="12">
        <f t="shared" si="13"/>
        <v>9.5828312925170064E-2</v>
      </c>
      <c r="M112" s="12" t="str">
        <f t="shared" si="14"/>
        <v/>
      </c>
      <c r="O112"/>
    </row>
    <row r="113" spans="1:15" ht="15">
      <c r="A113" s="23" t="s">
        <v>40</v>
      </c>
      <c r="B113" s="24">
        <v>8.9522099999999991</v>
      </c>
      <c r="C113" s="24">
        <v>9.255866666666666</v>
      </c>
      <c r="D113" s="24"/>
      <c r="E113" s="24"/>
      <c r="F113" s="24"/>
      <c r="G113" s="24"/>
      <c r="H113" s="24"/>
      <c r="I113" s="27">
        <v>39783</v>
      </c>
      <c r="J113" s="5" t="str">
        <f t="shared" si="11"/>
        <v>2008 q4</v>
      </c>
      <c r="K113" s="12">
        <f t="shared" si="12"/>
        <v>9.1040383333333322E-2</v>
      </c>
      <c r="L113" s="12" t="str">
        <f t="shared" si="13"/>
        <v/>
      </c>
      <c r="M113" s="12" t="str">
        <f t="shared" si="14"/>
        <v/>
      </c>
      <c r="O113"/>
    </row>
    <row r="114" spans="1:15" ht="15">
      <c r="A114" s="23" t="s">
        <v>49</v>
      </c>
      <c r="B114" s="24">
        <v>9.2508999999999997</v>
      </c>
      <c r="C114" s="24">
        <v>9.34</v>
      </c>
      <c r="D114" s="24"/>
      <c r="E114" s="24">
        <v>9.5370541666666675</v>
      </c>
      <c r="F114" s="24"/>
      <c r="G114" s="24">
        <v>10.473100000000001</v>
      </c>
      <c r="H114" s="24"/>
      <c r="I114" s="27">
        <v>39814</v>
      </c>
      <c r="J114" s="5" t="str">
        <f t="shared" si="11"/>
        <v>2009 q1</v>
      </c>
      <c r="K114" s="12">
        <f t="shared" si="12"/>
        <v>9.375984722222222E-2</v>
      </c>
      <c r="L114" s="12">
        <f t="shared" si="13"/>
        <v>0.104731</v>
      </c>
      <c r="M114" s="12" t="str">
        <f t="shared" si="14"/>
        <v/>
      </c>
      <c r="O114"/>
    </row>
    <row r="115" spans="1:15" ht="15">
      <c r="A115" s="23" t="s">
        <v>30</v>
      </c>
      <c r="B115" s="24">
        <v>9.3682999999999996</v>
      </c>
      <c r="C115" s="24">
        <v>10.206899999999999</v>
      </c>
      <c r="D115" s="24"/>
      <c r="E115" s="24">
        <v>9.8473000000000006</v>
      </c>
      <c r="F115" s="24"/>
      <c r="G115" s="24">
        <v>10.5</v>
      </c>
      <c r="H115" s="24"/>
      <c r="I115" s="27">
        <v>39845</v>
      </c>
      <c r="J115" s="5" t="str">
        <f t="shared" si="11"/>
        <v>2009 q1</v>
      </c>
      <c r="K115" s="12">
        <f t="shared" si="12"/>
        <v>9.8074999999999996E-2</v>
      </c>
      <c r="L115" s="12">
        <f t="shared" si="13"/>
        <v>0.105</v>
      </c>
      <c r="M115" s="12" t="str">
        <f t="shared" si="14"/>
        <v/>
      </c>
      <c r="O115"/>
    </row>
    <row r="116" spans="1:15" ht="15">
      <c r="A116" s="23" t="s">
        <v>31</v>
      </c>
      <c r="B116" s="24">
        <v>10.7912</v>
      </c>
      <c r="C116" s="24"/>
      <c r="D116" s="24"/>
      <c r="E116" s="24">
        <v>10.613354116602546</v>
      </c>
      <c r="F116" s="24"/>
      <c r="G116" s="24"/>
      <c r="H116" s="24">
        <v>12.880100000000001</v>
      </c>
      <c r="I116" s="27">
        <v>39873</v>
      </c>
      <c r="J116" s="5" t="str">
        <f t="shared" si="11"/>
        <v>2009 q1</v>
      </c>
      <c r="K116" s="12">
        <f t="shared" si="12"/>
        <v>0.10702277058301274</v>
      </c>
      <c r="L116" s="12" t="str">
        <f t="shared" si="13"/>
        <v/>
      </c>
      <c r="M116" s="12">
        <f t="shared" si="14"/>
        <v>0.128801</v>
      </c>
      <c r="O116"/>
    </row>
    <row r="117" spans="1:15" ht="15">
      <c r="A117" s="23" t="s">
        <v>32</v>
      </c>
      <c r="B117" s="24">
        <v>11.004879587195088</v>
      </c>
      <c r="C117" s="24">
        <v>10.974322379574845</v>
      </c>
      <c r="D117" s="24">
        <v>10.8743</v>
      </c>
      <c r="E117" s="24">
        <v>11.153579696714404</v>
      </c>
      <c r="F117" s="24"/>
      <c r="G117" s="24">
        <v>12.8514</v>
      </c>
      <c r="H117" s="24"/>
      <c r="I117" s="27">
        <v>39904</v>
      </c>
      <c r="J117" s="5" t="str">
        <f t="shared" si="11"/>
        <v>2009 q2</v>
      </c>
      <c r="K117" s="12">
        <f t="shared" si="12"/>
        <v>0.11001770415871084</v>
      </c>
      <c r="L117" s="12">
        <f t="shared" si="13"/>
        <v>0.12851399999999999</v>
      </c>
      <c r="M117" s="12" t="str">
        <f t="shared" si="14"/>
        <v/>
      </c>
      <c r="O117"/>
    </row>
    <row r="118" spans="1:15" ht="15">
      <c r="A118" s="23" t="s">
        <v>33</v>
      </c>
      <c r="B118" s="24"/>
      <c r="C118" s="24">
        <v>10.955</v>
      </c>
      <c r="D118" s="24">
        <v>11.12045</v>
      </c>
      <c r="E118" s="24">
        <v>11.509379245283018</v>
      </c>
      <c r="F118" s="24"/>
      <c r="G118" s="24">
        <v>13.59404423076923</v>
      </c>
      <c r="H118" s="24"/>
      <c r="I118" s="27">
        <v>39934</v>
      </c>
      <c r="J118" s="5" t="str">
        <f t="shared" si="11"/>
        <v>2009 q2</v>
      </c>
      <c r="K118" s="12">
        <f t="shared" si="12"/>
        <v>0.11194943081761005</v>
      </c>
      <c r="L118" s="12">
        <f t="shared" si="13"/>
        <v>0.13594044230769231</v>
      </c>
      <c r="M118" s="12" t="str">
        <f t="shared" si="14"/>
        <v/>
      </c>
      <c r="O118"/>
    </row>
    <row r="119" spans="1:15" ht="15">
      <c r="A119" s="23" t="s">
        <v>34</v>
      </c>
      <c r="B119" s="24"/>
      <c r="C119" s="24">
        <v>10.3277</v>
      </c>
      <c r="D119" s="24">
        <v>11.013</v>
      </c>
      <c r="E119" s="24">
        <v>10.68882</v>
      </c>
      <c r="F119" s="24"/>
      <c r="G119" s="24">
        <v>13.843825423728815</v>
      </c>
      <c r="H119" s="24">
        <v>15.515499999999999</v>
      </c>
      <c r="I119" s="27">
        <v>39965</v>
      </c>
      <c r="J119" s="5" t="str">
        <f t="shared" si="11"/>
        <v>2009 q2</v>
      </c>
      <c r="K119" s="12">
        <f t="shared" si="12"/>
        <v>0.10676506666666667</v>
      </c>
      <c r="L119" s="12">
        <f t="shared" si="13"/>
        <v>0.13843825423728814</v>
      </c>
      <c r="M119" s="12">
        <f t="shared" si="14"/>
        <v>0.15515499999999999</v>
      </c>
      <c r="O119"/>
    </row>
    <row r="120" spans="1:15" ht="15">
      <c r="A120" s="23" t="s">
        <v>35</v>
      </c>
      <c r="B120" s="24"/>
      <c r="C120" s="24"/>
      <c r="D120" s="24"/>
      <c r="E120" s="24">
        <v>9.2758333333333329</v>
      </c>
      <c r="F120" s="24"/>
      <c r="G120" s="24">
        <v>11.157225</v>
      </c>
      <c r="H120" s="24"/>
      <c r="I120" s="27">
        <v>39995</v>
      </c>
      <c r="J120" s="5" t="str">
        <f t="shared" si="11"/>
        <v>2009 q3</v>
      </c>
      <c r="K120" s="12">
        <f t="shared" si="12"/>
        <v>9.2758333333333332E-2</v>
      </c>
      <c r="L120" s="12">
        <f t="shared" si="13"/>
        <v>0.11157225</v>
      </c>
      <c r="M120" s="12" t="str">
        <f t="shared" si="14"/>
        <v/>
      </c>
      <c r="O120"/>
    </row>
    <row r="121" spans="1:15" ht="15">
      <c r="A121" s="23" t="s">
        <v>36</v>
      </c>
      <c r="B121" s="24"/>
      <c r="C121" s="24"/>
      <c r="D121" s="24"/>
      <c r="E121" s="24">
        <v>7.1307999999999998</v>
      </c>
      <c r="F121" s="24"/>
      <c r="G121" s="24">
        <v>10.617840000000001</v>
      </c>
      <c r="H121" s="24"/>
      <c r="I121" s="27">
        <v>40026</v>
      </c>
      <c r="J121" s="5" t="str">
        <f t="shared" si="11"/>
        <v>2009 q3</v>
      </c>
      <c r="K121" s="12">
        <f t="shared" si="12"/>
        <v>7.1307999999999996E-2</v>
      </c>
      <c r="L121" s="12">
        <f t="shared" si="13"/>
        <v>0.10617840000000001</v>
      </c>
      <c r="M121" s="12" t="str">
        <f t="shared" si="14"/>
        <v/>
      </c>
      <c r="O121"/>
    </row>
    <row r="122" spans="1:15" ht="15">
      <c r="A122" s="23" t="s">
        <v>37</v>
      </c>
      <c r="B122" s="24">
        <v>5.5804999999999998</v>
      </c>
      <c r="C122" s="24">
        <v>6.2297000000000002</v>
      </c>
      <c r="D122" s="24"/>
      <c r="E122" s="24">
        <v>7.4017999999999997</v>
      </c>
      <c r="F122" s="24"/>
      <c r="G122" s="24">
        <v>10.267243589743591</v>
      </c>
      <c r="H122" s="24">
        <v>13.334300000000001</v>
      </c>
      <c r="I122" s="27">
        <v>40057</v>
      </c>
      <c r="J122" s="5" t="str">
        <f t="shared" si="11"/>
        <v>2009 q3</v>
      </c>
      <c r="K122" s="12">
        <f t="shared" si="12"/>
        <v>6.404E-2</v>
      </c>
      <c r="L122" s="12">
        <f t="shared" si="13"/>
        <v>0.10267243589743591</v>
      </c>
      <c r="M122" s="12">
        <f t="shared" si="14"/>
        <v>0.13334300000000002</v>
      </c>
      <c r="O122"/>
    </row>
    <row r="123" spans="1:15" ht="15">
      <c r="A123" s="23" t="s">
        <v>38</v>
      </c>
      <c r="B123" s="24">
        <v>5.9765204081632648</v>
      </c>
      <c r="C123" s="24">
        <v>6.7481</v>
      </c>
      <c r="D123" s="24">
        <v>8.1784999999999997</v>
      </c>
      <c r="E123" s="24">
        <v>7.8040000000000003</v>
      </c>
      <c r="F123" s="24"/>
      <c r="G123" s="24">
        <v>12.2432</v>
      </c>
      <c r="H123" s="24"/>
      <c r="I123" s="27">
        <v>40087</v>
      </c>
      <c r="J123" s="5" t="str">
        <f t="shared" si="11"/>
        <v>2009 q4</v>
      </c>
      <c r="K123" s="12">
        <f t="shared" si="12"/>
        <v>7.1767801020408153E-2</v>
      </c>
      <c r="L123" s="12">
        <f t="shared" si="13"/>
        <v>0.122432</v>
      </c>
      <c r="M123" s="12" t="str">
        <f t="shared" si="14"/>
        <v/>
      </c>
      <c r="O123"/>
    </row>
    <row r="124" spans="1:15" ht="15">
      <c r="A124" s="23" t="s">
        <v>39</v>
      </c>
      <c r="B124" s="24"/>
      <c r="C124" s="24"/>
      <c r="D124" s="24">
        <v>8.7827999999999999</v>
      </c>
      <c r="E124" s="24">
        <v>8.9544500000000014</v>
      </c>
      <c r="F124" s="24"/>
      <c r="G124" s="24">
        <v>12.921935714285716</v>
      </c>
      <c r="H124" s="24"/>
      <c r="I124" s="27">
        <v>40118</v>
      </c>
      <c r="J124" s="5" t="str">
        <f t="shared" si="11"/>
        <v>2009 q4</v>
      </c>
      <c r="K124" s="12">
        <f t="shared" si="12"/>
        <v>8.8686250000000022E-2</v>
      </c>
      <c r="L124" s="12">
        <f t="shared" si="13"/>
        <v>0.12921935714285715</v>
      </c>
      <c r="M124" s="12" t="str">
        <f t="shared" si="14"/>
        <v/>
      </c>
      <c r="O124"/>
    </row>
    <row r="125" spans="1:15" ht="15">
      <c r="A125" s="23" t="s">
        <v>40</v>
      </c>
      <c r="B125" s="24"/>
      <c r="C125" s="24"/>
      <c r="D125" s="24">
        <v>8.6759000000000004</v>
      </c>
      <c r="E125" s="24">
        <v>9.023200000000001</v>
      </c>
      <c r="F125" s="24"/>
      <c r="G125" s="24">
        <v>13.360927103545805</v>
      </c>
      <c r="H125" s="24"/>
      <c r="I125" s="27">
        <v>40148</v>
      </c>
      <c r="J125" s="5" t="str">
        <f t="shared" si="11"/>
        <v>2009 q4</v>
      </c>
      <c r="K125" s="12">
        <f t="shared" si="12"/>
        <v>8.8495500000000005E-2</v>
      </c>
      <c r="L125" s="12">
        <f t="shared" si="13"/>
        <v>0.13360927103545805</v>
      </c>
      <c r="M125" s="12" t="str">
        <f t="shared" si="14"/>
        <v/>
      </c>
      <c r="O125"/>
    </row>
    <row r="126" spans="1:15" ht="15">
      <c r="A126" s="23" t="s">
        <v>50</v>
      </c>
      <c r="B126" s="24"/>
      <c r="C126" s="24">
        <v>8.1736000000000004</v>
      </c>
      <c r="D126" s="24">
        <v>8.6928999999999998</v>
      </c>
      <c r="E126" s="24">
        <v>9.2096999999999998</v>
      </c>
      <c r="F126" s="24"/>
      <c r="G126" s="24">
        <v>13.53152473347548</v>
      </c>
      <c r="H126" s="24"/>
      <c r="I126" s="27">
        <v>40179</v>
      </c>
      <c r="J126" s="5" t="str">
        <f t="shared" si="11"/>
        <v>2010 q1</v>
      </c>
      <c r="K126" s="12">
        <f t="shared" si="12"/>
        <v>8.6920666666666674E-2</v>
      </c>
      <c r="L126" s="12">
        <f t="shared" si="13"/>
        <v>0.13531524733475481</v>
      </c>
      <c r="M126" s="12" t="str">
        <f t="shared" si="14"/>
        <v/>
      </c>
      <c r="O126"/>
    </row>
    <row r="127" spans="1:15" ht="15">
      <c r="A127" s="23" t="s">
        <v>51</v>
      </c>
      <c r="B127" s="24">
        <v>8.3102999999999998</v>
      </c>
      <c r="C127" s="24">
        <v>8.7379999999999995</v>
      </c>
      <c r="D127" s="24">
        <v>9.0358000000000001</v>
      </c>
      <c r="E127" s="24">
        <v>9.5137999999999998</v>
      </c>
      <c r="F127" s="24"/>
      <c r="G127" s="24">
        <v>13.450517589795233</v>
      </c>
      <c r="H127" s="24"/>
      <c r="I127" s="27">
        <v>40210</v>
      </c>
      <c r="J127" s="5" t="str">
        <f t="shared" si="11"/>
        <v>2010 q1</v>
      </c>
      <c r="K127" s="12">
        <f t="shared" si="12"/>
        <v>8.8994749999999984E-2</v>
      </c>
      <c r="L127" s="12">
        <f t="shared" si="13"/>
        <v>0.13450517589795233</v>
      </c>
      <c r="M127" s="12" t="str">
        <f t="shared" si="14"/>
        <v/>
      </c>
      <c r="O127"/>
    </row>
    <row r="128" spans="1:15" ht="15">
      <c r="A128" s="23" t="s">
        <v>31</v>
      </c>
      <c r="B128" s="24">
        <v>7.9832999999999998</v>
      </c>
      <c r="C128" s="24">
        <v>8.79437608695652</v>
      </c>
      <c r="D128" s="24">
        <v>8.9784000000000006</v>
      </c>
      <c r="E128" s="24">
        <v>9.4966714680871487</v>
      </c>
      <c r="F128" s="24"/>
      <c r="G128" s="24">
        <v>13.361397674418605</v>
      </c>
      <c r="H128" s="24">
        <v>15.915872955974841</v>
      </c>
      <c r="I128" s="27">
        <v>40238</v>
      </c>
      <c r="J128" s="5" t="str">
        <f t="shared" si="11"/>
        <v>2010 q1</v>
      </c>
      <c r="K128" s="12">
        <f t="shared" si="12"/>
        <v>8.8131868887609169E-2</v>
      </c>
      <c r="L128" s="12">
        <f t="shared" si="13"/>
        <v>0.13361397674418604</v>
      </c>
      <c r="M128" s="12">
        <f t="shared" si="14"/>
        <v>0.15915872955974841</v>
      </c>
      <c r="O128"/>
    </row>
    <row r="129" spans="1:15" ht="15">
      <c r="A129" s="23" t="s">
        <v>32</v>
      </c>
      <c r="B129" s="24">
        <v>11.5237</v>
      </c>
      <c r="C129" s="24">
        <v>10.2249</v>
      </c>
      <c r="D129" s="24">
        <v>11.550700000000001</v>
      </c>
      <c r="E129" s="24">
        <v>10.227350560518129</v>
      </c>
      <c r="F129" s="24"/>
      <c r="G129" s="24">
        <v>14.82048947368421</v>
      </c>
      <c r="H129" s="24"/>
      <c r="I129" s="27">
        <v>40269</v>
      </c>
      <c r="J129" s="5" t="str">
        <f t="shared" si="11"/>
        <v>2010 q2</v>
      </c>
      <c r="K129" s="12">
        <f t="shared" si="12"/>
        <v>0.10881662640129534</v>
      </c>
      <c r="L129" s="12">
        <f t="shared" si="13"/>
        <v>0.14820489473684209</v>
      </c>
      <c r="M129" s="12" t="str">
        <f t="shared" si="14"/>
        <v/>
      </c>
      <c r="O129"/>
    </row>
    <row r="130" spans="1:15" ht="15">
      <c r="A130" s="23" t="s">
        <v>33</v>
      </c>
      <c r="B130" s="24">
        <v>12.884600000000001</v>
      </c>
      <c r="C130" s="24">
        <v>14.2575</v>
      </c>
      <c r="D130" s="24">
        <v>14.363700000000001</v>
      </c>
      <c r="E130" s="24">
        <v>13.927374251497007</v>
      </c>
      <c r="F130" s="24"/>
      <c r="G130" s="24">
        <v>15.730799999999999</v>
      </c>
      <c r="H130" s="24"/>
      <c r="I130" s="27">
        <v>40299</v>
      </c>
      <c r="J130" s="5" t="str">
        <f t="shared" si="11"/>
        <v>2010 q2</v>
      </c>
      <c r="K130" s="12">
        <f t="shared" si="12"/>
        <v>0.13858293562874252</v>
      </c>
      <c r="L130" s="12">
        <f t="shared" si="13"/>
        <v>0.15730799999999998</v>
      </c>
      <c r="M130" s="12" t="str">
        <f t="shared" si="14"/>
        <v/>
      </c>
      <c r="O130"/>
    </row>
    <row r="131" spans="1:15" ht="15">
      <c r="A131" s="23" t="s">
        <v>34</v>
      </c>
      <c r="B131" s="24">
        <v>7.4378000000000002</v>
      </c>
      <c r="C131" s="24">
        <v>10.767799999999999</v>
      </c>
      <c r="D131" s="24">
        <v>9.0990000000000002</v>
      </c>
      <c r="E131" s="24">
        <v>10.084466666666668</v>
      </c>
      <c r="F131" s="24"/>
      <c r="G131" s="24">
        <v>12.92905</v>
      </c>
      <c r="H131" s="24">
        <v>15.120133333333333</v>
      </c>
      <c r="I131" s="27">
        <v>40330</v>
      </c>
      <c r="J131" s="5" t="str">
        <f t="shared" si="11"/>
        <v>2010 q2</v>
      </c>
      <c r="K131" s="12">
        <f t="shared" si="12"/>
        <v>9.3472666666666662E-2</v>
      </c>
      <c r="L131" s="12">
        <f t="shared" si="13"/>
        <v>0.1292905</v>
      </c>
      <c r="M131" s="12">
        <f t="shared" si="14"/>
        <v>0.15120133333333333</v>
      </c>
      <c r="O131"/>
    </row>
    <row r="132" spans="1:15" ht="15">
      <c r="A132" s="23" t="s">
        <v>35</v>
      </c>
      <c r="B132" s="24">
        <v>7.4527000000000001</v>
      </c>
      <c r="C132" s="24">
        <v>8.0193999999999992</v>
      </c>
      <c r="D132" s="24">
        <v>8.5946999999999996</v>
      </c>
      <c r="E132" s="24">
        <v>9.09</v>
      </c>
      <c r="F132" s="24"/>
      <c r="G132" s="24">
        <v>12.840933333333332</v>
      </c>
      <c r="H132" s="24"/>
      <c r="I132" s="27">
        <v>40360</v>
      </c>
      <c r="J132" s="5" t="str">
        <f t="shared" si="11"/>
        <v>2010 q3</v>
      </c>
      <c r="K132" s="12">
        <f t="shared" si="12"/>
        <v>8.2892000000000007E-2</v>
      </c>
      <c r="L132" s="12">
        <f t="shared" si="13"/>
        <v>0.12840933333333332</v>
      </c>
      <c r="M132" s="12" t="str">
        <f t="shared" si="14"/>
        <v/>
      </c>
      <c r="O132"/>
    </row>
    <row r="133" spans="1:15" ht="15">
      <c r="A133" s="23" t="s">
        <v>36</v>
      </c>
      <c r="B133" s="24">
        <v>8.7100000000000009</v>
      </c>
      <c r="C133" s="24">
        <v>10.41</v>
      </c>
      <c r="D133" s="24">
        <v>10.35</v>
      </c>
      <c r="E133" s="24">
        <v>10.85</v>
      </c>
      <c r="F133" s="24"/>
      <c r="G133" s="24">
        <v>14.13</v>
      </c>
      <c r="H133" s="24"/>
      <c r="I133" s="27">
        <v>40391</v>
      </c>
      <c r="J133" s="5" t="str">
        <f t="shared" si="11"/>
        <v>2010 q3</v>
      </c>
      <c r="K133" s="12">
        <f t="shared" si="12"/>
        <v>0.1008</v>
      </c>
      <c r="L133" s="12">
        <f t="shared" si="13"/>
        <v>0.14130000000000001</v>
      </c>
      <c r="M133" s="12" t="str">
        <f t="shared" si="14"/>
        <v/>
      </c>
      <c r="O133"/>
    </row>
    <row r="134" spans="1:15" ht="15">
      <c r="A134" s="23" t="s">
        <v>37</v>
      </c>
      <c r="B134" s="24">
        <v>8.9833999999999996</v>
      </c>
      <c r="C134" s="24">
        <v>11.549899999999999</v>
      </c>
      <c r="D134" s="24">
        <v>11.745962965987005</v>
      </c>
      <c r="E134" s="24">
        <v>12.0664</v>
      </c>
      <c r="F134" s="24"/>
      <c r="G134" s="24"/>
      <c r="H134" s="24">
        <v>15.95054214775277</v>
      </c>
      <c r="I134" s="27">
        <v>40422</v>
      </c>
      <c r="J134" s="5" t="str">
        <f t="shared" si="11"/>
        <v>2010 q3</v>
      </c>
      <c r="K134" s="12">
        <f t="shared" si="12"/>
        <v>0.11086415741496751</v>
      </c>
      <c r="L134" s="12" t="str">
        <f t="shared" si="13"/>
        <v/>
      </c>
      <c r="M134" s="12">
        <f t="shared" si="14"/>
        <v>0.15950542147752769</v>
      </c>
      <c r="O134"/>
    </row>
    <row r="135" spans="1:15" ht="15">
      <c r="A135" s="23" t="s">
        <v>38</v>
      </c>
      <c r="B135" s="24">
        <v>8.8834</v>
      </c>
      <c r="C135" s="24">
        <v>9.5644857142857127</v>
      </c>
      <c r="D135" s="24">
        <v>10.0634</v>
      </c>
      <c r="E135" s="24">
        <v>11.504799999999999</v>
      </c>
      <c r="F135" s="24"/>
      <c r="G135" s="24">
        <v>14.489699999999999</v>
      </c>
      <c r="H135" s="24"/>
      <c r="I135" s="27">
        <v>40452</v>
      </c>
      <c r="J135" s="5" t="str">
        <f t="shared" ref="J135:J198" si="19">YEAR(I135)&amp;" q"&amp;ROUNDUP(MONTH(I135)/3,0)</f>
        <v>2010 q4</v>
      </c>
      <c r="K135" s="12">
        <f t="shared" ref="K135:K198" si="20">IFERROR(AVERAGE(B135:E135)/100,"")</f>
        <v>0.10004021428571427</v>
      </c>
      <c r="L135" s="12">
        <f t="shared" ref="L135:L198" si="21">IFERROR(AVERAGE(F135:G135)/100,"")</f>
        <v>0.144897</v>
      </c>
      <c r="M135" s="12" t="str">
        <f t="shared" ref="M135:M198" si="22">IF(IFERROR(H135/100,"")=0,"",IFERROR(H135/100,""))</f>
        <v/>
      </c>
      <c r="O135"/>
    </row>
    <row r="136" spans="1:15" ht="15">
      <c r="A136" s="23" t="s">
        <v>39</v>
      </c>
      <c r="B136" s="24">
        <v>7.6066000000000003</v>
      </c>
      <c r="C136" s="24">
        <v>8.2470499999999998</v>
      </c>
      <c r="D136" s="24">
        <v>9.1729000000000003</v>
      </c>
      <c r="E136" s="24">
        <v>11.5273</v>
      </c>
      <c r="F136" s="24"/>
      <c r="G136" s="24">
        <v>14.5594</v>
      </c>
      <c r="H136" s="24"/>
      <c r="I136" s="27">
        <v>40483</v>
      </c>
      <c r="J136" s="5" t="str">
        <f t="shared" si="19"/>
        <v>2010 q4</v>
      </c>
      <c r="K136" s="12">
        <f t="shared" si="20"/>
        <v>9.1384624999999997E-2</v>
      </c>
      <c r="L136" s="12">
        <f t="shared" si="21"/>
        <v>0.145594</v>
      </c>
      <c r="M136" s="12" t="str">
        <f t="shared" si="22"/>
        <v/>
      </c>
      <c r="O136"/>
    </row>
    <row r="137" spans="1:15" ht="15">
      <c r="A137" s="23" t="s">
        <v>40</v>
      </c>
      <c r="B137" s="24">
        <v>7.8070666666666666</v>
      </c>
      <c r="C137" s="24">
        <v>8.0950000000000006</v>
      </c>
      <c r="D137" s="24">
        <v>9.5564999999999998</v>
      </c>
      <c r="E137" s="24">
        <v>9.5305999999999997</v>
      </c>
      <c r="F137" s="24"/>
      <c r="G137" s="24">
        <v>14.0791</v>
      </c>
      <c r="H137" s="24"/>
      <c r="I137" s="27">
        <v>40513</v>
      </c>
      <c r="J137" s="5" t="str">
        <f t="shared" si="19"/>
        <v>2010 q4</v>
      </c>
      <c r="K137" s="12">
        <f t="shared" si="20"/>
        <v>8.747291666666665E-2</v>
      </c>
      <c r="L137" s="12">
        <f t="shared" si="21"/>
        <v>0.140791</v>
      </c>
      <c r="M137" s="12" t="str">
        <f t="shared" si="22"/>
        <v/>
      </c>
      <c r="O137"/>
    </row>
    <row r="138" spans="1:15" ht="15">
      <c r="A138" s="23" t="s">
        <v>52</v>
      </c>
      <c r="B138" s="24">
        <v>8.3583666666666669</v>
      </c>
      <c r="C138" s="24">
        <v>8.4664000000000001</v>
      </c>
      <c r="D138" s="24">
        <v>9.2530999999999999</v>
      </c>
      <c r="E138" s="24"/>
      <c r="F138" s="24"/>
      <c r="G138" s="24">
        <v>13.529299999999999</v>
      </c>
      <c r="H138" s="24"/>
      <c r="I138" s="27">
        <v>40544</v>
      </c>
      <c r="J138" s="5" t="str">
        <f t="shared" si="19"/>
        <v>2011 q1</v>
      </c>
      <c r="K138" s="12">
        <f t="shared" si="20"/>
        <v>8.6926222222222224E-2</v>
      </c>
      <c r="L138" s="12">
        <f t="shared" si="21"/>
        <v>0.135293</v>
      </c>
      <c r="M138" s="12" t="str">
        <f t="shared" si="22"/>
        <v/>
      </c>
      <c r="O138"/>
    </row>
    <row r="139" spans="1:15" ht="15">
      <c r="A139" s="23" t="s">
        <v>51</v>
      </c>
      <c r="B139" s="24">
        <v>7.3235999999999999</v>
      </c>
      <c r="C139" s="24">
        <v>8</v>
      </c>
      <c r="D139" s="24">
        <v>8.6693999999999996</v>
      </c>
      <c r="E139" s="24">
        <v>9.6453000000000007</v>
      </c>
      <c r="F139" s="24"/>
      <c r="G139" s="24">
        <v>13.8345</v>
      </c>
      <c r="H139" s="24">
        <v>14.7554</v>
      </c>
      <c r="I139" s="27">
        <v>40575</v>
      </c>
      <c r="J139" s="5" t="str">
        <f t="shared" si="19"/>
        <v>2011 q1</v>
      </c>
      <c r="K139" s="12">
        <f t="shared" si="20"/>
        <v>8.4095749999999997E-2</v>
      </c>
      <c r="L139" s="12">
        <f t="shared" si="21"/>
        <v>0.138345</v>
      </c>
      <c r="M139" s="12">
        <f t="shared" si="22"/>
        <v>0.14755399999999999</v>
      </c>
      <c r="O139"/>
    </row>
    <row r="140" spans="1:15" ht="15">
      <c r="A140" s="23" t="s">
        <v>31</v>
      </c>
      <c r="B140" s="24">
        <v>6.835490000000001</v>
      </c>
      <c r="C140" s="24">
        <v>7.1947999999999999</v>
      </c>
      <c r="D140" s="24">
        <v>7.4390999999999998</v>
      </c>
      <c r="E140" s="24"/>
      <c r="F140" s="24"/>
      <c r="G140" s="24"/>
      <c r="H140" s="24">
        <v>15.96575</v>
      </c>
      <c r="I140" s="27">
        <v>40603</v>
      </c>
      <c r="J140" s="5" t="str">
        <f t="shared" si="19"/>
        <v>2011 q1</v>
      </c>
      <c r="K140" s="12">
        <f t="shared" si="20"/>
        <v>7.1564633333333336E-2</v>
      </c>
      <c r="L140" s="12" t="str">
        <f t="shared" si="21"/>
        <v/>
      </c>
      <c r="M140" s="12">
        <f t="shared" si="22"/>
        <v>0.15965750000000001</v>
      </c>
      <c r="O140"/>
    </row>
    <row r="141" spans="1:15" ht="15">
      <c r="A141" s="23" t="s">
        <v>32</v>
      </c>
      <c r="B141" s="24">
        <v>9.0696479702687238</v>
      </c>
      <c r="C141" s="24">
        <v>8.0798000000000005</v>
      </c>
      <c r="D141" s="24">
        <v>9.3146000000000004</v>
      </c>
      <c r="E141" s="24">
        <v>8.8031000000000006</v>
      </c>
      <c r="F141" s="24"/>
      <c r="G141" s="24">
        <v>13.764050000000001</v>
      </c>
      <c r="H141" s="24"/>
      <c r="I141" s="27">
        <v>40634</v>
      </c>
      <c r="J141" s="5" t="str">
        <f t="shared" si="19"/>
        <v>2011 q2</v>
      </c>
      <c r="K141" s="12">
        <f t="shared" si="20"/>
        <v>8.8167869925671813E-2</v>
      </c>
      <c r="L141" s="12">
        <f t="shared" si="21"/>
        <v>0.1376405</v>
      </c>
      <c r="M141" s="12" t="str">
        <f t="shared" si="22"/>
        <v/>
      </c>
      <c r="O141"/>
    </row>
    <row r="142" spans="1:15" ht="15">
      <c r="A142" s="23" t="s">
        <v>33</v>
      </c>
      <c r="B142" s="24">
        <v>8.9969999999999999</v>
      </c>
      <c r="C142" s="24"/>
      <c r="D142" s="24">
        <v>9.8781999999999996</v>
      </c>
      <c r="E142" s="24">
        <v>10.456099999999999</v>
      </c>
      <c r="F142" s="24"/>
      <c r="G142" s="24">
        <v>13.976700000000001</v>
      </c>
      <c r="H142" s="24">
        <v>15.0532</v>
      </c>
      <c r="I142" s="27">
        <v>40664</v>
      </c>
      <c r="J142" s="5" t="str">
        <f t="shared" si="19"/>
        <v>2011 q2</v>
      </c>
      <c r="K142" s="12">
        <f t="shared" si="20"/>
        <v>9.7770999999999997E-2</v>
      </c>
      <c r="L142" s="12">
        <f t="shared" si="21"/>
        <v>0.139767</v>
      </c>
      <c r="M142" s="12">
        <f t="shared" si="22"/>
        <v>0.150532</v>
      </c>
      <c r="O142"/>
    </row>
    <row r="143" spans="1:15" ht="15">
      <c r="A143" s="23" t="s">
        <v>34</v>
      </c>
      <c r="B143" s="24">
        <v>8.2530999999999999</v>
      </c>
      <c r="C143" s="24">
        <v>8.9565999999999999</v>
      </c>
      <c r="D143" s="24">
        <v>9.4743999999999993</v>
      </c>
      <c r="E143" s="24">
        <v>10.4415</v>
      </c>
      <c r="F143" s="24"/>
      <c r="G143" s="24"/>
      <c r="H143" s="24">
        <v>15.85667741935484</v>
      </c>
      <c r="I143" s="27">
        <v>40695</v>
      </c>
      <c r="J143" s="5" t="str">
        <f t="shared" si="19"/>
        <v>2011 q2</v>
      </c>
      <c r="K143" s="12">
        <f t="shared" si="20"/>
        <v>9.2813999999999994E-2</v>
      </c>
      <c r="L143" s="12" t="str">
        <f t="shared" si="21"/>
        <v/>
      </c>
      <c r="M143" s="12">
        <f t="shared" si="22"/>
        <v>0.15856677419354839</v>
      </c>
      <c r="O143"/>
    </row>
    <row r="144" spans="1:15" ht="15">
      <c r="A144" s="23" t="s">
        <v>35</v>
      </c>
      <c r="B144" s="24">
        <v>7.8996000000000004</v>
      </c>
      <c r="C144" s="24">
        <v>8.5542999999999996</v>
      </c>
      <c r="D144" s="24">
        <v>9.0860000000000003</v>
      </c>
      <c r="E144" s="24"/>
      <c r="F144" s="24"/>
      <c r="G144" s="24">
        <v>13.588266666666666</v>
      </c>
      <c r="H144" s="24"/>
      <c r="I144" s="27">
        <v>40725</v>
      </c>
      <c r="J144" s="5" t="str">
        <f t="shared" si="19"/>
        <v>2011 q3</v>
      </c>
      <c r="K144" s="12">
        <f t="shared" si="20"/>
        <v>8.5133000000000014E-2</v>
      </c>
      <c r="L144" s="12">
        <f t="shared" si="21"/>
        <v>0.13588266666666665</v>
      </c>
      <c r="M144" s="12" t="str">
        <f t="shared" si="22"/>
        <v/>
      </c>
      <c r="O144"/>
    </row>
    <row r="145" spans="1:15" ht="15">
      <c r="A145" s="23" t="s">
        <v>36</v>
      </c>
      <c r="B145" s="24">
        <v>7.5526</v>
      </c>
      <c r="C145" s="24">
        <v>8.0173000000000005</v>
      </c>
      <c r="D145" s="24"/>
      <c r="E145" s="24"/>
      <c r="F145" s="24"/>
      <c r="G145" s="24">
        <v>13.982655837563453</v>
      </c>
      <c r="H145" s="24">
        <v>15.329700000000001</v>
      </c>
      <c r="I145" s="27">
        <v>40756</v>
      </c>
      <c r="J145" s="5" t="str">
        <f t="shared" si="19"/>
        <v>2011 q3</v>
      </c>
      <c r="K145" s="12">
        <f t="shared" si="20"/>
        <v>7.7849500000000002E-2</v>
      </c>
      <c r="L145" s="12">
        <f t="shared" si="21"/>
        <v>0.13982655837563451</v>
      </c>
      <c r="M145" s="12">
        <f t="shared" si="22"/>
        <v>0.15329700000000002</v>
      </c>
      <c r="O145"/>
    </row>
    <row r="146" spans="1:15" ht="15">
      <c r="A146" s="23" t="s">
        <v>37</v>
      </c>
      <c r="B146" s="24">
        <v>7</v>
      </c>
      <c r="C146" s="24">
        <v>7.6341999999999999</v>
      </c>
      <c r="D146" s="24">
        <v>8.4107000000000003</v>
      </c>
      <c r="E146" s="24">
        <v>9.2529000000000003</v>
      </c>
      <c r="F146" s="24"/>
      <c r="G146" s="24"/>
      <c r="H146" s="24">
        <v>15.704750000000001</v>
      </c>
      <c r="I146" s="27">
        <v>40787</v>
      </c>
      <c r="J146" s="5" t="str">
        <f t="shared" si="19"/>
        <v>2011 q3</v>
      </c>
      <c r="K146" s="12">
        <f t="shared" si="20"/>
        <v>8.0744499999999983E-2</v>
      </c>
      <c r="L146" s="12" t="str">
        <f t="shared" si="21"/>
        <v/>
      </c>
      <c r="M146" s="12">
        <f t="shared" si="22"/>
        <v>0.15704750000000001</v>
      </c>
      <c r="O146"/>
    </row>
    <row r="147" spans="1:15" ht="15">
      <c r="A147" s="23" t="s">
        <v>38</v>
      </c>
      <c r="B147" s="24">
        <v>8.0199857142857152</v>
      </c>
      <c r="C147" s="24">
        <v>8.3077000000000005</v>
      </c>
      <c r="D147" s="24">
        <v>8.3783999999999992</v>
      </c>
      <c r="E147" s="24">
        <v>8.9428000000000001</v>
      </c>
      <c r="F147" s="24"/>
      <c r="G147" s="24">
        <v>13.827999999999999</v>
      </c>
      <c r="H147" s="24"/>
      <c r="I147" s="27">
        <v>40817</v>
      </c>
      <c r="J147" s="5" t="str">
        <f t="shared" si="19"/>
        <v>2011 q4</v>
      </c>
      <c r="K147" s="12">
        <f t="shared" si="20"/>
        <v>8.4122214285714272E-2</v>
      </c>
      <c r="L147" s="12">
        <f t="shared" si="21"/>
        <v>0.13827999999999999</v>
      </c>
      <c r="M147" s="12" t="str">
        <f t="shared" si="22"/>
        <v/>
      </c>
      <c r="O147"/>
    </row>
    <row r="148" spans="1:15" ht="15">
      <c r="A148" s="23" t="s">
        <v>39</v>
      </c>
      <c r="B148" s="24">
        <v>9.2870000000000008</v>
      </c>
      <c r="C148" s="24">
        <v>8.4444999999999997</v>
      </c>
      <c r="D148" s="24">
        <v>9.1142000000000003</v>
      </c>
      <c r="E148" s="24">
        <v>9.1122999999999994</v>
      </c>
      <c r="F148" s="24"/>
      <c r="G148" s="24">
        <v>13.880750000000001</v>
      </c>
      <c r="H148" s="24">
        <v>15.4663</v>
      </c>
      <c r="I148" s="27">
        <v>40848</v>
      </c>
      <c r="J148" s="5" t="str">
        <f t="shared" si="19"/>
        <v>2011 q4</v>
      </c>
      <c r="K148" s="12">
        <f t="shared" si="20"/>
        <v>8.9895000000000003E-2</v>
      </c>
      <c r="L148" s="12">
        <f t="shared" si="21"/>
        <v>0.1388075</v>
      </c>
      <c r="M148" s="12">
        <f t="shared" si="22"/>
        <v>0.15466299999999999</v>
      </c>
      <c r="O148"/>
    </row>
    <row r="149" spans="1:15" ht="15">
      <c r="A149" s="23" t="s">
        <v>40</v>
      </c>
      <c r="B149" s="24">
        <v>11.229839534883721</v>
      </c>
      <c r="C149" s="24">
        <v>9.7075999999999993</v>
      </c>
      <c r="D149" s="24">
        <v>10.474</v>
      </c>
      <c r="E149" s="24">
        <v>9.8675999999999995</v>
      </c>
      <c r="F149" s="24"/>
      <c r="G149" s="24"/>
      <c r="H149" s="24">
        <v>16.190200000000001</v>
      </c>
      <c r="I149" s="27">
        <v>40878</v>
      </c>
      <c r="J149" s="5" t="str">
        <f t="shared" si="19"/>
        <v>2011 q4</v>
      </c>
      <c r="K149" s="12">
        <f t="shared" si="20"/>
        <v>0.1031975988372093</v>
      </c>
      <c r="L149" s="12" t="str">
        <f t="shared" si="21"/>
        <v/>
      </c>
      <c r="M149" s="12">
        <f t="shared" si="22"/>
        <v>0.16190200000000002</v>
      </c>
      <c r="O149"/>
    </row>
    <row r="150" spans="1:15" ht="15">
      <c r="A150" s="23" t="s">
        <v>53</v>
      </c>
      <c r="B150" s="24">
        <v>10.1723</v>
      </c>
      <c r="C150" s="24">
        <v>11</v>
      </c>
      <c r="D150" s="24">
        <v>10.757400000000001</v>
      </c>
      <c r="E150" s="24"/>
      <c r="F150" s="24"/>
      <c r="G150" s="24">
        <v>13.974050279329608</v>
      </c>
      <c r="H150" s="24"/>
      <c r="I150" s="27">
        <v>40909</v>
      </c>
      <c r="J150" s="5" t="str">
        <f t="shared" si="19"/>
        <v>2012 q1</v>
      </c>
      <c r="K150" s="12">
        <f t="shared" si="20"/>
        <v>0.10643233333333332</v>
      </c>
      <c r="L150" s="12">
        <f t="shared" si="21"/>
        <v>0.13974050279329608</v>
      </c>
      <c r="M150" s="12" t="str">
        <f t="shared" si="22"/>
        <v/>
      </c>
      <c r="O150"/>
    </row>
    <row r="151" spans="1:15" ht="15">
      <c r="A151" s="23" t="s">
        <v>51</v>
      </c>
      <c r="B151" s="24">
        <v>7.1451000000000002</v>
      </c>
      <c r="C151" s="24">
        <v>9.5</v>
      </c>
      <c r="D151" s="24">
        <v>8.3976000000000006</v>
      </c>
      <c r="E151" s="24">
        <v>10.555899999999999</v>
      </c>
      <c r="F151" s="24"/>
      <c r="G151" s="24">
        <v>13.99705</v>
      </c>
      <c r="H151" s="24">
        <v>15.388199999999999</v>
      </c>
      <c r="I151" s="27">
        <v>40940</v>
      </c>
      <c r="J151" s="5" t="str">
        <f t="shared" si="19"/>
        <v>2012 q1</v>
      </c>
      <c r="K151" s="12">
        <f t="shared" si="20"/>
        <v>8.8996499999999992E-2</v>
      </c>
      <c r="L151" s="12">
        <f t="shared" si="21"/>
        <v>0.1399705</v>
      </c>
      <c r="M151" s="12">
        <f t="shared" si="22"/>
        <v>0.15388199999999999</v>
      </c>
      <c r="O151"/>
    </row>
    <row r="152" spans="1:15" ht="15">
      <c r="A152" s="23" t="s">
        <v>31</v>
      </c>
      <c r="B152" s="24">
        <v>7.962933333333333</v>
      </c>
      <c r="C152" s="24">
        <v>8.3633000000000006</v>
      </c>
      <c r="D152" s="24">
        <v>8.7498000000000005</v>
      </c>
      <c r="E152" s="24">
        <v>9.2390000000000008</v>
      </c>
      <c r="F152" s="24"/>
      <c r="G152" s="24"/>
      <c r="H152" s="24">
        <v>16.1174</v>
      </c>
      <c r="I152" s="27">
        <v>40969</v>
      </c>
      <c r="J152" s="5" t="str">
        <f t="shared" si="19"/>
        <v>2012 q1</v>
      </c>
      <c r="K152" s="12">
        <f t="shared" si="20"/>
        <v>8.5787583333333334E-2</v>
      </c>
      <c r="L152" s="12" t="str">
        <f t="shared" si="21"/>
        <v/>
      </c>
      <c r="M152" s="12">
        <f t="shared" si="22"/>
        <v>0.16117400000000001</v>
      </c>
      <c r="O152"/>
    </row>
    <row r="153" spans="1:15" ht="15">
      <c r="A153" s="23" t="s">
        <v>32</v>
      </c>
      <c r="B153" s="24">
        <v>8.0902999999999992</v>
      </c>
      <c r="C153" s="24"/>
      <c r="D153" s="24">
        <v>8.8522999999999996</v>
      </c>
      <c r="E153" s="24">
        <v>9.2777999999999992</v>
      </c>
      <c r="F153" s="24"/>
      <c r="G153" s="24">
        <v>13.865763636363639</v>
      </c>
      <c r="H153" s="24"/>
      <c r="I153" s="27">
        <v>41000</v>
      </c>
      <c r="J153" s="5" t="str">
        <f t="shared" si="19"/>
        <v>2012 q2</v>
      </c>
      <c r="K153" s="12">
        <f t="shared" si="20"/>
        <v>8.7401333333333331E-2</v>
      </c>
      <c r="L153" s="12">
        <f t="shared" si="21"/>
        <v>0.13865763636363637</v>
      </c>
      <c r="M153" s="12" t="str">
        <f t="shared" si="22"/>
        <v/>
      </c>
      <c r="O153"/>
    </row>
    <row r="154" spans="1:15" ht="15">
      <c r="A154" s="23" t="s">
        <v>33</v>
      </c>
      <c r="B154" s="24"/>
      <c r="C154" s="24">
        <v>8.3072999999999997</v>
      </c>
      <c r="D154" s="24">
        <v>8.8817000000000004</v>
      </c>
      <c r="E154" s="24">
        <v>9.2489000000000008</v>
      </c>
      <c r="F154" s="24"/>
      <c r="G154" s="24">
        <v>14.379849999999999</v>
      </c>
      <c r="H154" s="24">
        <v>15.4824</v>
      </c>
      <c r="I154" s="27">
        <v>41030</v>
      </c>
      <c r="J154" s="5" t="str">
        <f t="shared" si="19"/>
        <v>2012 q2</v>
      </c>
      <c r="K154" s="12">
        <f t="shared" si="20"/>
        <v>8.812633333333332E-2</v>
      </c>
      <c r="L154" s="12">
        <f t="shared" si="21"/>
        <v>0.1437985</v>
      </c>
      <c r="M154" s="12">
        <f t="shared" si="22"/>
        <v>0.15482399999999999</v>
      </c>
      <c r="O154"/>
    </row>
    <row r="155" spans="1:15" ht="15">
      <c r="A155" s="23" t="s">
        <v>34</v>
      </c>
      <c r="B155" s="24">
        <v>8.4565000000000001</v>
      </c>
      <c r="C155" s="24">
        <v>8.4528999999999996</v>
      </c>
      <c r="D155" s="24">
        <v>9.0038</v>
      </c>
      <c r="E155" s="24">
        <v>9.2789000000000001</v>
      </c>
      <c r="F155" s="24"/>
      <c r="G155" s="24"/>
      <c r="H155" s="24">
        <v>16.094033853676887</v>
      </c>
      <c r="I155" s="27">
        <v>41061</v>
      </c>
      <c r="J155" s="5" t="str">
        <f t="shared" si="19"/>
        <v>2012 q2</v>
      </c>
      <c r="K155" s="12">
        <f t="shared" si="20"/>
        <v>8.7980249999999996E-2</v>
      </c>
      <c r="L155" s="12" t="str">
        <f t="shared" si="21"/>
        <v/>
      </c>
      <c r="M155" s="12">
        <f t="shared" si="22"/>
        <v>0.16094033853676887</v>
      </c>
      <c r="O155"/>
    </row>
    <row r="156" spans="1:15" ht="15">
      <c r="A156" s="23" t="s">
        <v>35</v>
      </c>
      <c r="B156" s="24">
        <v>8.9541000000000004</v>
      </c>
      <c r="C156" s="24">
        <v>9.0832999999999995</v>
      </c>
      <c r="D156" s="24"/>
      <c r="E156" s="24">
        <v>9.34</v>
      </c>
      <c r="F156" s="24"/>
      <c r="G156" s="24">
        <v>14.548999999999999</v>
      </c>
      <c r="H156" s="24"/>
      <c r="I156" s="27">
        <v>41091</v>
      </c>
      <c r="J156" s="5" t="str">
        <f t="shared" si="19"/>
        <v>2012 q3</v>
      </c>
      <c r="K156" s="12">
        <f t="shared" si="20"/>
        <v>9.1258000000000006E-2</v>
      </c>
      <c r="L156" s="12">
        <f t="shared" si="21"/>
        <v>0.14549000000000001</v>
      </c>
      <c r="M156" s="12" t="str">
        <f t="shared" si="22"/>
        <v/>
      </c>
      <c r="O156"/>
    </row>
    <row r="157" spans="1:15" ht="15">
      <c r="A157" s="23" t="s">
        <v>36</v>
      </c>
      <c r="B157" s="24">
        <v>9.0302000000000007</v>
      </c>
      <c r="C157" s="24"/>
      <c r="D157" s="24">
        <v>9.3138000000000005</v>
      </c>
      <c r="E157" s="24">
        <v>9.6532999999999998</v>
      </c>
      <c r="F157" s="24"/>
      <c r="G157" s="24">
        <v>14.567290909090911</v>
      </c>
      <c r="H157" s="24">
        <v>15.4559</v>
      </c>
      <c r="I157" s="27">
        <v>41122</v>
      </c>
      <c r="J157" s="5" t="str">
        <f t="shared" si="19"/>
        <v>2012 q3</v>
      </c>
      <c r="K157" s="12">
        <f t="shared" si="20"/>
        <v>9.3324333333333342E-2</v>
      </c>
      <c r="L157" s="12">
        <f t="shared" si="21"/>
        <v>0.1456729090909091</v>
      </c>
      <c r="M157" s="12">
        <f t="shared" si="22"/>
        <v>0.154559</v>
      </c>
      <c r="O157"/>
    </row>
    <row r="158" spans="1:15" ht="15">
      <c r="A158" s="23" t="s">
        <v>37</v>
      </c>
      <c r="B158" s="24">
        <v>8.6516999999999999</v>
      </c>
      <c r="C158" s="24">
        <v>9.1849000000000007</v>
      </c>
      <c r="D158" s="24">
        <v>9.5198</v>
      </c>
      <c r="E158" s="24">
        <v>9.8360000000000003</v>
      </c>
      <c r="F158" s="24"/>
      <c r="G158" s="24"/>
      <c r="H158" s="24">
        <v>16.255628571428574</v>
      </c>
      <c r="I158" s="27">
        <v>41153</v>
      </c>
      <c r="J158" s="5" t="str">
        <f t="shared" si="19"/>
        <v>2012 q3</v>
      </c>
      <c r="K158" s="12">
        <f t="shared" si="20"/>
        <v>9.2980999999999994E-2</v>
      </c>
      <c r="L158" s="12" t="str">
        <f t="shared" si="21"/>
        <v/>
      </c>
      <c r="M158" s="12">
        <f t="shared" si="22"/>
        <v>0.16255628571428574</v>
      </c>
      <c r="O158"/>
    </row>
    <row r="159" spans="1:15" ht="15">
      <c r="A159" s="23" t="s">
        <v>38</v>
      </c>
      <c r="B159" s="24">
        <v>8.8033999999999999</v>
      </c>
      <c r="C159" s="24">
        <v>9.5667000000000009</v>
      </c>
      <c r="D159" s="24">
        <v>9.8157999999999994</v>
      </c>
      <c r="E159" s="24">
        <v>10.1401</v>
      </c>
      <c r="F159" s="24"/>
      <c r="G159" s="24">
        <v>14.629799999999999</v>
      </c>
      <c r="H159" s="24"/>
      <c r="I159" s="27">
        <v>41183</v>
      </c>
      <c r="J159" s="5" t="str">
        <f t="shared" si="19"/>
        <v>2012 q4</v>
      </c>
      <c r="K159" s="12">
        <f t="shared" si="20"/>
        <v>9.5814999999999997E-2</v>
      </c>
      <c r="L159" s="12">
        <f t="shared" si="21"/>
        <v>0.14629799999999998</v>
      </c>
      <c r="M159" s="12" t="str">
        <f t="shared" si="22"/>
        <v/>
      </c>
      <c r="O159"/>
    </row>
    <row r="160" spans="1:15" ht="15">
      <c r="A160" s="23" t="s">
        <v>39</v>
      </c>
      <c r="B160" s="24">
        <v>9.2421000000000006</v>
      </c>
      <c r="C160" s="24">
        <v>9.8095999999999997</v>
      </c>
      <c r="D160" s="24">
        <v>10.276</v>
      </c>
      <c r="E160" s="24">
        <v>10.3591</v>
      </c>
      <c r="F160" s="24"/>
      <c r="G160" s="24">
        <v>14.6709</v>
      </c>
      <c r="H160" s="24">
        <v>15.419700000000001</v>
      </c>
      <c r="I160" s="27">
        <v>41214</v>
      </c>
      <c r="J160" s="5" t="str">
        <f t="shared" si="19"/>
        <v>2012 q4</v>
      </c>
      <c r="K160" s="12">
        <f t="shared" si="20"/>
        <v>9.9217E-2</v>
      </c>
      <c r="L160" s="12">
        <f t="shared" si="21"/>
        <v>0.14670900000000001</v>
      </c>
      <c r="M160" s="12">
        <f t="shared" si="22"/>
        <v>0.154197</v>
      </c>
      <c r="O160"/>
    </row>
    <row r="161" spans="1:15" ht="15">
      <c r="A161" s="23" t="s">
        <v>40</v>
      </c>
      <c r="B161" s="24">
        <v>9.8949999999999996</v>
      </c>
      <c r="C161" s="24">
        <v>10.0992</v>
      </c>
      <c r="D161" s="24">
        <v>10.753</v>
      </c>
      <c r="E161" s="24">
        <v>10.723599999999999</v>
      </c>
      <c r="F161" s="24"/>
      <c r="G161" s="24">
        <v>14.302250000000001</v>
      </c>
      <c r="H161" s="24">
        <v>16.345055178907717</v>
      </c>
      <c r="I161" s="27">
        <v>41244</v>
      </c>
      <c r="J161" s="5" t="str">
        <f t="shared" si="19"/>
        <v>2012 q4</v>
      </c>
      <c r="K161" s="12">
        <f t="shared" si="20"/>
        <v>0.10367699999999999</v>
      </c>
      <c r="L161" s="12">
        <f t="shared" si="21"/>
        <v>0.1430225</v>
      </c>
      <c r="M161" s="12">
        <f t="shared" si="22"/>
        <v>0.16345055178907716</v>
      </c>
      <c r="O161"/>
    </row>
    <row r="162" spans="1:15" ht="15">
      <c r="A162" s="23" t="s">
        <v>54</v>
      </c>
      <c r="B162" s="24">
        <v>9.3199000000000005</v>
      </c>
      <c r="C162" s="24">
        <v>9.3978999999999999</v>
      </c>
      <c r="D162" s="24">
        <v>10</v>
      </c>
      <c r="E162" s="24">
        <v>10.644400000000001</v>
      </c>
      <c r="F162" s="24"/>
      <c r="G162" s="24">
        <v>14.833</v>
      </c>
      <c r="H162" s="24"/>
      <c r="I162" s="27">
        <v>41275</v>
      </c>
      <c r="J162" s="5" t="str">
        <f t="shared" si="19"/>
        <v>2013 q1</v>
      </c>
      <c r="K162" s="12">
        <f t="shared" si="20"/>
        <v>9.8405500000000007E-2</v>
      </c>
      <c r="L162" s="12">
        <f t="shared" si="21"/>
        <v>0.14832999999999999</v>
      </c>
      <c r="M162" s="12" t="str">
        <f t="shared" si="22"/>
        <v/>
      </c>
      <c r="O162"/>
    </row>
    <row r="163" spans="1:15" ht="15">
      <c r="A163" s="23" t="s">
        <v>51</v>
      </c>
      <c r="B163" s="24">
        <v>9.2100000000000009</v>
      </c>
      <c r="C163" s="24">
        <v>9.34</v>
      </c>
      <c r="D163" s="24">
        <v>9.5012000000000008</v>
      </c>
      <c r="E163" s="24">
        <v>10.0473</v>
      </c>
      <c r="F163" s="24"/>
      <c r="G163" s="24">
        <v>14.2211</v>
      </c>
      <c r="H163" s="24">
        <v>15.9659</v>
      </c>
      <c r="I163" s="27">
        <v>41306</v>
      </c>
      <c r="J163" s="5" t="str">
        <f t="shared" si="19"/>
        <v>2013 q1</v>
      </c>
      <c r="K163" s="12">
        <f t="shared" si="20"/>
        <v>9.5246250000000005E-2</v>
      </c>
      <c r="L163" s="12">
        <f t="shared" si="21"/>
        <v>0.142211</v>
      </c>
      <c r="M163" s="12">
        <f t="shared" si="22"/>
        <v>0.159659</v>
      </c>
      <c r="O163"/>
    </row>
    <row r="164" spans="1:15" ht="15">
      <c r="A164" s="23" t="s">
        <v>31</v>
      </c>
      <c r="B164" s="24">
        <v>8.9928000000000008</v>
      </c>
      <c r="C164" s="24">
        <v>9.1370000000000005</v>
      </c>
      <c r="D164" s="24">
        <v>9.1232000000000006</v>
      </c>
      <c r="E164" s="24">
        <v>9.6433</v>
      </c>
      <c r="F164" s="24"/>
      <c r="G164" s="24">
        <v>15.278</v>
      </c>
      <c r="H164" s="24">
        <v>16.433700000000002</v>
      </c>
      <c r="I164" s="27">
        <v>41334</v>
      </c>
      <c r="J164" s="5" t="str">
        <f t="shared" si="19"/>
        <v>2013 q1</v>
      </c>
      <c r="K164" s="12">
        <f t="shared" si="20"/>
        <v>9.224075000000001E-2</v>
      </c>
      <c r="L164" s="12">
        <f t="shared" si="21"/>
        <v>0.15278</v>
      </c>
      <c r="M164" s="12">
        <f t="shared" si="22"/>
        <v>0.16433700000000001</v>
      </c>
      <c r="O164"/>
    </row>
    <row r="165" spans="1:15" ht="15">
      <c r="A165" s="23" t="s">
        <v>32</v>
      </c>
      <c r="B165" s="24">
        <v>8.8961000000000006</v>
      </c>
      <c r="C165" s="24">
        <v>8.9974000000000007</v>
      </c>
      <c r="D165" s="24">
        <v>9.24</v>
      </c>
      <c r="E165" s="24">
        <v>9.3948</v>
      </c>
      <c r="F165" s="24"/>
      <c r="G165" s="24">
        <v>14.166639999999999</v>
      </c>
      <c r="H165" s="24"/>
      <c r="I165" s="27">
        <v>41365</v>
      </c>
      <c r="J165" s="5" t="str">
        <f t="shared" si="19"/>
        <v>2013 q2</v>
      </c>
      <c r="K165" s="12">
        <f t="shared" si="20"/>
        <v>9.1320750000000006E-2</v>
      </c>
      <c r="L165" s="12">
        <f t="shared" si="21"/>
        <v>0.1416664</v>
      </c>
      <c r="M165" s="12" t="str">
        <f t="shared" si="22"/>
        <v/>
      </c>
      <c r="O165"/>
    </row>
    <row r="166" spans="1:15" ht="15">
      <c r="A166" s="23" t="s">
        <v>33</v>
      </c>
      <c r="B166" s="24"/>
      <c r="C166" s="24">
        <v>8.9994999999999994</v>
      </c>
      <c r="D166" s="24">
        <v>9.3564000000000007</v>
      </c>
      <c r="E166" s="24">
        <v>9.3940000000000001</v>
      </c>
      <c r="F166" s="24"/>
      <c r="G166" s="24">
        <v>13.0494</v>
      </c>
      <c r="H166" s="24">
        <v>15.433400000000001</v>
      </c>
      <c r="I166" s="27">
        <v>41395</v>
      </c>
      <c r="J166" s="5" t="str">
        <f t="shared" si="19"/>
        <v>2013 q2</v>
      </c>
      <c r="K166" s="12">
        <f t="shared" si="20"/>
        <v>9.2499666666666661E-2</v>
      </c>
      <c r="L166" s="12">
        <f t="shared" si="21"/>
        <v>0.130494</v>
      </c>
      <c r="M166" s="12">
        <f t="shared" si="22"/>
        <v>0.154334</v>
      </c>
      <c r="O166"/>
    </row>
    <row r="167" spans="1:15" ht="15">
      <c r="A167" s="23" t="s">
        <v>34</v>
      </c>
      <c r="B167" s="24">
        <v>8.7111999999999998</v>
      </c>
      <c r="C167" s="24">
        <v>8.6692</v>
      </c>
      <c r="D167" s="24">
        <v>9.0227000000000004</v>
      </c>
      <c r="E167" s="24">
        <v>9.2014499999999995</v>
      </c>
      <c r="F167" s="24"/>
      <c r="G167" s="24">
        <v>13.8613</v>
      </c>
      <c r="H167" s="24">
        <v>15.832599999999999</v>
      </c>
      <c r="I167" s="27">
        <v>41426</v>
      </c>
      <c r="J167" s="5" t="str">
        <f t="shared" si="19"/>
        <v>2013 q2</v>
      </c>
      <c r="K167" s="12">
        <f t="shared" si="20"/>
        <v>8.9011375000000004E-2</v>
      </c>
      <c r="L167" s="12">
        <f t="shared" si="21"/>
        <v>0.13861299999999999</v>
      </c>
      <c r="M167" s="12">
        <f t="shared" si="22"/>
        <v>0.15832599999999999</v>
      </c>
      <c r="O167"/>
    </row>
    <row r="168" spans="1:15" ht="15">
      <c r="A168" s="23" t="s">
        <v>35</v>
      </c>
      <c r="B168" s="24"/>
      <c r="C168" s="24">
        <v>8.7866</v>
      </c>
      <c r="D168" s="24">
        <v>8.9642999999999997</v>
      </c>
      <c r="E168" s="24">
        <v>8.9857999999999993</v>
      </c>
      <c r="F168" s="24"/>
      <c r="G168" s="24">
        <v>13.30245</v>
      </c>
      <c r="H168" s="24"/>
      <c r="I168" s="27">
        <v>41456</v>
      </c>
      <c r="J168" s="5" t="str">
        <f t="shared" si="19"/>
        <v>2013 q3</v>
      </c>
      <c r="K168" s="12">
        <f t="shared" si="20"/>
        <v>8.9122333333333331E-2</v>
      </c>
      <c r="L168" s="12">
        <f t="shared" si="21"/>
        <v>0.13302449999999999</v>
      </c>
      <c r="M168" s="12" t="str">
        <f t="shared" si="22"/>
        <v/>
      </c>
      <c r="O168"/>
    </row>
    <row r="169" spans="1:15" ht="15">
      <c r="A169" s="23" t="s">
        <v>36</v>
      </c>
      <c r="B169" s="24"/>
      <c r="C169" s="24">
        <v>8.7911999999999999</v>
      </c>
      <c r="D169" s="24">
        <v>8.8314000000000004</v>
      </c>
      <c r="E169" s="24">
        <v>8.9</v>
      </c>
      <c r="F169" s="24"/>
      <c r="G169" s="24">
        <v>12.8436</v>
      </c>
      <c r="H169" s="24">
        <v>14.2812</v>
      </c>
      <c r="I169" s="27">
        <v>41487</v>
      </c>
      <c r="J169" s="5" t="str">
        <f t="shared" si="19"/>
        <v>2013 q3</v>
      </c>
      <c r="K169" s="12">
        <f t="shared" si="20"/>
        <v>8.8408666666666649E-2</v>
      </c>
      <c r="L169" s="12">
        <f t="shared" si="21"/>
        <v>0.12843599999999999</v>
      </c>
      <c r="M169" s="12">
        <f t="shared" si="22"/>
        <v>0.14281199999999999</v>
      </c>
      <c r="O169"/>
    </row>
    <row r="170" spans="1:15" ht="15">
      <c r="A170" s="23" t="s">
        <v>37</v>
      </c>
      <c r="B170" s="24">
        <v>8.9197000000000006</v>
      </c>
      <c r="C170" s="24">
        <v>9.0111000000000008</v>
      </c>
      <c r="D170" s="24">
        <v>9.0952999999999999</v>
      </c>
      <c r="E170" s="24">
        <v>9.1887000000000008</v>
      </c>
      <c r="F170" s="24"/>
      <c r="G170" s="24">
        <v>13.6737</v>
      </c>
      <c r="H170" s="24">
        <v>15.6449</v>
      </c>
      <c r="I170" s="27">
        <v>41518</v>
      </c>
      <c r="J170" s="5" t="str">
        <f t="shared" si="19"/>
        <v>2013 q3</v>
      </c>
      <c r="K170" s="12">
        <f t="shared" si="20"/>
        <v>9.0536999999999992E-2</v>
      </c>
      <c r="L170" s="12">
        <f t="shared" si="21"/>
        <v>0.136737</v>
      </c>
      <c r="M170" s="12">
        <f t="shared" si="22"/>
        <v>0.156449</v>
      </c>
      <c r="O170"/>
    </row>
    <row r="171" spans="1:15" ht="15">
      <c r="A171" s="23" t="s">
        <v>38</v>
      </c>
      <c r="B171" s="24">
        <v>8.7352000000000007</v>
      </c>
      <c r="C171" s="24">
        <v>9.0030999999999999</v>
      </c>
      <c r="D171" s="24">
        <v>9.0139999999999993</v>
      </c>
      <c r="E171" s="24">
        <v>9.1373999999999995</v>
      </c>
      <c r="F171" s="24"/>
      <c r="G171" s="24">
        <v>13.051316593115624</v>
      </c>
      <c r="H171" s="24"/>
      <c r="I171" s="27">
        <v>41548</v>
      </c>
      <c r="J171" s="5" t="str">
        <f t="shared" si="19"/>
        <v>2013 q4</v>
      </c>
      <c r="K171" s="12">
        <f t="shared" si="20"/>
        <v>8.9724250000000005E-2</v>
      </c>
      <c r="L171" s="12">
        <f t="shared" si="21"/>
        <v>0.13051316593115625</v>
      </c>
      <c r="M171" s="12" t="str">
        <f t="shared" si="22"/>
        <v/>
      </c>
      <c r="O171"/>
    </row>
    <row r="172" spans="1:15" ht="15">
      <c r="A172" s="23" t="str">
        <f>A160</f>
        <v>Նոյեմբեր</v>
      </c>
      <c r="B172" s="24">
        <v>8.3425999999999991</v>
      </c>
      <c r="C172" s="24">
        <v>8.4981000000000009</v>
      </c>
      <c r="D172" s="24">
        <v>8.7767999999999997</v>
      </c>
      <c r="E172" s="24"/>
      <c r="F172" s="24"/>
      <c r="G172" s="24">
        <v>10.1623</v>
      </c>
      <c r="H172" s="24"/>
      <c r="I172" s="27">
        <v>41579</v>
      </c>
      <c r="J172" s="5" t="str">
        <f t="shared" si="19"/>
        <v>2013 q4</v>
      </c>
      <c r="K172" s="12">
        <f t="shared" si="20"/>
        <v>8.5391666666666671E-2</v>
      </c>
      <c r="L172" s="12">
        <f t="shared" si="21"/>
        <v>0.101623</v>
      </c>
      <c r="M172" s="12" t="str">
        <f t="shared" si="22"/>
        <v/>
      </c>
      <c r="O172"/>
    </row>
    <row r="173" spans="1:15" ht="15">
      <c r="A173" s="23" t="s">
        <v>40</v>
      </c>
      <c r="B173" s="24">
        <v>8.1324000000000005</v>
      </c>
      <c r="C173" s="24">
        <v>8.2530000000000001</v>
      </c>
      <c r="D173" s="24"/>
      <c r="E173" s="24"/>
      <c r="F173" s="24"/>
      <c r="G173" s="24">
        <v>9.9982000000000006</v>
      </c>
      <c r="H173" s="24">
        <v>11.638500000000001</v>
      </c>
      <c r="I173" s="27">
        <v>41609</v>
      </c>
      <c r="J173" s="5" t="str">
        <f t="shared" si="19"/>
        <v>2013 q4</v>
      </c>
      <c r="K173" s="12">
        <f t="shared" si="20"/>
        <v>8.1927E-2</v>
      </c>
      <c r="L173" s="12">
        <f t="shared" si="21"/>
        <v>9.9982000000000001E-2</v>
      </c>
      <c r="M173" s="12">
        <f t="shared" si="22"/>
        <v>0.116385</v>
      </c>
      <c r="O173"/>
    </row>
    <row r="174" spans="1:15" ht="15">
      <c r="A174" s="23" t="s">
        <v>55</v>
      </c>
      <c r="B174" s="24"/>
      <c r="C174" s="24">
        <v>7.8936000000000002</v>
      </c>
      <c r="D174" s="24"/>
      <c r="E174" s="24"/>
      <c r="F174" s="24"/>
      <c r="G174" s="24">
        <v>9.5990000000000002</v>
      </c>
      <c r="H174" s="24"/>
      <c r="I174" s="27">
        <v>41640</v>
      </c>
      <c r="J174" s="5" t="str">
        <f t="shared" si="19"/>
        <v>2014 q1</v>
      </c>
      <c r="K174" s="12">
        <f t="shared" si="20"/>
        <v>7.8936000000000006E-2</v>
      </c>
      <c r="L174" s="12">
        <f t="shared" si="21"/>
        <v>9.5990000000000006E-2</v>
      </c>
      <c r="M174" s="12" t="str">
        <f t="shared" si="22"/>
        <v/>
      </c>
      <c r="O174"/>
    </row>
    <row r="175" spans="1:15" ht="15">
      <c r="A175" s="23" t="s">
        <v>51</v>
      </c>
      <c r="B175" s="24">
        <v>7.8381999999999996</v>
      </c>
      <c r="C175" s="24">
        <v>7.9477000000000002</v>
      </c>
      <c r="D175" s="24"/>
      <c r="E175" s="24">
        <v>8.2347000000000001</v>
      </c>
      <c r="F175" s="24"/>
      <c r="G175" s="24">
        <v>9.5840999999999994</v>
      </c>
      <c r="H175" s="24">
        <v>10.9932</v>
      </c>
      <c r="I175" s="27">
        <v>41671</v>
      </c>
      <c r="J175" s="5" t="str">
        <f t="shared" si="19"/>
        <v>2014 q1</v>
      </c>
      <c r="K175" s="12">
        <f t="shared" si="20"/>
        <v>8.0068666666666677E-2</v>
      </c>
      <c r="L175" s="12">
        <f t="shared" si="21"/>
        <v>9.5840999999999996E-2</v>
      </c>
      <c r="M175" s="12">
        <f t="shared" si="22"/>
        <v>0.109932</v>
      </c>
      <c r="O175"/>
    </row>
    <row r="176" spans="1:15" ht="15">
      <c r="A176" s="23" t="str">
        <f>A164</f>
        <v xml:space="preserve">Մարտ </v>
      </c>
      <c r="B176" s="24">
        <v>7.8300999999999998</v>
      </c>
      <c r="C176" s="24">
        <v>7.9114000000000004</v>
      </c>
      <c r="D176" s="24"/>
      <c r="E176" s="24">
        <v>8.1944999999999997</v>
      </c>
      <c r="F176" s="24"/>
      <c r="G176" s="24"/>
      <c r="H176" s="24"/>
      <c r="I176" s="27">
        <v>41699</v>
      </c>
      <c r="J176" s="5" t="str">
        <f t="shared" si="19"/>
        <v>2014 q1</v>
      </c>
      <c r="K176" s="12">
        <f t="shared" si="20"/>
        <v>7.9786666666666659E-2</v>
      </c>
      <c r="L176" s="12" t="str">
        <f t="shared" si="21"/>
        <v/>
      </c>
      <c r="M176" s="12" t="str">
        <f t="shared" si="22"/>
        <v/>
      </c>
      <c r="O176"/>
    </row>
    <row r="177" spans="1:15" ht="15">
      <c r="A177" s="23" t="str">
        <f>A165</f>
        <v>Ապրիլ</v>
      </c>
      <c r="B177" s="24">
        <v>7.6181000000000001</v>
      </c>
      <c r="C177" s="24"/>
      <c r="D177" s="24">
        <v>8.0294000000000008</v>
      </c>
      <c r="E177" s="24">
        <v>8.1989999999999998</v>
      </c>
      <c r="F177" s="24"/>
      <c r="G177" s="24">
        <v>9.6851000000000003</v>
      </c>
      <c r="H177" s="24"/>
      <c r="I177" s="27">
        <v>41730</v>
      </c>
      <c r="J177" s="5" t="str">
        <f t="shared" si="19"/>
        <v>2014 q2</v>
      </c>
      <c r="K177" s="12">
        <f t="shared" si="20"/>
        <v>7.9488333333333328E-2</v>
      </c>
      <c r="L177" s="12">
        <f t="shared" si="21"/>
        <v>9.6851000000000007E-2</v>
      </c>
      <c r="M177" s="12" t="str">
        <f t="shared" si="22"/>
        <v/>
      </c>
      <c r="O177"/>
    </row>
    <row r="178" spans="1:15" ht="15">
      <c r="A178" s="23" t="str">
        <f>A166</f>
        <v>Մայիս</v>
      </c>
      <c r="B178" s="24">
        <v>7.5309999999999997</v>
      </c>
      <c r="C178" s="24">
        <v>7.7888999999999999</v>
      </c>
      <c r="D178" s="24">
        <v>7.9585999999999997</v>
      </c>
      <c r="E178" s="24">
        <v>8.0655999999999999</v>
      </c>
      <c r="F178" s="24"/>
      <c r="G178" s="24">
        <v>9.7555999999999994</v>
      </c>
      <c r="H178" s="24">
        <v>11.0532</v>
      </c>
      <c r="I178" s="27">
        <v>41760</v>
      </c>
      <c r="J178" s="5" t="str">
        <f t="shared" si="19"/>
        <v>2014 q2</v>
      </c>
      <c r="K178" s="12">
        <f t="shared" si="20"/>
        <v>7.8360250000000006E-2</v>
      </c>
      <c r="L178" s="12">
        <f t="shared" si="21"/>
        <v>9.755599999999999E-2</v>
      </c>
      <c r="M178" s="12">
        <f t="shared" si="22"/>
        <v>0.11053200000000001</v>
      </c>
      <c r="O178"/>
    </row>
    <row r="179" spans="1:15" ht="15">
      <c r="A179" s="23" t="s">
        <v>34</v>
      </c>
      <c r="B179" s="24">
        <v>7.4847999999999999</v>
      </c>
      <c r="C179" s="24">
        <v>7.6647999999999996</v>
      </c>
      <c r="D179" s="24">
        <v>7.7485999999999997</v>
      </c>
      <c r="E179" s="24">
        <v>8.0126000000000008</v>
      </c>
      <c r="F179" s="24"/>
      <c r="G179" s="24">
        <v>10.3651</v>
      </c>
      <c r="H179" s="24">
        <v>12.029400000000001</v>
      </c>
      <c r="I179" s="27">
        <v>41791</v>
      </c>
      <c r="J179" s="5" t="str">
        <f t="shared" si="19"/>
        <v>2014 q2</v>
      </c>
      <c r="K179" s="12">
        <f t="shared" si="20"/>
        <v>7.7276999999999998E-2</v>
      </c>
      <c r="L179" s="12">
        <f t="shared" si="21"/>
        <v>0.10365099999999999</v>
      </c>
      <c r="M179" s="12">
        <f t="shared" si="22"/>
        <v>0.12029400000000001</v>
      </c>
      <c r="O179"/>
    </row>
    <row r="180" spans="1:15" ht="15">
      <c r="A180" s="23" t="s">
        <v>35</v>
      </c>
      <c r="B180" s="24"/>
      <c r="C180" s="24">
        <v>7.4702000000000002</v>
      </c>
      <c r="D180" s="24">
        <v>7.6139000000000001</v>
      </c>
      <c r="E180" s="24">
        <v>7.8574000000000002</v>
      </c>
      <c r="F180" s="24"/>
      <c r="G180" s="24">
        <v>10.005149999999999</v>
      </c>
      <c r="H180" s="24"/>
      <c r="I180" s="27">
        <v>41821</v>
      </c>
      <c r="J180" s="5" t="str">
        <f t="shared" si="19"/>
        <v>2014 q3</v>
      </c>
      <c r="K180" s="12">
        <f t="shared" si="20"/>
        <v>7.647166666666666E-2</v>
      </c>
      <c r="L180" s="12">
        <f t="shared" si="21"/>
        <v>0.10005149999999999</v>
      </c>
      <c r="M180" s="12" t="str">
        <f t="shared" si="22"/>
        <v/>
      </c>
      <c r="O180"/>
    </row>
    <row r="181" spans="1:15" ht="15">
      <c r="A181" s="23" t="s">
        <v>36</v>
      </c>
      <c r="B181" s="24">
        <v>7.0244</v>
      </c>
      <c r="C181" s="24"/>
      <c r="D181" s="24">
        <v>7.5415999999999999</v>
      </c>
      <c r="E181" s="24">
        <v>7.7683999999999997</v>
      </c>
      <c r="F181" s="24"/>
      <c r="G181" s="24">
        <v>9.4635999999999996</v>
      </c>
      <c r="H181" s="24">
        <v>11.305300000000001</v>
      </c>
      <c r="I181" s="27">
        <v>41852</v>
      </c>
      <c r="J181" s="5" t="str">
        <f t="shared" si="19"/>
        <v>2014 q3</v>
      </c>
      <c r="K181" s="12">
        <f t="shared" si="20"/>
        <v>7.4448E-2</v>
      </c>
      <c r="L181" s="12">
        <f t="shared" si="21"/>
        <v>9.4635999999999998E-2</v>
      </c>
      <c r="M181" s="12">
        <f t="shared" si="22"/>
        <v>0.11305300000000001</v>
      </c>
      <c r="O181"/>
    </row>
    <row r="182" spans="1:15" ht="15">
      <c r="A182" s="23" t="s">
        <v>37</v>
      </c>
      <c r="B182" s="24">
        <v>6.9096000000000002</v>
      </c>
      <c r="C182" s="24"/>
      <c r="D182" s="24">
        <v>7.2792000000000003</v>
      </c>
      <c r="E182" s="24">
        <v>7.5087333333333319</v>
      </c>
      <c r="F182" s="24"/>
      <c r="G182" s="24">
        <v>10.087199999999999</v>
      </c>
      <c r="H182" s="24">
        <v>11.89</v>
      </c>
      <c r="I182" s="27">
        <v>41883</v>
      </c>
      <c r="J182" s="5" t="str">
        <f t="shared" si="19"/>
        <v>2014 q3</v>
      </c>
      <c r="K182" s="12">
        <f t="shared" si="20"/>
        <v>7.2325111111111118E-2</v>
      </c>
      <c r="L182" s="12">
        <f t="shared" si="21"/>
        <v>0.10087199999999999</v>
      </c>
      <c r="M182" s="12">
        <f t="shared" si="22"/>
        <v>0.11890000000000001</v>
      </c>
      <c r="O182"/>
    </row>
    <row r="183" spans="1:15" ht="15">
      <c r="A183" s="23" t="s">
        <v>38</v>
      </c>
      <c r="B183" s="24">
        <v>6.8680000000000003</v>
      </c>
      <c r="C183" s="24">
        <v>6.9909999999999997</v>
      </c>
      <c r="D183" s="24">
        <v>7.1532</v>
      </c>
      <c r="E183" s="24">
        <v>7.3026</v>
      </c>
      <c r="F183" s="24"/>
      <c r="G183" s="24">
        <v>8.9962999999999997</v>
      </c>
      <c r="H183" s="24"/>
      <c r="I183" s="27">
        <v>41913</v>
      </c>
      <c r="J183" s="5" t="str">
        <f t="shared" si="19"/>
        <v>2014 q4</v>
      </c>
      <c r="K183" s="12">
        <f t="shared" si="20"/>
        <v>7.0786999999999989E-2</v>
      </c>
      <c r="L183" s="12">
        <f t="shared" si="21"/>
        <v>8.9963000000000001E-2</v>
      </c>
      <c r="M183" s="12" t="str">
        <f t="shared" si="22"/>
        <v/>
      </c>
      <c r="O183"/>
    </row>
    <row r="184" spans="1:15" ht="15">
      <c r="A184" s="23" t="str">
        <f>A172</f>
        <v>Նոյեմբեր</v>
      </c>
      <c r="B184" s="24">
        <v>7.08</v>
      </c>
      <c r="C184" s="24">
        <v>6.9744000000000002</v>
      </c>
      <c r="D184" s="24">
        <v>7.0934999999999997</v>
      </c>
      <c r="E184" s="24">
        <v>7.2874999999999996</v>
      </c>
      <c r="F184" s="24"/>
      <c r="G184" s="24">
        <v>8.2516999999999996</v>
      </c>
      <c r="H184" s="24">
        <v>10.348100000000001</v>
      </c>
      <c r="I184" s="27">
        <v>41944</v>
      </c>
      <c r="J184" s="5" t="str">
        <f t="shared" si="19"/>
        <v>2014 q4</v>
      </c>
      <c r="K184" s="12">
        <f t="shared" si="20"/>
        <v>7.1088499999999999E-2</v>
      </c>
      <c r="L184" s="12">
        <f t="shared" si="21"/>
        <v>8.2516999999999993E-2</v>
      </c>
      <c r="M184" s="12">
        <f t="shared" si="22"/>
        <v>0.103481</v>
      </c>
      <c r="O184"/>
    </row>
    <row r="185" spans="1:15" ht="15">
      <c r="A185" s="23" t="s">
        <v>40</v>
      </c>
      <c r="B185" s="24"/>
      <c r="C185" s="24"/>
      <c r="D185" s="24"/>
      <c r="E185" s="24"/>
      <c r="F185" s="24"/>
      <c r="G185" s="24">
        <v>12.485900000000001</v>
      </c>
      <c r="H185" s="24">
        <v>13.950900000000001</v>
      </c>
      <c r="I185" s="27">
        <v>41974</v>
      </c>
      <c r="J185" s="5" t="str">
        <f t="shared" si="19"/>
        <v>2014 q4</v>
      </c>
      <c r="K185" s="12" t="str">
        <f t="shared" si="20"/>
        <v/>
      </c>
      <c r="L185" s="12">
        <f t="shared" si="21"/>
        <v>0.12485900000000001</v>
      </c>
      <c r="M185" s="12">
        <f t="shared" si="22"/>
        <v>0.13950899999999999</v>
      </c>
      <c r="O185"/>
    </row>
    <row r="186" spans="1:15" ht="15">
      <c r="A186" s="23" t="s">
        <v>56</v>
      </c>
      <c r="B186" s="24"/>
      <c r="C186" s="24"/>
      <c r="D186" s="24"/>
      <c r="E186" s="24"/>
      <c r="F186" s="24"/>
      <c r="G186" s="24"/>
      <c r="H186" s="24"/>
      <c r="I186" s="27">
        <v>42005</v>
      </c>
      <c r="J186" s="5" t="str">
        <f t="shared" si="19"/>
        <v>2015 q1</v>
      </c>
      <c r="K186" s="12" t="str">
        <f t="shared" si="20"/>
        <v/>
      </c>
      <c r="L186" s="12" t="str">
        <f t="shared" si="21"/>
        <v/>
      </c>
      <c r="M186" s="12" t="str">
        <f t="shared" si="22"/>
        <v/>
      </c>
      <c r="O186"/>
    </row>
    <row r="187" spans="1:15" ht="15">
      <c r="A187" s="23" t="s">
        <v>51</v>
      </c>
      <c r="B187" s="24">
        <v>14.368400000000001</v>
      </c>
      <c r="C187" s="24">
        <v>16.61</v>
      </c>
      <c r="D187" s="24">
        <v>14.712899999999999</v>
      </c>
      <c r="E187" s="24"/>
      <c r="F187" s="24"/>
      <c r="G187" s="24"/>
      <c r="H187" s="24"/>
      <c r="I187" s="27">
        <v>42036</v>
      </c>
      <c r="J187" s="5" t="str">
        <f t="shared" si="19"/>
        <v>2015 q1</v>
      </c>
      <c r="K187" s="12">
        <f t="shared" si="20"/>
        <v>0.15230433333333332</v>
      </c>
      <c r="L187" s="12" t="str">
        <f t="shared" si="21"/>
        <v/>
      </c>
      <c r="M187" s="12" t="str">
        <f t="shared" si="22"/>
        <v/>
      </c>
      <c r="O187"/>
    </row>
    <row r="188" spans="1:15" ht="15">
      <c r="A188" s="23" t="str">
        <f t="shared" ref="A188:A197" si="23">A176</f>
        <v xml:space="preserve">Մարտ </v>
      </c>
      <c r="B188" s="24">
        <v>13.476000000000001</v>
      </c>
      <c r="C188" s="24">
        <v>13.6919</v>
      </c>
      <c r="D188" s="24">
        <v>13.319985714285714</v>
      </c>
      <c r="E188" s="24">
        <v>13.977399999999999</v>
      </c>
      <c r="F188" s="24"/>
      <c r="G188" s="24">
        <v>14.0466</v>
      </c>
      <c r="H188" s="24">
        <v>16.010300000000001</v>
      </c>
      <c r="I188" s="27">
        <v>42064</v>
      </c>
      <c r="J188" s="5" t="str">
        <f t="shared" si="19"/>
        <v>2015 q1</v>
      </c>
      <c r="K188" s="12">
        <f t="shared" si="20"/>
        <v>0.13616321428571429</v>
      </c>
      <c r="L188" s="12">
        <f t="shared" si="21"/>
        <v>0.14046600000000001</v>
      </c>
      <c r="M188" s="12">
        <f t="shared" si="22"/>
        <v>0.160103</v>
      </c>
      <c r="O188"/>
    </row>
    <row r="189" spans="1:15" ht="15">
      <c r="A189" s="23" t="str">
        <f t="shared" si="23"/>
        <v>Ապրիլ</v>
      </c>
      <c r="B189" s="24">
        <v>12.7354</v>
      </c>
      <c r="C189" s="24">
        <v>12.8238</v>
      </c>
      <c r="D189" s="24">
        <v>12.845700000000001</v>
      </c>
      <c r="E189" s="24">
        <v>13.0235</v>
      </c>
      <c r="F189" s="24"/>
      <c r="G189" s="24">
        <v>14.240167053364267</v>
      </c>
      <c r="H189" s="24">
        <v>16.164008888888887</v>
      </c>
      <c r="I189" s="27">
        <v>42095</v>
      </c>
      <c r="J189" s="5" t="str">
        <f t="shared" si="19"/>
        <v>2015 q2</v>
      </c>
      <c r="K189" s="12">
        <f t="shared" si="20"/>
        <v>0.12857099999999999</v>
      </c>
      <c r="L189" s="12">
        <f t="shared" si="21"/>
        <v>0.14240167053364267</v>
      </c>
      <c r="M189" s="12">
        <f t="shared" si="22"/>
        <v>0.16164008888888887</v>
      </c>
      <c r="O189"/>
    </row>
    <row r="190" spans="1:15" ht="15">
      <c r="A190" s="23" t="str">
        <f t="shared" si="23"/>
        <v>Մայիս</v>
      </c>
      <c r="B190" s="24">
        <v>12.439</v>
      </c>
      <c r="C190" s="24">
        <v>12.673999999999999</v>
      </c>
      <c r="D190" s="24">
        <v>12.8428</v>
      </c>
      <c r="E190" s="24">
        <v>12.9184</v>
      </c>
      <c r="F190" s="24"/>
      <c r="G190" s="24">
        <v>14.089499999999999</v>
      </c>
      <c r="H190" s="24">
        <v>15.6152</v>
      </c>
      <c r="I190" s="27">
        <v>42125</v>
      </c>
      <c r="J190" s="5" t="str">
        <f t="shared" si="19"/>
        <v>2015 q2</v>
      </c>
      <c r="K190" s="12">
        <f t="shared" si="20"/>
        <v>0.12718549999999998</v>
      </c>
      <c r="L190" s="12">
        <f t="shared" si="21"/>
        <v>0.14089499999999999</v>
      </c>
      <c r="M190" s="12">
        <f t="shared" si="22"/>
        <v>0.15615199999999999</v>
      </c>
      <c r="O190"/>
    </row>
    <row r="191" spans="1:15" ht="15">
      <c r="A191" s="23" t="str">
        <f t="shared" si="23"/>
        <v>Հունիս</v>
      </c>
      <c r="B191" s="24">
        <v>11.962300000000001</v>
      </c>
      <c r="C191" s="24">
        <v>12.033799999999999</v>
      </c>
      <c r="D191" s="24">
        <v>12.1243</v>
      </c>
      <c r="E191" s="24">
        <v>12.47</v>
      </c>
      <c r="F191" s="24"/>
      <c r="G191" s="24">
        <v>14.6785</v>
      </c>
      <c r="H191" s="24">
        <v>16.1204</v>
      </c>
      <c r="I191" s="27">
        <v>42156</v>
      </c>
      <c r="J191" s="5" t="str">
        <f t="shared" si="19"/>
        <v>2015 q2</v>
      </c>
      <c r="K191" s="12">
        <f t="shared" si="20"/>
        <v>0.12147599999999999</v>
      </c>
      <c r="L191" s="12">
        <f t="shared" si="21"/>
        <v>0.146785</v>
      </c>
      <c r="M191" s="12">
        <f t="shared" si="22"/>
        <v>0.16120400000000001</v>
      </c>
      <c r="O191"/>
    </row>
    <row r="192" spans="1:15" ht="15">
      <c r="A192" s="23" t="str">
        <f t="shared" si="23"/>
        <v>Հուլիս</v>
      </c>
      <c r="B192" s="24">
        <v>11.5312</v>
      </c>
      <c r="C192" s="24">
        <v>11.856199999999999</v>
      </c>
      <c r="D192" s="24"/>
      <c r="E192" s="24">
        <v>12.1059</v>
      </c>
      <c r="F192" s="24"/>
      <c r="G192" s="24">
        <v>14.3705</v>
      </c>
      <c r="H192" s="24"/>
      <c r="I192" s="27">
        <v>42186</v>
      </c>
      <c r="J192" s="5" t="str">
        <f t="shared" si="19"/>
        <v>2015 q3</v>
      </c>
      <c r="K192" s="12">
        <f t="shared" si="20"/>
        <v>0.118311</v>
      </c>
      <c r="L192" s="12">
        <f t="shared" si="21"/>
        <v>0.143705</v>
      </c>
      <c r="M192" s="12" t="str">
        <f t="shared" si="22"/>
        <v/>
      </c>
      <c r="O192"/>
    </row>
    <row r="193" spans="1:15" ht="15">
      <c r="A193" s="23" t="str">
        <f t="shared" si="23"/>
        <v>Օգոստոս</v>
      </c>
      <c r="B193" s="24">
        <v>11.545400000000001</v>
      </c>
      <c r="C193" s="24">
        <v>11.7766</v>
      </c>
      <c r="D193" s="24">
        <v>11.864800000000001</v>
      </c>
      <c r="E193" s="24">
        <v>12.0892</v>
      </c>
      <c r="F193" s="24"/>
      <c r="G193" s="24">
        <v>13.994199999999999</v>
      </c>
      <c r="H193" s="24">
        <v>15.4419</v>
      </c>
      <c r="I193" s="27">
        <v>42217</v>
      </c>
      <c r="J193" s="5" t="str">
        <f t="shared" si="19"/>
        <v>2015 q3</v>
      </c>
      <c r="K193" s="12">
        <f t="shared" si="20"/>
        <v>0.11819</v>
      </c>
      <c r="L193" s="12">
        <f t="shared" si="21"/>
        <v>0.13994199999999998</v>
      </c>
      <c r="M193" s="12">
        <f t="shared" si="22"/>
        <v>0.154419</v>
      </c>
      <c r="O193"/>
    </row>
    <row r="194" spans="1:15" ht="15">
      <c r="A194" s="23" t="str">
        <f t="shared" si="23"/>
        <v>Սեպտեմբեր</v>
      </c>
      <c r="B194" s="24"/>
      <c r="C194" s="24">
        <v>11.9016</v>
      </c>
      <c r="D194" s="24"/>
      <c r="E194" s="24">
        <v>12.2179</v>
      </c>
      <c r="F194" s="24"/>
      <c r="G194" s="24">
        <v>14.9214</v>
      </c>
      <c r="H194" s="24">
        <v>16.456800000000001</v>
      </c>
      <c r="I194" s="27">
        <v>42248</v>
      </c>
      <c r="J194" s="5" t="str">
        <f t="shared" si="19"/>
        <v>2015 q3</v>
      </c>
      <c r="K194" s="12">
        <f t="shared" si="20"/>
        <v>0.12059750000000001</v>
      </c>
      <c r="L194" s="12">
        <f t="shared" si="21"/>
        <v>0.14921400000000001</v>
      </c>
      <c r="M194" s="12">
        <f t="shared" si="22"/>
        <v>0.16456800000000002</v>
      </c>
      <c r="O194"/>
    </row>
    <row r="195" spans="1:15" ht="15">
      <c r="A195" s="23" t="str">
        <f t="shared" si="23"/>
        <v>Հոկտեմբեր</v>
      </c>
      <c r="B195" s="24">
        <v>11.494899999999999</v>
      </c>
      <c r="C195" s="24">
        <v>11.79</v>
      </c>
      <c r="D195" s="24">
        <v>11.9339</v>
      </c>
      <c r="E195" s="24">
        <v>12.162100000000001</v>
      </c>
      <c r="F195" s="24"/>
      <c r="G195" s="24">
        <v>14.668900000000001</v>
      </c>
      <c r="H195" s="24">
        <v>15.920500000000001</v>
      </c>
      <c r="I195" s="27">
        <v>42278</v>
      </c>
      <c r="J195" s="5" t="str">
        <f t="shared" si="19"/>
        <v>2015 q4</v>
      </c>
      <c r="K195" s="12">
        <f t="shared" si="20"/>
        <v>0.11845225000000001</v>
      </c>
      <c r="L195" s="12">
        <f t="shared" si="21"/>
        <v>0.14668900000000001</v>
      </c>
      <c r="M195" s="12">
        <f t="shared" si="22"/>
        <v>0.15920500000000001</v>
      </c>
      <c r="O195"/>
    </row>
    <row r="196" spans="1:15" ht="15">
      <c r="A196" s="23" t="str">
        <f t="shared" si="23"/>
        <v>Նոյեմբեր</v>
      </c>
      <c r="B196" s="24">
        <v>11.5657</v>
      </c>
      <c r="C196" s="24">
        <v>11.9689</v>
      </c>
      <c r="D196" s="24">
        <v>12.2758</v>
      </c>
      <c r="E196" s="24">
        <v>12.276999999999999</v>
      </c>
      <c r="F196" s="24"/>
      <c r="G196" s="24">
        <v>14.3188</v>
      </c>
      <c r="H196" s="24">
        <v>16.665548878923765</v>
      </c>
      <c r="I196" s="27">
        <v>42309</v>
      </c>
      <c r="J196" s="5" t="str">
        <f t="shared" si="19"/>
        <v>2015 q4</v>
      </c>
      <c r="K196" s="12">
        <f t="shared" si="20"/>
        <v>0.12021850000000001</v>
      </c>
      <c r="L196" s="12">
        <f t="shared" si="21"/>
        <v>0.14318799999999998</v>
      </c>
      <c r="M196" s="12">
        <f t="shared" si="22"/>
        <v>0.16665548878923764</v>
      </c>
      <c r="O196"/>
    </row>
    <row r="197" spans="1:15" ht="15">
      <c r="A197" s="23" t="str">
        <f t="shared" si="23"/>
        <v>Դեկտեմբեր</v>
      </c>
      <c r="B197" s="24">
        <v>10.518933333333333</v>
      </c>
      <c r="C197" s="24">
        <v>11.914933333333334</v>
      </c>
      <c r="D197" s="24">
        <v>12.4993</v>
      </c>
      <c r="E197" s="24">
        <v>12.45</v>
      </c>
      <c r="F197" s="24"/>
      <c r="G197" s="24">
        <v>15.498799999999999</v>
      </c>
      <c r="H197" s="24">
        <v>16.6554</v>
      </c>
      <c r="I197" s="27">
        <v>42339</v>
      </c>
      <c r="J197" s="5" t="str">
        <f t="shared" si="19"/>
        <v>2015 q4</v>
      </c>
      <c r="K197" s="12">
        <f t="shared" si="20"/>
        <v>0.11845791666666666</v>
      </c>
      <c r="L197" s="12">
        <f t="shared" si="21"/>
        <v>0.15498799999999999</v>
      </c>
      <c r="M197" s="12">
        <f t="shared" si="22"/>
        <v>0.16655400000000001</v>
      </c>
      <c r="O197"/>
    </row>
    <row r="198" spans="1:15" ht="15">
      <c r="A198" s="23" t="s">
        <v>57</v>
      </c>
      <c r="B198" s="24"/>
      <c r="C198" s="24">
        <v>10.8</v>
      </c>
      <c r="D198" s="24"/>
      <c r="E198" s="24">
        <v>11.871600000000001</v>
      </c>
      <c r="F198" s="24"/>
      <c r="G198" s="24">
        <v>14.88652857142857</v>
      </c>
      <c r="H198" s="24"/>
      <c r="I198" s="27">
        <v>42370</v>
      </c>
      <c r="J198" s="5" t="str">
        <f t="shared" si="19"/>
        <v>2016 q1</v>
      </c>
      <c r="K198" s="12">
        <f t="shared" si="20"/>
        <v>0.11335800000000001</v>
      </c>
      <c r="L198" s="12">
        <f t="shared" si="21"/>
        <v>0.1488652857142857</v>
      </c>
      <c r="M198" s="12" t="str">
        <f t="shared" si="22"/>
        <v/>
      </c>
      <c r="O198"/>
    </row>
    <row r="199" spans="1:15" ht="15">
      <c r="A199" s="23" t="str">
        <f t="shared" ref="A199:A209" si="24">A187</f>
        <v>Փետրվար</v>
      </c>
      <c r="B199" s="24">
        <v>9.7949999999999999</v>
      </c>
      <c r="C199" s="24">
        <v>10.7631</v>
      </c>
      <c r="D199" s="24">
        <v>11.339399999999999</v>
      </c>
      <c r="E199" s="24">
        <v>11.78642</v>
      </c>
      <c r="F199" s="24"/>
      <c r="G199" s="24">
        <v>14.3833</v>
      </c>
      <c r="H199" s="24">
        <v>16.327100000000002</v>
      </c>
      <c r="I199" s="27">
        <v>42401</v>
      </c>
      <c r="J199" s="5" t="str">
        <f t="shared" ref="J199:J262" si="25">YEAR(I199)&amp;" q"&amp;ROUNDUP(MONTH(I199)/3,0)</f>
        <v>2016 q1</v>
      </c>
      <c r="K199" s="12">
        <f t="shared" ref="K199:K262" si="26">IFERROR(AVERAGE(B199:E199)/100,"")</f>
        <v>0.1092098</v>
      </c>
      <c r="L199" s="12">
        <f t="shared" ref="L199:L262" si="27">IFERROR(AVERAGE(F199:G199)/100,"")</f>
        <v>0.14383299999999999</v>
      </c>
      <c r="M199" s="12">
        <f t="shared" ref="M199:M262" si="28">IF(IFERROR(H199/100,"")=0,"",IFERROR(H199/100,""))</f>
        <v>0.16327100000000003</v>
      </c>
      <c r="O199"/>
    </row>
    <row r="200" spans="1:15" ht="15">
      <c r="A200" s="23" t="str">
        <f t="shared" si="24"/>
        <v xml:space="preserve">Մարտ </v>
      </c>
      <c r="B200" s="24"/>
      <c r="C200" s="24">
        <v>10.387600000000001</v>
      </c>
      <c r="D200" s="24"/>
      <c r="E200" s="24">
        <v>11.4124</v>
      </c>
      <c r="F200" s="24"/>
      <c r="G200" s="24">
        <v>14.245950000000001</v>
      </c>
      <c r="H200" s="24"/>
      <c r="I200" s="27">
        <v>42430</v>
      </c>
      <c r="J200" s="5" t="str">
        <f t="shared" si="25"/>
        <v>2016 q1</v>
      </c>
      <c r="K200" s="12">
        <f t="shared" si="26"/>
        <v>0.109</v>
      </c>
      <c r="L200" s="12">
        <f t="shared" si="27"/>
        <v>0.14245950000000002</v>
      </c>
      <c r="M200" s="12" t="str">
        <f t="shared" si="28"/>
        <v/>
      </c>
      <c r="O200"/>
    </row>
    <row r="201" spans="1:15" ht="15">
      <c r="A201" s="23" t="str">
        <f t="shared" si="24"/>
        <v>Ապրիլ</v>
      </c>
      <c r="B201" s="24">
        <v>9.5565999999999995</v>
      </c>
      <c r="C201" s="24"/>
      <c r="D201" s="24">
        <v>10.577400000000001</v>
      </c>
      <c r="E201" s="24">
        <v>11.2317</v>
      </c>
      <c r="F201" s="24"/>
      <c r="G201" s="24">
        <v>14.279327777777777</v>
      </c>
      <c r="H201" s="24">
        <v>16.343316666666666</v>
      </c>
      <c r="I201" s="27">
        <v>42461</v>
      </c>
      <c r="J201" s="5" t="str">
        <f t="shared" si="25"/>
        <v>2016 q2</v>
      </c>
      <c r="K201" s="12">
        <f t="shared" si="26"/>
        <v>0.10455233333333334</v>
      </c>
      <c r="L201" s="12">
        <f t="shared" si="27"/>
        <v>0.14279327777777776</v>
      </c>
      <c r="M201" s="12">
        <f t="shared" si="28"/>
        <v>0.16343316666666666</v>
      </c>
      <c r="O201"/>
    </row>
    <row r="202" spans="1:15" ht="15">
      <c r="A202" s="23" t="str">
        <f t="shared" si="24"/>
        <v>Մայիս</v>
      </c>
      <c r="B202" s="24"/>
      <c r="C202" s="24">
        <v>9.2982999999999993</v>
      </c>
      <c r="D202" s="24">
        <v>9.7571999999999992</v>
      </c>
      <c r="E202" s="24">
        <v>10.498900000000001</v>
      </c>
      <c r="F202" s="24"/>
      <c r="G202" s="24">
        <v>13.581123529411764</v>
      </c>
      <c r="H202" s="24">
        <v>16.271799999999999</v>
      </c>
      <c r="I202" s="27">
        <v>42491</v>
      </c>
      <c r="J202" s="5" t="str">
        <f t="shared" si="25"/>
        <v>2016 q2</v>
      </c>
      <c r="K202" s="12">
        <f t="shared" si="26"/>
        <v>9.8514666666666667E-2</v>
      </c>
      <c r="L202" s="12">
        <f t="shared" si="27"/>
        <v>0.13581123529411765</v>
      </c>
      <c r="M202" s="12">
        <f t="shared" si="28"/>
        <v>0.162718</v>
      </c>
      <c r="O202"/>
    </row>
    <row r="203" spans="1:15" ht="15">
      <c r="A203" s="23" t="str">
        <f t="shared" si="24"/>
        <v>Հունիս</v>
      </c>
      <c r="B203" s="24">
        <v>8.3766999999999996</v>
      </c>
      <c r="C203" s="24"/>
      <c r="D203" s="24">
        <v>9.6402000000000001</v>
      </c>
      <c r="E203" s="24">
        <v>10.292999999999999</v>
      </c>
      <c r="F203" s="24"/>
      <c r="G203" s="24">
        <v>13.4777</v>
      </c>
      <c r="H203" s="24">
        <v>16.4361</v>
      </c>
      <c r="I203" s="27">
        <v>42522</v>
      </c>
      <c r="J203" s="5" t="str">
        <f t="shared" si="25"/>
        <v>2016 q2</v>
      </c>
      <c r="K203" s="12">
        <f t="shared" si="26"/>
        <v>9.436633333333333E-2</v>
      </c>
      <c r="L203" s="12">
        <f t="shared" si="27"/>
        <v>0.13477700000000001</v>
      </c>
      <c r="M203" s="12">
        <f t="shared" si="28"/>
        <v>0.16436100000000001</v>
      </c>
      <c r="O203"/>
    </row>
    <row r="204" spans="1:15" ht="15">
      <c r="A204" s="23" t="str">
        <f t="shared" si="24"/>
        <v>Հուլիս</v>
      </c>
      <c r="B204" s="24">
        <v>7.7478500000000006</v>
      </c>
      <c r="C204" s="24">
        <v>8.0130999999999997</v>
      </c>
      <c r="D204" s="24">
        <v>9.0711999999999993</v>
      </c>
      <c r="E204" s="24">
        <v>9.6725999999999992</v>
      </c>
      <c r="F204" s="24"/>
      <c r="G204" s="24">
        <v>12.110619999999999</v>
      </c>
      <c r="H204" s="24"/>
      <c r="I204" s="27">
        <v>42552</v>
      </c>
      <c r="J204" s="5" t="str">
        <f t="shared" si="25"/>
        <v>2016 q3</v>
      </c>
      <c r="K204" s="12">
        <f t="shared" si="26"/>
        <v>8.6261875000000002E-2</v>
      </c>
      <c r="L204" s="12">
        <f t="shared" si="27"/>
        <v>0.1211062</v>
      </c>
      <c r="M204" s="12" t="str">
        <f t="shared" si="28"/>
        <v/>
      </c>
      <c r="O204"/>
    </row>
    <row r="205" spans="1:15" ht="15">
      <c r="A205" s="23" t="str">
        <f t="shared" si="24"/>
        <v>Օգոստոս</v>
      </c>
      <c r="B205" s="24">
        <v>7.5456500000000002</v>
      </c>
      <c r="C205" s="24">
        <v>7.9322999999999997</v>
      </c>
      <c r="D205" s="24">
        <v>8.6616999999999997</v>
      </c>
      <c r="E205" s="24">
        <v>8.8949999999999996</v>
      </c>
      <c r="F205" s="24"/>
      <c r="G205" s="24">
        <v>10.2105</v>
      </c>
      <c r="H205" s="24">
        <v>12.48</v>
      </c>
      <c r="I205" s="27">
        <v>42583</v>
      </c>
      <c r="J205" s="5" t="str">
        <f t="shared" si="25"/>
        <v>2016 q3</v>
      </c>
      <c r="K205" s="12">
        <f t="shared" si="26"/>
        <v>8.2586624999999997E-2</v>
      </c>
      <c r="L205" s="12">
        <f t="shared" si="27"/>
        <v>0.102105</v>
      </c>
      <c r="M205" s="12">
        <f t="shared" si="28"/>
        <v>0.12480000000000001</v>
      </c>
      <c r="O205"/>
    </row>
    <row r="206" spans="1:15" ht="15">
      <c r="A206" s="23" t="str">
        <f t="shared" si="24"/>
        <v>Սեպտեմբեր</v>
      </c>
      <c r="B206" s="24">
        <v>7.6323500000000006</v>
      </c>
      <c r="C206" s="24">
        <v>8.3274000000000008</v>
      </c>
      <c r="D206" s="24">
        <v>8.6237999999999992</v>
      </c>
      <c r="E206" s="24">
        <v>8.6204999999999998</v>
      </c>
      <c r="F206" s="24"/>
      <c r="G206" s="24">
        <v>10.9923</v>
      </c>
      <c r="H206" s="24">
        <v>14.723699999999999</v>
      </c>
      <c r="I206" s="27">
        <v>42614</v>
      </c>
      <c r="J206" s="5" t="str">
        <f t="shared" si="25"/>
        <v>2016 q3</v>
      </c>
      <c r="K206" s="12">
        <f t="shared" si="26"/>
        <v>8.3010125000000004E-2</v>
      </c>
      <c r="L206" s="12">
        <f t="shared" si="27"/>
        <v>0.10992300000000001</v>
      </c>
      <c r="M206" s="12">
        <f t="shared" si="28"/>
        <v>0.14723699999999998</v>
      </c>
      <c r="O206"/>
    </row>
    <row r="207" spans="1:15" ht="15">
      <c r="A207" s="23" t="str">
        <f t="shared" si="24"/>
        <v>Հոկտեմբեր</v>
      </c>
      <c r="B207" s="24">
        <v>6.9145500000000002</v>
      </c>
      <c r="C207" s="24">
        <v>7.1086999999999998</v>
      </c>
      <c r="D207" s="24">
        <v>8.1453000000000007</v>
      </c>
      <c r="E207" s="24">
        <v>8.3798999999999992</v>
      </c>
      <c r="F207" s="24"/>
      <c r="G207" s="24">
        <v>10.2051</v>
      </c>
      <c r="H207" s="24">
        <v>13.9819</v>
      </c>
      <c r="I207" s="27">
        <v>42644</v>
      </c>
      <c r="J207" s="5" t="str">
        <f t="shared" si="25"/>
        <v>2016 q4</v>
      </c>
      <c r="K207" s="12">
        <f t="shared" si="26"/>
        <v>7.6371125000000012E-2</v>
      </c>
      <c r="L207" s="12">
        <f t="shared" si="27"/>
        <v>0.102051</v>
      </c>
      <c r="M207" s="12">
        <f t="shared" si="28"/>
        <v>0.139819</v>
      </c>
      <c r="O207"/>
    </row>
    <row r="208" spans="1:15" ht="15">
      <c r="A208" s="23" t="str">
        <f t="shared" si="24"/>
        <v>Նոյեմբեր</v>
      </c>
      <c r="B208" s="24">
        <v>5.9944634146341453</v>
      </c>
      <c r="C208" s="24">
        <v>6.4980307692307688</v>
      </c>
      <c r="D208" s="24">
        <v>7</v>
      </c>
      <c r="E208" s="24">
        <v>7.5835999999999997</v>
      </c>
      <c r="F208" s="24"/>
      <c r="G208" s="24">
        <v>9.9042999999999992</v>
      </c>
      <c r="H208" s="24">
        <v>11.5685</v>
      </c>
      <c r="I208" s="27">
        <v>42675</v>
      </c>
      <c r="J208" s="5" t="str">
        <f t="shared" si="25"/>
        <v>2016 q4</v>
      </c>
      <c r="K208" s="12">
        <f t="shared" si="26"/>
        <v>6.7690235459662282E-2</v>
      </c>
      <c r="L208" s="12">
        <f t="shared" si="27"/>
        <v>9.9042999999999992E-2</v>
      </c>
      <c r="M208" s="12">
        <f t="shared" si="28"/>
        <v>0.115685</v>
      </c>
      <c r="O208"/>
    </row>
    <row r="209" spans="1:15" ht="15">
      <c r="A209" s="23" t="str">
        <f t="shared" si="24"/>
        <v>Դեկտեմբեր</v>
      </c>
      <c r="B209" s="24">
        <v>6.5784970000000005</v>
      </c>
      <c r="C209" s="24">
        <v>6.95438125</v>
      </c>
      <c r="D209" s="24">
        <v>7.1698000000000004</v>
      </c>
      <c r="E209" s="24">
        <v>7.7287999999999997</v>
      </c>
      <c r="F209" s="24"/>
      <c r="G209" s="24">
        <v>10.1022</v>
      </c>
      <c r="H209" s="24">
        <v>12.958399999999999</v>
      </c>
      <c r="I209" s="27">
        <v>42705</v>
      </c>
      <c r="J209" s="5" t="str">
        <f t="shared" si="25"/>
        <v>2016 q4</v>
      </c>
      <c r="K209" s="12">
        <f t="shared" si="26"/>
        <v>7.1078695624999993E-2</v>
      </c>
      <c r="L209" s="12">
        <f t="shared" si="27"/>
        <v>0.101022</v>
      </c>
      <c r="M209" s="12">
        <f t="shared" si="28"/>
        <v>0.129584</v>
      </c>
      <c r="O209"/>
    </row>
    <row r="210" spans="1:15" ht="15">
      <c r="A210" s="23" t="s">
        <v>58</v>
      </c>
      <c r="B210" s="24"/>
      <c r="C210" s="24">
        <v>7</v>
      </c>
      <c r="D210" s="24">
        <v>7.1877000000000004</v>
      </c>
      <c r="E210" s="24">
        <v>7.7614999999999998</v>
      </c>
      <c r="F210" s="24"/>
      <c r="G210" s="24">
        <v>10.10995</v>
      </c>
      <c r="H210" s="24"/>
      <c r="I210" s="27">
        <v>42736</v>
      </c>
      <c r="J210" s="5" t="str">
        <f t="shared" si="25"/>
        <v>2017 q1</v>
      </c>
      <c r="K210" s="12">
        <f t="shared" si="26"/>
        <v>7.3163999999999993E-2</v>
      </c>
      <c r="L210" s="12">
        <f t="shared" si="27"/>
        <v>0.10109949999999999</v>
      </c>
      <c r="M210" s="12" t="str">
        <f t="shared" si="28"/>
        <v/>
      </c>
      <c r="O210"/>
    </row>
    <row r="211" spans="1:15" ht="15">
      <c r="A211" s="23" t="str">
        <f t="shared" ref="A211:A233" si="29">A199</f>
        <v>Փետրվար</v>
      </c>
      <c r="B211" s="24">
        <v>6.2988</v>
      </c>
      <c r="C211" s="24"/>
      <c r="D211" s="24">
        <v>7.1584000000000003</v>
      </c>
      <c r="E211" s="24">
        <v>7.6989999999999998</v>
      </c>
      <c r="F211" s="24"/>
      <c r="G211" s="24">
        <v>9.8048000000000002</v>
      </c>
      <c r="H211" s="24">
        <v>11.5867</v>
      </c>
      <c r="I211" s="27">
        <v>42767</v>
      </c>
      <c r="J211" s="5" t="str">
        <f t="shared" si="25"/>
        <v>2017 q1</v>
      </c>
      <c r="K211" s="12">
        <f t="shared" si="26"/>
        <v>7.0520666666666662E-2</v>
      </c>
      <c r="L211" s="12">
        <f t="shared" si="27"/>
        <v>9.8047999999999996E-2</v>
      </c>
      <c r="M211" s="12">
        <f t="shared" si="28"/>
        <v>0.115867</v>
      </c>
      <c r="O211"/>
    </row>
    <row r="212" spans="1:15" ht="15">
      <c r="A212" s="23" t="str">
        <f t="shared" si="29"/>
        <v xml:space="preserve">Մարտ </v>
      </c>
      <c r="B212" s="24">
        <v>6.0247999999999999</v>
      </c>
      <c r="C212" s="24">
        <v>6.2</v>
      </c>
      <c r="D212" s="24"/>
      <c r="E212" s="24">
        <v>7.2957999999999998</v>
      </c>
      <c r="F212" s="24"/>
      <c r="G212" s="24">
        <v>9.9692000000000007</v>
      </c>
      <c r="H212" s="24">
        <v>13.481999999999999</v>
      </c>
      <c r="I212" s="27">
        <v>42795</v>
      </c>
      <c r="J212" s="5" t="str">
        <f t="shared" si="25"/>
        <v>2017 q1</v>
      </c>
      <c r="K212" s="12">
        <f t="shared" si="26"/>
        <v>6.5068666666666677E-2</v>
      </c>
      <c r="L212" s="12">
        <f t="shared" si="27"/>
        <v>9.9692000000000003E-2</v>
      </c>
      <c r="M212" s="12">
        <f t="shared" si="28"/>
        <v>0.13482</v>
      </c>
      <c r="O212"/>
    </row>
    <row r="213" spans="1:15" ht="15">
      <c r="A213" s="23" t="str">
        <f t="shared" si="29"/>
        <v>Ապրիլ</v>
      </c>
      <c r="B213" s="24"/>
      <c r="C213" s="24"/>
      <c r="D213" s="24">
        <v>6.4980000000000002</v>
      </c>
      <c r="E213" s="24">
        <v>7.0052000000000003</v>
      </c>
      <c r="F213" s="24"/>
      <c r="G213" s="24">
        <v>8.7155111111111125</v>
      </c>
      <c r="H213" s="24"/>
      <c r="I213" s="27">
        <v>42826</v>
      </c>
      <c r="J213" s="5" t="str">
        <f t="shared" si="25"/>
        <v>2017 q2</v>
      </c>
      <c r="K213" s="12">
        <f t="shared" si="26"/>
        <v>6.7515999999999993E-2</v>
      </c>
      <c r="L213" s="12">
        <f t="shared" si="27"/>
        <v>8.7155111111111128E-2</v>
      </c>
      <c r="M213" s="12" t="str">
        <f t="shared" si="28"/>
        <v/>
      </c>
      <c r="O213"/>
    </row>
    <row r="214" spans="1:15" ht="15">
      <c r="A214" s="23" t="str">
        <f t="shared" si="29"/>
        <v>Մայիս</v>
      </c>
      <c r="B214" s="24">
        <v>6.0294999999999996</v>
      </c>
      <c r="C214" s="24">
        <v>6.1443000000000003</v>
      </c>
      <c r="D214" s="24"/>
      <c r="E214" s="24">
        <v>6.7395000000000005</v>
      </c>
      <c r="F214" s="24"/>
      <c r="G214" s="24">
        <v>8.7124310344827585</v>
      </c>
      <c r="H214" s="24">
        <v>10.6447</v>
      </c>
      <c r="I214" s="27">
        <v>42856</v>
      </c>
      <c r="J214" s="5" t="str">
        <f t="shared" si="25"/>
        <v>2017 q2</v>
      </c>
      <c r="K214" s="12">
        <f t="shared" si="26"/>
        <v>6.3044333333333327E-2</v>
      </c>
      <c r="L214" s="12">
        <f t="shared" si="27"/>
        <v>8.712431034482758E-2</v>
      </c>
      <c r="M214" s="12">
        <f t="shared" si="28"/>
        <v>0.106447</v>
      </c>
      <c r="O214"/>
    </row>
    <row r="215" spans="1:15" ht="15">
      <c r="A215" s="23" t="str">
        <f t="shared" si="29"/>
        <v>Հունիս</v>
      </c>
      <c r="B215" s="24">
        <v>5.8491999999999997</v>
      </c>
      <c r="C215" s="24"/>
      <c r="D215" s="24">
        <v>6.2850000000000001</v>
      </c>
      <c r="E215" s="24">
        <v>6.7240000000000002</v>
      </c>
      <c r="F215" s="24"/>
      <c r="G215" s="24">
        <v>8.9968000000000004</v>
      </c>
      <c r="H215" s="24">
        <v>13.583299999999999</v>
      </c>
      <c r="I215" s="27">
        <v>42887</v>
      </c>
      <c r="J215" s="5" t="str">
        <f t="shared" si="25"/>
        <v>2017 q2</v>
      </c>
      <c r="K215" s="12">
        <f t="shared" si="26"/>
        <v>6.2860666666666662E-2</v>
      </c>
      <c r="L215" s="12">
        <f t="shared" si="27"/>
        <v>8.9968000000000006E-2</v>
      </c>
      <c r="M215" s="12">
        <f t="shared" si="28"/>
        <v>0.13583299999999998</v>
      </c>
      <c r="O215"/>
    </row>
    <row r="216" spans="1:15" ht="15">
      <c r="A216" s="23" t="str">
        <f t="shared" si="29"/>
        <v>Հուլիս</v>
      </c>
      <c r="B216" s="24"/>
      <c r="C216" s="24">
        <v>6.0976999999999997</v>
      </c>
      <c r="D216" s="24">
        <v>6.1977000000000002</v>
      </c>
      <c r="E216" s="24">
        <v>6.4492000000000003</v>
      </c>
      <c r="F216" s="24"/>
      <c r="G216" s="24">
        <v>8.4816511028164232</v>
      </c>
      <c r="H216" s="24"/>
      <c r="I216" s="27">
        <v>42917</v>
      </c>
      <c r="J216" s="5" t="str">
        <f t="shared" si="25"/>
        <v>2017 q3</v>
      </c>
      <c r="K216" s="12">
        <f t="shared" si="26"/>
        <v>6.248200000000001E-2</v>
      </c>
      <c r="L216" s="12">
        <f t="shared" si="27"/>
        <v>8.4816511028164232E-2</v>
      </c>
      <c r="M216" s="12" t="str">
        <f t="shared" si="28"/>
        <v/>
      </c>
      <c r="O216"/>
    </row>
    <row r="217" spans="1:15" ht="15">
      <c r="A217" s="23" t="str">
        <f t="shared" si="29"/>
        <v>Օգոստոս</v>
      </c>
      <c r="B217" s="24">
        <v>5.7988999999999997</v>
      </c>
      <c r="C217" s="24"/>
      <c r="D217" s="24">
        <v>6.1925999999999997</v>
      </c>
      <c r="E217" s="24">
        <v>6.4047000000000001</v>
      </c>
      <c r="F217" s="24"/>
      <c r="G217" s="24">
        <v>7.8993000000000002</v>
      </c>
      <c r="H217" s="24">
        <v>10.0299</v>
      </c>
      <c r="I217" s="27">
        <v>42948</v>
      </c>
      <c r="J217" s="5" t="str">
        <f t="shared" si="25"/>
        <v>2017 q3</v>
      </c>
      <c r="K217" s="12">
        <f t="shared" si="26"/>
        <v>6.1320666666666669E-2</v>
      </c>
      <c r="L217" s="12">
        <f t="shared" si="27"/>
        <v>7.8993000000000008E-2</v>
      </c>
      <c r="M217" s="12">
        <f t="shared" si="28"/>
        <v>0.100299</v>
      </c>
      <c r="O217"/>
    </row>
    <row r="218" spans="1:15" ht="15">
      <c r="A218" s="23" t="str">
        <f t="shared" si="29"/>
        <v>Սեպտեմբեր</v>
      </c>
      <c r="B218" s="24"/>
      <c r="C218" s="24">
        <v>5.8244999999999996</v>
      </c>
      <c r="D218" s="24">
        <v>5.9931000000000001</v>
      </c>
      <c r="E218" s="24">
        <v>6.2876000000000003</v>
      </c>
      <c r="F218" s="24"/>
      <c r="G218" s="24">
        <v>8.8682999999999996</v>
      </c>
      <c r="H218" s="24"/>
      <c r="I218" s="27">
        <v>42979</v>
      </c>
      <c r="J218" s="5" t="str">
        <f t="shared" si="25"/>
        <v>2017 q3</v>
      </c>
      <c r="K218" s="12">
        <f t="shared" si="26"/>
        <v>6.0350666666666664E-2</v>
      </c>
      <c r="L218" s="12">
        <f t="shared" si="27"/>
        <v>8.8682999999999998E-2</v>
      </c>
      <c r="M218" s="12" t="str">
        <f t="shared" si="28"/>
        <v/>
      </c>
      <c r="O218"/>
    </row>
    <row r="219" spans="1:15" ht="15">
      <c r="A219" s="23" t="str">
        <f t="shared" si="29"/>
        <v>Հոկտեմբեր</v>
      </c>
      <c r="B219" s="24">
        <v>5.585</v>
      </c>
      <c r="C219" s="24"/>
      <c r="D219" s="24">
        <v>6.0212000000000003</v>
      </c>
      <c r="E219" s="24">
        <v>6.1492000000000004</v>
      </c>
      <c r="F219" s="24"/>
      <c r="G219" s="24">
        <v>8.2640150078988928</v>
      </c>
      <c r="H219" s="24"/>
      <c r="I219" s="27">
        <v>43009</v>
      </c>
      <c r="J219" s="5" t="str">
        <f t="shared" si="25"/>
        <v>2017 q4</v>
      </c>
      <c r="K219" s="12">
        <f t="shared" si="26"/>
        <v>5.918466666666667E-2</v>
      </c>
      <c r="L219" s="12">
        <f t="shared" si="27"/>
        <v>8.2640150078988922E-2</v>
      </c>
      <c r="M219" s="12" t="str">
        <f t="shared" si="28"/>
        <v/>
      </c>
      <c r="O219"/>
    </row>
    <row r="220" spans="1:15" ht="15">
      <c r="A220" s="23" t="str">
        <f t="shared" si="29"/>
        <v>Նոյեմբեր</v>
      </c>
      <c r="B220" s="24"/>
      <c r="C220" s="24">
        <v>5.9424999999999999</v>
      </c>
      <c r="D220" s="24">
        <v>5.81</v>
      </c>
      <c r="E220" s="24">
        <v>6.0979999999999999</v>
      </c>
      <c r="F220" s="24"/>
      <c r="G220" s="24">
        <v>7.5387000000000004</v>
      </c>
      <c r="H220" s="24">
        <v>9.8999000000000006</v>
      </c>
      <c r="I220" s="27">
        <v>43040</v>
      </c>
      <c r="J220" s="5" t="str">
        <f t="shared" si="25"/>
        <v>2017 q4</v>
      </c>
      <c r="K220" s="12">
        <f t="shared" si="26"/>
        <v>5.9501666666666668E-2</v>
      </c>
      <c r="L220" s="12">
        <f t="shared" si="27"/>
        <v>7.538700000000001E-2</v>
      </c>
      <c r="M220" s="12">
        <f t="shared" si="28"/>
        <v>9.8999000000000004E-2</v>
      </c>
      <c r="O220"/>
    </row>
    <row r="221" spans="1:15" ht="15">
      <c r="A221" s="23" t="str">
        <f t="shared" si="29"/>
        <v>Դեկտեմբեր</v>
      </c>
      <c r="B221" s="24"/>
      <c r="C221" s="24"/>
      <c r="D221" s="24"/>
      <c r="E221" s="24"/>
      <c r="F221" s="24"/>
      <c r="G221" s="24"/>
      <c r="H221" s="24"/>
      <c r="I221" s="27">
        <v>43070</v>
      </c>
      <c r="J221" s="5" t="str">
        <f t="shared" si="25"/>
        <v>2017 q4</v>
      </c>
      <c r="K221" s="12" t="str">
        <f t="shared" si="26"/>
        <v/>
      </c>
      <c r="L221" s="12" t="str">
        <f t="shared" si="27"/>
        <v/>
      </c>
      <c r="M221" s="12" t="str">
        <f t="shared" si="28"/>
        <v/>
      </c>
      <c r="O221"/>
    </row>
    <row r="222" spans="1:15" ht="15">
      <c r="A222" s="23" t="s">
        <v>59</v>
      </c>
      <c r="B222" s="24"/>
      <c r="C222" s="24">
        <v>5.8136999999999999</v>
      </c>
      <c r="D222" s="24">
        <v>6</v>
      </c>
      <c r="E222" s="24">
        <v>6.1689999999999996</v>
      </c>
      <c r="F222" s="24"/>
      <c r="G222" s="24"/>
      <c r="H222" s="24">
        <v>12.289099999999999</v>
      </c>
      <c r="I222" s="27">
        <v>43101</v>
      </c>
      <c r="J222" s="5" t="str">
        <f t="shared" si="25"/>
        <v>2018 q1</v>
      </c>
      <c r="K222" s="12">
        <f t="shared" si="26"/>
        <v>5.9942333333333341E-2</v>
      </c>
      <c r="L222" s="12" t="str">
        <f t="shared" si="27"/>
        <v/>
      </c>
      <c r="M222" s="12">
        <f t="shared" si="28"/>
        <v>0.122891</v>
      </c>
      <c r="O222"/>
    </row>
    <row r="223" spans="1:15" ht="15">
      <c r="A223" s="23" t="str">
        <f t="shared" si="29"/>
        <v>Փետրվար</v>
      </c>
      <c r="B223" s="24"/>
      <c r="C223" s="24">
        <v>5.9855</v>
      </c>
      <c r="D223" s="24">
        <v>5.9840999999999998</v>
      </c>
      <c r="E223" s="24">
        <v>6.1475999999999997</v>
      </c>
      <c r="F223" s="24"/>
      <c r="G223" s="24">
        <v>8.0991999999999997</v>
      </c>
      <c r="H223" s="24"/>
      <c r="I223" s="27">
        <v>43132</v>
      </c>
      <c r="J223" s="5" t="str">
        <f t="shared" si="25"/>
        <v>2018 q1</v>
      </c>
      <c r="K223" s="12">
        <f t="shared" si="26"/>
        <v>6.0390666666666669E-2</v>
      </c>
      <c r="L223" s="12">
        <f t="shared" si="27"/>
        <v>8.0991999999999995E-2</v>
      </c>
      <c r="M223" s="12" t="str">
        <f t="shared" si="28"/>
        <v/>
      </c>
      <c r="O223"/>
    </row>
    <row r="224" spans="1:15" ht="15">
      <c r="A224" s="23" t="str">
        <f t="shared" si="29"/>
        <v xml:space="preserve">Մարտ </v>
      </c>
      <c r="B224" s="24"/>
      <c r="C224" s="24">
        <v>6.0411000000000001</v>
      </c>
      <c r="D224" s="24"/>
      <c r="E224" s="24">
        <v>6.1622000000000003</v>
      </c>
      <c r="F224" s="24"/>
      <c r="G224" s="24">
        <v>7.1360000000000001</v>
      </c>
      <c r="H224" s="24"/>
      <c r="I224" s="27">
        <v>43160</v>
      </c>
      <c r="J224" s="5" t="str">
        <f t="shared" si="25"/>
        <v>2018 q1</v>
      </c>
      <c r="K224" s="12">
        <f t="shared" si="26"/>
        <v>6.1016500000000001E-2</v>
      </c>
      <c r="L224" s="12">
        <f t="shared" si="27"/>
        <v>7.1360000000000007E-2</v>
      </c>
      <c r="M224" s="12" t="str">
        <f t="shared" si="28"/>
        <v/>
      </c>
      <c r="O224"/>
    </row>
    <row r="225" spans="1:15" ht="15">
      <c r="A225" s="23" t="str">
        <f t="shared" si="29"/>
        <v>Ապրիլ</v>
      </c>
      <c r="B225" s="24"/>
      <c r="C225" s="24"/>
      <c r="D225" s="24">
        <v>6.0553999999999997</v>
      </c>
      <c r="E225" s="24">
        <v>6.1551999999999998</v>
      </c>
      <c r="F225" s="24"/>
      <c r="G225" s="24"/>
      <c r="H225" s="24">
        <v>9.3041</v>
      </c>
      <c r="I225" s="27">
        <v>43191</v>
      </c>
      <c r="J225" s="5" t="str">
        <f t="shared" si="25"/>
        <v>2018 q2</v>
      </c>
      <c r="K225" s="12">
        <f t="shared" si="26"/>
        <v>6.1052999999999996E-2</v>
      </c>
      <c r="L225" s="12" t="str">
        <f t="shared" si="27"/>
        <v/>
      </c>
      <c r="M225" s="12">
        <f t="shared" si="28"/>
        <v>9.3040999999999999E-2</v>
      </c>
      <c r="O225"/>
    </row>
    <row r="226" spans="1:15" ht="15">
      <c r="A226" s="23" t="str">
        <f t="shared" si="29"/>
        <v>Մայիս</v>
      </c>
      <c r="B226" s="24"/>
      <c r="C226" s="24">
        <v>6.0197000000000003</v>
      </c>
      <c r="D226" s="24">
        <v>6.2083000000000004</v>
      </c>
      <c r="E226" s="24">
        <v>6.2244999999999999</v>
      </c>
      <c r="F226" s="24"/>
      <c r="G226" s="24">
        <v>8.3643000000000001</v>
      </c>
      <c r="H226" s="24"/>
      <c r="I226" s="27">
        <v>43221</v>
      </c>
      <c r="J226" s="5" t="str">
        <f t="shared" si="25"/>
        <v>2018 q2</v>
      </c>
      <c r="K226" s="12">
        <f t="shared" si="26"/>
        <v>6.1508333333333338E-2</v>
      </c>
      <c r="L226" s="12">
        <f t="shared" si="27"/>
        <v>8.3642999999999995E-2</v>
      </c>
      <c r="M226" s="12" t="str">
        <f t="shared" si="28"/>
        <v/>
      </c>
      <c r="O226"/>
    </row>
    <row r="227" spans="1:15" ht="15">
      <c r="A227" s="23" t="str">
        <f t="shared" si="29"/>
        <v>Հունիս</v>
      </c>
      <c r="B227" s="24"/>
      <c r="C227" s="24">
        <v>6.03</v>
      </c>
      <c r="D227" s="24">
        <v>6.1603000000000003</v>
      </c>
      <c r="E227" s="24">
        <v>6.2295999999999996</v>
      </c>
      <c r="F227" s="24"/>
      <c r="G227" s="24"/>
      <c r="H227" s="24"/>
      <c r="I227" s="27">
        <v>43252</v>
      </c>
      <c r="J227" s="5" t="str">
        <f t="shared" si="25"/>
        <v>2018 q2</v>
      </c>
      <c r="K227" s="12">
        <f t="shared" si="26"/>
        <v>6.1399666666666658E-2</v>
      </c>
      <c r="L227" s="12" t="str">
        <f t="shared" si="27"/>
        <v/>
      </c>
      <c r="M227" s="12" t="str">
        <f t="shared" si="28"/>
        <v/>
      </c>
      <c r="O227"/>
    </row>
    <row r="228" spans="1:15" ht="15">
      <c r="A228" s="23" t="str">
        <f t="shared" si="29"/>
        <v>Հուլիս</v>
      </c>
      <c r="B228" s="24"/>
      <c r="C228" s="24">
        <v>6.1779999999999999</v>
      </c>
      <c r="D228" s="24">
        <v>6.1862000000000004</v>
      </c>
      <c r="E228" s="24">
        <v>6.2680999999999996</v>
      </c>
      <c r="F228" s="24"/>
      <c r="G228" s="24"/>
      <c r="H228" s="24">
        <v>11.3743</v>
      </c>
      <c r="I228" s="27">
        <v>43282</v>
      </c>
      <c r="J228" s="5" t="str">
        <f t="shared" si="25"/>
        <v>2018 q3</v>
      </c>
      <c r="K228" s="12">
        <f t="shared" si="26"/>
        <v>6.2107666666666672E-2</v>
      </c>
      <c r="L228" s="12" t="str">
        <f t="shared" si="27"/>
        <v/>
      </c>
      <c r="M228" s="12">
        <f t="shared" si="28"/>
        <v>0.113743</v>
      </c>
      <c r="O228"/>
    </row>
    <row r="229" spans="1:15" ht="15">
      <c r="A229" s="23" t="str">
        <f t="shared" si="29"/>
        <v>Օգոստոս</v>
      </c>
      <c r="B229" s="24">
        <v>5.9972000000000003</v>
      </c>
      <c r="C229" s="24"/>
      <c r="D229" s="24">
        <v>6.1917999999999997</v>
      </c>
      <c r="E229" s="24">
        <v>6.2766000000000002</v>
      </c>
      <c r="F229" s="24"/>
      <c r="G229" s="24">
        <v>8.2392000000000003</v>
      </c>
      <c r="H229" s="24"/>
      <c r="I229" s="27">
        <v>43313</v>
      </c>
      <c r="J229" s="5" t="str">
        <f t="shared" si="25"/>
        <v>2018 q3</v>
      </c>
      <c r="K229" s="12">
        <f t="shared" si="26"/>
        <v>6.1552000000000009E-2</v>
      </c>
      <c r="L229" s="12">
        <f t="shared" si="27"/>
        <v>8.2392000000000007E-2</v>
      </c>
      <c r="M229" s="12" t="str">
        <f t="shared" si="28"/>
        <v/>
      </c>
      <c r="O229"/>
    </row>
    <row r="230" spans="1:15" ht="15">
      <c r="A230" s="23" t="str">
        <f t="shared" si="29"/>
        <v>Սեպտեմբեր</v>
      </c>
      <c r="B230" s="24"/>
      <c r="C230" s="24">
        <v>6.1138000000000003</v>
      </c>
      <c r="D230" s="24"/>
      <c r="E230" s="24">
        <v>6.2794999999999996</v>
      </c>
      <c r="F230" s="24"/>
      <c r="G230" s="24"/>
      <c r="H230" s="24"/>
      <c r="I230" s="27">
        <v>43344</v>
      </c>
      <c r="J230" s="5" t="str">
        <f t="shared" si="25"/>
        <v>2018 q3</v>
      </c>
      <c r="K230" s="12">
        <f t="shared" si="26"/>
        <v>6.1966500000000001E-2</v>
      </c>
      <c r="L230" s="12" t="str">
        <f t="shared" si="27"/>
        <v/>
      </c>
      <c r="M230" s="12" t="str">
        <f t="shared" si="28"/>
        <v/>
      </c>
      <c r="O230"/>
    </row>
    <row r="231" spans="1:15" ht="15">
      <c r="A231" s="23" t="str">
        <f t="shared" si="29"/>
        <v>Հոկտեմբեր</v>
      </c>
      <c r="B231" s="24"/>
      <c r="C231" s="24"/>
      <c r="D231" s="24">
        <v>6.14215</v>
      </c>
      <c r="E231" s="24">
        <v>6.2557</v>
      </c>
      <c r="F231" s="24"/>
      <c r="G231" s="24"/>
      <c r="H231" s="24">
        <v>9.2475000000000005</v>
      </c>
      <c r="I231" s="27">
        <v>43374</v>
      </c>
      <c r="J231" s="5" t="str">
        <f t="shared" si="25"/>
        <v>2018 q4</v>
      </c>
      <c r="K231" s="12">
        <f t="shared" si="26"/>
        <v>6.1989250000000003E-2</v>
      </c>
      <c r="L231" s="12" t="str">
        <f t="shared" si="27"/>
        <v/>
      </c>
      <c r="M231" s="12">
        <f t="shared" si="28"/>
        <v>9.2475000000000002E-2</v>
      </c>
      <c r="O231"/>
    </row>
    <row r="232" spans="1:15" ht="15">
      <c r="A232" s="23" t="str">
        <f t="shared" si="29"/>
        <v>Նոյեմբեր</v>
      </c>
      <c r="B232" s="24"/>
      <c r="C232" s="24">
        <v>6.0563000000000002</v>
      </c>
      <c r="D232" s="24">
        <v>6.1222000000000003</v>
      </c>
      <c r="E232" s="24">
        <v>6.2257999999999996</v>
      </c>
      <c r="F232" s="24"/>
      <c r="G232" s="24">
        <v>8.3108000000000004</v>
      </c>
      <c r="H232" s="24"/>
      <c r="I232" s="27">
        <v>43405</v>
      </c>
      <c r="J232" s="5" t="str">
        <f t="shared" si="25"/>
        <v>2018 q4</v>
      </c>
      <c r="K232" s="12">
        <f t="shared" si="26"/>
        <v>6.1347666666666668E-2</v>
      </c>
      <c r="L232" s="12">
        <f t="shared" si="27"/>
        <v>8.3108000000000001E-2</v>
      </c>
      <c r="M232" s="12" t="str">
        <f t="shared" si="28"/>
        <v/>
      </c>
      <c r="O232"/>
    </row>
    <row r="233" spans="1:15" ht="15">
      <c r="A233" s="23" t="str">
        <f t="shared" si="29"/>
        <v>Դեկտեմբեր</v>
      </c>
      <c r="B233" s="24"/>
      <c r="C233" s="24">
        <v>6.1219000000000001</v>
      </c>
      <c r="D233" s="24"/>
      <c r="E233" s="24">
        <v>6.2268999999999997</v>
      </c>
      <c r="F233" s="24"/>
      <c r="G233" s="24">
        <v>8.0470000000000006</v>
      </c>
      <c r="H233" s="24"/>
      <c r="I233" s="27">
        <v>43435</v>
      </c>
      <c r="J233" s="5" t="str">
        <f t="shared" si="25"/>
        <v>2018 q4</v>
      </c>
      <c r="K233" s="12">
        <f t="shared" si="26"/>
        <v>6.1744E-2</v>
      </c>
      <c r="L233" s="12">
        <f t="shared" si="27"/>
        <v>8.047E-2</v>
      </c>
      <c r="M233" s="12" t="str">
        <f t="shared" si="28"/>
        <v/>
      </c>
      <c r="O233"/>
    </row>
    <row r="234" spans="1:15" ht="15">
      <c r="A234" s="23" t="s">
        <v>60</v>
      </c>
      <c r="B234" s="24"/>
      <c r="C234" s="24">
        <v>6.2214</v>
      </c>
      <c r="D234" s="24"/>
      <c r="E234" s="24">
        <v>6.2257999999999996</v>
      </c>
      <c r="F234" s="24"/>
      <c r="G234" s="24"/>
      <c r="H234" s="24">
        <v>9.7417999999999996</v>
      </c>
      <c r="I234" s="27">
        <v>43466</v>
      </c>
      <c r="J234" s="5" t="str">
        <f t="shared" si="25"/>
        <v>2019 q1</v>
      </c>
      <c r="K234" s="12">
        <f t="shared" si="26"/>
        <v>6.2235999999999993E-2</v>
      </c>
      <c r="L234" s="12" t="str">
        <f t="shared" si="27"/>
        <v/>
      </c>
      <c r="M234" s="12">
        <f t="shared" si="28"/>
        <v>9.7417999999999991E-2</v>
      </c>
      <c r="O234"/>
    </row>
    <row r="235" spans="1:15" ht="15">
      <c r="A235" s="23" t="str">
        <f t="shared" ref="A235:A269" si="30">A223</f>
        <v>Փետրվար</v>
      </c>
      <c r="B235" s="24"/>
      <c r="C235" s="24">
        <v>6.0762</v>
      </c>
      <c r="D235" s="24">
        <v>6.1295999999999999</v>
      </c>
      <c r="E235" s="24">
        <v>6.2496999999999998</v>
      </c>
      <c r="F235" s="24"/>
      <c r="G235" s="24">
        <v>8.5091999999999999</v>
      </c>
      <c r="H235" s="24"/>
      <c r="I235" s="27">
        <v>43497</v>
      </c>
      <c r="J235" s="5" t="str">
        <f t="shared" si="25"/>
        <v>2019 q1</v>
      </c>
      <c r="K235" s="12">
        <f t="shared" si="26"/>
        <v>6.1518333333333335E-2</v>
      </c>
      <c r="L235" s="12">
        <f t="shared" si="27"/>
        <v>8.5092000000000001E-2</v>
      </c>
      <c r="M235" s="12" t="str">
        <f t="shared" si="28"/>
        <v/>
      </c>
      <c r="O235"/>
    </row>
    <row r="236" spans="1:15" ht="15">
      <c r="A236" s="23" t="str">
        <f t="shared" si="30"/>
        <v xml:space="preserve">Մարտ </v>
      </c>
      <c r="B236" s="24"/>
      <c r="C236" s="24">
        <v>6.0307000000000004</v>
      </c>
      <c r="D236" s="24">
        <v>6.0791000000000004</v>
      </c>
      <c r="E236" s="24">
        <v>6.1811999999999996</v>
      </c>
      <c r="F236" s="24"/>
      <c r="G236" s="24">
        <v>8.1738</v>
      </c>
      <c r="H236" s="24"/>
      <c r="I236" s="27">
        <v>43525</v>
      </c>
      <c r="J236" s="5" t="str">
        <f t="shared" si="25"/>
        <v>2019 q1</v>
      </c>
      <c r="K236" s="12">
        <f t="shared" si="26"/>
        <v>6.0970000000000003E-2</v>
      </c>
      <c r="L236" s="12">
        <f t="shared" si="27"/>
        <v>8.1738000000000005E-2</v>
      </c>
      <c r="M236" s="12" t="str">
        <f t="shared" si="28"/>
        <v/>
      </c>
      <c r="O236"/>
    </row>
    <row r="237" spans="1:15" ht="15">
      <c r="A237" s="23" t="str">
        <f t="shared" si="30"/>
        <v>Ապրիլ</v>
      </c>
      <c r="B237" s="24"/>
      <c r="C237" s="24">
        <v>5.9073966101694912</v>
      </c>
      <c r="D237" s="24"/>
      <c r="E237" s="24">
        <v>6.1741999999999999</v>
      </c>
      <c r="F237" s="24"/>
      <c r="G237" s="24"/>
      <c r="H237" s="24">
        <v>11.6442</v>
      </c>
      <c r="I237" s="27">
        <v>43556</v>
      </c>
      <c r="J237" s="5" t="str">
        <f t="shared" si="25"/>
        <v>2019 q2</v>
      </c>
      <c r="K237" s="12">
        <f t="shared" si="26"/>
        <v>6.0407983050847457E-2</v>
      </c>
      <c r="L237" s="12" t="str">
        <f t="shared" si="27"/>
        <v/>
      </c>
      <c r="M237" s="12">
        <f t="shared" si="28"/>
        <v>0.11644199999999999</v>
      </c>
      <c r="O237"/>
    </row>
    <row r="238" spans="1:15" ht="15">
      <c r="A238" s="23" t="str">
        <f t="shared" si="30"/>
        <v>Մայիս</v>
      </c>
      <c r="B238" s="24"/>
      <c r="C238" s="24">
        <v>5.7773000000000003</v>
      </c>
      <c r="D238" s="24">
        <v>5.8314000000000004</v>
      </c>
      <c r="E238" s="24">
        <v>6.0544000000000002</v>
      </c>
      <c r="F238" s="24"/>
      <c r="G238" s="24">
        <v>8.3704999999999998</v>
      </c>
      <c r="H238" s="24"/>
      <c r="I238" s="27">
        <v>43586</v>
      </c>
      <c r="J238" s="5" t="str">
        <f t="shared" si="25"/>
        <v>2019 q2</v>
      </c>
      <c r="K238" s="12">
        <f t="shared" si="26"/>
        <v>5.8876999999999999E-2</v>
      </c>
      <c r="L238" s="12">
        <f t="shared" si="27"/>
        <v>8.3705000000000002E-2</v>
      </c>
      <c r="M238" s="12" t="str">
        <f t="shared" si="28"/>
        <v/>
      </c>
      <c r="O238"/>
    </row>
    <row r="239" spans="1:15" ht="15">
      <c r="A239" s="23" t="str">
        <f t="shared" si="30"/>
        <v>Հունիս</v>
      </c>
      <c r="B239" s="24"/>
      <c r="C239" s="24">
        <v>5.8259999999999996</v>
      </c>
      <c r="D239" s="24">
        <v>6.00305</v>
      </c>
      <c r="E239" s="24"/>
      <c r="F239" s="24"/>
      <c r="G239" s="24">
        <v>7.3003</v>
      </c>
      <c r="H239" s="24"/>
      <c r="I239" s="27">
        <v>43617</v>
      </c>
      <c r="J239" s="5" t="str">
        <f t="shared" si="25"/>
        <v>2019 q2</v>
      </c>
      <c r="K239" s="12">
        <f t="shared" si="26"/>
        <v>5.9145249999999996E-2</v>
      </c>
      <c r="L239" s="12">
        <f t="shared" si="27"/>
        <v>7.3002999999999998E-2</v>
      </c>
      <c r="M239" s="12" t="str">
        <f t="shared" si="28"/>
        <v/>
      </c>
      <c r="O239"/>
    </row>
    <row r="240" spans="1:15" ht="15">
      <c r="A240" s="23" t="str">
        <f t="shared" si="30"/>
        <v>Հուլիս</v>
      </c>
      <c r="B240" s="24"/>
      <c r="C240" s="24">
        <v>5.8045</v>
      </c>
      <c r="D240" s="24"/>
      <c r="E240" s="24">
        <v>6.1539999999999999</v>
      </c>
      <c r="F240" s="24"/>
      <c r="G240" s="24"/>
      <c r="H240" s="24">
        <v>9.6748999999999992</v>
      </c>
      <c r="I240" s="27">
        <v>43647</v>
      </c>
      <c r="J240" s="5" t="str">
        <f t="shared" si="25"/>
        <v>2019 q3</v>
      </c>
      <c r="K240" s="12">
        <f t="shared" si="26"/>
        <v>5.9792500000000005E-2</v>
      </c>
      <c r="L240" s="12" t="str">
        <f t="shared" si="27"/>
        <v/>
      </c>
      <c r="M240" s="12">
        <f t="shared" si="28"/>
        <v>9.6748999999999988E-2</v>
      </c>
      <c r="O240"/>
    </row>
    <row r="241" spans="1:15" ht="15">
      <c r="A241" s="23" t="str">
        <f t="shared" si="30"/>
        <v>Օգոստոս</v>
      </c>
      <c r="B241" s="24"/>
      <c r="C241" s="24">
        <v>5.79</v>
      </c>
      <c r="D241" s="24"/>
      <c r="E241" s="24">
        <v>5.9701000000000004</v>
      </c>
      <c r="F241" s="24"/>
      <c r="G241" s="24">
        <v>7.9112999999999998</v>
      </c>
      <c r="H241" s="24"/>
      <c r="I241" s="27">
        <v>43678</v>
      </c>
      <c r="J241" s="5" t="str">
        <f t="shared" si="25"/>
        <v>2019 q3</v>
      </c>
      <c r="K241" s="12">
        <f t="shared" si="26"/>
        <v>5.8800500000000006E-2</v>
      </c>
      <c r="L241" s="12">
        <f t="shared" si="27"/>
        <v>7.9113000000000003E-2</v>
      </c>
      <c r="M241" s="12" t="str">
        <f t="shared" si="28"/>
        <v/>
      </c>
      <c r="O241"/>
    </row>
    <row r="242" spans="1:15" ht="15">
      <c r="A242" s="23" t="str">
        <f t="shared" si="30"/>
        <v>Սեպտեմբեր</v>
      </c>
      <c r="B242" s="24"/>
      <c r="C242" s="24"/>
      <c r="D242" s="24">
        <v>5.7596499999999997</v>
      </c>
      <c r="E242" s="24">
        <v>5.9745999999999997</v>
      </c>
      <c r="F242" s="24"/>
      <c r="G242" s="24">
        <v>7.2129000000000003</v>
      </c>
      <c r="H242" s="24"/>
      <c r="I242" s="27">
        <v>43709</v>
      </c>
      <c r="J242" s="5" t="str">
        <f t="shared" si="25"/>
        <v>2019 q3</v>
      </c>
      <c r="K242" s="12">
        <f t="shared" si="26"/>
        <v>5.8671249999999994E-2</v>
      </c>
      <c r="L242" s="12">
        <f t="shared" si="27"/>
        <v>7.2128999999999999E-2</v>
      </c>
      <c r="M242" s="12" t="str">
        <f t="shared" si="28"/>
        <v/>
      </c>
      <c r="O242"/>
    </row>
    <row r="243" spans="1:15" ht="15">
      <c r="A243" s="23" t="str">
        <f t="shared" si="30"/>
        <v>Հոկտեմբեր</v>
      </c>
      <c r="B243" s="24">
        <v>5.5744999999999996</v>
      </c>
      <c r="C243" s="24">
        <v>5.6993999999999998</v>
      </c>
      <c r="D243" s="24"/>
      <c r="E243" s="24">
        <v>5.8437999999999999</v>
      </c>
      <c r="F243" s="24"/>
      <c r="G243" s="24"/>
      <c r="H243" s="24">
        <v>10.902100000000001</v>
      </c>
      <c r="I243" s="27">
        <v>43739</v>
      </c>
      <c r="J243" s="5" t="str">
        <f t="shared" si="25"/>
        <v>2019 q4</v>
      </c>
      <c r="K243" s="12">
        <f t="shared" si="26"/>
        <v>5.7058999999999999E-2</v>
      </c>
      <c r="L243" s="12" t="str">
        <f t="shared" si="27"/>
        <v/>
      </c>
      <c r="M243" s="12">
        <f t="shared" si="28"/>
        <v>0.10902100000000001</v>
      </c>
      <c r="O243"/>
    </row>
    <row r="244" spans="1:15" ht="15">
      <c r="A244" s="23" t="str">
        <f t="shared" si="30"/>
        <v>Նոյեմբեր</v>
      </c>
      <c r="B244" s="24"/>
      <c r="C244" s="24">
        <v>5.5380000000000003</v>
      </c>
      <c r="D244" s="24"/>
      <c r="E244" s="24">
        <v>5.7622</v>
      </c>
      <c r="F244" s="24"/>
      <c r="G244" s="24">
        <v>7.1635</v>
      </c>
      <c r="H244" s="24"/>
      <c r="I244" s="27">
        <v>43770</v>
      </c>
      <c r="J244" s="5" t="str">
        <f t="shared" si="25"/>
        <v>2019 q4</v>
      </c>
      <c r="K244" s="12">
        <f t="shared" si="26"/>
        <v>5.6501000000000003E-2</v>
      </c>
      <c r="L244" s="12">
        <f t="shared" si="27"/>
        <v>7.1635000000000004E-2</v>
      </c>
      <c r="M244" s="12" t="str">
        <f t="shared" si="28"/>
        <v/>
      </c>
      <c r="O244"/>
    </row>
    <row r="245" spans="1:15" ht="15">
      <c r="A245" s="23" t="str">
        <f t="shared" si="30"/>
        <v>Դեկտեմբեր</v>
      </c>
      <c r="B245" s="24"/>
      <c r="C245" s="24">
        <v>5.6120000000000001</v>
      </c>
      <c r="D245" s="24"/>
      <c r="E245" s="24">
        <v>5.7070999999999996</v>
      </c>
      <c r="F245" s="24"/>
      <c r="G245" s="24">
        <v>6.4882</v>
      </c>
      <c r="H245" s="24"/>
      <c r="I245" s="27">
        <v>43800</v>
      </c>
      <c r="J245" s="5" t="str">
        <f t="shared" si="25"/>
        <v>2019 q4</v>
      </c>
      <c r="K245" s="12">
        <f t="shared" si="26"/>
        <v>5.6595499999999993E-2</v>
      </c>
      <c r="L245" s="12">
        <f t="shared" si="27"/>
        <v>6.4881999999999995E-2</v>
      </c>
      <c r="M245" s="12" t="str">
        <f t="shared" si="28"/>
        <v/>
      </c>
      <c r="O245"/>
    </row>
    <row r="246" spans="1:15" ht="15">
      <c r="A246" s="23" t="s">
        <v>61</v>
      </c>
      <c r="B246" s="24"/>
      <c r="C246" s="24"/>
      <c r="D246" s="24"/>
      <c r="E246" s="24">
        <v>5.6117749999999997</v>
      </c>
      <c r="F246" s="24"/>
      <c r="G246" s="24"/>
      <c r="H246" s="24">
        <v>8.1011000000000006</v>
      </c>
      <c r="I246" s="27">
        <v>43831</v>
      </c>
      <c r="J246" s="5" t="str">
        <f t="shared" si="25"/>
        <v>2020 q1</v>
      </c>
      <c r="K246" s="12">
        <f t="shared" si="26"/>
        <v>5.6117749999999994E-2</v>
      </c>
      <c r="L246" s="12" t="str">
        <f t="shared" si="27"/>
        <v/>
      </c>
      <c r="M246" s="12">
        <f t="shared" si="28"/>
        <v>8.1011E-2</v>
      </c>
      <c r="O246"/>
    </row>
    <row r="247" spans="1:15" ht="15">
      <c r="A247" s="23" t="str">
        <f t="shared" si="30"/>
        <v>Փետրվար</v>
      </c>
      <c r="B247" s="24"/>
      <c r="C247" s="24">
        <v>5.5145499999999998</v>
      </c>
      <c r="D247" s="24">
        <v>5.5381</v>
      </c>
      <c r="E247" s="24">
        <v>5.624053</v>
      </c>
      <c r="F247" s="24"/>
      <c r="G247" s="24">
        <v>6.6239999999999997</v>
      </c>
      <c r="H247" s="24"/>
      <c r="I247" s="27">
        <v>43862</v>
      </c>
      <c r="J247" s="5" t="str">
        <f t="shared" si="25"/>
        <v>2020 q1</v>
      </c>
      <c r="K247" s="12">
        <f t="shared" si="26"/>
        <v>5.5589009999999994E-2</v>
      </c>
      <c r="L247" s="12">
        <f t="shared" si="27"/>
        <v>6.6239999999999993E-2</v>
      </c>
      <c r="M247" s="12" t="str">
        <f t="shared" si="28"/>
        <v/>
      </c>
      <c r="O247"/>
    </row>
    <row r="248" spans="1:15" ht="15">
      <c r="A248" s="23" t="str">
        <f t="shared" si="30"/>
        <v xml:space="preserve">Մարտ </v>
      </c>
      <c r="B248" s="24"/>
      <c r="C248" s="24">
        <v>5.57</v>
      </c>
      <c r="D248" s="24">
        <v>5.59</v>
      </c>
      <c r="E248" s="24">
        <v>5.61</v>
      </c>
      <c r="F248" s="24"/>
      <c r="G248" s="24">
        <v>6.2971000000000004</v>
      </c>
      <c r="H248" s="24"/>
      <c r="I248" s="27">
        <v>43891</v>
      </c>
      <c r="J248" s="5" t="str">
        <f t="shared" si="25"/>
        <v>2020 q1</v>
      </c>
      <c r="K248" s="12">
        <f t="shared" si="26"/>
        <v>5.5899999999999998E-2</v>
      </c>
      <c r="L248" s="12">
        <f t="shared" si="27"/>
        <v>6.2970999999999999E-2</v>
      </c>
      <c r="M248" s="12" t="str">
        <f t="shared" si="28"/>
        <v/>
      </c>
      <c r="O248"/>
    </row>
    <row r="249" spans="1:15" ht="15">
      <c r="A249" s="23" t="str">
        <f t="shared" si="30"/>
        <v>Ապրիլ</v>
      </c>
      <c r="B249" s="24"/>
      <c r="C249" s="24">
        <v>5.4946999999999999</v>
      </c>
      <c r="D249" s="24">
        <v>5.68</v>
      </c>
      <c r="E249" s="24">
        <v>5.7849177272727275</v>
      </c>
      <c r="F249" s="24"/>
      <c r="G249" s="24">
        <v>6.9637210743801656</v>
      </c>
      <c r="H249" s="24">
        <v>9.3685051678535718</v>
      </c>
      <c r="I249" s="27">
        <v>43922</v>
      </c>
      <c r="J249" s="5" t="str">
        <f t="shared" si="25"/>
        <v>2020 q2</v>
      </c>
      <c r="K249" s="12">
        <f t="shared" si="26"/>
        <v>5.6532059090909102E-2</v>
      </c>
      <c r="L249" s="12">
        <f t="shared" si="27"/>
        <v>6.963721074380165E-2</v>
      </c>
      <c r="M249" s="12">
        <f t="shared" si="28"/>
        <v>9.3685051678535719E-2</v>
      </c>
      <c r="O249"/>
    </row>
    <row r="250" spans="1:15" ht="15">
      <c r="A250" s="23" t="str">
        <f t="shared" si="30"/>
        <v>Մայիս</v>
      </c>
      <c r="B250" s="24"/>
      <c r="C250" s="24">
        <v>5.6053930000000003</v>
      </c>
      <c r="D250" s="24"/>
      <c r="E250" s="24">
        <v>5.9463407894736848</v>
      </c>
      <c r="F250" s="24"/>
      <c r="G250" s="24">
        <v>7.0566000000000004</v>
      </c>
      <c r="H250" s="24"/>
      <c r="I250" s="27">
        <v>43952</v>
      </c>
      <c r="J250" s="5" t="str">
        <f t="shared" si="25"/>
        <v>2020 q2</v>
      </c>
      <c r="K250" s="12">
        <f t="shared" si="26"/>
        <v>5.7758668947368426E-2</v>
      </c>
      <c r="L250" s="12">
        <f t="shared" si="27"/>
        <v>7.0566000000000004E-2</v>
      </c>
      <c r="M250" s="12" t="str">
        <f t="shared" si="28"/>
        <v/>
      </c>
      <c r="O250"/>
    </row>
    <row r="251" spans="1:15" ht="15">
      <c r="A251" s="23" t="str">
        <f t="shared" si="30"/>
        <v>Հունիս</v>
      </c>
      <c r="B251" s="24"/>
      <c r="C251" s="24"/>
      <c r="D251" s="24">
        <v>5.9672999999999998</v>
      </c>
      <c r="E251" s="24">
        <v>5.4717000000000002</v>
      </c>
      <c r="F251" s="24"/>
      <c r="G251" s="24">
        <v>6.6577999999999999</v>
      </c>
      <c r="H251" s="24"/>
      <c r="I251" s="27">
        <v>43983</v>
      </c>
      <c r="J251" s="5" t="str">
        <f t="shared" si="25"/>
        <v>2020 q2</v>
      </c>
      <c r="K251" s="12">
        <f t="shared" si="26"/>
        <v>5.7195000000000003E-2</v>
      </c>
      <c r="L251" s="12">
        <f t="shared" si="27"/>
        <v>6.6577999999999998E-2</v>
      </c>
      <c r="M251" s="12" t="str">
        <f t="shared" si="28"/>
        <v/>
      </c>
      <c r="O251"/>
    </row>
    <row r="252" spans="1:15" ht="15">
      <c r="A252" s="23" t="str">
        <f t="shared" si="30"/>
        <v>Հուլիս</v>
      </c>
      <c r="B252" s="24"/>
      <c r="C252" s="24">
        <v>5.2628000000000004</v>
      </c>
      <c r="D252" s="24"/>
      <c r="E252" s="24">
        <v>5.648519666666667</v>
      </c>
      <c r="F252" s="24"/>
      <c r="G252" s="24"/>
      <c r="H252" s="24">
        <v>7.9247801446342399</v>
      </c>
      <c r="I252" s="27">
        <v>44013</v>
      </c>
      <c r="J252" s="5" t="str">
        <f t="shared" si="25"/>
        <v>2020 q3</v>
      </c>
      <c r="K252" s="12">
        <f t="shared" si="26"/>
        <v>5.4556598333333338E-2</v>
      </c>
      <c r="L252" s="12" t="str">
        <f t="shared" si="27"/>
        <v/>
      </c>
      <c r="M252" s="12">
        <f t="shared" si="28"/>
        <v>7.92478014463424E-2</v>
      </c>
      <c r="O252"/>
    </row>
    <row r="253" spans="1:15" ht="15">
      <c r="A253" s="23" t="str">
        <f t="shared" si="30"/>
        <v>Օգոստոս</v>
      </c>
      <c r="B253" s="24"/>
      <c r="C253" s="24"/>
      <c r="D253" s="24">
        <v>5.4448999999999996</v>
      </c>
      <c r="E253" s="24">
        <v>5.7117010595542563</v>
      </c>
      <c r="F253" s="24"/>
      <c r="G253" s="24">
        <v>6.9235589333333332</v>
      </c>
      <c r="H253" s="24"/>
      <c r="I253" s="27">
        <v>44044</v>
      </c>
      <c r="J253" s="5" t="str">
        <f t="shared" si="25"/>
        <v>2020 q3</v>
      </c>
      <c r="K253" s="12">
        <f t="shared" si="26"/>
        <v>5.5783005297771276E-2</v>
      </c>
      <c r="L253" s="12">
        <f t="shared" si="27"/>
        <v>6.9235589333333333E-2</v>
      </c>
      <c r="M253" s="12" t="str">
        <f t="shared" si="28"/>
        <v/>
      </c>
      <c r="O253"/>
    </row>
    <row r="254" spans="1:15" ht="15">
      <c r="A254" s="23" t="str">
        <f t="shared" si="30"/>
        <v>Սեպտեմբեր</v>
      </c>
      <c r="B254" s="24"/>
      <c r="C254" s="24"/>
      <c r="D254" s="24"/>
      <c r="E254" s="24">
        <v>5.6617125000000001</v>
      </c>
      <c r="F254" s="24"/>
      <c r="G254" s="24">
        <v>6.4131</v>
      </c>
      <c r="H254" s="24"/>
      <c r="I254" s="27">
        <v>44075</v>
      </c>
      <c r="J254" s="5" t="str">
        <f t="shared" si="25"/>
        <v>2020 q3</v>
      </c>
      <c r="K254" s="12">
        <f t="shared" si="26"/>
        <v>5.6617125000000004E-2</v>
      </c>
      <c r="L254" s="12">
        <f t="shared" si="27"/>
        <v>6.4130999999999994E-2</v>
      </c>
      <c r="M254" s="12" t="str">
        <f t="shared" si="28"/>
        <v/>
      </c>
      <c r="O254"/>
    </row>
    <row r="255" spans="1:15" ht="15">
      <c r="A255" s="23" t="str">
        <f t="shared" si="30"/>
        <v>Հոկտեմբեր</v>
      </c>
      <c r="B255" s="24"/>
      <c r="C255" s="24"/>
      <c r="D255" s="24">
        <v>5.5995699999999999</v>
      </c>
      <c r="E255" s="24">
        <v>5.7445000000000004</v>
      </c>
      <c r="F255" s="24"/>
      <c r="G255" s="24">
        <v>7.0434242950108459</v>
      </c>
      <c r="H255" s="24">
        <v>9.0678438931297709</v>
      </c>
      <c r="I255" s="27">
        <v>44105</v>
      </c>
      <c r="J255" s="5" t="str">
        <f t="shared" si="25"/>
        <v>2020 q4</v>
      </c>
      <c r="K255" s="12">
        <f t="shared" si="26"/>
        <v>5.6720350000000003E-2</v>
      </c>
      <c r="L255" s="12">
        <f t="shared" si="27"/>
        <v>7.0434242950108458E-2</v>
      </c>
      <c r="M255" s="12">
        <f t="shared" si="28"/>
        <v>9.0678438931297706E-2</v>
      </c>
      <c r="O255"/>
    </row>
    <row r="256" spans="1:15" ht="15">
      <c r="A256" s="23" t="str">
        <f t="shared" si="30"/>
        <v>Նոյեմբեր</v>
      </c>
      <c r="B256" s="24"/>
      <c r="C256" s="24">
        <v>6.0090937499999999</v>
      </c>
      <c r="D256" s="24"/>
      <c r="E256" s="24">
        <v>5.910393891454091</v>
      </c>
      <c r="F256" s="24"/>
      <c r="G256" s="24"/>
      <c r="H256" s="24"/>
      <c r="I256" s="27">
        <v>44136</v>
      </c>
      <c r="J256" s="5" t="str">
        <f t="shared" si="25"/>
        <v>2020 q4</v>
      </c>
      <c r="K256" s="12">
        <f t="shared" si="26"/>
        <v>5.9597438207270453E-2</v>
      </c>
      <c r="L256" s="12" t="str">
        <f t="shared" si="27"/>
        <v/>
      </c>
      <c r="M256" s="12" t="str">
        <f t="shared" si="28"/>
        <v/>
      </c>
      <c r="O256"/>
    </row>
    <row r="257" spans="1:15" ht="15">
      <c r="A257" s="23" t="str">
        <f t="shared" si="30"/>
        <v>Դեկտեմբեր</v>
      </c>
      <c r="B257" s="24">
        <v>6.1155999999999997</v>
      </c>
      <c r="C257" s="24"/>
      <c r="D257" s="24"/>
      <c r="E257" s="24">
        <v>6.4064483870967743</v>
      </c>
      <c r="F257" s="24"/>
      <c r="G257" s="24">
        <v>7.6549244694786482</v>
      </c>
      <c r="H257" s="24"/>
      <c r="I257" s="27">
        <v>44166</v>
      </c>
      <c r="J257" s="5" t="str">
        <f t="shared" si="25"/>
        <v>2020 q4</v>
      </c>
      <c r="K257" s="12">
        <f t="shared" si="26"/>
        <v>6.2610241935483868E-2</v>
      </c>
      <c r="L257" s="12">
        <f t="shared" si="27"/>
        <v>7.6549244694786481E-2</v>
      </c>
      <c r="M257" s="12" t="str">
        <f t="shared" si="28"/>
        <v/>
      </c>
      <c r="O257"/>
    </row>
    <row r="258" spans="1:15" ht="15">
      <c r="A258" s="23" t="s">
        <v>62</v>
      </c>
      <c r="B258" s="24"/>
      <c r="C258" s="24"/>
      <c r="D258" s="24"/>
      <c r="E258" s="24">
        <v>6.8925232558139538</v>
      </c>
      <c r="F258" s="24"/>
      <c r="G258" s="24"/>
      <c r="H258" s="24">
        <v>9.681431525610396</v>
      </c>
      <c r="I258" s="27">
        <v>44197</v>
      </c>
      <c r="J258" s="5" t="str">
        <f t="shared" si="25"/>
        <v>2021 q1</v>
      </c>
      <c r="K258" s="12">
        <f t="shared" si="26"/>
        <v>6.8925232558139538E-2</v>
      </c>
      <c r="L258" s="12" t="str">
        <f t="shared" si="27"/>
        <v/>
      </c>
      <c r="M258" s="12">
        <f t="shared" si="28"/>
        <v>9.6814315256103955E-2</v>
      </c>
      <c r="O258"/>
    </row>
    <row r="259" spans="1:15" ht="15">
      <c r="A259" s="23" t="str">
        <f t="shared" si="30"/>
        <v>Փետրվար</v>
      </c>
      <c r="B259" s="24"/>
      <c r="C259" s="24">
        <v>6.19</v>
      </c>
      <c r="D259" s="24"/>
      <c r="E259" s="24">
        <v>6.9028499999999999</v>
      </c>
      <c r="F259" s="24"/>
      <c r="G259" s="24">
        <v>8.3673000000000002</v>
      </c>
      <c r="H259" s="24"/>
      <c r="I259" s="27">
        <v>44228</v>
      </c>
      <c r="J259" s="5" t="str">
        <f t="shared" si="25"/>
        <v>2021 q1</v>
      </c>
      <c r="K259" s="12">
        <f t="shared" si="26"/>
        <v>6.5464250000000002E-2</v>
      </c>
      <c r="L259" s="12">
        <f t="shared" si="27"/>
        <v>8.3672999999999997E-2</v>
      </c>
      <c r="M259" s="12" t="str">
        <f t="shared" si="28"/>
        <v/>
      </c>
      <c r="O259"/>
    </row>
    <row r="260" spans="1:15" ht="15">
      <c r="A260" s="23" t="str">
        <f t="shared" si="30"/>
        <v xml:space="preserve">Մարտ </v>
      </c>
      <c r="B260" s="24"/>
      <c r="C260" s="24"/>
      <c r="D260" s="24">
        <v>6.5964</v>
      </c>
      <c r="E260" s="24">
        <v>6.9170499999999997</v>
      </c>
      <c r="F260" s="24"/>
      <c r="G260" s="24">
        <v>7.6966000000000001</v>
      </c>
      <c r="H260" s="24"/>
      <c r="I260" s="27">
        <v>44256</v>
      </c>
      <c r="J260" s="5" t="str">
        <f t="shared" si="25"/>
        <v>2021 q1</v>
      </c>
      <c r="K260" s="12">
        <f t="shared" si="26"/>
        <v>6.7567249999999995E-2</v>
      </c>
      <c r="L260" s="12">
        <f t="shared" si="27"/>
        <v>7.6966000000000007E-2</v>
      </c>
      <c r="M260" s="12" t="str">
        <f t="shared" si="28"/>
        <v/>
      </c>
      <c r="O260"/>
    </row>
    <row r="261" spans="1:15" ht="15">
      <c r="A261" s="23" t="str">
        <f t="shared" si="30"/>
        <v>Ապրիլ</v>
      </c>
      <c r="B261" s="24"/>
      <c r="C261" s="24">
        <v>6.5236999999999998</v>
      </c>
      <c r="D261" s="24"/>
      <c r="E261" s="24">
        <v>6.92875</v>
      </c>
      <c r="F261" s="24"/>
      <c r="G261" s="24"/>
      <c r="H261" s="24">
        <v>9.8704542865300873</v>
      </c>
      <c r="I261" s="27">
        <v>44287</v>
      </c>
      <c r="J261" s="5" t="str">
        <f t="shared" si="25"/>
        <v>2021 q2</v>
      </c>
      <c r="K261" s="12">
        <f t="shared" si="26"/>
        <v>6.7262249999999996E-2</v>
      </c>
      <c r="L261" s="12" t="str">
        <f t="shared" si="27"/>
        <v/>
      </c>
      <c r="M261" s="12">
        <f t="shared" si="28"/>
        <v>9.8704542865300879E-2</v>
      </c>
      <c r="O261"/>
    </row>
    <row r="262" spans="1:15" ht="15">
      <c r="A262" s="23" t="str">
        <f t="shared" si="30"/>
        <v>Մայիս</v>
      </c>
      <c r="B262" s="24"/>
      <c r="C262" s="24"/>
      <c r="D262" s="24">
        <v>7.1231</v>
      </c>
      <c r="E262" s="24">
        <v>7.0799500000000002</v>
      </c>
      <c r="F262" s="24"/>
      <c r="G262" s="24">
        <v>8.6953999999999994</v>
      </c>
      <c r="H262" s="24"/>
      <c r="I262" s="27">
        <v>44317</v>
      </c>
      <c r="J262" s="5" t="str">
        <f t="shared" si="25"/>
        <v>2021 q2</v>
      </c>
      <c r="K262" s="12">
        <f t="shared" si="26"/>
        <v>7.1015250000000002E-2</v>
      </c>
      <c r="L262" s="12">
        <f t="shared" si="27"/>
        <v>8.695399999999999E-2</v>
      </c>
      <c r="M262" s="12" t="str">
        <f t="shared" si="28"/>
        <v/>
      </c>
      <c r="O262"/>
    </row>
    <row r="263" spans="1:15" ht="15">
      <c r="A263" s="23" t="str">
        <f t="shared" si="30"/>
        <v>Հունիս</v>
      </c>
      <c r="B263" s="24"/>
      <c r="C263" s="24">
        <v>7.3503999999999996</v>
      </c>
      <c r="D263" s="24"/>
      <c r="E263" s="24">
        <v>7.3498999999999999</v>
      </c>
      <c r="F263" s="24"/>
      <c r="G263" s="24">
        <v>8.3908000000000005</v>
      </c>
      <c r="H263" s="24"/>
      <c r="I263" s="27">
        <v>44348</v>
      </c>
      <c r="J263" s="5" t="str">
        <f t="shared" ref="J263:J297" si="31">YEAR(I263)&amp;" q"&amp;ROUNDUP(MONTH(I263)/3,0)</f>
        <v>2021 q2</v>
      </c>
      <c r="K263" s="12">
        <f t="shared" ref="K263:K297" si="32">IFERROR(AVERAGE(B263:E263)/100,"")</f>
        <v>7.3501499999999997E-2</v>
      </c>
      <c r="L263" s="12">
        <f t="shared" ref="L263:L297" si="33">IFERROR(AVERAGE(F263:G263)/100,"")</f>
        <v>8.390800000000001E-2</v>
      </c>
      <c r="M263" s="12" t="str">
        <f t="shared" ref="M263:M297" si="34">IF(IFERROR(H263/100,"")=0,"",IFERROR(H263/100,""))</f>
        <v/>
      </c>
      <c r="O263"/>
    </row>
    <row r="264" spans="1:15" ht="15">
      <c r="A264" s="23" t="str">
        <f t="shared" si="30"/>
        <v>Հուլիս</v>
      </c>
      <c r="B264" s="24"/>
      <c r="C264" s="24"/>
      <c r="D264" s="24"/>
      <c r="E264" s="24">
        <v>7.8607287499999998</v>
      </c>
      <c r="F264" s="24"/>
      <c r="G264" s="24"/>
      <c r="H264" s="24">
        <v>9.9131</v>
      </c>
      <c r="I264" s="27">
        <v>44378</v>
      </c>
      <c r="J264" s="5" t="str">
        <f t="shared" si="31"/>
        <v>2021 q3</v>
      </c>
      <c r="K264" s="12">
        <f t="shared" si="32"/>
        <v>7.8607287499999998E-2</v>
      </c>
      <c r="L264" s="12" t="str">
        <f t="shared" si="33"/>
        <v/>
      </c>
      <c r="M264" s="12">
        <f t="shared" si="34"/>
        <v>9.9130999999999997E-2</v>
      </c>
      <c r="O264"/>
    </row>
    <row r="265" spans="1:15" ht="15">
      <c r="A265" s="23" t="str">
        <f t="shared" si="30"/>
        <v>Օգոստոս</v>
      </c>
      <c r="B265" s="24"/>
      <c r="C265" s="24"/>
      <c r="D265" s="24"/>
      <c r="E265" s="24">
        <v>8.2888199999999994</v>
      </c>
      <c r="F265" s="24"/>
      <c r="G265" s="24">
        <v>9.6042000000000005</v>
      </c>
      <c r="H265" s="24"/>
      <c r="I265" s="27">
        <v>44409</v>
      </c>
      <c r="J265" s="5" t="str">
        <f t="shared" si="31"/>
        <v>2021 q3</v>
      </c>
      <c r="K265" s="12">
        <f t="shared" si="32"/>
        <v>8.2888199999999995E-2</v>
      </c>
      <c r="L265" s="12">
        <f t="shared" si="33"/>
        <v>9.6042000000000002E-2</v>
      </c>
      <c r="M265" s="12" t="str">
        <f t="shared" si="34"/>
        <v/>
      </c>
      <c r="O265"/>
    </row>
    <row r="266" spans="1:15" ht="15">
      <c r="A266" s="23" t="str">
        <f t="shared" si="30"/>
        <v>Սեպտեմբեր</v>
      </c>
      <c r="B266" s="24"/>
      <c r="C266" s="24">
        <v>8</v>
      </c>
      <c r="D266" s="24"/>
      <c r="E266" s="24">
        <v>8.5056999999999992</v>
      </c>
      <c r="F266" s="24"/>
      <c r="G266" s="24">
        <v>9.3537999999999997</v>
      </c>
      <c r="H266" s="24"/>
      <c r="I266" s="27">
        <v>44440</v>
      </c>
      <c r="J266" s="5" t="str">
        <f t="shared" si="31"/>
        <v>2021 q3</v>
      </c>
      <c r="K266" s="12">
        <f t="shared" si="32"/>
        <v>8.2528499999999991E-2</v>
      </c>
      <c r="L266" s="12">
        <f t="shared" si="33"/>
        <v>9.3537999999999996E-2</v>
      </c>
      <c r="M266" s="12" t="str">
        <f t="shared" si="34"/>
        <v/>
      </c>
      <c r="O266"/>
    </row>
    <row r="267" spans="1:15" ht="15">
      <c r="A267" s="23" t="str">
        <f t="shared" si="30"/>
        <v>Հոկտեմբեր</v>
      </c>
      <c r="B267" s="24"/>
      <c r="C267" s="24"/>
      <c r="D267" s="24">
        <v>8.4499999999999993</v>
      </c>
      <c r="E267" s="24">
        <v>8.81</v>
      </c>
      <c r="F267" s="24"/>
      <c r="G267" s="24">
        <v>9.6243999999999996</v>
      </c>
      <c r="H267" s="24">
        <v>10.289874523669795</v>
      </c>
      <c r="I267" s="27">
        <v>44470</v>
      </c>
      <c r="J267" s="5" t="str">
        <f t="shared" si="31"/>
        <v>2021 q4</v>
      </c>
      <c r="K267" s="12">
        <f t="shared" si="32"/>
        <v>8.6299999999999988E-2</v>
      </c>
      <c r="L267" s="12">
        <f t="shared" si="33"/>
        <v>9.6243999999999996E-2</v>
      </c>
      <c r="M267" s="12">
        <f t="shared" si="34"/>
        <v>0.10289874523669795</v>
      </c>
      <c r="O267"/>
    </row>
    <row r="268" spans="1:15" ht="15">
      <c r="A268" s="23" t="str">
        <f t="shared" si="30"/>
        <v>Նոյեմբեր</v>
      </c>
      <c r="B268" s="24"/>
      <c r="C268" s="24">
        <v>7.9984000000000002</v>
      </c>
      <c r="D268" s="24"/>
      <c r="E268" s="24">
        <v>8.91</v>
      </c>
      <c r="F268" s="24"/>
      <c r="G268" s="24">
        <v>9.8339999999999996</v>
      </c>
      <c r="H268" s="24"/>
      <c r="I268" s="27">
        <v>44501</v>
      </c>
      <c r="J268" s="5" t="str">
        <f t="shared" si="31"/>
        <v>2021 q4</v>
      </c>
      <c r="K268" s="12">
        <f t="shared" si="32"/>
        <v>8.4542000000000006E-2</v>
      </c>
      <c r="L268" s="12">
        <f t="shared" si="33"/>
        <v>9.8339999999999997E-2</v>
      </c>
      <c r="M268" s="12" t="str">
        <f t="shared" si="34"/>
        <v/>
      </c>
      <c r="O268"/>
    </row>
    <row r="269" spans="1:15" ht="15">
      <c r="A269" s="23" t="str">
        <f t="shared" si="30"/>
        <v>Դեկտեմբեր</v>
      </c>
      <c r="B269" s="24"/>
      <c r="C269" s="24">
        <v>8.8234999999999992</v>
      </c>
      <c r="D269" s="24"/>
      <c r="E269" s="24">
        <v>9.0983000000000001</v>
      </c>
      <c r="F269" s="24"/>
      <c r="G269" s="24">
        <v>9.6699000000000002</v>
      </c>
      <c r="H269" s="24"/>
      <c r="I269" s="27">
        <v>44531</v>
      </c>
      <c r="J269" s="5" t="str">
        <f t="shared" si="31"/>
        <v>2021 q4</v>
      </c>
      <c r="K269" s="12">
        <f t="shared" si="32"/>
        <v>8.9608999999999994E-2</v>
      </c>
      <c r="L269" s="12">
        <f t="shared" si="33"/>
        <v>9.6699000000000007E-2</v>
      </c>
      <c r="M269" s="12" t="str">
        <f t="shared" si="34"/>
        <v/>
      </c>
      <c r="O269"/>
    </row>
    <row r="270" spans="1:15" ht="15">
      <c r="A270" s="23" t="s">
        <v>63</v>
      </c>
      <c r="B270" s="24">
        <v>8.35</v>
      </c>
      <c r="C270" s="24"/>
      <c r="D270" s="24">
        <v>8.9806000000000008</v>
      </c>
      <c r="E270" s="24">
        <v>9.2489000000000008</v>
      </c>
      <c r="F270" s="24"/>
      <c r="G270" s="24"/>
      <c r="H270" s="24">
        <v>10.6031</v>
      </c>
      <c r="I270" s="27">
        <v>44562</v>
      </c>
      <c r="J270" s="5" t="str">
        <f t="shared" si="31"/>
        <v>2022 q1</v>
      </c>
      <c r="K270" s="12">
        <f t="shared" si="32"/>
        <v>8.8598333333333348E-2</v>
      </c>
      <c r="L270" s="12" t="str">
        <f t="shared" si="33"/>
        <v/>
      </c>
      <c r="M270" s="12">
        <f t="shared" si="34"/>
        <v>0.106031</v>
      </c>
      <c r="O270"/>
    </row>
    <row r="271" spans="1:15" ht="15">
      <c r="A271" s="23" t="str">
        <f t="shared" ref="A271:A293" si="35">A259</f>
        <v>Փետրվար</v>
      </c>
      <c r="B271" s="24"/>
      <c r="C271" s="24">
        <v>8.8828999999999994</v>
      </c>
      <c r="D271" s="24"/>
      <c r="E271" s="24">
        <v>9.1161499999999993</v>
      </c>
      <c r="F271" s="24"/>
      <c r="G271" s="24">
        <v>9.84</v>
      </c>
      <c r="H271" s="24"/>
      <c r="I271" s="27">
        <v>44593</v>
      </c>
      <c r="J271" s="5" t="str">
        <f t="shared" si="31"/>
        <v>2022 q1</v>
      </c>
      <c r="K271" s="12">
        <f t="shared" si="32"/>
        <v>8.9995249999999985E-2</v>
      </c>
      <c r="L271" s="12">
        <f t="shared" si="33"/>
        <v>9.8400000000000001E-2</v>
      </c>
      <c r="M271" s="12" t="str">
        <f t="shared" si="34"/>
        <v/>
      </c>
      <c r="O271"/>
    </row>
    <row r="272" spans="1:15" ht="15">
      <c r="A272" s="23" t="str">
        <f t="shared" si="35"/>
        <v xml:space="preserve">Մարտ </v>
      </c>
      <c r="B272" s="24"/>
      <c r="C272" s="24">
        <v>9.8503000000000007</v>
      </c>
      <c r="D272" s="24"/>
      <c r="E272" s="24">
        <v>10.187799999999999</v>
      </c>
      <c r="F272" s="24"/>
      <c r="G272" s="24">
        <v>10.517899999999999</v>
      </c>
      <c r="H272" s="24"/>
      <c r="I272" s="27">
        <v>44621</v>
      </c>
      <c r="J272" s="5" t="str">
        <f t="shared" si="31"/>
        <v>2022 q1</v>
      </c>
      <c r="K272" s="12">
        <f t="shared" si="32"/>
        <v>0.1001905</v>
      </c>
      <c r="L272" s="12">
        <f t="shared" si="33"/>
        <v>0.10517899999999999</v>
      </c>
      <c r="M272" s="12" t="str">
        <f t="shared" si="34"/>
        <v/>
      </c>
      <c r="O272"/>
    </row>
    <row r="273" spans="1:15" ht="15">
      <c r="A273" s="23" t="str">
        <f t="shared" si="35"/>
        <v>Ապրիլ</v>
      </c>
      <c r="B273" s="24"/>
      <c r="C273" s="24"/>
      <c r="D273" s="24">
        <v>10.1273</v>
      </c>
      <c r="E273" s="24">
        <v>10.511244110854504</v>
      </c>
      <c r="F273" s="24"/>
      <c r="G273" s="24">
        <v>11.10425</v>
      </c>
      <c r="H273" s="24">
        <v>11.692732145649503</v>
      </c>
      <c r="I273" s="27">
        <v>44652</v>
      </c>
      <c r="J273" s="5" t="str">
        <f t="shared" si="31"/>
        <v>2022 q2</v>
      </c>
      <c r="K273" s="12">
        <f t="shared" si="32"/>
        <v>0.10319272055427252</v>
      </c>
      <c r="L273" s="12">
        <f t="shared" si="33"/>
        <v>0.1110425</v>
      </c>
      <c r="M273" s="12">
        <f t="shared" si="34"/>
        <v>0.11692732145649502</v>
      </c>
      <c r="O273"/>
    </row>
    <row r="274" spans="1:15" ht="15">
      <c r="A274" s="23" t="str">
        <f t="shared" si="35"/>
        <v>Մայիս</v>
      </c>
      <c r="B274" s="24"/>
      <c r="C274" s="24">
        <v>9.9552999999999994</v>
      </c>
      <c r="D274" s="24"/>
      <c r="E274" s="24">
        <v>10.476050000000001</v>
      </c>
      <c r="F274" s="24"/>
      <c r="G274" s="24">
        <v>11.1927</v>
      </c>
      <c r="H274" s="24"/>
      <c r="I274" s="27">
        <v>44682</v>
      </c>
      <c r="J274" s="5" t="str">
        <f t="shared" si="31"/>
        <v>2022 q2</v>
      </c>
      <c r="K274" s="12">
        <f t="shared" si="32"/>
        <v>0.10215675</v>
      </c>
      <c r="L274" s="12">
        <f t="shared" si="33"/>
        <v>0.111927</v>
      </c>
      <c r="M274" s="12" t="str">
        <f t="shared" si="34"/>
        <v/>
      </c>
      <c r="O274"/>
    </row>
    <row r="275" spans="1:15" ht="15">
      <c r="A275" s="23" t="str">
        <f t="shared" si="35"/>
        <v>Հունիս</v>
      </c>
      <c r="B275" s="24"/>
      <c r="C275" s="24"/>
      <c r="D275" s="24">
        <v>10.4603</v>
      </c>
      <c r="E275" s="24">
        <v>10.593811111111112</v>
      </c>
      <c r="F275" s="24"/>
      <c r="G275" s="24">
        <v>10.968999999999999</v>
      </c>
      <c r="H275" s="24"/>
      <c r="I275" s="27">
        <v>44713</v>
      </c>
      <c r="J275" s="5" t="str">
        <f t="shared" si="31"/>
        <v>2022 q2</v>
      </c>
      <c r="K275" s="12">
        <f t="shared" si="32"/>
        <v>0.10527055555555556</v>
      </c>
      <c r="L275" s="12">
        <f t="shared" si="33"/>
        <v>0.10969</v>
      </c>
      <c r="M275" s="12" t="str">
        <f t="shared" si="34"/>
        <v/>
      </c>
      <c r="O275"/>
    </row>
    <row r="276" spans="1:15" ht="15">
      <c r="A276" s="23" t="str">
        <f t="shared" si="35"/>
        <v>Հուլիս</v>
      </c>
      <c r="B276" s="24"/>
      <c r="C276" s="24"/>
      <c r="D276" s="24"/>
      <c r="E276" s="24">
        <v>10.743399999999999</v>
      </c>
      <c r="F276" s="24"/>
      <c r="G276" s="24"/>
      <c r="H276" s="24">
        <v>11.8903</v>
      </c>
      <c r="I276" s="27">
        <v>44743</v>
      </c>
      <c r="J276" s="5" t="str">
        <f t="shared" si="31"/>
        <v>2022 q3</v>
      </c>
      <c r="K276" s="12">
        <f t="shared" si="32"/>
        <v>0.10743399999999999</v>
      </c>
      <c r="L276" s="12" t="str">
        <f t="shared" si="33"/>
        <v/>
      </c>
      <c r="M276" s="12">
        <f t="shared" si="34"/>
        <v>0.11890299999999999</v>
      </c>
      <c r="O276"/>
    </row>
    <row r="277" spans="1:15" ht="15">
      <c r="A277" s="23" t="str">
        <f t="shared" si="35"/>
        <v>Օգոստոս</v>
      </c>
      <c r="B277" s="24"/>
      <c r="C277" s="24"/>
      <c r="D277" s="24">
        <v>10.4899</v>
      </c>
      <c r="E277" s="24">
        <v>10.516299999999999</v>
      </c>
      <c r="F277" s="24"/>
      <c r="G277" s="24">
        <v>11.4925</v>
      </c>
      <c r="H277" s="24"/>
      <c r="I277" s="27">
        <v>44774</v>
      </c>
      <c r="J277" s="5" t="str">
        <f t="shared" si="31"/>
        <v>2022 q3</v>
      </c>
      <c r="K277" s="12">
        <f t="shared" si="32"/>
        <v>0.105031</v>
      </c>
      <c r="L277" s="12">
        <f t="shared" si="33"/>
        <v>0.114925</v>
      </c>
      <c r="M277" s="12" t="str">
        <f t="shared" si="34"/>
        <v/>
      </c>
      <c r="O277"/>
    </row>
    <row r="278" spans="1:15" ht="15">
      <c r="A278" s="23" t="str">
        <f t="shared" si="35"/>
        <v>Սեպտեմբեր</v>
      </c>
      <c r="B278" s="24"/>
      <c r="C278" s="24">
        <v>10.6869</v>
      </c>
      <c r="D278" s="24"/>
      <c r="E278" s="24">
        <v>10.7294</v>
      </c>
      <c r="F278" s="24"/>
      <c r="G278" s="24">
        <v>11.057652870479664</v>
      </c>
      <c r="H278" s="24"/>
      <c r="I278" s="27">
        <v>44805</v>
      </c>
      <c r="J278" s="5" t="str">
        <f t="shared" si="31"/>
        <v>2022 q3</v>
      </c>
      <c r="K278" s="12">
        <f t="shared" si="32"/>
        <v>0.1070815</v>
      </c>
      <c r="L278" s="12">
        <f t="shared" si="33"/>
        <v>0.11057652870479664</v>
      </c>
      <c r="M278" s="12" t="str">
        <f t="shared" si="34"/>
        <v/>
      </c>
      <c r="O278"/>
    </row>
    <row r="279" spans="1:15" ht="15">
      <c r="A279" s="23" t="str">
        <f t="shared" si="35"/>
        <v>Հոկտեմբեր</v>
      </c>
      <c r="B279" s="24"/>
      <c r="C279" s="24">
        <v>11.412050000000001</v>
      </c>
      <c r="D279" s="24">
        <v>11.574299999999999</v>
      </c>
      <c r="E279" s="24">
        <v>11.2127</v>
      </c>
      <c r="F279" s="24"/>
      <c r="G279" s="24">
        <v>11.67</v>
      </c>
      <c r="H279" s="24"/>
      <c r="I279" s="27">
        <v>44835</v>
      </c>
      <c r="J279" s="5" t="str">
        <f t="shared" si="31"/>
        <v>2022 q4</v>
      </c>
      <c r="K279" s="12">
        <f t="shared" si="32"/>
        <v>0.11399683333333334</v>
      </c>
      <c r="L279" s="12">
        <f t="shared" si="33"/>
        <v>0.1167</v>
      </c>
      <c r="M279" s="12" t="str">
        <f t="shared" si="34"/>
        <v/>
      </c>
      <c r="O279"/>
    </row>
    <row r="280" spans="1:15" ht="15">
      <c r="A280" s="23" t="str">
        <f t="shared" si="35"/>
        <v>Նոյեմբեր</v>
      </c>
      <c r="B280" s="24"/>
      <c r="C280" s="24">
        <v>11.311616123364621</v>
      </c>
      <c r="D280" s="24"/>
      <c r="E280" s="24">
        <v>11.788697733144428</v>
      </c>
      <c r="F280" s="24"/>
      <c r="G280" s="24">
        <v>11.67</v>
      </c>
      <c r="H280" s="24"/>
      <c r="I280" s="27">
        <v>44866</v>
      </c>
      <c r="J280" s="5" t="str">
        <f t="shared" si="31"/>
        <v>2022 q4</v>
      </c>
      <c r="K280" s="12">
        <f t="shared" si="32"/>
        <v>0.11550156928254524</v>
      </c>
      <c r="L280" s="12">
        <f t="shared" si="33"/>
        <v>0.1167</v>
      </c>
      <c r="M280" s="12" t="str">
        <f t="shared" si="34"/>
        <v/>
      </c>
      <c r="O280"/>
    </row>
    <row r="281" spans="1:15" ht="15">
      <c r="A281" s="23" t="str">
        <f t="shared" si="35"/>
        <v>Դեկտեմբեր</v>
      </c>
      <c r="B281" s="24">
        <v>10.9391</v>
      </c>
      <c r="C281" s="24"/>
      <c r="D281" s="24">
        <v>11.8314</v>
      </c>
      <c r="E281" s="24">
        <v>11.84235</v>
      </c>
      <c r="F281" s="24"/>
      <c r="G281" s="24">
        <v>11.946</v>
      </c>
      <c r="H281" s="24"/>
      <c r="I281" s="27">
        <v>44896</v>
      </c>
      <c r="J281" s="5" t="str">
        <f t="shared" si="31"/>
        <v>2022 q4</v>
      </c>
      <c r="K281" s="12">
        <f t="shared" si="32"/>
        <v>0.11537616666666665</v>
      </c>
      <c r="L281" s="12">
        <f t="shared" si="33"/>
        <v>0.11946</v>
      </c>
      <c r="M281" s="12" t="str">
        <f t="shared" si="34"/>
        <v/>
      </c>
      <c r="O281"/>
    </row>
    <row r="282" spans="1:15" ht="15">
      <c r="A282" s="23" t="s">
        <v>64</v>
      </c>
      <c r="B282" s="24">
        <v>11.2036</v>
      </c>
      <c r="C282" s="24"/>
      <c r="D282" s="24"/>
      <c r="E282" s="24">
        <v>11.61951724137931</v>
      </c>
      <c r="F282" s="24"/>
      <c r="G282" s="24"/>
      <c r="H282" s="24">
        <v>11.9801</v>
      </c>
      <c r="I282" s="27">
        <v>44927</v>
      </c>
      <c r="J282" s="5" t="str">
        <f t="shared" si="31"/>
        <v>2023 q1</v>
      </c>
      <c r="K282" s="12">
        <f t="shared" si="32"/>
        <v>0.11411558620689653</v>
      </c>
      <c r="L282" s="12" t="str">
        <f t="shared" si="33"/>
        <v/>
      </c>
      <c r="M282" s="12">
        <f t="shared" si="34"/>
        <v>0.119801</v>
      </c>
      <c r="O282"/>
    </row>
    <row r="283" spans="1:15" ht="15">
      <c r="A283" s="23" t="str">
        <f t="shared" si="35"/>
        <v>Փետրվար</v>
      </c>
      <c r="B283" s="24"/>
      <c r="C283" s="24"/>
      <c r="D283" s="24">
        <v>11.441000000000001</v>
      </c>
      <c r="E283" s="24">
        <v>11.537836967598219</v>
      </c>
      <c r="F283" s="24"/>
      <c r="G283" s="24">
        <v>11.955500000000001</v>
      </c>
      <c r="H283" s="24"/>
      <c r="I283" s="27">
        <v>44958</v>
      </c>
      <c r="J283" s="5" t="str">
        <f t="shared" si="31"/>
        <v>2023 q1</v>
      </c>
      <c r="K283" s="12">
        <f t="shared" si="32"/>
        <v>0.1148941848379911</v>
      </c>
      <c r="L283" s="12">
        <f t="shared" si="33"/>
        <v>0.11955500000000001</v>
      </c>
      <c r="M283" s="12" t="str">
        <f t="shared" si="34"/>
        <v/>
      </c>
      <c r="O283"/>
    </row>
    <row r="284" spans="1:15" ht="15">
      <c r="A284" s="23" t="str">
        <f t="shared" si="35"/>
        <v xml:space="preserve">Մարտ </v>
      </c>
      <c r="B284" s="24"/>
      <c r="C284" s="24">
        <v>11.1493</v>
      </c>
      <c r="D284" s="24"/>
      <c r="E284" s="24">
        <v>11.702825000000001</v>
      </c>
      <c r="F284" s="24"/>
      <c r="G284" s="24">
        <v>11.904400000000001</v>
      </c>
      <c r="H284" s="24"/>
      <c r="I284" s="27">
        <v>44986</v>
      </c>
      <c r="J284" s="5" t="str">
        <f t="shared" si="31"/>
        <v>2023 q1</v>
      </c>
      <c r="K284" s="12">
        <f t="shared" si="32"/>
        <v>0.114260625</v>
      </c>
      <c r="L284" s="12">
        <f t="shared" si="33"/>
        <v>0.11904400000000001</v>
      </c>
      <c r="M284" s="12" t="str">
        <f t="shared" si="34"/>
        <v/>
      </c>
      <c r="O284"/>
    </row>
    <row r="285" spans="1:15" ht="15">
      <c r="A285" s="23" t="str">
        <f t="shared" si="35"/>
        <v>Ապրիլ</v>
      </c>
      <c r="B285" s="24"/>
      <c r="C285" s="24"/>
      <c r="D285" s="24"/>
      <c r="E285" s="24">
        <v>11.614179296624659</v>
      </c>
      <c r="F285" s="24"/>
      <c r="G285" s="24"/>
      <c r="H285" s="24">
        <v>11.8674</v>
      </c>
      <c r="I285" s="27">
        <v>45017</v>
      </c>
      <c r="J285" s="5" t="str">
        <f t="shared" si="31"/>
        <v>2023 q2</v>
      </c>
      <c r="K285" s="12">
        <f t="shared" si="32"/>
        <v>0.11614179296624659</v>
      </c>
      <c r="L285" s="12" t="str">
        <f t="shared" si="33"/>
        <v/>
      </c>
      <c r="M285" s="12">
        <f t="shared" si="34"/>
        <v>0.118674</v>
      </c>
      <c r="O285"/>
    </row>
    <row r="286" spans="1:15" ht="15">
      <c r="A286" s="23" t="str">
        <f t="shared" si="35"/>
        <v>Մայիս</v>
      </c>
      <c r="B286" s="24"/>
      <c r="C286" s="24">
        <v>11.129300000000001</v>
      </c>
      <c r="D286" s="24"/>
      <c r="E286" s="24">
        <v>11.513218829800422</v>
      </c>
      <c r="F286" s="24"/>
      <c r="G286" s="24">
        <v>11.671685675658452</v>
      </c>
      <c r="H286" s="24">
        <v>11.703222610937155</v>
      </c>
      <c r="I286" s="27">
        <v>45047</v>
      </c>
      <c r="J286" s="5" t="str">
        <f t="shared" si="31"/>
        <v>2023 q2</v>
      </c>
      <c r="K286" s="12">
        <f t="shared" si="32"/>
        <v>0.11321259414900212</v>
      </c>
      <c r="L286" s="12">
        <f t="shared" si="33"/>
        <v>0.11671685675658452</v>
      </c>
      <c r="M286" s="12">
        <f t="shared" si="34"/>
        <v>0.11703222610937156</v>
      </c>
      <c r="O286"/>
    </row>
    <row r="287" spans="1:15" ht="15">
      <c r="A287" s="23" t="str">
        <f t="shared" si="35"/>
        <v>Հունիս</v>
      </c>
      <c r="B287" s="24"/>
      <c r="C287" s="24">
        <v>11.090199999999999</v>
      </c>
      <c r="D287" s="24">
        <v>11.0901</v>
      </c>
      <c r="E287" s="24">
        <v>11.4168</v>
      </c>
      <c r="F287" s="24"/>
      <c r="G287" s="24">
        <v>11.232100000000001</v>
      </c>
      <c r="H287" s="24"/>
      <c r="I287" s="27">
        <v>45078</v>
      </c>
      <c r="J287" s="5" t="str">
        <f t="shared" si="31"/>
        <v>2023 q2</v>
      </c>
      <c r="K287" s="12">
        <f t="shared" si="32"/>
        <v>0.11199033333333333</v>
      </c>
      <c r="L287" s="12">
        <f t="shared" si="33"/>
        <v>0.112321</v>
      </c>
      <c r="M287" s="12" t="str">
        <f t="shared" si="34"/>
        <v/>
      </c>
      <c r="O287"/>
    </row>
    <row r="288" spans="1:15" ht="15">
      <c r="A288" s="23" t="str">
        <f t="shared" si="35"/>
        <v>Հուլիս</v>
      </c>
      <c r="B288" s="24"/>
      <c r="C288" s="24">
        <v>10.9923</v>
      </c>
      <c r="D288" s="24"/>
      <c r="E288" s="24">
        <v>11.14395</v>
      </c>
      <c r="F288" s="24"/>
      <c r="G288" s="24"/>
      <c r="H288" s="24">
        <v>11.116300000000001</v>
      </c>
      <c r="I288" s="27">
        <v>45108</v>
      </c>
      <c r="J288" s="5" t="str">
        <f t="shared" si="31"/>
        <v>2023 q3</v>
      </c>
      <c r="K288" s="12">
        <f t="shared" si="32"/>
        <v>0.11068125000000001</v>
      </c>
      <c r="L288" s="12" t="str">
        <f t="shared" si="33"/>
        <v/>
      </c>
      <c r="M288" s="12">
        <f t="shared" si="34"/>
        <v>0.11116300000000001</v>
      </c>
      <c r="O288"/>
    </row>
    <row r="289" spans="1:15" ht="15">
      <c r="A289" s="23" t="str">
        <f t="shared" si="35"/>
        <v>Օգոստոս</v>
      </c>
      <c r="B289" s="24">
        <v>10.369300000000001</v>
      </c>
      <c r="C289" s="24"/>
      <c r="D289" s="24"/>
      <c r="E289" s="24">
        <v>10.457590909090909</v>
      </c>
      <c r="F289" s="24"/>
      <c r="G289" s="24">
        <v>10.7515</v>
      </c>
      <c r="H289" s="24"/>
      <c r="I289" s="27">
        <v>45139</v>
      </c>
      <c r="J289" s="5" t="str">
        <f t="shared" si="31"/>
        <v>2023 q3</v>
      </c>
      <c r="K289" s="12">
        <f t="shared" si="32"/>
        <v>0.10413445454545454</v>
      </c>
      <c r="L289" s="12">
        <f t="shared" si="33"/>
        <v>0.107515</v>
      </c>
      <c r="M289" s="12" t="str">
        <f t="shared" si="34"/>
        <v/>
      </c>
      <c r="O289"/>
    </row>
    <row r="290" spans="1:15" ht="15">
      <c r="A290" s="23" t="str">
        <f t="shared" si="35"/>
        <v>Սեպտեմբեր</v>
      </c>
      <c r="B290" s="24"/>
      <c r="C290" s="24"/>
      <c r="D290" s="24">
        <v>10.259600000000001</v>
      </c>
      <c r="E290" s="24">
        <v>10.2828</v>
      </c>
      <c r="F290" s="24"/>
      <c r="G290" s="24">
        <v>10.5482</v>
      </c>
      <c r="H290" s="24"/>
      <c r="I290" s="27">
        <v>45170</v>
      </c>
      <c r="J290" s="5" t="str">
        <f t="shared" si="31"/>
        <v>2023 q3</v>
      </c>
      <c r="K290" s="12">
        <f t="shared" si="32"/>
        <v>0.102712</v>
      </c>
      <c r="L290" s="12">
        <f t="shared" si="33"/>
        <v>0.10548199999999999</v>
      </c>
      <c r="M290" s="12" t="str">
        <f t="shared" si="34"/>
        <v/>
      </c>
      <c r="O290"/>
    </row>
    <row r="291" spans="1:15" ht="15">
      <c r="A291" s="23" t="str">
        <f t="shared" si="35"/>
        <v>Հոկտեմբեր</v>
      </c>
      <c r="B291" s="24"/>
      <c r="C291" s="24">
        <v>10.5131</v>
      </c>
      <c r="D291" s="24"/>
      <c r="E291" s="24">
        <v>10.538268927628215</v>
      </c>
      <c r="F291" s="24"/>
      <c r="G291" s="24">
        <v>10.699199999999999</v>
      </c>
      <c r="H291" s="24">
        <v>10.855047819566405</v>
      </c>
      <c r="I291" s="27">
        <v>45200</v>
      </c>
      <c r="J291" s="5" t="str">
        <f t="shared" si="31"/>
        <v>2023 q4</v>
      </c>
      <c r="K291" s="12">
        <f t="shared" si="32"/>
        <v>0.10525684463814107</v>
      </c>
      <c r="L291" s="12">
        <f t="shared" si="33"/>
        <v>0.10699199999999999</v>
      </c>
      <c r="M291" s="12">
        <f t="shared" si="34"/>
        <v>0.10855047819566405</v>
      </c>
      <c r="O291"/>
    </row>
    <row r="292" spans="1:15" ht="15">
      <c r="A292" s="23" t="str">
        <f t="shared" si="35"/>
        <v>Նոյեմբեր</v>
      </c>
      <c r="B292" s="24"/>
      <c r="C292" s="24"/>
      <c r="D292" s="24">
        <v>10.5007</v>
      </c>
      <c r="E292" s="24">
        <v>10.54515</v>
      </c>
      <c r="F292" s="24"/>
      <c r="G292" s="24">
        <v>10.941599999999999</v>
      </c>
      <c r="H292" s="24"/>
      <c r="I292" s="27">
        <v>45231</v>
      </c>
      <c r="J292" s="5" t="str">
        <f t="shared" si="31"/>
        <v>2023 q4</v>
      </c>
      <c r="K292" s="12">
        <f t="shared" si="32"/>
        <v>0.10522925000000001</v>
      </c>
      <c r="L292" s="12">
        <f t="shared" si="33"/>
        <v>0.109416</v>
      </c>
      <c r="M292" s="12" t="str">
        <f t="shared" si="34"/>
        <v/>
      </c>
      <c r="O292"/>
    </row>
    <row r="293" spans="1:15" ht="15">
      <c r="A293" s="23" t="str">
        <f t="shared" si="35"/>
        <v>Դեկտեմբեր</v>
      </c>
      <c r="B293" s="24"/>
      <c r="C293" s="24"/>
      <c r="D293" s="24"/>
      <c r="E293" s="24">
        <v>10.583610388375773</v>
      </c>
      <c r="F293" s="24"/>
      <c r="G293" s="24">
        <v>10.889200000000001</v>
      </c>
      <c r="H293" s="24"/>
      <c r="I293" s="27">
        <v>45261</v>
      </c>
      <c r="J293" s="5" t="str">
        <f t="shared" si="31"/>
        <v>2023 q4</v>
      </c>
      <c r="K293" s="12">
        <f t="shared" si="32"/>
        <v>0.10583610388375772</v>
      </c>
      <c r="L293" s="12">
        <f t="shared" si="33"/>
        <v>0.108892</v>
      </c>
      <c r="M293" s="12" t="str">
        <f t="shared" si="34"/>
        <v/>
      </c>
      <c r="O293"/>
    </row>
    <row r="294" spans="1:15" ht="15">
      <c r="A294" s="23" t="s">
        <v>65</v>
      </c>
      <c r="B294" s="24"/>
      <c r="C294" s="24"/>
      <c r="D294" s="24">
        <v>10.4101</v>
      </c>
      <c r="E294" s="24">
        <v>10.625715101289135</v>
      </c>
      <c r="F294" s="24"/>
      <c r="G294" s="24"/>
      <c r="H294" s="24">
        <v>10.952400000000001</v>
      </c>
      <c r="I294" s="27">
        <v>45292</v>
      </c>
      <c r="J294" s="5" t="str">
        <f t="shared" si="31"/>
        <v>2024 q1</v>
      </c>
      <c r="K294" s="12">
        <f t="shared" si="32"/>
        <v>0.10517907550644567</v>
      </c>
      <c r="L294" s="12" t="str">
        <f t="shared" si="33"/>
        <v/>
      </c>
      <c r="M294" s="12">
        <f t="shared" si="34"/>
        <v>0.10952400000000001</v>
      </c>
      <c r="O294"/>
    </row>
    <row r="295" spans="1:15" ht="15">
      <c r="A295" s="23" t="str">
        <f>A283</f>
        <v>Փետրվար</v>
      </c>
      <c r="B295" s="24"/>
      <c r="C295" s="24">
        <v>9.798</v>
      </c>
      <c r="D295" s="24"/>
      <c r="E295" s="24">
        <v>10.075554545454546</v>
      </c>
      <c r="F295" s="24"/>
      <c r="G295" s="24">
        <v>10.2559</v>
      </c>
      <c r="H295" s="24"/>
      <c r="I295" s="27">
        <v>45323</v>
      </c>
      <c r="J295" s="5" t="str">
        <f t="shared" si="31"/>
        <v>2024 q1</v>
      </c>
      <c r="K295" s="12">
        <f t="shared" si="32"/>
        <v>9.9367772727272735E-2</v>
      </c>
      <c r="L295" s="12">
        <f t="shared" si="33"/>
        <v>0.10255900000000001</v>
      </c>
      <c r="M295" s="12" t="str">
        <f t="shared" si="34"/>
        <v/>
      </c>
      <c r="O295"/>
    </row>
    <row r="296" spans="1:15" ht="15">
      <c r="A296" s="23" t="str">
        <f>A284</f>
        <v xml:space="preserve">Մարտ </v>
      </c>
      <c r="B296" s="24"/>
      <c r="C296" s="24"/>
      <c r="D296" s="24">
        <v>9.2581000000000007</v>
      </c>
      <c r="E296" s="24">
        <v>9.6489809768637524</v>
      </c>
      <c r="F296" s="24"/>
      <c r="G296" s="24">
        <v>9.8507999999999996</v>
      </c>
      <c r="H296" s="24"/>
      <c r="I296" s="27">
        <v>45352</v>
      </c>
      <c r="J296" s="5" t="str">
        <f t="shared" si="31"/>
        <v>2024 q1</v>
      </c>
      <c r="K296" s="12">
        <f t="shared" si="32"/>
        <v>9.4535404884318761E-2</v>
      </c>
      <c r="L296" s="12">
        <f t="shared" si="33"/>
        <v>9.8507999999999998E-2</v>
      </c>
      <c r="M296" s="12" t="str">
        <f t="shared" si="34"/>
        <v/>
      </c>
      <c r="O296"/>
    </row>
    <row r="297" spans="1:15" ht="15">
      <c r="A297" s="23" t="str">
        <f>A285</f>
        <v>Ապրիլ</v>
      </c>
      <c r="B297" s="24"/>
      <c r="C297" s="24">
        <v>9.2248999999999999</v>
      </c>
      <c r="D297" s="24"/>
      <c r="E297" s="24">
        <v>9.5387000000000004</v>
      </c>
      <c r="F297" s="24"/>
      <c r="G297" s="24">
        <v>9.9157238182459988</v>
      </c>
      <c r="H297" s="24">
        <v>9.887399567256292</v>
      </c>
      <c r="I297" s="27">
        <v>45383</v>
      </c>
      <c r="J297" s="5" t="str">
        <f t="shared" si="31"/>
        <v>2024 q2</v>
      </c>
      <c r="K297" s="12">
        <f t="shared" si="32"/>
        <v>9.3817999999999999E-2</v>
      </c>
      <c r="L297" s="12">
        <f t="shared" si="33"/>
        <v>9.9157238182459986E-2</v>
      </c>
      <c r="M297" s="12">
        <f t="shared" si="34"/>
        <v>9.8873995672562914E-2</v>
      </c>
      <c r="O297"/>
    </row>
    <row r="300" spans="1:15" ht="15">
      <c r="A300" s="26" t="s">
        <v>66</v>
      </c>
    </row>
  </sheetData>
  <mergeCells count="3">
    <mergeCell ref="F4:F5"/>
    <mergeCell ref="G4:G5"/>
    <mergeCell ref="H4:H5"/>
  </mergeCells>
  <pageMargins left="0.24" right="0.23" top="0.17" bottom="0.16" header="0.17" footer="0.16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C8E2-28F5-422C-8C44-AF3433C80E85}">
  <dimension ref="A1:N148"/>
  <sheetViews>
    <sheetView workbookViewId="0">
      <pane ySplit="4" topLeftCell="A5" activePane="bottomLeft" state="frozen"/>
      <selection pane="bottomLeft" activeCell="N62" sqref="N62:N68"/>
    </sheetView>
  </sheetViews>
  <sheetFormatPr baseColWidth="10" defaultColWidth="9.1640625" defaultRowHeight="13"/>
  <cols>
    <col min="1" max="1" width="24" style="30" customWidth="1"/>
    <col min="2" max="2" width="16.5" style="30" customWidth="1"/>
    <col min="3" max="3" width="15.6640625" style="30" customWidth="1"/>
    <col min="4" max="4" width="15.83203125" style="30" customWidth="1"/>
    <col min="5" max="5" width="21.5" style="30" bestFit="1" customWidth="1"/>
    <col min="6" max="16384" width="9.1640625" style="30"/>
  </cols>
  <sheetData>
    <row r="1" spans="1:14" ht="16">
      <c r="A1" s="29" t="s">
        <v>172</v>
      </c>
    </row>
    <row r="2" spans="1:14">
      <c r="A2" s="31"/>
    </row>
    <row r="3" spans="1:14">
      <c r="D3" s="32"/>
    </row>
    <row r="4" spans="1:14" ht="51">
      <c r="A4" s="33" t="s">
        <v>173</v>
      </c>
      <c r="B4" s="34" t="s">
        <v>174</v>
      </c>
      <c r="C4" s="34" t="s">
        <v>175</v>
      </c>
      <c r="D4" s="34" t="s">
        <v>176</v>
      </c>
      <c r="E4" s="30" t="s">
        <v>319</v>
      </c>
      <c r="F4" s="35" t="s">
        <v>18</v>
      </c>
      <c r="G4" s="30" t="s">
        <v>320</v>
      </c>
      <c r="J4" s="30" t="s">
        <v>18</v>
      </c>
      <c r="K4" s="30" t="s">
        <v>321</v>
      </c>
    </row>
    <row r="5" spans="1:14" ht="14">
      <c r="A5" s="36" t="s">
        <v>177</v>
      </c>
      <c r="B5" s="37">
        <v>9</v>
      </c>
      <c r="C5" s="37">
        <v>5</v>
      </c>
      <c r="D5" s="37">
        <v>20</v>
      </c>
      <c r="E5" s="30" t="str">
        <f>TRIM(A5)</f>
        <v>27.12.2003-08.03.2004</v>
      </c>
      <c r="F5" s="35" t="str">
        <f>RIGHT(E5,4)&amp;" q"&amp;ROUNDUP(VALUE(LEFT(RIGHT(E5,7),2))/3,0)</f>
        <v>2004 q1</v>
      </c>
      <c r="G5" s="45">
        <f>B5</f>
        <v>9</v>
      </c>
      <c r="J5" s="30" t="s">
        <v>86</v>
      </c>
      <c r="K5" s="30">
        <f>AVERAGEIF($F$5:$F$145,J5,$G$5:$G$145)/100</f>
        <v>0.09</v>
      </c>
      <c r="M5" s="30" t="s">
        <v>82</v>
      </c>
      <c r="N5" s="48">
        <f t="shared" ref="N5:N7" si="0">N6</f>
        <v>0.09</v>
      </c>
    </row>
    <row r="6" spans="1:14" ht="14">
      <c r="A6" s="36" t="s">
        <v>178</v>
      </c>
      <c r="B6" s="37">
        <v>6</v>
      </c>
      <c r="C6" s="37">
        <v>3</v>
      </c>
      <c r="D6" s="37">
        <v>20</v>
      </c>
      <c r="E6" s="30" t="str">
        <f t="shared" ref="E6:E69" si="1">TRIM(A6)</f>
        <v>09.03.2004-06.04.2004</v>
      </c>
      <c r="F6" s="35" t="str">
        <f t="shared" ref="F6:F69" si="2">RIGHT(E6,4)&amp;" q"&amp;ROUNDUP(VALUE(LEFT(RIGHT(E6,7),2))/3,0)</f>
        <v>2004 q2</v>
      </c>
      <c r="G6" s="45">
        <f t="shared" ref="G6:G69" si="3">B6</f>
        <v>6</v>
      </c>
      <c r="J6" s="30" t="s">
        <v>87</v>
      </c>
      <c r="K6" s="30">
        <f t="shared" ref="K6:K69" si="4">AVERAGEIF($F$5:$F$145,J6,$G$5:$G$145)/100</f>
        <v>0.06</v>
      </c>
      <c r="M6" s="30" t="s">
        <v>83</v>
      </c>
      <c r="N6" s="48">
        <f t="shared" si="0"/>
        <v>0.09</v>
      </c>
    </row>
    <row r="7" spans="1:14" ht="14">
      <c r="A7" s="36" t="s">
        <v>179</v>
      </c>
      <c r="B7" s="37">
        <v>6</v>
      </c>
      <c r="C7" s="37">
        <v>1</v>
      </c>
      <c r="D7" s="37">
        <v>20</v>
      </c>
      <c r="E7" s="30" t="str">
        <f t="shared" si="1"/>
        <v>07.04.2004-13.07.2004</v>
      </c>
      <c r="F7" s="35" t="str">
        <f t="shared" si="2"/>
        <v>2004 q3</v>
      </c>
      <c r="G7" s="45">
        <f t="shared" si="3"/>
        <v>6</v>
      </c>
      <c r="J7" s="30" t="s">
        <v>88</v>
      </c>
      <c r="K7" s="30">
        <f t="shared" si="4"/>
        <v>5.5E-2</v>
      </c>
      <c r="M7" s="30" t="s">
        <v>84</v>
      </c>
      <c r="N7" s="48">
        <f t="shared" si="0"/>
        <v>0.09</v>
      </c>
    </row>
    <row r="8" spans="1:14" ht="14">
      <c r="A8" s="36" t="s">
        <v>180</v>
      </c>
      <c r="B8" s="37">
        <v>5</v>
      </c>
      <c r="C8" s="37">
        <v>1</v>
      </c>
      <c r="D8" s="37">
        <v>20</v>
      </c>
      <c r="E8" s="30" t="str">
        <f t="shared" si="1"/>
        <v>14.07.2004-22.08.2004</v>
      </c>
      <c r="F8" s="35" t="str">
        <f t="shared" si="2"/>
        <v>2004 q3</v>
      </c>
      <c r="G8" s="45">
        <f t="shared" si="3"/>
        <v>5</v>
      </c>
      <c r="J8" s="30" t="s">
        <v>89</v>
      </c>
      <c r="K8" s="30">
        <f t="shared" si="4"/>
        <v>0.04</v>
      </c>
      <c r="M8" s="30" t="s">
        <v>85</v>
      </c>
      <c r="N8" s="48">
        <f>N9</f>
        <v>0.09</v>
      </c>
    </row>
    <row r="9" spans="1:14" ht="14">
      <c r="A9" s="36" t="s">
        <v>181</v>
      </c>
      <c r="B9" s="37">
        <v>4</v>
      </c>
      <c r="C9" s="37">
        <v>1</v>
      </c>
      <c r="D9" s="37">
        <v>16</v>
      </c>
      <c r="E9" s="30" t="str">
        <f t="shared" si="1"/>
        <v>23.08.2004-17.10.2004</v>
      </c>
      <c r="F9" s="35" t="str">
        <f t="shared" si="2"/>
        <v>2004 q4</v>
      </c>
      <c r="G9" s="45">
        <f t="shared" si="3"/>
        <v>4</v>
      </c>
      <c r="J9" s="30" t="s">
        <v>90</v>
      </c>
      <c r="K9" s="30">
        <f t="shared" si="4"/>
        <v>3.7499999999999999E-2</v>
      </c>
      <c r="M9" s="30" t="s">
        <v>86</v>
      </c>
      <c r="N9" s="30">
        <f t="shared" ref="N9:N69" si="5">VLOOKUP(M9,$J$5:$K$72,2,FALSE)</f>
        <v>0.09</v>
      </c>
    </row>
    <row r="10" spans="1:14" ht="14">
      <c r="A10" s="36" t="s">
        <v>182</v>
      </c>
      <c r="B10" s="37">
        <v>3.75</v>
      </c>
      <c r="C10" s="37">
        <v>1</v>
      </c>
      <c r="D10" s="37">
        <v>16</v>
      </c>
      <c r="E10" s="30" t="str">
        <f t="shared" si="1"/>
        <v>18.10.2004-09.01.2005</v>
      </c>
      <c r="F10" s="35" t="str">
        <f t="shared" si="2"/>
        <v>2005 q1</v>
      </c>
      <c r="G10" s="45">
        <f t="shared" si="3"/>
        <v>3.75</v>
      </c>
      <c r="J10" s="30" t="s">
        <v>91</v>
      </c>
      <c r="K10" s="30">
        <f t="shared" si="4"/>
        <v>4.4999999999999998E-2</v>
      </c>
      <c r="M10" s="30" t="s">
        <v>87</v>
      </c>
      <c r="N10" s="30">
        <f t="shared" si="5"/>
        <v>0.06</v>
      </c>
    </row>
    <row r="11" spans="1:14" ht="14">
      <c r="A11" s="36" t="s">
        <v>183</v>
      </c>
      <c r="B11" s="37">
        <v>4.5</v>
      </c>
      <c r="C11" s="37">
        <v>1.75</v>
      </c>
      <c r="D11" s="37">
        <v>16</v>
      </c>
      <c r="E11" s="30" t="str">
        <f t="shared" si="1"/>
        <v>10.01.2005-13.06.2005</v>
      </c>
      <c r="F11" s="35" t="str">
        <f t="shared" si="2"/>
        <v>2005 q2</v>
      </c>
      <c r="G11" s="45">
        <f t="shared" si="3"/>
        <v>4.5</v>
      </c>
      <c r="J11" s="30" t="s">
        <v>92</v>
      </c>
      <c r="K11" s="30">
        <f t="shared" si="4"/>
        <v>3.7499999999999999E-2</v>
      </c>
      <c r="M11" s="30" t="s">
        <v>88</v>
      </c>
      <c r="N11" s="30">
        <f t="shared" si="5"/>
        <v>5.5E-2</v>
      </c>
    </row>
    <row r="12" spans="1:14" ht="14">
      <c r="A12" s="36" t="s">
        <v>184</v>
      </c>
      <c r="B12" s="37">
        <v>3.75</v>
      </c>
      <c r="C12" s="37">
        <v>1.75</v>
      </c>
      <c r="D12" s="37">
        <v>16</v>
      </c>
      <c r="E12" s="30" t="str">
        <f t="shared" si="1"/>
        <v>14.06.2005-09.08.2005</v>
      </c>
      <c r="F12" s="35" t="str">
        <f t="shared" si="2"/>
        <v>2005 q3</v>
      </c>
      <c r="G12" s="45">
        <f t="shared" si="3"/>
        <v>3.75</v>
      </c>
      <c r="J12" s="30" t="s">
        <v>93</v>
      </c>
      <c r="K12" s="30">
        <f t="shared" si="4"/>
        <v>0.03</v>
      </c>
      <c r="M12" s="30" t="s">
        <v>89</v>
      </c>
      <c r="N12" s="30">
        <f t="shared" si="5"/>
        <v>0.04</v>
      </c>
    </row>
    <row r="13" spans="1:14" ht="14">
      <c r="A13" s="36" t="s">
        <v>185</v>
      </c>
      <c r="B13" s="37">
        <v>3</v>
      </c>
      <c r="C13" s="37">
        <v>1</v>
      </c>
      <c r="D13" s="37">
        <v>16</v>
      </c>
      <c r="E13" s="30" t="str">
        <f t="shared" si="1"/>
        <v>10.08.2005-25.12.2005</v>
      </c>
      <c r="F13" s="35" t="str">
        <f t="shared" si="2"/>
        <v>2005 q4</v>
      </c>
      <c r="G13" s="45">
        <f t="shared" si="3"/>
        <v>3</v>
      </c>
      <c r="J13" s="30" t="s">
        <v>94</v>
      </c>
      <c r="K13" s="30">
        <f t="shared" si="4"/>
        <v>3.7499999999999999E-2</v>
      </c>
      <c r="M13" s="30" t="s">
        <v>90</v>
      </c>
      <c r="N13" s="30">
        <f t="shared" si="5"/>
        <v>3.7499999999999999E-2</v>
      </c>
    </row>
    <row r="14" spans="1:14" ht="14">
      <c r="A14" s="36" t="s">
        <v>186</v>
      </c>
      <c r="B14" s="37">
        <v>3.5</v>
      </c>
      <c r="C14" s="37">
        <v>1</v>
      </c>
      <c r="D14" s="37">
        <v>16</v>
      </c>
      <c r="E14" s="30" t="str">
        <f t="shared" si="1"/>
        <v>26.12.2005-05.02.2006</v>
      </c>
      <c r="F14" s="35" t="str">
        <f t="shared" si="2"/>
        <v>2006 q1</v>
      </c>
      <c r="G14" s="45">
        <f t="shared" si="3"/>
        <v>3.5</v>
      </c>
      <c r="J14" s="30" t="s">
        <v>95</v>
      </c>
      <c r="K14" s="30">
        <f t="shared" si="4"/>
        <v>0.04</v>
      </c>
      <c r="M14" s="30" t="s">
        <v>91</v>
      </c>
      <c r="N14" s="30">
        <f t="shared" si="5"/>
        <v>4.4999999999999998E-2</v>
      </c>
    </row>
    <row r="15" spans="1:14" ht="14">
      <c r="A15" s="36" t="s">
        <v>187</v>
      </c>
      <c r="B15" s="37">
        <v>4</v>
      </c>
      <c r="C15" s="37">
        <v>1</v>
      </c>
      <c r="D15" s="37">
        <v>16</v>
      </c>
      <c r="E15" s="30" t="str">
        <f t="shared" si="1"/>
        <v>06.02.2006-15.03.2006</v>
      </c>
      <c r="F15" s="35" t="str">
        <f t="shared" si="2"/>
        <v>2006 q1</v>
      </c>
      <c r="G15" s="45">
        <f t="shared" si="3"/>
        <v>4</v>
      </c>
      <c r="J15" s="30" t="s">
        <v>96</v>
      </c>
      <c r="K15" s="30">
        <f t="shared" si="4"/>
        <v>4.1250000000000002E-2</v>
      </c>
      <c r="M15" s="30" t="s">
        <v>92</v>
      </c>
      <c r="N15" s="30">
        <f t="shared" si="5"/>
        <v>3.7499999999999999E-2</v>
      </c>
    </row>
    <row r="16" spans="1:14" ht="14">
      <c r="A16" s="36" t="s">
        <v>188</v>
      </c>
      <c r="B16" s="37">
        <v>4</v>
      </c>
      <c r="C16" s="37">
        <v>1</v>
      </c>
      <c r="D16" s="37">
        <v>12</v>
      </c>
      <c r="E16" s="30" t="str">
        <f t="shared" si="1"/>
        <v>16.03.2006-02.04.2006</v>
      </c>
      <c r="F16" s="35" t="str">
        <f t="shared" si="2"/>
        <v>2006 q2</v>
      </c>
      <c r="G16" s="45">
        <f t="shared" si="3"/>
        <v>4</v>
      </c>
      <c r="J16" s="30" t="s">
        <v>97</v>
      </c>
      <c r="K16" s="30">
        <f t="shared" si="4"/>
        <v>4.4999999999999998E-2</v>
      </c>
      <c r="M16" s="30" t="s">
        <v>93</v>
      </c>
      <c r="N16" s="30">
        <f t="shared" si="5"/>
        <v>0.03</v>
      </c>
    </row>
    <row r="17" spans="1:14" ht="14">
      <c r="A17" s="36" t="s">
        <v>189</v>
      </c>
      <c r="B17" s="37">
        <v>4</v>
      </c>
      <c r="C17" s="37">
        <v>1</v>
      </c>
      <c r="D17" s="37">
        <v>8</v>
      </c>
      <c r="E17" s="30" t="str">
        <f t="shared" si="1"/>
        <v>03.04.2006-03.05.2006</v>
      </c>
      <c r="F17" s="35" t="str">
        <f t="shared" si="2"/>
        <v>2006 q2</v>
      </c>
      <c r="G17" s="45">
        <f t="shared" si="3"/>
        <v>4</v>
      </c>
      <c r="J17" s="30" t="s">
        <v>99</v>
      </c>
      <c r="K17" s="30">
        <f t="shared" si="4"/>
        <v>4.7500000000000001E-2</v>
      </c>
      <c r="M17" s="30" t="s">
        <v>94</v>
      </c>
      <c r="N17" s="30">
        <f t="shared" si="5"/>
        <v>3.7499999999999999E-2</v>
      </c>
    </row>
    <row r="18" spans="1:14" ht="14">
      <c r="A18" s="36" t="s">
        <v>190</v>
      </c>
      <c r="B18" s="37">
        <v>4</v>
      </c>
      <c r="C18" s="37">
        <v>1</v>
      </c>
      <c r="D18" s="37">
        <v>7</v>
      </c>
      <c r="E18" s="30" t="str">
        <f t="shared" si="1"/>
        <v>04.05.2006-31.07.2006</v>
      </c>
      <c r="F18" s="35" t="str">
        <f t="shared" si="2"/>
        <v>2006 q3</v>
      </c>
      <c r="G18" s="45">
        <f t="shared" si="3"/>
        <v>4</v>
      </c>
      <c r="J18" s="30" t="s">
        <v>100</v>
      </c>
      <c r="K18" s="30">
        <f t="shared" si="4"/>
        <v>4.4999999999999998E-2</v>
      </c>
      <c r="M18" s="30" t="s">
        <v>95</v>
      </c>
      <c r="N18" s="30">
        <f t="shared" si="5"/>
        <v>0.04</v>
      </c>
    </row>
    <row r="19" spans="1:14" ht="14">
      <c r="A19" s="36" t="s">
        <v>191</v>
      </c>
      <c r="B19" s="37">
        <v>4.25</v>
      </c>
      <c r="C19" s="37">
        <v>1</v>
      </c>
      <c r="D19" s="37">
        <v>7</v>
      </c>
      <c r="E19" s="30" t="str">
        <f t="shared" si="1"/>
        <v>01.08.2006-31.08.2006</v>
      </c>
      <c r="F19" s="35" t="str">
        <f t="shared" si="2"/>
        <v>2006 q3</v>
      </c>
      <c r="G19" s="45">
        <f t="shared" si="3"/>
        <v>4.25</v>
      </c>
      <c r="J19" s="30" t="s">
        <v>101</v>
      </c>
      <c r="K19" s="30">
        <f t="shared" si="4"/>
        <v>0.05</v>
      </c>
      <c r="M19" s="30" t="s">
        <v>96</v>
      </c>
      <c r="N19" s="30">
        <f t="shared" si="5"/>
        <v>4.1250000000000002E-2</v>
      </c>
    </row>
    <row r="20" spans="1:14" ht="14">
      <c r="A20" s="38" t="s">
        <v>192</v>
      </c>
      <c r="B20" s="39">
        <v>4.5</v>
      </c>
      <c r="C20" s="39">
        <v>1.5</v>
      </c>
      <c r="D20" s="39">
        <v>7.5</v>
      </c>
      <c r="E20" s="30" t="str">
        <f t="shared" si="1"/>
        <v>01.09.2006-02.10.2006</v>
      </c>
      <c r="F20" s="35" t="str">
        <f t="shared" si="2"/>
        <v>2006 q4</v>
      </c>
      <c r="G20" s="45">
        <f t="shared" si="3"/>
        <v>4.5</v>
      </c>
      <c r="J20" s="30" t="s">
        <v>102</v>
      </c>
      <c r="K20" s="30">
        <f t="shared" si="4"/>
        <v>5.8749999999999997E-2</v>
      </c>
      <c r="M20" s="30" t="s">
        <v>97</v>
      </c>
      <c r="N20" s="30">
        <f t="shared" si="5"/>
        <v>4.4999999999999998E-2</v>
      </c>
    </row>
    <row r="21" spans="1:14" ht="14">
      <c r="A21" s="38" t="s">
        <v>193</v>
      </c>
      <c r="B21" s="40">
        <v>4.75</v>
      </c>
      <c r="C21" s="39">
        <v>1.75</v>
      </c>
      <c r="D21" s="39">
        <v>7.75</v>
      </c>
      <c r="E21" s="30" t="str">
        <f t="shared" si="1"/>
        <v>03.10.2006-02.04.2007</v>
      </c>
      <c r="F21" s="35" t="str">
        <f t="shared" si="2"/>
        <v>2007 q2</v>
      </c>
      <c r="G21" s="45">
        <f t="shared" si="3"/>
        <v>4.75</v>
      </c>
      <c r="J21" s="30" t="s">
        <v>103</v>
      </c>
      <c r="K21" s="30">
        <f t="shared" si="4"/>
        <v>6.5000000000000002E-2</v>
      </c>
      <c r="M21" s="30" t="s">
        <v>98</v>
      </c>
      <c r="N21" s="48">
        <f>AVERAGE(N20,N22)</f>
        <v>4.6249999999999999E-2</v>
      </c>
    </row>
    <row r="22" spans="1:14" ht="14">
      <c r="A22" s="41" t="s">
        <v>194</v>
      </c>
      <c r="B22" s="39">
        <v>4.5</v>
      </c>
      <c r="C22" s="39">
        <v>1.5</v>
      </c>
      <c r="D22" s="39">
        <v>7.5</v>
      </c>
      <c r="E22" s="30" t="str">
        <f t="shared" si="1"/>
        <v>03.04.2007-02.07.2007</v>
      </c>
      <c r="F22" s="35" t="str">
        <f t="shared" si="2"/>
        <v>2007 q3</v>
      </c>
      <c r="G22" s="45">
        <f t="shared" si="3"/>
        <v>4.5</v>
      </c>
      <c r="J22" s="30" t="s">
        <v>104</v>
      </c>
      <c r="K22" s="30">
        <f t="shared" si="4"/>
        <v>7.2499999999999995E-2</v>
      </c>
      <c r="M22" s="30" t="s">
        <v>99</v>
      </c>
      <c r="N22" s="30">
        <f t="shared" si="5"/>
        <v>4.7500000000000001E-2</v>
      </c>
    </row>
    <row r="23" spans="1:14" ht="14">
      <c r="A23" s="38" t="s">
        <v>195</v>
      </c>
      <c r="B23" s="39">
        <v>4.75</v>
      </c>
      <c r="C23" s="39">
        <v>1.75</v>
      </c>
      <c r="D23" s="39">
        <v>7.75</v>
      </c>
      <c r="E23" s="30" t="str">
        <f t="shared" si="1"/>
        <v>03.07.2007-02.10.2007</v>
      </c>
      <c r="F23" s="35" t="str">
        <f t="shared" si="2"/>
        <v>2007 q4</v>
      </c>
      <c r="G23" s="45">
        <f t="shared" si="3"/>
        <v>4.75</v>
      </c>
      <c r="J23" s="30" t="s">
        <v>105</v>
      </c>
      <c r="K23" s="30">
        <f t="shared" si="4"/>
        <v>7.7499999999999999E-2</v>
      </c>
      <c r="M23" s="30" t="s">
        <v>100</v>
      </c>
      <c r="N23" s="30">
        <f t="shared" si="5"/>
        <v>4.4999999999999998E-2</v>
      </c>
    </row>
    <row r="24" spans="1:14" ht="14">
      <c r="A24" s="38" t="s">
        <v>196</v>
      </c>
      <c r="B24" s="39">
        <v>5</v>
      </c>
      <c r="C24" s="39">
        <v>2</v>
      </c>
      <c r="D24" s="39">
        <v>8</v>
      </c>
      <c r="E24" s="30" t="str">
        <f t="shared" si="1"/>
        <v>03.10.2007-04.11.2007</v>
      </c>
      <c r="F24" s="35" t="str">
        <f t="shared" si="2"/>
        <v>2007 q4</v>
      </c>
      <c r="G24" s="45">
        <f t="shared" si="3"/>
        <v>5</v>
      </c>
      <c r="J24" s="30" t="s">
        <v>106</v>
      </c>
      <c r="K24" s="30">
        <f t="shared" si="4"/>
        <v>7.0000000000000007E-2</v>
      </c>
      <c r="M24" s="30" t="s">
        <v>101</v>
      </c>
      <c r="N24" s="30">
        <f t="shared" si="5"/>
        <v>0.05</v>
      </c>
    </row>
    <row r="25" spans="1:14" ht="14">
      <c r="A25" s="38" t="s">
        <v>197</v>
      </c>
      <c r="B25" s="39">
        <v>5.25</v>
      </c>
      <c r="C25" s="39">
        <v>2.25</v>
      </c>
      <c r="D25" s="39">
        <v>8.25</v>
      </c>
      <c r="E25" s="30" t="str">
        <f t="shared" si="1"/>
        <v>05.11.2007-04.12.2007</v>
      </c>
      <c r="F25" s="35" t="str">
        <f t="shared" si="2"/>
        <v>2007 q4</v>
      </c>
      <c r="G25" s="45">
        <f t="shared" si="3"/>
        <v>5.25</v>
      </c>
      <c r="J25" s="30" t="s">
        <v>107</v>
      </c>
      <c r="K25" s="30">
        <f t="shared" si="4"/>
        <v>7.1874999999999994E-2</v>
      </c>
      <c r="M25" s="30" t="s">
        <v>102</v>
      </c>
      <c r="N25" s="30">
        <f t="shared" si="5"/>
        <v>5.8749999999999997E-2</v>
      </c>
    </row>
    <row r="26" spans="1:14" ht="14">
      <c r="A26" s="38" t="s">
        <v>198</v>
      </c>
      <c r="B26" s="40">
        <v>5.75</v>
      </c>
      <c r="C26" s="39">
        <v>2.75</v>
      </c>
      <c r="D26" s="39">
        <v>8.75</v>
      </c>
      <c r="E26" s="30" t="str">
        <f t="shared" si="1"/>
        <v>05.12.2007-04.02.2008</v>
      </c>
      <c r="F26" s="35" t="str">
        <f t="shared" si="2"/>
        <v>2008 q1</v>
      </c>
      <c r="G26" s="45">
        <f t="shared" si="3"/>
        <v>5.75</v>
      </c>
      <c r="J26" s="30" t="s">
        <v>108</v>
      </c>
      <c r="K26" s="30">
        <f t="shared" si="4"/>
        <v>5.5833333333333332E-2</v>
      </c>
      <c r="M26" s="30" t="s">
        <v>103</v>
      </c>
      <c r="N26" s="30">
        <f t="shared" si="5"/>
        <v>6.5000000000000002E-2</v>
      </c>
    </row>
    <row r="27" spans="1:14" ht="14">
      <c r="A27" s="38" t="s">
        <v>199</v>
      </c>
      <c r="B27" s="39">
        <v>6</v>
      </c>
      <c r="C27" s="39">
        <v>3</v>
      </c>
      <c r="D27" s="39">
        <v>9</v>
      </c>
      <c r="E27" s="30" t="str">
        <f t="shared" si="1"/>
        <v>05.02.2008-04.03.2008</v>
      </c>
      <c r="F27" s="35" t="str">
        <f t="shared" si="2"/>
        <v>2008 q1</v>
      </c>
      <c r="G27" s="45">
        <f t="shared" si="3"/>
        <v>6</v>
      </c>
      <c r="J27" s="30" t="s">
        <v>109</v>
      </c>
      <c r="K27" s="30">
        <f t="shared" si="4"/>
        <v>0.05</v>
      </c>
      <c r="M27" s="30" t="s">
        <v>104</v>
      </c>
      <c r="N27" s="30">
        <f t="shared" si="5"/>
        <v>7.2499999999999995E-2</v>
      </c>
    </row>
    <row r="28" spans="1:14" ht="14">
      <c r="A28" s="38" t="s">
        <v>200</v>
      </c>
      <c r="B28" s="39">
        <v>6.25</v>
      </c>
      <c r="C28" s="39">
        <v>3.25</v>
      </c>
      <c r="D28" s="39">
        <v>9.25</v>
      </c>
      <c r="E28" s="30" t="str">
        <f t="shared" si="1"/>
        <v>04.03.2008-02.04.2008</v>
      </c>
      <c r="F28" s="35" t="str">
        <f t="shared" si="2"/>
        <v>2008 q2</v>
      </c>
      <c r="G28" s="45">
        <f t="shared" si="3"/>
        <v>6.25</v>
      </c>
      <c r="J28" s="30" t="s">
        <v>110</v>
      </c>
      <c r="K28" s="30">
        <f t="shared" si="4"/>
        <v>5.7500000000000002E-2</v>
      </c>
      <c r="M28" s="30" t="s">
        <v>105</v>
      </c>
      <c r="N28" s="30">
        <f t="shared" si="5"/>
        <v>7.7499999999999999E-2</v>
      </c>
    </row>
    <row r="29" spans="1:14" ht="14">
      <c r="A29" s="38" t="s">
        <v>201</v>
      </c>
      <c r="B29" s="39">
        <v>6.5</v>
      </c>
      <c r="C29" s="39">
        <v>3.5</v>
      </c>
      <c r="D29" s="39">
        <v>9.5</v>
      </c>
      <c r="E29" s="30" t="str">
        <f t="shared" si="1"/>
        <v>03.04.2008-05.05.2008</v>
      </c>
      <c r="F29" s="35" t="str">
        <f t="shared" si="2"/>
        <v>2008 q2</v>
      </c>
      <c r="G29" s="45">
        <f t="shared" si="3"/>
        <v>6.5</v>
      </c>
      <c r="J29" s="30" t="s">
        <v>111</v>
      </c>
      <c r="K29" s="30">
        <f t="shared" si="4"/>
        <v>6.9166666666666668E-2</v>
      </c>
      <c r="M29" s="30" t="s">
        <v>106</v>
      </c>
      <c r="N29" s="30">
        <f t="shared" si="5"/>
        <v>7.0000000000000007E-2</v>
      </c>
    </row>
    <row r="30" spans="1:14" ht="14">
      <c r="A30" s="38" t="s">
        <v>202</v>
      </c>
      <c r="B30" s="39">
        <v>6.75</v>
      </c>
      <c r="C30" s="39">
        <v>3.75</v>
      </c>
      <c r="D30" s="39">
        <v>9.75</v>
      </c>
      <c r="E30" s="30" t="str">
        <f t="shared" si="1"/>
        <v>06.05.2008-03.06.2008</v>
      </c>
      <c r="F30" s="35" t="str">
        <f t="shared" si="2"/>
        <v>2008 q2</v>
      </c>
      <c r="G30" s="45">
        <f t="shared" si="3"/>
        <v>6.75</v>
      </c>
      <c r="J30" s="30" t="s">
        <v>112</v>
      </c>
      <c r="K30" s="30">
        <f t="shared" si="4"/>
        <v>7.2499999999999995E-2</v>
      </c>
      <c r="M30" s="30" t="s">
        <v>107</v>
      </c>
      <c r="N30" s="30">
        <f t="shared" si="5"/>
        <v>7.1874999999999994E-2</v>
      </c>
    </row>
    <row r="31" spans="1:14" ht="14">
      <c r="A31" s="38" t="s">
        <v>203</v>
      </c>
      <c r="B31" s="39">
        <v>7</v>
      </c>
      <c r="C31" s="39">
        <v>4</v>
      </c>
      <c r="D31" s="39">
        <v>10</v>
      </c>
      <c r="E31" s="30" t="str">
        <f t="shared" si="1"/>
        <v>04.06.2008-02.07.2008</v>
      </c>
      <c r="F31" s="35" t="str">
        <f t="shared" si="2"/>
        <v>2008 q3</v>
      </c>
      <c r="G31" s="45">
        <f t="shared" si="3"/>
        <v>7</v>
      </c>
      <c r="J31" s="30" t="s">
        <v>113</v>
      </c>
      <c r="K31" s="30">
        <f t="shared" si="4"/>
        <v>7.2499999999999995E-2</v>
      </c>
      <c r="M31" s="30" t="s">
        <v>108</v>
      </c>
      <c r="N31" s="30">
        <f t="shared" si="5"/>
        <v>5.5833333333333332E-2</v>
      </c>
    </row>
    <row r="32" spans="1:14" ht="14">
      <c r="A32" s="38" t="s">
        <v>204</v>
      </c>
      <c r="B32" s="39">
        <v>7.25</v>
      </c>
      <c r="C32" s="39">
        <v>4.25</v>
      </c>
      <c r="D32" s="39">
        <v>10.25</v>
      </c>
      <c r="E32" s="30" t="str">
        <f t="shared" si="1"/>
        <v>03.07.2008-04.08.2008</v>
      </c>
      <c r="F32" s="35" t="str">
        <f t="shared" si="2"/>
        <v>2008 q3</v>
      </c>
      <c r="G32" s="45">
        <f t="shared" si="3"/>
        <v>7.25</v>
      </c>
      <c r="J32" s="30" t="s">
        <v>114</v>
      </c>
      <c r="K32" s="30">
        <f t="shared" si="4"/>
        <v>7.4166666666666672E-2</v>
      </c>
      <c r="M32" s="30" t="s">
        <v>109</v>
      </c>
      <c r="N32" s="30">
        <f t="shared" si="5"/>
        <v>0.05</v>
      </c>
    </row>
    <row r="33" spans="1:14" ht="14">
      <c r="A33" s="38" t="s">
        <v>205</v>
      </c>
      <c r="B33" s="39">
        <v>7.5</v>
      </c>
      <c r="C33" s="39">
        <v>4.5</v>
      </c>
      <c r="D33" s="39">
        <v>10.5</v>
      </c>
      <c r="E33" s="30" t="str">
        <f t="shared" si="1"/>
        <v>05.08.2008-02.09.2008</v>
      </c>
      <c r="F33" s="35" t="str">
        <f t="shared" si="2"/>
        <v>2008 q3</v>
      </c>
      <c r="G33" s="45">
        <f t="shared" si="3"/>
        <v>7.5</v>
      </c>
      <c r="J33" s="30" t="s">
        <v>115</v>
      </c>
      <c r="K33" s="30">
        <f t="shared" si="4"/>
        <v>8.4166666666666667E-2</v>
      </c>
      <c r="M33" s="30" t="s">
        <v>110</v>
      </c>
      <c r="N33" s="30">
        <f t="shared" si="5"/>
        <v>5.7500000000000002E-2</v>
      </c>
    </row>
    <row r="34" spans="1:14" ht="14">
      <c r="A34" s="38" t="s">
        <v>206</v>
      </c>
      <c r="B34" s="39">
        <v>7.75</v>
      </c>
      <c r="C34" s="39">
        <v>4.75</v>
      </c>
      <c r="D34" s="39">
        <v>10.75</v>
      </c>
      <c r="E34" s="30" t="str">
        <f t="shared" si="1"/>
        <v>03.09.2008-02.12.2008</v>
      </c>
      <c r="F34" s="35" t="str">
        <f t="shared" si="2"/>
        <v>2008 q4</v>
      </c>
      <c r="G34" s="45">
        <f t="shared" si="3"/>
        <v>7.75</v>
      </c>
      <c r="J34" s="30" t="s">
        <v>116</v>
      </c>
      <c r="K34" s="30">
        <f t="shared" si="4"/>
        <v>8.5000000000000006E-2</v>
      </c>
      <c r="M34" s="30" t="s">
        <v>111</v>
      </c>
      <c r="N34" s="30">
        <f t="shared" si="5"/>
        <v>6.9166666666666668E-2</v>
      </c>
    </row>
    <row r="35" spans="1:14" ht="14">
      <c r="A35" s="38" t="s">
        <v>207</v>
      </c>
      <c r="B35" s="40">
        <v>7.25</v>
      </c>
      <c r="C35" s="39">
        <v>4.25</v>
      </c>
      <c r="D35" s="39">
        <v>10.25</v>
      </c>
      <c r="E35" s="30" t="str">
        <f t="shared" si="1"/>
        <v>03.12.2008-13.01.2009</v>
      </c>
      <c r="F35" s="35" t="str">
        <f t="shared" si="2"/>
        <v>2009 q1</v>
      </c>
      <c r="G35" s="45">
        <f t="shared" si="3"/>
        <v>7.25</v>
      </c>
      <c r="J35" s="30" t="s">
        <v>117</v>
      </c>
      <c r="K35" s="30">
        <f t="shared" si="4"/>
        <v>0.08</v>
      </c>
      <c r="M35" s="30" t="s">
        <v>112</v>
      </c>
      <c r="N35" s="30">
        <f t="shared" si="5"/>
        <v>7.2499999999999995E-2</v>
      </c>
    </row>
    <row r="36" spans="1:14" ht="14">
      <c r="A36" s="38" t="s">
        <v>208</v>
      </c>
      <c r="B36" s="39">
        <v>7</v>
      </c>
      <c r="C36" s="39">
        <v>4</v>
      </c>
      <c r="D36" s="39">
        <v>10</v>
      </c>
      <c r="E36" s="30" t="str">
        <f t="shared" si="1"/>
        <v>14.01.2009-10.02.2009</v>
      </c>
      <c r="F36" s="35" t="str">
        <f t="shared" si="2"/>
        <v>2009 q1</v>
      </c>
      <c r="G36" s="45">
        <f t="shared" si="3"/>
        <v>7</v>
      </c>
      <c r="J36" s="30" t="s">
        <v>118</v>
      </c>
      <c r="K36" s="30">
        <f t="shared" si="4"/>
        <v>0.08</v>
      </c>
      <c r="M36" s="30" t="s">
        <v>113</v>
      </c>
      <c r="N36" s="30">
        <f t="shared" si="5"/>
        <v>7.2499999999999995E-2</v>
      </c>
    </row>
    <row r="37" spans="1:14" ht="14">
      <c r="A37" s="38" t="s">
        <v>209</v>
      </c>
      <c r="B37" s="39">
        <v>6.75</v>
      </c>
      <c r="C37" s="39">
        <v>3.75</v>
      </c>
      <c r="D37" s="39">
        <v>9.75</v>
      </c>
      <c r="E37" s="30" t="str">
        <f t="shared" si="1"/>
        <v>11.02.2009-03.03.2009</v>
      </c>
      <c r="F37" s="35" t="str">
        <f t="shared" si="2"/>
        <v>2009 q1</v>
      </c>
      <c r="G37" s="45">
        <f t="shared" si="3"/>
        <v>6.75</v>
      </c>
      <c r="J37" s="30" t="s">
        <v>119</v>
      </c>
      <c r="K37" s="30">
        <f t="shared" si="4"/>
        <v>0.08</v>
      </c>
      <c r="M37" s="30" t="s">
        <v>114</v>
      </c>
      <c r="N37" s="30">
        <f t="shared" si="5"/>
        <v>7.4166666666666672E-2</v>
      </c>
    </row>
    <row r="38" spans="1:14" ht="14">
      <c r="A38" s="38" t="s">
        <v>210</v>
      </c>
      <c r="B38" s="39">
        <v>7.75</v>
      </c>
      <c r="C38" s="39">
        <v>4.75</v>
      </c>
      <c r="D38" s="39">
        <v>10.75</v>
      </c>
      <c r="E38" s="30" t="str">
        <f t="shared" si="1"/>
        <v>04.03.2009-07.04.2009</v>
      </c>
      <c r="F38" s="35" t="str">
        <f t="shared" si="2"/>
        <v>2009 q2</v>
      </c>
      <c r="G38" s="45">
        <f t="shared" si="3"/>
        <v>7.75</v>
      </c>
      <c r="J38" s="30" t="s">
        <v>120</v>
      </c>
      <c r="K38" s="30">
        <f t="shared" si="4"/>
        <v>0.08</v>
      </c>
      <c r="M38" s="30" t="s">
        <v>115</v>
      </c>
      <c r="N38" s="30">
        <f t="shared" si="5"/>
        <v>8.4166666666666667E-2</v>
      </c>
    </row>
    <row r="39" spans="1:14" ht="14">
      <c r="A39" s="38" t="s">
        <v>211</v>
      </c>
      <c r="B39" s="39">
        <v>7.5</v>
      </c>
      <c r="C39" s="39">
        <v>4.5</v>
      </c>
      <c r="D39" s="39">
        <v>10.5</v>
      </c>
      <c r="E39" s="30" t="str">
        <f t="shared" si="1"/>
        <v>08.04.2009-12.05.2009</v>
      </c>
      <c r="F39" s="35" t="str">
        <f t="shared" si="2"/>
        <v>2009 q2</v>
      </c>
      <c r="G39" s="45">
        <f t="shared" si="3"/>
        <v>7.5</v>
      </c>
      <c r="J39" s="30" t="s">
        <v>121</v>
      </c>
      <c r="K39" s="30">
        <f t="shared" si="4"/>
        <v>0.08</v>
      </c>
      <c r="M39" s="30" t="s">
        <v>116</v>
      </c>
      <c r="N39" s="30">
        <f t="shared" si="5"/>
        <v>8.5000000000000006E-2</v>
      </c>
    </row>
    <row r="40" spans="1:14" ht="14">
      <c r="A40" s="38" t="s">
        <v>212</v>
      </c>
      <c r="B40" s="39">
        <v>7.25</v>
      </c>
      <c r="C40" s="39">
        <v>4.25</v>
      </c>
      <c r="D40" s="39">
        <v>10.25</v>
      </c>
      <c r="E40" s="30" t="str">
        <f t="shared" si="1"/>
        <v>13.05.2009-22.05.2009</v>
      </c>
      <c r="F40" s="35" t="str">
        <f t="shared" si="2"/>
        <v>2009 q2</v>
      </c>
      <c r="G40" s="45">
        <f t="shared" si="3"/>
        <v>7.25</v>
      </c>
      <c r="J40" s="30" t="s">
        <v>122</v>
      </c>
      <c r="K40" s="30">
        <f t="shared" si="4"/>
        <v>0.08</v>
      </c>
      <c r="M40" s="30" t="s">
        <v>117</v>
      </c>
      <c r="N40" s="30">
        <f t="shared" si="5"/>
        <v>0.08</v>
      </c>
    </row>
    <row r="41" spans="1:14" ht="14">
      <c r="A41" s="38" t="s">
        <v>213</v>
      </c>
      <c r="B41" s="39">
        <v>6.25</v>
      </c>
      <c r="C41" s="39">
        <v>3.25</v>
      </c>
      <c r="D41" s="39">
        <v>9.25</v>
      </c>
      <c r="E41" s="30" t="str">
        <f t="shared" si="1"/>
        <v>23.05.2009-09.06.2009</v>
      </c>
      <c r="F41" s="35" t="str">
        <f t="shared" si="2"/>
        <v>2009 q2</v>
      </c>
      <c r="G41" s="45">
        <f t="shared" si="3"/>
        <v>6.25</v>
      </c>
      <c r="J41" s="30" t="s">
        <v>123</v>
      </c>
      <c r="K41" s="30">
        <f t="shared" si="4"/>
        <v>0.08</v>
      </c>
      <c r="M41" s="30" t="s">
        <v>118</v>
      </c>
      <c r="N41" s="30">
        <f t="shared" si="5"/>
        <v>0.08</v>
      </c>
    </row>
    <row r="42" spans="1:14" ht="14">
      <c r="A42" s="38" t="s">
        <v>214</v>
      </c>
      <c r="B42" s="39">
        <v>6</v>
      </c>
      <c r="C42" s="39">
        <v>3</v>
      </c>
      <c r="D42" s="39">
        <v>9</v>
      </c>
      <c r="E42" s="30" t="str">
        <f t="shared" si="1"/>
        <v>10.06.2009-07.07.2009</v>
      </c>
      <c r="F42" s="35" t="str">
        <f t="shared" si="2"/>
        <v>2009 q3</v>
      </c>
      <c r="G42" s="45">
        <f t="shared" si="3"/>
        <v>6</v>
      </c>
      <c r="J42" s="30" t="s">
        <v>124</v>
      </c>
      <c r="K42" s="30">
        <f t="shared" si="4"/>
        <v>8.2500000000000004E-2</v>
      </c>
      <c r="M42" s="30" t="s">
        <v>119</v>
      </c>
      <c r="N42" s="30">
        <f t="shared" si="5"/>
        <v>0.08</v>
      </c>
    </row>
    <row r="43" spans="1:14" ht="14">
      <c r="A43" s="38" t="s">
        <v>215</v>
      </c>
      <c r="B43" s="39">
        <v>5.5</v>
      </c>
      <c r="C43" s="39">
        <v>2.5</v>
      </c>
      <c r="D43" s="39">
        <v>8.5</v>
      </c>
      <c r="E43" s="30" t="str">
        <f t="shared" si="1"/>
        <v>08.07.2009-11.08.2009</v>
      </c>
      <c r="F43" s="35" t="str">
        <f t="shared" si="2"/>
        <v>2009 q3</v>
      </c>
      <c r="G43" s="45">
        <f t="shared" si="3"/>
        <v>5.5</v>
      </c>
      <c r="J43" s="30" t="s">
        <v>125</v>
      </c>
      <c r="K43" s="30">
        <f t="shared" si="4"/>
        <v>8.2500000000000004E-2</v>
      </c>
      <c r="M43" s="30" t="s">
        <v>120</v>
      </c>
      <c r="N43" s="30">
        <f t="shared" si="5"/>
        <v>0.08</v>
      </c>
    </row>
    <row r="44" spans="1:14" ht="14">
      <c r="A44" s="38" t="s">
        <v>216</v>
      </c>
      <c r="B44" s="39">
        <v>5.25</v>
      </c>
      <c r="C44" s="39">
        <v>2.25</v>
      </c>
      <c r="D44" s="39">
        <v>8.25</v>
      </c>
      <c r="E44" s="30" t="str">
        <f t="shared" si="1"/>
        <v>12.08.2009-08.09.2009</v>
      </c>
      <c r="F44" s="35" t="str">
        <f t="shared" si="2"/>
        <v>2009 q3</v>
      </c>
      <c r="G44" s="45">
        <f t="shared" si="3"/>
        <v>5.25</v>
      </c>
      <c r="J44" s="30" t="s">
        <v>126</v>
      </c>
      <c r="K44" s="30">
        <f t="shared" si="4"/>
        <v>7.6249999999999998E-2</v>
      </c>
      <c r="M44" s="30" t="s">
        <v>121</v>
      </c>
      <c r="N44" s="30">
        <f t="shared" si="5"/>
        <v>0.08</v>
      </c>
    </row>
    <row r="45" spans="1:14" ht="14">
      <c r="A45" s="38" t="s">
        <v>217</v>
      </c>
      <c r="B45" s="39">
        <v>5</v>
      </c>
      <c r="C45" s="39">
        <v>2</v>
      </c>
      <c r="D45" s="39">
        <v>8</v>
      </c>
      <c r="E45" s="30" t="str">
        <f t="shared" si="1"/>
        <v>09.09.2009-06.10.2009</v>
      </c>
      <c r="F45" s="35" t="str">
        <f t="shared" si="2"/>
        <v>2009 q4</v>
      </c>
      <c r="G45" s="45">
        <f t="shared" si="3"/>
        <v>5</v>
      </c>
      <c r="J45" s="30" t="s">
        <v>127</v>
      </c>
      <c r="K45" s="30">
        <f t="shared" si="4"/>
        <v>7.3749999999999996E-2</v>
      </c>
      <c r="M45" s="30" t="s">
        <v>122</v>
      </c>
      <c r="N45" s="30">
        <f t="shared" si="5"/>
        <v>0.08</v>
      </c>
    </row>
    <row r="46" spans="1:14" ht="14">
      <c r="A46" s="38" t="s">
        <v>218</v>
      </c>
      <c r="B46" s="39">
        <v>5</v>
      </c>
      <c r="C46" s="39">
        <v>2</v>
      </c>
      <c r="D46" s="39">
        <v>8</v>
      </c>
      <c r="E46" s="30" t="str">
        <f t="shared" si="1"/>
        <v>07.10.2009-10.11.2009</v>
      </c>
      <c r="F46" s="35" t="str">
        <f t="shared" si="2"/>
        <v>2009 q4</v>
      </c>
      <c r="G46" s="45">
        <f t="shared" si="3"/>
        <v>5</v>
      </c>
      <c r="J46" s="30" t="s">
        <v>128</v>
      </c>
      <c r="K46" s="30">
        <f t="shared" si="4"/>
        <v>6.8750000000000006E-2</v>
      </c>
      <c r="M46" s="30" t="s">
        <v>123</v>
      </c>
      <c r="N46" s="30">
        <f t="shared" si="5"/>
        <v>0.08</v>
      </c>
    </row>
    <row r="47" spans="1:14" ht="14">
      <c r="A47" s="38" t="s">
        <v>219</v>
      </c>
      <c r="B47" s="40">
        <v>5</v>
      </c>
      <c r="C47" s="39">
        <v>2</v>
      </c>
      <c r="D47" s="39">
        <v>8</v>
      </c>
      <c r="E47" s="30" t="str">
        <f t="shared" si="1"/>
        <v>11.11.2009-20.01.2010</v>
      </c>
      <c r="F47" s="35" t="str">
        <f t="shared" si="2"/>
        <v>2010 q1</v>
      </c>
      <c r="G47" s="45">
        <f t="shared" si="3"/>
        <v>5</v>
      </c>
      <c r="J47" s="30" t="s">
        <v>129</v>
      </c>
      <c r="K47" s="30">
        <f t="shared" si="4"/>
        <v>6.7500000000000004E-2</v>
      </c>
      <c r="M47" s="30" t="s">
        <v>124</v>
      </c>
      <c r="N47" s="30">
        <f t="shared" si="5"/>
        <v>8.2500000000000004E-2</v>
      </c>
    </row>
    <row r="48" spans="1:14" ht="14">
      <c r="A48" s="38" t="s">
        <v>220</v>
      </c>
      <c r="B48" s="39">
        <v>5.5</v>
      </c>
      <c r="C48" s="39">
        <v>2.5</v>
      </c>
      <c r="D48" s="39">
        <v>8.5</v>
      </c>
      <c r="E48" s="30" t="str">
        <f t="shared" si="1"/>
        <v>21.01.2010-16.02.2010</v>
      </c>
      <c r="F48" s="35" t="str">
        <f t="shared" si="2"/>
        <v>2010 q1</v>
      </c>
      <c r="G48" s="45">
        <f t="shared" si="3"/>
        <v>5.5</v>
      </c>
      <c r="J48" s="30" t="s">
        <v>130</v>
      </c>
      <c r="K48" s="30">
        <f t="shared" si="4"/>
        <v>9.7500000000000003E-2</v>
      </c>
      <c r="M48" s="30" t="s">
        <v>125</v>
      </c>
      <c r="N48" s="30">
        <f t="shared" si="5"/>
        <v>8.2500000000000004E-2</v>
      </c>
    </row>
    <row r="49" spans="1:14" ht="14">
      <c r="A49" s="42" t="s">
        <v>221</v>
      </c>
      <c r="B49" s="43">
        <v>6</v>
      </c>
      <c r="C49" s="43">
        <v>3</v>
      </c>
      <c r="D49" s="39">
        <v>9</v>
      </c>
      <c r="E49" s="30" t="str">
        <f t="shared" si="1"/>
        <v>17.02.2010-09.03.2010</v>
      </c>
      <c r="F49" s="35" t="str">
        <f t="shared" si="2"/>
        <v>2010 q1</v>
      </c>
      <c r="G49" s="45">
        <f t="shared" si="3"/>
        <v>6</v>
      </c>
      <c r="J49" s="30" t="s">
        <v>132</v>
      </c>
      <c r="K49" s="30">
        <f t="shared" si="4"/>
        <v>0.105</v>
      </c>
      <c r="M49" s="30" t="s">
        <v>126</v>
      </c>
      <c r="N49" s="30">
        <f t="shared" si="5"/>
        <v>7.6249999999999998E-2</v>
      </c>
    </row>
    <row r="50" spans="1:14" ht="14">
      <c r="A50" s="42" t="s">
        <v>222</v>
      </c>
      <c r="B50" s="43">
        <v>6.5</v>
      </c>
      <c r="C50" s="43">
        <v>3.5</v>
      </c>
      <c r="D50" s="39">
        <v>9.5</v>
      </c>
      <c r="E50" s="30" t="str">
        <f t="shared" si="1"/>
        <v>10.03.2010-18.03.2010</v>
      </c>
      <c r="F50" s="35" t="str">
        <f t="shared" si="2"/>
        <v>2010 q1</v>
      </c>
      <c r="G50" s="45">
        <f t="shared" si="3"/>
        <v>6.5</v>
      </c>
      <c r="J50" s="30" t="s">
        <v>133</v>
      </c>
      <c r="K50" s="30">
        <f t="shared" si="4"/>
        <v>0.1</v>
      </c>
      <c r="M50" s="30" t="s">
        <v>127</v>
      </c>
      <c r="N50" s="30">
        <f t="shared" si="5"/>
        <v>7.3749999999999996E-2</v>
      </c>
    </row>
    <row r="51" spans="1:14" ht="14">
      <c r="A51" s="42" t="s">
        <v>223</v>
      </c>
      <c r="B51" s="43">
        <v>6.5</v>
      </c>
      <c r="C51" s="43">
        <v>3.5</v>
      </c>
      <c r="D51" s="39">
        <v>11.5</v>
      </c>
      <c r="E51" s="30" t="str">
        <f t="shared" si="1"/>
        <v>19.03.2010-13.04.2010</v>
      </c>
      <c r="F51" s="35" t="str">
        <f t="shared" si="2"/>
        <v>2010 q2</v>
      </c>
      <c r="G51" s="45">
        <f t="shared" si="3"/>
        <v>6.5</v>
      </c>
      <c r="J51" s="30" t="s">
        <v>134</v>
      </c>
      <c r="K51" s="30">
        <f t="shared" si="4"/>
        <v>8.6249999999999993E-2</v>
      </c>
      <c r="M51" s="30" t="s">
        <v>128</v>
      </c>
      <c r="N51" s="30">
        <f t="shared" si="5"/>
        <v>6.8750000000000006E-2</v>
      </c>
    </row>
    <row r="52" spans="1:14" ht="14">
      <c r="A52" s="42" t="s">
        <v>224</v>
      </c>
      <c r="B52" s="43">
        <v>7</v>
      </c>
      <c r="C52" s="43">
        <v>4</v>
      </c>
      <c r="D52" s="39">
        <v>12</v>
      </c>
      <c r="E52" s="30" t="str">
        <f t="shared" si="1"/>
        <v>14.04.2010-11.05.2010</v>
      </c>
      <c r="F52" s="35" t="str">
        <f t="shared" si="2"/>
        <v>2010 q2</v>
      </c>
      <c r="G52" s="45">
        <f t="shared" si="3"/>
        <v>7</v>
      </c>
      <c r="J52" s="30" t="s">
        <v>135</v>
      </c>
      <c r="K52" s="30">
        <f t="shared" si="4"/>
        <v>0.08</v>
      </c>
      <c r="M52" s="30" t="s">
        <v>129</v>
      </c>
      <c r="N52" s="30">
        <f t="shared" si="5"/>
        <v>6.7500000000000004E-2</v>
      </c>
    </row>
    <row r="53" spans="1:14" ht="14">
      <c r="A53" s="42" t="s">
        <v>225</v>
      </c>
      <c r="B53" s="43">
        <v>7.25</v>
      </c>
      <c r="C53" s="43">
        <v>4.25</v>
      </c>
      <c r="D53" s="39">
        <v>12.25</v>
      </c>
      <c r="E53" s="30" t="str">
        <f t="shared" si="1"/>
        <v>12.05.2010-08.06.2010</v>
      </c>
      <c r="F53" s="35" t="str">
        <f t="shared" si="2"/>
        <v>2010 q2</v>
      </c>
      <c r="G53" s="45">
        <f t="shared" si="3"/>
        <v>7.25</v>
      </c>
      <c r="J53" s="30" t="s">
        <v>136</v>
      </c>
      <c r="K53" s="30">
        <f t="shared" si="4"/>
        <v>7.3749999999999996E-2</v>
      </c>
      <c r="M53" s="30" t="s">
        <v>130</v>
      </c>
      <c r="N53" s="30">
        <f t="shared" si="5"/>
        <v>9.7500000000000003E-2</v>
      </c>
    </row>
    <row r="54" spans="1:14" ht="14">
      <c r="A54" s="42" t="s">
        <v>226</v>
      </c>
      <c r="B54" s="43">
        <v>7.25</v>
      </c>
      <c r="C54" s="43">
        <v>4.25</v>
      </c>
      <c r="D54" s="39">
        <v>10.25</v>
      </c>
      <c r="E54" s="30" t="str">
        <f t="shared" si="1"/>
        <v>09.06.2010-13.07.2010</v>
      </c>
      <c r="F54" s="35" t="str">
        <f t="shared" si="2"/>
        <v>2010 q3</v>
      </c>
      <c r="G54" s="45">
        <f t="shared" si="3"/>
        <v>7.25</v>
      </c>
      <c r="J54" s="30" t="s">
        <v>137</v>
      </c>
      <c r="K54" s="30">
        <f t="shared" si="4"/>
        <v>6.6250000000000003E-2</v>
      </c>
      <c r="M54" s="30" t="s">
        <v>131</v>
      </c>
      <c r="N54" s="48">
        <f>AVERAGE(N53,N55)</f>
        <v>0.10125000000000001</v>
      </c>
    </row>
    <row r="55" spans="1:14" ht="14">
      <c r="A55" s="42" t="s">
        <v>227</v>
      </c>
      <c r="B55" s="43">
        <v>7.25</v>
      </c>
      <c r="C55" s="43">
        <v>4.25</v>
      </c>
      <c r="D55" s="39">
        <v>10.25</v>
      </c>
      <c r="E55" s="30" t="str">
        <f t="shared" si="1"/>
        <v>14.07.2010-10.08.2010</v>
      </c>
      <c r="F55" s="35" t="str">
        <f t="shared" si="2"/>
        <v>2010 q3</v>
      </c>
      <c r="G55" s="45">
        <f t="shared" si="3"/>
        <v>7.25</v>
      </c>
      <c r="J55" s="30" t="s">
        <v>138</v>
      </c>
      <c r="K55" s="30">
        <f t="shared" si="4"/>
        <v>6.25E-2</v>
      </c>
      <c r="M55" s="30" t="s">
        <v>132</v>
      </c>
      <c r="N55" s="30">
        <f t="shared" si="5"/>
        <v>0.105</v>
      </c>
    </row>
    <row r="56" spans="1:14" ht="14">
      <c r="A56" s="42" t="s">
        <v>228</v>
      </c>
      <c r="B56" s="43">
        <v>7.25</v>
      </c>
      <c r="C56" s="43">
        <v>4.25</v>
      </c>
      <c r="D56" s="39">
        <v>10.25</v>
      </c>
      <c r="E56" s="30" t="str">
        <f t="shared" si="1"/>
        <v>11.08.2010-07.09.2010</v>
      </c>
      <c r="F56" s="35" t="str">
        <f t="shared" si="2"/>
        <v>2010 q3</v>
      </c>
      <c r="G56" s="45">
        <f t="shared" si="3"/>
        <v>7.25</v>
      </c>
      <c r="J56" s="30" t="s">
        <v>146</v>
      </c>
      <c r="K56" s="30">
        <f t="shared" si="4"/>
        <v>0.06</v>
      </c>
      <c r="M56" s="30" t="s">
        <v>133</v>
      </c>
      <c r="N56" s="30">
        <f t="shared" si="5"/>
        <v>0.1</v>
      </c>
    </row>
    <row r="57" spans="1:14" ht="14">
      <c r="A57" s="42" t="s">
        <v>229</v>
      </c>
      <c r="B57" s="43">
        <v>7.25</v>
      </c>
      <c r="C57" s="43">
        <v>4.25</v>
      </c>
      <c r="D57" s="39">
        <v>10.25</v>
      </c>
      <c r="E57" s="30" t="str">
        <f t="shared" si="1"/>
        <v>08.09.2010-12.10.2010</v>
      </c>
      <c r="F57" s="35" t="str">
        <f t="shared" si="2"/>
        <v>2010 q4</v>
      </c>
      <c r="G57" s="45">
        <f t="shared" si="3"/>
        <v>7.25</v>
      </c>
      <c r="J57" s="30" t="s">
        <v>148</v>
      </c>
      <c r="K57" s="30">
        <f t="shared" si="4"/>
        <v>5.7500000000000002E-2</v>
      </c>
      <c r="M57" s="30" t="s">
        <v>134</v>
      </c>
      <c r="N57" s="30">
        <f t="shared" si="5"/>
        <v>8.6249999999999993E-2</v>
      </c>
    </row>
    <row r="58" spans="1:14" ht="14">
      <c r="A58" s="42" t="s">
        <v>230</v>
      </c>
      <c r="B58" s="43">
        <v>7.25</v>
      </c>
      <c r="C58" s="43">
        <v>4.25</v>
      </c>
      <c r="D58" s="39">
        <v>10.25</v>
      </c>
      <c r="E58" s="30" t="str">
        <f t="shared" si="1"/>
        <v>13.10.2010-09.11.2010</v>
      </c>
      <c r="F58" s="35" t="str">
        <f t="shared" si="2"/>
        <v>2010 q4</v>
      </c>
      <c r="G58" s="45">
        <f t="shared" si="3"/>
        <v>7.25</v>
      </c>
      <c r="J58" s="30" t="s">
        <v>150</v>
      </c>
      <c r="K58" s="30">
        <f t="shared" si="4"/>
        <v>5.5E-2</v>
      </c>
      <c r="M58" s="30" t="s">
        <v>135</v>
      </c>
      <c r="N58" s="30">
        <f t="shared" si="5"/>
        <v>0.08</v>
      </c>
    </row>
    <row r="59" spans="1:14" ht="14">
      <c r="A59" s="42" t="s">
        <v>231</v>
      </c>
      <c r="B59" s="43">
        <v>7.25</v>
      </c>
      <c r="C59" s="43">
        <v>4.25</v>
      </c>
      <c r="D59" s="39">
        <v>10.25</v>
      </c>
      <c r="E59" s="30" t="str">
        <f t="shared" si="1"/>
        <v>10.11.2010-07.12.2010</v>
      </c>
      <c r="F59" s="35" t="str">
        <f t="shared" si="2"/>
        <v>2010 q4</v>
      </c>
      <c r="G59" s="45">
        <f t="shared" si="3"/>
        <v>7.25</v>
      </c>
      <c r="J59" s="30" t="s">
        <v>151</v>
      </c>
      <c r="K59" s="30">
        <f t="shared" si="4"/>
        <v>5.1249999999999997E-2</v>
      </c>
      <c r="M59" s="30" t="s">
        <v>136</v>
      </c>
      <c r="N59" s="30">
        <f t="shared" si="5"/>
        <v>7.3749999999999996E-2</v>
      </c>
    </row>
    <row r="60" spans="1:14" ht="14">
      <c r="A60" s="42" t="s">
        <v>232</v>
      </c>
      <c r="B60" s="44">
        <v>7.25</v>
      </c>
      <c r="C60" s="43">
        <v>4.25</v>
      </c>
      <c r="D60" s="39">
        <v>10.25</v>
      </c>
      <c r="E60" s="30" t="str">
        <f t="shared" si="1"/>
        <v>08.12.2010-11.01.2011</v>
      </c>
      <c r="F60" s="35" t="str">
        <f t="shared" si="2"/>
        <v>2011 q1</v>
      </c>
      <c r="G60" s="45">
        <f t="shared" si="3"/>
        <v>7.25</v>
      </c>
      <c r="J60" s="30" t="s">
        <v>152</v>
      </c>
      <c r="K60" s="30">
        <f t="shared" si="4"/>
        <v>4.4999999999999998E-2</v>
      </c>
      <c r="M60" s="30" t="s">
        <v>137</v>
      </c>
      <c r="N60" s="30">
        <f t="shared" si="5"/>
        <v>6.6250000000000003E-2</v>
      </c>
    </row>
    <row r="61" spans="1:14" ht="14">
      <c r="A61" s="42" t="s">
        <v>233</v>
      </c>
      <c r="B61" s="43">
        <v>7.25</v>
      </c>
      <c r="C61" s="43">
        <v>4.25</v>
      </c>
      <c r="D61" s="39">
        <v>10.25</v>
      </c>
      <c r="E61" s="30" t="str">
        <f t="shared" si="1"/>
        <v>12.01.2011-08.02.2011</v>
      </c>
      <c r="F61" s="35" t="str">
        <f t="shared" si="2"/>
        <v>2011 q1</v>
      </c>
      <c r="G61" s="45">
        <f t="shared" si="3"/>
        <v>7.25</v>
      </c>
      <c r="J61" s="30" t="s">
        <v>153</v>
      </c>
      <c r="K61" s="30">
        <f t="shared" si="4"/>
        <v>4.2500000000000003E-2</v>
      </c>
      <c r="M61" s="30" t="s">
        <v>138</v>
      </c>
      <c r="N61" s="30">
        <f t="shared" si="5"/>
        <v>6.25E-2</v>
      </c>
    </row>
    <row r="62" spans="1:14" ht="14">
      <c r="A62" s="42" t="s">
        <v>234</v>
      </c>
      <c r="B62" s="43">
        <v>7.75</v>
      </c>
      <c r="C62" s="43">
        <v>4.75</v>
      </c>
      <c r="D62" s="39">
        <v>10.75</v>
      </c>
      <c r="E62" s="30" t="str">
        <f t="shared" si="1"/>
        <v>09.02.2011-04.03.2011</v>
      </c>
      <c r="F62" s="35" t="str">
        <f t="shared" si="2"/>
        <v>2011 q1</v>
      </c>
      <c r="G62" s="45">
        <f t="shared" si="3"/>
        <v>7.75</v>
      </c>
      <c r="J62" s="30" t="s">
        <v>154</v>
      </c>
      <c r="K62" s="30">
        <f t="shared" si="4"/>
        <v>5.3749999999999999E-2</v>
      </c>
      <c r="M62" s="30" t="s">
        <v>139</v>
      </c>
      <c r="N62" s="48">
        <f>N61</f>
        <v>6.25E-2</v>
      </c>
    </row>
    <row r="63" spans="1:14" ht="14">
      <c r="A63" s="42" t="s">
        <v>235</v>
      </c>
      <c r="B63" s="43">
        <v>8.25</v>
      </c>
      <c r="C63" s="43">
        <v>5.25</v>
      </c>
      <c r="D63" s="39">
        <v>11.25</v>
      </c>
      <c r="E63" s="30" t="str">
        <f t="shared" si="1"/>
        <v>05.03.2011-12.04.2011</v>
      </c>
      <c r="F63" s="35" t="str">
        <f t="shared" si="2"/>
        <v>2011 q2</v>
      </c>
      <c r="G63" s="45">
        <f t="shared" si="3"/>
        <v>8.25</v>
      </c>
      <c r="J63" s="30" t="s">
        <v>155</v>
      </c>
      <c r="K63" s="30">
        <f t="shared" si="4"/>
        <v>5.7500000000000002E-2</v>
      </c>
      <c r="M63" s="30" t="s">
        <v>140</v>
      </c>
      <c r="N63" s="48">
        <f t="shared" ref="N63:N68" si="6">N62</f>
        <v>6.25E-2</v>
      </c>
    </row>
    <row r="64" spans="1:14" ht="14">
      <c r="A64" s="42" t="s">
        <v>236</v>
      </c>
      <c r="B64" s="43">
        <v>8.5</v>
      </c>
      <c r="C64" s="43">
        <v>5.5</v>
      </c>
      <c r="D64" s="39">
        <v>11.5</v>
      </c>
      <c r="E64" s="30" t="str">
        <f t="shared" si="1"/>
        <v>13.04.2011-10.05.2011</v>
      </c>
      <c r="F64" s="35" t="str">
        <f t="shared" si="2"/>
        <v>2011 q2</v>
      </c>
      <c r="G64" s="45">
        <f t="shared" si="3"/>
        <v>8.5</v>
      </c>
      <c r="J64" s="30" t="s">
        <v>156</v>
      </c>
      <c r="K64" s="30">
        <f t="shared" si="4"/>
        <v>6.7500000000000004E-2</v>
      </c>
      <c r="M64" s="30" t="s">
        <v>141</v>
      </c>
      <c r="N64" s="48">
        <f t="shared" si="6"/>
        <v>6.25E-2</v>
      </c>
    </row>
    <row r="65" spans="1:14" ht="14">
      <c r="A65" s="42" t="s">
        <v>237</v>
      </c>
      <c r="B65" s="43">
        <v>8.5</v>
      </c>
      <c r="C65" s="43">
        <v>5.5</v>
      </c>
      <c r="D65" s="39">
        <v>11.5</v>
      </c>
      <c r="E65" s="30" t="str">
        <f t="shared" si="1"/>
        <v>11.05.2011-07.06.2011</v>
      </c>
      <c r="F65" s="35" t="str">
        <f t="shared" si="2"/>
        <v>2011 q2</v>
      </c>
      <c r="G65" s="45">
        <f t="shared" si="3"/>
        <v>8.5</v>
      </c>
      <c r="J65" s="30" t="s">
        <v>157</v>
      </c>
      <c r="K65" s="30">
        <f t="shared" si="4"/>
        <v>7.2499999999999995E-2</v>
      </c>
      <c r="M65" s="30" t="s">
        <v>142</v>
      </c>
      <c r="N65" s="48">
        <f t="shared" si="6"/>
        <v>6.25E-2</v>
      </c>
    </row>
    <row r="66" spans="1:14" ht="14">
      <c r="A66" s="42" t="s">
        <v>238</v>
      </c>
      <c r="B66" s="43">
        <v>8.5</v>
      </c>
      <c r="C66" s="43">
        <v>5.5</v>
      </c>
      <c r="D66" s="39">
        <v>11.5</v>
      </c>
      <c r="E66" s="30" t="str">
        <f t="shared" si="1"/>
        <v>08.06.2011-12.07.2011</v>
      </c>
      <c r="F66" s="35" t="str">
        <f t="shared" si="2"/>
        <v>2011 q3</v>
      </c>
      <c r="G66" s="45">
        <f t="shared" si="3"/>
        <v>8.5</v>
      </c>
      <c r="J66" s="30" t="s">
        <v>158</v>
      </c>
      <c r="K66" s="30">
        <f t="shared" si="4"/>
        <v>0.08</v>
      </c>
      <c r="M66" s="30" t="s">
        <v>143</v>
      </c>
      <c r="N66" s="48">
        <f t="shared" si="6"/>
        <v>6.25E-2</v>
      </c>
    </row>
    <row r="67" spans="1:14" ht="14">
      <c r="A67" s="42" t="s">
        <v>239</v>
      </c>
      <c r="B67" s="43">
        <v>8.5</v>
      </c>
      <c r="C67" s="43">
        <v>5.5</v>
      </c>
      <c r="D67" s="39">
        <v>11.5</v>
      </c>
      <c r="E67" s="30" t="str">
        <f t="shared" si="1"/>
        <v>13.07.2011-09.08.2011</v>
      </c>
      <c r="F67" s="35" t="str">
        <f t="shared" si="2"/>
        <v>2011 q3</v>
      </c>
      <c r="G67" s="45">
        <f t="shared" si="3"/>
        <v>8.5</v>
      </c>
      <c r="J67" s="30" t="s">
        <v>160</v>
      </c>
      <c r="K67" s="30">
        <f t="shared" si="4"/>
        <v>9.375E-2</v>
      </c>
      <c r="M67" s="30" t="s">
        <v>144</v>
      </c>
      <c r="N67" s="48">
        <f t="shared" si="6"/>
        <v>6.25E-2</v>
      </c>
    </row>
    <row r="68" spans="1:14" ht="14">
      <c r="A68" s="42" t="s">
        <v>240</v>
      </c>
      <c r="B68" s="43">
        <v>8.5</v>
      </c>
      <c r="C68" s="43">
        <v>5.5</v>
      </c>
      <c r="D68" s="39">
        <v>11.5</v>
      </c>
      <c r="E68" s="30" t="str">
        <f t="shared" si="1"/>
        <v>10.08.2011-06.09.2011</v>
      </c>
      <c r="F68" s="35" t="str">
        <f t="shared" si="2"/>
        <v>2011 q3</v>
      </c>
      <c r="G68" s="45">
        <f t="shared" si="3"/>
        <v>8.5</v>
      </c>
      <c r="J68" s="30" t="s">
        <v>161</v>
      </c>
      <c r="K68" s="30">
        <f t="shared" si="4"/>
        <v>0.10249999999999999</v>
      </c>
      <c r="M68" s="30" t="s">
        <v>145</v>
      </c>
      <c r="N68" s="48">
        <f t="shared" si="6"/>
        <v>6.25E-2</v>
      </c>
    </row>
    <row r="69" spans="1:14" ht="14">
      <c r="A69" s="42" t="s">
        <v>241</v>
      </c>
      <c r="B69" s="43">
        <v>8</v>
      </c>
      <c r="C69" s="43">
        <v>5</v>
      </c>
      <c r="D69" s="39">
        <v>11</v>
      </c>
      <c r="E69" s="30" t="str">
        <f t="shared" si="1"/>
        <v>07.09.2011-11.10.2011</v>
      </c>
      <c r="F69" s="35" t="str">
        <f t="shared" si="2"/>
        <v>2011 q4</v>
      </c>
      <c r="G69" s="45">
        <f t="shared" si="3"/>
        <v>8</v>
      </c>
      <c r="J69" s="30" t="s">
        <v>163</v>
      </c>
      <c r="K69" s="30">
        <f t="shared" si="4"/>
        <v>0.1075</v>
      </c>
      <c r="M69" s="30" t="s">
        <v>146</v>
      </c>
      <c r="N69" s="30">
        <f t="shared" si="5"/>
        <v>0.06</v>
      </c>
    </row>
    <row r="70" spans="1:14" ht="14">
      <c r="A70" s="42" t="s">
        <v>242</v>
      </c>
      <c r="B70" s="43">
        <v>8</v>
      </c>
      <c r="C70" s="43">
        <v>5</v>
      </c>
      <c r="D70" s="39">
        <v>11</v>
      </c>
      <c r="E70" s="30" t="str">
        <f t="shared" ref="E70:E133" si="7">TRIM(A70)</f>
        <v>12.10.2011-08.11.2011</v>
      </c>
      <c r="F70" s="35" t="str">
        <f t="shared" ref="F70:F133" si="8">RIGHT(E70,4)&amp;" q"&amp;ROUNDUP(VALUE(LEFT(RIGHT(E70,7),2))/3,0)</f>
        <v>2011 q4</v>
      </c>
      <c r="G70" s="45">
        <f t="shared" ref="G70:G133" si="9">B70</f>
        <v>8</v>
      </c>
      <c r="J70" s="30" t="s">
        <v>164</v>
      </c>
      <c r="K70" s="30">
        <f t="shared" ref="K70:K72" si="10">AVERAGEIF($F$5:$F$145,J70,$G$5:$G$145)/100</f>
        <v>0.10375</v>
      </c>
      <c r="M70" s="30" t="s">
        <v>147</v>
      </c>
      <c r="N70" s="48">
        <f>AVERAGE(N69,N71)</f>
        <v>5.8749999999999997E-2</v>
      </c>
    </row>
    <row r="71" spans="1:14" ht="14">
      <c r="A71" s="42" t="s">
        <v>243</v>
      </c>
      <c r="B71" s="43">
        <v>8</v>
      </c>
      <c r="C71" s="43">
        <v>5</v>
      </c>
      <c r="D71" s="39">
        <v>11</v>
      </c>
      <c r="E71" s="30" t="str">
        <f t="shared" si="7"/>
        <v>09.11.2011-06.12.2011</v>
      </c>
      <c r="F71" s="35" t="str">
        <f t="shared" si="8"/>
        <v>2011 q4</v>
      </c>
      <c r="G71" s="45">
        <f t="shared" si="9"/>
        <v>8</v>
      </c>
      <c r="J71" s="30" t="s">
        <v>165</v>
      </c>
      <c r="K71" s="30">
        <f t="shared" si="10"/>
        <v>9.6250000000000002E-2</v>
      </c>
      <c r="M71" s="30" t="s">
        <v>148</v>
      </c>
      <c r="N71" s="30">
        <f t="shared" ref="N71:N89" si="11">VLOOKUP(M71,$J$5:$K$72,2,FALSE)</f>
        <v>5.7500000000000002E-2</v>
      </c>
    </row>
    <row r="72" spans="1:14" ht="14">
      <c r="A72" s="42" t="s">
        <v>244</v>
      </c>
      <c r="B72" s="44">
        <v>8</v>
      </c>
      <c r="C72" s="43">
        <v>5</v>
      </c>
      <c r="D72" s="39">
        <v>11</v>
      </c>
      <c r="E72" s="30" t="str">
        <f t="shared" si="7"/>
        <v>07.12.2011-10.01.2012</v>
      </c>
      <c r="F72" s="35" t="str">
        <f t="shared" si="8"/>
        <v>2012 q1</v>
      </c>
      <c r="G72" s="45">
        <f t="shared" si="9"/>
        <v>8</v>
      </c>
      <c r="J72" s="30" t="s">
        <v>166</v>
      </c>
      <c r="K72" s="30">
        <f t="shared" si="10"/>
        <v>0.09</v>
      </c>
      <c r="M72" s="30" t="s">
        <v>149</v>
      </c>
      <c r="N72" s="48">
        <f>AVERAGE(N71,N73)</f>
        <v>5.6250000000000001E-2</v>
      </c>
    </row>
    <row r="73" spans="1:14" ht="14">
      <c r="A73" s="42" t="s">
        <v>245</v>
      </c>
      <c r="B73" s="43">
        <v>8</v>
      </c>
      <c r="C73" s="43">
        <v>5</v>
      </c>
      <c r="D73" s="39">
        <v>11</v>
      </c>
      <c r="E73" s="30" t="str">
        <f t="shared" si="7"/>
        <v>11.01.2012-07.02.2012</v>
      </c>
      <c r="F73" s="35" t="str">
        <f t="shared" si="8"/>
        <v>2012 q1</v>
      </c>
      <c r="G73" s="45">
        <f t="shared" si="9"/>
        <v>8</v>
      </c>
      <c r="M73" s="30" t="s">
        <v>150</v>
      </c>
      <c r="N73" s="30">
        <f t="shared" si="11"/>
        <v>5.5E-2</v>
      </c>
    </row>
    <row r="74" spans="1:14" ht="14">
      <c r="A74" s="42" t="s">
        <v>246</v>
      </c>
      <c r="B74" s="43">
        <v>8</v>
      </c>
      <c r="C74" s="43">
        <v>5</v>
      </c>
      <c r="D74" s="39">
        <v>11</v>
      </c>
      <c r="E74" s="30" t="str">
        <f t="shared" si="7"/>
        <v>08.02.2012-06.03.2012</v>
      </c>
      <c r="F74" s="35" t="str">
        <f t="shared" si="8"/>
        <v>2012 q1</v>
      </c>
      <c r="G74" s="45">
        <f t="shared" si="9"/>
        <v>8</v>
      </c>
      <c r="M74" s="30" t="s">
        <v>151</v>
      </c>
      <c r="N74" s="30">
        <f t="shared" si="11"/>
        <v>5.1249999999999997E-2</v>
      </c>
    </row>
    <row r="75" spans="1:14" ht="14">
      <c r="A75" s="42" t="s">
        <v>247</v>
      </c>
      <c r="B75" s="43">
        <v>8</v>
      </c>
      <c r="C75" s="43">
        <v>5</v>
      </c>
      <c r="D75" s="39">
        <v>11</v>
      </c>
      <c r="E75" s="30" t="str">
        <f t="shared" si="7"/>
        <v>07.03.2012-10.04.2012</v>
      </c>
      <c r="F75" s="35" t="str">
        <f t="shared" si="8"/>
        <v>2012 q2</v>
      </c>
      <c r="G75" s="45">
        <f t="shared" si="9"/>
        <v>8</v>
      </c>
      <c r="M75" s="30" t="s">
        <v>152</v>
      </c>
      <c r="N75" s="30">
        <f t="shared" si="11"/>
        <v>4.4999999999999998E-2</v>
      </c>
    </row>
    <row r="76" spans="1:14" ht="15">
      <c r="A76" s="42" t="s">
        <v>248</v>
      </c>
      <c r="B76" s="43">
        <v>8</v>
      </c>
      <c r="C76" s="43">
        <v>5</v>
      </c>
      <c r="D76" s="39">
        <v>11</v>
      </c>
      <c r="E76" s="30" t="str">
        <f t="shared" si="7"/>
        <v>11.04.2012-08.05.2012</v>
      </c>
      <c r="F76" s="35" t="str">
        <f t="shared" si="8"/>
        <v>2012 q2</v>
      </c>
      <c r="G76" s="45">
        <f t="shared" si="9"/>
        <v>8</v>
      </c>
      <c r="J76"/>
      <c r="M76" s="30" t="s">
        <v>153</v>
      </c>
      <c r="N76" s="30">
        <f t="shared" si="11"/>
        <v>4.2500000000000003E-2</v>
      </c>
    </row>
    <row r="77" spans="1:14" ht="15">
      <c r="A77" s="42" t="s">
        <v>249</v>
      </c>
      <c r="B77" s="43">
        <v>8</v>
      </c>
      <c r="C77" s="43">
        <v>5</v>
      </c>
      <c r="D77" s="39">
        <v>11</v>
      </c>
      <c r="E77" s="30" t="str">
        <f t="shared" si="7"/>
        <v>09.05.2012-05.06.2012</v>
      </c>
      <c r="F77" s="35" t="str">
        <f t="shared" si="8"/>
        <v>2012 q2</v>
      </c>
      <c r="G77" s="45">
        <f t="shared" si="9"/>
        <v>8</v>
      </c>
      <c r="J77"/>
      <c r="M77" s="30" t="s">
        <v>154</v>
      </c>
      <c r="N77" s="30">
        <f t="shared" si="11"/>
        <v>5.3749999999999999E-2</v>
      </c>
    </row>
    <row r="78" spans="1:14" ht="15">
      <c r="A78" s="42" t="s">
        <v>250</v>
      </c>
      <c r="B78" s="43">
        <v>8</v>
      </c>
      <c r="C78" s="43">
        <v>5.5</v>
      </c>
      <c r="D78" s="39">
        <v>10.5</v>
      </c>
      <c r="E78" s="30" t="str">
        <f t="shared" si="7"/>
        <v>06.06.2012-10.07.2012</v>
      </c>
      <c r="F78" s="35" t="str">
        <f t="shared" si="8"/>
        <v>2012 q3</v>
      </c>
      <c r="G78" s="45">
        <f t="shared" si="9"/>
        <v>8</v>
      </c>
      <c r="J78"/>
      <c r="M78" s="30" t="s">
        <v>155</v>
      </c>
      <c r="N78" s="30">
        <f t="shared" si="11"/>
        <v>5.7500000000000002E-2</v>
      </c>
    </row>
    <row r="79" spans="1:14" ht="15">
      <c r="A79" s="42" t="s">
        <v>251</v>
      </c>
      <c r="B79" s="43">
        <v>8</v>
      </c>
      <c r="C79" s="43">
        <v>5.5</v>
      </c>
      <c r="D79" s="39">
        <v>10.5</v>
      </c>
      <c r="E79" s="30" t="str">
        <f t="shared" si="7"/>
        <v>11.07.2012-07.08.2012</v>
      </c>
      <c r="F79" s="35" t="str">
        <f t="shared" si="8"/>
        <v>2012 q3</v>
      </c>
      <c r="G79" s="45">
        <f t="shared" si="9"/>
        <v>8</v>
      </c>
      <c r="J79"/>
      <c r="M79" s="30" t="s">
        <v>156</v>
      </c>
      <c r="N79" s="30">
        <f t="shared" si="11"/>
        <v>6.7500000000000004E-2</v>
      </c>
    </row>
    <row r="80" spans="1:14" ht="15">
      <c r="A80" s="42" t="s">
        <v>252</v>
      </c>
      <c r="B80" s="43">
        <v>8</v>
      </c>
      <c r="C80" s="43">
        <v>5.5</v>
      </c>
      <c r="D80" s="39">
        <v>10.5</v>
      </c>
      <c r="E80" s="30" t="str">
        <f t="shared" si="7"/>
        <v>08.08.2012-04.09.2012</v>
      </c>
      <c r="F80" s="35" t="str">
        <f t="shared" si="8"/>
        <v>2012 q3</v>
      </c>
      <c r="G80" s="45">
        <f t="shared" si="9"/>
        <v>8</v>
      </c>
      <c r="J80"/>
      <c r="M80" s="30" t="s">
        <v>157</v>
      </c>
      <c r="N80" s="30">
        <f t="shared" si="11"/>
        <v>7.2499999999999995E-2</v>
      </c>
    </row>
    <row r="81" spans="1:14" ht="15">
      <c r="A81" s="42" t="s">
        <v>253</v>
      </c>
      <c r="B81" s="43">
        <v>8</v>
      </c>
      <c r="C81" s="43">
        <v>6</v>
      </c>
      <c r="D81" s="39">
        <v>10</v>
      </c>
      <c r="E81" s="30" t="str">
        <f t="shared" si="7"/>
        <v>05.09.2012-09.10.2012</v>
      </c>
      <c r="F81" s="35" t="str">
        <f t="shared" si="8"/>
        <v>2012 q4</v>
      </c>
      <c r="G81" s="45">
        <f t="shared" si="9"/>
        <v>8</v>
      </c>
      <c r="J81"/>
      <c r="M81" s="30" t="s">
        <v>158</v>
      </c>
      <c r="N81" s="30">
        <f t="shared" si="11"/>
        <v>0.08</v>
      </c>
    </row>
    <row r="82" spans="1:14" ht="15">
      <c r="A82" s="42" t="s">
        <v>254</v>
      </c>
      <c r="B82" s="43">
        <v>8</v>
      </c>
      <c r="C82" s="43">
        <v>6</v>
      </c>
      <c r="D82" s="39">
        <v>10</v>
      </c>
      <c r="E82" s="30" t="str">
        <f t="shared" si="7"/>
        <v>10.10.2012-06.11.2012</v>
      </c>
      <c r="F82" s="35" t="str">
        <f t="shared" si="8"/>
        <v>2012 q4</v>
      </c>
      <c r="G82" s="45">
        <f t="shared" si="9"/>
        <v>8</v>
      </c>
      <c r="J82"/>
      <c r="M82" s="30" t="s">
        <v>159</v>
      </c>
      <c r="N82" s="48">
        <f>AVERAGE(N81,N83)</f>
        <v>8.6875000000000008E-2</v>
      </c>
    </row>
    <row r="83" spans="1:14" ht="15">
      <c r="A83" s="42" t="s">
        <v>255</v>
      </c>
      <c r="B83" s="43">
        <v>8</v>
      </c>
      <c r="C83" s="43">
        <v>6.5</v>
      </c>
      <c r="D83" s="39">
        <v>9.5</v>
      </c>
      <c r="E83" s="30" t="str">
        <f t="shared" si="7"/>
        <v>07.11.2012-11.12.2012</v>
      </c>
      <c r="F83" s="35" t="str">
        <f t="shared" si="8"/>
        <v>2012 q4</v>
      </c>
      <c r="G83" s="45">
        <f t="shared" si="9"/>
        <v>8</v>
      </c>
      <c r="J83"/>
      <c r="M83" s="30" t="s">
        <v>160</v>
      </c>
      <c r="N83" s="30">
        <f t="shared" si="11"/>
        <v>9.375E-2</v>
      </c>
    </row>
    <row r="84" spans="1:14" ht="15">
      <c r="A84" s="42" t="s">
        <v>256</v>
      </c>
      <c r="B84" s="46">
        <v>8</v>
      </c>
      <c r="C84" s="43">
        <v>6.5</v>
      </c>
      <c r="D84" s="39">
        <v>9.5</v>
      </c>
      <c r="E84" s="30" t="str">
        <f t="shared" si="7"/>
        <v>12.12.2012-12.02.2013</v>
      </c>
      <c r="F84" s="35" t="str">
        <f t="shared" si="8"/>
        <v>2013 q1</v>
      </c>
      <c r="G84" s="45">
        <f t="shared" si="9"/>
        <v>8</v>
      </c>
      <c r="J84"/>
      <c r="M84" s="30" t="s">
        <v>161</v>
      </c>
      <c r="N84" s="30">
        <f t="shared" si="11"/>
        <v>0.10249999999999999</v>
      </c>
    </row>
    <row r="85" spans="1:14" ht="15">
      <c r="A85" s="42" t="s">
        <v>257</v>
      </c>
      <c r="B85" s="43">
        <v>8</v>
      </c>
      <c r="C85" s="43">
        <v>6.5</v>
      </c>
      <c r="D85" s="39">
        <v>9.5</v>
      </c>
      <c r="E85" s="30" t="str">
        <f t="shared" si="7"/>
        <v>13.02.2013-26.03.2013</v>
      </c>
      <c r="F85" s="35" t="str">
        <f t="shared" si="8"/>
        <v>2013 q1</v>
      </c>
      <c r="G85" s="45">
        <f t="shared" si="9"/>
        <v>8</v>
      </c>
      <c r="J85"/>
      <c r="M85" s="30" t="s">
        <v>162</v>
      </c>
      <c r="N85" s="48">
        <f>AVERAGE(N84,N86)</f>
        <v>0.105</v>
      </c>
    </row>
    <row r="86" spans="1:14" ht="15">
      <c r="A86" s="42" t="s">
        <v>258</v>
      </c>
      <c r="B86" s="43">
        <v>8</v>
      </c>
      <c r="C86" s="43">
        <v>6.5</v>
      </c>
      <c r="D86" s="39">
        <v>9.5</v>
      </c>
      <c r="E86" s="30" t="str">
        <f t="shared" si="7"/>
        <v>27.03.2013-14.05.2013</v>
      </c>
      <c r="F86" s="35" t="str">
        <f t="shared" si="8"/>
        <v>2013 q2</v>
      </c>
      <c r="G86" s="45">
        <f t="shared" si="9"/>
        <v>8</v>
      </c>
      <c r="J86"/>
      <c r="M86" s="30" t="s">
        <v>163</v>
      </c>
      <c r="N86" s="30">
        <f t="shared" si="11"/>
        <v>0.1075</v>
      </c>
    </row>
    <row r="87" spans="1:14" ht="15">
      <c r="A87" s="42" t="s">
        <v>259</v>
      </c>
      <c r="B87" s="43">
        <v>8</v>
      </c>
      <c r="C87" s="43">
        <v>6.5</v>
      </c>
      <c r="D87" s="39">
        <v>9.5</v>
      </c>
      <c r="E87" s="30" t="str">
        <f t="shared" si="7"/>
        <v>15.05.2013-25.06.2013</v>
      </c>
      <c r="F87" s="35" t="str">
        <f t="shared" si="8"/>
        <v>2013 q2</v>
      </c>
      <c r="G87" s="45">
        <f t="shared" si="9"/>
        <v>8</v>
      </c>
      <c r="J87"/>
      <c r="M87" s="30" t="s">
        <v>164</v>
      </c>
      <c r="N87" s="30">
        <f t="shared" si="11"/>
        <v>0.10375</v>
      </c>
    </row>
    <row r="88" spans="1:14" ht="15">
      <c r="A88" s="42" t="s">
        <v>260</v>
      </c>
      <c r="B88" s="43">
        <v>8</v>
      </c>
      <c r="C88" s="43">
        <v>6.5</v>
      </c>
      <c r="D88" s="39">
        <v>9.5</v>
      </c>
      <c r="E88" s="30" t="str">
        <f t="shared" si="7"/>
        <v>26.06.2013-13.08.2013</v>
      </c>
      <c r="F88" s="35" t="str">
        <f t="shared" si="8"/>
        <v>2013 q3</v>
      </c>
      <c r="G88" s="45">
        <f t="shared" si="9"/>
        <v>8</v>
      </c>
      <c r="J88"/>
      <c r="M88" s="30" t="s">
        <v>165</v>
      </c>
      <c r="N88" s="30">
        <f t="shared" si="11"/>
        <v>9.6250000000000002E-2</v>
      </c>
    </row>
    <row r="89" spans="1:14" ht="15">
      <c r="A89" s="42" t="s">
        <v>261</v>
      </c>
      <c r="B89" s="43">
        <v>8.5</v>
      </c>
      <c r="C89" s="43">
        <v>7</v>
      </c>
      <c r="D89" s="39">
        <v>10</v>
      </c>
      <c r="E89" s="30" t="str">
        <f t="shared" si="7"/>
        <v>14.08.2013-24.09.2013</v>
      </c>
      <c r="F89" s="35" t="str">
        <f t="shared" si="8"/>
        <v>2013 q3</v>
      </c>
      <c r="G89" s="45">
        <f t="shared" si="9"/>
        <v>8.5</v>
      </c>
      <c r="J89"/>
      <c r="M89" s="30" t="s">
        <v>166</v>
      </c>
      <c r="N89" s="30">
        <f t="shared" si="11"/>
        <v>0.09</v>
      </c>
    </row>
    <row r="90" spans="1:14" ht="15">
      <c r="A90" s="42" t="s">
        <v>262</v>
      </c>
      <c r="B90" s="43">
        <v>8.5</v>
      </c>
      <c r="C90" s="43">
        <v>7</v>
      </c>
      <c r="D90" s="39">
        <v>10</v>
      </c>
      <c r="E90" s="30" t="str">
        <f t="shared" si="7"/>
        <v>25.09.2013-12.11.2013</v>
      </c>
      <c r="F90" s="35" t="str">
        <f t="shared" si="8"/>
        <v>2013 q4</v>
      </c>
      <c r="G90" s="45">
        <f t="shared" si="9"/>
        <v>8.5</v>
      </c>
      <c r="J90"/>
    </row>
    <row r="91" spans="1:14" ht="15">
      <c r="A91" s="42" t="s">
        <v>263</v>
      </c>
      <c r="B91" s="43">
        <v>8</v>
      </c>
      <c r="C91" s="43">
        <v>6.5</v>
      </c>
      <c r="D91" s="39">
        <v>9.5</v>
      </c>
      <c r="E91" s="30" t="str">
        <f t="shared" si="7"/>
        <v>13.11.2013-24.12.2013</v>
      </c>
      <c r="F91" s="35" t="str">
        <f t="shared" si="8"/>
        <v>2013 q4</v>
      </c>
      <c r="G91" s="45">
        <f t="shared" si="9"/>
        <v>8</v>
      </c>
      <c r="J91"/>
    </row>
    <row r="92" spans="1:14" ht="15">
      <c r="A92" s="47" t="s">
        <v>264</v>
      </c>
      <c r="B92" s="43">
        <v>7.75</v>
      </c>
      <c r="C92" s="43">
        <v>6.25</v>
      </c>
      <c r="D92" s="39">
        <v>9.25</v>
      </c>
      <c r="E92" s="30" t="str">
        <f t="shared" si="7"/>
        <v>25.12.2013-11.02.2014</v>
      </c>
      <c r="F92" s="35" t="str">
        <f t="shared" si="8"/>
        <v>2014 q1</v>
      </c>
      <c r="G92" s="45">
        <f t="shared" si="9"/>
        <v>7.75</v>
      </c>
      <c r="J92"/>
    </row>
    <row r="93" spans="1:14" ht="15">
      <c r="A93" s="47" t="s">
        <v>265</v>
      </c>
      <c r="B93" s="43">
        <v>7.5</v>
      </c>
      <c r="C93" s="43">
        <v>6</v>
      </c>
      <c r="D93" s="39">
        <v>9</v>
      </c>
      <c r="E93" s="30" t="str">
        <f t="shared" si="7"/>
        <v>12.02.2014-24.03.2014</v>
      </c>
      <c r="F93" s="35" t="str">
        <f t="shared" si="8"/>
        <v>2014 q1</v>
      </c>
      <c r="G93" s="45">
        <f t="shared" si="9"/>
        <v>7.5</v>
      </c>
      <c r="J93"/>
    </row>
    <row r="94" spans="1:14" ht="15">
      <c r="A94" s="47" t="s">
        <v>266</v>
      </c>
      <c r="B94" s="43">
        <v>7.5</v>
      </c>
      <c r="C94" s="43">
        <v>6</v>
      </c>
      <c r="D94" s="39">
        <v>9</v>
      </c>
      <c r="E94" s="30" t="str">
        <f t="shared" si="7"/>
        <v>25.03.2014-13.05.2014</v>
      </c>
      <c r="F94" s="35" t="str">
        <f t="shared" si="8"/>
        <v>2014 q2</v>
      </c>
      <c r="G94" s="45">
        <f t="shared" si="9"/>
        <v>7.5</v>
      </c>
      <c r="J94"/>
    </row>
    <row r="95" spans="1:14" ht="15">
      <c r="A95" s="47" t="s">
        <v>267</v>
      </c>
      <c r="B95" s="43">
        <v>7.25</v>
      </c>
      <c r="C95" s="43">
        <v>5.75</v>
      </c>
      <c r="D95" s="39">
        <v>8.75</v>
      </c>
      <c r="E95" s="30" t="str">
        <f t="shared" si="7"/>
        <v>14.05.2014-24.06.2014</v>
      </c>
      <c r="F95" s="35" t="str">
        <f t="shared" si="8"/>
        <v>2014 q2</v>
      </c>
      <c r="G95" s="45">
        <f t="shared" si="9"/>
        <v>7.25</v>
      </c>
      <c r="J95"/>
    </row>
    <row r="96" spans="1:14" ht="15">
      <c r="A96" s="42" t="s">
        <v>268</v>
      </c>
      <c r="B96" s="43">
        <v>7</v>
      </c>
      <c r="C96" s="43">
        <v>5.5</v>
      </c>
      <c r="D96" s="39">
        <v>8.5</v>
      </c>
      <c r="E96" s="30" t="str">
        <f t="shared" si="7"/>
        <v>25.06.2014-12.08.2014</v>
      </c>
      <c r="F96" s="35" t="str">
        <f t="shared" si="8"/>
        <v>2014 q3</v>
      </c>
      <c r="G96" s="45">
        <f t="shared" si="9"/>
        <v>7</v>
      </c>
      <c r="J96"/>
    </row>
    <row r="97" spans="1:10" ht="15">
      <c r="A97" s="42" t="s">
        <v>269</v>
      </c>
      <c r="B97" s="43">
        <v>6.75</v>
      </c>
      <c r="C97" s="43">
        <v>5.25</v>
      </c>
      <c r="D97" s="39">
        <v>8.25</v>
      </c>
      <c r="E97" s="30" t="str">
        <f t="shared" si="7"/>
        <v>13.08.2014-23.09.2014</v>
      </c>
      <c r="F97" s="35" t="str">
        <f t="shared" si="8"/>
        <v>2014 q3</v>
      </c>
      <c r="G97" s="45">
        <f t="shared" si="9"/>
        <v>6.75</v>
      </c>
      <c r="J97"/>
    </row>
    <row r="98" spans="1:10" ht="15">
      <c r="A98" s="42" t="s">
        <v>270</v>
      </c>
      <c r="B98" s="43">
        <v>6.75</v>
      </c>
      <c r="C98" s="43">
        <v>5.25</v>
      </c>
      <c r="D98" s="39">
        <v>8.25</v>
      </c>
      <c r="E98" s="30" t="str">
        <f t="shared" si="7"/>
        <v>24.09.2014-24.11.2014</v>
      </c>
      <c r="F98" s="35" t="str">
        <f t="shared" si="8"/>
        <v>2014 q4</v>
      </c>
      <c r="G98" s="45">
        <f t="shared" si="9"/>
        <v>6.75</v>
      </c>
      <c r="J98"/>
    </row>
    <row r="99" spans="1:10" ht="15">
      <c r="A99" s="42" t="s">
        <v>271</v>
      </c>
      <c r="B99" s="43">
        <v>6.75</v>
      </c>
      <c r="C99" s="43">
        <v>5.25</v>
      </c>
      <c r="D99" s="39">
        <v>10.25</v>
      </c>
      <c r="E99" s="30" t="str">
        <f t="shared" si="7"/>
        <v>25.11.2014-02.12.2014</v>
      </c>
      <c r="F99" s="35" t="str">
        <f t="shared" si="8"/>
        <v>2014 q4</v>
      </c>
      <c r="G99" s="45">
        <f t="shared" si="9"/>
        <v>6.75</v>
      </c>
      <c r="J99"/>
    </row>
    <row r="100" spans="1:10" ht="15">
      <c r="A100" s="42" t="s">
        <v>272</v>
      </c>
      <c r="B100" s="43">
        <v>6.75</v>
      </c>
      <c r="C100" s="43">
        <v>5.25</v>
      </c>
      <c r="D100" s="39">
        <v>21</v>
      </c>
      <c r="E100" s="30" t="str">
        <f t="shared" si="7"/>
        <v>03.12.2014-23.12.2014</v>
      </c>
      <c r="F100" s="35" t="str">
        <f t="shared" si="8"/>
        <v>2014 q4</v>
      </c>
      <c r="G100" s="45">
        <f t="shared" si="9"/>
        <v>6.75</v>
      </c>
      <c r="J100"/>
    </row>
    <row r="101" spans="1:10" ht="15">
      <c r="A101" s="42" t="s">
        <v>273</v>
      </c>
      <c r="B101" s="43">
        <v>8.5</v>
      </c>
      <c r="C101" s="43">
        <v>7</v>
      </c>
      <c r="D101" s="39">
        <v>20</v>
      </c>
      <c r="E101" s="30" t="str">
        <f t="shared" si="7"/>
        <v>24.12.2014-21.01.2015</v>
      </c>
      <c r="F101" s="35" t="str">
        <f t="shared" si="8"/>
        <v>2015 q1</v>
      </c>
      <c r="G101" s="45">
        <f t="shared" si="9"/>
        <v>8.5</v>
      </c>
      <c r="J101"/>
    </row>
    <row r="102" spans="1:10" ht="15">
      <c r="A102" s="42" t="s">
        <v>274</v>
      </c>
      <c r="B102" s="43">
        <v>9.5</v>
      </c>
      <c r="C102" s="43">
        <v>8</v>
      </c>
      <c r="D102" s="39">
        <v>17</v>
      </c>
      <c r="E102" s="30" t="str">
        <f t="shared" si="7"/>
        <v>22.01.2015-10.02.2015</v>
      </c>
      <c r="F102" s="35" t="str">
        <f t="shared" si="8"/>
        <v>2015 q1</v>
      </c>
      <c r="G102" s="45">
        <f t="shared" si="9"/>
        <v>9.5</v>
      </c>
      <c r="J102"/>
    </row>
    <row r="103" spans="1:10" ht="15">
      <c r="A103" s="42" t="s">
        <v>275</v>
      </c>
      <c r="B103" s="43">
        <v>10.5</v>
      </c>
      <c r="C103" s="43">
        <v>9</v>
      </c>
      <c r="D103" s="39">
        <v>14.5</v>
      </c>
      <c r="E103" s="30" t="str">
        <f t="shared" si="7"/>
        <v>11.02.2015-12.03.2015</v>
      </c>
      <c r="F103" s="35" t="str">
        <f t="shared" si="8"/>
        <v>2015 q1</v>
      </c>
      <c r="G103" s="45">
        <f t="shared" si="9"/>
        <v>10.5</v>
      </c>
      <c r="J103"/>
    </row>
    <row r="104" spans="1:10" ht="15">
      <c r="A104" s="42" t="s">
        <v>276</v>
      </c>
      <c r="B104" s="43">
        <v>10.5</v>
      </c>
      <c r="C104" s="43">
        <v>9</v>
      </c>
      <c r="D104" s="39">
        <v>13.5</v>
      </c>
      <c r="E104" s="30" t="str">
        <f t="shared" si="7"/>
        <v>13.03.2015-24.03.2015</v>
      </c>
      <c r="F104" s="35" t="str">
        <f t="shared" si="8"/>
        <v>2015 q1</v>
      </c>
      <c r="G104" s="45">
        <f t="shared" si="9"/>
        <v>10.5</v>
      </c>
      <c r="J104"/>
    </row>
    <row r="105" spans="1:10" ht="15">
      <c r="A105" s="42" t="s">
        <v>277</v>
      </c>
      <c r="B105" s="43">
        <v>10.5</v>
      </c>
      <c r="C105" s="43">
        <v>9</v>
      </c>
      <c r="D105" s="39">
        <v>12</v>
      </c>
      <c r="E105" s="30" t="str">
        <f t="shared" si="7"/>
        <v>25.03.2015-11.08.2015</v>
      </c>
      <c r="F105" s="35" t="str">
        <f t="shared" si="8"/>
        <v>2015 q3</v>
      </c>
      <c r="G105" s="45">
        <f t="shared" si="9"/>
        <v>10.5</v>
      </c>
      <c r="J105"/>
    </row>
    <row r="106" spans="1:10" ht="15">
      <c r="A106" s="42" t="s">
        <v>278</v>
      </c>
      <c r="B106" s="43">
        <v>10.25</v>
      </c>
      <c r="C106" s="43">
        <v>8.75</v>
      </c>
      <c r="D106" s="39">
        <v>11.75</v>
      </c>
      <c r="E106" s="30" t="str">
        <f t="shared" si="7"/>
        <v>12.08.2015-10.11.2015</v>
      </c>
      <c r="F106" s="35" t="str">
        <f t="shared" si="8"/>
        <v>2015 q4</v>
      </c>
      <c r="G106" s="45">
        <f t="shared" si="9"/>
        <v>10.25</v>
      </c>
      <c r="J106"/>
    </row>
    <row r="107" spans="1:10" ht="15">
      <c r="A107" s="42" t="s">
        <v>279</v>
      </c>
      <c r="B107" s="43">
        <v>9.75</v>
      </c>
      <c r="C107" s="43">
        <v>8.25</v>
      </c>
      <c r="D107" s="39">
        <v>11.25</v>
      </c>
      <c r="E107" s="30" t="str">
        <f t="shared" si="7"/>
        <v>11.11.2015-22.12.2015</v>
      </c>
      <c r="F107" s="35" t="str">
        <f t="shared" si="8"/>
        <v>2015 q4</v>
      </c>
      <c r="G107" s="45">
        <f t="shared" si="9"/>
        <v>9.75</v>
      </c>
      <c r="J107"/>
    </row>
    <row r="108" spans="1:10" ht="15">
      <c r="A108" s="42" t="s">
        <v>280</v>
      </c>
      <c r="B108" s="43">
        <v>8.75</v>
      </c>
      <c r="C108" s="43">
        <v>7.25</v>
      </c>
      <c r="D108" s="39">
        <v>10.25</v>
      </c>
      <c r="E108" s="30" t="str">
        <f t="shared" si="7"/>
        <v>23.12.2015-16.02.2016</v>
      </c>
      <c r="F108" s="35" t="str">
        <f t="shared" si="8"/>
        <v>2016 q1</v>
      </c>
      <c r="G108" s="45">
        <f t="shared" si="9"/>
        <v>8.75</v>
      </c>
      <c r="J108"/>
    </row>
    <row r="109" spans="1:10" ht="15">
      <c r="A109" s="42" t="s">
        <v>281</v>
      </c>
      <c r="B109" s="43">
        <v>8.5</v>
      </c>
      <c r="C109" s="43">
        <v>7</v>
      </c>
      <c r="D109" s="39">
        <v>10</v>
      </c>
      <c r="E109" s="30" t="str">
        <f t="shared" si="7"/>
        <v>17.02.2016- 29.03.2016</v>
      </c>
      <c r="F109" s="35" t="str">
        <f t="shared" si="8"/>
        <v>2016 q1</v>
      </c>
      <c r="G109" s="45">
        <f t="shared" si="9"/>
        <v>8.5</v>
      </c>
      <c r="J109"/>
    </row>
    <row r="110" spans="1:10" ht="15">
      <c r="A110" s="42" t="s">
        <v>282</v>
      </c>
      <c r="B110" s="43">
        <v>8.25</v>
      </c>
      <c r="C110" s="43">
        <v>6.75</v>
      </c>
      <c r="D110" s="39">
        <v>9.75</v>
      </c>
      <c r="E110" s="30" t="str">
        <f t="shared" si="7"/>
        <v>30.03.2016 - 17.05.2016</v>
      </c>
      <c r="F110" s="35" t="str">
        <f t="shared" si="8"/>
        <v>2016 q2</v>
      </c>
      <c r="G110" s="45">
        <f t="shared" si="9"/>
        <v>8.25</v>
      </c>
      <c r="J110"/>
    </row>
    <row r="111" spans="1:10" ht="15">
      <c r="A111" s="42" t="s">
        <v>283</v>
      </c>
      <c r="B111" s="43">
        <v>7.75</v>
      </c>
      <c r="C111" s="43">
        <v>6.25</v>
      </c>
      <c r="D111" s="39">
        <v>9.25</v>
      </c>
      <c r="E111" s="30" t="str">
        <f t="shared" si="7"/>
        <v>18.05.2016-28.06.2016</v>
      </c>
      <c r="F111" s="35" t="str">
        <f t="shared" si="8"/>
        <v>2016 q2</v>
      </c>
      <c r="G111" s="45">
        <f t="shared" si="9"/>
        <v>7.75</v>
      </c>
      <c r="J111"/>
    </row>
    <row r="112" spans="1:10" ht="15">
      <c r="A112" s="42" t="s">
        <v>284</v>
      </c>
      <c r="B112" s="43">
        <v>7.5</v>
      </c>
      <c r="C112" s="43">
        <v>6</v>
      </c>
      <c r="D112" s="39">
        <v>9</v>
      </c>
      <c r="E112" s="30" t="str">
        <f t="shared" si="7"/>
        <v>29.06.2016-16.08.2016</v>
      </c>
      <c r="F112" s="35" t="str">
        <f t="shared" si="8"/>
        <v>2016 q3</v>
      </c>
      <c r="G112" s="45">
        <f t="shared" si="9"/>
        <v>7.5</v>
      </c>
      <c r="J112"/>
    </row>
    <row r="113" spans="1:10" ht="15">
      <c r="A113" s="42" t="s">
        <v>285</v>
      </c>
      <c r="B113" s="43">
        <v>7.25</v>
      </c>
      <c r="C113" s="43">
        <v>5.75</v>
      </c>
      <c r="D113" s="39">
        <v>8.75</v>
      </c>
      <c r="E113" s="30" t="str">
        <f t="shared" si="7"/>
        <v>17.08.2016-27.09.2016</v>
      </c>
      <c r="F113" s="35" t="str">
        <f t="shared" si="8"/>
        <v>2016 q3</v>
      </c>
      <c r="G113" s="45">
        <f t="shared" si="9"/>
        <v>7.25</v>
      </c>
      <c r="J113"/>
    </row>
    <row r="114" spans="1:10" ht="15">
      <c r="A114" s="42" t="s">
        <v>286</v>
      </c>
      <c r="B114" s="43">
        <v>6.75</v>
      </c>
      <c r="C114" s="43">
        <v>5.25</v>
      </c>
      <c r="D114" s="39">
        <v>8.25</v>
      </c>
      <c r="E114" s="30" t="str">
        <f t="shared" si="7"/>
        <v>28.09.2016-15.11.2016</v>
      </c>
      <c r="F114" s="35" t="str">
        <f t="shared" si="8"/>
        <v>2016 q4</v>
      </c>
      <c r="G114" s="45">
        <f t="shared" si="9"/>
        <v>6.75</v>
      </c>
      <c r="J114"/>
    </row>
    <row r="115" spans="1:10" ht="15">
      <c r="A115" s="42" t="s">
        <v>287</v>
      </c>
      <c r="B115" s="43">
        <v>6.5</v>
      </c>
      <c r="C115" s="43">
        <v>5</v>
      </c>
      <c r="D115" s="39">
        <v>8</v>
      </c>
      <c r="E115" s="30" t="str">
        <f t="shared" si="7"/>
        <v>16.11.2016-27.12.2016</v>
      </c>
      <c r="F115" s="35" t="str">
        <f t="shared" si="8"/>
        <v>2016 q4</v>
      </c>
      <c r="G115" s="45">
        <f t="shared" si="9"/>
        <v>6.5</v>
      </c>
      <c r="J115"/>
    </row>
    <row r="116" spans="1:10" ht="15">
      <c r="A116" s="42" t="s">
        <v>288</v>
      </c>
      <c r="B116" s="43">
        <v>6.25</v>
      </c>
      <c r="C116" s="43">
        <v>4.75</v>
      </c>
      <c r="D116" s="39">
        <v>7.75</v>
      </c>
      <c r="E116" s="30" t="str">
        <f t="shared" si="7"/>
        <v>28.12.2016-14.02.2017</v>
      </c>
      <c r="F116" s="35" t="str">
        <f t="shared" si="8"/>
        <v>2017 q1</v>
      </c>
      <c r="G116" s="45">
        <f t="shared" si="9"/>
        <v>6.25</v>
      </c>
      <c r="J116"/>
    </row>
    <row r="117" spans="1:10" ht="15">
      <c r="A117" s="42" t="s">
        <v>289</v>
      </c>
      <c r="B117" s="43">
        <v>6</v>
      </c>
      <c r="C117" s="43">
        <v>4.5</v>
      </c>
      <c r="D117" s="39">
        <v>7.5</v>
      </c>
      <c r="E117" s="30" t="str">
        <f t="shared" si="7"/>
        <v>15.02.2017-29.01.2019</v>
      </c>
      <c r="F117" s="35" t="str">
        <f t="shared" si="8"/>
        <v>2019 q1</v>
      </c>
      <c r="G117" s="45">
        <f t="shared" si="9"/>
        <v>6</v>
      </c>
      <c r="J117"/>
    </row>
    <row r="118" spans="1:10" ht="15">
      <c r="A118" s="42" t="s">
        <v>290</v>
      </c>
      <c r="B118" s="43">
        <v>5.75</v>
      </c>
      <c r="C118" s="43">
        <v>4.25</v>
      </c>
      <c r="D118" s="39">
        <v>7.25</v>
      </c>
      <c r="E118" s="30" t="str">
        <f t="shared" si="7"/>
        <v>30.01.2019-10.09.2019</v>
      </c>
      <c r="F118" s="35" t="str">
        <f t="shared" si="8"/>
        <v>2019 q3</v>
      </c>
      <c r="G118" s="45">
        <f t="shared" si="9"/>
        <v>5.75</v>
      </c>
      <c r="J118"/>
    </row>
    <row r="119" spans="1:10" ht="15">
      <c r="A119" s="42" t="s">
        <v>291</v>
      </c>
      <c r="B119" s="43">
        <v>5.5</v>
      </c>
      <c r="C119" s="43">
        <v>4</v>
      </c>
      <c r="D119" s="39">
        <v>7</v>
      </c>
      <c r="E119" s="30" t="str">
        <f t="shared" si="7"/>
        <v>11.09.2019-17.03.2020</v>
      </c>
      <c r="F119" s="35" t="str">
        <f t="shared" si="8"/>
        <v>2020 q1</v>
      </c>
      <c r="G119" s="45">
        <f t="shared" si="9"/>
        <v>5.5</v>
      </c>
      <c r="J119"/>
    </row>
    <row r="120" spans="1:10" ht="15">
      <c r="A120" s="42" t="s">
        <v>292</v>
      </c>
      <c r="B120" s="43">
        <v>5.25</v>
      </c>
      <c r="C120" s="43">
        <v>3.75</v>
      </c>
      <c r="D120" s="39">
        <v>6.75</v>
      </c>
      <c r="E120" s="30" t="str">
        <f t="shared" si="7"/>
        <v>18.03.2020-28.04.2020</v>
      </c>
      <c r="F120" s="35" t="str">
        <f t="shared" si="8"/>
        <v>2020 q2</v>
      </c>
      <c r="G120" s="45">
        <f t="shared" si="9"/>
        <v>5.25</v>
      </c>
      <c r="J120"/>
    </row>
    <row r="121" spans="1:10" ht="15">
      <c r="A121" s="42" t="s">
        <v>293</v>
      </c>
      <c r="B121" s="43">
        <v>5</v>
      </c>
      <c r="C121" s="43">
        <v>3.5</v>
      </c>
      <c r="D121" s="39">
        <v>6.5</v>
      </c>
      <c r="E121" s="30" t="str">
        <f t="shared" si="7"/>
        <v>29.04.2020-16.06.2020</v>
      </c>
      <c r="F121" s="35" t="str">
        <f t="shared" si="8"/>
        <v>2020 q2</v>
      </c>
      <c r="G121" s="45">
        <f t="shared" si="9"/>
        <v>5</v>
      </c>
      <c r="J121"/>
    </row>
    <row r="122" spans="1:10" ht="15">
      <c r="A122" s="42" t="s">
        <v>294</v>
      </c>
      <c r="B122" s="43">
        <v>4.5</v>
      </c>
      <c r="C122" s="43">
        <v>3</v>
      </c>
      <c r="D122" s="39">
        <v>6</v>
      </c>
      <c r="E122" s="30" t="str">
        <f t="shared" si="7"/>
        <v>17.06.2020-15.09.2020</v>
      </c>
      <c r="F122" s="35" t="str">
        <f t="shared" si="8"/>
        <v>2020 q3</v>
      </c>
      <c r="G122" s="45">
        <f t="shared" si="9"/>
        <v>4.5</v>
      </c>
      <c r="J122"/>
    </row>
    <row r="123" spans="1:10" ht="15">
      <c r="A123" s="42" t="s">
        <v>295</v>
      </c>
      <c r="B123" s="43">
        <v>4.25</v>
      </c>
      <c r="C123" s="43">
        <v>2.75</v>
      </c>
      <c r="D123" s="39">
        <v>5.75</v>
      </c>
      <c r="E123" s="30" t="str">
        <f t="shared" si="7"/>
        <v>16.09.2020-15.12.2020</v>
      </c>
      <c r="F123" s="35" t="str">
        <f t="shared" si="8"/>
        <v>2020 q4</v>
      </c>
      <c r="G123" s="45">
        <f t="shared" si="9"/>
        <v>4.25</v>
      </c>
      <c r="J123"/>
    </row>
    <row r="124" spans="1:10" ht="15">
      <c r="A124" s="42" t="s">
        <v>296</v>
      </c>
      <c r="B124" s="43">
        <v>5.25</v>
      </c>
      <c r="C124" s="43">
        <v>3.75</v>
      </c>
      <c r="D124" s="39">
        <v>6.75</v>
      </c>
      <c r="E124" s="30" t="str">
        <f t="shared" si="7"/>
        <v>16.12.2020-02.02.2021</v>
      </c>
      <c r="F124" s="35" t="str">
        <f t="shared" si="8"/>
        <v>2021 q1</v>
      </c>
      <c r="G124" s="45">
        <f t="shared" si="9"/>
        <v>5.25</v>
      </c>
      <c r="J124"/>
    </row>
    <row r="125" spans="1:10" ht="15">
      <c r="A125" s="42" t="s">
        <v>297</v>
      </c>
      <c r="B125" s="43">
        <v>5.5</v>
      </c>
      <c r="C125" s="43">
        <v>4</v>
      </c>
      <c r="D125" s="39">
        <v>7</v>
      </c>
      <c r="E125" s="30" t="str">
        <f t="shared" si="7"/>
        <v>03.02.2021-16.03.2021</v>
      </c>
      <c r="F125" s="35" t="str">
        <f t="shared" si="8"/>
        <v>2021 q1</v>
      </c>
      <c r="G125" s="45">
        <f t="shared" si="9"/>
        <v>5.5</v>
      </c>
      <c r="J125"/>
    </row>
    <row r="126" spans="1:10" ht="15">
      <c r="A126" s="42" t="s">
        <v>298</v>
      </c>
      <c r="B126" s="43">
        <v>5.5</v>
      </c>
      <c r="C126" s="43">
        <v>4</v>
      </c>
      <c r="D126" s="39">
        <v>7</v>
      </c>
      <c r="E126" s="30" t="str">
        <f t="shared" si="7"/>
        <v>17.03.2021-04.05.2021</v>
      </c>
      <c r="F126" s="35" t="str">
        <f t="shared" si="8"/>
        <v>2021 q2</v>
      </c>
      <c r="G126" s="45">
        <f t="shared" si="9"/>
        <v>5.5</v>
      </c>
      <c r="J126"/>
    </row>
    <row r="127" spans="1:10" ht="15">
      <c r="A127" s="42" t="s">
        <v>299</v>
      </c>
      <c r="B127" s="43">
        <v>6</v>
      </c>
      <c r="C127" s="43">
        <v>4.5</v>
      </c>
      <c r="D127" s="39">
        <v>7.5</v>
      </c>
      <c r="E127" s="30" t="str">
        <f t="shared" si="7"/>
        <v>05.05.2021-15.06.2021</v>
      </c>
      <c r="F127" s="35" t="str">
        <f t="shared" si="8"/>
        <v>2021 q2</v>
      </c>
      <c r="G127" s="45">
        <f t="shared" si="9"/>
        <v>6</v>
      </c>
      <c r="J127"/>
    </row>
    <row r="128" spans="1:10" ht="15">
      <c r="A128" s="42" t="s">
        <v>300</v>
      </c>
      <c r="B128" s="43">
        <v>6.5</v>
      </c>
      <c r="C128" s="43">
        <v>5</v>
      </c>
      <c r="D128" s="43">
        <v>8</v>
      </c>
      <c r="E128" s="30" t="str">
        <f t="shared" si="7"/>
        <v>16.06.2021-03.08.2021</v>
      </c>
      <c r="F128" s="35" t="str">
        <f t="shared" si="8"/>
        <v>2021 q3</v>
      </c>
      <c r="G128" s="45">
        <f t="shared" si="9"/>
        <v>6.5</v>
      </c>
      <c r="J128"/>
    </row>
    <row r="129" spans="1:10" ht="15">
      <c r="A129" s="42" t="s">
        <v>301</v>
      </c>
      <c r="B129" s="43">
        <v>7</v>
      </c>
      <c r="C129" s="43">
        <v>5.5</v>
      </c>
      <c r="D129" s="43">
        <v>8.5</v>
      </c>
      <c r="E129" s="30" t="str">
        <f t="shared" si="7"/>
        <v>04.08.2021-14.09.2021</v>
      </c>
      <c r="F129" s="35" t="str">
        <f t="shared" si="8"/>
        <v>2021 q3</v>
      </c>
      <c r="G129" s="45">
        <f t="shared" si="9"/>
        <v>7</v>
      </c>
      <c r="J129"/>
    </row>
    <row r="130" spans="1:10" ht="15">
      <c r="A130" s="42" t="s">
        <v>302</v>
      </c>
      <c r="B130" s="43">
        <v>7.25</v>
      </c>
      <c r="C130" s="43">
        <v>5.75</v>
      </c>
      <c r="D130" s="43">
        <v>8.75</v>
      </c>
      <c r="E130" s="30" t="str">
        <f t="shared" si="7"/>
        <v>15.09.2021-14.12.2021</v>
      </c>
      <c r="F130" s="35" t="str">
        <f t="shared" si="8"/>
        <v>2021 q4</v>
      </c>
      <c r="G130" s="45">
        <f t="shared" si="9"/>
        <v>7.25</v>
      </c>
      <c r="J130"/>
    </row>
    <row r="131" spans="1:10" ht="15">
      <c r="A131" s="42" t="s">
        <v>303</v>
      </c>
      <c r="B131" s="43">
        <v>7.75</v>
      </c>
      <c r="C131" s="43">
        <v>6.25</v>
      </c>
      <c r="D131" s="43">
        <v>9.25</v>
      </c>
      <c r="E131" s="30" t="str">
        <f t="shared" si="7"/>
        <v>15.12.2021-01.02.22</v>
      </c>
      <c r="F131" s="35" t="str">
        <f t="shared" si="8"/>
        <v>2.22 q1</v>
      </c>
      <c r="G131" s="45">
        <f t="shared" si="9"/>
        <v>7.75</v>
      </c>
      <c r="J131"/>
    </row>
    <row r="132" spans="1:10" ht="15">
      <c r="A132" s="42" t="s">
        <v>304</v>
      </c>
      <c r="B132" s="43">
        <v>8</v>
      </c>
      <c r="C132" s="43">
        <v>6.5</v>
      </c>
      <c r="D132" s="43">
        <v>9.5</v>
      </c>
      <c r="E132" s="30" t="str">
        <f t="shared" si="7"/>
        <v>02.02.2022-15.03.2022</v>
      </c>
      <c r="F132" s="35" t="str">
        <f t="shared" si="8"/>
        <v>2022 q1</v>
      </c>
      <c r="G132" s="45">
        <f t="shared" si="9"/>
        <v>8</v>
      </c>
      <c r="J132"/>
    </row>
    <row r="133" spans="1:10" ht="15">
      <c r="A133" s="42" t="s">
        <v>305</v>
      </c>
      <c r="B133" s="43">
        <v>9.25</v>
      </c>
      <c r="C133" s="43">
        <v>7.75</v>
      </c>
      <c r="D133" s="43">
        <v>10.75</v>
      </c>
      <c r="E133" s="30" t="str">
        <f t="shared" si="7"/>
        <v>16.03.2022-02.08.2022</v>
      </c>
      <c r="F133" s="35" t="str">
        <f t="shared" si="8"/>
        <v>2022 q3</v>
      </c>
      <c r="G133" s="45">
        <f t="shared" si="9"/>
        <v>9.25</v>
      </c>
      <c r="J133"/>
    </row>
    <row r="134" spans="1:10" ht="15">
      <c r="A134" s="42" t="s">
        <v>306</v>
      </c>
      <c r="B134" s="43">
        <v>9.5</v>
      </c>
      <c r="C134" s="43">
        <v>8</v>
      </c>
      <c r="D134" s="43">
        <v>11</v>
      </c>
      <c r="E134" s="30" t="str">
        <f t="shared" ref="E134:E145" si="12">TRIM(A134)</f>
        <v>03.08.2022-13.09.2022</v>
      </c>
      <c r="F134" s="35" t="str">
        <f t="shared" ref="F134:F145" si="13">RIGHT(E134,4)&amp;" q"&amp;ROUNDUP(VALUE(LEFT(RIGHT(E134,7),2))/3,0)</f>
        <v>2022 q3</v>
      </c>
      <c r="G134" s="45">
        <f t="shared" ref="G134:G145" si="14">B134</f>
        <v>9.5</v>
      </c>
      <c r="J134"/>
    </row>
    <row r="135" spans="1:10" ht="15">
      <c r="A135" s="42" t="s">
        <v>307</v>
      </c>
      <c r="B135" s="43">
        <v>10</v>
      </c>
      <c r="C135" s="43">
        <v>8.5</v>
      </c>
      <c r="D135" s="43">
        <v>11.5</v>
      </c>
      <c r="E135" s="30" t="str">
        <f t="shared" si="12"/>
        <v>14.09.2022-01.11.2022</v>
      </c>
      <c r="F135" s="35" t="str">
        <f t="shared" si="13"/>
        <v>2022 q4</v>
      </c>
      <c r="G135" s="45">
        <f t="shared" si="14"/>
        <v>10</v>
      </c>
      <c r="J135"/>
    </row>
    <row r="136" spans="1:10" ht="15">
      <c r="A136" s="42" t="s">
        <v>308</v>
      </c>
      <c r="B136" s="43">
        <v>10.5</v>
      </c>
      <c r="C136" s="43">
        <v>9</v>
      </c>
      <c r="D136" s="43">
        <v>12</v>
      </c>
      <c r="E136" s="30" t="str">
        <f t="shared" si="12"/>
        <v>02.11.2022-13.12.2022</v>
      </c>
      <c r="F136" s="35" t="str">
        <f t="shared" si="13"/>
        <v>2022 q4</v>
      </c>
      <c r="G136" s="45">
        <f t="shared" si="14"/>
        <v>10.5</v>
      </c>
      <c r="J136"/>
    </row>
    <row r="137" spans="1:10" ht="15">
      <c r="A137" s="42" t="s">
        <v>309</v>
      </c>
      <c r="B137" s="43">
        <v>10.75</v>
      </c>
      <c r="C137" s="43">
        <v>9.25</v>
      </c>
      <c r="D137" s="43">
        <v>12.25</v>
      </c>
      <c r="E137" s="30" t="str">
        <f t="shared" si="12"/>
        <v>14.12.2022-13.06.2023</v>
      </c>
      <c r="F137" s="35" t="str">
        <f t="shared" si="13"/>
        <v>2023 q2</v>
      </c>
      <c r="G137" s="45">
        <f t="shared" si="14"/>
        <v>10.75</v>
      </c>
      <c r="J137"/>
    </row>
    <row r="138" spans="1:10" ht="15">
      <c r="A138" s="42" t="s">
        <v>310</v>
      </c>
      <c r="B138" s="43">
        <v>10.5</v>
      </c>
      <c r="C138" s="43">
        <v>9</v>
      </c>
      <c r="D138" s="43">
        <v>12</v>
      </c>
      <c r="E138" s="30" t="str">
        <f t="shared" si="12"/>
        <v>14.06.2023-01.08.2023</v>
      </c>
      <c r="F138" s="35" t="str">
        <f t="shared" si="13"/>
        <v>2023 q3</v>
      </c>
      <c r="G138" s="45">
        <f t="shared" si="14"/>
        <v>10.5</v>
      </c>
      <c r="J138"/>
    </row>
    <row r="139" spans="1:10" ht="15">
      <c r="A139" s="42" t="s">
        <v>311</v>
      </c>
      <c r="B139" s="43">
        <v>10.25</v>
      </c>
      <c r="C139" s="43">
        <v>8.75</v>
      </c>
      <c r="D139" s="43">
        <v>11.75</v>
      </c>
      <c r="E139" s="30" t="str">
        <f t="shared" si="12"/>
        <v>02.08.2023-12.09.2023</v>
      </c>
      <c r="F139" s="35" t="str">
        <f t="shared" si="13"/>
        <v>2023 q3</v>
      </c>
      <c r="G139" s="45">
        <f t="shared" si="14"/>
        <v>10.25</v>
      </c>
      <c r="J139"/>
    </row>
    <row r="140" spans="1:10" ht="15">
      <c r="A140" s="42" t="s">
        <v>312</v>
      </c>
      <c r="B140" s="43">
        <v>9.75</v>
      </c>
      <c r="C140" s="43">
        <v>8.25</v>
      </c>
      <c r="D140" s="43">
        <v>11.25</v>
      </c>
      <c r="E140" s="30" t="str">
        <f t="shared" si="12"/>
        <v>13.09.2023-31.10.2023</v>
      </c>
      <c r="F140" s="35" t="str">
        <f t="shared" si="13"/>
        <v>2023 q4</v>
      </c>
      <c r="G140" s="45">
        <f t="shared" si="14"/>
        <v>9.75</v>
      </c>
      <c r="J140"/>
    </row>
    <row r="141" spans="1:10" ht="15">
      <c r="A141" s="42" t="s">
        <v>313</v>
      </c>
      <c r="B141" s="43">
        <v>9.5</v>
      </c>
      <c r="C141" s="43">
        <v>8</v>
      </c>
      <c r="D141" s="43">
        <v>11</v>
      </c>
      <c r="E141" s="30" t="str">
        <f t="shared" si="12"/>
        <v>01.11.2023-12.12.2023</v>
      </c>
      <c r="F141" s="35" t="str">
        <f t="shared" si="13"/>
        <v>2023 q4</v>
      </c>
      <c r="G141" s="45">
        <f t="shared" si="14"/>
        <v>9.5</v>
      </c>
      <c r="J141"/>
    </row>
    <row r="142" spans="1:10" ht="15">
      <c r="A142" s="42" t="s">
        <v>314</v>
      </c>
      <c r="B142" s="43">
        <v>9.25</v>
      </c>
      <c r="C142" s="43">
        <v>7.75</v>
      </c>
      <c r="D142" s="43">
        <v>10.75</v>
      </c>
      <c r="E142" s="30" t="str">
        <f t="shared" si="12"/>
        <v>13.12.2023-30.01.2024</v>
      </c>
      <c r="F142" s="35" t="str">
        <f t="shared" si="13"/>
        <v>2024 q1</v>
      </c>
      <c r="G142" s="45">
        <f t="shared" si="14"/>
        <v>9.25</v>
      </c>
      <c r="J142"/>
    </row>
    <row r="143" spans="1:10" ht="15">
      <c r="A143" s="42" t="s">
        <v>315</v>
      </c>
      <c r="B143" s="43">
        <v>8.75</v>
      </c>
      <c r="C143" s="43">
        <v>7.25</v>
      </c>
      <c r="D143" s="43">
        <v>10.25</v>
      </c>
      <c r="E143" s="30" t="str">
        <f t="shared" si="12"/>
        <v>31.01.2024-12.03.2024</v>
      </c>
      <c r="F143" s="35" t="str">
        <f t="shared" si="13"/>
        <v>2024 q1</v>
      </c>
      <c r="G143" s="45">
        <f t="shared" si="14"/>
        <v>8.75</v>
      </c>
      <c r="J143"/>
    </row>
    <row r="144" spans="1:10" ht="15">
      <c r="A144" s="42" t="s">
        <v>316</v>
      </c>
      <c r="B144" s="43">
        <v>8.5</v>
      </c>
      <c r="C144" s="43">
        <v>7</v>
      </c>
      <c r="D144" s="43">
        <v>10</v>
      </c>
      <c r="E144" s="30" t="str">
        <f t="shared" si="12"/>
        <v>13.03.2024-30.04.2024</v>
      </c>
      <c r="F144" s="35" t="str">
        <f t="shared" si="13"/>
        <v>2024 q2</v>
      </c>
      <c r="G144" s="45">
        <f t="shared" si="14"/>
        <v>8.5</v>
      </c>
      <c r="J144"/>
    </row>
    <row r="145" spans="1:10" ht="15">
      <c r="A145" s="42" t="s">
        <v>317</v>
      </c>
      <c r="B145" s="43">
        <v>8.25</v>
      </c>
      <c r="C145" s="43">
        <v>6.75</v>
      </c>
      <c r="D145" s="43">
        <v>9.75</v>
      </c>
      <c r="E145" s="30" t="str">
        <f t="shared" si="12"/>
        <v>01.05.2024-</v>
      </c>
      <c r="F145" s="35" t="str">
        <f t="shared" si="13"/>
        <v>024- q2</v>
      </c>
      <c r="G145" s="45">
        <f t="shared" si="14"/>
        <v>8.25</v>
      </c>
      <c r="J145"/>
    </row>
    <row r="148" spans="1:10" ht="15">
      <c r="A148" s="30" t="s">
        <v>318</v>
      </c>
    </row>
  </sheetData>
  <pageMargins left="0.75" right="0.75" top="1" bottom="1" header="0.5" footer="0.5"/>
  <pageSetup scale="11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0D7D-7AAD-4B6E-945B-CE0F897E4B53}">
  <dimension ref="B1:N818"/>
  <sheetViews>
    <sheetView topLeftCell="A55" workbookViewId="0">
      <selection activeCell="J5" sqref="J5:J69"/>
    </sheetView>
  </sheetViews>
  <sheetFormatPr baseColWidth="10" defaultColWidth="9.1640625" defaultRowHeight="13"/>
  <cols>
    <col min="1" max="1" width="1" style="59" customWidth="1"/>
    <col min="2" max="4" width="10.6640625" style="59" customWidth="1"/>
    <col min="5" max="5" width="48.6640625" style="59" customWidth="1"/>
    <col min="6" max="6" width="4.6640625" style="59" customWidth="1"/>
    <col min="7" max="16384" width="9.1640625" style="59"/>
  </cols>
  <sheetData>
    <row r="1" spans="2:14" s="51" customFormat="1" ht="8.5" customHeight="1"/>
    <row r="2" spans="2:14" s="51" customFormat="1" ht="31.5" customHeight="1">
      <c r="D2" s="56" t="s">
        <v>327</v>
      </c>
    </row>
    <row r="3" spans="2:14" s="51" customFormat="1" ht="18.25" customHeight="1"/>
    <row r="4" spans="2:14" s="51" customFormat="1" ht="24" customHeight="1">
      <c r="B4" s="57" t="s">
        <v>328</v>
      </c>
      <c r="C4" s="57" t="s">
        <v>329</v>
      </c>
      <c r="D4" s="57" t="s">
        <v>330</v>
      </c>
      <c r="E4" s="51" t="s">
        <v>331</v>
      </c>
    </row>
    <row r="5" spans="2:14" s="51" customFormat="1" ht="19.75" customHeight="1">
      <c r="B5" s="49">
        <v>39593</v>
      </c>
      <c r="C5" s="58">
        <v>29018198.112750001</v>
      </c>
      <c r="D5" s="58">
        <v>1485516.6335</v>
      </c>
      <c r="E5" s="51" t="str">
        <f>YEAR(B5)&amp;" q"&amp;ROUNDUP(MONTH(B5)/3,0)</f>
        <v>2008 q2</v>
      </c>
      <c r="I5" s="51" t="s">
        <v>103</v>
      </c>
      <c r="J5" s="51">
        <f>(SUMIF($E$5:$E$817,I5,C$5:C$817)/SUMIF($E$5:$E$817,I5,D$5:D$817))/100</f>
        <v>0.1953407821787948</v>
      </c>
      <c r="M5" s="51" t="s">
        <v>82</v>
      </c>
      <c r="N5" s="51" t="e">
        <f>VLOOKUP(M5,$I$5:$J$69,2,FALSE)</f>
        <v>#N/A</v>
      </c>
    </row>
    <row r="6" spans="2:14" s="51" customFormat="1" ht="19.75" customHeight="1">
      <c r="B6" s="49">
        <v>39642</v>
      </c>
      <c r="C6" s="58">
        <v>20810539.265999999</v>
      </c>
      <c r="D6" s="58">
        <v>1353332.8448000001</v>
      </c>
      <c r="E6" s="51" t="str">
        <f t="shared" ref="E6:E69" si="0">YEAR(B6)&amp;" q"&amp;ROUNDUP(MONTH(B6)/3,0)</f>
        <v>2008 q3</v>
      </c>
      <c r="I6" s="51" t="s">
        <v>104</v>
      </c>
      <c r="J6" s="51">
        <f t="shared" ref="J6:J69" si="1">(SUMIF($E$5:$E$817,I6,C$5:C$817)/SUMIF($E$5:$E$817,I6,D$5:D$817))/100</f>
        <v>0.14502906224692663</v>
      </c>
      <c r="M6" s="51" t="s">
        <v>83</v>
      </c>
    </row>
    <row r="7" spans="2:14" s="51" customFormat="1" ht="19.75" customHeight="1">
      <c r="B7" s="49">
        <v>39649</v>
      </c>
      <c r="C7" s="58">
        <v>26591154.225000001</v>
      </c>
      <c r="D7" s="58">
        <v>1755416.51</v>
      </c>
      <c r="E7" s="51" t="str">
        <f t="shared" si="0"/>
        <v>2008 q3</v>
      </c>
      <c r="I7" s="51" t="s">
        <v>105</v>
      </c>
      <c r="J7" s="51">
        <f t="shared" si="1"/>
        <v>0.14221443107827214</v>
      </c>
      <c r="M7" s="51" t="s">
        <v>84</v>
      </c>
    </row>
    <row r="8" spans="2:14" s="51" customFormat="1" ht="19.75" customHeight="1">
      <c r="B8" s="49">
        <v>39656</v>
      </c>
      <c r="C8" s="58">
        <v>27722238.973207999</v>
      </c>
      <c r="D8" s="58">
        <v>1743731.17188</v>
      </c>
      <c r="E8" s="51" t="str">
        <f t="shared" si="0"/>
        <v>2008 q3</v>
      </c>
      <c r="I8" s="51" t="s">
        <v>106</v>
      </c>
      <c r="J8" s="51">
        <f t="shared" si="1"/>
        <v>0.16803473198376426</v>
      </c>
      <c r="M8" s="51" t="s">
        <v>85</v>
      </c>
    </row>
    <row r="9" spans="2:14" s="51" customFormat="1" ht="19.75" customHeight="1">
      <c r="B9" s="49">
        <v>39663</v>
      </c>
      <c r="C9" s="58">
        <v>21097824.9735987</v>
      </c>
      <c r="D9" s="58">
        <v>1399476.0945427599</v>
      </c>
      <c r="E9" s="51" t="str">
        <f t="shared" si="0"/>
        <v>2008 q3</v>
      </c>
      <c r="I9" s="51" t="s">
        <v>107</v>
      </c>
      <c r="J9" s="51">
        <f t="shared" si="1"/>
        <v>0.1627851525152802</v>
      </c>
      <c r="M9" s="51" t="s">
        <v>86</v>
      </c>
    </row>
    <row r="10" spans="2:14" s="51" customFormat="1" ht="19.75" customHeight="1">
      <c r="B10" s="49">
        <v>39670</v>
      </c>
      <c r="C10" s="58">
        <v>17815388.744975999</v>
      </c>
      <c r="D10" s="58">
        <v>1234620.5074700001</v>
      </c>
      <c r="E10" s="51" t="str">
        <f t="shared" si="0"/>
        <v>2008 q3</v>
      </c>
      <c r="I10" s="51" t="s">
        <v>108</v>
      </c>
      <c r="J10" s="51">
        <f t="shared" si="1"/>
        <v>0.15403407286467694</v>
      </c>
      <c r="M10" s="51" t="s">
        <v>87</v>
      </c>
    </row>
    <row r="11" spans="2:14" s="51" customFormat="1" ht="19.75" customHeight="1">
      <c r="B11" s="49">
        <v>39677</v>
      </c>
      <c r="C11" s="58">
        <v>15514394.972851999</v>
      </c>
      <c r="D11" s="58">
        <v>1107808.0364699999</v>
      </c>
      <c r="E11" s="51" t="str">
        <f t="shared" si="0"/>
        <v>2008 q3</v>
      </c>
      <c r="I11" s="51" t="s">
        <v>109</v>
      </c>
      <c r="J11" s="51">
        <f t="shared" si="1"/>
        <v>0.14499949219527036</v>
      </c>
      <c r="M11" s="51" t="s">
        <v>88</v>
      </c>
    </row>
    <row r="12" spans="2:14" s="51" customFormat="1" ht="19.75" customHeight="1">
      <c r="B12" s="49">
        <v>39684</v>
      </c>
      <c r="C12" s="58">
        <v>7192171.3252999904</v>
      </c>
      <c r="D12" s="58">
        <v>520034.66800000001</v>
      </c>
      <c r="E12" s="51" t="str">
        <f t="shared" si="0"/>
        <v>2008 q3</v>
      </c>
      <c r="I12" s="51" t="s">
        <v>110</v>
      </c>
      <c r="J12" s="51">
        <f t="shared" si="1"/>
        <v>0.14000675329776199</v>
      </c>
      <c r="M12" s="51" t="s">
        <v>89</v>
      </c>
    </row>
    <row r="13" spans="2:14" s="51" customFormat="1" ht="19.75" customHeight="1">
      <c r="B13" s="49">
        <v>39691</v>
      </c>
      <c r="C13" s="58">
        <v>11376782.94716</v>
      </c>
      <c r="D13" s="58">
        <v>868893.40922999999</v>
      </c>
      <c r="E13" s="51" t="str">
        <f t="shared" si="0"/>
        <v>2008 q3</v>
      </c>
      <c r="I13" s="51" t="s">
        <v>111</v>
      </c>
      <c r="J13" s="51">
        <f t="shared" si="1"/>
        <v>0.13882833859428362</v>
      </c>
      <c r="M13" s="51" t="s">
        <v>90</v>
      </c>
    </row>
    <row r="14" spans="2:14" s="51" customFormat="1" ht="19.75" customHeight="1">
      <c r="B14" s="49">
        <v>39698</v>
      </c>
      <c r="C14" s="58">
        <v>12285054.085999999</v>
      </c>
      <c r="D14" s="58">
        <v>955416.07799999998</v>
      </c>
      <c r="E14" s="51" t="str">
        <f t="shared" si="0"/>
        <v>2008 q3</v>
      </c>
      <c r="I14" s="51" t="s">
        <v>112</v>
      </c>
      <c r="J14" s="51">
        <f t="shared" si="1"/>
        <v>0.13754828659968063</v>
      </c>
      <c r="M14" s="51" t="s">
        <v>91</v>
      </c>
    </row>
    <row r="15" spans="2:14" s="51" customFormat="1" ht="19.75" customHeight="1">
      <c r="B15" s="49">
        <v>39705</v>
      </c>
      <c r="C15" s="58">
        <v>21024185.07147</v>
      </c>
      <c r="D15" s="58">
        <v>1496785.9355200001</v>
      </c>
      <c r="E15" s="51" t="str">
        <f t="shared" si="0"/>
        <v>2008 q3</v>
      </c>
      <c r="I15" s="51" t="s">
        <v>113</v>
      </c>
      <c r="J15" s="51">
        <f t="shared" si="1"/>
        <v>0.12821950869819385</v>
      </c>
      <c r="M15" s="51" t="s">
        <v>92</v>
      </c>
    </row>
    <row r="16" spans="2:14" s="51" customFormat="1" ht="19.75" customHeight="1">
      <c r="B16" s="49">
        <v>39712</v>
      </c>
      <c r="C16" s="58">
        <v>7528207.9663000004</v>
      </c>
      <c r="D16" s="58">
        <v>553788.9645</v>
      </c>
      <c r="E16" s="51" t="str">
        <f t="shared" si="0"/>
        <v>2008 q3</v>
      </c>
      <c r="I16" s="51" t="s">
        <v>114</v>
      </c>
      <c r="J16" s="51">
        <f t="shared" si="1"/>
        <v>0.12678788758045292</v>
      </c>
      <c r="M16" s="51" t="s">
        <v>93</v>
      </c>
    </row>
    <row r="17" spans="2:13" s="51" customFormat="1" ht="19.75" customHeight="1">
      <c r="B17" s="49">
        <v>39719</v>
      </c>
      <c r="C17" s="58">
        <v>7390462.4791783998</v>
      </c>
      <c r="D17" s="58">
        <v>549251.56895999995</v>
      </c>
      <c r="E17" s="51" t="str">
        <f t="shared" si="0"/>
        <v>2008 q3</v>
      </c>
      <c r="I17" s="51" t="s">
        <v>115</v>
      </c>
      <c r="J17" s="51">
        <f t="shared" si="1"/>
        <v>0.12478768998388362</v>
      </c>
      <c r="M17" s="51" t="s">
        <v>94</v>
      </c>
    </row>
    <row r="18" spans="2:13" s="51" customFormat="1" ht="19.75" customHeight="1">
      <c r="B18" s="49">
        <v>39726</v>
      </c>
      <c r="C18" s="58">
        <v>14892521.200855</v>
      </c>
      <c r="D18" s="58">
        <v>1132636.3859900001</v>
      </c>
      <c r="E18" s="51" t="str">
        <f t="shared" si="0"/>
        <v>2008 q4</v>
      </c>
      <c r="I18" s="51" t="s">
        <v>116</v>
      </c>
      <c r="J18" s="51">
        <f t="shared" si="1"/>
        <v>0.12703977562664651</v>
      </c>
      <c r="M18" s="51" t="s">
        <v>95</v>
      </c>
    </row>
    <row r="19" spans="2:13" s="51" customFormat="1" ht="19.75" customHeight="1">
      <c r="B19" s="49">
        <v>39733</v>
      </c>
      <c r="C19" s="58">
        <v>11033895.5083912</v>
      </c>
      <c r="D19" s="58">
        <v>797259.43912</v>
      </c>
      <c r="E19" s="51" t="str">
        <f t="shared" si="0"/>
        <v>2008 q4</v>
      </c>
      <c r="I19" s="51" t="s">
        <v>117</v>
      </c>
      <c r="J19" s="51">
        <f t="shared" si="1"/>
        <v>0.12756199341132657</v>
      </c>
      <c r="M19" s="51" t="s">
        <v>96</v>
      </c>
    </row>
    <row r="20" spans="2:13" s="51" customFormat="1" ht="19.75" customHeight="1">
      <c r="B20" s="49">
        <v>39740</v>
      </c>
      <c r="C20" s="58">
        <v>12307654.983440001</v>
      </c>
      <c r="D20" s="58">
        <v>913011.13359999994</v>
      </c>
      <c r="E20" s="51" t="str">
        <f t="shared" si="0"/>
        <v>2008 q4</v>
      </c>
      <c r="I20" s="51" t="s">
        <v>118</v>
      </c>
      <c r="J20" s="51">
        <f t="shared" si="1"/>
        <v>0.12440065570715003</v>
      </c>
      <c r="M20" s="51" t="s">
        <v>97</v>
      </c>
    </row>
    <row r="21" spans="2:13" s="51" customFormat="1" ht="19.75" customHeight="1">
      <c r="B21" s="49">
        <v>39747</v>
      </c>
      <c r="C21" s="58">
        <v>5836519.7747</v>
      </c>
      <c r="D21" s="58">
        <v>413513.21710000001</v>
      </c>
      <c r="E21" s="51" t="str">
        <f t="shared" si="0"/>
        <v>2008 q4</v>
      </c>
      <c r="I21" s="51" t="s">
        <v>119</v>
      </c>
      <c r="J21" s="51">
        <f t="shared" si="1"/>
        <v>0.12466524042124659</v>
      </c>
      <c r="M21" s="51" t="s">
        <v>98</v>
      </c>
    </row>
    <row r="22" spans="2:13" s="51" customFormat="1" ht="19.75" customHeight="1">
      <c r="B22" s="49">
        <v>39754</v>
      </c>
      <c r="C22" s="58">
        <v>7215174.0104200002</v>
      </c>
      <c r="D22" s="58">
        <v>476070.62439999997</v>
      </c>
      <c r="E22" s="51" t="str">
        <f t="shared" si="0"/>
        <v>2008 q4</v>
      </c>
      <c r="I22" s="51" t="s">
        <v>120</v>
      </c>
      <c r="J22" s="51">
        <f t="shared" si="1"/>
        <v>0.12684638632498088</v>
      </c>
      <c r="M22" s="51" t="s">
        <v>99</v>
      </c>
    </row>
    <row r="23" spans="2:13" s="51" customFormat="1" ht="19.75" customHeight="1">
      <c r="B23" s="49">
        <v>39761</v>
      </c>
      <c r="C23" s="58">
        <v>4065346.45</v>
      </c>
      <c r="D23" s="58">
        <v>272239.05</v>
      </c>
      <c r="E23" s="51" t="str">
        <f t="shared" si="0"/>
        <v>2008 q4</v>
      </c>
      <c r="I23" s="51" t="s">
        <v>121</v>
      </c>
      <c r="J23" s="51">
        <f t="shared" si="1"/>
        <v>0.12487274205924079</v>
      </c>
      <c r="M23" s="51" t="s">
        <v>100</v>
      </c>
    </row>
    <row r="24" spans="2:13" s="51" customFormat="1" ht="19.75" customHeight="1">
      <c r="B24" s="49">
        <v>39768</v>
      </c>
      <c r="C24" s="58">
        <v>6557707.4589999998</v>
      </c>
      <c r="D24" s="58">
        <v>451787.31880000001</v>
      </c>
      <c r="E24" s="51" t="str">
        <f t="shared" si="0"/>
        <v>2008 q4</v>
      </c>
      <c r="I24" s="51" t="s">
        <v>122</v>
      </c>
      <c r="J24" s="51">
        <f t="shared" si="1"/>
        <v>0.12233967060610153</v>
      </c>
      <c r="M24" s="51" t="s">
        <v>101</v>
      </c>
    </row>
    <row r="25" spans="2:13" s="51" customFormat="1" ht="19.75" customHeight="1">
      <c r="B25" s="49">
        <v>39775</v>
      </c>
      <c r="C25" s="58">
        <v>6040221.7313999999</v>
      </c>
      <c r="D25" s="58">
        <v>449263.62770000001</v>
      </c>
      <c r="E25" s="51" t="str">
        <f t="shared" si="0"/>
        <v>2008 q4</v>
      </c>
      <c r="I25" s="51" t="s">
        <v>123</v>
      </c>
      <c r="J25" s="51">
        <f t="shared" si="1"/>
        <v>0.12406865440520976</v>
      </c>
      <c r="M25" s="51" t="s">
        <v>102</v>
      </c>
    </row>
    <row r="26" spans="2:13" s="51" customFormat="1" ht="19.75" customHeight="1">
      <c r="B26" s="49">
        <v>39782</v>
      </c>
      <c r="C26" s="58">
        <v>4558364.6058</v>
      </c>
      <c r="D26" s="58">
        <v>295680.09389999998</v>
      </c>
      <c r="E26" s="51" t="str">
        <f t="shared" si="0"/>
        <v>2008 q4</v>
      </c>
      <c r="I26" s="51" t="s">
        <v>124</v>
      </c>
      <c r="J26" s="51">
        <f t="shared" si="1"/>
        <v>0.12502121250646789</v>
      </c>
      <c r="M26" s="51" t="s">
        <v>103</v>
      </c>
    </row>
    <row r="27" spans="2:13" s="51" customFormat="1" ht="19.75" customHeight="1">
      <c r="B27" s="49">
        <v>39789</v>
      </c>
      <c r="C27" s="58">
        <v>5176728.9194400003</v>
      </c>
      <c r="D27" s="58">
        <v>406188.99680000002</v>
      </c>
      <c r="E27" s="51" t="str">
        <f t="shared" si="0"/>
        <v>2008 q4</v>
      </c>
      <c r="I27" s="51" t="s">
        <v>125</v>
      </c>
      <c r="J27" s="51">
        <f t="shared" si="1"/>
        <v>0.12397034396429951</v>
      </c>
      <c r="M27" s="51" t="s">
        <v>104</v>
      </c>
    </row>
    <row r="28" spans="2:13" s="51" customFormat="1" ht="19.75" customHeight="1">
      <c r="B28" s="49">
        <v>39796</v>
      </c>
      <c r="C28" s="58">
        <v>4182470.5501999999</v>
      </c>
      <c r="D28" s="58">
        <v>271262.37410000002</v>
      </c>
      <c r="E28" s="51" t="str">
        <f t="shared" si="0"/>
        <v>2008 q4</v>
      </c>
      <c r="I28" s="51" t="s">
        <v>126</v>
      </c>
      <c r="J28" s="51">
        <f t="shared" si="1"/>
        <v>0.12046133923970455</v>
      </c>
      <c r="M28" s="51" t="s">
        <v>105</v>
      </c>
    </row>
    <row r="29" spans="2:13" s="51" customFormat="1" ht="19.75" customHeight="1">
      <c r="B29" s="49">
        <v>39803</v>
      </c>
      <c r="C29" s="58">
        <v>5659234.1631999901</v>
      </c>
      <c r="D29" s="58">
        <v>374899.02559999999</v>
      </c>
      <c r="E29" s="51" t="str">
        <f t="shared" si="0"/>
        <v>2008 q4</v>
      </c>
      <c r="I29" s="51" t="s">
        <v>127</v>
      </c>
      <c r="J29" s="51">
        <f t="shared" si="1"/>
        <v>0.12496089451196156</v>
      </c>
      <c r="M29" s="51" t="s">
        <v>106</v>
      </c>
    </row>
    <row r="30" spans="2:13" s="51" customFormat="1" ht="19.75" customHeight="1">
      <c r="B30" s="49">
        <v>39810</v>
      </c>
      <c r="C30" s="58">
        <v>10802891.499627501</v>
      </c>
      <c r="D30" s="58">
        <v>660306.36684000003</v>
      </c>
      <c r="E30" s="51" t="str">
        <f t="shared" si="0"/>
        <v>2008 q4</v>
      </c>
      <c r="I30" s="51" t="s">
        <v>128</v>
      </c>
      <c r="J30" s="51">
        <f t="shared" si="1"/>
        <v>0.1191524068196147</v>
      </c>
      <c r="M30" s="51" t="s">
        <v>107</v>
      </c>
    </row>
    <row r="31" spans="2:13" s="51" customFormat="1" ht="19.75" customHeight="1">
      <c r="B31" s="49">
        <v>39817</v>
      </c>
      <c r="C31" s="58">
        <v>1874709.554</v>
      </c>
      <c r="D31" s="58">
        <v>136622.89499999999</v>
      </c>
      <c r="E31" s="51" t="str">
        <f t="shared" si="0"/>
        <v>2009 q1</v>
      </c>
      <c r="I31" s="51" t="s">
        <v>129</v>
      </c>
      <c r="J31" s="51">
        <f t="shared" si="1"/>
        <v>0.11986832817180997</v>
      </c>
      <c r="M31" s="51" t="s">
        <v>108</v>
      </c>
    </row>
    <row r="32" spans="2:13" s="51" customFormat="1" ht="19.75" customHeight="1">
      <c r="B32" s="49">
        <v>39824</v>
      </c>
      <c r="C32" s="58">
        <v>365200</v>
      </c>
      <c r="D32" s="58">
        <v>22700</v>
      </c>
      <c r="E32" s="51" t="str">
        <f t="shared" si="0"/>
        <v>2009 q1</v>
      </c>
      <c r="I32" s="51" t="s">
        <v>130</v>
      </c>
      <c r="J32" s="51">
        <f t="shared" si="1"/>
        <v>0.12304003725716131</v>
      </c>
      <c r="M32" s="51" t="s">
        <v>109</v>
      </c>
    </row>
    <row r="33" spans="2:13" s="51" customFormat="1" ht="19.75" customHeight="1">
      <c r="B33" s="49">
        <v>39831</v>
      </c>
      <c r="C33" s="58">
        <v>1260047.5492</v>
      </c>
      <c r="D33" s="58">
        <v>79659.495599999995</v>
      </c>
      <c r="E33" s="51" t="str">
        <f t="shared" si="0"/>
        <v>2009 q1</v>
      </c>
      <c r="I33" s="51" t="s">
        <v>131</v>
      </c>
      <c r="J33" s="51">
        <f t="shared" si="1"/>
        <v>0.12802418444504041</v>
      </c>
      <c r="M33" s="51" t="s">
        <v>110</v>
      </c>
    </row>
    <row r="34" spans="2:13" s="51" customFormat="1" ht="19.75" customHeight="1">
      <c r="B34" s="49">
        <v>39838</v>
      </c>
      <c r="C34" s="58">
        <v>21150419.9659</v>
      </c>
      <c r="D34" s="58">
        <v>1121712.6902000001</v>
      </c>
      <c r="E34" s="51" t="str">
        <f t="shared" si="0"/>
        <v>2009 q1</v>
      </c>
      <c r="I34" s="51" t="s">
        <v>132</v>
      </c>
      <c r="J34" s="51">
        <f t="shared" si="1"/>
        <v>0.12474740931942467</v>
      </c>
      <c r="M34" s="51" t="s">
        <v>111</v>
      </c>
    </row>
    <row r="35" spans="2:13" s="51" customFormat="1" ht="19.75" customHeight="1">
      <c r="B35" s="49">
        <v>39845</v>
      </c>
      <c r="C35" s="58">
        <v>1148084.5974999999</v>
      </c>
      <c r="D35" s="58">
        <v>74208.652000000002</v>
      </c>
      <c r="E35" s="51" t="str">
        <f t="shared" si="0"/>
        <v>2009 q1</v>
      </c>
      <c r="I35" s="51" t="s">
        <v>133</v>
      </c>
      <c r="J35" s="51">
        <f t="shared" si="1"/>
        <v>0.12493189693274333</v>
      </c>
      <c r="M35" s="51" t="s">
        <v>112</v>
      </c>
    </row>
    <row r="36" spans="2:13" s="51" customFormat="1" ht="19.75" customHeight="1">
      <c r="B36" s="49">
        <v>39852</v>
      </c>
      <c r="C36" s="58">
        <v>2757661.2385</v>
      </c>
      <c r="D36" s="58">
        <v>187464.93799999999</v>
      </c>
      <c r="E36" s="51" t="str">
        <f t="shared" si="0"/>
        <v>2009 q1</v>
      </c>
      <c r="I36" s="51" t="s">
        <v>134</v>
      </c>
      <c r="J36" s="51">
        <f t="shared" si="1"/>
        <v>0.12600211356697824</v>
      </c>
      <c r="M36" s="51" t="s">
        <v>113</v>
      </c>
    </row>
    <row r="37" spans="2:13" s="51" customFormat="1" ht="19.75" customHeight="1">
      <c r="B37" s="49">
        <v>39859</v>
      </c>
      <c r="C37" s="58">
        <v>1509604.3584</v>
      </c>
      <c r="D37" s="58">
        <v>95628.385599999994</v>
      </c>
      <c r="E37" s="51" t="str">
        <f t="shared" si="0"/>
        <v>2009 q1</v>
      </c>
      <c r="I37" s="51" t="s">
        <v>135</v>
      </c>
      <c r="J37" s="51">
        <f t="shared" si="1"/>
        <v>0.12494918207356465</v>
      </c>
      <c r="M37" s="51" t="s">
        <v>114</v>
      </c>
    </row>
    <row r="38" spans="2:13" s="51" customFormat="1" ht="19.75" customHeight="1">
      <c r="B38" s="49">
        <v>39866</v>
      </c>
      <c r="C38" s="58">
        <v>4205635.7812000001</v>
      </c>
      <c r="D38" s="58">
        <v>255098.34899999999</v>
      </c>
      <c r="E38" s="51" t="str">
        <f t="shared" si="0"/>
        <v>2009 q1</v>
      </c>
      <c r="I38" s="51" t="s">
        <v>136</v>
      </c>
      <c r="J38" s="51">
        <f t="shared" si="1"/>
        <v>0.11822907898239078</v>
      </c>
      <c r="M38" s="51" t="s">
        <v>115</v>
      </c>
    </row>
    <row r="39" spans="2:13" s="51" customFormat="1" ht="19.75" customHeight="1">
      <c r="B39" s="49">
        <v>39873</v>
      </c>
      <c r="C39" s="58">
        <v>4534951.7199900001</v>
      </c>
      <c r="D39" s="58">
        <v>290033.67859999998</v>
      </c>
      <c r="E39" s="51" t="str">
        <f t="shared" si="0"/>
        <v>2009 q1</v>
      </c>
      <c r="I39" s="51" t="s">
        <v>137</v>
      </c>
      <c r="J39" s="51">
        <f t="shared" si="1"/>
        <v>0.11801157859208657</v>
      </c>
      <c r="M39" s="51" t="s">
        <v>116</v>
      </c>
    </row>
    <row r="40" spans="2:13" s="51" customFormat="1" ht="19.75" customHeight="1">
      <c r="B40" s="49">
        <v>39880</v>
      </c>
      <c r="C40" s="58">
        <v>5220659.25636</v>
      </c>
      <c r="D40" s="58">
        <v>325704.83559999999</v>
      </c>
      <c r="E40" s="51" t="str">
        <f t="shared" si="0"/>
        <v>2009 q1</v>
      </c>
      <c r="I40" s="51" t="s">
        <v>138</v>
      </c>
      <c r="J40" s="51">
        <f t="shared" si="1"/>
        <v>0.11747842326812695</v>
      </c>
      <c r="M40" s="51" t="s">
        <v>117</v>
      </c>
    </row>
    <row r="41" spans="2:13" s="51" customFormat="1" ht="19.75" customHeight="1">
      <c r="B41" s="49">
        <v>39887</v>
      </c>
      <c r="C41" s="58">
        <v>1951061.5221200001</v>
      </c>
      <c r="D41" s="58">
        <v>132327.125</v>
      </c>
      <c r="E41" s="51" t="str">
        <f t="shared" si="0"/>
        <v>2009 q1</v>
      </c>
      <c r="I41" s="51" t="s">
        <v>139</v>
      </c>
      <c r="J41" s="51">
        <f t="shared" si="1"/>
        <v>0.11249156601934385</v>
      </c>
      <c r="M41" s="51" t="s">
        <v>118</v>
      </c>
    </row>
    <row r="42" spans="2:13" s="51" customFormat="1" ht="19.75" customHeight="1">
      <c r="B42" s="49">
        <v>39894</v>
      </c>
      <c r="C42" s="58">
        <v>3960752.9146799999</v>
      </c>
      <c r="D42" s="58">
        <v>231546.77840000001</v>
      </c>
      <c r="E42" s="51" t="str">
        <f t="shared" si="0"/>
        <v>2009 q1</v>
      </c>
      <c r="I42" s="51" t="s">
        <v>140</v>
      </c>
      <c r="J42" s="51">
        <f t="shared" si="1"/>
        <v>0.11210796615125208</v>
      </c>
      <c r="M42" s="51" t="s">
        <v>119</v>
      </c>
    </row>
    <row r="43" spans="2:13" s="51" customFormat="1" ht="19.75" customHeight="1">
      <c r="B43" s="49">
        <v>39901</v>
      </c>
      <c r="C43" s="58">
        <v>1720023.3945299999</v>
      </c>
      <c r="D43" s="58">
        <v>121585.8806</v>
      </c>
      <c r="E43" s="51" t="str">
        <f t="shared" si="0"/>
        <v>2009 q1</v>
      </c>
      <c r="I43" s="51" t="s">
        <v>141</v>
      </c>
      <c r="J43" s="51">
        <f t="shared" si="1"/>
        <v>0.10644724669427845</v>
      </c>
      <c r="M43" s="51" t="s">
        <v>120</v>
      </c>
    </row>
    <row r="44" spans="2:13" s="51" customFormat="1" ht="19.75" customHeight="1">
      <c r="B44" s="49">
        <v>39908</v>
      </c>
      <c r="C44" s="58">
        <v>3295512.1691000001</v>
      </c>
      <c r="D44" s="58">
        <v>206733.29199999999</v>
      </c>
      <c r="E44" s="51" t="str">
        <f t="shared" si="0"/>
        <v>2009 q2</v>
      </c>
      <c r="I44" s="51" t="s">
        <v>142</v>
      </c>
      <c r="J44" s="51">
        <f t="shared" si="1"/>
        <v>0.10601663189674337</v>
      </c>
      <c r="M44" s="51" t="s">
        <v>121</v>
      </c>
    </row>
    <row r="45" spans="2:13" s="51" customFormat="1" ht="19.75" customHeight="1">
      <c r="B45" s="49">
        <v>39915</v>
      </c>
      <c r="C45" s="58">
        <v>1632280.4504</v>
      </c>
      <c r="D45" s="58">
        <v>92115.449200000003</v>
      </c>
      <c r="E45" s="51" t="str">
        <f t="shared" si="0"/>
        <v>2009 q2</v>
      </c>
      <c r="I45" s="51" t="s">
        <v>143</v>
      </c>
      <c r="J45" s="51">
        <f t="shared" si="1"/>
        <v>0.10741846111628719</v>
      </c>
      <c r="M45" s="51" t="s">
        <v>122</v>
      </c>
    </row>
    <row r="46" spans="2:13" s="51" customFormat="1" ht="19.75" customHeight="1">
      <c r="B46" s="49">
        <v>39922</v>
      </c>
      <c r="C46" s="58">
        <v>2070710.5728</v>
      </c>
      <c r="D46" s="58">
        <v>141502.76</v>
      </c>
      <c r="E46" s="51" t="str">
        <f t="shared" si="0"/>
        <v>2009 q2</v>
      </c>
      <c r="I46" s="51" t="s">
        <v>144</v>
      </c>
      <c r="J46" s="51">
        <f t="shared" si="1"/>
        <v>0.10581201233985253</v>
      </c>
      <c r="M46" s="51" t="s">
        <v>123</v>
      </c>
    </row>
    <row r="47" spans="2:13" s="51" customFormat="1" ht="19.75" customHeight="1">
      <c r="B47" s="49">
        <v>39929</v>
      </c>
      <c r="C47" s="58">
        <v>1163210.2620999999</v>
      </c>
      <c r="D47" s="58">
        <v>67412.800000000003</v>
      </c>
      <c r="E47" s="51" t="str">
        <f t="shared" si="0"/>
        <v>2009 q2</v>
      </c>
      <c r="I47" s="51" t="s">
        <v>145</v>
      </c>
      <c r="J47" s="51">
        <f t="shared" si="1"/>
        <v>0.10355423917781666</v>
      </c>
      <c r="M47" s="51" t="s">
        <v>124</v>
      </c>
    </row>
    <row r="48" spans="2:13" s="51" customFormat="1" ht="19.75" customHeight="1">
      <c r="B48" s="49">
        <v>39936</v>
      </c>
      <c r="C48" s="58">
        <v>5821795.6827274999</v>
      </c>
      <c r="D48" s="58">
        <v>314642.55825</v>
      </c>
      <c r="E48" s="51" t="str">
        <f t="shared" si="0"/>
        <v>2009 q2</v>
      </c>
      <c r="I48" s="51" t="s">
        <v>146</v>
      </c>
      <c r="J48" s="51">
        <f t="shared" si="1"/>
        <v>0.10777433212153398</v>
      </c>
      <c r="M48" s="51" t="s">
        <v>125</v>
      </c>
    </row>
    <row r="49" spans="2:13" s="51" customFormat="1" ht="19.75" customHeight="1">
      <c r="B49" s="49">
        <v>39943</v>
      </c>
      <c r="C49" s="58">
        <v>1983944.4068479999</v>
      </c>
      <c r="D49" s="58">
        <v>147279.95759999999</v>
      </c>
      <c r="E49" s="51" t="str">
        <f t="shared" si="0"/>
        <v>2009 q2</v>
      </c>
      <c r="I49" s="51" t="s">
        <v>147</v>
      </c>
      <c r="J49" s="51">
        <f t="shared" si="1"/>
        <v>0.10306841242845609</v>
      </c>
      <c r="M49" s="51" t="s">
        <v>126</v>
      </c>
    </row>
    <row r="50" spans="2:13" s="51" customFormat="1" ht="19.75" customHeight="1">
      <c r="B50" s="49">
        <v>39950</v>
      </c>
      <c r="C50" s="58">
        <v>2279677.2190479999</v>
      </c>
      <c r="D50" s="58">
        <v>141407.432</v>
      </c>
      <c r="E50" s="51" t="str">
        <f t="shared" si="0"/>
        <v>2009 q2</v>
      </c>
      <c r="I50" s="51" t="s">
        <v>148</v>
      </c>
      <c r="J50" s="51">
        <f t="shared" si="1"/>
        <v>0.10311627208180935</v>
      </c>
      <c r="M50" s="51" t="s">
        <v>127</v>
      </c>
    </row>
    <row r="51" spans="2:13" s="51" customFormat="1" ht="19.75" customHeight="1">
      <c r="B51" s="49">
        <v>39957</v>
      </c>
      <c r="C51" s="58">
        <v>3765736.4028599998</v>
      </c>
      <c r="D51" s="58">
        <v>217800.23240000001</v>
      </c>
      <c r="E51" s="51" t="str">
        <f t="shared" si="0"/>
        <v>2009 q2</v>
      </c>
      <c r="I51" s="51" t="s">
        <v>149</v>
      </c>
      <c r="J51" s="51">
        <f t="shared" si="1"/>
        <v>0.10420943748748077</v>
      </c>
      <c r="M51" s="51" t="s">
        <v>128</v>
      </c>
    </row>
    <row r="52" spans="2:13" s="51" customFormat="1" ht="19.75" customHeight="1">
      <c r="B52" s="49">
        <v>39964</v>
      </c>
      <c r="C52" s="58">
        <v>4994960.9144599997</v>
      </c>
      <c r="D52" s="58">
        <v>322702.69799999997</v>
      </c>
      <c r="E52" s="51" t="str">
        <f t="shared" si="0"/>
        <v>2009 q2</v>
      </c>
      <c r="I52" s="51" t="s">
        <v>150</v>
      </c>
      <c r="J52" s="51">
        <f t="shared" si="1"/>
        <v>0.10171823035957347</v>
      </c>
      <c r="M52" s="51" t="s">
        <v>129</v>
      </c>
    </row>
    <row r="53" spans="2:13" s="51" customFormat="1" ht="19.75" customHeight="1">
      <c r="B53" s="49">
        <v>39971</v>
      </c>
      <c r="C53" s="58">
        <v>4230265.1704240004</v>
      </c>
      <c r="D53" s="58">
        <v>235696.8982</v>
      </c>
      <c r="E53" s="51" t="str">
        <f t="shared" si="0"/>
        <v>2009 q2</v>
      </c>
      <c r="I53" s="51" t="s">
        <v>151</v>
      </c>
      <c r="J53" s="51">
        <f t="shared" si="1"/>
        <v>0.10410070331561887</v>
      </c>
      <c r="M53" s="51" t="s">
        <v>130</v>
      </c>
    </row>
    <row r="54" spans="2:13" s="51" customFormat="1" ht="19.75" customHeight="1">
      <c r="B54" s="49">
        <v>39978</v>
      </c>
      <c r="C54" s="58">
        <v>4908180.6983359996</v>
      </c>
      <c r="D54" s="58">
        <v>316817.68640000001</v>
      </c>
      <c r="E54" s="51" t="str">
        <f t="shared" si="0"/>
        <v>2009 q2</v>
      </c>
      <c r="I54" s="51" t="s">
        <v>152</v>
      </c>
      <c r="J54" s="51">
        <f t="shared" si="1"/>
        <v>0.10443773086289126</v>
      </c>
      <c r="M54" s="51" t="s">
        <v>131</v>
      </c>
    </row>
    <row r="55" spans="2:13" s="51" customFormat="1" ht="19.75" customHeight="1">
      <c r="B55" s="49">
        <v>39985</v>
      </c>
      <c r="C55" s="58">
        <v>3691048.7787600001</v>
      </c>
      <c r="D55" s="58">
        <v>244798.80040000001</v>
      </c>
      <c r="E55" s="51" t="str">
        <f t="shared" si="0"/>
        <v>2009 q2</v>
      </c>
      <c r="I55" s="51" t="s">
        <v>153</v>
      </c>
      <c r="J55" s="51">
        <f t="shared" si="1"/>
        <v>0.10243611764099722</v>
      </c>
      <c r="M55" s="51" t="s">
        <v>132</v>
      </c>
    </row>
    <row r="56" spans="2:13" s="51" customFormat="1" ht="19.75" customHeight="1">
      <c r="B56" s="49">
        <v>39992</v>
      </c>
      <c r="C56" s="58">
        <v>5229136.1689999998</v>
      </c>
      <c r="D56" s="58">
        <v>319551.92739999999</v>
      </c>
      <c r="E56" s="51" t="str">
        <f t="shared" si="0"/>
        <v>2009 q2</v>
      </c>
      <c r="I56" s="51" t="s">
        <v>154</v>
      </c>
      <c r="J56" s="51">
        <f t="shared" si="1"/>
        <v>0.10230886696225144</v>
      </c>
      <c r="M56" s="51" t="s">
        <v>133</v>
      </c>
    </row>
    <row r="57" spans="2:13" s="51" customFormat="1" ht="19.75" customHeight="1">
      <c r="B57" s="49">
        <v>39999</v>
      </c>
      <c r="C57" s="58">
        <v>2474007.6958023999</v>
      </c>
      <c r="D57" s="58">
        <v>178710.71408000001</v>
      </c>
      <c r="E57" s="51" t="str">
        <f t="shared" si="0"/>
        <v>2009 q3</v>
      </c>
      <c r="I57" s="51" t="s">
        <v>155</v>
      </c>
      <c r="J57" s="51">
        <f t="shared" si="1"/>
        <v>0.10442720460331603</v>
      </c>
      <c r="M57" s="51" t="s">
        <v>134</v>
      </c>
    </row>
    <row r="58" spans="2:13" s="51" customFormat="1" ht="19.75" customHeight="1">
      <c r="B58" s="49">
        <v>40006</v>
      </c>
      <c r="C58" s="58">
        <v>4783810.3172800001</v>
      </c>
      <c r="D58" s="58">
        <v>337184.32</v>
      </c>
      <c r="E58" s="51" t="str">
        <f t="shared" si="0"/>
        <v>2009 q3</v>
      </c>
      <c r="I58" s="51" t="s">
        <v>156</v>
      </c>
      <c r="J58" s="51">
        <f t="shared" si="1"/>
        <v>0.10475146667635409</v>
      </c>
      <c r="M58" s="51" t="s">
        <v>135</v>
      </c>
    </row>
    <row r="59" spans="2:13" s="51" customFormat="1" ht="19.75" customHeight="1">
      <c r="B59" s="49">
        <v>40013</v>
      </c>
      <c r="C59" s="58">
        <v>9483621.8843837995</v>
      </c>
      <c r="D59" s="58">
        <v>510591.66307000001</v>
      </c>
      <c r="E59" s="51" t="str">
        <f t="shared" si="0"/>
        <v>2009 q3</v>
      </c>
      <c r="I59" s="51" t="s">
        <v>157</v>
      </c>
      <c r="J59" s="51">
        <f t="shared" si="1"/>
        <v>0.10394659520430118</v>
      </c>
      <c r="M59" s="51" t="s">
        <v>136</v>
      </c>
    </row>
    <row r="60" spans="2:13" s="51" customFormat="1" ht="19.75" customHeight="1">
      <c r="B60" s="49">
        <v>40020</v>
      </c>
      <c r="C60" s="58">
        <v>3741470.7041199999</v>
      </c>
      <c r="D60" s="58">
        <v>222037.0435</v>
      </c>
      <c r="E60" s="51" t="str">
        <f t="shared" si="0"/>
        <v>2009 q3</v>
      </c>
      <c r="I60" s="51" t="s">
        <v>158</v>
      </c>
      <c r="J60" s="51">
        <f t="shared" si="1"/>
        <v>0.10428392898853414</v>
      </c>
      <c r="M60" s="51" t="s">
        <v>137</v>
      </c>
    </row>
    <row r="61" spans="2:13" s="51" customFormat="1" ht="19.75" customHeight="1">
      <c r="B61" s="49">
        <v>40027</v>
      </c>
      <c r="C61" s="58">
        <v>10744723.747487999</v>
      </c>
      <c r="D61" s="58">
        <v>637413.08779999998</v>
      </c>
      <c r="E61" s="51" t="str">
        <f t="shared" si="0"/>
        <v>2009 q3</v>
      </c>
      <c r="I61" s="51" t="s">
        <v>159</v>
      </c>
      <c r="J61" s="51">
        <f t="shared" si="1"/>
        <v>0.10987604875163852</v>
      </c>
      <c r="M61" s="51" t="s">
        <v>138</v>
      </c>
    </row>
    <row r="62" spans="2:13" s="51" customFormat="1" ht="19.75" customHeight="1">
      <c r="B62" s="49">
        <v>40034</v>
      </c>
      <c r="C62" s="58">
        <v>5139002.6268999996</v>
      </c>
      <c r="D62" s="58">
        <v>371237.53499999997</v>
      </c>
      <c r="E62" s="51" t="str">
        <f t="shared" si="0"/>
        <v>2009 q3</v>
      </c>
      <c r="I62" s="51" t="s">
        <v>160</v>
      </c>
      <c r="J62" s="51">
        <f t="shared" si="1"/>
        <v>0.11452545726343498</v>
      </c>
      <c r="M62" s="51" t="s">
        <v>139</v>
      </c>
    </row>
    <row r="63" spans="2:13" s="51" customFormat="1" ht="19.75" customHeight="1">
      <c r="B63" s="49">
        <v>40041</v>
      </c>
      <c r="C63" s="58">
        <v>5374303.1816525003</v>
      </c>
      <c r="D63" s="58">
        <v>331208.08374999999</v>
      </c>
      <c r="E63" s="51" t="str">
        <f t="shared" si="0"/>
        <v>2009 q3</v>
      </c>
      <c r="I63" s="51" t="s">
        <v>161</v>
      </c>
      <c r="J63" s="51">
        <f t="shared" si="1"/>
        <v>0.11410164842376908</v>
      </c>
      <c r="M63" s="51" t="s">
        <v>140</v>
      </c>
    </row>
    <row r="64" spans="2:13" s="51" customFormat="1" ht="19.75" customHeight="1">
      <c r="B64" s="49">
        <v>40048</v>
      </c>
      <c r="C64" s="58">
        <v>3992634.36164875</v>
      </c>
      <c r="D64" s="58">
        <v>267762.65025000001</v>
      </c>
      <c r="E64" s="51" t="str">
        <f t="shared" si="0"/>
        <v>2009 q3</v>
      </c>
      <c r="I64" s="51" t="s">
        <v>162</v>
      </c>
      <c r="J64" s="51">
        <f t="shared" si="1"/>
        <v>0.11971579017794513</v>
      </c>
      <c r="M64" s="51" t="s">
        <v>141</v>
      </c>
    </row>
    <row r="65" spans="2:13" s="51" customFormat="1" ht="19.75" customHeight="1">
      <c r="B65" s="49">
        <v>40055</v>
      </c>
      <c r="C65" s="58">
        <v>4826292.6286399998</v>
      </c>
      <c r="D65" s="58">
        <v>297538.10759999999</v>
      </c>
      <c r="E65" s="51" t="str">
        <f t="shared" si="0"/>
        <v>2009 q3</v>
      </c>
      <c r="I65" s="51" t="s">
        <v>163</v>
      </c>
      <c r="J65" s="51">
        <f t="shared" si="1"/>
        <v>0.12241932933642388</v>
      </c>
      <c r="M65" s="51" t="s">
        <v>142</v>
      </c>
    </row>
    <row r="66" spans="2:13" s="51" customFormat="1" ht="19.75" customHeight="1">
      <c r="B66" s="49">
        <v>40062</v>
      </c>
      <c r="C66" s="58">
        <v>9261105.2337679993</v>
      </c>
      <c r="D66" s="58">
        <v>586903.64339999994</v>
      </c>
      <c r="E66" s="51" t="str">
        <f t="shared" si="0"/>
        <v>2009 q3</v>
      </c>
      <c r="I66" s="51" t="s">
        <v>164</v>
      </c>
      <c r="J66" s="51">
        <f t="shared" si="1"/>
        <v>0.12437264824386908</v>
      </c>
      <c r="M66" s="51" t="s">
        <v>143</v>
      </c>
    </row>
    <row r="67" spans="2:13" s="51" customFormat="1" ht="19.75" customHeight="1">
      <c r="B67" s="49">
        <v>40069</v>
      </c>
      <c r="C67" s="58">
        <v>6599944.2162338998</v>
      </c>
      <c r="D67" s="58">
        <v>436651.43410499999</v>
      </c>
      <c r="E67" s="51" t="str">
        <f t="shared" si="0"/>
        <v>2009 q3</v>
      </c>
      <c r="I67" s="51" t="s">
        <v>165</v>
      </c>
      <c r="J67" s="51">
        <f t="shared" si="1"/>
        <v>0.12549545333927889</v>
      </c>
      <c r="M67" s="51" t="s">
        <v>144</v>
      </c>
    </row>
    <row r="68" spans="2:13" s="51" customFormat="1" ht="19.75" customHeight="1">
      <c r="B68" s="49">
        <v>40076</v>
      </c>
      <c r="C68" s="58">
        <v>5636444.2407499999</v>
      </c>
      <c r="D68" s="58">
        <v>492677.0625</v>
      </c>
      <c r="E68" s="51" t="str">
        <f t="shared" si="0"/>
        <v>2009 q3</v>
      </c>
      <c r="I68" s="51" t="s">
        <v>166</v>
      </c>
      <c r="J68" s="51">
        <f t="shared" si="1"/>
        <v>0.12569002206994001</v>
      </c>
      <c r="M68" s="51" t="s">
        <v>145</v>
      </c>
    </row>
    <row r="69" spans="2:13" s="51" customFormat="1" ht="19.75" customHeight="1">
      <c r="B69" s="49">
        <v>40083</v>
      </c>
      <c r="C69" s="58">
        <v>4930456.954415</v>
      </c>
      <c r="D69" s="58">
        <v>328187.76040000003</v>
      </c>
      <c r="E69" s="51" t="str">
        <f t="shared" si="0"/>
        <v>2009 q3</v>
      </c>
      <c r="I69" s="51" t="s">
        <v>167</v>
      </c>
      <c r="J69" s="51">
        <f t="shared" si="1"/>
        <v>0.12535501776573521</v>
      </c>
      <c r="M69" s="51" t="s">
        <v>146</v>
      </c>
    </row>
    <row r="70" spans="2:13" s="51" customFormat="1" ht="19.75" customHeight="1">
      <c r="B70" s="49">
        <v>40090</v>
      </c>
      <c r="C70" s="58">
        <v>11452727.290983999</v>
      </c>
      <c r="D70" s="58">
        <v>775476.09640000004</v>
      </c>
      <c r="E70" s="51" t="str">
        <f t="shared" ref="E70:E133" si="2">YEAR(B70)&amp;" q"&amp;ROUNDUP(MONTH(B70)/3,0)</f>
        <v>2009 q4</v>
      </c>
      <c r="I70" s="59"/>
      <c r="M70" s="51" t="s">
        <v>147</v>
      </c>
    </row>
    <row r="71" spans="2:13" s="51" customFormat="1" ht="19.75" customHeight="1">
      <c r="B71" s="49">
        <v>40097</v>
      </c>
      <c r="C71" s="58">
        <v>6401718.9549455</v>
      </c>
      <c r="D71" s="58">
        <v>439298.77859220002</v>
      </c>
      <c r="E71" s="51" t="str">
        <f t="shared" si="2"/>
        <v>2009 q4</v>
      </c>
      <c r="I71" s="59"/>
      <c r="M71" s="51" t="s">
        <v>148</v>
      </c>
    </row>
    <row r="72" spans="2:13" s="51" customFormat="1" ht="19.75" customHeight="1">
      <c r="B72" s="49">
        <v>40104</v>
      </c>
      <c r="C72" s="58">
        <v>7993726.6451080004</v>
      </c>
      <c r="D72" s="58">
        <v>526999.05104000005</v>
      </c>
      <c r="E72" s="51" t="str">
        <f t="shared" si="2"/>
        <v>2009 q4</v>
      </c>
      <c r="I72" s="59"/>
      <c r="M72" s="51" t="s">
        <v>149</v>
      </c>
    </row>
    <row r="73" spans="2:13" s="51" customFormat="1" ht="19.75" customHeight="1">
      <c r="B73" s="49">
        <v>40111</v>
      </c>
      <c r="C73" s="58">
        <v>4618099.0333599998</v>
      </c>
      <c r="D73" s="58">
        <v>311659.11248000001</v>
      </c>
      <c r="E73" s="51" t="str">
        <f t="shared" si="2"/>
        <v>2009 q4</v>
      </c>
      <c r="I73" s="59"/>
      <c r="M73" s="51" t="s">
        <v>150</v>
      </c>
    </row>
    <row r="74" spans="2:13" s="51" customFormat="1" ht="19.75" customHeight="1">
      <c r="B74" s="49">
        <v>40118</v>
      </c>
      <c r="C74" s="58">
        <v>7615742.6475566002</v>
      </c>
      <c r="D74" s="58">
        <v>551857.46186000004</v>
      </c>
      <c r="E74" s="51" t="str">
        <f t="shared" si="2"/>
        <v>2009 q4</v>
      </c>
      <c r="I74" s="59"/>
      <c r="M74" s="51" t="s">
        <v>151</v>
      </c>
    </row>
    <row r="75" spans="2:13" s="51" customFormat="1" ht="19.75" customHeight="1">
      <c r="B75" s="49">
        <v>40125</v>
      </c>
      <c r="C75" s="58">
        <v>7354099.7617720095</v>
      </c>
      <c r="D75" s="58">
        <v>496330.66460000002</v>
      </c>
      <c r="E75" s="51" t="str">
        <f t="shared" si="2"/>
        <v>2009 q4</v>
      </c>
      <c r="I75" s="59"/>
      <c r="M75" s="51" t="s">
        <v>152</v>
      </c>
    </row>
    <row r="76" spans="2:13" s="51" customFormat="1" ht="19.75" customHeight="1">
      <c r="B76" s="49">
        <v>40132</v>
      </c>
      <c r="C76" s="58">
        <v>9326040.3867620006</v>
      </c>
      <c r="D76" s="58">
        <v>676531.10120000003</v>
      </c>
      <c r="E76" s="51" t="str">
        <f t="shared" si="2"/>
        <v>2009 q4</v>
      </c>
      <c r="I76" s="59"/>
      <c r="M76" s="51" t="s">
        <v>153</v>
      </c>
    </row>
    <row r="77" spans="2:13" s="51" customFormat="1" ht="19.75" customHeight="1">
      <c r="B77" s="49">
        <v>40139</v>
      </c>
      <c r="C77" s="58">
        <v>9182652.0686799996</v>
      </c>
      <c r="D77" s="58">
        <v>636010.55200000003</v>
      </c>
      <c r="E77" s="51" t="str">
        <f t="shared" si="2"/>
        <v>2009 q4</v>
      </c>
      <c r="I77" s="59"/>
      <c r="M77" s="51" t="s">
        <v>154</v>
      </c>
    </row>
    <row r="78" spans="2:13" s="51" customFormat="1" ht="19.75" customHeight="1">
      <c r="B78" s="49">
        <v>40146</v>
      </c>
      <c r="C78" s="58">
        <v>6220403.2770600002</v>
      </c>
      <c r="D78" s="58">
        <v>480144.53980000003</v>
      </c>
      <c r="E78" s="51" t="str">
        <f t="shared" si="2"/>
        <v>2009 q4</v>
      </c>
      <c r="I78" s="59"/>
      <c r="M78" s="51" t="s">
        <v>155</v>
      </c>
    </row>
    <row r="79" spans="2:13" s="51" customFormat="1" ht="19.75" customHeight="1">
      <c r="B79" s="49">
        <v>40153</v>
      </c>
      <c r="C79" s="58">
        <v>12638278.276864</v>
      </c>
      <c r="D79" s="58">
        <v>853783.35679999995</v>
      </c>
      <c r="E79" s="51" t="str">
        <f t="shared" si="2"/>
        <v>2009 q4</v>
      </c>
      <c r="I79" s="59"/>
      <c r="M79" s="51" t="s">
        <v>156</v>
      </c>
    </row>
    <row r="80" spans="2:13" s="51" customFormat="1" ht="19.75" customHeight="1">
      <c r="B80" s="49">
        <v>40160</v>
      </c>
      <c r="C80" s="58">
        <v>6097407.2348199999</v>
      </c>
      <c r="D80" s="58">
        <v>420771.84860000003</v>
      </c>
      <c r="E80" s="51" t="str">
        <f t="shared" si="2"/>
        <v>2009 q4</v>
      </c>
      <c r="I80" s="59"/>
      <c r="M80" s="51" t="s">
        <v>157</v>
      </c>
    </row>
    <row r="81" spans="2:13" s="51" customFormat="1" ht="19.75" customHeight="1">
      <c r="B81" s="49">
        <v>40167</v>
      </c>
      <c r="C81" s="58">
        <v>9065881.1578059997</v>
      </c>
      <c r="D81" s="58">
        <v>592929.88859999995</v>
      </c>
      <c r="E81" s="51" t="str">
        <f t="shared" si="2"/>
        <v>2009 q4</v>
      </c>
      <c r="I81" s="59"/>
      <c r="M81" s="51" t="s">
        <v>158</v>
      </c>
    </row>
    <row r="82" spans="2:13" s="51" customFormat="1" ht="19.75" customHeight="1">
      <c r="B82" s="49">
        <v>40174</v>
      </c>
      <c r="C82" s="58">
        <v>8893909.7275038995</v>
      </c>
      <c r="D82" s="58">
        <v>607935.87227000005</v>
      </c>
      <c r="E82" s="51" t="str">
        <f t="shared" si="2"/>
        <v>2009 q4</v>
      </c>
      <c r="I82" s="59"/>
      <c r="M82" s="51" t="s">
        <v>159</v>
      </c>
    </row>
    <row r="83" spans="2:13" s="51" customFormat="1" ht="19.75" customHeight="1">
      <c r="B83" s="49">
        <v>40181</v>
      </c>
      <c r="C83" s="58">
        <v>10118874.17746</v>
      </c>
      <c r="D83" s="58">
        <v>708676.88624000002</v>
      </c>
      <c r="E83" s="51" t="str">
        <f t="shared" si="2"/>
        <v>2010 q1</v>
      </c>
      <c r="I83" s="59"/>
      <c r="M83" s="51" t="s">
        <v>160</v>
      </c>
    </row>
    <row r="84" spans="2:13" s="51" customFormat="1" ht="19.75" customHeight="1">
      <c r="B84" s="49">
        <v>40195</v>
      </c>
      <c r="C84" s="58">
        <v>1076428.24</v>
      </c>
      <c r="D84" s="58">
        <v>84082.48</v>
      </c>
      <c r="E84" s="51" t="str">
        <f t="shared" si="2"/>
        <v>2010 q1</v>
      </c>
      <c r="I84" s="59"/>
      <c r="M84" s="51" t="s">
        <v>161</v>
      </c>
    </row>
    <row r="85" spans="2:13" s="51" customFormat="1" ht="19.75" customHeight="1">
      <c r="B85" s="49">
        <v>40202</v>
      </c>
      <c r="C85" s="58">
        <v>3628439.38</v>
      </c>
      <c r="D85" s="58">
        <v>253176.6</v>
      </c>
      <c r="E85" s="51" t="str">
        <f t="shared" si="2"/>
        <v>2010 q1</v>
      </c>
      <c r="I85" s="59"/>
      <c r="M85" s="51" t="s">
        <v>162</v>
      </c>
    </row>
    <row r="86" spans="2:13" s="51" customFormat="1" ht="19.75" customHeight="1">
      <c r="B86" s="49">
        <v>40209</v>
      </c>
      <c r="C86" s="58">
        <v>1216280.2202999999</v>
      </c>
      <c r="D86" s="58">
        <v>87075.857000000004</v>
      </c>
      <c r="E86" s="51" t="str">
        <f t="shared" si="2"/>
        <v>2010 q1</v>
      </c>
      <c r="I86" s="59"/>
      <c r="M86" s="51" t="s">
        <v>163</v>
      </c>
    </row>
    <row r="87" spans="2:13" s="51" customFormat="1" ht="19.75" customHeight="1">
      <c r="B87" s="49">
        <v>40216</v>
      </c>
      <c r="C87" s="58">
        <v>5786703.0030720001</v>
      </c>
      <c r="D87" s="58">
        <v>408191.23800000001</v>
      </c>
      <c r="E87" s="51" t="str">
        <f t="shared" si="2"/>
        <v>2010 q1</v>
      </c>
      <c r="I87" s="59"/>
      <c r="M87" s="51" t="s">
        <v>164</v>
      </c>
    </row>
    <row r="88" spans="2:13" s="51" customFormat="1" ht="19.75" customHeight="1">
      <c r="B88" s="49">
        <v>40223</v>
      </c>
      <c r="C88" s="58">
        <v>6554790.9081760002</v>
      </c>
      <c r="D88" s="58">
        <v>474683.1078</v>
      </c>
      <c r="E88" s="51" t="str">
        <f t="shared" si="2"/>
        <v>2010 q1</v>
      </c>
      <c r="I88" s="59"/>
      <c r="M88" s="51" t="s">
        <v>165</v>
      </c>
    </row>
    <row r="89" spans="2:13" s="51" customFormat="1" ht="19.75" customHeight="1">
      <c r="B89" s="49">
        <v>40230</v>
      </c>
      <c r="C89" s="58">
        <v>2223462.420992</v>
      </c>
      <c r="D89" s="58">
        <v>171193.88159999999</v>
      </c>
      <c r="E89" s="51" t="str">
        <f t="shared" si="2"/>
        <v>2010 q1</v>
      </c>
      <c r="I89" s="59"/>
      <c r="M89" s="51" t="s">
        <v>166</v>
      </c>
    </row>
    <row r="90" spans="2:13" s="51" customFormat="1" ht="19.75" customHeight="1">
      <c r="B90" s="49">
        <v>40237</v>
      </c>
      <c r="C90" s="58">
        <v>6271682.7227999996</v>
      </c>
      <c r="D90" s="58">
        <v>460353.83</v>
      </c>
      <c r="E90" s="51" t="str">
        <f t="shared" si="2"/>
        <v>2010 q1</v>
      </c>
      <c r="I90" s="59"/>
      <c r="M90" s="51" t="s">
        <v>167</v>
      </c>
    </row>
    <row r="91" spans="2:13" s="51" customFormat="1" ht="19.75" customHeight="1">
      <c r="B91" s="49">
        <v>40244</v>
      </c>
      <c r="C91" s="58">
        <v>7467570.0418880004</v>
      </c>
      <c r="D91" s="58">
        <v>527330.39359999995</v>
      </c>
      <c r="E91" s="51" t="str">
        <f t="shared" si="2"/>
        <v>2010 q1</v>
      </c>
      <c r="I91" s="59"/>
    </row>
    <row r="92" spans="2:13" s="51" customFormat="1" ht="19.75" customHeight="1">
      <c r="B92" s="49">
        <v>40251</v>
      </c>
      <c r="C92" s="58">
        <v>7226799.1329549998</v>
      </c>
      <c r="D92" s="58">
        <v>533733.83574999997</v>
      </c>
      <c r="E92" s="51" t="str">
        <f t="shared" si="2"/>
        <v>2010 q1</v>
      </c>
      <c r="I92" s="59"/>
    </row>
    <row r="93" spans="2:13" s="51" customFormat="1" ht="19.75" customHeight="1">
      <c r="B93" s="49">
        <v>40258</v>
      </c>
      <c r="C93" s="58">
        <v>10329354.464617001</v>
      </c>
      <c r="D93" s="58">
        <v>733076.2977</v>
      </c>
      <c r="E93" s="51" t="str">
        <f t="shared" si="2"/>
        <v>2010 q1</v>
      </c>
      <c r="I93" s="59"/>
    </row>
    <row r="94" spans="2:13" s="51" customFormat="1" ht="19.75" customHeight="1">
      <c r="B94" s="49">
        <v>40265</v>
      </c>
      <c r="C94" s="58">
        <v>7653092.3912650002</v>
      </c>
      <c r="D94" s="58">
        <v>526291.46057999996</v>
      </c>
      <c r="E94" s="51" t="str">
        <f t="shared" si="2"/>
        <v>2010 q1</v>
      </c>
      <c r="I94" s="59"/>
    </row>
    <row r="95" spans="2:13" s="51" customFormat="1" ht="19.75" customHeight="1">
      <c r="B95" s="49">
        <v>40272</v>
      </c>
      <c r="C95" s="58">
        <v>8930943.3003503997</v>
      </c>
      <c r="D95" s="58">
        <v>616032.85776000004</v>
      </c>
      <c r="E95" s="51" t="str">
        <f t="shared" si="2"/>
        <v>2010 q2</v>
      </c>
      <c r="I95" s="59"/>
    </row>
    <row r="96" spans="2:13" s="51" customFormat="1" ht="19.75" customHeight="1">
      <c r="B96" s="49">
        <v>40279</v>
      </c>
      <c r="C96" s="58">
        <v>8300168.95254</v>
      </c>
      <c r="D96" s="58">
        <v>601528.67749999999</v>
      </c>
      <c r="E96" s="51" t="str">
        <f t="shared" si="2"/>
        <v>2010 q2</v>
      </c>
      <c r="I96" s="59"/>
    </row>
    <row r="97" spans="2:9" s="51" customFormat="1" ht="19.75" customHeight="1">
      <c r="B97" s="49">
        <v>40286</v>
      </c>
      <c r="C97" s="58">
        <v>7002372.1890511997</v>
      </c>
      <c r="D97" s="58">
        <v>523927.85028000001</v>
      </c>
      <c r="E97" s="51" t="str">
        <f t="shared" si="2"/>
        <v>2010 q2</v>
      </c>
      <c r="I97" s="59"/>
    </row>
    <row r="98" spans="2:9" s="51" customFormat="1" ht="19.75" customHeight="1">
      <c r="B98" s="49">
        <v>40293</v>
      </c>
      <c r="C98" s="58">
        <v>7050944.6610719999</v>
      </c>
      <c r="D98" s="58">
        <v>505968.61839999998</v>
      </c>
      <c r="E98" s="51" t="str">
        <f t="shared" si="2"/>
        <v>2010 q2</v>
      </c>
      <c r="I98" s="59"/>
    </row>
    <row r="99" spans="2:9" s="51" customFormat="1" ht="19.75" customHeight="1">
      <c r="B99" s="49">
        <v>40300</v>
      </c>
      <c r="C99" s="58">
        <v>12452990.702927999</v>
      </c>
      <c r="D99" s="58">
        <v>912080.93631999998</v>
      </c>
      <c r="E99" s="51" t="str">
        <f t="shared" si="2"/>
        <v>2010 q2</v>
      </c>
      <c r="I99" s="59"/>
    </row>
    <row r="100" spans="2:9" s="51" customFormat="1" ht="19.75" customHeight="1">
      <c r="B100" s="49">
        <v>40307</v>
      </c>
      <c r="C100" s="58">
        <v>4444851.1574499998</v>
      </c>
      <c r="D100" s="58">
        <v>332055.77899999998</v>
      </c>
      <c r="E100" s="51" t="str">
        <f t="shared" si="2"/>
        <v>2010 q2</v>
      </c>
      <c r="I100" s="59"/>
    </row>
    <row r="101" spans="2:9" s="51" customFormat="1" ht="19.75" customHeight="1">
      <c r="B101" s="49">
        <v>40314</v>
      </c>
      <c r="C101" s="58">
        <v>5733059.8376000002</v>
      </c>
      <c r="D101" s="58">
        <v>395728.2</v>
      </c>
      <c r="E101" s="51" t="str">
        <f t="shared" si="2"/>
        <v>2010 q2</v>
      </c>
      <c r="I101" s="59"/>
    </row>
    <row r="102" spans="2:9" s="51" customFormat="1" ht="19.75" customHeight="1">
      <c r="B102" s="49">
        <v>40321</v>
      </c>
      <c r="C102" s="58">
        <v>7826955.7201279998</v>
      </c>
      <c r="D102" s="58">
        <v>536777.71200000006</v>
      </c>
      <c r="E102" s="51" t="str">
        <f t="shared" si="2"/>
        <v>2010 q2</v>
      </c>
      <c r="I102" s="59"/>
    </row>
    <row r="103" spans="2:9" s="51" customFormat="1" ht="19.75" customHeight="1">
      <c r="B103" s="49">
        <v>40328</v>
      </c>
      <c r="C103" s="58">
        <v>7728813.0876044696</v>
      </c>
      <c r="D103" s="58">
        <v>584663.52512815001</v>
      </c>
      <c r="E103" s="51" t="str">
        <f t="shared" si="2"/>
        <v>2010 q2</v>
      </c>
      <c r="I103" s="59"/>
    </row>
    <row r="104" spans="2:9" s="51" customFormat="1" ht="19.75" customHeight="1">
      <c r="B104" s="49">
        <v>40335</v>
      </c>
      <c r="C104" s="58">
        <v>8393404.4554824997</v>
      </c>
      <c r="D104" s="58">
        <v>610066.22900000005</v>
      </c>
      <c r="E104" s="51" t="str">
        <f t="shared" si="2"/>
        <v>2010 q2</v>
      </c>
      <c r="I104" s="59"/>
    </row>
    <row r="105" spans="2:9" s="51" customFormat="1" ht="19.75" customHeight="1">
      <c r="B105" s="49">
        <v>40342</v>
      </c>
      <c r="C105" s="58">
        <v>5944375.0953919999</v>
      </c>
      <c r="D105" s="58">
        <v>411615.35129999998</v>
      </c>
      <c r="E105" s="51" t="str">
        <f t="shared" si="2"/>
        <v>2010 q2</v>
      </c>
      <c r="I105" s="59"/>
    </row>
    <row r="106" spans="2:9" s="51" customFormat="1" ht="19.75" customHeight="1">
      <c r="B106" s="49">
        <v>40349</v>
      </c>
      <c r="C106" s="58">
        <v>8838862.5254519992</v>
      </c>
      <c r="D106" s="58">
        <v>660065.43779999996</v>
      </c>
      <c r="E106" s="51" t="str">
        <f t="shared" si="2"/>
        <v>2010 q2</v>
      </c>
      <c r="I106" s="59"/>
    </row>
    <row r="107" spans="2:9" s="51" customFormat="1" ht="19.75" customHeight="1">
      <c r="B107" s="49">
        <v>40356</v>
      </c>
      <c r="C107" s="58">
        <v>6738834.5883980002</v>
      </c>
      <c r="D107" s="58">
        <v>468443.35019999999</v>
      </c>
      <c r="E107" s="51" t="str">
        <f t="shared" si="2"/>
        <v>2010 q2</v>
      </c>
      <c r="I107" s="59"/>
    </row>
    <row r="108" spans="2:9" s="51" customFormat="1" ht="19.75" customHeight="1">
      <c r="B108" s="49">
        <v>40363</v>
      </c>
      <c r="C108" s="58">
        <v>9725950.6359279994</v>
      </c>
      <c r="D108" s="58">
        <v>680298.321</v>
      </c>
      <c r="E108" s="51" t="str">
        <f t="shared" si="2"/>
        <v>2010 q3</v>
      </c>
      <c r="I108" s="59"/>
    </row>
    <row r="109" spans="2:9" s="51" customFormat="1" ht="19.75" customHeight="1">
      <c r="B109" s="49">
        <v>40370</v>
      </c>
      <c r="C109" s="58">
        <v>5832758.7392199999</v>
      </c>
      <c r="D109" s="58">
        <v>421665.66149999999</v>
      </c>
      <c r="E109" s="51" t="str">
        <f t="shared" si="2"/>
        <v>2010 q3</v>
      </c>
      <c r="I109" s="59"/>
    </row>
    <row r="110" spans="2:9" s="51" customFormat="1" ht="19.75" customHeight="1">
      <c r="B110" s="49">
        <v>40377</v>
      </c>
      <c r="C110" s="58">
        <v>6713255.5746860001</v>
      </c>
      <c r="D110" s="58">
        <v>484872.71555999998</v>
      </c>
      <c r="E110" s="51" t="str">
        <f t="shared" si="2"/>
        <v>2010 q3</v>
      </c>
      <c r="I110" s="59"/>
    </row>
    <row r="111" spans="2:9" s="51" customFormat="1" ht="19.75" customHeight="1">
      <c r="B111" s="49">
        <v>40384</v>
      </c>
      <c r="C111" s="58">
        <v>7804590.0930239996</v>
      </c>
      <c r="D111" s="58">
        <v>562316.74367999996</v>
      </c>
      <c r="E111" s="51" t="str">
        <f t="shared" si="2"/>
        <v>2010 q3</v>
      </c>
      <c r="I111" s="59"/>
    </row>
    <row r="112" spans="2:9" s="51" customFormat="1" ht="19.75" customHeight="1">
      <c r="B112" s="49">
        <v>40391</v>
      </c>
      <c r="C112" s="58">
        <v>9863038.7700830009</v>
      </c>
      <c r="D112" s="58">
        <v>677024.71357999998</v>
      </c>
      <c r="E112" s="51" t="str">
        <f t="shared" si="2"/>
        <v>2010 q3</v>
      </c>
      <c r="I112" s="59"/>
    </row>
    <row r="113" spans="2:9" s="51" customFormat="1" ht="19.75" customHeight="1">
      <c r="B113" s="49">
        <v>40398</v>
      </c>
      <c r="C113" s="58">
        <v>6208034.1933000004</v>
      </c>
      <c r="D113" s="58">
        <v>450828.05972000002</v>
      </c>
      <c r="E113" s="51" t="str">
        <f t="shared" si="2"/>
        <v>2010 q3</v>
      </c>
      <c r="I113" s="59"/>
    </row>
    <row r="114" spans="2:9" s="51" customFormat="1" ht="19.75" customHeight="1">
      <c r="B114" s="49">
        <v>40405</v>
      </c>
      <c r="C114" s="58">
        <v>6400971.2335649999</v>
      </c>
      <c r="D114" s="58">
        <v>447158.02422000002</v>
      </c>
      <c r="E114" s="51" t="str">
        <f t="shared" si="2"/>
        <v>2010 q3</v>
      </c>
      <c r="I114" s="59"/>
    </row>
    <row r="115" spans="2:9" s="51" customFormat="1" ht="19.75" customHeight="1">
      <c r="B115" s="49">
        <v>40412</v>
      </c>
      <c r="C115" s="58">
        <v>5777112.6984540001</v>
      </c>
      <c r="D115" s="58">
        <v>405507.98540000001</v>
      </c>
      <c r="E115" s="51" t="str">
        <f t="shared" si="2"/>
        <v>2010 q3</v>
      </c>
      <c r="I115" s="59"/>
    </row>
    <row r="116" spans="2:9" s="51" customFormat="1" ht="19.75" customHeight="1">
      <c r="B116" s="49">
        <v>40419</v>
      </c>
      <c r="C116" s="58">
        <v>7249862.1659359997</v>
      </c>
      <c r="D116" s="58">
        <v>527393.5</v>
      </c>
      <c r="E116" s="51" t="str">
        <f t="shared" si="2"/>
        <v>2010 q3</v>
      </c>
      <c r="I116" s="59"/>
    </row>
    <row r="117" spans="2:9" s="51" customFormat="1" ht="19.75" customHeight="1">
      <c r="B117" s="49">
        <v>40426</v>
      </c>
      <c r="C117" s="58">
        <v>4921946.0156479999</v>
      </c>
      <c r="D117" s="58">
        <v>428220.4056</v>
      </c>
      <c r="E117" s="51" t="str">
        <f t="shared" si="2"/>
        <v>2010 q3</v>
      </c>
      <c r="I117" s="59"/>
    </row>
    <row r="118" spans="2:9" s="51" customFormat="1" ht="19.75" customHeight="1">
      <c r="B118" s="49">
        <v>40433</v>
      </c>
      <c r="C118" s="58">
        <v>7212283.0975219198</v>
      </c>
      <c r="D118" s="58">
        <v>538133.44789399998</v>
      </c>
      <c r="E118" s="51" t="str">
        <f t="shared" si="2"/>
        <v>2010 q3</v>
      </c>
      <c r="I118" s="59"/>
    </row>
    <row r="119" spans="2:9" s="51" customFormat="1" ht="19.75" customHeight="1">
      <c r="B119" s="49">
        <v>40440</v>
      </c>
      <c r="C119" s="58">
        <v>7417674.8656400004</v>
      </c>
      <c r="D119" s="58">
        <v>541987.81359999999</v>
      </c>
      <c r="E119" s="51" t="str">
        <f t="shared" si="2"/>
        <v>2010 q3</v>
      </c>
      <c r="I119" s="59"/>
    </row>
    <row r="120" spans="2:9" s="51" customFormat="1" ht="19.75" customHeight="1">
      <c r="B120" s="49">
        <v>40447</v>
      </c>
      <c r="C120" s="58">
        <v>4890825.9359903</v>
      </c>
      <c r="D120" s="58">
        <v>379080.09292000002</v>
      </c>
      <c r="E120" s="51" t="str">
        <f t="shared" si="2"/>
        <v>2010 q3</v>
      </c>
      <c r="I120" s="59"/>
    </row>
    <row r="121" spans="2:9" s="51" customFormat="1" ht="19.75" customHeight="1">
      <c r="B121" s="49">
        <v>40454</v>
      </c>
      <c r="C121" s="58">
        <v>6557165.0120019997</v>
      </c>
      <c r="D121" s="58">
        <v>522288.02399999998</v>
      </c>
      <c r="E121" s="51" t="str">
        <f t="shared" si="2"/>
        <v>2010 q4</v>
      </c>
      <c r="I121" s="59"/>
    </row>
    <row r="122" spans="2:9" s="51" customFormat="1" ht="19.75" customHeight="1">
      <c r="B122" s="49">
        <v>40461</v>
      </c>
      <c r="C122" s="58">
        <v>6637543.6674239999</v>
      </c>
      <c r="D122" s="58">
        <v>490761.18</v>
      </c>
      <c r="E122" s="51" t="str">
        <f t="shared" si="2"/>
        <v>2010 q4</v>
      </c>
      <c r="I122" s="59"/>
    </row>
    <row r="123" spans="2:9" s="51" customFormat="1" ht="19.75" customHeight="1">
      <c r="B123" s="49">
        <v>40468</v>
      </c>
      <c r="C123" s="58">
        <v>5777879.6982479999</v>
      </c>
      <c r="D123" s="58">
        <v>412384.75520000001</v>
      </c>
      <c r="E123" s="51" t="str">
        <f t="shared" si="2"/>
        <v>2010 q4</v>
      </c>
      <c r="I123" s="59"/>
    </row>
    <row r="124" spans="2:9" s="51" customFormat="1" ht="19.75" customHeight="1">
      <c r="B124" s="49">
        <v>40475</v>
      </c>
      <c r="C124" s="58">
        <v>7873019.0341999996</v>
      </c>
      <c r="D124" s="58">
        <v>596239.95250000001</v>
      </c>
      <c r="E124" s="51" t="str">
        <f t="shared" si="2"/>
        <v>2010 q4</v>
      </c>
      <c r="I124" s="59"/>
    </row>
    <row r="125" spans="2:9" s="51" customFormat="1" ht="19.75" customHeight="1">
      <c r="B125" s="49">
        <v>40482</v>
      </c>
      <c r="C125" s="58">
        <v>7072083.4737600004</v>
      </c>
      <c r="D125" s="58">
        <v>524384.74399999995</v>
      </c>
      <c r="E125" s="51" t="str">
        <f t="shared" si="2"/>
        <v>2010 q4</v>
      </c>
      <c r="I125" s="59"/>
    </row>
    <row r="126" spans="2:9" s="51" customFormat="1" ht="19.75" customHeight="1">
      <c r="B126" s="49">
        <v>40489</v>
      </c>
      <c r="C126" s="58">
        <v>5155097.0261834003</v>
      </c>
      <c r="D126" s="58">
        <v>391824.16232</v>
      </c>
      <c r="E126" s="51" t="str">
        <f t="shared" si="2"/>
        <v>2010 q4</v>
      </c>
      <c r="I126" s="59"/>
    </row>
    <row r="127" spans="2:9" s="51" customFormat="1" ht="19.75" customHeight="1">
      <c r="B127" s="49">
        <v>40496</v>
      </c>
      <c r="C127" s="58">
        <v>94862987.904039994</v>
      </c>
      <c r="D127" s="58">
        <v>7832709.1189000001</v>
      </c>
      <c r="E127" s="51" t="str">
        <f t="shared" si="2"/>
        <v>2010 q4</v>
      </c>
      <c r="I127" s="59"/>
    </row>
    <row r="128" spans="2:9" s="51" customFormat="1" ht="19.75" customHeight="1">
      <c r="B128" s="49">
        <v>40503</v>
      </c>
      <c r="C128" s="58">
        <v>9097601.5236662496</v>
      </c>
      <c r="D128" s="58">
        <v>692909.32671990001</v>
      </c>
      <c r="E128" s="51" t="str">
        <f t="shared" si="2"/>
        <v>2010 q4</v>
      </c>
      <c r="I128" s="59"/>
    </row>
    <row r="129" spans="2:9" s="51" customFormat="1" ht="19.75" customHeight="1">
      <c r="B129" s="49">
        <v>40510</v>
      </c>
      <c r="C129" s="58">
        <v>11876032.840812</v>
      </c>
      <c r="D129" s="58">
        <v>897995.21836000006</v>
      </c>
      <c r="E129" s="51" t="str">
        <f t="shared" si="2"/>
        <v>2010 q4</v>
      </c>
      <c r="I129" s="59"/>
    </row>
    <row r="130" spans="2:9" s="51" customFormat="1" ht="19.75" customHeight="1">
      <c r="B130" s="49">
        <v>40517</v>
      </c>
      <c r="C130" s="58">
        <v>10549406.19248</v>
      </c>
      <c r="D130" s="58">
        <v>821602.75399999996</v>
      </c>
      <c r="E130" s="51" t="str">
        <f t="shared" si="2"/>
        <v>2010 q4</v>
      </c>
      <c r="I130" s="59"/>
    </row>
    <row r="131" spans="2:9" s="51" customFormat="1" ht="19.75" customHeight="1">
      <c r="B131" s="49">
        <v>40524</v>
      </c>
      <c r="C131" s="58">
        <v>7544550.3473100001</v>
      </c>
      <c r="D131" s="58">
        <v>546513.82999999996</v>
      </c>
      <c r="E131" s="51" t="str">
        <f t="shared" si="2"/>
        <v>2010 q4</v>
      </c>
      <c r="I131" s="59"/>
    </row>
    <row r="132" spans="2:9" s="51" customFormat="1" ht="19.75" customHeight="1">
      <c r="B132" s="49">
        <v>40531</v>
      </c>
      <c r="C132" s="58">
        <v>9630649.1390732005</v>
      </c>
      <c r="D132" s="58">
        <v>728610.10612000001</v>
      </c>
      <c r="E132" s="51" t="str">
        <f t="shared" si="2"/>
        <v>2010 q4</v>
      </c>
      <c r="I132" s="59"/>
    </row>
    <row r="133" spans="2:9" s="51" customFormat="1" ht="19.75" customHeight="1">
      <c r="B133" s="49">
        <v>40538</v>
      </c>
      <c r="C133" s="58">
        <v>18855710.410482399</v>
      </c>
      <c r="D133" s="58">
        <v>1256212.8224800001</v>
      </c>
      <c r="E133" s="51" t="str">
        <f t="shared" si="2"/>
        <v>2010 q4</v>
      </c>
      <c r="I133" s="59"/>
    </row>
    <row r="134" spans="2:9" s="51" customFormat="1" ht="19.75" customHeight="1">
      <c r="B134" s="49">
        <v>40545</v>
      </c>
      <c r="C134" s="58">
        <v>15626655.689854501</v>
      </c>
      <c r="D134" s="58">
        <v>1203189.2581833999</v>
      </c>
      <c r="E134" s="51" t="str">
        <f t="shared" ref="E134:E197" si="3">YEAR(B134)&amp;" q"&amp;ROUNDUP(MONTH(B134)/3,0)</f>
        <v>2011 q1</v>
      </c>
      <c r="I134" s="59"/>
    </row>
    <row r="135" spans="2:9" s="51" customFormat="1" ht="19.75" customHeight="1">
      <c r="B135" s="49">
        <v>40559</v>
      </c>
      <c r="C135" s="58">
        <v>4842773.6079599997</v>
      </c>
      <c r="D135" s="58">
        <v>361868.21055999998</v>
      </c>
      <c r="E135" s="51" t="str">
        <f t="shared" si="3"/>
        <v>2011 q1</v>
      </c>
      <c r="I135" s="59"/>
    </row>
    <row r="136" spans="2:9" s="51" customFormat="1" ht="19.75" customHeight="1">
      <c r="B136" s="49">
        <v>40566</v>
      </c>
      <c r="C136" s="58">
        <v>4681017.9595440002</v>
      </c>
      <c r="D136" s="58">
        <v>376778.13897999999</v>
      </c>
      <c r="E136" s="51" t="str">
        <f t="shared" si="3"/>
        <v>2011 q1</v>
      </c>
      <c r="I136" s="59"/>
    </row>
    <row r="137" spans="2:9" s="51" customFormat="1" ht="19.75" customHeight="1">
      <c r="B137" s="49">
        <v>40573</v>
      </c>
      <c r="C137" s="58">
        <v>6021682.9822000004</v>
      </c>
      <c r="D137" s="58">
        <v>466038.61599999998</v>
      </c>
      <c r="E137" s="51" t="str">
        <f t="shared" si="3"/>
        <v>2011 q1</v>
      </c>
      <c r="I137" s="59"/>
    </row>
    <row r="138" spans="2:9" s="51" customFormat="1" ht="19.75" customHeight="1">
      <c r="B138" s="49">
        <v>40580</v>
      </c>
      <c r="C138" s="58">
        <v>5994011.5434420202</v>
      </c>
      <c r="D138" s="58">
        <v>465262.50244200003</v>
      </c>
      <c r="E138" s="51" t="str">
        <f t="shared" si="3"/>
        <v>2011 q1</v>
      </c>
      <c r="I138" s="59"/>
    </row>
    <row r="139" spans="2:9" s="51" customFormat="1" ht="19.75" customHeight="1">
      <c r="B139" s="49">
        <v>40587</v>
      </c>
      <c r="C139" s="58">
        <v>6848821.7689175</v>
      </c>
      <c r="D139" s="58">
        <v>556471.40160999994</v>
      </c>
      <c r="E139" s="51" t="str">
        <f t="shared" si="3"/>
        <v>2011 q1</v>
      </c>
      <c r="I139" s="59"/>
    </row>
    <row r="140" spans="2:9" s="51" customFormat="1" ht="19.75" customHeight="1">
      <c r="B140" s="49">
        <v>40594</v>
      </c>
      <c r="C140" s="58">
        <v>6790360.0942080002</v>
      </c>
      <c r="D140" s="58">
        <v>540406.15040000004</v>
      </c>
      <c r="E140" s="51" t="str">
        <f t="shared" si="3"/>
        <v>2011 q1</v>
      </c>
      <c r="I140" s="59"/>
    </row>
    <row r="141" spans="2:9" s="51" customFormat="1" ht="19.75" customHeight="1">
      <c r="B141" s="49">
        <v>40601</v>
      </c>
      <c r="C141" s="58">
        <v>7959779.2088940004</v>
      </c>
      <c r="D141" s="58">
        <v>625012.79165000003</v>
      </c>
      <c r="E141" s="51" t="str">
        <f t="shared" si="3"/>
        <v>2011 q1</v>
      </c>
      <c r="I141" s="59"/>
    </row>
    <row r="142" spans="2:9" s="51" customFormat="1" ht="19.75" customHeight="1">
      <c r="B142" s="49">
        <v>40608</v>
      </c>
      <c r="C142" s="58">
        <v>7724044.9072667304</v>
      </c>
      <c r="D142" s="58">
        <v>611014.90567999997</v>
      </c>
      <c r="E142" s="51" t="str">
        <f t="shared" si="3"/>
        <v>2011 q1</v>
      </c>
      <c r="I142" s="59"/>
    </row>
    <row r="143" spans="2:9" s="51" customFormat="1" ht="19.75" customHeight="1">
      <c r="B143" s="49">
        <v>40615</v>
      </c>
      <c r="C143" s="58">
        <v>6410368.8804654004</v>
      </c>
      <c r="D143" s="58">
        <v>498024.06150000001</v>
      </c>
      <c r="E143" s="51" t="str">
        <f t="shared" si="3"/>
        <v>2011 q1</v>
      </c>
      <c r="I143" s="59"/>
    </row>
    <row r="144" spans="2:9" s="51" customFormat="1" ht="19.75" customHeight="1">
      <c r="B144" s="49">
        <v>40622</v>
      </c>
      <c r="C144" s="58">
        <v>10165538.4939538</v>
      </c>
      <c r="D144" s="58">
        <v>827451.53240000003</v>
      </c>
      <c r="E144" s="51" t="str">
        <f t="shared" si="3"/>
        <v>2011 q1</v>
      </c>
      <c r="I144" s="59"/>
    </row>
    <row r="145" spans="2:9" s="51" customFormat="1" ht="19.75" customHeight="1">
      <c r="B145" s="49">
        <v>40629</v>
      </c>
      <c r="C145" s="58">
        <v>11318982.4571735</v>
      </c>
      <c r="D145" s="58">
        <v>912729.62132000003</v>
      </c>
      <c r="E145" s="51" t="str">
        <f t="shared" si="3"/>
        <v>2011 q1</v>
      </c>
      <c r="I145" s="59"/>
    </row>
    <row r="146" spans="2:9" s="51" customFormat="1" ht="19.75" customHeight="1">
      <c r="B146" s="49">
        <v>40636</v>
      </c>
      <c r="C146" s="58">
        <v>8799279.3465281297</v>
      </c>
      <c r="D146" s="58">
        <v>706826.15460000001</v>
      </c>
      <c r="E146" s="51" t="str">
        <f t="shared" si="3"/>
        <v>2011 q2</v>
      </c>
      <c r="I146" s="59"/>
    </row>
    <row r="147" spans="2:9" s="51" customFormat="1" ht="19.75" customHeight="1">
      <c r="B147" s="49">
        <v>40643</v>
      </c>
      <c r="C147" s="58">
        <v>7729724.2276799995</v>
      </c>
      <c r="D147" s="58">
        <v>616520.51168</v>
      </c>
      <c r="E147" s="51" t="str">
        <f t="shared" si="3"/>
        <v>2011 q2</v>
      </c>
      <c r="I147" s="59"/>
    </row>
    <row r="148" spans="2:9" s="51" customFormat="1" ht="19.75" customHeight="1">
      <c r="B148" s="49">
        <v>40650</v>
      </c>
      <c r="C148" s="58">
        <v>9776841.9307840001</v>
      </c>
      <c r="D148" s="58">
        <v>751754.99871499999</v>
      </c>
      <c r="E148" s="51" t="str">
        <f t="shared" si="3"/>
        <v>2011 q2</v>
      </c>
      <c r="I148" s="59"/>
    </row>
    <row r="149" spans="2:9" s="51" customFormat="1" ht="19.75" customHeight="1">
      <c r="B149" s="49">
        <v>40657</v>
      </c>
      <c r="C149" s="58">
        <v>9675305.7833728008</v>
      </c>
      <c r="D149" s="58">
        <v>764662.89439999999</v>
      </c>
      <c r="E149" s="51" t="str">
        <f t="shared" si="3"/>
        <v>2011 q2</v>
      </c>
      <c r="I149" s="59"/>
    </row>
    <row r="150" spans="2:9" s="51" customFormat="1" ht="19.75" customHeight="1">
      <c r="B150" s="49">
        <v>40664</v>
      </c>
      <c r="C150" s="58">
        <v>9502965.65425024</v>
      </c>
      <c r="D150" s="58">
        <v>780130.71840000001</v>
      </c>
      <c r="E150" s="51" t="str">
        <f t="shared" si="3"/>
        <v>2011 q2</v>
      </c>
      <c r="I150" s="59"/>
    </row>
    <row r="151" spans="2:9" s="51" customFormat="1" ht="19.75" customHeight="1">
      <c r="B151" s="49">
        <v>40671</v>
      </c>
      <c r="C151" s="58">
        <v>7421818.3777350001</v>
      </c>
      <c r="D151" s="58">
        <v>578126.59629999998</v>
      </c>
      <c r="E151" s="51" t="str">
        <f t="shared" si="3"/>
        <v>2011 q2</v>
      </c>
      <c r="I151" s="59"/>
    </row>
    <row r="152" spans="2:9" s="51" customFormat="1" ht="19.75" customHeight="1">
      <c r="B152" s="49">
        <v>40678</v>
      </c>
      <c r="C152" s="58">
        <v>7213715.9426999995</v>
      </c>
      <c r="D152" s="58">
        <v>579644.72499999998</v>
      </c>
      <c r="E152" s="51" t="str">
        <f t="shared" si="3"/>
        <v>2011 q2</v>
      </c>
      <c r="I152" s="59"/>
    </row>
    <row r="153" spans="2:9" s="51" customFormat="1" ht="19.75" customHeight="1">
      <c r="B153" s="49">
        <v>40685</v>
      </c>
      <c r="C153" s="58">
        <v>9026601.2226656005</v>
      </c>
      <c r="D153" s="58">
        <v>713249.67619999999</v>
      </c>
      <c r="E153" s="51" t="str">
        <f t="shared" si="3"/>
        <v>2011 q2</v>
      </c>
      <c r="I153" s="59"/>
    </row>
    <row r="154" spans="2:9" s="51" customFormat="1" ht="19.75" customHeight="1">
      <c r="B154" s="49">
        <v>40692</v>
      </c>
      <c r="C154" s="58">
        <v>12579984.6872251</v>
      </c>
      <c r="D154" s="58">
        <v>1025816.19856</v>
      </c>
      <c r="E154" s="51" t="str">
        <f t="shared" si="3"/>
        <v>2011 q2</v>
      </c>
      <c r="I154" s="59"/>
    </row>
    <row r="155" spans="2:9" s="51" customFormat="1" ht="19.75" customHeight="1">
      <c r="B155" s="49">
        <v>40699</v>
      </c>
      <c r="C155" s="58">
        <v>10961946.4536804</v>
      </c>
      <c r="D155" s="58">
        <v>910931.79792000004</v>
      </c>
      <c r="E155" s="51" t="str">
        <f t="shared" si="3"/>
        <v>2011 q2</v>
      </c>
      <c r="I155" s="59"/>
    </row>
    <row r="156" spans="2:9" s="51" customFormat="1" ht="19.75" customHeight="1">
      <c r="B156" s="49">
        <v>40706</v>
      </c>
      <c r="C156" s="58">
        <v>12737670.3911392</v>
      </c>
      <c r="D156" s="58">
        <v>1038863.4336</v>
      </c>
      <c r="E156" s="51" t="str">
        <f t="shared" si="3"/>
        <v>2011 q2</v>
      </c>
      <c r="I156" s="59"/>
    </row>
    <row r="157" spans="2:9" s="51" customFormat="1" ht="19.75" customHeight="1">
      <c r="B157" s="49">
        <v>40713</v>
      </c>
      <c r="C157" s="58">
        <v>14383845.5507703</v>
      </c>
      <c r="D157" s="58">
        <v>1145236.5442760801</v>
      </c>
      <c r="E157" s="51" t="str">
        <f t="shared" si="3"/>
        <v>2011 q2</v>
      </c>
      <c r="I157" s="59"/>
    </row>
    <row r="158" spans="2:9" s="51" customFormat="1" ht="19.75" customHeight="1">
      <c r="B158" s="49">
        <v>40720</v>
      </c>
      <c r="C158" s="58">
        <v>9736726.5686719995</v>
      </c>
      <c r="D158" s="58">
        <v>769582.35224000004</v>
      </c>
      <c r="E158" s="51" t="str">
        <f t="shared" si="3"/>
        <v>2011 q2</v>
      </c>
      <c r="I158" s="59"/>
    </row>
    <row r="159" spans="2:9" s="51" customFormat="1" ht="19.75" customHeight="1">
      <c r="B159" s="49">
        <v>40727</v>
      </c>
      <c r="C159" s="58">
        <v>11853023.440920001</v>
      </c>
      <c r="D159" s="58">
        <v>925505.299</v>
      </c>
      <c r="E159" s="51" t="str">
        <f t="shared" si="3"/>
        <v>2011 q3</v>
      </c>
      <c r="I159" s="59"/>
    </row>
    <row r="160" spans="2:9" s="51" customFormat="1" ht="19.75" customHeight="1">
      <c r="B160" s="49">
        <v>40734</v>
      </c>
      <c r="C160" s="58">
        <v>9159348.9974889997</v>
      </c>
      <c r="D160" s="58">
        <v>745952.55980000005</v>
      </c>
      <c r="E160" s="51" t="str">
        <f t="shared" si="3"/>
        <v>2011 q3</v>
      </c>
      <c r="I160" s="59"/>
    </row>
    <row r="161" spans="2:9" s="51" customFormat="1" ht="19.75" customHeight="1">
      <c r="B161" s="49">
        <v>40741</v>
      </c>
      <c r="C161" s="58">
        <v>8474237.5164947994</v>
      </c>
      <c r="D161" s="58">
        <v>669543.43828</v>
      </c>
      <c r="E161" s="51" t="str">
        <f t="shared" si="3"/>
        <v>2011 q3</v>
      </c>
      <c r="I161" s="59"/>
    </row>
    <row r="162" spans="2:9" s="51" customFormat="1" ht="19.75" customHeight="1">
      <c r="B162" s="49">
        <v>40748</v>
      </c>
      <c r="C162" s="58">
        <v>11538940.43856</v>
      </c>
      <c r="D162" s="58">
        <v>868572.01599999995</v>
      </c>
      <c r="E162" s="51" t="str">
        <f t="shared" si="3"/>
        <v>2011 q3</v>
      </c>
      <c r="I162" s="59"/>
    </row>
    <row r="163" spans="2:9" s="51" customFormat="1" ht="19.75" customHeight="1">
      <c r="B163" s="49">
        <v>40755</v>
      </c>
      <c r="C163" s="58">
        <v>11569888.087176001</v>
      </c>
      <c r="D163" s="58">
        <v>911650.36840000004</v>
      </c>
      <c r="E163" s="51" t="str">
        <f t="shared" si="3"/>
        <v>2011 q3</v>
      </c>
      <c r="I163" s="59"/>
    </row>
    <row r="164" spans="2:9" s="51" customFormat="1" ht="19.75" customHeight="1">
      <c r="B164" s="49">
        <v>40762</v>
      </c>
      <c r="C164" s="58">
        <v>6731721.4023275999</v>
      </c>
      <c r="D164" s="58">
        <v>528021.94334</v>
      </c>
      <c r="E164" s="51" t="str">
        <f t="shared" si="3"/>
        <v>2011 q3</v>
      </c>
      <c r="I164" s="59"/>
    </row>
    <row r="165" spans="2:9" s="51" customFormat="1" ht="19.75" customHeight="1">
      <c r="B165" s="49">
        <v>40769</v>
      </c>
      <c r="C165" s="58">
        <v>9819086.0669929609</v>
      </c>
      <c r="D165" s="58">
        <v>758415.65880608</v>
      </c>
      <c r="E165" s="51" t="str">
        <f t="shared" si="3"/>
        <v>2011 q3</v>
      </c>
      <c r="I165" s="59"/>
    </row>
    <row r="166" spans="2:9" s="51" customFormat="1" ht="19.75" customHeight="1">
      <c r="B166" s="49">
        <v>40776</v>
      </c>
      <c r="C166" s="58">
        <v>8137127.4155160002</v>
      </c>
      <c r="D166" s="58">
        <v>618330.94440000004</v>
      </c>
      <c r="E166" s="51" t="str">
        <f t="shared" si="3"/>
        <v>2011 q3</v>
      </c>
      <c r="I166" s="59"/>
    </row>
    <row r="167" spans="2:9" s="51" customFormat="1" ht="19.75" customHeight="1">
      <c r="B167" s="49">
        <v>40783</v>
      </c>
      <c r="C167" s="58">
        <v>9010565.3252735995</v>
      </c>
      <c r="D167" s="58">
        <v>714693.95952000003</v>
      </c>
      <c r="E167" s="51" t="str">
        <f t="shared" si="3"/>
        <v>2011 q3</v>
      </c>
      <c r="I167" s="59"/>
    </row>
    <row r="168" spans="2:9" s="51" customFormat="1" ht="19.75" customHeight="1">
      <c r="B168" s="49">
        <v>40790</v>
      </c>
      <c r="C168" s="58">
        <v>7567612.7298412798</v>
      </c>
      <c r="D168" s="58">
        <v>622117.94225304003</v>
      </c>
      <c r="E168" s="51" t="str">
        <f t="shared" si="3"/>
        <v>2011 q3</v>
      </c>
      <c r="I168" s="59"/>
    </row>
    <row r="169" spans="2:9" s="51" customFormat="1" ht="19.75" customHeight="1">
      <c r="B169" s="49">
        <v>40797</v>
      </c>
      <c r="C169" s="58">
        <v>11117529.208898</v>
      </c>
      <c r="D169" s="58">
        <v>902095.21016000002</v>
      </c>
      <c r="E169" s="51" t="str">
        <f t="shared" si="3"/>
        <v>2011 q3</v>
      </c>
      <c r="I169" s="59"/>
    </row>
    <row r="170" spans="2:9" s="51" customFormat="1" ht="19.75" customHeight="1">
      <c r="B170" s="49">
        <v>40804</v>
      </c>
      <c r="C170" s="58">
        <v>9786974.2937808</v>
      </c>
      <c r="D170" s="58">
        <v>752408.94064000004</v>
      </c>
      <c r="E170" s="51" t="str">
        <f t="shared" si="3"/>
        <v>2011 q3</v>
      </c>
      <c r="I170" s="59"/>
    </row>
    <row r="171" spans="2:9" s="51" customFormat="1" ht="19.75" customHeight="1">
      <c r="B171" s="49">
        <v>40811</v>
      </c>
      <c r="C171" s="58">
        <v>8668100.5646800008</v>
      </c>
      <c r="D171" s="58">
        <v>698873.51199999999</v>
      </c>
      <c r="E171" s="51" t="str">
        <f t="shared" si="3"/>
        <v>2011 q3</v>
      </c>
      <c r="I171" s="59"/>
    </row>
    <row r="172" spans="2:9" s="51" customFormat="1" ht="19.75" customHeight="1">
      <c r="B172" s="49">
        <v>40818</v>
      </c>
      <c r="C172" s="58">
        <v>13705058.638720401</v>
      </c>
      <c r="D172" s="58">
        <v>1057340.6966599999</v>
      </c>
      <c r="E172" s="51" t="str">
        <f t="shared" si="3"/>
        <v>2011 q4</v>
      </c>
      <c r="I172" s="59"/>
    </row>
    <row r="173" spans="2:9" s="51" customFormat="1" ht="19.75" customHeight="1">
      <c r="B173" s="49">
        <v>40825</v>
      </c>
      <c r="C173" s="58">
        <v>9116398.6922340002</v>
      </c>
      <c r="D173" s="58">
        <v>734249.24054999999</v>
      </c>
      <c r="E173" s="51" t="str">
        <f t="shared" si="3"/>
        <v>2011 q4</v>
      </c>
      <c r="I173" s="59"/>
    </row>
    <row r="174" spans="2:9" s="51" customFormat="1" ht="19.75" customHeight="1">
      <c r="B174" s="49">
        <v>40832</v>
      </c>
      <c r="C174" s="58">
        <v>10829223.4591468</v>
      </c>
      <c r="D174" s="58">
        <v>850320.38867000001</v>
      </c>
      <c r="E174" s="51" t="str">
        <f t="shared" si="3"/>
        <v>2011 q4</v>
      </c>
      <c r="I174" s="59"/>
    </row>
    <row r="175" spans="2:9" s="51" customFormat="1" ht="19.75" customHeight="1">
      <c r="B175" s="49">
        <v>40839</v>
      </c>
      <c r="C175" s="58">
        <v>9907892.6158719994</v>
      </c>
      <c r="D175" s="58">
        <v>778543.87254000001</v>
      </c>
      <c r="E175" s="51" t="str">
        <f t="shared" si="3"/>
        <v>2011 q4</v>
      </c>
      <c r="I175" s="59"/>
    </row>
    <row r="176" spans="2:9" s="51" customFormat="1" ht="19.75" customHeight="1">
      <c r="B176" s="49">
        <v>40846</v>
      </c>
      <c r="C176" s="58">
        <v>10882729.100772001</v>
      </c>
      <c r="D176" s="58">
        <v>876923.86017999996</v>
      </c>
      <c r="E176" s="51" t="str">
        <f t="shared" si="3"/>
        <v>2011 q4</v>
      </c>
      <c r="I176" s="59"/>
    </row>
    <row r="177" spans="2:9" s="51" customFormat="1" ht="19.75" customHeight="1">
      <c r="B177" s="49">
        <v>40853</v>
      </c>
      <c r="C177" s="58">
        <v>13528101.327430399</v>
      </c>
      <c r="D177" s="58">
        <v>1068829.07718</v>
      </c>
      <c r="E177" s="51" t="str">
        <f t="shared" si="3"/>
        <v>2011 q4</v>
      </c>
      <c r="I177" s="59"/>
    </row>
    <row r="178" spans="2:9" s="51" customFormat="1" ht="19.75" customHeight="1">
      <c r="B178" s="49">
        <v>40860</v>
      </c>
      <c r="C178" s="58">
        <v>13147180.633784</v>
      </c>
      <c r="D178" s="58">
        <v>1006187.52244</v>
      </c>
      <c r="E178" s="51" t="str">
        <f t="shared" si="3"/>
        <v>2011 q4</v>
      </c>
      <c r="I178" s="59"/>
    </row>
    <row r="179" spans="2:9" s="51" customFormat="1" ht="19.75" customHeight="1">
      <c r="B179" s="49">
        <v>40867</v>
      </c>
      <c r="C179" s="58">
        <v>9486656.6963024009</v>
      </c>
      <c r="D179" s="58">
        <v>764396.93056000001</v>
      </c>
      <c r="E179" s="51" t="str">
        <f t="shared" si="3"/>
        <v>2011 q4</v>
      </c>
      <c r="I179" s="59"/>
    </row>
    <row r="180" spans="2:9" s="51" customFormat="1" ht="19.75" customHeight="1">
      <c r="B180" s="49">
        <v>40874</v>
      </c>
      <c r="C180" s="58">
        <v>10765988.6760798</v>
      </c>
      <c r="D180" s="58">
        <v>867386.90456000005</v>
      </c>
      <c r="E180" s="51" t="str">
        <f t="shared" si="3"/>
        <v>2011 q4</v>
      </c>
      <c r="I180" s="59"/>
    </row>
    <row r="181" spans="2:9" s="51" customFormat="1" ht="19.75" customHeight="1">
      <c r="B181" s="49">
        <v>40881</v>
      </c>
      <c r="C181" s="58">
        <v>10942387.281598</v>
      </c>
      <c r="D181" s="58">
        <v>862504.81325999997</v>
      </c>
      <c r="E181" s="51" t="str">
        <f t="shared" si="3"/>
        <v>2011 q4</v>
      </c>
      <c r="I181" s="59"/>
    </row>
    <row r="182" spans="2:9" s="51" customFormat="1" ht="19.75" customHeight="1">
      <c r="B182" s="49">
        <v>40888</v>
      </c>
      <c r="C182" s="58">
        <v>9578331.0865400005</v>
      </c>
      <c r="D182" s="58">
        <v>734487.38463999995</v>
      </c>
      <c r="E182" s="51" t="str">
        <f t="shared" si="3"/>
        <v>2011 q4</v>
      </c>
      <c r="I182" s="59"/>
    </row>
    <row r="183" spans="2:9" s="51" customFormat="1" ht="19.75" customHeight="1">
      <c r="B183" s="49">
        <v>40895</v>
      </c>
      <c r="C183" s="58">
        <v>11070804.507354001</v>
      </c>
      <c r="D183" s="58">
        <v>838669.34530000004</v>
      </c>
      <c r="E183" s="51" t="str">
        <f t="shared" si="3"/>
        <v>2011 q4</v>
      </c>
      <c r="I183" s="59"/>
    </row>
    <row r="184" spans="2:9" s="51" customFormat="1" ht="19.75" customHeight="1">
      <c r="B184" s="49">
        <v>40902</v>
      </c>
      <c r="C184" s="58">
        <v>9390989.9520100001</v>
      </c>
      <c r="D184" s="58">
        <v>719576.56247999996</v>
      </c>
      <c r="E184" s="51" t="str">
        <f t="shared" si="3"/>
        <v>2011 q4</v>
      </c>
      <c r="I184" s="59"/>
    </row>
    <row r="185" spans="2:9" s="51" customFormat="1" ht="19.75" customHeight="1">
      <c r="B185" s="49">
        <v>40909</v>
      </c>
      <c r="C185" s="58">
        <v>19466824.202555701</v>
      </c>
      <c r="D185" s="58">
        <v>1535176.147256</v>
      </c>
      <c r="E185" s="51" t="str">
        <f t="shared" si="3"/>
        <v>2012 q1</v>
      </c>
      <c r="I185" s="59"/>
    </row>
    <row r="186" spans="2:9" s="51" customFormat="1" ht="19.75" customHeight="1">
      <c r="B186" s="49">
        <v>40923</v>
      </c>
      <c r="C186" s="58">
        <v>1515217.5077623201</v>
      </c>
      <c r="D186" s="58">
        <v>130828.93403898001</v>
      </c>
      <c r="E186" s="51" t="str">
        <f t="shared" si="3"/>
        <v>2012 q1</v>
      </c>
      <c r="I186" s="59"/>
    </row>
    <row r="187" spans="2:9" s="51" customFormat="1" ht="19.75" customHeight="1">
      <c r="B187" s="49">
        <v>40930</v>
      </c>
      <c r="C187" s="58">
        <v>4029852.3317825999</v>
      </c>
      <c r="D187" s="58">
        <v>312200.18521999998</v>
      </c>
      <c r="E187" s="51" t="str">
        <f t="shared" si="3"/>
        <v>2012 q1</v>
      </c>
      <c r="I187" s="59"/>
    </row>
    <row r="188" spans="2:9" s="51" customFormat="1" ht="19.75" customHeight="1">
      <c r="B188" s="49">
        <v>40937</v>
      </c>
      <c r="C188" s="58">
        <v>4572019.5887826001</v>
      </c>
      <c r="D188" s="58">
        <v>365829.86450959998</v>
      </c>
      <c r="E188" s="51" t="str">
        <f t="shared" si="3"/>
        <v>2012 q1</v>
      </c>
      <c r="I188" s="59"/>
    </row>
    <row r="189" spans="2:9" s="51" customFormat="1" ht="19.75" customHeight="1">
      <c r="B189" s="49">
        <v>40944</v>
      </c>
      <c r="C189" s="58">
        <v>5800710.1681776</v>
      </c>
      <c r="D189" s="58">
        <v>478767.70360000001</v>
      </c>
      <c r="E189" s="51" t="str">
        <f t="shared" si="3"/>
        <v>2012 q1</v>
      </c>
      <c r="I189" s="59"/>
    </row>
    <row r="190" spans="2:9" s="51" customFormat="1" ht="19.75" customHeight="1">
      <c r="B190" s="49">
        <v>40951</v>
      </c>
      <c r="C190" s="58">
        <v>6708561.1592720002</v>
      </c>
      <c r="D190" s="58">
        <v>528288.15839999996</v>
      </c>
      <c r="E190" s="51" t="str">
        <f t="shared" si="3"/>
        <v>2012 q1</v>
      </c>
      <c r="I190" s="59"/>
    </row>
    <row r="191" spans="2:9" s="51" customFormat="1" ht="19.75" customHeight="1">
      <c r="B191" s="49">
        <v>40958</v>
      </c>
      <c r="C191" s="58">
        <v>7720163.5715632001</v>
      </c>
      <c r="D191" s="58">
        <v>665379.78544000001</v>
      </c>
      <c r="E191" s="51" t="str">
        <f t="shared" si="3"/>
        <v>2012 q1</v>
      </c>
      <c r="I191" s="59"/>
    </row>
    <row r="192" spans="2:9" s="51" customFormat="1" ht="19.75" customHeight="1">
      <c r="B192" s="49">
        <v>40965</v>
      </c>
      <c r="C192" s="58">
        <v>5850754.6516319998</v>
      </c>
      <c r="D192" s="58">
        <v>473311.58016000001</v>
      </c>
      <c r="E192" s="51" t="str">
        <f t="shared" si="3"/>
        <v>2012 q1</v>
      </c>
      <c r="I192" s="59"/>
    </row>
    <row r="193" spans="2:9" s="51" customFormat="1" ht="19.75" customHeight="1">
      <c r="B193" s="49">
        <v>40972</v>
      </c>
      <c r="C193" s="58">
        <v>8298929.72095</v>
      </c>
      <c r="D193" s="58">
        <v>648629.81310000003</v>
      </c>
      <c r="E193" s="51" t="str">
        <f t="shared" si="3"/>
        <v>2012 q1</v>
      </c>
      <c r="I193" s="59"/>
    </row>
    <row r="194" spans="2:9" s="51" customFormat="1" ht="19.75" customHeight="1">
      <c r="B194" s="49">
        <v>40979</v>
      </c>
      <c r="C194" s="58">
        <v>4658672.9122604998</v>
      </c>
      <c r="D194" s="58">
        <v>382608.45199999999</v>
      </c>
      <c r="E194" s="51" t="str">
        <f t="shared" si="3"/>
        <v>2012 q1</v>
      </c>
      <c r="I194" s="59"/>
    </row>
    <row r="195" spans="2:9" s="51" customFormat="1" ht="19.75" customHeight="1">
      <c r="B195" s="49">
        <v>40986</v>
      </c>
      <c r="C195" s="58">
        <v>10527328.471224001</v>
      </c>
      <c r="D195" s="58">
        <v>816704.12251999998</v>
      </c>
      <c r="E195" s="51" t="str">
        <f t="shared" si="3"/>
        <v>2012 q1</v>
      </c>
      <c r="I195" s="59"/>
    </row>
    <row r="196" spans="2:9" s="51" customFormat="1" ht="19.75" customHeight="1">
      <c r="B196" s="49">
        <v>40993</v>
      </c>
      <c r="C196" s="58">
        <v>16143157.747188199</v>
      </c>
      <c r="D196" s="58">
        <v>1322378.931784</v>
      </c>
      <c r="E196" s="51" t="str">
        <f t="shared" si="3"/>
        <v>2012 q1</v>
      </c>
      <c r="I196" s="59"/>
    </row>
    <row r="197" spans="2:9" s="51" customFormat="1" ht="19.75" customHeight="1">
      <c r="B197" s="49">
        <v>41000</v>
      </c>
      <c r="C197" s="58">
        <v>15201426.768767999</v>
      </c>
      <c r="D197" s="58">
        <v>1196244.27306</v>
      </c>
      <c r="E197" s="51" t="str">
        <f t="shared" si="3"/>
        <v>2012 q2</v>
      </c>
      <c r="I197" s="59"/>
    </row>
    <row r="198" spans="2:9" s="51" customFormat="1" ht="19.75" customHeight="1">
      <c r="B198" s="49">
        <v>41007</v>
      </c>
      <c r="C198" s="58">
        <v>11081963.46257</v>
      </c>
      <c r="D198" s="58">
        <v>864977.92920000001</v>
      </c>
      <c r="E198" s="51" t="str">
        <f t="shared" ref="E198:E261" si="4">YEAR(B198)&amp;" q"&amp;ROUNDUP(MONTH(B198)/3,0)</f>
        <v>2012 q2</v>
      </c>
      <c r="I198" s="59"/>
    </row>
    <row r="199" spans="2:9" s="51" customFormat="1" ht="19.75" customHeight="1">
      <c r="B199" s="49">
        <v>41014</v>
      </c>
      <c r="C199" s="58">
        <v>10365715.332243999</v>
      </c>
      <c r="D199" s="58">
        <v>826323.654874</v>
      </c>
      <c r="E199" s="51" t="str">
        <f t="shared" si="4"/>
        <v>2012 q2</v>
      </c>
      <c r="I199" s="59"/>
    </row>
    <row r="200" spans="2:9" s="51" customFormat="1" ht="19.75" customHeight="1">
      <c r="B200" s="49">
        <v>41021</v>
      </c>
      <c r="C200" s="58">
        <v>10765248.5151868</v>
      </c>
      <c r="D200" s="58">
        <v>915094.35127999994</v>
      </c>
      <c r="E200" s="51" t="str">
        <f t="shared" si="4"/>
        <v>2012 q2</v>
      </c>
      <c r="I200" s="59"/>
    </row>
    <row r="201" spans="2:9" s="51" customFormat="1" ht="19.75" customHeight="1">
      <c r="B201" s="49">
        <v>41028</v>
      </c>
      <c r="C201" s="58">
        <v>14616794.880548401</v>
      </c>
      <c r="D201" s="58">
        <v>1168566.01825</v>
      </c>
      <c r="E201" s="51" t="str">
        <f t="shared" si="4"/>
        <v>2012 q2</v>
      </c>
      <c r="I201" s="59"/>
    </row>
    <row r="202" spans="2:9" s="51" customFormat="1" ht="19.75" customHeight="1">
      <c r="B202" s="49">
        <v>41035</v>
      </c>
      <c r="C202" s="58">
        <v>8906999.4943879992</v>
      </c>
      <c r="D202" s="58">
        <v>705312.75864999997</v>
      </c>
      <c r="E202" s="51" t="str">
        <f t="shared" si="4"/>
        <v>2012 q2</v>
      </c>
      <c r="I202" s="59"/>
    </row>
    <row r="203" spans="2:9" s="51" customFormat="1" ht="19.75" customHeight="1">
      <c r="B203" s="49">
        <v>41042</v>
      </c>
      <c r="C203" s="58">
        <v>6007260.444445</v>
      </c>
      <c r="D203" s="58">
        <v>543567.94830000005</v>
      </c>
      <c r="E203" s="51" t="str">
        <f t="shared" si="4"/>
        <v>2012 q2</v>
      </c>
      <c r="I203" s="59"/>
    </row>
    <row r="204" spans="2:9" s="51" customFormat="1" ht="19.75" customHeight="1">
      <c r="B204" s="49">
        <v>41049</v>
      </c>
      <c r="C204" s="58">
        <v>15884648.022712899</v>
      </c>
      <c r="D204" s="58">
        <v>1183289.639496</v>
      </c>
      <c r="E204" s="51" t="str">
        <f t="shared" si="4"/>
        <v>2012 q2</v>
      </c>
      <c r="I204" s="59"/>
    </row>
    <row r="205" spans="2:9" s="51" customFormat="1" ht="19.75" customHeight="1">
      <c r="B205" s="49">
        <v>41056</v>
      </c>
      <c r="C205" s="58">
        <v>13602192.468598399</v>
      </c>
      <c r="D205" s="58">
        <v>1099266.37696</v>
      </c>
      <c r="E205" s="51" t="str">
        <f t="shared" si="4"/>
        <v>2012 q2</v>
      </c>
      <c r="I205" s="59"/>
    </row>
    <row r="206" spans="2:9" s="51" customFormat="1" ht="19.75" customHeight="1">
      <c r="B206" s="49">
        <v>41063</v>
      </c>
      <c r="C206" s="58">
        <v>9466277.7448514998</v>
      </c>
      <c r="D206" s="58">
        <v>751990.84274999995</v>
      </c>
      <c r="E206" s="51" t="str">
        <f t="shared" si="4"/>
        <v>2012 q2</v>
      </c>
      <c r="I206" s="59"/>
    </row>
    <row r="207" spans="2:9" s="51" customFormat="1" ht="19.75" customHeight="1">
      <c r="B207" s="49">
        <v>41070</v>
      </c>
      <c r="C207" s="58">
        <v>11717064.052392</v>
      </c>
      <c r="D207" s="58">
        <v>942005.18160000001</v>
      </c>
      <c r="E207" s="51" t="str">
        <f t="shared" si="4"/>
        <v>2012 q2</v>
      </c>
      <c r="I207" s="59"/>
    </row>
    <row r="208" spans="2:9" s="51" customFormat="1" ht="19.75" customHeight="1">
      <c r="B208" s="49">
        <v>41077</v>
      </c>
      <c r="C208" s="58">
        <v>13889462.4567682</v>
      </c>
      <c r="D208" s="58">
        <v>1139496.32608</v>
      </c>
      <c r="E208" s="51" t="str">
        <f t="shared" si="4"/>
        <v>2012 q2</v>
      </c>
      <c r="I208" s="59"/>
    </row>
    <row r="209" spans="2:9" s="51" customFormat="1" ht="19.75" customHeight="1">
      <c r="B209" s="49">
        <v>41084</v>
      </c>
      <c r="C209" s="58">
        <v>13029988.671326401</v>
      </c>
      <c r="D209" s="58">
        <v>1059865.5248</v>
      </c>
      <c r="E209" s="51" t="str">
        <f t="shared" si="4"/>
        <v>2012 q2</v>
      </c>
      <c r="I209" s="59"/>
    </row>
    <row r="210" spans="2:9" s="51" customFormat="1" ht="19.75" customHeight="1">
      <c r="B210" s="49">
        <v>41091</v>
      </c>
      <c r="C210" s="58">
        <v>14757577.0746374</v>
      </c>
      <c r="D210" s="58">
        <v>1158264.1325000001</v>
      </c>
      <c r="E210" s="51" t="str">
        <f t="shared" si="4"/>
        <v>2012 q3</v>
      </c>
      <c r="I210" s="59"/>
    </row>
    <row r="211" spans="2:9" s="51" customFormat="1" ht="19.75" customHeight="1">
      <c r="B211" s="49">
        <v>41098</v>
      </c>
      <c r="C211" s="58">
        <v>9463100.0740639996</v>
      </c>
      <c r="D211" s="58">
        <v>756365.25199999998</v>
      </c>
      <c r="E211" s="51" t="str">
        <f t="shared" si="4"/>
        <v>2012 q3</v>
      </c>
      <c r="I211" s="59"/>
    </row>
    <row r="212" spans="2:9" s="51" customFormat="1" ht="19.75" customHeight="1">
      <c r="B212" s="49">
        <v>41105</v>
      </c>
      <c r="C212" s="58">
        <v>13438559.5278743</v>
      </c>
      <c r="D212" s="58">
        <v>1072024.0782979999</v>
      </c>
      <c r="E212" s="51" t="str">
        <f t="shared" si="4"/>
        <v>2012 q3</v>
      </c>
      <c r="I212" s="59"/>
    </row>
    <row r="213" spans="2:9" s="51" customFormat="1" ht="19.75" customHeight="1">
      <c r="B213" s="49">
        <v>41112</v>
      </c>
      <c r="C213" s="58">
        <v>13562790.607099401</v>
      </c>
      <c r="D213" s="58">
        <v>1079826.54418</v>
      </c>
      <c r="E213" s="51" t="str">
        <f t="shared" si="4"/>
        <v>2012 q3</v>
      </c>
      <c r="I213" s="59"/>
    </row>
    <row r="214" spans="2:9" s="51" customFormat="1" ht="19.75" customHeight="1">
      <c r="B214" s="49">
        <v>41119</v>
      </c>
      <c r="C214" s="58">
        <v>7923666.7267927201</v>
      </c>
      <c r="D214" s="58">
        <v>659038.85435599997</v>
      </c>
      <c r="E214" s="51" t="str">
        <f t="shared" si="4"/>
        <v>2012 q3</v>
      </c>
      <c r="I214" s="59"/>
    </row>
    <row r="215" spans="2:9" s="51" customFormat="1" ht="19.75" customHeight="1">
      <c r="B215" s="49">
        <v>41126</v>
      </c>
      <c r="C215" s="58">
        <v>25124095.0129673</v>
      </c>
      <c r="D215" s="58">
        <v>1825967.4077679999</v>
      </c>
      <c r="E215" s="51" t="str">
        <f t="shared" si="4"/>
        <v>2012 q3</v>
      </c>
      <c r="I215" s="59"/>
    </row>
    <row r="216" spans="2:9" s="51" customFormat="1" ht="19.75" customHeight="1">
      <c r="B216" s="49">
        <v>41133</v>
      </c>
      <c r="C216" s="58">
        <v>8923009.9985158406</v>
      </c>
      <c r="D216" s="58">
        <v>704146.617432</v>
      </c>
      <c r="E216" s="51" t="str">
        <f t="shared" si="4"/>
        <v>2012 q3</v>
      </c>
      <c r="I216" s="59"/>
    </row>
    <row r="217" spans="2:9" s="51" customFormat="1" ht="19.75" customHeight="1">
      <c r="B217" s="49">
        <v>41140</v>
      </c>
      <c r="C217" s="58">
        <v>7630791.3041848</v>
      </c>
      <c r="D217" s="58">
        <v>616829.94438600005</v>
      </c>
      <c r="E217" s="51" t="str">
        <f t="shared" si="4"/>
        <v>2012 q3</v>
      </c>
      <c r="I217" s="59"/>
    </row>
    <row r="218" spans="2:9" s="51" customFormat="1" ht="19.75" customHeight="1">
      <c r="B218" s="49">
        <v>41147</v>
      </c>
      <c r="C218" s="58">
        <v>12604272.60362</v>
      </c>
      <c r="D218" s="58">
        <v>1006650.96556</v>
      </c>
      <c r="E218" s="51" t="str">
        <f t="shared" si="4"/>
        <v>2012 q3</v>
      </c>
      <c r="I218" s="59"/>
    </row>
    <row r="219" spans="2:9" s="51" customFormat="1" ht="19.75" customHeight="1">
      <c r="B219" s="49">
        <v>41154</v>
      </c>
      <c r="C219" s="58">
        <v>19629249.681602001</v>
      </c>
      <c r="D219" s="58">
        <v>1529638.9415899999</v>
      </c>
      <c r="E219" s="51" t="str">
        <f t="shared" si="4"/>
        <v>2012 q3</v>
      </c>
      <c r="I219" s="59"/>
    </row>
    <row r="220" spans="2:9" s="51" customFormat="1" ht="19.75" customHeight="1">
      <c r="B220" s="49">
        <v>41161</v>
      </c>
      <c r="C220" s="58">
        <v>9717511.7138880007</v>
      </c>
      <c r="D220" s="58">
        <v>776548.50271999999</v>
      </c>
      <c r="E220" s="51" t="str">
        <f t="shared" si="4"/>
        <v>2012 q3</v>
      </c>
      <c r="I220" s="59"/>
    </row>
    <row r="221" spans="2:9" s="51" customFormat="1" ht="19.75" customHeight="1">
      <c r="B221" s="49">
        <v>41168</v>
      </c>
      <c r="C221" s="58">
        <v>25842223.0616</v>
      </c>
      <c r="D221" s="58">
        <v>2132689.1412</v>
      </c>
      <c r="E221" s="51" t="str">
        <f t="shared" si="4"/>
        <v>2012 q3</v>
      </c>
      <c r="I221" s="59"/>
    </row>
    <row r="222" spans="2:9" s="51" customFormat="1" ht="19.75" customHeight="1">
      <c r="B222" s="49">
        <v>41175</v>
      </c>
      <c r="C222" s="58">
        <v>6042724.9817139301</v>
      </c>
      <c r="D222" s="58">
        <v>476459.28473700001</v>
      </c>
      <c r="E222" s="51" t="str">
        <f t="shared" si="4"/>
        <v>2012 q3</v>
      </c>
      <c r="I222" s="59"/>
    </row>
    <row r="223" spans="2:9" s="51" customFormat="1" ht="19.75" customHeight="1">
      <c r="B223" s="49">
        <v>41182</v>
      </c>
      <c r="C223" s="58">
        <v>14984522.819242099</v>
      </c>
      <c r="D223" s="58">
        <v>1156239.9573299999</v>
      </c>
      <c r="E223" s="51" t="str">
        <f t="shared" si="4"/>
        <v>2012 q3</v>
      </c>
      <c r="I223" s="59"/>
    </row>
    <row r="224" spans="2:9" s="51" customFormat="1" ht="19.75" customHeight="1">
      <c r="B224" s="49">
        <v>41189</v>
      </c>
      <c r="C224" s="58">
        <v>12103959.6037356</v>
      </c>
      <c r="D224" s="58">
        <v>973380.33933999995</v>
      </c>
      <c r="E224" s="51" t="str">
        <f t="shared" si="4"/>
        <v>2012 q4</v>
      </c>
      <c r="I224" s="59"/>
    </row>
    <row r="225" spans="2:9" s="51" customFormat="1" ht="19.75" customHeight="1">
      <c r="B225" s="49">
        <v>41196</v>
      </c>
      <c r="C225" s="58">
        <v>12176252.4858476</v>
      </c>
      <c r="D225" s="58">
        <v>950890.69900000002</v>
      </c>
      <c r="E225" s="51" t="str">
        <f t="shared" si="4"/>
        <v>2012 q4</v>
      </c>
      <c r="I225" s="59"/>
    </row>
    <row r="226" spans="2:9" s="51" customFormat="1" ht="19.75" customHeight="1">
      <c r="B226" s="49">
        <v>41203</v>
      </c>
      <c r="C226" s="58">
        <v>12602584.7916712</v>
      </c>
      <c r="D226" s="58">
        <v>1028083.70962</v>
      </c>
      <c r="E226" s="51" t="str">
        <f t="shared" si="4"/>
        <v>2012 q4</v>
      </c>
      <c r="I226" s="59"/>
    </row>
    <row r="227" spans="2:9" s="51" customFormat="1" ht="19.75" customHeight="1">
      <c r="B227" s="49">
        <v>41210</v>
      </c>
      <c r="C227" s="58">
        <v>11678620.2836772</v>
      </c>
      <c r="D227" s="58">
        <v>952700.18935999996</v>
      </c>
      <c r="E227" s="51" t="str">
        <f t="shared" si="4"/>
        <v>2012 q4</v>
      </c>
      <c r="I227" s="59"/>
    </row>
    <row r="228" spans="2:9" s="51" customFormat="1" ht="19.75" customHeight="1">
      <c r="B228" s="49">
        <v>41217</v>
      </c>
      <c r="C228" s="58">
        <v>11294266.098345</v>
      </c>
      <c r="D228" s="58">
        <v>896201.28327999997</v>
      </c>
      <c r="E228" s="51" t="str">
        <f t="shared" si="4"/>
        <v>2012 q4</v>
      </c>
      <c r="I228" s="59"/>
    </row>
    <row r="229" spans="2:9" s="51" customFormat="1" ht="19.75" customHeight="1">
      <c r="B229" s="49">
        <v>41224</v>
      </c>
      <c r="C229" s="58">
        <v>11125352.786545601</v>
      </c>
      <c r="D229" s="58">
        <v>870003.37780999998</v>
      </c>
      <c r="E229" s="51" t="str">
        <f t="shared" si="4"/>
        <v>2012 q4</v>
      </c>
      <c r="I229" s="59"/>
    </row>
    <row r="230" spans="2:9" s="51" customFormat="1" ht="19.75" customHeight="1">
      <c r="B230" s="49">
        <v>41231</v>
      </c>
      <c r="C230" s="58">
        <v>12571682.8222428</v>
      </c>
      <c r="D230" s="58">
        <v>1042707.43192</v>
      </c>
      <c r="E230" s="51" t="str">
        <f t="shared" si="4"/>
        <v>2012 q4</v>
      </c>
      <c r="I230" s="59"/>
    </row>
    <row r="231" spans="2:9" s="51" customFormat="1" ht="19.75" customHeight="1">
      <c r="B231" s="49">
        <v>41238</v>
      </c>
      <c r="C231" s="58">
        <v>11394781.814820001</v>
      </c>
      <c r="D231" s="58">
        <v>926213.96400000004</v>
      </c>
      <c r="E231" s="51" t="str">
        <f t="shared" si="4"/>
        <v>2012 q4</v>
      </c>
      <c r="I231" s="59"/>
    </row>
    <row r="232" spans="2:9" s="51" customFormat="1" ht="19.75" customHeight="1">
      <c r="B232" s="49">
        <v>41245</v>
      </c>
      <c r="C232" s="58">
        <v>11927006.5330752</v>
      </c>
      <c r="D232" s="58">
        <v>923279.19960000005</v>
      </c>
      <c r="E232" s="51" t="str">
        <f t="shared" si="4"/>
        <v>2012 q4</v>
      </c>
      <c r="I232" s="59"/>
    </row>
    <row r="233" spans="2:9" s="51" customFormat="1" ht="19.75" customHeight="1">
      <c r="B233" s="49">
        <v>41252</v>
      </c>
      <c r="C233" s="58">
        <v>14710842.5827106</v>
      </c>
      <c r="D233" s="58">
        <v>1197507.7797999999</v>
      </c>
      <c r="E233" s="51" t="str">
        <f t="shared" si="4"/>
        <v>2012 q4</v>
      </c>
      <c r="I233" s="59"/>
    </row>
    <row r="234" spans="2:9" s="51" customFormat="1" ht="19.75" customHeight="1">
      <c r="B234" s="49">
        <v>41259</v>
      </c>
      <c r="C234" s="58">
        <v>10033019.3294848</v>
      </c>
      <c r="D234" s="58">
        <v>808520.56576000003</v>
      </c>
      <c r="E234" s="51" t="str">
        <f t="shared" si="4"/>
        <v>2012 q4</v>
      </c>
      <c r="I234" s="59"/>
    </row>
    <row r="235" spans="2:9" s="51" customFormat="1" ht="19.75" customHeight="1">
      <c r="B235" s="49">
        <v>41266</v>
      </c>
      <c r="C235" s="58">
        <v>10959914.801845601</v>
      </c>
      <c r="D235" s="58">
        <v>895124.91402000003</v>
      </c>
      <c r="E235" s="51" t="str">
        <f t="shared" si="4"/>
        <v>2012 q4</v>
      </c>
      <c r="I235" s="59"/>
    </row>
    <row r="236" spans="2:9" s="51" customFormat="1" ht="19.75" customHeight="1">
      <c r="B236" s="49">
        <v>41273</v>
      </c>
      <c r="C236" s="58">
        <v>30072160.607470099</v>
      </c>
      <c r="D236" s="58">
        <v>2361497.9695549598</v>
      </c>
      <c r="E236" s="51" t="str">
        <f t="shared" si="4"/>
        <v>2012 q4</v>
      </c>
      <c r="I236" s="59"/>
    </row>
    <row r="237" spans="2:9" s="51" customFormat="1" ht="19.75" customHeight="1">
      <c r="B237" s="49">
        <v>41280</v>
      </c>
      <c r="C237" s="58">
        <v>505463.67660000001</v>
      </c>
      <c r="D237" s="58">
        <v>24494.81</v>
      </c>
      <c r="E237" s="51" t="str">
        <f t="shared" si="4"/>
        <v>2013 q1</v>
      </c>
      <c r="I237" s="59"/>
    </row>
    <row r="238" spans="2:9" s="51" customFormat="1" ht="19.75" customHeight="1">
      <c r="B238" s="49">
        <v>41287</v>
      </c>
      <c r="C238" s="58">
        <v>1790586.808</v>
      </c>
      <c r="D238" s="58">
        <v>141583.43525000001</v>
      </c>
      <c r="E238" s="51" t="str">
        <f t="shared" si="4"/>
        <v>2013 q1</v>
      </c>
      <c r="I238" s="59"/>
    </row>
    <row r="239" spans="2:9" s="51" customFormat="1" ht="19.75" customHeight="1">
      <c r="B239" s="49">
        <v>41294</v>
      </c>
      <c r="C239" s="58">
        <v>6096410.6760983998</v>
      </c>
      <c r="D239" s="58">
        <v>505591.02503999998</v>
      </c>
      <c r="E239" s="51" t="str">
        <f t="shared" si="4"/>
        <v>2013 q1</v>
      </c>
      <c r="I239" s="59"/>
    </row>
    <row r="240" spans="2:9" s="51" customFormat="1" ht="19.75" customHeight="1">
      <c r="B240" s="49">
        <v>41301</v>
      </c>
      <c r="C240" s="58">
        <v>5669409.4756244002</v>
      </c>
      <c r="D240" s="58">
        <v>458867.32197039999</v>
      </c>
      <c r="E240" s="51" t="str">
        <f t="shared" si="4"/>
        <v>2013 q1</v>
      </c>
      <c r="I240" s="59"/>
    </row>
    <row r="241" spans="2:9" s="51" customFormat="1" ht="19.75" customHeight="1">
      <c r="B241" s="49">
        <v>41308</v>
      </c>
      <c r="C241" s="58">
        <v>6192693.9739539996</v>
      </c>
      <c r="D241" s="58">
        <v>532256.20194000006</v>
      </c>
      <c r="E241" s="51" t="str">
        <f t="shared" si="4"/>
        <v>2013 q1</v>
      </c>
      <c r="I241" s="59"/>
    </row>
    <row r="242" spans="2:9" s="51" customFormat="1" ht="19.75" customHeight="1">
      <c r="B242" s="49">
        <v>41315</v>
      </c>
      <c r="C242" s="58">
        <v>6495824.83433</v>
      </c>
      <c r="D242" s="58">
        <v>547063.61936000001</v>
      </c>
      <c r="E242" s="51" t="str">
        <f t="shared" si="4"/>
        <v>2013 q1</v>
      </c>
      <c r="I242" s="59"/>
    </row>
    <row r="243" spans="2:9" s="51" customFormat="1" ht="19.75" customHeight="1">
      <c r="B243" s="49">
        <v>41322</v>
      </c>
      <c r="C243" s="58">
        <v>8636591.5098164007</v>
      </c>
      <c r="D243" s="58">
        <v>719801.48542000004</v>
      </c>
      <c r="E243" s="51" t="str">
        <f t="shared" si="4"/>
        <v>2013 q1</v>
      </c>
      <c r="I243" s="59"/>
    </row>
    <row r="244" spans="2:9" s="51" customFormat="1" ht="19.75" customHeight="1">
      <c r="B244" s="49">
        <v>41329</v>
      </c>
      <c r="C244" s="58">
        <v>8654515.4233145006</v>
      </c>
      <c r="D244" s="58">
        <v>692451.89549999998</v>
      </c>
      <c r="E244" s="51" t="str">
        <f t="shared" si="4"/>
        <v>2013 q1</v>
      </c>
      <c r="I244" s="59"/>
    </row>
    <row r="245" spans="2:9" s="51" customFormat="1" ht="19.75" customHeight="1">
      <c r="B245" s="49">
        <v>41336</v>
      </c>
      <c r="C245" s="58">
        <v>10671225.603797199</v>
      </c>
      <c r="D245" s="58">
        <v>873013.42844000005</v>
      </c>
      <c r="E245" s="51" t="str">
        <f t="shared" si="4"/>
        <v>2013 q1</v>
      </c>
      <c r="I245" s="59"/>
    </row>
    <row r="246" spans="2:9" s="51" customFormat="1" ht="19.75" customHeight="1">
      <c r="B246" s="49">
        <v>41343</v>
      </c>
      <c r="C246" s="58">
        <v>7389391.9561050003</v>
      </c>
      <c r="D246" s="58">
        <v>611585.54874999996</v>
      </c>
      <c r="E246" s="51" t="str">
        <f t="shared" si="4"/>
        <v>2013 q1</v>
      </c>
      <c r="I246" s="59"/>
    </row>
    <row r="247" spans="2:9" s="51" customFormat="1" ht="19.75" customHeight="1">
      <c r="B247" s="49">
        <v>41350</v>
      </c>
      <c r="C247" s="58">
        <v>14323724.489556801</v>
      </c>
      <c r="D247" s="58">
        <v>1106534.3566399999</v>
      </c>
      <c r="E247" s="51" t="str">
        <f t="shared" si="4"/>
        <v>2013 q1</v>
      </c>
      <c r="I247" s="59"/>
    </row>
    <row r="248" spans="2:9" s="51" customFormat="1" ht="19.75" customHeight="1">
      <c r="B248" s="49">
        <v>41357</v>
      </c>
      <c r="C248" s="58">
        <v>10172507.6903008</v>
      </c>
      <c r="D248" s="58">
        <v>861481.18448000005</v>
      </c>
      <c r="E248" s="51" t="str">
        <f t="shared" si="4"/>
        <v>2013 q1</v>
      </c>
      <c r="I248" s="59"/>
    </row>
    <row r="249" spans="2:9" s="51" customFormat="1" ht="19.75" customHeight="1">
      <c r="B249" s="49">
        <v>41364</v>
      </c>
      <c r="C249" s="58">
        <v>13792717.8293956</v>
      </c>
      <c r="D249" s="58">
        <v>1131204.59396</v>
      </c>
      <c r="E249" s="51" t="str">
        <f t="shared" si="4"/>
        <v>2013 q1</v>
      </c>
      <c r="I249" s="59"/>
    </row>
    <row r="250" spans="2:9" s="51" customFormat="1" ht="19.75" customHeight="1">
      <c r="B250" s="49">
        <v>41371</v>
      </c>
      <c r="C250" s="58">
        <v>5600069.4943821002</v>
      </c>
      <c r="D250" s="58">
        <v>463274.45729729999</v>
      </c>
      <c r="E250" s="51" t="str">
        <f t="shared" si="4"/>
        <v>2013 q2</v>
      </c>
      <c r="I250" s="59"/>
    </row>
    <row r="251" spans="2:9" s="51" customFormat="1" ht="19.75" customHeight="1">
      <c r="B251" s="49">
        <v>41378</v>
      </c>
      <c r="C251" s="58">
        <v>15854000.791239001</v>
      </c>
      <c r="D251" s="58">
        <v>1234008.4213</v>
      </c>
      <c r="E251" s="51" t="str">
        <f t="shared" si="4"/>
        <v>2013 q2</v>
      </c>
      <c r="I251" s="59"/>
    </row>
    <row r="252" spans="2:9" s="51" customFormat="1" ht="19.75" customHeight="1">
      <c r="B252" s="49">
        <v>41385</v>
      </c>
      <c r="C252" s="58">
        <v>6900289.7625088003</v>
      </c>
      <c r="D252" s="58">
        <v>563518.41219199996</v>
      </c>
      <c r="E252" s="51" t="str">
        <f t="shared" si="4"/>
        <v>2013 q2</v>
      </c>
      <c r="I252" s="59"/>
    </row>
    <row r="253" spans="2:9" s="51" customFormat="1" ht="19.75" customHeight="1">
      <c r="B253" s="49">
        <v>41392</v>
      </c>
      <c r="C253" s="58">
        <v>10492312.315080401</v>
      </c>
      <c r="D253" s="58">
        <v>834494.33840869996</v>
      </c>
      <c r="E253" s="51" t="str">
        <f t="shared" si="4"/>
        <v>2013 q2</v>
      </c>
      <c r="I253" s="59"/>
    </row>
    <row r="254" spans="2:9" s="51" customFormat="1" ht="19.75" customHeight="1">
      <c r="B254" s="49">
        <v>41399</v>
      </c>
      <c r="C254" s="58">
        <v>9946290.0761099998</v>
      </c>
      <c r="D254" s="58">
        <v>775715.62474999996</v>
      </c>
      <c r="E254" s="51" t="str">
        <f t="shared" si="4"/>
        <v>2013 q2</v>
      </c>
      <c r="I254" s="59"/>
    </row>
    <row r="255" spans="2:9" s="51" customFormat="1" ht="19.75" customHeight="1">
      <c r="B255" s="49">
        <v>41406</v>
      </c>
      <c r="C255" s="58">
        <v>6376977.74477538</v>
      </c>
      <c r="D255" s="58">
        <v>514604.35163642</v>
      </c>
      <c r="E255" s="51" t="str">
        <f t="shared" si="4"/>
        <v>2013 q2</v>
      </c>
      <c r="I255" s="59"/>
    </row>
    <row r="256" spans="2:9" s="51" customFormat="1" ht="19.75" customHeight="1">
      <c r="B256" s="49">
        <v>41413</v>
      </c>
      <c r="C256" s="58">
        <v>13278295.508859999</v>
      </c>
      <c r="D256" s="58">
        <v>1087039.2250000001</v>
      </c>
      <c r="E256" s="51" t="str">
        <f t="shared" si="4"/>
        <v>2013 q2</v>
      </c>
      <c r="I256" s="59"/>
    </row>
    <row r="257" spans="2:9" s="51" customFormat="1" ht="19.75" customHeight="1">
      <c r="B257" s="49">
        <v>41420</v>
      </c>
      <c r="C257" s="58">
        <v>15409839.958472</v>
      </c>
      <c r="D257" s="58">
        <v>1244117.50168</v>
      </c>
      <c r="E257" s="51" t="str">
        <f t="shared" si="4"/>
        <v>2013 q2</v>
      </c>
      <c r="I257" s="59"/>
    </row>
    <row r="258" spans="2:9" s="51" customFormat="1" ht="19.75" customHeight="1">
      <c r="B258" s="49">
        <v>41427</v>
      </c>
      <c r="C258" s="58">
        <v>8874828.3199669998</v>
      </c>
      <c r="D258" s="58">
        <v>700011.74727499997</v>
      </c>
      <c r="E258" s="51" t="str">
        <f t="shared" si="4"/>
        <v>2013 q2</v>
      </c>
      <c r="I258" s="59"/>
    </row>
    <row r="259" spans="2:9" s="51" customFormat="1" ht="19.75" customHeight="1">
      <c r="B259" s="49">
        <v>41434</v>
      </c>
      <c r="C259" s="58">
        <v>13007741.682274399</v>
      </c>
      <c r="D259" s="58">
        <v>1033716.838</v>
      </c>
      <c r="E259" s="51" t="str">
        <f t="shared" si="4"/>
        <v>2013 q2</v>
      </c>
      <c r="I259" s="59"/>
    </row>
    <row r="260" spans="2:9" s="51" customFormat="1" ht="19.75" customHeight="1">
      <c r="B260" s="49">
        <v>41441</v>
      </c>
      <c r="C260" s="58">
        <v>12384237.512914</v>
      </c>
      <c r="D260" s="58">
        <v>1002397.6426</v>
      </c>
      <c r="E260" s="51" t="str">
        <f t="shared" si="4"/>
        <v>2013 q2</v>
      </c>
      <c r="I260" s="59"/>
    </row>
    <row r="261" spans="2:9" s="51" customFormat="1" ht="19.75" customHeight="1">
      <c r="B261" s="49">
        <v>41448</v>
      </c>
      <c r="C261" s="58">
        <v>13757543.8857104</v>
      </c>
      <c r="D261" s="58">
        <v>1151049.8432400001</v>
      </c>
      <c r="E261" s="51" t="str">
        <f t="shared" si="4"/>
        <v>2013 q2</v>
      </c>
      <c r="I261" s="59"/>
    </row>
    <row r="262" spans="2:9" s="51" customFormat="1" ht="19.75" customHeight="1">
      <c r="B262" s="49">
        <v>41455</v>
      </c>
      <c r="C262" s="58">
        <v>19684586.2725574</v>
      </c>
      <c r="D262" s="58">
        <v>1612434.0545000001</v>
      </c>
      <c r="E262" s="51" t="str">
        <f t="shared" ref="E262:E325" si="5">YEAR(B262)&amp;" q"&amp;ROUNDUP(MONTH(B262)/3,0)</f>
        <v>2013 q2</v>
      </c>
      <c r="I262" s="59"/>
    </row>
    <row r="263" spans="2:9" s="51" customFormat="1" ht="19.75" customHeight="1">
      <c r="B263" s="49">
        <v>41462</v>
      </c>
      <c r="C263" s="58">
        <v>11468221.829506001</v>
      </c>
      <c r="D263" s="58">
        <v>911938.56492499996</v>
      </c>
      <c r="E263" s="51" t="str">
        <f t="shared" si="5"/>
        <v>2013 q3</v>
      </c>
      <c r="I263" s="59"/>
    </row>
    <row r="264" spans="2:9" s="51" customFormat="1" ht="19.75" customHeight="1">
      <c r="B264" s="49">
        <v>41469</v>
      </c>
      <c r="C264" s="58">
        <v>17129856.9889124</v>
      </c>
      <c r="D264" s="58">
        <v>1360343.7877199999</v>
      </c>
      <c r="E264" s="51" t="str">
        <f t="shared" si="5"/>
        <v>2013 q3</v>
      </c>
      <c r="I264" s="59"/>
    </row>
    <row r="265" spans="2:9" s="51" customFormat="1" ht="19.75" customHeight="1">
      <c r="B265" s="49">
        <v>41476</v>
      </c>
      <c r="C265" s="58">
        <v>14014791.217123</v>
      </c>
      <c r="D265" s="58">
        <v>1123885.9913600001</v>
      </c>
      <c r="E265" s="51" t="str">
        <f t="shared" si="5"/>
        <v>2013 q3</v>
      </c>
      <c r="I265" s="59"/>
    </row>
    <row r="266" spans="2:9" s="51" customFormat="1" ht="19.75" customHeight="1">
      <c r="B266" s="49">
        <v>41483</v>
      </c>
      <c r="C266" s="58">
        <v>13055247.2951336</v>
      </c>
      <c r="D266" s="58">
        <v>1043835.5661000001</v>
      </c>
      <c r="E266" s="51" t="str">
        <f t="shared" si="5"/>
        <v>2013 q3</v>
      </c>
      <c r="I266" s="59"/>
    </row>
    <row r="267" spans="2:9" s="51" customFormat="1" ht="19.75" customHeight="1">
      <c r="B267" s="49">
        <v>41490</v>
      </c>
      <c r="C267" s="58">
        <v>15733666.821867401</v>
      </c>
      <c r="D267" s="58">
        <v>1272760.3440883199</v>
      </c>
      <c r="E267" s="51" t="str">
        <f t="shared" si="5"/>
        <v>2013 q3</v>
      </c>
      <c r="I267" s="59"/>
    </row>
    <row r="268" spans="2:9" s="51" customFormat="1" ht="19.75" customHeight="1">
      <c r="B268" s="49">
        <v>41497</v>
      </c>
      <c r="C268" s="58">
        <v>14771955.4179952</v>
      </c>
      <c r="D268" s="58">
        <v>1153321.8424800001</v>
      </c>
      <c r="E268" s="51" t="str">
        <f t="shared" si="5"/>
        <v>2013 q3</v>
      </c>
      <c r="I268" s="59"/>
    </row>
    <row r="269" spans="2:9" s="51" customFormat="1" ht="19.75" customHeight="1">
      <c r="B269" s="49">
        <v>41504</v>
      </c>
      <c r="C269" s="58">
        <v>16903453.308200002</v>
      </c>
      <c r="D269" s="58">
        <v>1326178.9702000001</v>
      </c>
      <c r="E269" s="51" t="str">
        <f t="shared" si="5"/>
        <v>2013 q3</v>
      </c>
      <c r="I269" s="59"/>
    </row>
    <row r="270" spans="2:9" s="51" customFormat="1" ht="19.75" customHeight="1">
      <c r="B270" s="49">
        <v>41511</v>
      </c>
      <c r="C270" s="58">
        <v>11415400.1150488</v>
      </c>
      <c r="D270" s="58">
        <v>900511.92839999998</v>
      </c>
      <c r="E270" s="51" t="str">
        <f t="shared" si="5"/>
        <v>2013 q3</v>
      </c>
      <c r="I270" s="59"/>
    </row>
    <row r="271" spans="2:9" s="51" customFormat="1" ht="19.75" customHeight="1">
      <c r="B271" s="49">
        <v>41518</v>
      </c>
      <c r="C271" s="58">
        <v>11633450.8567557</v>
      </c>
      <c r="D271" s="58">
        <v>934689.24590207997</v>
      </c>
      <c r="E271" s="51" t="str">
        <f t="shared" si="5"/>
        <v>2013 q3</v>
      </c>
      <c r="I271" s="59"/>
    </row>
    <row r="272" spans="2:9" s="51" customFormat="1" ht="19.75" customHeight="1">
      <c r="B272" s="49">
        <v>41525</v>
      </c>
      <c r="C272" s="58">
        <v>12747972.8766365</v>
      </c>
      <c r="D272" s="58">
        <v>1079003.8429360399</v>
      </c>
      <c r="E272" s="51" t="str">
        <f t="shared" si="5"/>
        <v>2013 q3</v>
      </c>
      <c r="I272" s="59"/>
    </row>
    <row r="273" spans="2:9" s="51" customFormat="1" ht="19.75" customHeight="1">
      <c r="B273" s="49">
        <v>41532</v>
      </c>
      <c r="C273" s="58">
        <v>10644354.6868288</v>
      </c>
      <c r="D273" s="58">
        <v>852731.25223999994</v>
      </c>
      <c r="E273" s="51" t="str">
        <f t="shared" si="5"/>
        <v>2013 q3</v>
      </c>
      <c r="I273" s="59"/>
    </row>
    <row r="274" spans="2:9" s="51" customFormat="1" ht="19.75" customHeight="1">
      <c r="B274" s="49">
        <v>41539</v>
      </c>
      <c r="C274" s="58">
        <v>10807407.779188801</v>
      </c>
      <c r="D274" s="58">
        <v>865098.47</v>
      </c>
      <c r="E274" s="51" t="str">
        <f t="shared" si="5"/>
        <v>2013 q3</v>
      </c>
      <c r="I274" s="59"/>
    </row>
    <row r="275" spans="2:9" s="51" customFormat="1" ht="19.75" customHeight="1">
      <c r="B275" s="49">
        <v>41546</v>
      </c>
      <c r="C275" s="58">
        <v>15880328.238704</v>
      </c>
      <c r="D275" s="58">
        <v>1269797.0192400001</v>
      </c>
      <c r="E275" s="51" t="str">
        <f t="shared" si="5"/>
        <v>2013 q3</v>
      </c>
      <c r="I275" s="59"/>
    </row>
    <row r="276" spans="2:9" s="51" customFormat="1" ht="19.75" customHeight="1">
      <c r="B276" s="49">
        <v>41553</v>
      </c>
      <c r="C276" s="58">
        <v>11884946.557763999</v>
      </c>
      <c r="D276" s="58">
        <v>983424.1102</v>
      </c>
      <c r="E276" s="51" t="str">
        <f t="shared" si="5"/>
        <v>2013 q4</v>
      </c>
      <c r="I276" s="59"/>
    </row>
    <row r="277" spans="2:9" s="51" customFormat="1" ht="19.75" customHeight="1">
      <c r="B277" s="49">
        <v>41560</v>
      </c>
      <c r="C277" s="58">
        <v>9077397.9314872008</v>
      </c>
      <c r="D277" s="58">
        <v>745515.21895999997</v>
      </c>
      <c r="E277" s="51" t="str">
        <f t="shared" si="5"/>
        <v>2013 q4</v>
      </c>
      <c r="I277" s="59"/>
    </row>
    <row r="278" spans="2:9" s="51" customFormat="1" ht="19.75" customHeight="1">
      <c r="B278" s="49">
        <v>41567</v>
      </c>
      <c r="C278" s="58">
        <v>11809190.60874</v>
      </c>
      <c r="D278" s="58">
        <v>982625.08863999997</v>
      </c>
      <c r="E278" s="51" t="str">
        <f t="shared" si="5"/>
        <v>2013 q4</v>
      </c>
      <c r="I278" s="59"/>
    </row>
    <row r="279" spans="2:9" s="51" customFormat="1" ht="19.75" customHeight="1">
      <c r="B279" s="49">
        <v>41574</v>
      </c>
      <c r="C279" s="58">
        <v>10731889.747595999</v>
      </c>
      <c r="D279" s="58">
        <v>853033.47751999996</v>
      </c>
      <c r="E279" s="51" t="str">
        <f t="shared" si="5"/>
        <v>2013 q4</v>
      </c>
      <c r="I279" s="59"/>
    </row>
    <row r="280" spans="2:9" s="51" customFormat="1" ht="19.75" customHeight="1">
      <c r="B280" s="49">
        <v>41581</v>
      </c>
      <c r="C280" s="58">
        <v>10706531.036129801</v>
      </c>
      <c r="D280" s="58">
        <v>849925.17544000002</v>
      </c>
      <c r="E280" s="51" t="str">
        <f t="shared" si="5"/>
        <v>2013 q4</v>
      </c>
      <c r="I280" s="59"/>
    </row>
    <row r="281" spans="2:9" s="51" customFormat="1" ht="19.75" customHeight="1">
      <c r="B281" s="49">
        <v>41588</v>
      </c>
      <c r="C281" s="58">
        <v>10829985.756398</v>
      </c>
      <c r="D281" s="58">
        <v>887395.63370000001</v>
      </c>
      <c r="E281" s="51" t="str">
        <f t="shared" si="5"/>
        <v>2013 q4</v>
      </c>
      <c r="I281" s="59"/>
    </row>
    <row r="282" spans="2:9" s="51" customFormat="1" ht="19.75" customHeight="1">
      <c r="B282" s="49">
        <v>41595</v>
      </c>
      <c r="C282" s="58">
        <v>11132572.9893304</v>
      </c>
      <c r="D282" s="58">
        <v>892688.17440000002</v>
      </c>
      <c r="E282" s="51" t="str">
        <f t="shared" si="5"/>
        <v>2013 q4</v>
      </c>
      <c r="I282" s="59"/>
    </row>
    <row r="283" spans="2:9" s="51" customFormat="1" ht="19.75" customHeight="1">
      <c r="B283" s="49">
        <v>41602</v>
      </c>
      <c r="C283" s="58">
        <v>18079920.510923199</v>
      </c>
      <c r="D283" s="58">
        <v>1475598.35708</v>
      </c>
      <c r="E283" s="51" t="str">
        <f t="shared" si="5"/>
        <v>2013 q4</v>
      </c>
      <c r="I283" s="59"/>
    </row>
    <row r="284" spans="2:9" s="51" customFormat="1" ht="19.75" customHeight="1">
      <c r="B284" s="49">
        <v>41609</v>
      </c>
      <c r="C284" s="58">
        <v>10131832.214474799</v>
      </c>
      <c r="D284" s="58">
        <v>824932.14283999999</v>
      </c>
      <c r="E284" s="51" t="str">
        <f t="shared" si="5"/>
        <v>2013 q4</v>
      </c>
      <c r="I284" s="59"/>
    </row>
    <row r="285" spans="2:9" s="51" customFormat="1" ht="19.75" customHeight="1">
      <c r="B285" s="49">
        <v>41616</v>
      </c>
      <c r="C285" s="58">
        <v>9696715.5044112001</v>
      </c>
      <c r="D285" s="58">
        <v>744942.35363999999</v>
      </c>
      <c r="E285" s="51" t="str">
        <f t="shared" si="5"/>
        <v>2013 q4</v>
      </c>
      <c r="I285" s="59"/>
    </row>
    <row r="286" spans="2:9" s="51" customFormat="1" ht="19.75" customHeight="1">
      <c r="B286" s="49">
        <v>41623</v>
      </c>
      <c r="C286" s="58">
        <v>8788152.8227139991</v>
      </c>
      <c r="D286" s="58">
        <v>721051.73464000004</v>
      </c>
      <c r="E286" s="51" t="str">
        <f t="shared" si="5"/>
        <v>2013 q4</v>
      </c>
      <c r="I286" s="59"/>
    </row>
    <row r="287" spans="2:9" s="51" customFormat="1" ht="19.75" customHeight="1">
      <c r="B287" s="49">
        <v>41630</v>
      </c>
      <c r="C287" s="58">
        <v>11615106.852124</v>
      </c>
      <c r="D287" s="58">
        <v>917901.51150000002</v>
      </c>
      <c r="E287" s="51" t="str">
        <f t="shared" si="5"/>
        <v>2013 q4</v>
      </c>
      <c r="I287" s="59"/>
    </row>
    <row r="288" spans="2:9" s="51" customFormat="1" ht="19.75" customHeight="1">
      <c r="B288" s="49">
        <v>41637</v>
      </c>
      <c r="C288" s="58">
        <v>30465041.2233175</v>
      </c>
      <c r="D288" s="58">
        <v>2426510.7894649999</v>
      </c>
      <c r="E288" s="51" t="str">
        <f t="shared" si="5"/>
        <v>2013 q4</v>
      </c>
      <c r="I288" s="59"/>
    </row>
    <row r="289" spans="2:9" s="51" customFormat="1" ht="19.75" customHeight="1">
      <c r="B289" s="49">
        <v>41651</v>
      </c>
      <c r="C289" s="58">
        <v>1250538.2606988</v>
      </c>
      <c r="D289" s="58">
        <v>102290.913979</v>
      </c>
      <c r="E289" s="51" t="str">
        <f t="shared" si="5"/>
        <v>2014 q1</v>
      </c>
      <c r="I289" s="59"/>
    </row>
    <row r="290" spans="2:9" s="51" customFormat="1" ht="19.75" customHeight="1">
      <c r="B290" s="49">
        <v>41658</v>
      </c>
      <c r="C290" s="58">
        <v>3830778.852806</v>
      </c>
      <c r="D290" s="58">
        <v>349840.86498999997</v>
      </c>
      <c r="E290" s="51" t="str">
        <f t="shared" si="5"/>
        <v>2014 q1</v>
      </c>
      <c r="I290" s="59"/>
    </row>
    <row r="291" spans="2:9" s="51" customFormat="1" ht="19.75" customHeight="1">
      <c r="B291" s="49">
        <v>41665</v>
      </c>
      <c r="C291" s="58">
        <v>5568807.0050499998</v>
      </c>
      <c r="D291" s="58">
        <v>445144.5085</v>
      </c>
      <c r="E291" s="51" t="str">
        <f t="shared" si="5"/>
        <v>2014 q1</v>
      </c>
      <c r="I291" s="59"/>
    </row>
    <row r="292" spans="2:9" s="51" customFormat="1" ht="19.75" customHeight="1">
      <c r="B292" s="49">
        <v>41672</v>
      </c>
      <c r="C292" s="58">
        <v>3961063.6015364998</v>
      </c>
      <c r="D292" s="58">
        <v>310186.416325</v>
      </c>
      <c r="E292" s="51" t="str">
        <f t="shared" si="5"/>
        <v>2014 q1</v>
      </c>
      <c r="I292" s="59"/>
    </row>
    <row r="293" spans="2:9" s="51" customFormat="1" ht="19.75" customHeight="1">
      <c r="B293" s="49">
        <v>41679</v>
      </c>
      <c r="C293" s="58">
        <v>7621221.1077399999</v>
      </c>
      <c r="D293" s="58">
        <v>614998.26234000002</v>
      </c>
      <c r="E293" s="51" t="str">
        <f t="shared" si="5"/>
        <v>2014 q1</v>
      </c>
      <c r="I293" s="59"/>
    </row>
    <row r="294" spans="2:9" s="51" customFormat="1" ht="19.75" customHeight="1">
      <c r="B294" s="49">
        <v>41686</v>
      </c>
      <c r="C294" s="58">
        <v>9237040.7477950007</v>
      </c>
      <c r="D294" s="58">
        <v>745749.69799999997</v>
      </c>
      <c r="E294" s="51" t="str">
        <f t="shared" si="5"/>
        <v>2014 q1</v>
      </c>
      <c r="I294" s="59"/>
    </row>
    <row r="295" spans="2:9" s="51" customFormat="1" ht="19.75" customHeight="1">
      <c r="B295" s="49">
        <v>41693</v>
      </c>
      <c r="C295" s="58">
        <v>6995618.3059520004</v>
      </c>
      <c r="D295" s="58">
        <v>591331.98071999999</v>
      </c>
      <c r="E295" s="51" t="str">
        <f t="shared" si="5"/>
        <v>2014 q1</v>
      </c>
      <c r="I295" s="59"/>
    </row>
    <row r="296" spans="2:9" s="51" customFormat="1" ht="19.75" customHeight="1">
      <c r="B296" s="49">
        <v>41700</v>
      </c>
      <c r="C296" s="58">
        <v>10308826.1232056</v>
      </c>
      <c r="D296" s="58">
        <v>872574.34671279998</v>
      </c>
      <c r="E296" s="51" t="str">
        <f t="shared" si="5"/>
        <v>2014 q1</v>
      </c>
      <c r="I296" s="59"/>
    </row>
    <row r="297" spans="2:9" s="51" customFormat="1" ht="19.75" customHeight="1">
      <c r="B297" s="49">
        <v>41707</v>
      </c>
      <c r="C297" s="58">
        <v>8982838.2775599994</v>
      </c>
      <c r="D297" s="58">
        <v>733243.74583999999</v>
      </c>
      <c r="E297" s="51" t="str">
        <f t="shared" si="5"/>
        <v>2014 q1</v>
      </c>
      <c r="I297" s="59"/>
    </row>
    <row r="298" spans="2:9" s="51" customFormat="1" ht="19.75" customHeight="1">
      <c r="B298" s="49">
        <v>41714</v>
      </c>
      <c r="C298" s="58">
        <v>10996493.70284</v>
      </c>
      <c r="D298" s="58">
        <v>911849.40520000004</v>
      </c>
      <c r="E298" s="51" t="str">
        <f t="shared" si="5"/>
        <v>2014 q1</v>
      </c>
      <c r="I298" s="59"/>
    </row>
    <row r="299" spans="2:9" s="51" customFormat="1" ht="19.75" customHeight="1">
      <c r="B299" s="49">
        <v>41721</v>
      </c>
      <c r="C299" s="58">
        <v>12832193.736764601</v>
      </c>
      <c r="D299" s="58">
        <v>1019214.70682</v>
      </c>
      <c r="E299" s="51" t="str">
        <f t="shared" si="5"/>
        <v>2014 q1</v>
      </c>
      <c r="I299" s="59"/>
    </row>
    <row r="300" spans="2:9" s="51" customFormat="1" ht="19.75" customHeight="1">
      <c r="B300" s="49">
        <v>41728</v>
      </c>
      <c r="C300" s="58">
        <v>20761704.599364799</v>
      </c>
      <c r="D300" s="58">
        <v>1799838.3473199999</v>
      </c>
      <c r="E300" s="51" t="str">
        <f t="shared" si="5"/>
        <v>2014 q1</v>
      </c>
      <c r="I300" s="59"/>
    </row>
    <row r="301" spans="2:9" s="51" customFormat="1" ht="19.75" customHeight="1">
      <c r="B301" s="49">
        <v>41735</v>
      </c>
      <c r="C301" s="58">
        <v>15847170.506675201</v>
      </c>
      <c r="D301" s="58">
        <v>1264593.9859199999</v>
      </c>
      <c r="E301" s="51" t="str">
        <f t="shared" si="5"/>
        <v>2014 q2</v>
      </c>
      <c r="I301" s="59"/>
    </row>
    <row r="302" spans="2:9" s="51" customFormat="1" ht="19.75" customHeight="1">
      <c r="B302" s="49">
        <v>41742</v>
      </c>
      <c r="C302" s="58">
        <v>13147817.4173274</v>
      </c>
      <c r="D302" s="58">
        <v>1101636.1168200001</v>
      </c>
      <c r="E302" s="51" t="str">
        <f t="shared" si="5"/>
        <v>2014 q2</v>
      </c>
      <c r="I302" s="59"/>
    </row>
    <row r="303" spans="2:9" s="51" customFormat="1" ht="19.75" customHeight="1">
      <c r="B303" s="49">
        <v>41749</v>
      </c>
      <c r="C303" s="58">
        <v>13490442.454316</v>
      </c>
      <c r="D303" s="58">
        <v>1173437.5231000001</v>
      </c>
      <c r="E303" s="51" t="str">
        <f t="shared" si="5"/>
        <v>2014 q2</v>
      </c>
      <c r="I303" s="59"/>
    </row>
    <row r="304" spans="2:9" s="51" customFormat="1" ht="19.75" customHeight="1">
      <c r="B304" s="49">
        <v>41756</v>
      </c>
      <c r="C304" s="58">
        <v>11025076.3917688</v>
      </c>
      <c r="D304" s="58">
        <v>879509.40587500005</v>
      </c>
      <c r="E304" s="51" t="str">
        <f t="shared" si="5"/>
        <v>2014 q2</v>
      </c>
      <c r="I304" s="59"/>
    </row>
    <row r="305" spans="2:9" s="51" customFormat="1" ht="19.75" customHeight="1">
      <c r="B305" s="49">
        <v>41763</v>
      </c>
      <c r="C305" s="58">
        <v>15789043.019346699</v>
      </c>
      <c r="D305" s="58">
        <v>1309802.3410420001</v>
      </c>
      <c r="E305" s="51" t="str">
        <f t="shared" si="5"/>
        <v>2014 q2</v>
      </c>
      <c r="I305" s="59"/>
    </row>
    <row r="306" spans="2:9" s="51" customFormat="1" ht="19.75" customHeight="1">
      <c r="B306" s="49">
        <v>41770</v>
      </c>
      <c r="C306" s="58">
        <v>7685784.7850625003</v>
      </c>
      <c r="D306" s="58">
        <v>629326.58862499997</v>
      </c>
      <c r="E306" s="51" t="str">
        <f t="shared" si="5"/>
        <v>2014 q2</v>
      </c>
      <c r="I306" s="59"/>
    </row>
    <row r="307" spans="2:9" s="51" customFormat="1" ht="19.75" customHeight="1">
      <c r="B307" s="49">
        <v>41777</v>
      </c>
      <c r="C307" s="58">
        <v>14706196.074818799</v>
      </c>
      <c r="D307" s="58">
        <v>1196491.4232282001</v>
      </c>
      <c r="E307" s="51" t="str">
        <f t="shared" si="5"/>
        <v>2014 q2</v>
      </c>
      <c r="I307" s="59"/>
    </row>
    <row r="308" spans="2:9" s="51" customFormat="1" ht="19.75" customHeight="1">
      <c r="B308" s="49">
        <v>41784</v>
      </c>
      <c r="C308" s="58">
        <v>16260833.3581792</v>
      </c>
      <c r="D308" s="58">
        <v>1325671.89748</v>
      </c>
      <c r="E308" s="51" t="str">
        <f t="shared" si="5"/>
        <v>2014 q2</v>
      </c>
      <c r="I308" s="59"/>
    </row>
    <row r="309" spans="2:9" s="51" customFormat="1" ht="19.75" customHeight="1">
      <c r="B309" s="49">
        <v>41791</v>
      </c>
      <c r="C309" s="58">
        <v>13304348.5808498</v>
      </c>
      <c r="D309" s="58">
        <v>1020491.1738146</v>
      </c>
      <c r="E309" s="51" t="str">
        <f t="shared" si="5"/>
        <v>2014 q2</v>
      </c>
      <c r="I309" s="59"/>
    </row>
    <row r="310" spans="2:9" s="51" customFormat="1" ht="19.75" customHeight="1">
      <c r="B310" s="49">
        <v>41798</v>
      </c>
      <c r="C310" s="58">
        <v>13880500.483921399</v>
      </c>
      <c r="D310" s="58">
        <v>1109724.7368999999</v>
      </c>
      <c r="E310" s="51" t="str">
        <f t="shared" si="5"/>
        <v>2014 q2</v>
      </c>
      <c r="I310" s="59"/>
    </row>
    <row r="311" spans="2:9" s="51" customFormat="1" ht="19.75" customHeight="1">
      <c r="B311" s="49">
        <v>41805</v>
      </c>
      <c r="C311" s="58">
        <v>13175600.8018397</v>
      </c>
      <c r="D311" s="58">
        <v>1065110.3557496399</v>
      </c>
      <c r="E311" s="51" t="str">
        <f t="shared" si="5"/>
        <v>2014 q2</v>
      </c>
      <c r="I311" s="59"/>
    </row>
    <row r="312" spans="2:9" s="51" customFormat="1" ht="19.75" customHeight="1">
      <c r="B312" s="49">
        <v>41812</v>
      </c>
      <c r="C312" s="58">
        <v>12666194.1209336</v>
      </c>
      <c r="D312" s="58">
        <v>1019854.88868</v>
      </c>
      <c r="E312" s="51" t="str">
        <f t="shared" si="5"/>
        <v>2014 q2</v>
      </c>
      <c r="I312" s="59"/>
    </row>
    <row r="313" spans="2:9" s="51" customFormat="1" ht="19.75" customHeight="1">
      <c r="B313" s="49">
        <v>41819</v>
      </c>
      <c r="C313" s="58">
        <v>27279993.169473302</v>
      </c>
      <c r="D313" s="58">
        <v>1969782.7848758399</v>
      </c>
      <c r="E313" s="51" t="str">
        <f t="shared" si="5"/>
        <v>2014 q2</v>
      </c>
      <c r="I313" s="59"/>
    </row>
    <row r="314" spans="2:9" s="51" customFormat="1" ht="19.75" customHeight="1">
      <c r="B314" s="49">
        <v>41826</v>
      </c>
      <c r="C314" s="58">
        <v>14185606.057969199</v>
      </c>
      <c r="D314" s="58">
        <v>1230652.7954500001</v>
      </c>
      <c r="E314" s="51" t="str">
        <f t="shared" si="5"/>
        <v>2014 q3</v>
      </c>
      <c r="I314" s="59"/>
    </row>
    <row r="315" spans="2:9" s="51" customFormat="1" ht="19.75" customHeight="1">
      <c r="B315" s="49">
        <v>41833</v>
      </c>
      <c r="C315" s="58">
        <v>12590989.467127999</v>
      </c>
      <c r="D315" s="58">
        <v>979282.18070000003</v>
      </c>
      <c r="E315" s="51" t="str">
        <f t="shared" si="5"/>
        <v>2014 q3</v>
      </c>
      <c r="I315" s="59"/>
    </row>
    <row r="316" spans="2:9" s="51" customFormat="1" ht="19.75" customHeight="1">
      <c r="B316" s="49">
        <v>41840</v>
      </c>
      <c r="C316" s="58">
        <v>14830509.969520399</v>
      </c>
      <c r="D316" s="58">
        <v>1189978.5942200001</v>
      </c>
      <c r="E316" s="51" t="str">
        <f t="shared" si="5"/>
        <v>2014 q3</v>
      </c>
      <c r="I316" s="59"/>
    </row>
    <row r="317" spans="2:9" s="51" customFormat="1" ht="19.75" customHeight="1">
      <c r="B317" s="49">
        <v>41847</v>
      </c>
      <c r="C317" s="58">
        <v>13325010.712525001</v>
      </c>
      <c r="D317" s="58">
        <v>1164656.071856</v>
      </c>
      <c r="E317" s="51" t="str">
        <f t="shared" si="5"/>
        <v>2014 q3</v>
      </c>
      <c r="I317" s="59"/>
    </row>
    <row r="318" spans="2:9" s="51" customFormat="1" ht="19.75" customHeight="1">
      <c r="B318" s="49">
        <v>41854</v>
      </c>
      <c r="C318" s="58">
        <v>15404688.341675</v>
      </c>
      <c r="D318" s="58">
        <v>1278539.2417599999</v>
      </c>
      <c r="E318" s="51" t="str">
        <f t="shared" si="5"/>
        <v>2014 q3</v>
      </c>
      <c r="I318" s="59"/>
    </row>
    <row r="319" spans="2:9" s="51" customFormat="1" ht="19.75" customHeight="1">
      <c r="B319" s="49">
        <v>41861</v>
      </c>
      <c r="C319" s="58">
        <v>15331165.924359201</v>
      </c>
      <c r="D319" s="58">
        <v>1383611.8260600001</v>
      </c>
      <c r="E319" s="51" t="str">
        <f t="shared" si="5"/>
        <v>2014 q3</v>
      </c>
      <c r="I319" s="59"/>
    </row>
    <row r="320" spans="2:9" s="51" customFormat="1" ht="19.75" customHeight="1">
      <c r="B320" s="49">
        <v>41868</v>
      </c>
      <c r="C320" s="58">
        <v>11244756.890737999</v>
      </c>
      <c r="D320" s="58">
        <v>921830.42500000005</v>
      </c>
      <c r="E320" s="51" t="str">
        <f t="shared" si="5"/>
        <v>2014 q3</v>
      </c>
      <c r="I320" s="59"/>
    </row>
    <row r="321" spans="2:9" s="51" customFormat="1" ht="19.75" customHeight="1">
      <c r="B321" s="49">
        <v>41875</v>
      </c>
      <c r="C321" s="58">
        <v>11743340.201141</v>
      </c>
      <c r="D321" s="58">
        <v>981893.90794151998</v>
      </c>
      <c r="E321" s="51" t="str">
        <f t="shared" si="5"/>
        <v>2014 q3</v>
      </c>
      <c r="I321" s="59"/>
    </row>
    <row r="322" spans="2:9" s="51" customFormat="1" ht="19.75" customHeight="1">
      <c r="B322" s="49">
        <v>41882</v>
      </c>
      <c r="C322" s="58">
        <v>9857385.1135497596</v>
      </c>
      <c r="D322" s="58">
        <v>841821.06555296003</v>
      </c>
      <c r="E322" s="51" t="str">
        <f t="shared" si="5"/>
        <v>2014 q3</v>
      </c>
      <c r="I322" s="59"/>
    </row>
    <row r="323" spans="2:9" s="51" customFormat="1" ht="19.75" customHeight="1">
      <c r="B323" s="49">
        <v>41889</v>
      </c>
      <c r="C323" s="58">
        <v>13599574.7273692</v>
      </c>
      <c r="D323" s="58">
        <v>1146844.65652</v>
      </c>
      <c r="E323" s="51" t="str">
        <f t="shared" si="5"/>
        <v>2014 q3</v>
      </c>
      <c r="I323" s="59"/>
    </row>
    <row r="324" spans="2:9" s="51" customFormat="1" ht="19.75" customHeight="1">
      <c r="B324" s="49">
        <v>41896</v>
      </c>
      <c r="C324" s="58">
        <v>7868145.2722079996</v>
      </c>
      <c r="D324" s="58">
        <v>664728.72907999996</v>
      </c>
      <c r="E324" s="51" t="str">
        <f t="shared" si="5"/>
        <v>2014 q3</v>
      </c>
      <c r="I324" s="59"/>
    </row>
    <row r="325" spans="2:9" s="51" customFormat="1" ht="19.75" customHeight="1">
      <c r="B325" s="49">
        <v>41903</v>
      </c>
      <c r="C325" s="58">
        <v>11051322.9679155</v>
      </c>
      <c r="D325" s="58">
        <v>924311.03117500001</v>
      </c>
      <c r="E325" s="51" t="str">
        <f t="shared" si="5"/>
        <v>2014 q3</v>
      </c>
      <c r="I325" s="59"/>
    </row>
    <row r="326" spans="2:9" s="51" customFormat="1" ht="19.75" customHeight="1">
      <c r="B326" s="49">
        <v>41910</v>
      </c>
      <c r="C326" s="58">
        <v>15700571.37885</v>
      </c>
      <c r="D326" s="58">
        <v>1285109.9950000001</v>
      </c>
      <c r="E326" s="51" t="str">
        <f t="shared" ref="E326:E389" si="6">YEAR(B326)&amp;" q"&amp;ROUNDUP(MONTH(B326)/3,0)</f>
        <v>2014 q3</v>
      </c>
      <c r="I326" s="59"/>
    </row>
    <row r="327" spans="2:9" s="51" customFormat="1" ht="19.75" customHeight="1">
      <c r="B327" s="49">
        <v>41917</v>
      </c>
      <c r="C327" s="58">
        <v>7960292.1788219996</v>
      </c>
      <c r="D327" s="58">
        <v>670816.17572000006</v>
      </c>
      <c r="E327" s="51" t="str">
        <f t="shared" si="6"/>
        <v>2014 q4</v>
      </c>
      <c r="I327" s="59"/>
    </row>
    <row r="328" spans="2:9" s="51" customFormat="1" ht="19.75" customHeight="1">
      <c r="B328" s="49">
        <v>41924</v>
      </c>
      <c r="C328" s="58">
        <v>10393480.053925799</v>
      </c>
      <c r="D328" s="58">
        <v>939478.43127196003</v>
      </c>
      <c r="E328" s="51" t="str">
        <f t="shared" si="6"/>
        <v>2014 q4</v>
      </c>
      <c r="I328" s="59"/>
    </row>
    <row r="329" spans="2:9" s="51" customFormat="1" ht="19.75" customHeight="1">
      <c r="B329" s="49">
        <v>41931</v>
      </c>
      <c r="C329" s="58">
        <v>18658231.458274402</v>
      </c>
      <c r="D329" s="58">
        <v>1528261.3533600001</v>
      </c>
      <c r="E329" s="51" t="str">
        <f t="shared" si="6"/>
        <v>2014 q4</v>
      </c>
      <c r="I329" s="59"/>
    </row>
    <row r="330" spans="2:9" s="51" customFormat="1" ht="19.75" customHeight="1">
      <c r="B330" s="49">
        <v>41938</v>
      </c>
      <c r="C330" s="58">
        <v>11888556.787048001</v>
      </c>
      <c r="D330" s="58">
        <v>1014307.1872</v>
      </c>
      <c r="E330" s="51" t="str">
        <f t="shared" si="6"/>
        <v>2014 q4</v>
      </c>
      <c r="I330" s="59"/>
    </row>
    <row r="331" spans="2:9" s="51" customFormat="1" ht="19.75" customHeight="1">
      <c r="B331" s="49">
        <v>41945</v>
      </c>
      <c r="C331" s="58">
        <v>15257015.9403104</v>
      </c>
      <c r="D331" s="58">
        <v>1182018.7835200001</v>
      </c>
      <c r="E331" s="51" t="str">
        <f t="shared" si="6"/>
        <v>2014 q4</v>
      </c>
      <c r="I331" s="59"/>
    </row>
    <row r="332" spans="2:9" s="51" customFormat="1" ht="19.75" customHeight="1">
      <c r="B332" s="49">
        <v>41952</v>
      </c>
      <c r="C332" s="58">
        <v>13629230.185604</v>
      </c>
      <c r="D332" s="58">
        <v>1141002.7216</v>
      </c>
      <c r="E332" s="51" t="str">
        <f t="shared" si="6"/>
        <v>2014 q4</v>
      </c>
      <c r="I332" s="59"/>
    </row>
    <row r="333" spans="2:9" s="51" customFormat="1" ht="19.75" customHeight="1">
      <c r="B333" s="49">
        <v>41959</v>
      </c>
      <c r="C333" s="58">
        <v>14862885.914928</v>
      </c>
      <c r="D333" s="58">
        <v>1233394.2118840001</v>
      </c>
      <c r="E333" s="51" t="str">
        <f t="shared" si="6"/>
        <v>2014 q4</v>
      </c>
      <c r="I333" s="59"/>
    </row>
    <row r="334" spans="2:9" s="51" customFormat="1" ht="19.75" customHeight="1">
      <c r="B334" s="49">
        <v>41966</v>
      </c>
      <c r="C334" s="58">
        <v>15572195.6732968</v>
      </c>
      <c r="D334" s="58">
        <v>1334703.85968</v>
      </c>
      <c r="E334" s="51" t="str">
        <f t="shared" si="6"/>
        <v>2014 q4</v>
      </c>
      <c r="I334" s="59"/>
    </row>
    <row r="335" spans="2:9" s="51" customFormat="1" ht="19.75" customHeight="1">
      <c r="B335" s="49">
        <v>41973</v>
      </c>
      <c r="C335" s="58">
        <v>16045274.988461601</v>
      </c>
      <c r="D335" s="58">
        <v>1321262.05106</v>
      </c>
      <c r="E335" s="51" t="str">
        <f t="shared" si="6"/>
        <v>2014 q4</v>
      </c>
      <c r="I335" s="59"/>
    </row>
    <row r="336" spans="2:9" s="51" customFormat="1" ht="19.75" customHeight="1">
      <c r="B336" s="49">
        <v>41980</v>
      </c>
      <c r="C336" s="58">
        <v>10341668.955347201</v>
      </c>
      <c r="D336" s="58">
        <v>870606.81776000001</v>
      </c>
      <c r="E336" s="51" t="str">
        <f t="shared" si="6"/>
        <v>2014 q4</v>
      </c>
      <c r="I336" s="59"/>
    </row>
    <row r="337" spans="2:9" s="51" customFormat="1" ht="19.75" customHeight="1">
      <c r="B337" s="49">
        <v>41987</v>
      </c>
      <c r="C337" s="58">
        <v>16064573.976102199</v>
      </c>
      <c r="D337" s="58">
        <v>1335576.4528399999</v>
      </c>
      <c r="E337" s="51" t="str">
        <f t="shared" si="6"/>
        <v>2014 q4</v>
      </c>
      <c r="I337" s="59"/>
    </row>
    <row r="338" spans="2:9" s="51" customFormat="1" ht="19.75" customHeight="1">
      <c r="B338" s="49">
        <v>41994</v>
      </c>
      <c r="C338" s="58">
        <v>14816495.285504</v>
      </c>
      <c r="D338" s="58">
        <v>1209592.0379999999</v>
      </c>
      <c r="E338" s="51" t="str">
        <f t="shared" si="6"/>
        <v>2014 q4</v>
      </c>
      <c r="I338" s="59"/>
    </row>
    <row r="339" spans="2:9" s="51" customFormat="1" ht="19.75" customHeight="1">
      <c r="B339" s="49">
        <v>42001</v>
      </c>
      <c r="C339" s="58">
        <v>20550291.3459602</v>
      </c>
      <c r="D339" s="58">
        <v>1739359.2841159999</v>
      </c>
      <c r="E339" s="51" t="str">
        <f t="shared" si="6"/>
        <v>2014 q4</v>
      </c>
      <c r="I339" s="59"/>
    </row>
    <row r="340" spans="2:9" s="51" customFormat="1" ht="19.75" customHeight="1">
      <c r="B340" s="49">
        <v>42008</v>
      </c>
      <c r="C340" s="58">
        <v>11618244.653019501</v>
      </c>
      <c r="D340" s="58">
        <v>943983.17139999999</v>
      </c>
      <c r="E340" s="51" t="str">
        <f t="shared" si="6"/>
        <v>2015 q1</v>
      </c>
      <c r="I340" s="59"/>
    </row>
    <row r="341" spans="2:9" s="51" customFormat="1" ht="19.75" customHeight="1">
      <c r="B341" s="49">
        <v>42022</v>
      </c>
      <c r="C341" s="58">
        <v>1604447.2096500001</v>
      </c>
      <c r="D341" s="58">
        <v>148901.46549999999</v>
      </c>
      <c r="E341" s="51" t="str">
        <f t="shared" si="6"/>
        <v>2015 q1</v>
      </c>
      <c r="I341" s="59"/>
    </row>
    <row r="342" spans="2:9" s="51" customFormat="1" ht="19.75" customHeight="1">
      <c r="B342" s="49">
        <v>42029</v>
      </c>
      <c r="C342" s="58">
        <v>4123048.5470480002</v>
      </c>
      <c r="D342" s="58">
        <v>320036.31728000002</v>
      </c>
      <c r="E342" s="51" t="str">
        <f t="shared" si="6"/>
        <v>2015 q1</v>
      </c>
      <c r="I342" s="59"/>
    </row>
    <row r="343" spans="2:9" s="51" customFormat="1" ht="19.75" customHeight="1">
      <c r="B343" s="49">
        <v>42036</v>
      </c>
      <c r="C343" s="58">
        <v>3703019.7110560001</v>
      </c>
      <c r="D343" s="58">
        <v>284261.1728</v>
      </c>
      <c r="E343" s="51" t="str">
        <f t="shared" si="6"/>
        <v>2015 q1</v>
      </c>
      <c r="I343" s="59"/>
    </row>
    <row r="344" spans="2:9" s="51" customFormat="1" ht="19.75" customHeight="1">
      <c r="B344" s="49">
        <v>42043</v>
      </c>
      <c r="C344" s="58">
        <v>3632911.5594950002</v>
      </c>
      <c r="D344" s="58">
        <v>300325.72519999999</v>
      </c>
      <c r="E344" s="51" t="str">
        <f t="shared" si="6"/>
        <v>2015 q1</v>
      </c>
      <c r="I344" s="59"/>
    </row>
    <row r="345" spans="2:9" s="51" customFormat="1" ht="19.75" customHeight="1">
      <c r="B345" s="49">
        <v>42050</v>
      </c>
      <c r="C345" s="58">
        <v>6472424.5971820001</v>
      </c>
      <c r="D345" s="58">
        <v>490829.67239999998</v>
      </c>
      <c r="E345" s="51" t="str">
        <f t="shared" si="6"/>
        <v>2015 q1</v>
      </c>
      <c r="I345" s="59"/>
    </row>
    <row r="346" spans="2:9" s="51" customFormat="1" ht="19.75" customHeight="1">
      <c r="B346" s="49">
        <v>42057</v>
      </c>
      <c r="C346" s="58">
        <v>15961560.303752</v>
      </c>
      <c r="D346" s="58">
        <v>1318669.6631199999</v>
      </c>
      <c r="E346" s="51" t="str">
        <f t="shared" si="6"/>
        <v>2015 q1</v>
      </c>
      <c r="I346" s="59"/>
    </row>
    <row r="347" spans="2:9" s="51" customFormat="1" ht="19.75" customHeight="1">
      <c r="B347" s="49">
        <v>42064</v>
      </c>
      <c r="C347" s="58">
        <v>11230704.876421999</v>
      </c>
      <c r="D347" s="58">
        <v>965160.00179999997</v>
      </c>
      <c r="E347" s="51" t="str">
        <f t="shared" si="6"/>
        <v>2015 q1</v>
      </c>
      <c r="I347" s="59"/>
    </row>
    <row r="348" spans="2:9" s="51" customFormat="1" ht="19.75" customHeight="1">
      <c r="B348" s="49">
        <v>42071</v>
      </c>
      <c r="C348" s="58">
        <v>10830640.130411001</v>
      </c>
      <c r="D348" s="58">
        <v>898978.45559999999</v>
      </c>
      <c r="E348" s="51" t="str">
        <f t="shared" si="6"/>
        <v>2015 q1</v>
      </c>
      <c r="I348" s="59"/>
    </row>
    <row r="349" spans="2:9" s="51" customFormat="1" ht="19.75" customHeight="1">
      <c r="B349" s="49">
        <v>42078</v>
      </c>
      <c r="C349" s="58">
        <v>10970244.271786001</v>
      </c>
      <c r="D349" s="58">
        <v>909803.72719999996</v>
      </c>
      <c r="E349" s="51" t="str">
        <f t="shared" si="6"/>
        <v>2015 q1</v>
      </c>
      <c r="I349" s="59"/>
    </row>
    <row r="350" spans="2:9" s="51" customFormat="1" ht="19.75" customHeight="1">
      <c r="B350" s="49">
        <v>42085</v>
      </c>
      <c r="C350" s="58">
        <v>7683024.8787856</v>
      </c>
      <c r="D350" s="58">
        <v>607393.23791999999</v>
      </c>
      <c r="E350" s="51" t="str">
        <f t="shared" si="6"/>
        <v>2015 q1</v>
      </c>
      <c r="I350" s="59"/>
    </row>
    <row r="351" spans="2:9" s="51" customFormat="1" ht="19.75" customHeight="1">
      <c r="B351" s="49">
        <v>42092</v>
      </c>
      <c r="C351" s="58">
        <v>11177424.1753</v>
      </c>
      <c r="D351" s="58">
        <v>858444.20169999998</v>
      </c>
      <c r="E351" s="51" t="str">
        <f t="shared" si="6"/>
        <v>2015 q1</v>
      </c>
      <c r="I351" s="59"/>
    </row>
    <row r="352" spans="2:9" s="51" customFormat="1" ht="19.75" customHeight="1">
      <c r="B352" s="49">
        <v>42099</v>
      </c>
      <c r="C352" s="58">
        <v>12005470.719370799</v>
      </c>
      <c r="D352" s="58">
        <v>939856.76020000002</v>
      </c>
      <c r="E352" s="51" t="str">
        <f t="shared" si="6"/>
        <v>2015 q2</v>
      </c>
      <c r="I352" s="59"/>
    </row>
    <row r="353" spans="2:9" s="51" customFormat="1" ht="19.75" customHeight="1">
      <c r="B353" s="49">
        <v>42106</v>
      </c>
      <c r="C353" s="58">
        <v>7777930.0022149999</v>
      </c>
      <c r="D353" s="58">
        <v>581453.35080000001</v>
      </c>
      <c r="E353" s="51" t="str">
        <f t="shared" si="6"/>
        <v>2015 q2</v>
      </c>
      <c r="I353" s="59"/>
    </row>
    <row r="354" spans="2:9" s="51" customFormat="1" ht="19.75" customHeight="1">
      <c r="B354" s="49">
        <v>42113</v>
      </c>
      <c r="C354" s="58">
        <v>10487209.7311919</v>
      </c>
      <c r="D354" s="58">
        <v>755526.396144</v>
      </c>
      <c r="E354" s="51" t="str">
        <f t="shared" si="6"/>
        <v>2015 q2</v>
      </c>
      <c r="I354" s="59"/>
    </row>
    <row r="355" spans="2:9" s="51" customFormat="1" ht="19.75" customHeight="1">
      <c r="B355" s="49">
        <v>42120</v>
      </c>
      <c r="C355" s="58">
        <v>10463342.6445606</v>
      </c>
      <c r="D355" s="58">
        <v>789763.21227500006</v>
      </c>
      <c r="E355" s="51" t="str">
        <f t="shared" si="6"/>
        <v>2015 q2</v>
      </c>
      <c r="I355" s="59"/>
    </row>
    <row r="356" spans="2:9" s="51" customFormat="1" ht="19.75" customHeight="1">
      <c r="B356" s="49">
        <v>42127</v>
      </c>
      <c r="C356" s="58">
        <v>11296338.413185799</v>
      </c>
      <c r="D356" s="58">
        <v>917398.67632500001</v>
      </c>
      <c r="E356" s="51" t="str">
        <f t="shared" si="6"/>
        <v>2015 q2</v>
      </c>
      <c r="I356" s="59"/>
    </row>
    <row r="357" spans="2:9" s="51" customFormat="1" ht="19.75" customHeight="1">
      <c r="B357" s="49">
        <v>42134</v>
      </c>
      <c r="C357" s="58">
        <v>10501489.854994601</v>
      </c>
      <c r="D357" s="58">
        <v>816565.82322000002</v>
      </c>
      <c r="E357" s="51" t="str">
        <f t="shared" si="6"/>
        <v>2015 q2</v>
      </c>
      <c r="I357" s="59"/>
    </row>
    <row r="358" spans="2:9" s="51" customFormat="1" ht="19.75" customHeight="1">
      <c r="B358" s="49">
        <v>42141</v>
      </c>
      <c r="C358" s="58">
        <v>9564743.4058352001</v>
      </c>
      <c r="D358" s="58">
        <v>753532.91098000004</v>
      </c>
      <c r="E358" s="51" t="str">
        <f t="shared" si="6"/>
        <v>2015 q2</v>
      </c>
      <c r="I358" s="59"/>
    </row>
    <row r="359" spans="2:9" s="51" customFormat="1" ht="19.75" customHeight="1">
      <c r="B359" s="49">
        <v>42148</v>
      </c>
      <c r="C359" s="58">
        <v>11112349.245722</v>
      </c>
      <c r="D359" s="58">
        <v>826472.44495999999</v>
      </c>
      <c r="E359" s="51" t="str">
        <f t="shared" si="6"/>
        <v>2015 q2</v>
      </c>
      <c r="I359" s="59"/>
    </row>
    <row r="360" spans="2:9" s="51" customFormat="1" ht="19.75" customHeight="1">
      <c r="B360" s="49">
        <v>42155</v>
      </c>
      <c r="C360" s="58">
        <v>7904681.8570172498</v>
      </c>
      <c r="D360" s="58">
        <v>622578.76587500004</v>
      </c>
      <c r="E360" s="51" t="str">
        <f t="shared" si="6"/>
        <v>2015 q2</v>
      </c>
      <c r="I360" s="59"/>
    </row>
    <row r="361" spans="2:9" s="51" customFormat="1" ht="19.75" customHeight="1">
      <c r="B361" s="49">
        <v>42162</v>
      </c>
      <c r="C361" s="58">
        <v>8129239.0257695997</v>
      </c>
      <c r="D361" s="58">
        <v>640044.69568</v>
      </c>
      <c r="E361" s="51" t="str">
        <f t="shared" si="6"/>
        <v>2015 q2</v>
      </c>
      <c r="I361" s="59"/>
    </row>
    <row r="362" spans="2:9" s="51" customFormat="1" ht="19.75" customHeight="1">
      <c r="B362" s="49">
        <v>42169</v>
      </c>
      <c r="C362" s="58">
        <v>15568181.0033616</v>
      </c>
      <c r="D362" s="58">
        <v>1287053.2680599999</v>
      </c>
      <c r="E362" s="51" t="str">
        <f t="shared" si="6"/>
        <v>2015 q2</v>
      </c>
      <c r="I362" s="59"/>
    </row>
    <row r="363" spans="2:9" s="51" customFormat="1" ht="19.75" customHeight="1">
      <c r="B363" s="49">
        <v>42176</v>
      </c>
      <c r="C363" s="58">
        <v>13484245.873268999</v>
      </c>
      <c r="D363" s="58">
        <v>1119432.1784000001</v>
      </c>
      <c r="E363" s="51" t="str">
        <f t="shared" si="6"/>
        <v>2015 q2</v>
      </c>
      <c r="I363" s="59"/>
    </row>
    <row r="364" spans="2:9" s="51" customFormat="1" ht="19.75" customHeight="1">
      <c r="B364" s="49">
        <v>42183</v>
      </c>
      <c r="C364" s="58">
        <v>15535369.307019999</v>
      </c>
      <c r="D364" s="58">
        <v>1184963.7612000001</v>
      </c>
      <c r="E364" s="51" t="str">
        <f t="shared" si="6"/>
        <v>2015 q2</v>
      </c>
      <c r="I364" s="59"/>
    </row>
    <row r="365" spans="2:9" s="51" customFormat="1" ht="19.75" customHeight="1">
      <c r="B365" s="49">
        <v>42190</v>
      </c>
      <c r="C365" s="58">
        <v>11597692.1779732</v>
      </c>
      <c r="D365" s="58">
        <v>979658.02268000005</v>
      </c>
      <c r="E365" s="51" t="str">
        <f t="shared" si="6"/>
        <v>2015 q3</v>
      </c>
      <c r="I365" s="59"/>
    </row>
    <row r="366" spans="2:9" s="51" customFormat="1" ht="19.75" customHeight="1">
      <c r="B366" s="49">
        <v>42197</v>
      </c>
      <c r="C366" s="58">
        <v>12130642.322915999</v>
      </c>
      <c r="D366" s="58">
        <v>1028863.7536000001</v>
      </c>
      <c r="E366" s="51" t="str">
        <f t="shared" si="6"/>
        <v>2015 q3</v>
      </c>
      <c r="I366" s="59"/>
    </row>
    <row r="367" spans="2:9" s="51" customFormat="1" ht="19.75" customHeight="1">
      <c r="B367" s="49">
        <v>42204</v>
      </c>
      <c r="C367" s="58">
        <v>11067141.427200001</v>
      </c>
      <c r="D367" s="58">
        <v>847784.06649999996</v>
      </c>
      <c r="E367" s="51" t="str">
        <f t="shared" si="6"/>
        <v>2015 q3</v>
      </c>
      <c r="I367" s="59"/>
    </row>
    <row r="368" spans="2:9" s="51" customFormat="1" ht="19.75" customHeight="1">
      <c r="B368" s="49">
        <v>42211</v>
      </c>
      <c r="C368" s="58">
        <v>13442970.8883176</v>
      </c>
      <c r="D368" s="58">
        <v>1031674.09176</v>
      </c>
      <c r="E368" s="51" t="str">
        <f t="shared" si="6"/>
        <v>2015 q3</v>
      </c>
      <c r="I368" s="59"/>
    </row>
    <row r="369" spans="2:9" s="51" customFormat="1" ht="19.75" customHeight="1">
      <c r="B369" s="49">
        <v>42218</v>
      </c>
      <c r="C369" s="58">
        <v>12923467.766155999</v>
      </c>
      <c r="D369" s="58">
        <v>1022189.34276</v>
      </c>
      <c r="E369" s="51" t="str">
        <f t="shared" si="6"/>
        <v>2015 q3</v>
      </c>
      <c r="I369" s="59"/>
    </row>
    <row r="370" spans="2:9" s="51" customFormat="1" ht="19.75" customHeight="1">
      <c r="B370" s="49">
        <v>42225</v>
      </c>
      <c r="C370" s="58">
        <v>9963443.2773132008</v>
      </c>
      <c r="D370" s="58">
        <v>774456.71944000002</v>
      </c>
      <c r="E370" s="51" t="str">
        <f t="shared" si="6"/>
        <v>2015 q3</v>
      </c>
      <c r="I370" s="59"/>
    </row>
    <row r="371" spans="2:9" s="51" customFormat="1" ht="19.75" customHeight="1">
      <c r="B371" s="49">
        <v>42232</v>
      </c>
      <c r="C371" s="58">
        <v>12898844.385797201</v>
      </c>
      <c r="D371" s="58">
        <v>993192.30799999996</v>
      </c>
      <c r="E371" s="51" t="str">
        <f t="shared" si="6"/>
        <v>2015 q3</v>
      </c>
      <c r="I371" s="59"/>
    </row>
    <row r="372" spans="2:9" s="51" customFormat="1" ht="19.75" customHeight="1">
      <c r="B372" s="49">
        <v>42239</v>
      </c>
      <c r="C372" s="58">
        <v>9496814.4758000001</v>
      </c>
      <c r="D372" s="58">
        <v>713548.58100000001</v>
      </c>
      <c r="E372" s="51" t="str">
        <f t="shared" si="6"/>
        <v>2015 q3</v>
      </c>
      <c r="I372" s="59"/>
    </row>
    <row r="373" spans="2:9" s="51" customFormat="1" ht="19.75" customHeight="1">
      <c r="B373" s="49">
        <v>42246</v>
      </c>
      <c r="C373" s="58">
        <v>12458904.2434</v>
      </c>
      <c r="D373" s="58">
        <v>975965.29264</v>
      </c>
      <c r="E373" s="51" t="str">
        <f t="shared" si="6"/>
        <v>2015 q3</v>
      </c>
      <c r="I373" s="59"/>
    </row>
    <row r="374" spans="2:9" s="51" customFormat="1" ht="19.75" customHeight="1">
      <c r="B374" s="49">
        <v>42253</v>
      </c>
      <c r="C374" s="58">
        <v>23807682.625822201</v>
      </c>
      <c r="D374" s="58">
        <v>2145184.1539799999</v>
      </c>
      <c r="E374" s="51" t="str">
        <f t="shared" si="6"/>
        <v>2015 q3</v>
      </c>
      <c r="I374" s="59"/>
    </row>
    <row r="375" spans="2:9" s="51" customFormat="1" ht="19.75" customHeight="1">
      <c r="B375" s="49">
        <v>42260</v>
      </c>
      <c r="C375" s="58">
        <v>9348627.4732891992</v>
      </c>
      <c r="D375" s="58">
        <v>725489.02263999998</v>
      </c>
      <c r="E375" s="51" t="str">
        <f t="shared" si="6"/>
        <v>2015 q3</v>
      </c>
      <c r="I375" s="59"/>
    </row>
    <row r="376" spans="2:9" s="51" customFormat="1" ht="19.75" customHeight="1">
      <c r="B376" s="49">
        <v>42267</v>
      </c>
      <c r="C376" s="58">
        <v>9211909.5557809994</v>
      </c>
      <c r="D376" s="58">
        <v>714054.18220000004</v>
      </c>
      <c r="E376" s="51" t="str">
        <f t="shared" si="6"/>
        <v>2015 q3</v>
      </c>
      <c r="I376" s="59"/>
    </row>
    <row r="377" spans="2:9" s="51" customFormat="1" ht="19.75" customHeight="1">
      <c r="B377" s="49">
        <v>42274</v>
      </c>
      <c r="C377" s="58">
        <v>9078149.9065150004</v>
      </c>
      <c r="D377" s="58">
        <v>667544.45979999995</v>
      </c>
      <c r="E377" s="51" t="str">
        <f t="shared" si="6"/>
        <v>2015 q3</v>
      </c>
      <c r="I377" s="59"/>
    </row>
    <row r="378" spans="2:9" s="51" customFormat="1" ht="19.75" customHeight="1">
      <c r="B378" s="49">
        <v>42281</v>
      </c>
      <c r="C378" s="58">
        <v>11129440.285407601</v>
      </c>
      <c r="D378" s="58">
        <v>903011.07666000002</v>
      </c>
      <c r="E378" s="51" t="str">
        <f t="shared" si="6"/>
        <v>2015 q4</v>
      </c>
      <c r="I378" s="59"/>
    </row>
    <row r="379" spans="2:9" s="51" customFormat="1" ht="19.75" customHeight="1">
      <c r="B379" s="49">
        <v>42288</v>
      </c>
      <c r="C379" s="58">
        <v>7981322.7902720002</v>
      </c>
      <c r="D379" s="58">
        <v>632079.63708000001</v>
      </c>
      <c r="E379" s="51" t="str">
        <f t="shared" si="6"/>
        <v>2015 q4</v>
      </c>
      <c r="I379" s="59"/>
    </row>
    <row r="380" spans="2:9" s="51" customFormat="1" ht="19.75" customHeight="1">
      <c r="B380" s="49">
        <v>42295</v>
      </c>
      <c r="C380" s="58">
        <v>11035182.242867401</v>
      </c>
      <c r="D380" s="58">
        <v>916602.04848</v>
      </c>
      <c r="E380" s="51" t="str">
        <f t="shared" si="6"/>
        <v>2015 q4</v>
      </c>
      <c r="I380" s="59"/>
    </row>
    <row r="381" spans="2:9" s="51" customFormat="1" ht="19.75" customHeight="1">
      <c r="B381" s="49">
        <v>42302</v>
      </c>
      <c r="C381" s="58">
        <v>13093830.6802302</v>
      </c>
      <c r="D381" s="58">
        <v>1010864.23778</v>
      </c>
      <c r="E381" s="51" t="str">
        <f t="shared" si="6"/>
        <v>2015 q4</v>
      </c>
      <c r="I381" s="59"/>
    </row>
    <row r="382" spans="2:9" s="51" customFormat="1" ht="19.75" customHeight="1">
      <c r="B382" s="49">
        <v>42309</v>
      </c>
      <c r="C382" s="58">
        <v>13367527.150818599</v>
      </c>
      <c r="D382" s="58">
        <v>1118765.40702</v>
      </c>
      <c r="E382" s="51" t="str">
        <f t="shared" si="6"/>
        <v>2015 q4</v>
      </c>
      <c r="I382" s="59"/>
    </row>
    <row r="383" spans="2:9" s="51" customFormat="1" ht="19.75" customHeight="1">
      <c r="B383" s="49">
        <v>42316</v>
      </c>
      <c r="C383" s="58">
        <v>9695065.1482439991</v>
      </c>
      <c r="D383" s="58">
        <v>764806.16488000005</v>
      </c>
      <c r="E383" s="51" t="str">
        <f t="shared" si="6"/>
        <v>2015 q4</v>
      </c>
      <c r="I383" s="59"/>
    </row>
    <row r="384" spans="2:9" s="51" customFormat="1" ht="19.75" customHeight="1">
      <c r="B384" s="49">
        <v>42323</v>
      </c>
      <c r="C384" s="58">
        <v>10940298.557026001</v>
      </c>
      <c r="D384" s="58">
        <v>826140.13959999999</v>
      </c>
      <c r="E384" s="51" t="str">
        <f t="shared" si="6"/>
        <v>2015 q4</v>
      </c>
      <c r="I384" s="59"/>
    </row>
    <row r="385" spans="2:9" s="51" customFormat="1" ht="19.75" customHeight="1">
      <c r="B385" s="49">
        <v>42330</v>
      </c>
      <c r="C385" s="58">
        <v>19445242.356876001</v>
      </c>
      <c r="D385" s="58">
        <v>1637756.0955000001</v>
      </c>
      <c r="E385" s="51" t="str">
        <f t="shared" si="6"/>
        <v>2015 q4</v>
      </c>
      <c r="I385" s="59"/>
    </row>
    <row r="386" spans="2:9" s="51" customFormat="1" ht="19.75" customHeight="1">
      <c r="B386" s="49">
        <v>42337</v>
      </c>
      <c r="C386" s="58">
        <v>11543073.361207999</v>
      </c>
      <c r="D386" s="58">
        <v>913579.93203999999</v>
      </c>
      <c r="E386" s="51" t="str">
        <f t="shared" si="6"/>
        <v>2015 q4</v>
      </c>
      <c r="I386" s="59"/>
    </row>
    <row r="387" spans="2:9" s="51" customFormat="1" ht="19.75" customHeight="1">
      <c r="B387" s="49">
        <v>42344</v>
      </c>
      <c r="C387" s="58">
        <v>11723114.086176001</v>
      </c>
      <c r="D387" s="58">
        <v>961780.43726000004</v>
      </c>
      <c r="E387" s="51" t="str">
        <f t="shared" si="6"/>
        <v>2015 q4</v>
      </c>
      <c r="I387" s="59"/>
    </row>
    <row r="388" spans="2:9" s="51" customFormat="1" ht="19.75" customHeight="1">
      <c r="B388" s="49">
        <v>42351</v>
      </c>
      <c r="C388" s="58">
        <v>9465230.8461764008</v>
      </c>
      <c r="D388" s="58">
        <v>762625.08244000003</v>
      </c>
      <c r="E388" s="51" t="str">
        <f t="shared" si="6"/>
        <v>2015 q4</v>
      </c>
      <c r="I388" s="59"/>
    </row>
    <row r="389" spans="2:9" s="51" customFormat="1" ht="19.75" customHeight="1">
      <c r="B389" s="49">
        <v>42358</v>
      </c>
      <c r="C389" s="58">
        <v>15367465.556855001</v>
      </c>
      <c r="D389" s="58">
        <v>1187969.7605000001</v>
      </c>
      <c r="E389" s="51" t="str">
        <f t="shared" si="6"/>
        <v>2015 q4</v>
      </c>
      <c r="I389" s="59"/>
    </row>
    <row r="390" spans="2:9" s="51" customFormat="1" ht="19.75" customHeight="1">
      <c r="B390" s="49">
        <v>42365</v>
      </c>
      <c r="C390" s="58">
        <v>14140820.5643648</v>
      </c>
      <c r="D390" s="58">
        <v>1085159.8600399999</v>
      </c>
      <c r="E390" s="51" t="str">
        <f t="shared" ref="E390:E453" si="7">YEAR(B390)&amp;" q"&amp;ROUNDUP(MONTH(B390)/3,0)</f>
        <v>2015 q4</v>
      </c>
      <c r="I390" s="59"/>
    </row>
    <row r="391" spans="2:9" s="51" customFormat="1" ht="19.75" customHeight="1">
      <c r="B391" s="49">
        <v>42372</v>
      </c>
      <c r="C391" s="58">
        <v>18413651.183951501</v>
      </c>
      <c r="D391" s="58">
        <v>1511454.6850749999</v>
      </c>
      <c r="E391" s="51" t="str">
        <f t="shared" si="7"/>
        <v>2016 q1</v>
      </c>
      <c r="I391" s="59"/>
    </row>
    <row r="392" spans="2:9" s="51" customFormat="1" ht="19.75" customHeight="1">
      <c r="B392" s="49">
        <v>42379</v>
      </c>
      <c r="C392" s="58">
        <v>25881.912</v>
      </c>
      <c r="D392" s="58">
        <v>2156.826</v>
      </c>
      <c r="E392" s="51" t="str">
        <f t="shared" si="7"/>
        <v>2016 q1</v>
      </c>
      <c r="I392" s="59"/>
    </row>
    <row r="393" spans="2:9" s="51" customFormat="1" ht="19.75" customHeight="1">
      <c r="B393" s="49">
        <v>42386</v>
      </c>
      <c r="C393" s="58">
        <v>3882322.5839121998</v>
      </c>
      <c r="D393" s="58">
        <v>307029.12115999998</v>
      </c>
      <c r="E393" s="51" t="str">
        <f t="shared" si="7"/>
        <v>2016 q1</v>
      </c>
      <c r="I393" s="59"/>
    </row>
    <row r="394" spans="2:9" s="51" customFormat="1" ht="19.75" customHeight="1">
      <c r="B394" s="49">
        <v>42393</v>
      </c>
      <c r="C394" s="58">
        <v>5312281.5271920003</v>
      </c>
      <c r="D394" s="58">
        <v>384171.36216000002</v>
      </c>
      <c r="E394" s="51" t="str">
        <f t="shared" si="7"/>
        <v>2016 q1</v>
      </c>
      <c r="I394" s="59"/>
    </row>
    <row r="395" spans="2:9" s="51" customFormat="1" ht="19.75" customHeight="1">
      <c r="B395" s="49">
        <v>42400</v>
      </c>
      <c r="C395" s="58">
        <v>2994907.8297487502</v>
      </c>
      <c r="D395" s="58">
        <v>240803.92827500001</v>
      </c>
      <c r="E395" s="51" t="str">
        <f t="shared" si="7"/>
        <v>2016 q1</v>
      </c>
      <c r="I395" s="59"/>
    </row>
    <row r="396" spans="2:9" s="51" customFormat="1" ht="19.75" customHeight="1">
      <c r="B396" s="49">
        <v>42407</v>
      </c>
      <c r="C396" s="58">
        <v>8164784.2592120003</v>
      </c>
      <c r="D396" s="58">
        <v>625066.08042000001</v>
      </c>
      <c r="E396" s="51" t="str">
        <f t="shared" si="7"/>
        <v>2016 q1</v>
      </c>
      <c r="I396" s="59"/>
    </row>
    <row r="397" spans="2:9" s="51" customFormat="1" ht="19.75" customHeight="1">
      <c r="B397" s="49">
        <v>42414</v>
      </c>
      <c r="C397" s="58">
        <v>7745078.9488728</v>
      </c>
      <c r="D397" s="58">
        <v>638124.68512000004</v>
      </c>
      <c r="E397" s="51" t="str">
        <f t="shared" si="7"/>
        <v>2016 q1</v>
      </c>
      <c r="I397" s="59"/>
    </row>
    <row r="398" spans="2:9" s="51" customFormat="1" ht="19.75" customHeight="1">
      <c r="B398" s="49">
        <v>42421</v>
      </c>
      <c r="C398" s="58">
        <v>7767121.1864711996</v>
      </c>
      <c r="D398" s="58">
        <v>669540.24656</v>
      </c>
      <c r="E398" s="51" t="str">
        <f t="shared" si="7"/>
        <v>2016 q1</v>
      </c>
      <c r="I398" s="59"/>
    </row>
    <row r="399" spans="2:9" s="51" customFormat="1" ht="19.75" customHeight="1">
      <c r="B399" s="49">
        <v>42428</v>
      </c>
      <c r="C399" s="58">
        <v>6768445.5749008004</v>
      </c>
      <c r="D399" s="58">
        <v>510688.85447999998</v>
      </c>
      <c r="E399" s="51" t="str">
        <f t="shared" si="7"/>
        <v>2016 q1</v>
      </c>
      <c r="I399" s="59"/>
    </row>
    <row r="400" spans="2:9" s="51" customFormat="1" ht="19.75" customHeight="1">
      <c r="B400" s="49">
        <v>42435</v>
      </c>
      <c r="C400" s="58">
        <v>12708637.817776799</v>
      </c>
      <c r="D400" s="58">
        <v>1032941.2722</v>
      </c>
      <c r="E400" s="51" t="str">
        <f t="shared" si="7"/>
        <v>2016 q1</v>
      </c>
      <c r="I400" s="59"/>
    </row>
    <row r="401" spans="2:9" s="51" customFormat="1" ht="19.75" customHeight="1">
      <c r="B401" s="49">
        <v>42442</v>
      </c>
      <c r="C401" s="58">
        <v>5857990.5856627496</v>
      </c>
      <c r="D401" s="58">
        <v>464538.20382499998</v>
      </c>
      <c r="E401" s="51" t="str">
        <f t="shared" si="7"/>
        <v>2016 q1</v>
      </c>
      <c r="I401" s="59"/>
    </row>
    <row r="402" spans="2:9" s="51" customFormat="1" ht="19.75" customHeight="1">
      <c r="B402" s="49">
        <v>42449</v>
      </c>
      <c r="C402" s="58">
        <v>8827759.1299447995</v>
      </c>
      <c r="D402" s="58">
        <v>663820.25647999998</v>
      </c>
      <c r="E402" s="51" t="str">
        <f t="shared" si="7"/>
        <v>2016 q1</v>
      </c>
      <c r="I402" s="59"/>
    </row>
    <row r="403" spans="2:9" s="51" customFormat="1" ht="19.75" customHeight="1">
      <c r="B403" s="49">
        <v>42456</v>
      </c>
      <c r="C403" s="58">
        <v>10039696.691707199</v>
      </c>
      <c r="D403" s="58">
        <v>767672.95784000005</v>
      </c>
      <c r="E403" s="51" t="str">
        <f t="shared" si="7"/>
        <v>2016 q1</v>
      </c>
      <c r="I403" s="59"/>
    </row>
    <row r="404" spans="2:9" s="51" customFormat="1" ht="19.75" customHeight="1">
      <c r="B404" s="49">
        <v>42463</v>
      </c>
      <c r="C404" s="58">
        <v>11702601.900920801</v>
      </c>
      <c r="D404" s="58">
        <v>901704.99199999997</v>
      </c>
      <c r="E404" s="51" t="str">
        <f t="shared" si="7"/>
        <v>2016 q2</v>
      </c>
      <c r="I404" s="59"/>
    </row>
    <row r="405" spans="2:9" s="51" customFormat="1" ht="19.75" customHeight="1">
      <c r="B405" s="49">
        <v>42470</v>
      </c>
      <c r="C405" s="58">
        <v>12897512.54256</v>
      </c>
      <c r="D405" s="58">
        <v>968297.31808</v>
      </c>
      <c r="E405" s="51" t="str">
        <f t="shared" si="7"/>
        <v>2016 q2</v>
      </c>
      <c r="I405" s="59"/>
    </row>
    <row r="406" spans="2:9" s="51" customFormat="1" ht="19.75" customHeight="1">
      <c r="B406" s="49">
        <v>42477</v>
      </c>
      <c r="C406" s="58">
        <v>9911037.8802391998</v>
      </c>
      <c r="D406" s="58">
        <v>749535.98004000005</v>
      </c>
      <c r="E406" s="51" t="str">
        <f t="shared" si="7"/>
        <v>2016 q2</v>
      </c>
      <c r="I406" s="59"/>
    </row>
    <row r="407" spans="2:9" s="51" customFormat="1" ht="19.75" customHeight="1">
      <c r="B407" s="49">
        <v>42484</v>
      </c>
      <c r="C407" s="58">
        <v>9044371.8461684007</v>
      </c>
      <c r="D407" s="58">
        <v>699386.85120000003</v>
      </c>
      <c r="E407" s="51" t="str">
        <f t="shared" si="7"/>
        <v>2016 q2</v>
      </c>
      <c r="I407" s="59"/>
    </row>
    <row r="408" spans="2:9" s="51" customFormat="1" ht="19.75" customHeight="1">
      <c r="B408" s="49">
        <v>42491</v>
      </c>
      <c r="C408" s="58">
        <v>12194945.849474</v>
      </c>
      <c r="D408" s="58">
        <v>1035438.12764</v>
      </c>
      <c r="E408" s="51" t="str">
        <f t="shared" si="7"/>
        <v>2016 q2</v>
      </c>
      <c r="I408" s="59"/>
    </row>
    <row r="409" spans="2:9" s="51" customFormat="1" ht="19.75" customHeight="1">
      <c r="B409" s="49">
        <v>42498</v>
      </c>
      <c r="C409" s="58">
        <v>13779370.592697401</v>
      </c>
      <c r="D409" s="58">
        <v>1165411.8363600001</v>
      </c>
      <c r="E409" s="51" t="str">
        <f t="shared" si="7"/>
        <v>2016 q2</v>
      </c>
      <c r="I409" s="59"/>
    </row>
    <row r="410" spans="2:9" s="51" customFormat="1" ht="19.75" customHeight="1">
      <c r="B410" s="49">
        <v>42505</v>
      </c>
      <c r="C410" s="58">
        <v>7752392.4707492497</v>
      </c>
      <c r="D410" s="58">
        <v>638300.35880000005</v>
      </c>
      <c r="E410" s="51" t="str">
        <f t="shared" si="7"/>
        <v>2016 q2</v>
      </c>
      <c r="I410" s="59"/>
    </row>
    <row r="411" spans="2:9" s="51" customFormat="1" ht="19.75" customHeight="1">
      <c r="B411" s="49">
        <v>42512</v>
      </c>
      <c r="C411" s="58">
        <v>11814220.232849199</v>
      </c>
      <c r="D411" s="58">
        <v>958474.08239999996</v>
      </c>
      <c r="E411" s="51" t="str">
        <f t="shared" si="7"/>
        <v>2016 q2</v>
      </c>
      <c r="I411" s="59"/>
    </row>
    <row r="412" spans="2:9" s="51" customFormat="1" ht="19.75" customHeight="1">
      <c r="B412" s="49">
        <v>42519</v>
      </c>
      <c r="C412" s="58">
        <v>11676892.556045</v>
      </c>
      <c r="D412" s="58">
        <v>944534.62057999999</v>
      </c>
      <c r="E412" s="51" t="str">
        <f t="shared" si="7"/>
        <v>2016 q2</v>
      </c>
      <c r="I412" s="59"/>
    </row>
    <row r="413" spans="2:9" s="51" customFormat="1" ht="19.75" customHeight="1">
      <c r="B413" s="49">
        <v>42526</v>
      </c>
      <c r="C413" s="58">
        <v>13158162.068078</v>
      </c>
      <c r="D413" s="58">
        <v>929597.89295999997</v>
      </c>
      <c r="E413" s="51" t="str">
        <f t="shared" si="7"/>
        <v>2016 q2</v>
      </c>
      <c r="I413" s="59"/>
    </row>
    <row r="414" spans="2:9" s="51" customFormat="1" ht="19.75" customHeight="1">
      <c r="B414" s="49">
        <v>42533</v>
      </c>
      <c r="C414" s="58">
        <v>16298063.619872</v>
      </c>
      <c r="D414" s="58">
        <v>1355545.0397000001</v>
      </c>
      <c r="E414" s="51" t="str">
        <f t="shared" si="7"/>
        <v>2016 q2</v>
      </c>
      <c r="I414" s="59"/>
    </row>
    <row r="415" spans="2:9" s="51" customFormat="1" ht="19.75" customHeight="1">
      <c r="B415" s="49">
        <v>42540</v>
      </c>
      <c r="C415" s="58">
        <v>10706171.741420001</v>
      </c>
      <c r="D415" s="58">
        <v>838702.15983999998</v>
      </c>
      <c r="E415" s="51" t="str">
        <f t="shared" si="7"/>
        <v>2016 q2</v>
      </c>
      <c r="I415" s="59"/>
    </row>
    <row r="416" spans="2:9" s="51" customFormat="1" ht="19.75" customHeight="1">
      <c r="B416" s="49">
        <v>42547</v>
      </c>
      <c r="C416" s="58">
        <v>15546417.492935199</v>
      </c>
      <c r="D416" s="58">
        <v>1338735.01712</v>
      </c>
      <c r="E416" s="51" t="str">
        <f t="shared" si="7"/>
        <v>2016 q2</v>
      </c>
      <c r="I416" s="59"/>
    </row>
    <row r="417" spans="2:9" s="51" customFormat="1" ht="19.75" customHeight="1">
      <c r="B417" s="49">
        <v>42554</v>
      </c>
      <c r="C417" s="58">
        <v>19600070.1538692</v>
      </c>
      <c r="D417" s="58">
        <v>1801063.87148</v>
      </c>
      <c r="E417" s="51" t="str">
        <f t="shared" si="7"/>
        <v>2016 q3</v>
      </c>
      <c r="I417" s="59"/>
    </row>
    <row r="418" spans="2:9" s="51" customFormat="1" ht="19.75" customHeight="1">
      <c r="B418" s="49">
        <v>42561</v>
      </c>
      <c r="C418" s="58">
        <v>7878505.6484850002</v>
      </c>
      <c r="D418" s="58">
        <v>648900.51035</v>
      </c>
      <c r="E418" s="51" t="str">
        <f t="shared" si="7"/>
        <v>2016 q3</v>
      </c>
      <c r="I418" s="59"/>
    </row>
    <row r="419" spans="2:9" s="51" customFormat="1" ht="19.75" customHeight="1">
      <c r="B419" s="49">
        <v>42568</v>
      </c>
      <c r="C419" s="58">
        <v>17467803.743847799</v>
      </c>
      <c r="D419" s="58">
        <v>1358645.8726600001</v>
      </c>
      <c r="E419" s="51" t="str">
        <f t="shared" si="7"/>
        <v>2016 q3</v>
      </c>
      <c r="I419" s="59"/>
    </row>
    <row r="420" spans="2:9" s="51" customFormat="1" ht="19.75" customHeight="1">
      <c r="B420" s="49">
        <v>42575</v>
      </c>
      <c r="C420" s="58">
        <v>20395651.883717999</v>
      </c>
      <c r="D420" s="58">
        <v>2011494.02308</v>
      </c>
      <c r="E420" s="51" t="str">
        <f t="shared" si="7"/>
        <v>2016 q3</v>
      </c>
      <c r="I420" s="59"/>
    </row>
    <row r="421" spans="2:9" s="51" customFormat="1" ht="19.75" customHeight="1">
      <c r="B421" s="49">
        <v>42582</v>
      </c>
      <c r="C421" s="58">
        <v>13632215.728621401</v>
      </c>
      <c r="D421" s="58">
        <v>1123674.5895</v>
      </c>
      <c r="E421" s="51" t="str">
        <f t="shared" si="7"/>
        <v>2016 q3</v>
      </c>
      <c r="I421" s="59"/>
    </row>
    <row r="422" spans="2:9" s="51" customFormat="1" ht="19.75" customHeight="1">
      <c r="B422" s="49">
        <v>42589</v>
      </c>
      <c r="C422" s="58">
        <v>11689394.201210801</v>
      </c>
      <c r="D422" s="58">
        <v>928130.12775999994</v>
      </c>
      <c r="E422" s="51" t="str">
        <f t="shared" si="7"/>
        <v>2016 q3</v>
      </c>
      <c r="I422" s="59"/>
    </row>
    <row r="423" spans="2:9" s="51" customFormat="1" ht="19.75" customHeight="1">
      <c r="B423" s="49">
        <v>42596</v>
      </c>
      <c r="C423" s="58">
        <v>11210588.860507401</v>
      </c>
      <c r="D423" s="58">
        <v>888294.12161999999</v>
      </c>
      <c r="E423" s="51" t="str">
        <f t="shared" si="7"/>
        <v>2016 q3</v>
      </c>
      <c r="I423" s="59"/>
    </row>
    <row r="424" spans="2:9" s="51" customFormat="1" ht="19.75" customHeight="1">
      <c r="B424" s="49">
        <v>42603</v>
      </c>
      <c r="C424" s="58">
        <v>13536556.789920401</v>
      </c>
      <c r="D424" s="58">
        <v>1092864.2101199999</v>
      </c>
      <c r="E424" s="51" t="str">
        <f t="shared" si="7"/>
        <v>2016 q3</v>
      </c>
      <c r="I424" s="59"/>
    </row>
    <row r="425" spans="2:9" s="51" customFormat="1" ht="19.75" customHeight="1">
      <c r="B425" s="49">
        <v>42610</v>
      </c>
      <c r="C425" s="58">
        <v>10429215.2204198</v>
      </c>
      <c r="D425" s="58">
        <v>887192.80734000006</v>
      </c>
      <c r="E425" s="51" t="str">
        <f t="shared" si="7"/>
        <v>2016 q3</v>
      </c>
      <c r="I425" s="59"/>
    </row>
    <row r="426" spans="2:9" s="51" customFormat="1" ht="19.75" customHeight="1">
      <c r="B426" s="49">
        <v>42617</v>
      </c>
      <c r="C426" s="58">
        <v>9429237.6746980008</v>
      </c>
      <c r="D426" s="58">
        <v>731689.01760000002</v>
      </c>
      <c r="E426" s="51" t="str">
        <f t="shared" si="7"/>
        <v>2016 q3</v>
      </c>
      <c r="I426" s="59"/>
    </row>
    <row r="427" spans="2:9" s="51" customFormat="1" ht="19.75" customHeight="1">
      <c r="B427" s="49">
        <v>42624</v>
      </c>
      <c r="C427" s="58">
        <v>14226041.598235</v>
      </c>
      <c r="D427" s="58">
        <v>1141629.1795000001</v>
      </c>
      <c r="E427" s="51" t="str">
        <f t="shared" si="7"/>
        <v>2016 q3</v>
      </c>
      <c r="I427" s="59"/>
    </row>
    <row r="428" spans="2:9" s="51" customFormat="1" ht="19.75" customHeight="1">
      <c r="B428" s="49">
        <v>42631</v>
      </c>
      <c r="C428" s="58">
        <v>11407187.627617</v>
      </c>
      <c r="D428" s="58">
        <v>946314.27902500005</v>
      </c>
      <c r="E428" s="51" t="str">
        <f t="shared" si="7"/>
        <v>2016 q3</v>
      </c>
      <c r="I428" s="59"/>
    </row>
    <row r="429" spans="2:9" s="51" customFormat="1" ht="19.75" customHeight="1">
      <c r="B429" s="49">
        <v>42638</v>
      </c>
      <c r="C429" s="58">
        <v>14522194.401741</v>
      </c>
      <c r="D429" s="58">
        <v>1277799.1865000001</v>
      </c>
      <c r="E429" s="51" t="str">
        <f t="shared" si="7"/>
        <v>2016 q3</v>
      </c>
      <c r="I429" s="59"/>
    </row>
    <row r="430" spans="2:9" s="51" customFormat="1" ht="19.75" customHeight="1">
      <c r="B430" s="49">
        <v>42645</v>
      </c>
      <c r="C430" s="58">
        <v>16424544.1495804</v>
      </c>
      <c r="D430" s="58">
        <v>1422272.21508</v>
      </c>
      <c r="E430" s="51" t="str">
        <f t="shared" si="7"/>
        <v>2016 q4</v>
      </c>
      <c r="I430" s="59"/>
    </row>
    <row r="431" spans="2:9" s="51" customFormat="1" ht="19.75" customHeight="1">
      <c r="B431" s="49">
        <v>42652</v>
      </c>
      <c r="C431" s="58">
        <v>13451653.292587999</v>
      </c>
      <c r="D431" s="58">
        <v>1128076.7006000001</v>
      </c>
      <c r="E431" s="51" t="str">
        <f t="shared" si="7"/>
        <v>2016 q4</v>
      </c>
      <c r="I431" s="59"/>
    </row>
    <row r="432" spans="2:9" s="51" customFormat="1" ht="19.75" customHeight="1">
      <c r="B432" s="49">
        <v>42659</v>
      </c>
      <c r="C432" s="58">
        <v>16778265.791641001</v>
      </c>
      <c r="D432" s="58">
        <v>1486569.1620400001</v>
      </c>
      <c r="E432" s="51" t="str">
        <f t="shared" si="7"/>
        <v>2016 q4</v>
      </c>
      <c r="I432" s="59"/>
    </row>
    <row r="433" spans="2:9" s="51" customFormat="1" ht="19.75" customHeight="1">
      <c r="B433" s="49">
        <v>42666</v>
      </c>
      <c r="C433" s="58">
        <v>9801824.9813947994</v>
      </c>
      <c r="D433" s="58">
        <v>837716.51126000006</v>
      </c>
      <c r="E433" s="51" t="str">
        <f t="shared" si="7"/>
        <v>2016 q4</v>
      </c>
      <c r="I433" s="59"/>
    </row>
    <row r="434" spans="2:9" s="51" customFormat="1" ht="19.75" customHeight="1">
      <c r="B434" s="49">
        <v>42673</v>
      </c>
      <c r="C434" s="58">
        <v>14221655.4750224</v>
      </c>
      <c r="D434" s="58">
        <v>1132484.57072</v>
      </c>
      <c r="E434" s="51" t="str">
        <f t="shared" si="7"/>
        <v>2016 q4</v>
      </c>
      <c r="I434" s="59"/>
    </row>
    <row r="435" spans="2:9" s="51" customFormat="1" ht="19.75" customHeight="1">
      <c r="B435" s="49">
        <v>42680</v>
      </c>
      <c r="C435" s="58">
        <v>11197862.622347999</v>
      </c>
      <c r="D435" s="58">
        <v>896422.46872</v>
      </c>
      <c r="E435" s="51" t="str">
        <f t="shared" si="7"/>
        <v>2016 q4</v>
      </c>
      <c r="I435" s="59"/>
    </row>
    <row r="436" spans="2:9" s="51" customFormat="1" ht="19.75" customHeight="1">
      <c r="B436" s="49">
        <v>42687</v>
      </c>
      <c r="C436" s="58">
        <v>9153639.1529799998</v>
      </c>
      <c r="D436" s="58">
        <v>772748.91515999998</v>
      </c>
      <c r="E436" s="51" t="str">
        <f t="shared" si="7"/>
        <v>2016 q4</v>
      </c>
      <c r="I436" s="59"/>
    </row>
    <row r="437" spans="2:9" s="51" customFormat="1" ht="19.75" customHeight="1">
      <c r="B437" s="49">
        <v>42694</v>
      </c>
      <c r="C437" s="58">
        <v>9437629.7310627997</v>
      </c>
      <c r="D437" s="58">
        <v>781985.25959999999</v>
      </c>
      <c r="E437" s="51" t="str">
        <f t="shared" si="7"/>
        <v>2016 q4</v>
      </c>
      <c r="I437" s="59"/>
    </row>
    <row r="438" spans="2:9" s="51" customFormat="1" ht="19.75" customHeight="1">
      <c r="B438" s="49">
        <v>42701</v>
      </c>
      <c r="C438" s="58">
        <v>11190703.430999801</v>
      </c>
      <c r="D438" s="58">
        <v>964034.15078000003</v>
      </c>
      <c r="E438" s="51" t="str">
        <f t="shared" si="7"/>
        <v>2016 q4</v>
      </c>
      <c r="I438" s="59"/>
    </row>
    <row r="439" spans="2:9" s="51" customFormat="1" ht="19.75" customHeight="1">
      <c r="B439" s="49">
        <v>42708</v>
      </c>
      <c r="C439" s="58">
        <v>15914621.312951799</v>
      </c>
      <c r="D439" s="58">
        <v>1407064.8839400001</v>
      </c>
      <c r="E439" s="51" t="str">
        <f t="shared" si="7"/>
        <v>2016 q4</v>
      </c>
      <c r="I439" s="59"/>
    </row>
    <row r="440" spans="2:9" s="51" customFormat="1" ht="19.75" customHeight="1">
      <c r="B440" s="49">
        <v>42715</v>
      </c>
      <c r="C440" s="58">
        <v>16220352.1004376</v>
      </c>
      <c r="D440" s="58">
        <v>1404976.5948399999</v>
      </c>
      <c r="E440" s="51" t="str">
        <f t="shared" si="7"/>
        <v>2016 q4</v>
      </c>
      <c r="I440" s="59"/>
    </row>
    <row r="441" spans="2:9" s="51" customFormat="1" ht="19.75" customHeight="1">
      <c r="B441" s="49">
        <v>42722</v>
      </c>
      <c r="C441" s="58">
        <v>12930800.3329236</v>
      </c>
      <c r="D441" s="58">
        <v>1039971.1269</v>
      </c>
      <c r="E441" s="51" t="str">
        <f t="shared" si="7"/>
        <v>2016 q4</v>
      </c>
      <c r="I441" s="59"/>
    </row>
    <row r="442" spans="2:9" s="51" customFormat="1" ht="19.75" customHeight="1">
      <c r="B442" s="49">
        <v>42729</v>
      </c>
      <c r="C442" s="58">
        <v>15988889.760493999</v>
      </c>
      <c r="D442" s="58">
        <v>1360889.01832</v>
      </c>
      <c r="E442" s="51" t="str">
        <f t="shared" si="7"/>
        <v>2016 q4</v>
      </c>
      <c r="I442" s="59"/>
    </row>
    <row r="443" spans="2:9" s="51" customFormat="1" ht="19.75" customHeight="1">
      <c r="B443" s="49">
        <v>42736</v>
      </c>
      <c r="C443" s="58">
        <v>25277662.115506802</v>
      </c>
      <c r="D443" s="58">
        <v>2166744.2689200002</v>
      </c>
      <c r="E443" s="51" t="str">
        <f t="shared" si="7"/>
        <v>2017 q1</v>
      </c>
      <c r="I443" s="59"/>
    </row>
    <row r="444" spans="2:9" s="51" customFormat="1" ht="19.75" customHeight="1">
      <c r="B444" s="49">
        <v>42750</v>
      </c>
      <c r="C444" s="58">
        <v>5629192.6701411996</v>
      </c>
      <c r="D444" s="58">
        <v>512940.42304000002</v>
      </c>
      <c r="E444" s="51" t="str">
        <f t="shared" si="7"/>
        <v>2017 q1</v>
      </c>
      <c r="I444" s="59"/>
    </row>
    <row r="445" spans="2:9" s="51" customFormat="1" ht="19.75" customHeight="1">
      <c r="B445" s="49">
        <v>42757</v>
      </c>
      <c r="C445" s="58">
        <v>8957623.4380539991</v>
      </c>
      <c r="D445" s="58">
        <v>796523.99231999996</v>
      </c>
      <c r="E445" s="51" t="str">
        <f t="shared" si="7"/>
        <v>2017 q1</v>
      </c>
      <c r="I445" s="59"/>
    </row>
    <row r="446" spans="2:9" s="51" customFormat="1" ht="19.75" customHeight="1">
      <c r="B446" s="49">
        <v>42764</v>
      </c>
      <c r="C446" s="58">
        <v>6209687.2324139997</v>
      </c>
      <c r="D446" s="58">
        <v>531540.03260000004</v>
      </c>
      <c r="E446" s="51" t="str">
        <f t="shared" si="7"/>
        <v>2017 q1</v>
      </c>
      <c r="I446" s="59"/>
    </row>
    <row r="447" spans="2:9" s="51" customFormat="1" ht="19.75" customHeight="1">
      <c r="B447" s="49">
        <v>42771</v>
      </c>
      <c r="C447" s="58">
        <v>9449214.3664181996</v>
      </c>
      <c r="D447" s="58">
        <v>747933.08814000001</v>
      </c>
      <c r="E447" s="51" t="str">
        <f t="shared" si="7"/>
        <v>2017 q1</v>
      </c>
      <c r="I447" s="59"/>
    </row>
    <row r="448" spans="2:9" s="51" customFormat="1" ht="19.75" customHeight="1">
      <c r="B448" s="49">
        <v>42778</v>
      </c>
      <c r="C448" s="58">
        <v>9708465.2596726008</v>
      </c>
      <c r="D448" s="58">
        <v>787070.80258000002</v>
      </c>
      <c r="E448" s="51" t="str">
        <f t="shared" si="7"/>
        <v>2017 q1</v>
      </c>
      <c r="I448" s="59"/>
    </row>
    <row r="449" spans="2:9" s="51" customFormat="1" ht="19.75" customHeight="1">
      <c r="B449" s="49">
        <v>42785</v>
      </c>
      <c r="C449" s="58">
        <v>10710142.733887</v>
      </c>
      <c r="D449" s="58">
        <v>924376.18559999997</v>
      </c>
      <c r="E449" s="51" t="str">
        <f t="shared" si="7"/>
        <v>2017 q1</v>
      </c>
      <c r="I449" s="59"/>
    </row>
    <row r="450" spans="2:9" s="51" customFormat="1" ht="19.75" customHeight="1">
      <c r="B450" s="49">
        <v>42792</v>
      </c>
      <c r="C450" s="58">
        <v>13109377.614501201</v>
      </c>
      <c r="D450" s="58">
        <v>1104724.7604799999</v>
      </c>
      <c r="E450" s="51" t="str">
        <f t="shared" si="7"/>
        <v>2017 q1</v>
      </c>
      <c r="I450" s="59"/>
    </row>
    <row r="451" spans="2:9" s="51" customFormat="1" ht="19.75" customHeight="1">
      <c r="B451" s="49">
        <v>42799</v>
      </c>
      <c r="C451" s="58">
        <v>8632259.6399495993</v>
      </c>
      <c r="D451" s="58">
        <v>686702.65021999995</v>
      </c>
      <c r="E451" s="51" t="str">
        <f t="shared" si="7"/>
        <v>2017 q1</v>
      </c>
      <c r="I451" s="59"/>
    </row>
    <row r="452" spans="2:9" s="51" customFormat="1" ht="19.75" customHeight="1">
      <c r="B452" s="49">
        <v>42806</v>
      </c>
      <c r="C452" s="58">
        <v>9817635.4725880008</v>
      </c>
      <c r="D452" s="58">
        <v>789149.34089999995</v>
      </c>
      <c r="E452" s="51" t="str">
        <f t="shared" si="7"/>
        <v>2017 q1</v>
      </c>
      <c r="I452" s="59"/>
    </row>
    <row r="453" spans="2:9" s="51" customFormat="1" ht="19.75" customHeight="1">
      <c r="B453" s="49">
        <v>42813</v>
      </c>
      <c r="C453" s="58">
        <v>12268363.115356</v>
      </c>
      <c r="D453" s="58">
        <v>1084498.27076</v>
      </c>
      <c r="E453" s="51" t="str">
        <f t="shared" si="7"/>
        <v>2017 q1</v>
      </c>
      <c r="I453" s="59"/>
    </row>
    <row r="454" spans="2:9" s="51" customFormat="1" ht="19.75" customHeight="1">
      <c r="B454" s="49">
        <v>42820</v>
      </c>
      <c r="C454" s="58">
        <v>14256215.29848</v>
      </c>
      <c r="D454" s="58">
        <v>1276345.5357600001</v>
      </c>
      <c r="E454" s="51" t="str">
        <f t="shared" ref="E454:E517" si="8">YEAR(B454)&amp;" q"&amp;ROUNDUP(MONTH(B454)/3,0)</f>
        <v>2017 q1</v>
      </c>
      <c r="I454" s="59"/>
    </row>
    <row r="455" spans="2:9" s="51" customFormat="1" ht="19.75" customHeight="1">
      <c r="B455" s="49">
        <v>42827</v>
      </c>
      <c r="C455" s="58">
        <v>15189529.739367999</v>
      </c>
      <c r="D455" s="58">
        <v>1293509.6751999999</v>
      </c>
      <c r="E455" s="51" t="str">
        <f t="shared" si="8"/>
        <v>2017 q2</v>
      </c>
      <c r="I455" s="59"/>
    </row>
    <row r="456" spans="2:9" s="51" customFormat="1" ht="19.75" customHeight="1">
      <c r="B456" s="49">
        <v>42834</v>
      </c>
      <c r="C456" s="58">
        <v>10414754.116896201</v>
      </c>
      <c r="D456" s="58">
        <v>865788.73166000005</v>
      </c>
      <c r="E456" s="51" t="str">
        <f t="shared" si="8"/>
        <v>2017 q2</v>
      </c>
      <c r="I456" s="59"/>
    </row>
    <row r="457" spans="2:9" s="51" customFormat="1" ht="19.75" customHeight="1">
      <c r="B457" s="49">
        <v>42841</v>
      </c>
      <c r="C457" s="58">
        <v>11794960.486152001</v>
      </c>
      <c r="D457" s="58">
        <v>1001919.56652</v>
      </c>
      <c r="E457" s="51" t="str">
        <f t="shared" si="8"/>
        <v>2017 q2</v>
      </c>
      <c r="I457" s="59"/>
    </row>
    <row r="458" spans="2:9" s="51" customFormat="1" ht="19.75" customHeight="1">
      <c r="B458" s="49">
        <v>42848</v>
      </c>
      <c r="C458" s="58">
        <v>10183246.1611345</v>
      </c>
      <c r="D458" s="58">
        <v>866160.03717499995</v>
      </c>
      <c r="E458" s="51" t="str">
        <f t="shared" si="8"/>
        <v>2017 q2</v>
      </c>
      <c r="I458" s="59"/>
    </row>
    <row r="459" spans="2:9" s="51" customFormat="1" ht="19.75" customHeight="1">
      <c r="B459" s="49">
        <v>42855</v>
      </c>
      <c r="C459" s="58">
        <v>16250681.719508</v>
      </c>
      <c r="D459" s="58">
        <v>1481784.282875</v>
      </c>
      <c r="E459" s="51" t="str">
        <f t="shared" si="8"/>
        <v>2017 q2</v>
      </c>
      <c r="I459" s="59"/>
    </row>
    <row r="460" spans="2:9" s="51" customFormat="1" ht="19.75" customHeight="1">
      <c r="B460" s="49">
        <v>42862</v>
      </c>
      <c r="C460" s="58">
        <v>16051286.9541132</v>
      </c>
      <c r="D460" s="58">
        <v>1544902.5208999999</v>
      </c>
      <c r="E460" s="51" t="str">
        <f t="shared" si="8"/>
        <v>2017 q2</v>
      </c>
      <c r="I460" s="59"/>
    </row>
    <row r="461" spans="2:9" s="51" customFormat="1" ht="19.75" customHeight="1">
      <c r="B461" s="49">
        <v>42869</v>
      </c>
      <c r="C461" s="58">
        <v>8756300.4615825005</v>
      </c>
      <c r="D461" s="58">
        <v>761524.64262499998</v>
      </c>
      <c r="E461" s="51" t="str">
        <f t="shared" si="8"/>
        <v>2017 q2</v>
      </c>
      <c r="I461" s="59"/>
    </row>
    <row r="462" spans="2:9" s="51" customFormat="1" ht="19.75" customHeight="1">
      <c r="B462" s="49">
        <v>42876</v>
      </c>
      <c r="C462" s="58">
        <v>18652943.442097001</v>
      </c>
      <c r="D462" s="58">
        <v>1625657.7115</v>
      </c>
      <c r="E462" s="51" t="str">
        <f t="shared" si="8"/>
        <v>2017 q2</v>
      </c>
      <c r="I462" s="59"/>
    </row>
    <row r="463" spans="2:9" s="51" customFormat="1" ht="19.75" customHeight="1">
      <c r="B463" s="49">
        <v>42883</v>
      </c>
      <c r="C463" s="58">
        <v>16194808.31229</v>
      </c>
      <c r="D463" s="58">
        <v>1464927.5042000001</v>
      </c>
      <c r="E463" s="51" t="str">
        <f t="shared" si="8"/>
        <v>2017 q2</v>
      </c>
      <c r="I463" s="59"/>
    </row>
    <row r="464" spans="2:9" s="51" customFormat="1" ht="19.75" customHeight="1">
      <c r="B464" s="49">
        <v>42890</v>
      </c>
      <c r="C464" s="58">
        <v>22306874.786079999</v>
      </c>
      <c r="D464" s="58">
        <v>2056610.27428</v>
      </c>
      <c r="E464" s="51" t="str">
        <f t="shared" si="8"/>
        <v>2017 q2</v>
      </c>
      <c r="I464" s="59"/>
    </row>
    <row r="465" spans="2:9" s="51" customFormat="1" ht="19.75" customHeight="1">
      <c r="B465" s="49">
        <v>42897</v>
      </c>
      <c r="C465" s="58">
        <v>13800674.4684064</v>
      </c>
      <c r="D465" s="58">
        <v>1240902.45264</v>
      </c>
      <c r="E465" s="51" t="str">
        <f t="shared" si="8"/>
        <v>2017 q2</v>
      </c>
      <c r="I465" s="59"/>
    </row>
    <row r="466" spans="2:9" s="51" customFormat="1" ht="19.75" customHeight="1">
      <c r="B466" s="49">
        <v>42904</v>
      </c>
      <c r="C466" s="58">
        <v>14130675.036456</v>
      </c>
      <c r="D466" s="58">
        <v>1217650.1362000001</v>
      </c>
      <c r="E466" s="51" t="str">
        <f t="shared" si="8"/>
        <v>2017 q2</v>
      </c>
      <c r="I466" s="59"/>
    </row>
    <row r="467" spans="2:9" s="51" customFormat="1" ht="19.75" customHeight="1">
      <c r="B467" s="49">
        <v>42911</v>
      </c>
      <c r="C467" s="58">
        <v>19995314.4084116</v>
      </c>
      <c r="D467" s="58">
        <v>1799691.2886600001</v>
      </c>
      <c r="E467" s="51" t="str">
        <f t="shared" si="8"/>
        <v>2017 q2</v>
      </c>
      <c r="I467" s="59"/>
    </row>
    <row r="468" spans="2:9" s="51" customFormat="1" ht="19.75" customHeight="1">
      <c r="B468" s="49">
        <v>42918</v>
      </c>
      <c r="C468" s="58">
        <v>18846878.3442742</v>
      </c>
      <c r="D468" s="58">
        <v>1647312.1388600001</v>
      </c>
      <c r="E468" s="51" t="str">
        <f t="shared" si="8"/>
        <v>2017 q3</v>
      </c>
      <c r="I468" s="59"/>
    </row>
    <row r="469" spans="2:9" s="51" customFormat="1" ht="19.75" customHeight="1">
      <c r="B469" s="49">
        <v>42925</v>
      </c>
      <c r="C469" s="58">
        <v>15257721.444726501</v>
      </c>
      <c r="D469" s="58">
        <v>1473143.0526999999</v>
      </c>
      <c r="E469" s="51" t="str">
        <f t="shared" si="8"/>
        <v>2017 q3</v>
      </c>
      <c r="I469" s="59"/>
    </row>
    <row r="470" spans="2:9" s="51" customFormat="1" ht="19.75" customHeight="1">
      <c r="B470" s="49">
        <v>42932</v>
      </c>
      <c r="C470" s="58">
        <v>16046193.606732201</v>
      </c>
      <c r="D470" s="58">
        <v>1372370.9946399999</v>
      </c>
      <c r="E470" s="51" t="str">
        <f t="shared" si="8"/>
        <v>2017 q3</v>
      </c>
      <c r="I470" s="59"/>
    </row>
    <row r="471" spans="2:9" s="51" customFormat="1" ht="19.75" customHeight="1">
      <c r="B471" s="49">
        <v>42939</v>
      </c>
      <c r="C471" s="58">
        <v>20009656.152429</v>
      </c>
      <c r="D471" s="58">
        <v>1754854.4702000001</v>
      </c>
      <c r="E471" s="51" t="str">
        <f t="shared" si="8"/>
        <v>2017 q3</v>
      </c>
      <c r="I471" s="59"/>
    </row>
    <row r="472" spans="2:9" s="51" customFormat="1" ht="19.75" customHeight="1">
      <c r="B472" s="49">
        <v>42946</v>
      </c>
      <c r="C472" s="58">
        <v>14076160.1660232</v>
      </c>
      <c r="D472" s="58">
        <v>1277199.4284000001</v>
      </c>
      <c r="E472" s="51" t="str">
        <f t="shared" si="8"/>
        <v>2017 q3</v>
      </c>
      <c r="I472" s="59"/>
    </row>
    <row r="473" spans="2:9" s="51" customFormat="1" ht="19.75" customHeight="1">
      <c r="B473" s="49">
        <v>42953</v>
      </c>
      <c r="C473" s="58">
        <v>14272231.884056</v>
      </c>
      <c r="D473" s="58">
        <v>1287573.5263199999</v>
      </c>
      <c r="E473" s="51" t="str">
        <f t="shared" si="8"/>
        <v>2017 q3</v>
      </c>
      <c r="I473" s="59"/>
    </row>
    <row r="474" spans="2:9" s="51" customFormat="1" ht="19.75" customHeight="1">
      <c r="B474" s="49">
        <v>42960</v>
      </c>
      <c r="C474" s="58">
        <v>15530107.8160298</v>
      </c>
      <c r="D474" s="58">
        <v>1315935.38686</v>
      </c>
      <c r="E474" s="51" t="str">
        <f t="shared" si="8"/>
        <v>2017 q3</v>
      </c>
      <c r="I474" s="59"/>
    </row>
    <row r="475" spans="2:9" s="51" customFormat="1" ht="19.75" customHeight="1">
      <c r="B475" s="49">
        <v>42967</v>
      </c>
      <c r="C475" s="58">
        <v>16456438.9492616</v>
      </c>
      <c r="D475" s="58">
        <v>1553538.0452000001</v>
      </c>
      <c r="E475" s="51" t="str">
        <f t="shared" si="8"/>
        <v>2017 q3</v>
      </c>
      <c r="I475" s="59"/>
    </row>
    <row r="476" spans="2:9" s="51" customFormat="1" ht="19.75" customHeight="1">
      <c r="B476" s="49">
        <v>42974</v>
      </c>
      <c r="C476" s="58">
        <v>14113474.596904</v>
      </c>
      <c r="D476" s="58">
        <v>1217098.9939999999</v>
      </c>
      <c r="E476" s="51" t="str">
        <f t="shared" si="8"/>
        <v>2017 q3</v>
      </c>
      <c r="I476" s="59"/>
    </row>
    <row r="477" spans="2:9" s="51" customFormat="1" ht="19.75" customHeight="1">
      <c r="B477" s="49">
        <v>42981</v>
      </c>
      <c r="C477" s="58">
        <v>12631153.1718616</v>
      </c>
      <c r="D477" s="58">
        <v>1116738.8531200001</v>
      </c>
      <c r="E477" s="51" t="str">
        <f t="shared" si="8"/>
        <v>2017 q3</v>
      </c>
      <c r="I477" s="59"/>
    </row>
    <row r="478" spans="2:9" s="51" customFormat="1" ht="19.75" customHeight="1">
      <c r="B478" s="49">
        <v>42988</v>
      </c>
      <c r="C478" s="58">
        <v>19716929.4999566</v>
      </c>
      <c r="D478" s="58">
        <v>1715603.6431799999</v>
      </c>
      <c r="E478" s="51" t="str">
        <f t="shared" si="8"/>
        <v>2017 q3</v>
      </c>
      <c r="I478" s="59"/>
    </row>
    <row r="479" spans="2:9" s="51" customFormat="1" ht="19.75" customHeight="1">
      <c r="B479" s="49">
        <v>42995</v>
      </c>
      <c r="C479" s="58">
        <v>15183174.6980644</v>
      </c>
      <c r="D479" s="58">
        <v>1372605.0403199999</v>
      </c>
      <c r="E479" s="51" t="str">
        <f t="shared" si="8"/>
        <v>2017 q3</v>
      </c>
      <c r="I479" s="59"/>
    </row>
    <row r="480" spans="2:9" s="51" customFormat="1" ht="19.75" customHeight="1">
      <c r="B480" s="49">
        <v>43002</v>
      </c>
      <c r="C480" s="58">
        <v>15642498.6147105</v>
      </c>
      <c r="D480" s="58">
        <v>1430179.3573749999</v>
      </c>
      <c r="E480" s="51" t="str">
        <f t="shared" si="8"/>
        <v>2017 q3</v>
      </c>
      <c r="I480" s="59"/>
    </row>
    <row r="481" spans="2:9" s="51" customFormat="1" ht="19.75" customHeight="1">
      <c r="B481" s="49">
        <v>43009</v>
      </c>
      <c r="C481" s="58">
        <v>16561746.7569036</v>
      </c>
      <c r="D481" s="58">
        <v>1553981.12026</v>
      </c>
      <c r="E481" s="51" t="str">
        <f t="shared" si="8"/>
        <v>2017 q4</v>
      </c>
      <c r="I481" s="59"/>
    </row>
    <row r="482" spans="2:9" s="51" customFormat="1" ht="19.75" customHeight="1">
      <c r="B482" s="49">
        <v>43016</v>
      </c>
      <c r="C482" s="58">
        <v>15325883.2617436</v>
      </c>
      <c r="D482" s="58">
        <v>1362359.4994399999</v>
      </c>
      <c r="E482" s="51" t="str">
        <f t="shared" si="8"/>
        <v>2017 q4</v>
      </c>
      <c r="I482" s="59"/>
    </row>
    <row r="483" spans="2:9" s="51" customFormat="1" ht="19.75" customHeight="1">
      <c r="B483" s="49">
        <v>43023</v>
      </c>
      <c r="C483" s="58">
        <v>18060085.581583999</v>
      </c>
      <c r="D483" s="58">
        <v>1732136.77208</v>
      </c>
      <c r="E483" s="51" t="str">
        <f t="shared" si="8"/>
        <v>2017 q4</v>
      </c>
      <c r="I483" s="59"/>
    </row>
    <row r="484" spans="2:9" s="51" customFormat="1" ht="19.75" customHeight="1">
      <c r="B484" s="49">
        <v>43030</v>
      </c>
      <c r="C484" s="58">
        <v>18982210.959594999</v>
      </c>
      <c r="D484" s="58">
        <v>1714986.2859199999</v>
      </c>
      <c r="E484" s="51" t="str">
        <f t="shared" si="8"/>
        <v>2017 q4</v>
      </c>
      <c r="I484" s="59"/>
    </row>
    <row r="485" spans="2:9" s="51" customFormat="1" ht="19.75" customHeight="1">
      <c r="B485" s="49">
        <v>43037</v>
      </c>
      <c r="C485" s="58">
        <v>21251906.5033876</v>
      </c>
      <c r="D485" s="58">
        <v>2065671.52336</v>
      </c>
      <c r="E485" s="51" t="str">
        <f t="shared" si="8"/>
        <v>2017 q4</v>
      </c>
      <c r="I485" s="59"/>
    </row>
    <row r="486" spans="2:9" s="51" customFormat="1" ht="19.75" customHeight="1">
      <c r="B486" s="49">
        <v>43044</v>
      </c>
      <c r="C486" s="58">
        <v>23493056.752815001</v>
      </c>
      <c r="D486" s="58">
        <v>2205140.9611599999</v>
      </c>
      <c r="E486" s="51" t="str">
        <f t="shared" si="8"/>
        <v>2017 q4</v>
      </c>
      <c r="I486" s="59"/>
    </row>
    <row r="487" spans="2:9" s="51" customFormat="1" ht="19.75" customHeight="1">
      <c r="B487" s="49">
        <v>43051</v>
      </c>
      <c r="C487" s="58">
        <v>17126282.016465601</v>
      </c>
      <c r="D487" s="58">
        <v>1642396.4990000001</v>
      </c>
      <c r="E487" s="51" t="str">
        <f t="shared" si="8"/>
        <v>2017 q4</v>
      </c>
      <c r="I487" s="59"/>
    </row>
    <row r="488" spans="2:9" s="51" customFormat="1" ht="19.75" customHeight="1">
      <c r="B488" s="49">
        <v>43058</v>
      </c>
      <c r="C488" s="58">
        <v>24167017.682213999</v>
      </c>
      <c r="D488" s="58">
        <v>2287565.7245</v>
      </c>
      <c r="E488" s="51" t="str">
        <f t="shared" si="8"/>
        <v>2017 q4</v>
      </c>
      <c r="I488" s="59"/>
    </row>
    <row r="489" spans="2:9" s="51" customFormat="1" ht="19.75" customHeight="1">
      <c r="B489" s="49">
        <v>43065</v>
      </c>
      <c r="C489" s="58">
        <v>22221115.393979199</v>
      </c>
      <c r="D489" s="58">
        <v>2108671.9652</v>
      </c>
      <c r="E489" s="51" t="str">
        <f t="shared" si="8"/>
        <v>2017 q4</v>
      </c>
      <c r="I489" s="59"/>
    </row>
    <row r="490" spans="2:9" s="51" customFormat="1" ht="19.75" customHeight="1">
      <c r="B490" s="49">
        <v>43072</v>
      </c>
      <c r="C490" s="58">
        <v>26049975.144334398</v>
      </c>
      <c r="D490" s="58">
        <v>2395257.18824</v>
      </c>
      <c r="E490" s="51" t="str">
        <f t="shared" si="8"/>
        <v>2017 q4</v>
      </c>
      <c r="I490" s="59"/>
    </row>
    <row r="491" spans="2:9" s="51" customFormat="1" ht="19.75" customHeight="1">
      <c r="B491" s="49">
        <v>43079</v>
      </c>
      <c r="C491" s="58">
        <v>31418689.099707998</v>
      </c>
      <c r="D491" s="58">
        <v>3194348.574</v>
      </c>
      <c r="E491" s="51" t="str">
        <f t="shared" si="8"/>
        <v>2017 q4</v>
      </c>
      <c r="I491" s="59"/>
    </row>
    <row r="492" spans="2:9" s="51" customFormat="1" ht="19.75" customHeight="1">
      <c r="B492" s="49">
        <v>43086</v>
      </c>
      <c r="C492" s="58">
        <v>33238631.8196478</v>
      </c>
      <c r="D492" s="58">
        <v>3046732.00238</v>
      </c>
      <c r="E492" s="51" t="str">
        <f t="shared" si="8"/>
        <v>2017 q4</v>
      </c>
      <c r="I492" s="59"/>
    </row>
    <row r="493" spans="2:9" s="51" customFormat="1" ht="19.75" customHeight="1">
      <c r="B493" s="49">
        <v>43093</v>
      </c>
      <c r="C493" s="58">
        <v>39911717.239881799</v>
      </c>
      <c r="D493" s="58">
        <v>3779679.6475800001</v>
      </c>
      <c r="E493" s="51" t="str">
        <f t="shared" si="8"/>
        <v>2017 q4</v>
      </c>
      <c r="I493" s="59"/>
    </row>
    <row r="494" spans="2:9" s="51" customFormat="1" ht="19.75" customHeight="1">
      <c r="B494" s="49">
        <v>43100</v>
      </c>
      <c r="C494" s="58">
        <v>74479044.397552401</v>
      </c>
      <c r="D494" s="58">
        <v>6824388.4082000004</v>
      </c>
      <c r="E494" s="51" t="str">
        <f t="shared" si="8"/>
        <v>2017 q4</v>
      </c>
      <c r="I494" s="59"/>
    </row>
    <row r="495" spans="2:9" s="51" customFormat="1" ht="19.75" customHeight="1">
      <c r="B495" s="49">
        <v>43114</v>
      </c>
      <c r="C495" s="58">
        <v>6980663.1747099999</v>
      </c>
      <c r="D495" s="58">
        <v>627930.47487999999</v>
      </c>
      <c r="E495" s="51" t="str">
        <f t="shared" si="8"/>
        <v>2018 q1</v>
      </c>
      <c r="I495" s="59"/>
    </row>
    <row r="496" spans="2:9" s="51" customFormat="1" ht="19.75" customHeight="1">
      <c r="B496" s="49">
        <v>43121</v>
      </c>
      <c r="C496" s="58">
        <v>7344260.9085624004</v>
      </c>
      <c r="D496" s="58">
        <v>696886.24239999999</v>
      </c>
      <c r="E496" s="51" t="str">
        <f t="shared" si="8"/>
        <v>2018 q1</v>
      </c>
      <c r="I496" s="59"/>
    </row>
    <row r="497" spans="2:9" s="51" customFormat="1" ht="19.75" customHeight="1">
      <c r="B497" s="49">
        <v>43128</v>
      </c>
      <c r="C497" s="58">
        <v>8198159.0076992</v>
      </c>
      <c r="D497" s="58">
        <v>801063.50254000002</v>
      </c>
      <c r="E497" s="51" t="str">
        <f t="shared" si="8"/>
        <v>2018 q1</v>
      </c>
      <c r="I497" s="59"/>
    </row>
    <row r="498" spans="2:9" s="51" customFormat="1" ht="19.75" customHeight="1">
      <c r="B498" s="49">
        <v>43135</v>
      </c>
      <c r="C498" s="58">
        <v>10585663.4101728</v>
      </c>
      <c r="D498" s="58">
        <v>1030857.37378</v>
      </c>
      <c r="E498" s="51" t="str">
        <f t="shared" si="8"/>
        <v>2018 q1</v>
      </c>
      <c r="I498" s="59"/>
    </row>
    <row r="499" spans="2:9" s="51" customFormat="1" ht="19.75" customHeight="1">
      <c r="B499" s="49">
        <v>43142</v>
      </c>
      <c r="C499" s="58">
        <v>10573191.755336</v>
      </c>
      <c r="D499" s="58">
        <v>999790.14151999995</v>
      </c>
      <c r="E499" s="51" t="str">
        <f t="shared" si="8"/>
        <v>2018 q1</v>
      </c>
      <c r="I499" s="59"/>
    </row>
    <row r="500" spans="2:9" s="51" customFormat="1" ht="19.75" customHeight="1">
      <c r="B500" s="49">
        <v>43149</v>
      </c>
      <c r="C500" s="58">
        <v>9699884.2951999996</v>
      </c>
      <c r="D500" s="58">
        <v>903694.25820000004</v>
      </c>
      <c r="E500" s="51" t="str">
        <f t="shared" si="8"/>
        <v>2018 q1</v>
      </c>
      <c r="I500" s="59"/>
    </row>
    <row r="501" spans="2:9" s="51" customFormat="1" ht="19.75" customHeight="1">
      <c r="B501" s="49">
        <v>43156</v>
      </c>
      <c r="C501" s="58">
        <v>15068937.520943001</v>
      </c>
      <c r="D501" s="58">
        <v>1420285.5547799999</v>
      </c>
      <c r="E501" s="51" t="str">
        <f t="shared" si="8"/>
        <v>2018 q1</v>
      </c>
      <c r="I501" s="59"/>
    </row>
    <row r="502" spans="2:9" s="51" customFormat="1" ht="19.75" customHeight="1">
      <c r="B502" s="49">
        <v>43163</v>
      </c>
      <c r="C502" s="58">
        <v>18278440.207107201</v>
      </c>
      <c r="D502" s="58">
        <v>1694410.0374799999</v>
      </c>
      <c r="E502" s="51" t="str">
        <f t="shared" si="8"/>
        <v>2018 q1</v>
      </c>
      <c r="I502" s="59"/>
    </row>
    <row r="503" spans="2:9" s="51" customFormat="1" ht="19.75" customHeight="1">
      <c r="B503" s="49">
        <v>43170</v>
      </c>
      <c r="C503" s="58">
        <v>10934560.095364001</v>
      </c>
      <c r="D503" s="58">
        <v>1049650.9509000001</v>
      </c>
      <c r="E503" s="51" t="str">
        <f t="shared" si="8"/>
        <v>2018 q1</v>
      </c>
      <c r="I503" s="59"/>
    </row>
    <row r="504" spans="2:9" s="51" customFormat="1" ht="19.75" customHeight="1">
      <c r="B504" s="49">
        <v>43177</v>
      </c>
      <c r="C504" s="58">
        <v>18683594.468526699</v>
      </c>
      <c r="D504" s="58">
        <v>1753464.412882</v>
      </c>
      <c r="E504" s="51" t="str">
        <f t="shared" si="8"/>
        <v>2018 q1</v>
      </c>
      <c r="I504" s="59"/>
    </row>
    <row r="505" spans="2:9" s="51" customFormat="1" ht="19.75" customHeight="1">
      <c r="B505" s="49">
        <v>43184</v>
      </c>
      <c r="C505" s="58">
        <v>15249869.273304</v>
      </c>
      <c r="D505" s="58">
        <v>1434851.8747</v>
      </c>
      <c r="E505" s="51" t="str">
        <f t="shared" si="8"/>
        <v>2018 q1</v>
      </c>
      <c r="I505" s="59"/>
    </row>
    <row r="506" spans="2:9" s="51" customFormat="1" ht="19.75" customHeight="1">
      <c r="B506" s="49">
        <v>43191</v>
      </c>
      <c r="C506" s="58">
        <v>24983471.466880001</v>
      </c>
      <c r="D506" s="58">
        <v>2310356.48422</v>
      </c>
      <c r="E506" s="51" t="str">
        <f t="shared" si="8"/>
        <v>2018 q2</v>
      </c>
      <c r="I506" s="59"/>
    </row>
    <row r="507" spans="2:9" s="51" customFormat="1" ht="19.75" customHeight="1">
      <c r="B507" s="49">
        <v>43198</v>
      </c>
      <c r="C507" s="58">
        <v>15414237.3876328</v>
      </c>
      <c r="D507" s="58">
        <v>1470345.46936</v>
      </c>
      <c r="E507" s="51" t="str">
        <f t="shared" si="8"/>
        <v>2018 q2</v>
      </c>
      <c r="I507" s="59"/>
    </row>
    <row r="508" spans="2:9" s="51" customFormat="1" ht="19.75" customHeight="1">
      <c r="B508" s="49">
        <v>43205</v>
      </c>
      <c r="C508" s="58">
        <v>19281681.940270599</v>
      </c>
      <c r="D508" s="58">
        <v>1816508.0809800001</v>
      </c>
      <c r="E508" s="51" t="str">
        <f t="shared" si="8"/>
        <v>2018 q2</v>
      </c>
      <c r="I508" s="59"/>
    </row>
    <row r="509" spans="2:9" s="51" customFormat="1" ht="19.75" customHeight="1">
      <c r="B509" s="49">
        <v>43212</v>
      </c>
      <c r="C509" s="58">
        <v>15768422.83663</v>
      </c>
      <c r="D509" s="58">
        <v>1473781.9293</v>
      </c>
      <c r="E509" s="51" t="str">
        <f t="shared" si="8"/>
        <v>2018 q2</v>
      </c>
      <c r="I509" s="59"/>
    </row>
    <row r="510" spans="2:9" s="51" customFormat="1" ht="19.75" customHeight="1">
      <c r="B510" s="49">
        <v>43219</v>
      </c>
      <c r="C510" s="58">
        <v>16665801.436277499</v>
      </c>
      <c r="D510" s="58">
        <v>1543550.32825</v>
      </c>
      <c r="E510" s="51" t="str">
        <f t="shared" si="8"/>
        <v>2018 q2</v>
      </c>
      <c r="I510" s="59"/>
    </row>
    <row r="511" spans="2:9" s="51" customFormat="1" ht="19.75" customHeight="1">
      <c r="B511" s="49">
        <v>43226</v>
      </c>
      <c r="C511" s="58">
        <v>14195340.233217999</v>
      </c>
      <c r="D511" s="58">
        <v>1296941.2231999999</v>
      </c>
      <c r="E511" s="51" t="str">
        <f t="shared" si="8"/>
        <v>2018 q2</v>
      </c>
      <c r="I511" s="59"/>
    </row>
    <row r="512" spans="2:9" s="51" customFormat="1" ht="19.75" customHeight="1">
      <c r="B512" s="49">
        <v>43233</v>
      </c>
      <c r="C512" s="58">
        <v>11737082.384061299</v>
      </c>
      <c r="D512" s="58">
        <v>1128347.893225</v>
      </c>
      <c r="E512" s="51" t="str">
        <f t="shared" si="8"/>
        <v>2018 q2</v>
      </c>
      <c r="I512" s="59"/>
    </row>
    <row r="513" spans="2:9" s="51" customFormat="1" ht="19.75" customHeight="1">
      <c r="B513" s="49">
        <v>43240</v>
      </c>
      <c r="C513" s="58">
        <v>16408144.9398208</v>
      </c>
      <c r="D513" s="58">
        <v>1488793.72652</v>
      </c>
      <c r="E513" s="51" t="str">
        <f t="shared" si="8"/>
        <v>2018 q2</v>
      </c>
      <c r="I513" s="59"/>
    </row>
    <row r="514" spans="2:9" s="51" customFormat="1" ht="19.75" customHeight="1">
      <c r="B514" s="49">
        <v>43247</v>
      </c>
      <c r="C514" s="58">
        <v>15337975.638201</v>
      </c>
      <c r="D514" s="58">
        <v>1394655.8665</v>
      </c>
      <c r="E514" s="51" t="str">
        <f t="shared" si="8"/>
        <v>2018 q2</v>
      </c>
      <c r="I514" s="59"/>
    </row>
    <row r="515" spans="2:9" s="51" customFormat="1" ht="19.75" customHeight="1">
      <c r="B515" s="49">
        <v>43254</v>
      </c>
      <c r="C515" s="58">
        <v>15018802.86406</v>
      </c>
      <c r="D515" s="58">
        <v>1449708.1995000001</v>
      </c>
      <c r="E515" s="51" t="str">
        <f t="shared" si="8"/>
        <v>2018 q2</v>
      </c>
      <c r="I515" s="59"/>
    </row>
    <row r="516" spans="2:9" s="51" customFormat="1" ht="19.75" customHeight="1">
      <c r="B516" s="49">
        <v>43261</v>
      </c>
      <c r="C516" s="58">
        <v>15894557.6542574</v>
      </c>
      <c r="D516" s="58">
        <v>1484816.4946600001</v>
      </c>
      <c r="E516" s="51" t="str">
        <f t="shared" si="8"/>
        <v>2018 q2</v>
      </c>
      <c r="I516" s="59"/>
    </row>
    <row r="517" spans="2:9" s="51" customFormat="1" ht="19.75" customHeight="1">
      <c r="B517" s="49">
        <v>43268</v>
      </c>
      <c r="C517" s="58">
        <v>18119159.841782399</v>
      </c>
      <c r="D517" s="58">
        <v>1683233.83296</v>
      </c>
      <c r="E517" s="51" t="str">
        <f t="shared" si="8"/>
        <v>2018 q2</v>
      </c>
      <c r="I517" s="59"/>
    </row>
    <row r="518" spans="2:9" s="51" customFormat="1" ht="19.75" customHeight="1">
      <c r="B518" s="49">
        <v>43275</v>
      </c>
      <c r="C518" s="58">
        <v>20358671.95394</v>
      </c>
      <c r="D518" s="58">
        <v>1863586.2962799999</v>
      </c>
      <c r="E518" s="51" t="str">
        <f t="shared" ref="E518:E581" si="9">YEAR(B518)&amp;" q"&amp;ROUNDUP(MONTH(B518)/3,0)</f>
        <v>2018 q2</v>
      </c>
      <c r="I518" s="59"/>
    </row>
    <row r="519" spans="2:9" s="51" customFormat="1" ht="19.75" customHeight="1">
      <c r="B519" s="49">
        <v>43282</v>
      </c>
      <c r="C519" s="58">
        <v>33743276.624366403</v>
      </c>
      <c r="D519" s="58">
        <v>3470639.86112</v>
      </c>
      <c r="E519" s="51" t="str">
        <f t="shared" si="9"/>
        <v>2018 q3</v>
      </c>
      <c r="I519" s="59"/>
    </row>
    <row r="520" spans="2:9" s="51" customFormat="1" ht="19.75" customHeight="1">
      <c r="B520" s="49">
        <v>43289</v>
      </c>
      <c r="C520" s="58">
        <v>21830761.798057701</v>
      </c>
      <c r="D520" s="58">
        <v>2075565.20025</v>
      </c>
      <c r="E520" s="51" t="str">
        <f t="shared" si="9"/>
        <v>2018 q3</v>
      </c>
      <c r="I520" s="59"/>
    </row>
    <row r="521" spans="2:9" s="51" customFormat="1" ht="19.75" customHeight="1">
      <c r="B521" s="49">
        <v>43296</v>
      </c>
      <c r="C521" s="58">
        <v>22878793.540571202</v>
      </c>
      <c r="D521" s="58">
        <v>2063176.4870800001</v>
      </c>
      <c r="E521" s="51" t="str">
        <f t="shared" si="9"/>
        <v>2018 q3</v>
      </c>
      <c r="I521" s="59"/>
    </row>
    <row r="522" spans="2:9" s="51" customFormat="1" ht="19.75" customHeight="1">
      <c r="B522" s="49">
        <v>43303</v>
      </c>
      <c r="C522" s="58">
        <v>21637404.0998776</v>
      </c>
      <c r="D522" s="58">
        <v>2081278.02034</v>
      </c>
      <c r="E522" s="51" t="str">
        <f t="shared" si="9"/>
        <v>2018 q3</v>
      </c>
      <c r="I522" s="59"/>
    </row>
    <row r="523" spans="2:9" s="51" customFormat="1" ht="19.75" customHeight="1">
      <c r="B523" s="49">
        <v>43310</v>
      </c>
      <c r="C523" s="58">
        <v>21015258.142244201</v>
      </c>
      <c r="D523" s="58">
        <v>1887447.1117</v>
      </c>
      <c r="E523" s="51" t="str">
        <f t="shared" si="9"/>
        <v>2018 q3</v>
      </c>
      <c r="I523" s="59"/>
    </row>
    <row r="524" spans="2:9" s="51" customFormat="1" ht="19.75" customHeight="1">
      <c r="B524" s="49">
        <v>43317</v>
      </c>
      <c r="C524" s="58">
        <v>22166741.310951199</v>
      </c>
      <c r="D524" s="58">
        <v>2045077.3449599999</v>
      </c>
      <c r="E524" s="51" t="str">
        <f t="shared" si="9"/>
        <v>2018 q3</v>
      </c>
      <c r="I524" s="59"/>
    </row>
    <row r="525" spans="2:9" s="51" customFormat="1" ht="19.75" customHeight="1">
      <c r="B525" s="49">
        <v>43324</v>
      </c>
      <c r="C525" s="58">
        <v>14212659.965874</v>
      </c>
      <c r="D525" s="58">
        <v>1336248.51028</v>
      </c>
      <c r="E525" s="51" t="str">
        <f t="shared" si="9"/>
        <v>2018 q3</v>
      </c>
      <c r="I525" s="59"/>
    </row>
    <row r="526" spans="2:9" s="51" customFormat="1" ht="19.75" customHeight="1">
      <c r="B526" s="49">
        <v>43331</v>
      </c>
      <c r="C526" s="58">
        <v>21681222.2575728</v>
      </c>
      <c r="D526" s="58">
        <v>1995686.4369600001</v>
      </c>
      <c r="E526" s="51" t="str">
        <f t="shared" si="9"/>
        <v>2018 q3</v>
      </c>
      <c r="I526" s="59"/>
    </row>
    <row r="527" spans="2:9" s="51" customFormat="1" ht="19.75" customHeight="1">
      <c r="B527" s="49">
        <v>43338</v>
      </c>
      <c r="C527" s="58">
        <v>19109065.034441601</v>
      </c>
      <c r="D527" s="58">
        <v>1727321.21016</v>
      </c>
      <c r="E527" s="51" t="str">
        <f t="shared" si="9"/>
        <v>2018 q3</v>
      </c>
      <c r="I527" s="59"/>
    </row>
    <row r="528" spans="2:9" s="51" customFormat="1" ht="19.75" customHeight="1">
      <c r="B528" s="49">
        <v>43345</v>
      </c>
      <c r="C528" s="58">
        <v>19840504.992880799</v>
      </c>
      <c r="D528" s="58">
        <v>1829487.8584799999</v>
      </c>
      <c r="E528" s="51" t="str">
        <f t="shared" si="9"/>
        <v>2018 q3</v>
      </c>
      <c r="I528" s="59"/>
    </row>
    <row r="529" spans="2:9" s="51" customFormat="1" ht="19.75" customHeight="1">
      <c r="B529" s="49">
        <v>43352</v>
      </c>
      <c r="C529" s="58">
        <v>19796197.8780916</v>
      </c>
      <c r="D529" s="58">
        <v>1847806.54516</v>
      </c>
      <c r="E529" s="51" t="str">
        <f t="shared" si="9"/>
        <v>2018 q3</v>
      </c>
      <c r="I529" s="59"/>
    </row>
    <row r="530" spans="2:9" s="51" customFormat="1" ht="19.75" customHeight="1">
      <c r="B530" s="49">
        <v>43359</v>
      </c>
      <c r="C530" s="58">
        <v>21832581.737100799</v>
      </c>
      <c r="D530" s="58">
        <v>2047315.3428</v>
      </c>
      <c r="E530" s="51" t="str">
        <f t="shared" si="9"/>
        <v>2018 q3</v>
      </c>
      <c r="I530" s="59"/>
    </row>
    <row r="531" spans="2:9" s="51" customFormat="1" ht="19.75" customHeight="1">
      <c r="B531" s="49">
        <v>43366</v>
      </c>
      <c r="C531" s="58">
        <v>19934692.397411499</v>
      </c>
      <c r="D531" s="58">
        <v>1876812.2055500001</v>
      </c>
      <c r="E531" s="51" t="str">
        <f t="shared" si="9"/>
        <v>2018 q3</v>
      </c>
      <c r="I531" s="59"/>
    </row>
    <row r="532" spans="2:9" s="51" customFormat="1" ht="19.75" customHeight="1">
      <c r="B532" s="49">
        <v>43373</v>
      </c>
      <c r="C532" s="58">
        <v>28965114.949604999</v>
      </c>
      <c r="D532" s="58">
        <v>2885252.7798000001</v>
      </c>
      <c r="E532" s="51" t="str">
        <f t="shared" si="9"/>
        <v>2018 q3</v>
      </c>
      <c r="I532" s="59"/>
    </row>
    <row r="533" spans="2:9" s="51" customFormat="1" ht="19.75" customHeight="1">
      <c r="B533" s="49">
        <v>43380</v>
      </c>
      <c r="C533" s="58">
        <v>21916262.855451401</v>
      </c>
      <c r="D533" s="58">
        <v>2078386.10142</v>
      </c>
      <c r="E533" s="51" t="str">
        <f t="shared" si="9"/>
        <v>2018 q4</v>
      </c>
      <c r="I533" s="59"/>
    </row>
    <row r="534" spans="2:9" s="51" customFormat="1" ht="19.75" customHeight="1">
      <c r="B534" s="49">
        <v>43387</v>
      </c>
      <c r="C534" s="58">
        <v>18357203.875407699</v>
      </c>
      <c r="D534" s="58">
        <v>1721428.705141</v>
      </c>
      <c r="E534" s="51" t="str">
        <f t="shared" si="9"/>
        <v>2018 q4</v>
      </c>
      <c r="I534" s="59"/>
    </row>
    <row r="535" spans="2:9" s="51" customFormat="1" ht="19.75" customHeight="1">
      <c r="B535" s="49">
        <v>43394</v>
      </c>
      <c r="C535" s="58">
        <v>23494308.9078888</v>
      </c>
      <c r="D535" s="58">
        <v>2290517.6766599999</v>
      </c>
      <c r="E535" s="51" t="str">
        <f t="shared" si="9"/>
        <v>2018 q4</v>
      </c>
      <c r="I535" s="59"/>
    </row>
    <row r="536" spans="2:9" s="51" customFormat="1" ht="19.75" customHeight="1">
      <c r="B536" s="49">
        <v>43401</v>
      </c>
      <c r="C536" s="58">
        <v>27183648.444092099</v>
      </c>
      <c r="D536" s="58">
        <v>2627344.9852439999</v>
      </c>
      <c r="E536" s="51" t="str">
        <f t="shared" si="9"/>
        <v>2018 q4</v>
      </c>
      <c r="I536" s="59"/>
    </row>
    <row r="537" spans="2:9" s="51" customFormat="1" ht="19.75" customHeight="1">
      <c r="B537" s="49">
        <v>43408</v>
      </c>
      <c r="C537" s="58">
        <v>30097074.09894</v>
      </c>
      <c r="D537" s="58">
        <v>2791217.7986679999</v>
      </c>
      <c r="E537" s="51" t="str">
        <f t="shared" si="9"/>
        <v>2018 q4</v>
      </c>
      <c r="I537" s="59"/>
    </row>
    <row r="538" spans="2:9" s="51" customFormat="1" ht="19.75" customHeight="1">
      <c r="B538" s="49">
        <v>43415</v>
      </c>
      <c r="C538" s="58">
        <v>27156761.214607801</v>
      </c>
      <c r="D538" s="58">
        <v>2647777.8207800002</v>
      </c>
      <c r="E538" s="51" t="str">
        <f t="shared" si="9"/>
        <v>2018 q4</v>
      </c>
      <c r="I538" s="59"/>
    </row>
    <row r="539" spans="2:9" s="51" customFormat="1" ht="19.75" customHeight="1">
      <c r="B539" s="49">
        <v>43422</v>
      </c>
      <c r="C539" s="58">
        <v>27257936.501304001</v>
      </c>
      <c r="D539" s="58">
        <v>2571160.0556000001</v>
      </c>
      <c r="E539" s="51" t="str">
        <f t="shared" si="9"/>
        <v>2018 q4</v>
      </c>
      <c r="I539" s="59"/>
    </row>
    <row r="540" spans="2:9" s="51" customFormat="1" ht="19.75" customHeight="1">
      <c r="B540" s="49">
        <v>43429</v>
      </c>
      <c r="C540" s="58">
        <v>30071392.274768401</v>
      </c>
      <c r="D540" s="58">
        <v>2951656.5114799999</v>
      </c>
      <c r="E540" s="51" t="str">
        <f t="shared" si="9"/>
        <v>2018 q4</v>
      </c>
      <c r="I540" s="59"/>
    </row>
    <row r="541" spans="2:9" s="51" customFormat="1" ht="19.75" customHeight="1">
      <c r="B541" s="49">
        <v>43436</v>
      </c>
      <c r="C541" s="58">
        <v>36917738.290328003</v>
      </c>
      <c r="D541" s="58">
        <v>3568386.3005400002</v>
      </c>
      <c r="E541" s="51" t="str">
        <f t="shared" si="9"/>
        <v>2018 q4</v>
      </c>
      <c r="I541" s="59"/>
    </row>
    <row r="542" spans="2:9" s="51" customFormat="1" ht="19.75" customHeight="1">
      <c r="B542" s="49">
        <v>43443</v>
      </c>
      <c r="C542" s="58">
        <v>29309475.6175058</v>
      </c>
      <c r="D542" s="58">
        <v>2822104.6118200002</v>
      </c>
      <c r="E542" s="51" t="str">
        <f t="shared" si="9"/>
        <v>2018 q4</v>
      </c>
      <c r="I542" s="59"/>
    </row>
    <row r="543" spans="2:9" s="51" customFormat="1" ht="19.75" customHeight="1">
      <c r="B543" s="49">
        <v>43450</v>
      </c>
      <c r="C543" s="58">
        <v>33775462.818112202</v>
      </c>
      <c r="D543" s="58">
        <v>3254997.2672000001</v>
      </c>
      <c r="E543" s="51" t="str">
        <f t="shared" si="9"/>
        <v>2018 q4</v>
      </c>
      <c r="I543" s="59"/>
    </row>
    <row r="544" spans="2:9" s="51" customFormat="1" ht="19.75" customHeight="1">
      <c r="B544" s="49">
        <v>43457</v>
      </c>
      <c r="C544" s="58">
        <v>33691733.974797003</v>
      </c>
      <c r="D544" s="58">
        <v>3302689.0952400002</v>
      </c>
      <c r="E544" s="51" t="str">
        <f t="shared" si="9"/>
        <v>2018 q4</v>
      </c>
      <c r="I544" s="59"/>
    </row>
    <row r="545" spans="2:9" s="51" customFormat="1" ht="19.75" customHeight="1">
      <c r="B545" s="49">
        <v>43464</v>
      </c>
      <c r="C545" s="58">
        <v>64158039.500573203</v>
      </c>
      <c r="D545" s="58">
        <v>6326512.2111600004</v>
      </c>
      <c r="E545" s="51" t="str">
        <f t="shared" si="9"/>
        <v>2018 q4</v>
      </c>
      <c r="I545" s="59"/>
    </row>
    <row r="546" spans="2:9" s="51" customFormat="1" ht="19.75" customHeight="1">
      <c r="B546" s="49">
        <v>43471</v>
      </c>
      <c r="C546" s="58">
        <v>0.3</v>
      </c>
      <c r="D546" s="58">
        <v>0.02</v>
      </c>
      <c r="E546" s="51" t="str">
        <f t="shared" si="9"/>
        <v>2019 q1</v>
      </c>
      <c r="I546" s="59"/>
    </row>
    <row r="547" spans="2:9" s="51" customFormat="1" ht="19.75" customHeight="1">
      <c r="B547" s="49">
        <v>43478</v>
      </c>
      <c r="C547" s="58">
        <v>6594973.485502</v>
      </c>
      <c r="D547" s="58">
        <v>666517.65729999996</v>
      </c>
      <c r="E547" s="51" t="str">
        <f t="shared" si="9"/>
        <v>2019 q1</v>
      </c>
      <c r="I547" s="59"/>
    </row>
    <row r="548" spans="2:9" s="51" customFormat="1" ht="19.75" customHeight="1">
      <c r="B548" s="49">
        <v>43485</v>
      </c>
      <c r="C548" s="58">
        <v>16456485.910628</v>
      </c>
      <c r="D548" s="58">
        <v>1549518.5223000001</v>
      </c>
      <c r="E548" s="51" t="str">
        <f t="shared" si="9"/>
        <v>2019 q1</v>
      </c>
      <c r="I548" s="59"/>
    </row>
    <row r="549" spans="2:9" s="51" customFormat="1" ht="19.75" customHeight="1">
      <c r="B549" s="49">
        <v>43492</v>
      </c>
      <c r="C549" s="58">
        <v>14776641.4603364</v>
      </c>
      <c r="D549" s="58">
        <v>1428199.5234399999</v>
      </c>
      <c r="E549" s="51" t="str">
        <f t="shared" si="9"/>
        <v>2019 q1</v>
      </c>
      <c r="I549" s="59"/>
    </row>
    <row r="550" spans="2:9" s="51" customFormat="1" ht="19.75" customHeight="1">
      <c r="B550" s="49">
        <v>43499</v>
      </c>
      <c r="C550" s="58">
        <v>20012638.283829998</v>
      </c>
      <c r="D550" s="58">
        <v>1914030.3265</v>
      </c>
      <c r="E550" s="51" t="str">
        <f t="shared" si="9"/>
        <v>2019 q1</v>
      </c>
      <c r="I550" s="59"/>
    </row>
    <row r="551" spans="2:9" s="51" customFormat="1" ht="19.75" customHeight="1">
      <c r="B551" s="49">
        <v>43506</v>
      </c>
      <c r="C551" s="58">
        <v>23388991.377372</v>
      </c>
      <c r="D551" s="58">
        <v>2279055.9262799998</v>
      </c>
      <c r="E551" s="51" t="str">
        <f t="shared" si="9"/>
        <v>2019 q1</v>
      </c>
      <c r="I551" s="59"/>
    </row>
    <row r="552" spans="2:9" s="51" customFormat="1" ht="19.75" customHeight="1">
      <c r="B552" s="49">
        <v>43513</v>
      </c>
      <c r="C552" s="58">
        <v>19785879.114374001</v>
      </c>
      <c r="D552" s="58">
        <v>1793960.89686</v>
      </c>
      <c r="E552" s="51" t="str">
        <f t="shared" si="9"/>
        <v>2019 q1</v>
      </c>
      <c r="I552" s="59"/>
    </row>
    <row r="553" spans="2:9" s="51" customFormat="1" ht="19.75" customHeight="1">
      <c r="B553" s="49">
        <v>43520</v>
      </c>
      <c r="C553" s="58">
        <v>28203236.437964</v>
      </c>
      <c r="D553" s="58">
        <v>2700804.8678000001</v>
      </c>
      <c r="E553" s="51" t="str">
        <f t="shared" si="9"/>
        <v>2019 q1</v>
      </c>
      <c r="I553" s="59"/>
    </row>
    <row r="554" spans="2:9" s="51" customFormat="1" ht="19.75" customHeight="1">
      <c r="B554" s="49">
        <v>43527</v>
      </c>
      <c r="C554" s="58">
        <v>32532611.704078399</v>
      </c>
      <c r="D554" s="58">
        <v>3098134.0290999999</v>
      </c>
      <c r="E554" s="51" t="str">
        <f t="shared" si="9"/>
        <v>2019 q1</v>
      </c>
      <c r="I554" s="59"/>
    </row>
    <row r="555" spans="2:9" s="51" customFormat="1" ht="19.75" customHeight="1">
      <c r="B555" s="49">
        <v>43534</v>
      </c>
      <c r="C555" s="58">
        <v>22700454.819393001</v>
      </c>
      <c r="D555" s="58">
        <v>2127462.6506500002</v>
      </c>
      <c r="E555" s="51" t="str">
        <f t="shared" si="9"/>
        <v>2019 q1</v>
      </c>
      <c r="I555" s="59"/>
    </row>
    <row r="556" spans="2:9" s="51" customFormat="1" ht="19.75" customHeight="1">
      <c r="B556" s="49">
        <v>43541</v>
      </c>
      <c r="C556" s="58">
        <v>58952143.559044398</v>
      </c>
      <c r="D556" s="58">
        <v>4757514.2148599997</v>
      </c>
      <c r="E556" s="51" t="str">
        <f t="shared" si="9"/>
        <v>2019 q1</v>
      </c>
      <c r="I556" s="59"/>
    </row>
    <row r="557" spans="2:9" s="51" customFormat="1" ht="19.75" customHeight="1">
      <c r="B557" s="49">
        <v>43548</v>
      </c>
      <c r="C557" s="58">
        <v>31457700.7056868</v>
      </c>
      <c r="D557" s="58">
        <v>3018096.1850399999</v>
      </c>
      <c r="E557" s="51" t="str">
        <f t="shared" si="9"/>
        <v>2019 q1</v>
      </c>
      <c r="I557" s="59"/>
    </row>
    <row r="558" spans="2:9" s="51" customFormat="1" ht="19.75" customHeight="1">
      <c r="B558" s="49">
        <v>43555</v>
      </c>
      <c r="C558" s="58">
        <v>40105295.230590403</v>
      </c>
      <c r="D558" s="58">
        <v>3891386.6219799998</v>
      </c>
      <c r="E558" s="51" t="str">
        <f t="shared" si="9"/>
        <v>2019 q1</v>
      </c>
      <c r="I558" s="59"/>
    </row>
    <row r="559" spans="2:9" s="51" customFormat="1" ht="19.75" customHeight="1">
      <c r="B559" s="49">
        <v>43562</v>
      </c>
      <c r="C559" s="58">
        <v>23201248.735146001</v>
      </c>
      <c r="D559" s="58">
        <v>2256913.0144000002</v>
      </c>
      <c r="E559" s="51" t="str">
        <f t="shared" si="9"/>
        <v>2019 q2</v>
      </c>
      <c r="I559" s="59"/>
    </row>
    <row r="560" spans="2:9" s="51" customFormat="1" ht="19.75" customHeight="1">
      <c r="B560" s="49">
        <v>43569</v>
      </c>
      <c r="C560" s="58">
        <v>38577146.620336801</v>
      </c>
      <c r="D560" s="58">
        <v>3873300.6527999998</v>
      </c>
      <c r="E560" s="51" t="str">
        <f t="shared" si="9"/>
        <v>2019 q2</v>
      </c>
      <c r="I560" s="59"/>
    </row>
    <row r="561" spans="2:9" s="51" customFormat="1" ht="19.75" customHeight="1">
      <c r="B561" s="49">
        <v>43576</v>
      </c>
      <c r="C561" s="58">
        <v>32843634.729069602</v>
      </c>
      <c r="D561" s="58">
        <v>3194730.9261599998</v>
      </c>
      <c r="E561" s="51" t="str">
        <f t="shared" si="9"/>
        <v>2019 q2</v>
      </c>
      <c r="I561" s="59"/>
    </row>
    <row r="562" spans="2:9" s="51" customFormat="1" ht="19.75" customHeight="1">
      <c r="B562" s="49">
        <v>43583</v>
      </c>
      <c r="C562" s="58">
        <v>29591109.559694</v>
      </c>
      <c r="D562" s="58">
        <v>2901739.9885</v>
      </c>
      <c r="E562" s="51" t="str">
        <f t="shared" si="9"/>
        <v>2019 q2</v>
      </c>
      <c r="I562" s="59"/>
    </row>
    <row r="563" spans="2:9" s="51" customFormat="1" ht="19.75" customHeight="1">
      <c r="B563" s="49">
        <v>43590</v>
      </c>
      <c r="C563" s="58">
        <v>30678672.226598799</v>
      </c>
      <c r="D563" s="58">
        <v>3015613.2831250001</v>
      </c>
      <c r="E563" s="51" t="str">
        <f t="shared" si="9"/>
        <v>2019 q2</v>
      </c>
      <c r="I563" s="59"/>
    </row>
    <row r="564" spans="2:9" s="51" customFormat="1" ht="19.75" customHeight="1">
      <c r="B564" s="49">
        <v>43597</v>
      </c>
      <c r="C564" s="58">
        <v>29824972.015552498</v>
      </c>
      <c r="D564" s="58">
        <v>2964989.0120000001</v>
      </c>
      <c r="E564" s="51" t="str">
        <f t="shared" si="9"/>
        <v>2019 q2</v>
      </c>
      <c r="I564" s="59"/>
    </row>
    <row r="565" spans="2:9" s="51" customFormat="1" ht="19.75" customHeight="1">
      <c r="B565" s="49">
        <v>43604</v>
      </c>
      <c r="C565" s="58">
        <v>35737993.003536798</v>
      </c>
      <c r="D565" s="58">
        <v>3325368.3991200002</v>
      </c>
      <c r="E565" s="51" t="str">
        <f t="shared" si="9"/>
        <v>2019 q2</v>
      </c>
      <c r="I565" s="59"/>
    </row>
    <row r="566" spans="2:9" s="51" customFormat="1" ht="19.75" customHeight="1">
      <c r="B566" s="49">
        <v>43611</v>
      </c>
      <c r="C566" s="58">
        <v>42327827.708920002</v>
      </c>
      <c r="D566" s="58">
        <v>4064429.8639600002</v>
      </c>
      <c r="E566" s="51" t="str">
        <f t="shared" si="9"/>
        <v>2019 q2</v>
      </c>
      <c r="I566" s="59"/>
    </row>
    <row r="567" spans="2:9" s="51" customFormat="1" ht="19.75" customHeight="1">
      <c r="B567" s="49">
        <v>43618</v>
      </c>
      <c r="C567" s="58">
        <v>38957172.334881999</v>
      </c>
      <c r="D567" s="58">
        <v>3775421.7023499999</v>
      </c>
      <c r="E567" s="51" t="str">
        <f t="shared" si="9"/>
        <v>2019 q2</v>
      </c>
      <c r="I567" s="59"/>
    </row>
    <row r="568" spans="2:9" s="51" customFormat="1" ht="19.75" customHeight="1">
      <c r="B568" s="49">
        <v>43625</v>
      </c>
      <c r="C568" s="58">
        <v>39620067.577363603</v>
      </c>
      <c r="D568" s="58">
        <v>3914318.4185600001</v>
      </c>
      <c r="E568" s="51" t="str">
        <f t="shared" si="9"/>
        <v>2019 q2</v>
      </c>
      <c r="I568" s="59"/>
    </row>
    <row r="569" spans="2:9" s="51" customFormat="1" ht="19.75" customHeight="1">
      <c r="B569" s="49">
        <v>43632</v>
      </c>
      <c r="C569" s="58">
        <v>32447318.187335201</v>
      </c>
      <c r="D569" s="58">
        <v>3079879.8608800001</v>
      </c>
      <c r="E569" s="51" t="str">
        <f t="shared" si="9"/>
        <v>2019 q2</v>
      </c>
      <c r="I569" s="59"/>
    </row>
    <row r="570" spans="2:9" s="51" customFormat="1" ht="19.75" customHeight="1">
      <c r="B570" s="49">
        <v>43639</v>
      </c>
      <c r="C570" s="58">
        <v>33472365.777086802</v>
      </c>
      <c r="D570" s="58">
        <v>3305147.4645799999</v>
      </c>
      <c r="E570" s="51" t="str">
        <f t="shared" si="9"/>
        <v>2019 q2</v>
      </c>
      <c r="I570" s="59"/>
    </row>
    <row r="571" spans="2:9" s="51" customFormat="1" ht="19.75" customHeight="1">
      <c r="B571" s="49">
        <v>43646</v>
      </c>
      <c r="C571" s="58">
        <v>39575755.5493856</v>
      </c>
      <c r="D571" s="58">
        <v>3683359.1119200001</v>
      </c>
      <c r="E571" s="51" t="str">
        <f t="shared" si="9"/>
        <v>2019 q2</v>
      </c>
      <c r="I571" s="59"/>
    </row>
    <row r="572" spans="2:9" s="51" customFormat="1" ht="19.75" customHeight="1">
      <c r="B572" s="49">
        <v>43653</v>
      </c>
      <c r="C572" s="58">
        <v>15388296.299000001</v>
      </c>
      <c r="D572" s="58">
        <v>1496516.8490500001</v>
      </c>
      <c r="E572" s="51" t="str">
        <f t="shared" si="9"/>
        <v>2019 q3</v>
      </c>
      <c r="I572" s="59"/>
    </row>
    <row r="573" spans="2:9" s="51" customFormat="1" ht="19.75" customHeight="1">
      <c r="B573" s="49">
        <v>43660</v>
      </c>
      <c r="C573" s="58">
        <v>35865380.345825002</v>
      </c>
      <c r="D573" s="58">
        <v>3512586.0059600002</v>
      </c>
      <c r="E573" s="51" t="str">
        <f t="shared" si="9"/>
        <v>2019 q3</v>
      </c>
      <c r="I573" s="59"/>
    </row>
    <row r="574" spans="2:9" s="51" customFormat="1" ht="19.75" customHeight="1">
      <c r="B574" s="49">
        <v>43667</v>
      </c>
      <c r="C574" s="58">
        <v>35014297.282342397</v>
      </c>
      <c r="D574" s="58">
        <v>3427541.0040000002</v>
      </c>
      <c r="E574" s="51" t="str">
        <f t="shared" si="9"/>
        <v>2019 q3</v>
      </c>
      <c r="I574" s="59"/>
    </row>
    <row r="575" spans="2:9" s="51" customFormat="1" ht="19.75" customHeight="1">
      <c r="B575" s="49">
        <v>43674</v>
      </c>
      <c r="C575" s="58">
        <v>37162370.255085997</v>
      </c>
      <c r="D575" s="58">
        <v>3550118.7662</v>
      </c>
      <c r="E575" s="51" t="str">
        <f t="shared" si="9"/>
        <v>2019 q3</v>
      </c>
      <c r="I575" s="59"/>
    </row>
    <row r="576" spans="2:9" s="51" customFormat="1" ht="19.75" customHeight="1">
      <c r="B576" s="49">
        <v>43681</v>
      </c>
      <c r="C576" s="58">
        <v>35879761.049934402</v>
      </c>
      <c r="D576" s="58">
        <v>3454929.0939600002</v>
      </c>
      <c r="E576" s="51" t="str">
        <f t="shared" si="9"/>
        <v>2019 q3</v>
      </c>
      <c r="I576" s="59"/>
    </row>
    <row r="577" spans="2:9" s="51" customFormat="1" ht="19.75" customHeight="1">
      <c r="B577" s="49">
        <v>43688</v>
      </c>
      <c r="C577" s="58">
        <v>30175656.616078001</v>
      </c>
      <c r="D577" s="58">
        <v>3008887.548</v>
      </c>
      <c r="E577" s="51" t="str">
        <f t="shared" si="9"/>
        <v>2019 q3</v>
      </c>
      <c r="I577" s="59"/>
    </row>
    <row r="578" spans="2:9" s="51" customFormat="1" ht="19.75" customHeight="1">
      <c r="B578" s="49">
        <v>43695</v>
      </c>
      <c r="C578" s="58">
        <v>32711746.023942601</v>
      </c>
      <c r="D578" s="58">
        <v>3267123.40234</v>
      </c>
      <c r="E578" s="51" t="str">
        <f t="shared" si="9"/>
        <v>2019 q3</v>
      </c>
      <c r="I578" s="59"/>
    </row>
    <row r="579" spans="2:9" s="51" customFormat="1" ht="19.75" customHeight="1">
      <c r="B579" s="49">
        <v>43702</v>
      </c>
      <c r="C579" s="58">
        <v>30535264.882906001</v>
      </c>
      <c r="D579" s="58">
        <v>2966154.0153999999</v>
      </c>
      <c r="E579" s="51" t="str">
        <f t="shared" si="9"/>
        <v>2019 q3</v>
      </c>
      <c r="I579" s="59"/>
    </row>
    <row r="580" spans="2:9" s="51" customFormat="1" ht="19.75" customHeight="1">
      <c r="B580" s="49">
        <v>43709</v>
      </c>
      <c r="C580" s="58">
        <v>32176866.328586001</v>
      </c>
      <c r="D580" s="58">
        <v>3074811.9232399999</v>
      </c>
      <c r="E580" s="51" t="str">
        <f t="shared" si="9"/>
        <v>2019 q3</v>
      </c>
      <c r="I580" s="59"/>
    </row>
    <row r="581" spans="2:9" s="51" customFormat="1" ht="19.75" customHeight="1">
      <c r="B581" s="49">
        <v>43716</v>
      </c>
      <c r="C581" s="58">
        <v>29846635.050756399</v>
      </c>
      <c r="D581" s="58">
        <v>2817588.0152799999</v>
      </c>
      <c r="E581" s="51" t="str">
        <f t="shared" si="9"/>
        <v>2019 q3</v>
      </c>
      <c r="I581" s="59"/>
    </row>
    <row r="582" spans="2:9" s="51" customFormat="1" ht="19.75" customHeight="1">
      <c r="B582" s="49">
        <v>43723</v>
      </c>
      <c r="C582" s="58">
        <v>33552505.035011198</v>
      </c>
      <c r="D582" s="58">
        <v>3367025.0463999999</v>
      </c>
      <c r="E582" s="51" t="str">
        <f t="shared" ref="E582:E645" si="10">YEAR(B582)&amp;" q"&amp;ROUNDUP(MONTH(B582)/3,0)</f>
        <v>2019 q3</v>
      </c>
      <c r="I582" s="59"/>
    </row>
    <row r="583" spans="2:9" s="51" customFormat="1" ht="19.75" customHeight="1">
      <c r="B583" s="49">
        <v>43730</v>
      </c>
      <c r="C583" s="58">
        <v>33030532.399322599</v>
      </c>
      <c r="D583" s="58">
        <v>3199694.4072799999</v>
      </c>
      <c r="E583" s="51" t="str">
        <f t="shared" si="10"/>
        <v>2019 q3</v>
      </c>
      <c r="I583" s="59"/>
    </row>
    <row r="584" spans="2:9" s="51" customFormat="1" ht="19.75" customHeight="1">
      <c r="B584" s="49">
        <v>43737</v>
      </c>
      <c r="C584" s="58">
        <v>37123566.989270002</v>
      </c>
      <c r="D584" s="58">
        <v>3438677.0518999998</v>
      </c>
      <c r="E584" s="51" t="str">
        <f t="shared" si="10"/>
        <v>2019 q3</v>
      </c>
      <c r="I584" s="59"/>
    </row>
    <row r="585" spans="2:9" s="51" customFormat="1" ht="19.75" customHeight="1">
      <c r="B585" s="49">
        <v>43744</v>
      </c>
      <c r="C585" s="58">
        <v>36131622.9903422</v>
      </c>
      <c r="D585" s="58">
        <v>3403263.6009</v>
      </c>
      <c r="E585" s="51" t="str">
        <f t="shared" si="10"/>
        <v>2019 q4</v>
      </c>
      <c r="I585" s="59"/>
    </row>
    <row r="586" spans="2:9" s="51" customFormat="1" ht="19.75" customHeight="1">
      <c r="B586" s="49">
        <v>43751</v>
      </c>
      <c r="C586" s="58">
        <v>30063557.7193476</v>
      </c>
      <c r="D586" s="58">
        <v>2793245.8610800002</v>
      </c>
      <c r="E586" s="51" t="str">
        <f t="shared" si="10"/>
        <v>2019 q4</v>
      </c>
      <c r="I586" s="59"/>
    </row>
    <row r="587" spans="2:9" s="51" customFormat="1" ht="19.75" customHeight="1">
      <c r="B587" s="49">
        <v>43758</v>
      </c>
      <c r="C587" s="58">
        <v>33803516.384695202</v>
      </c>
      <c r="D587" s="58">
        <v>3571771.1532000001</v>
      </c>
      <c r="E587" s="51" t="str">
        <f t="shared" si="10"/>
        <v>2019 q4</v>
      </c>
      <c r="I587" s="59"/>
    </row>
    <row r="588" spans="2:9" s="51" customFormat="1" ht="19.75" customHeight="1">
      <c r="B588" s="49">
        <v>43765</v>
      </c>
      <c r="C588" s="58">
        <v>37417288.987156004</v>
      </c>
      <c r="D588" s="58">
        <v>3550338.6570799998</v>
      </c>
      <c r="E588" s="51" t="str">
        <f t="shared" si="10"/>
        <v>2019 q4</v>
      </c>
      <c r="I588" s="59"/>
    </row>
    <row r="589" spans="2:9" s="51" customFormat="1" ht="19.75" customHeight="1">
      <c r="B589" s="49">
        <v>43772</v>
      </c>
      <c r="C589" s="58">
        <v>41122089.671068802</v>
      </c>
      <c r="D589" s="58">
        <v>3911328.45652</v>
      </c>
      <c r="E589" s="51" t="str">
        <f t="shared" si="10"/>
        <v>2019 q4</v>
      </c>
      <c r="I589" s="59"/>
    </row>
    <row r="590" spans="2:9" s="51" customFormat="1" ht="19.75" customHeight="1">
      <c r="B590" s="49">
        <v>43779</v>
      </c>
      <c r="C590" s="58">
        <v>29098464.509148799</v>
      </c>
      <c r="D590" s="58">
        <v>2764257.6573200002</v>
      </c>
      <c r="E590" s="51" t="str">
        <f t="shared" si="10"/>
        <v>2019 q4</v>
      </c>
      <c r="I590" s="59"/>
    </row>
    <row r="591" spans="2:9" s="51" customFormat="1" ht="19.75" customHeight="1">
      <c r="B591" s="49">
        <v>43786</v>
      </c>
      <c r="C591" s="58">
        <v>44399112.796268001</v>
      </c>
      <c r="D591" s="58">
        <v>4170779.2013599998</v>
      </c>
      <c r="E591" s="51" t="str">
        <f t="shared" si="10"/>
        <v>2019 q4</v>
      </c>
      <c r="I591" s="59"/>
    </row>
    <row r="592" spans="2:9" s="51" customFormat="1" ht="19.75" customHeight="1">
      <c r="B592" s="49">
        <v>43793</v>
      </c>
      <c r="C592" s="58">
        <v>31335227.397225998</v>
      </c>
      <c r="D592" s="58">
        <v>3010671.2497999999</v>
      </c>
      <c r="E592" s="51" t="str">
        <f t="shared" si="10"/>
        <v>2019 q4</v>
      </c>
      <c r="I592" s="59"/>
    </row>
    <row r="593" spans="2:9" s="51" customFormat="1" ht="19.75" customHeight="1">
      <c r="B593" s="49">
        <v>43800</v>
      </c>
      <c r="C593" s="58">
        <v>50773591.695766598</v>
      </c>
      <c r="D593" s="58">
        <v>4923657.0885399999</v>
      </c>
      <c r="E593" s="51" t="str">
        <f t="shared" si="10"/>
        <v>2019 q4</v>
      </c>
      <c r="I593" s="59"/>
    </row>
    <row r="594" spans="2:9" s="51" customFormat="1" ht="19.75" customHeight="1">
      <c r="B594" s="49">
        <v>43807</v>
      </c>
      <c r="C594" s="58">
        <v>41387954.845896997</v>
      </c>
      <c r="D594" s="58">
        <v>3995552.47218</v>
      </c>
      <c r="E594" s="51" t="str">
        <f t="shared" si="10"/>
        <v>2019 q4</v>
      </c>
      <c r="I594" s="59"/>
    </row>
    <row r="595" spans="2:9" s="51" customFormat="1" ht="19.75" customHeight="1">
      <c r="B595" s="49">
        <v>43814</v>
      </c>
      <c r="C595" s="58">
        <v>42234451.274464197</v>
      </c>
      <c r="D595" s="58">
        <v>3990598.0778800002</v>
      </c>
      <c r="E595" s="51" t="str">
        <f t="shared" si="10"/>
        <v>2019 q4</v>
      </c>
      <c r="I595" s="59"/>
    </row>
    <row r="596" spans="2:9" s="51" customFormat="1" ht="19.75" customHeight="1">
      <c r="B596" s="49">
        <v>43821</v>
      </c>
      <c r="C596" s="58">
        <v>48746099.634852998</v>
      </c>
      <c r="D596" s="58">
        <v>4650516.5903399996</v>
      </c>
      <c r="E596" s="51" t="str">
        <f t="shared" si="10"/>
        <v>2019 q4</v>
      </c>
      <c r="I596" s="59"/>
    </row>
    <row r="597" spans="2:9" s="51" customFormat="1" ht="19.75" customHeight="1">
      <c r="B597" s="49">
        <v>43828</v>
      </c>
      <c r="C597" s="58">
        <v>74945488.815845206</v>
      </c>
      <c r="D597" s="58">
        <v>7222698.5119399996</v>
      </c>
      <c r="E597" s="51" t="str">
        <f t="shared" si="10"/>
        <v>2019 q4</v>
      </c>
      <c r="I597" s="59"/>
    </row>
    <row r="598" spans="2:9" s="51" customFormat="1" ht="19.75" customHeight="1">
      <c r="B598" s="49">
        <v>43835</v>
      </c>
      <c r="C598" s="58">
        <v>13791757.058900001</v>
      </c>
      <c r="D598" s="58">
        <v>1349696.216</v>
      </c>
      <c r="E598" s="51" t="str">
        <f t="shared" si="10"/>
        <v>2020 q1</v>
      </c>
      <c r="I598" s="59"/>
    </row>
    <row r="599" spans="2:9" s="51" customFormat="1" ht="19.75" customHeight="1">
      <c r="B599" s="49">
        <v>43842</v>
      </c>
      <c r="C599" s="58">
        <v>14222584.982626701</v>
      </c>
      <c r="D599" s="58">
        <v>1332733.745415</v>
      </c>
      <c r="E599" s="51" t="str">
        <f t="shared" si="10"/>
        <v>2020 q1</v>
      </c>
      <c r="I599" s="59"/>
    </row>
    <row r="600" spans="2:9" s="51" customFormat="1" ht="19.75" customHeight="1">
      <c r="B600" s="49">
        <v>43849</v>
      </c>
      <c r="C600" s="58">
        <v>18355753.348195001</v>
      </c>
      <c r="D600" s="58">
        <v>1735770.6169799999</v>
      </c>
      <c r="E600" s="51" t="str">
        <f t="shared" si="10"/>
        <v>2020 q1</v>
      </c>
      <c r="I600" s="59"/>
    </row>
    <row r="601" spans="2:9" s="51" customFormat="1" ht="19.75" customHeight="1">
      <c r="B601" s="49">
        <v>43856</v>
      </c>
      <c r="C601" s="58">
        <v>34935551.221365198</v>
      </c>
      <c r="D601" s="58">
        <v>3353006.3343199999</v>
      </c>
      <c r="E601" s="51" t="str">
        <f t="shared" si="10"/>
        <v>2020 q1</v>
      </c>
      <c r="I601" s="59"/>
    </row>
    <row r="602" spans="2:9" s="51" customFormat="1" ht="19.75" customHeight="1">
      <c r="B602" s="49">
        <v>43863</v>
      </c>
      <c r="C602" s="58">
        <v>29880169.2231135</v>
      </c>
      <c r="D602" s="58">
        <v>2840562.5901000001</v>
      </c>
      <c r="E602" s="51" t="str">
        <f t="shared" si="10"/>
        <v>2020 q1</v>
      </c>
      <c r="I602" s="59"/>
    </row>
    <row r="603" spans="2:9" s="51" customFormat="1" ht="19.75" customHeight="1">
      <c r="B603" s="49">
        <v>43870</v>
      </c>
      <c r="C603" s="58">
        <v>26876105.0783384</v>
      </c>
      <c r="D603" s="58">
        <v>2482519.6824599998</v>
      </c>
      <c r="E603" s="51" t="str">
        <f t="shared" si="10"/>
        <v>2020 q1</v>
      </c>
      <c r="I603" s="59"/>
    </row>
    <row r="604" spans="2:9" s="51" customFormat="1" ht="19.75" customHeight="1">
      <c r="B604" s="49">
        <v>43877</v>
      </c>
      <c r="C604" s="58">
        <v>45057582.890942402</v>
      </c>
      <c r="D604" s="58">
        <v>4617434.3343200004</v>
      </c>
      <c r="E604" s="51" t="str">
        <f t="shared" si="10"/>
        <v>2020 q1</v>
      </c>
      <c r="I604" s="59"/>
    </row>
    <row r="605" spans="2:9" s="51" customFormat="1" ht="19.75" customHeight="1">
      <c r="B605" s="49">
        <v>43884</v>
      </c>
      <c r="C605" s="58">
        <v>49718222.600653999</v>
      </c>
      <c r="D605" s="58">
        <v>4928367.4259000001</v>
      </c>
      <c r="E605" s="51" t="str">
        <f t="shared" si="10"/>
        <v>2020 q1</v>
      </c>
      <c r="I605" s="59"/>
    </row>
    <row r="606" spans="2:9" s="51" customFormat="1" ht="19.75" customHeight="1">
      <c r="B606" s="49">
        <v>43891</v>
      </c>
      <c r="C606" s="58">
        <v>59563045.837191202</v>
      </c>
      <c r="D606" s="58">
        <v>5882265.3024000004</v>
      </c>
      <c r="E606" s="51" t="str">
        <f t="shared" si="10"/>
        <v>2020 q1</v>
      </c>
      <c r="I606" s="59"/>
    </row>
    <row r="607" spans="2:9" s="51" customFormat="1" ht="19.75" customHeight="1">
      <c r="B607" s="49">
        <v>43898</v>
      </c>
      <c r="C607" s="58">
        <v>40471936.869860798</v>
      </c>
      <c r="D607" s="58">
        <v>4187725.5094599999</v>
      </c>
      <c r="E607" s="51" t="str">
        <f t="shared" si="10"/>
        <v>2020 q1</v>
      </c>
      <c r="I607" s="59"/>
    </row>
    <row r="608" spans="2:9" s="51" customFormat="1" ht="19.75" customHeight="1">
      <c r="B608" s="49">
        <v>43905</v>
      </c>
      <c r="C608" s="58">
        <v>42714593.217194803</v>
      </c>
      <c r="D608" s="58">
        <v>4264375.3180799996</v>
      </c>
      <c r="E608" s="51" t="str">
        <f t="shared" si="10"/>
        <v>2020 q1</v>
      </c>
      <c r="I608" s="59"/>
    </row>
    <row r="609" spans="2:9" s="51" customFormat="1" ht="19.75" customHeight="1">
      <c r="B609" s="49">
        <v>43912</v>
      </c>
      <c r="C609" s="58">
        <v>39769764.606835403</v>
      </c>
      <c r="D609" s="58">
        <v>3964983.5216999999</v>
      </c>
      <c r="E609" s="51" t="str">
        <f t="shared" si="10"/>
        <v>2020 q1</v>
      </c>
      <c r="I609" s="59"/>
    </row>
    <row r="610" spans="2:9" s="51" customFormat="1" ht="19.75" customHeight="1">
      <c r="B610" s="49">
        <v>43919</v>
      </c>
      <c r="C610" s="58">
        <v>22887889.298929598</v>
      </c>
      <c r="D610" s="58">
        <v>2144769.05584</v>
      </c>
      <c r="E610" s="51" t="str">
        <f t="shared" si="10"/>
        <v>2020 q1</v>
      </c>
      <c r="I610" s="59"/>
    </row>
    <row r="611" spans="2:9" s="51" customFormat="1" ht="19.75" customHeight="1">
      <c r="B611" s="49">
        <v>43926</v>
      </c>
      <c r="C611" s="58">
        <v>23054371.603762001</v>
      </c>
      <c r="D611" s="58">
        <v>2203198.0462799999</v>
      </c>
      <c r="E611" s="51" t="str">
        <f t="shared" si="10"/>
        <v>2020 q2</v>
      </c>
      <c r="I611" s="59"/>
    </row>
    <row r="612" spans="2:9" s="51" customFormat="1" ht="19.75" customHeight="1">
      <c r="B612" s="49">
        <v>43933</v>
      </c>
      <c r="C612" s="58">
        <v>17901089.612041201</v>
      </c>
      <c r="D612" s="58">
        <v>1757287.23284</v>
      </c>
      <c r="E612" s="51" t="str">
        <f t="shared" si="10"/>
        <v>2020 q2</v>
      </c>
      <c r="I612" s="59"/>
    </row>
    <row r="613" spans="2:9" s="51" customFormat="1" ht="19.75" customHeight="1">
      <c r="B613" s="49">
        <v>43940</v>
      </c>
      <c r="C613" s="58">
        <v>17447128.683945999</v>
      </c>
      <c r="D613" s="58">
        <v>1735683.4683999999</v>
      </c>
      <c r="E613" s="51" t="str">
        <f t="shared" si="10"/>
        <v>2020 q2</v>
      </c>
      <c r="I613" s="59"/>
    </row>
    <row r="614" spans="2:9" s="51" customFormat="1" ht="19.75" customHeight="1">
      <c r="B614" s="49">
        <v>43947</v>
      </c>
      <c r="C614" s="58">
        <v>12510255.570751499</v>
      </c>
      <c r="D614" s="58">
        <v>1218949.556725</v>
      </c>
      <c r="E614" s="51" t="str">
        <f t="shared" si="10"/>
        <v>2020 q2</v>
      </c>
      <c r="I614" s="59"/>
    </row>
    <row r="615" spans="2:9" s="51" customFormat="1" ht="19.75" customHeight="1">
      <c r="B615" s="49">
        <v>43954</v>
      </c>
      <c r="C615" s="58">
        <v>13080666.331177499</v>
      </c>
      <c r="D615" s="58">
        <v>1302588.0422749999</v>
      </c>
      <c r="E615" s="51" t="str">
        <f t="shared" si="10"/>
        <v>2020 q2</v>
      </c>
      <c r="I615" s="59"/>
    </row>
    <row r="616" spans="2:9" s="51" customFormat="1" ht="19.75" customHeight="1">
      <c r="B616" s="49">
        <v>43961</v>
      </c>
      <c r="C616" s="58">
        <v>15692284.258883201</v>
      </c>
      <c r="D616" s="58">
        <v>1531125.8426999999</v>
      </c>
      <c r="E616" s="51" t="str">
        <f t="shared" si="10"/>
        <v>2020 q2</v>
      </c>
      <c r="I616" s="59"/>
    </row>
    <row r="617" spans="2:9" s="51" customFormat="1" ht="19.75" customHeight="1">
      <c r="B617" s="49">
        <v>43968</v>
      </c>
      <c r="C617" s="58">
        <v>15553900.168762</v>
      </c>
      <c r="D617" s="58">
        <v>1465541.6994400001</v>
      </c>
      <c r="E617" s="51" t="str">
        <f t="shared" si="10"/>
        <v>2020 q2</v>
      </c>
      <c r="I617" s="59"/>
    </row>
    <row r="618" spans="2:9" s="51" customFormat="1" ht="19.75" customHeight="1">
      <c r="B618" s="49">
        <v>43975</v>
      </c>
      <c r="C618" s="58">
        <v>20851280.009935498</v>
      </c>
      <c r="D618" s="58">
        <v>1977136.254306</v>
      </c>
      <c r="E618" s="51" t="str">
        <f t="shared" si="10"/>
        <v>2020 q2</v>
      </c>
      <c r="I618" s="59"/>
    </row>
    <row r="619" spans="2:9" s="51" customFormat="1" ht="19.75" customHeight="1">
      <c r="B619" s="49">
        <v>43982</v>
      </c>
      <c r="C619" s="58">
        <v>21709417.806776199</v>
      </c>
      <c r="D619" s="58">
        <v>2075013.004705</v>
      </c>
      <c r="E619" s="51" t="str">
        <f t="shared" si="10"/>
        <v>2020 q2</v>
      </c>
      <c r="I619" s="59"/>
    </row>
    <row r="620" spans="2:9" s="51" customFormat="1" ht="19.75" customHeight="1">
      <c r="B620" s="49">
        <v>43989</v>
      </c>
      <c r="C620" s="58">
        <v>28319817.5445248</v>
      </c>
      <c r="D620" s="58">
        <v>2759967.7924000002</v>
      </c>
      <c r="E620" s="51" t="str">
        <f t="shared" si="10"/>
        <v>2020 q2</v>
      </c>
      <c r="I620" s="59"/>
    </row>
    <row r="621" spans="2:9" s="51" customFormat="1" ht="19.75" customHeight="1">
      <c r="B621" s="49">
        <v>43996</v>
      </c>
      <c r="C621" s="58">
        <v>26017125.9199536</v>
      </c>
      <c r="D621" s="58">
        <v>2527063.0348</v>
      </c>
      <c r="E621" s="51" t="str">
        <f t="shared" si="10"/>
        <v>2020 q2</v>
      </c>
      <c r="I621" s="59"/>
    </row>
    <row r="622" spans="2:9" s="51" customFormat="1" ht="19.75" customHeight="1">
      <c r="B622" s="49">
        <v>44003</v>
      </c>
      <c r="C622" s="58">
        <v>28230488.707571398</v>
      </c>
      <c r="D622" s="58">
        <v>2689823.7941399999</v>
      </c>
      <c r="E622" s="51" t="str">
        <f t="shared" si="10"/>
        <v>2020 q2</v>
      </c>
      <c r="I622" s="59"/>
    </row>
    <row r="623" spans="2:9" s="51" customFormat="1" ht="19.75" customHeight="1">
      <c r="B623" s="49">
        <v>44010</v>
      </c>
      <c r="C623" s="58">
        <v>31469831.891872801</v>
      </c>
      <c r="D623" s="58">
        <v>2869573.3880799999</v>
      </c>
      <c r="E623" s="51" t="str">
        <f t="shared" si="10"/>
        <v>2020 q2</v>
      </c>
      <c r="I623" s="59"/>
    </row>
    <row r="624" spans="2:9" s="51" customFormat="1" ht="19.75" customHeight="1">
      <c r="B624" s="49">
        <v>44017</v>
      </c>
      <c r="C624" s="58">
        <v>28048087.466075201</v>
      </c>
      <c r="D624" s="58">
        <v>2688069.67368</v>
      </c>
      <c r="E624" s="51" t="str">
        <f t="shared" si="10"/>
        <v>2020 q3</v>
      </c>
      <c r="I624" s="59"/>
    </row>
    <row r="625" spans="2:9" s="51" customFormat="1" ht="19.75" customHeight="1">
      <c r="B625" s="49">
        <v>44024</v>
      </c>
      <c r="C625" s="58">
        <v>33664937.144442402</v>
      </c>
      <c r="D625" s="58">
        <v>3204858.5320000001</v>
      </c>
      <c r="E625" s="51" t="str">
        <f t="shared" si="10"/>
        <v>2020 q3</v>
      </c>
      <c r="I625" s="59"/>
    </row>
    <row r="626" spans="2:9" s="51" customFormat="1" ht="19.75" customHeight="1">
      <c r="B626" s="49">
        <v>44031</v>
      </c>
      <c r="C626" s="58">
        <v>34477156.1447272</v>
      </c>
      <c r="D626" s="58">
        <v>3267363.6358400001</v>
      </c>
      <c r="E626" s="51" t="str">
        <f t="shared" si="10"/>
        <v>2020 q3</v>
      </c>
      <c r="I626" s="59"/>
    </row>
    <row r="627" spans="2:9" s="51" customFormat="1" ht="19.75" customHeight="1">
      <c r="B627" s="49">
        <v>44038</v>
      </c>
      <c r="C627" s="58">
        <v>46722220.487883002</v>
      </c>
      <c r="D627" s="58">
        <v>4318129.9254999999</v>
      </c>
      <c r="E627" s="51" t="str">
        <f t="shared" si="10"/>
        <v>2020 q3</v>
      </c>
      <c r="I627" s="59"/>
    </row>
    <row r="628" spans="2:9" s="51" customFormat="1" ht="19.75" customHeight="1">
      <c r="B628" s="49">
        <v>44045</v>
      </c>
      <c r="C628" s="58">
        <v>40116917.272216</v>
      </c>
      <c r="D628" s="58">
        <v>3920738.2096799999</v>
      </c>
      <c r="E628" s="51" t="str">
        <f t="shared" si="10"/>
        <v>2020 q3</v>
      </c>
      <c r="I628" s="59"/>
    </row>
    <row r="629" spans="2:9" s="51" customFormat="1" ht="19.75" customHeight="1">
      <c r="B629" s="49">
        <v>44052</v>
      </c>
      <c r="C629" s="58">
        <v>30411075.451474998</v>
      </c>
      <c r="D629" s="58">
        <v>2837274.6000399999</v>
      </c>
      <c r="E629" s="51" t="str">
        <f t="shared" si="10"/>
        <v>2020 q3</v>
      </c>
      <c r="I629" s="59"/>
    </row>
    <row r="630" spans="2:9" s="51" customFormat="1" ht="19.75" customHeight="1">
      <c r="B630" s="49">
        <v>44059</v>
      </c>
      <c r="C630" s="58">
        <v>31571673.122983601</v>
      </c>
      <c r="D630" s="58">
        <v>3045098.8579600002</v>
      </c>
      <c r="E630" s="51" t="str">
        <f t="shared" si="10"/>
        <v>2020 q3</v>
      </c>
      <c r="I630" s="59"/>
    </row>
    <row r="631" spans="2:9" s="51" customFormat="1" ht="19.75" customHeight="1">
      <c r="B631" s="49">
        <v>44066</v>
      </c>
      <c r="C631" s="58">
        <v>43299229.463697203</v>
      </c>
      <c r="D631" s="58">
        <v>4145796.4040000001</v>
      </c>
      <c r="E631" s="51" t="str">
        <f t="shared" si="10"/>
        <v>2020 q3</v>
      </c>
      <c r="I631" s="59"/>
    </row>
    <row r="632" spans="2:9" s="51" customFormat="1" ht="19.75" customHeight="1">
      <c r="B632" s="49">
        <v>44073</v>
      </c>
      <c r="C632" s="58">
        <v>41751451.846280798</v>
      </c>
      <c r="D632" s="58">
        <v>4019416.4819800002</v>
      </c>
      <c r="E632" s="51" t="str">
        <f t="shared" si="10"/>
        <v>2020 q3</v>
      </c>
      <c r="I632" s="59"/>
    </row>
    <row r="633" spans="2:9" s="51" customFormat="1" ht="19.75" customHeight="1">
      <c r="B633" s="49">
        <v>44080</v>
      </c>
      <c r="C633" s="58">
        <v>45941389.679568797</v>
      </c>
      <c r="D633" s="58">
        <v>4446051.2030199999</v>
      </c>
      <c r="E633" s="51" t="str">
        <f t="shared" si="10"/>
        <v>2020 q3</v>
      </c>
      <c r="I633" s="59"/>
    </row>
    <row r="634" spans="2:9" s="51" customFormat="1" ht="19.75" customHeight="1">
      <c r="B634" s="49">
        <v>44087</v>
      </c>
      <c r="C634" s="58">
        <v>41009342.460299999</v>
      </c>
      <c r="D634" s="58">
        <v>3999098.3735000002</v>
      </c>
      <c r="E634" s="51" t="str">
        <f t="shared" si="10"/>
        <v>2020 q3</v>
      </c>
      <c r="I634" s="59"/>
    </row>
    <row r="635" spans="2:9" s="51" customFormat="1" ht="19.75" customHeight="1">
      <c r="B635" s="49">
        <v>44094</v>
      </c>
      <c r="C635" s="58">
        <v>43998996.950689003</v>
      </c>
      <c r="D635" s="58">
        <v>4218485.1230800003</v>
      </c>
      <c r="E635" s="51" t="str">
        <f t="shared" si="10"/>
        <v>2020 q3</v>
      </c>
      <c r="I635" s="59"/>
    </row>
    <row r="636" spans="2:9" s="51" customFormat="1" ht="19.75" customHeight="1">
      <c r="B636" s="49">
        <v>44101</v>
      </c>
      <c r="C636" s="58">
        <v>32979222.619592499</v>
      </c>
      <c r="D636" s="58">
        <v>3189737.0528000002</v>
      </c>
      <c r="E636" s="51" t="str">
        <f t="shared" si="10"/>
        <v>2020 q3</v>
      </c>
      <c r="I636" s="59"/>
    </row>
    <row r="637" spans="2:9" s="51" customFormat="1" ht="19.75" customHeight="1">
      <c r="B637" s="49">
        <v>44108</v>
      </c>
      <c r="C637" s="58">
        <v>63663804.916131601</v>
      </c>
      <c r="D637" s="58">
        <v>6151011.2616999997</v>
      </c>
      <c r="E637" s="51" t="str">
        <f t="shared" si="10"/>
        <v>2020 q4</v>
      </c>
      <c r="I637" s="59"/>
    </row>
    <row r="638" spans="2:9" s="51" customFormat="1" ht="19.75" customHeight="1">
      <c r="B638" s="49">
        <v>44115</v>
      </c>
      <c r="C638" s="58">
        <v>48593685.658100002</v>
      </c>
      <c r="D638" s="58">
        <v>4796145.5520000001</v>
      </c>
      <c r="E638" s="51" t="str">
        <f t="shared" si="10"/>
        <v>2020 q4</v>
      </c>
      <c r="I638" s="59"/>
    </row>
    <row r="639" spans="2:9" s="51" customFormat="1" ht="19.75" customHeight="1">
      <c r="B639" s="49">
        <v>44122</v>
      </c>
      <c r="C639" s="58">
        <v>27141705.663620599</v>
      </c>
      <c r="D639" s="58">
        <v>2614596.6071000001</v>
      </c>
      <c r="E639" s="51" t="str">
        <f t="shared" si="10"/>
        <v>2020 q4</v>
      </c>
      <c r="I639" s="59"/>
    </row>
    <row r="640" spans="2:9" s="51" customFormat="1" ht="19.75" customHeight="1">
      <c r="B640" s="49">
        <v>44129</v>
      </c>
      <c r="C640" s="58">
        <v>35884719.015897997</v>
      </c>
      <c r="D640" s="58">
        <v>3319375.8310799999</v>
      </c>
      <c r="E640" s="51" t="str">
        <f t="shared" si="10"/>
        <v>2020 q4</v>
      </c>
      <c r="I640" s="59"/>
    </row>
    <row r="641" spans="2:9" s="51" customFormat="1" ht="19.75" customHeight="1">
      <c r="B641" s="49">
        <v>44136</v>
      </c>
      <c r="C641" s="58">
        <v>28598125.364888798</v>
      </c>
      <c r="D641" s="58">
        <v>2812900.3864000002</v>
      </c>
      <c r="E641" s="51" t="str">
        <f t="shared" si="10"/>
        <v>2020 q4</v>
      </c>
      <c r="I641" s="59"/>
    </row>
    <row r="642" spans="2:9" s="51" customFormat="1" ht="19.75" customHeight="1">
      <c r="B642" s="49">
        <v>44143</v>
      </c>
      <c r="C642" s="58">
        <v>17407056.748942401</v>
      </c>
      <c r="D642" s="58">
        <v>1756463.5004199999</v>
      </c>
      <c r="E642" s="51" t="str">
        <f t="shared" si="10"/>
        <v>2020 q4</v>
      </c>
      <c r="I642" s="59"/>
    </row>
    <row r="643" spans="2:9" s="51" customFormat="1" ht="19.75" customHeight="1">
      <c r="B643" s="49">
        <v>44150</v>
      </c>
      <c r="C643" s="58">
        <v>20295203.507587198</v>
      </c>
      <c r="D643" s="58">
        <v>1981140.1859200001</v>
      </c>
      <c r="E643" s="51" t="str">
        <f t="shared" si="10"/>
        <v>2020 q4</v>
      </c>
      <c r="I643" s="59"/>
    </row>
    <row r="644" spans="2:9" s="51" customFormat="1" ht="19.75" customHeight="1">
      <c r="B644" s="49">
        <v>44157</v>
      </c>
      <c r="C644" s="58">
        <v>18173985.900871199</v>
      </c>
      <c r="D644" s="58">
        <v>1784790.1925600001</v>
      </c>
      <c r="E644" s="51" t="str">
        <f t="shared" si="10"/>
        <v>2020 q4</v>
      </c>
      <c r="I644" s="59"/>
    </row>
    <row r="645" spans="2:9" s="51" customFormat="1" ht="19.75" customHeight="1">
      <c r="B645" s="49">
        <v>44164</v>
      </c>
      <c r="C645" s="58">
        <v>29708786.050448</v>
      </c>
      <c r="D645" s="58">
        <v>3008874.90032</v>
      </c>
      <c r="E645" s="51" t="str">
        <f t="shared" si="10"/>
        <v>2020 q4</v>
      </c>
      <c r="I645" s="59"/>
    </row>
    <row r="646" spans="2:9" s="51" customFormat="1" ht="19.75" customHeight="1">
      <c r="B646" s="49">
        <v>44171</v>
      </c>
      <c r="C646" s="58">
        <v>22877883.235071801</v>
      </c>
      <c r="D646" s="58">
        <v>2223994.7316399999</v>
      </c>
      <c r="E646" s="51" t="str">
        <f t="shared" ref="E646:E709" si="11">YEAR(B646)&amp;" q"&amp;ROUNDUP(MONTH(B646)/3,0)</f>
        <v>2020 q4</v>
      </c>
      <c r="I646" s="59"/>
    </row>
    <row r="647" spans="2:9" s="51" customFormat="1" ht="19.75" customHeight="1">
      <c r="B647" s="49">
        <v>44178</v>
      </c>
      <c r="C647" s="58">
        <v>33099074.599206399</v>
      </c>
      <c r="D647" s="58">
        <v>3173082.3753999998</v>
      </c>
      <c r="E647" s="51" t="str">
        <f t="shared" si="11"/>
        <v>2020 q4</v>
      </c>
      <c r="I647" s="59"/>
    </row>
    <row r="648" spans="2:9" s="51" customFormat="1" ht="19.75" customHeight="1">
      <c r="B648" s="49">
        <v>44185</v>
      </c>
      <c r="C648" s="58">
        <v>50504549.173083998</v>
      </c>
      <c r="D648" s="58">
        <v>4976935.9260400003</v>
      </c>
      <c r="E648" s="51" t="str">
        <f t="shared" si="11"/>
        <v>2020 q4</v>
      </c>
      <c r="I648" s="59"/>
    </row>
    <row r="649" spans="2:9" s="51" customFormat="1" ht="19.75" customHeight="1">
      <c r="B649" s="49">
        <v>44192</v>
      </c>
      <c r="C649" s="58">
        <v>59035533.710189201</v>
      </c>
      <c r="D649" s="58">
        <v>5817064.7282400001</v>
      </c>
      <c r="E649" s="51" t="str">
        <f t="shared" si="11"/>
        <v>2020 q4</v>
      </c>
      <c r="I649" s="59"/>
    </row>
    <row r="650" spans="2:9" s="51" customFormat="1" ht="19.75" customHeight="1">
      <c r="B650" s="49">
        <v>44199</v>
      </c>
      <c r="C650" s="58">
        <v>63353239.0990206</v>
      </c>
      <c r="D650" s="58">
        <v>6202633.6208250001</v>
      </c>
      <c r="E650" s="51" t="str">
        <f t="shared" si="11"/>
        <v>2021 q1</v>
      </c>
      <c r="I650" s="59"/>
    </row>
    <row r="651" spans="2:9" s="51" customFormat="1" ht="19.75" customHeight="1">
      <c r="B651" s="49">
        <v>44206</v>
      </c>
      <c r="C651" s="58">
        <v>6691692.3298000004</v>
      </c>
      <c r="D651" s="58">
        <v>658177.87</v>
      </c>
      <c r="E651" s="51" t="str">
        <f t="shared" si="11"/>
        <v>2021 q1</v>
      </c>
      <c r="I651" s="59"/>
    </row>
    <row r="652" spans="2:9" s="51" customFormat="1" ht="19.75" customHeight="1">
      <c r="B652" s="49">
        <v>44213</v>
      </c>
      <c r="C652" s="58">
        <v>48625955.078669801</v>
      </c>
      <c r="D652" s="58">
        <v>4782852.1698399996</v>
      </c>
      <c r="E652" s="51" t="str">
        <f t="shared" si="11"/>
        <v>2021 q1</v>
      </c>
      <c r="I652" s="59"/>
    </row>
    <row r="653" spans="2:9" s="51" customFormat="1" ht="19.75" customHeight="1">
      <c r="B653" s="49">
        <v>44220</v>
      </c>
      <c r="C653" s="58">
        <v>40397567.964510404</v>
      </c>
      <c r="D653" s="58">
        <v>4095833.99664</v>
      </c>
      <c r="E653" s="51" t="str">
        <f t="shared" si="11"/>
        <v>2021 q1</v>
      </c>
      <c r="I653" s="59"/>
    </row>
    <row r="654" spans="2:9" s="51" customFormat="1" ht="19.75" customHeight="1">
      <c r="B654" s="49">
        <v>44227</v>
      </c>
      <c r="C654" s="58">
        <v>27680380.3784125</v>
      </c>
      <c r="D654" s="58">
        <v>2741558.4395499998</v>
      </c>
      <c r="E654" s="51" t="str">
        <f t="shared" si="11"/>
        <v>2021 q1</v>
      </c>
      <c r="I654" s="59"/>
    </row>
    <row r="655" spans="2:9" s="51" customFormat="1" ht="19.75" customHeight="1">
      <c r="B655" s="49">
        <v>44234</v>
      </c>
      <c r="C655" s="58">
        <v>42904297.126352802</v>
      </c>
      <c r="D655" s="58">
        <v>4230514.1749200001</v>
      </c>
      <c r="E655" s="51" t="str">
        <f t="shared" si="11"/>
        <v>2021 q1</v>
      </c>
      <c r="I655" s="59"/>
    </row>
    <row r="656" spans="2:9" s="51" customFormat="1" ht="19.75" customHeight="1">
      <c r="B656" s="49">
        <v>44241</v>
      </c>
      <c r="C656" s="58">
        <v>45017203.686874397</v>
      </c>
      <c r="D656" s="58">
        <v>4405306.5667199995</v>
      </c>
      <c r="E656" s="51" t="str">
        <f t="shared" si="11"/>
        <v>2021 q1</v>
      </c>
      <c r="I656" s="59"/>
    </row>
    <row r="657" spans="2:9" s="51" customFormat="1" ht="19.75" customHeight="1">
      <c r="B657" s="49">
        <v>44248</v>
      </c>
      <c r="C657" s="58">
        <v>44358116.191334397</v>
      </c>
      <c r="D657" s="58">
        <v>4401886.93236</v>
      </c>
      <c r="E657" s="51" t="str">
        <f t="shared" si="11"/>
        <v>2021 q1</v>
      </c>
      <c r="I657" s="59"/>
    </row>
    <row r="658" spans="2:9" s="51" customFormat="1" ht="19.75" customHeight="1">
      <c r="B658" s="49">
        <v>44255</v>
      </c>
      <c r="C658" s="58">
        <v>43376068.076188803</v>
      </c>
      <c r="D658" s="58">
        <v>4222782.3589000003</v>
      </c>
      <c r="E658" s="51" t="str">
        <f t="shared" si="11"/>
        <v>2021 q1</v>
      </c>
      <c r="I658" s="59"/>
    </row>
    <row r="659" spans="2:9" s="51" customFormat="1" ht="19.75" customHeight="1">
      <c r="B659" s="49">
        <v>44262</v>
      </c>
      <c r="C659" s="58">
        <v>39496574.7393016</v>
      </c>
      <c r="D659" s="58">
        <v>3868004.5163199999</v>
      </c>
      <c r="E659" s="51" t="str">
        <f t="shared" si="11"/>
        <v>2021 q1</v>
      </c>
      <c r="I659" s="59"/>
    </row>
    <row r="660" spans="2:9" s="51" customFormat="1" ht="19.75" customHeight="1">
      <c r="B660" s="49">
        <v>44269</v>
      </c>
      <c r="C660" s="58">
        <v>30737545.051449999</v>
      </c>
      <c r="D660" s="58">
        <v>2942520.2116999999</v>
      </c>
      <c r="E660" s="51" t="str">
        <f t="shared" si="11"/>
        <v>2021 q1</v>
      </c>
      <c r="I660" s="59"/>
    </row>
    <row r="661" spans="2:9" s="51" customFormat="1" ht="19.75" customHeight="1">
      <c r="B661" s="49">
        <v>44276</v>
      </c>
      <c r="C661" s="58">
        <v>41819663.873387203</v>
      </c>
      <c r="D661" s="58">
        <v>3959743.1940000001</v>
      </c>
      <c r="E661" s="51" t="str">
        <f t="shared" si="11"/>
        <v>2021 q1</v>
      </c>
      <c r="I661" s="59"/>
    </row>
    <row r="662" spans="2:9" s="51" customFormat="1" ht="19.75" customHeight="1">
      <c r="B662" s="49">
        <v>44283</v>
      </c>
      <c r="C662" s="58">
        <v>49135548.696889997</v>
      </c>
      <c r="D662" s="58">
        <v>4665944.8110400001</v>
      </c>
      <c r="E662" s="51" t="str">
        <f t="shared" si="11"/>
        <v>2021 q1</v>
      </c>
      <c r="I662" s="59"/>
    </row>
    <row r="663" spans="2:9" s="51" customFormat="1" ht="19.75" customHeight="1">
      <c r="B663" s="49">
        <v>44290</v>
      </c>
      <c r="C663" s="58">
        <v>64818604.613947198</v>
      </c>
      <c r="D663" s="58">
        <v>6283417.7514000004</v>
      </c>
      <c r="E663" s="51" t="str">
        <f t="shared" si="11"/>
        <v>2021 q2</v>
      </c>
      <c r="I663" s="59"/>
    </row>
    <row r="664" spans="2:9" s="51" customFormat="1" ht="19.75" customHeight="1">
      <c r="B664" s="49">
        <v>44297</v>
      </c>
      <c r="C664" s="58">
        <v>47440887.467714399</v>
      </c>
      <c r="D664" s="58">
        <v>4702836.34504</v>
      </c>
      <c r="E664" s="51" t="str">
        <f t="shared" si="11"/>
        <v>2021 q2</v>
      </c>
      <c r="I664" s="59"/>
    </row>
    <row r="665" spans="2:9" s="51" customFormat="1" ht="19.75" customHeight="1">
      <c r="B665" s="49">
        <v>44304</v>
      </c>
      <c r="C665" s="58">
        <v>66186881.056558996</v>
      </c>
      <c r="D665" s="58">
        <v>6430434.9771800004</v>
      </c>
      <c r="E665" s="51" t="str">
        <f t="shared" si="11"/>
        <v>2021 q2</v>
      </c>
      <c r="I665" s="59"/>
    </row>
    <row r="666" spans="2:9" s="51" customFormat="1" ht="19.75" customHeight="1">
      <c r="B666" s="49">
        <v>44311</v>
      </c>
      <c r="C666" s="58">
        <v>47951811.593538798</v>
      </c>
      <c r="D666" s="58">
        <v>4579172.2317199996</v>
      </c>
      <c r="E666" s="51" t="str">
        <f t="shared" si="11"/>
        <v>2021 q2</v>
      </c>
      <c r="I666" s="59"/>
    </row>
    <row r="667" spans="2:9" s="51" customFormat="1" ht="19.75" customHeight="1">
      <c r="B667" s="49">
        <v>44318</v>
      </c>
      <c r="C667" s="58">
        <v>55276589.486175001</v>
      </c>
      <c r="D667" s="58">
        <v>5396249.4213800002</v>
      </c>
      <c r="E667" s="51" t="str">
        <f t="shared" si="11"/>
        <v>2021 q2</v>
      </c>
      <c r="I667" s="59"/>
    </row>
    <row r="668" spans="2:9" s="51" customFormat="1" ht="19.75" customHeight="1">
      <c r="B668" s="49">
        <v>44325</v>
      </c>
      <c r="C668" s="58">
        <v>42611148.5267336</v>
      </c>
      <c r="D668" s="58">
        <v>3980339.2288000002</v>
      </c>
      <c r="E668" s="51" t="str">
        <f t="shared" si="11"/>
        <v>2021 q2</v>
      </c>
      <c r="I668" s="59"/>
    </row>
    <row r="669" spans="2:9" s="51" customFormat="1" ht="19.75" customHeight="1">
      <c r="B669" s="49">
        <v>44332</v>
      </c>
      <c r="C669" s="58">
        <v>55696944.315315202</v>
      </c>
      <c r="D669" s="58">
        <v>5234552.2234399999</v>
      </c>
      <c r="E669" s="51" t="str">
        <f t="shared" si="11"/>
        <v>2021 q2</v>
      </c>
      <c r="I669" s="59"/>
    </row>
    <row r="670" spans="2:9" s="51" customFormat="1" ht="19.75" customHeight="1">
      <c r="B670" s="49">
        <v>44339</v>
      </c>
      <c r="C670" s="58">
        <v>50188519.720348403</v>
      </c>
      <c r="D670" s="58">
        <v>4716681.2907999996</v>
      </c>
      <c r="E670" s="51" t="str">
        <f t="shared" si="11"/>
        <v>2021 q2</v>
      </c>
      <c r="I670" s="59"/>
    </row>
    <row r="671" spans="2:9" s="51" customFormat="1" ht="19.75" customHeight="1">
      <c r="B671" s="49">
        <v>44346</v>
      </c>
      <c r="C671" s="58">
        <v>42750731.738737501</v>
      </c>
      <c r="D671" s="58">
        <v>3963533.907075</v>
      </c>
      <c r="E671" s="51" t="str">
        <f t="shared" si="11"/>
        <v>2021 q2</v>
      </c>
      <c r="I671" s="59"/>
    </row>
    <row r="672" spans="2:9" s="51" customFormat="1" ht="19.75" customHeight="1">
      <c r="B672" s="49">
        <v>44353</v>
      </c>
      <c r="C672" s="58">
        <v>48307415.112355001</v>
      </c>
      <c r="D672" s="58">
        <v>4509798.3565600002</v>
      </c>
      <c r="E672" s="51" t="str">
        <f t="shared" si="11"/>
        <v>2021 q2</v>
      </c>
      <c r="I672" s="59"/>
    </row>
    <row r="673" spans="2:9" s="51" customFormat="1" ht="19.75" customHeight="1">
      <c r="B673" s="49">
        <v>44360</v>
      </c>
      <c r="C673" s="58">
        <v>57955205.837591998</v>
      </c>
      <c r="D673" s="58">
        <v>5523870.0875199996</v>
      </c>
      <c r="E673" s="51" t="str">
        <f t="shared" si="11"/>
        <v>2021 q2</v>
      </c>
      <c r="I673" s="59"/>
    </row>
    <row r="674" spans="2:9" s="51" customFormat="1" ht="19.75" customHeight="1">
      <c r="B674" s="49">
        <v>44367</v>
      </c>
      <c r="C674" s="58">
        <v>49181705.406839997</v>
      </c>
      <c r="D674" s="58">
        <v>4904424.7544400003</v>
      </c>
      <c r="E674" s="51" t="str">
        <f t="shared" si="11"/>
        <v>2021 q2</v>
      </c>
      <c r="I674" s="59"/>
    </row>
    <row r="675" spans="2:9" s="51" customFormat="1" ht="19.75" customHeight="1">
      <c r="B675" s="49">
        <v>44374</v>
      </c>
      <c r="C675" s="58">
        <v>53260290.693580203</v>
      </c>
      <c r="D675" s="58">
        <v>5047597.7782399999</v>
      </c>
      <c r="E675" s="51" t="str">
        <f t="shared" si="11"/>
        <v>2021 q2</v>
      </c>
      <c r="I675" s="59"/>
    </row>
    <row r="676" spans="2:9" s="51" customFormat="1" ht="19.75" customHeight="1">
      <c r="B676" s="49">
        <v>44381</v>
      </c>
      <c r="C676" s="58">
        <v>47720280.389252603</v>
      </c>
      <c r="D676" s="58">
        <v>4654060.0148</v>
      </c>
      <c r="E676" s="51" t="str">
        <f t="shared" si="11"/>
        <v>2021 q3</v>
      </c>
      <c r="I676" s="59"/>
    </row>
    <row r="677" spans="2:9" s="51" customFormat="1" ht="19.75" customHeight="1">
      <c r="B677" s="49">
        <v>44388</v>
      </c>
      <c r="C677" s="58">
        <v>30162904.5390375</v>
      </c>
      <c r="D677" s="58">
        <v>2877419.9593750001</v>
      </c>
      <c r="E677" s="51" t="str">
        <f t="shared" si="11"/>
        <v>2021 q3</v>
      </c>
      <c r="I677" s="59"/>
    </row>
    <row r="678" spans="2:9" s="51" customFormat="1" ht="19.75" customHeight="1">
      <c r="B678" s="49">
        <v>44395</v>
      </c>
      <c r="C678" s="58">
        <v>45135444.480132401</v>
      </c>
      <c r="D678" s="58">
        <v>4246273.73288</v>
      </c>
      <c r="E678" s="51" t="str">
        <f t="shared" si="11"/>
        <v>2021 q3</v>
      </c>
      <c r="I678" s="59"/>
    </row>
    <row r="679" spans="2:9" s="51" customFormat="1" ht="19.75" customHeight="1">
      <c r="B679" s="49">
        <v>44402</v>
      </c>
      <c r="C679" s="58">
        <v>46303000.809426203</v>
      </c>
      <c r="D679" s="58">
        <v>4512848.1488399999</v>
      </c>
      <c r="E679" s="51" t="str">
        <f t="shared" si="11"/>
        <v>2021 q3</v>
      </c>
      <c r="I679" s="59"/>
    </row>
    <row r="680" spans="2:9" s="51" customFormat="1" ht="19.75" customHeight="1">
      <c r="B680" s="49">
        <v>44409</v>
      </c>
      <c r="C680" s="58">
        <v>59254464.789662398</v>
      </c>
      <c r="D680" s="58">
        <v>5448411.9782400001</v>
      </c>
      <c r="E680" s="51" t="str">
        <f t="shared" si="11"/>
        <v>2021 q3</v>
      </c>
      <c r="I680" s="59"/>
    </row>
    <row r="681" spans="2:9" s="51" customFormat="1" ht="19.75" customHeight="1">
      <c r="B681" s="49">
        <v>44416</v>
      </c>
      <c r="C681" s="58">
        <v>33826025.546404801</v>
      </c>
      <c r="D681" s="58">
        <v>3280264.5077800001</v>
      </c>
      <c r="E681" s="51" t="str">
        <f t="shared" si="11"/>
        <v>2021 q3</v>
      </c>
      <c r="I681" s="59"/>
    </row>
    <row r="682" spans="2:9" s="51" customFormat="1" ht="19.75" customHeight="1">
      <c r="B682" s="49">
        <v>44423</v>
      </c>
      <c r="C682" s="58">
        <v>43605512.154084399</v>
      </c>
      <c r="D682" s="58">
        <v>4149395.6496600001</v>
      </c>
      <c r="E682" s="51" t="str">
        <f t="shared" si="11"/>
        <v>2021 q3</v>
      </c>
      <c r="I682" s="59"/>
    </row>
    <row r="683" spans="2:9" s="51" customFormat="1" ht="19.75" customHeight="1">
      <c r="B683" s="49">
        <v>44430</v>
      </c>
      <c r="C683" s="58">
        <v>69671849.131107405</v>
      </c>
      <c r="D683" s="58">
        <v>6998494.05492</v>
      </c>
      <c r="E683" s="51" t="str">
        <f t="shared" si="11"/>
        <v>2021 q3</v>
      </c>
      <c r="I683" s="59"/>
    </row>
    <row r="684" spans="2:9" s="51" customFormat="1" ht="19.75" customHeight="1">
      <c r="B684" s="49">
        <v>44437</v>
      </c>
      <c r="C684" s="58">
        <v>54307700.393420003</v>
      </c>
      <c r="D684" s="58">
        <v>5000891.6578200003</v>
      </c>
      <c r="E684" s="51" t="str">
        <f t="shared" si="11"/>
        <v>2021 q3</v>
      </c>
      <c r="I684" s="59"/>
    </row>
    <row r="685" spans="2:9" s="51" customFormat="1" ht="19.75" customHeight="1">
      <c r="B685" s="49">
        <v>44444</v>
      </c>
      <c r="C685" s="58">
        <v>57617269.137280002</v>
      </c>
      <c r="D685" s="58">
        <v>5425603.5114000002</v>
      </c>
      <c r="E685" s="51" t="str">
        <f t="shared" si="11"/>
        <v>2021 q3</v>
      </c>
      <c r="I685" s="59"/>
    </row>
    <row r="686" spans="2:9" s="51" customFormat="1" ht="19.75" customHeight="1">
      <c r="B686" s="49">
        <v>44451</v>
      </c>
      <c r="C686" s="58">
        <v>47026798.512599602</v>
      </c>
      <c r="D686" s="58">
        <v>4435253.8897200003</v>
      </c>
      <c r="E686" s="51" t="str">
        <f t="shared" si="11"/>
        <v>2021 q3</v>
      </c>
      <c r="I686" s="59"/>
    </row>
    <row r="687" spans="2:9" s="51" customFormat="1" ht="19.75" customHeight="1">
      <c r="B687" s="49">
        <v>44458</v>
      </c>
      <c r="C687" s="58">
        <v>48335386.764836803</v>
      </c>
      <c r="D687" s="58">
        <v>4584282.6873399997</v>
      </c>
      <c r="E687" s="51" t="str">
        <f t="shared" si="11"/>
        <v>2021 q3</v>
      </c>
      <c r="I687" s="59"/>
    </row>
    <row r="688" spans="2:9" s="51" customFormat="1" ht="19.75" customHeight="1">
      <c r="B688" s="49">
        <v>44465</v>
      </c>
      <c r="C688" s="58">
        <v>42586260.298367999</v>
      </c>
      <c r="D688" s="58">
        <v>4104617.7036000001</v>
      </c>
      <c r="E688" s="51" t="str">
        <f t="shared" si="11"/>
        <v>2021 q3</v>
      </c>
      <c r="I688" s="59"/>
    </row>
    <row r="689" spans="2:9" s="51" customFormat="1" ht="19.75" customHeight="1">
      <c r="B689" s="49">
        <v>44472</v>
      </c>
      <c r="C689" s="58">
        <v>68818214.622486994</v>
      </c>
      <c r="D689" s="58">
        <v>6598352.91316</v>
      </c>
      <c r="E689" s="51" t="str">
        <f t="shared" si="11"/>
        <v>2021 q4</v>
      </c>
      <c r="I689" s="59"/>
    </row>
    <row r="690" spans="2:9" s="51" customFormat="1" ht="19.75" customHeight="1">
      <c r="B690" s="49">
        <v>44479</v>
      </c>
      <c r="C690" s="58">
        <v>50771455.209218599</v>
      </c>
      <c r="D690" s="58">
        <v>4884888.3870000001</v>
      </c>
      <c r="E690" s="51" t="str">
        <f t="shared" si="11"/>
        <v>2021 q4</v>
      </c>
      <c r="I690" s="59"/>
    </row>
    <row r="691" spans="2:9" s="51" customFormat="1" ht="19.75" customHeight="1">
      <c r="B691" s="49">
        <v>44486</v>
      </c>
      <c r="C691" s="58">
        <v>56977526.919160001</v>
      </c>
      <c r="D691" s="58">
        <v>5352480.1643000003</v>
      </c>
      <c r="E691" s="51" t="str">
        <f t="shared" si="11"/>
        <v>2021 q4</v>
      </c>
      <c r="I691" s="59"/>
    </row>
    <row r="692" spans="2:9" s="51" customFormat="1" ht="19.75" customHeight="1">
      <c r="B692" s="49">
        <v>44493</v>
      </c>
      <c r="C692" s="58">
        <v>63415410.870851196</v>
      </c>
      <c r="D692" s="58">
        <v>5978067.61534</v>
      </c>
      <c r="E692" s="51" t="str">
        <f t="shared" si="11"/>
        <v>2021 q4</v>
      </c>
      <c r="I692" s="59"/>
    </row>
    <row r="693" spans="2:9" s="51" customFormat="1" ht="19.75" customHeight="1">
      <c r="B693" s="49">
        <v>44500</v>
      </c>
      <c r="C693" s="58">
        <v>78918621.161414996</v>
      </c>
      <c r="D693" s="58">
        <v>7310960.5817200001</v>
      </c>
      <c r="E693" s="51" t="str">
        <f t="shared" si="11"/>
        <v>2021 q4</v>
      </c>
      <c r="I693" s="59"/>
    </row>
    <row r="694" spans="2:9" s="51" customFormat="1" ht="19.75" customHeight="1">
      <c r="B694" s="49">
        <v>44507</v>
      </c>
      <c r="C694" s="58">
        <v>56645171.562793598</v>
      </c>
      <c r="D694" s="58">
        <v>5513152.0467600003</v>
      </c>
      <c r="E694" s="51" t="str">
        <f t="shared" si="11"/>
        <v>2021 q4</v>
      </c>
      <c r="I694" s="59"/>
    </row>
    <row r="695" spans="2:9" s="51" customFormat="1" ht="19.75" customHeight="1">
      <c r="B695" s="49">
        <v>44514</v>
      </c>
      <c r="C695" s="58">
        <v>67546766.5633232</v>
      </c>
      <c r="D695" s="58">
        <v>6525492.2365600001</v>
      </c>
      <c r="E695" s="51" t="str">
        <f t="shared" si="11"/>
        <v>2021 q4</v>
      </c>
      <c r="I695" s="59"/>
    </row>
    <row r="696" spans="2:9" s="51" customFormat="1" ht="19.75" customHeight="1">
      <c r="B696" s="49">
        <v>44521</v>
      </c>
      <c r="C696" s="58">
        <v>71125165.925643206</v>
      </c>
      <c r="D696" s="58">
        <v>6827095.6325599998</v>
      </c>
      <c r="E696" s="51" t="str">
        <f t="shared" si="11"/>
        <v>2021 q4</v>
      </c>
      <c r="I696" s="59"/>
    </row>
    <row r="697" spans="2:9" s="51" customFormat="1" ht="19.75" customHeight="1">
      <c r="B697" s="49">
        <v>44528</v>
      </c>
      <c r="C697" s="58">
        <v>76710082.507367596</v>
      </c>
      <c r="D697" s="58">
        <v>7809281.2421399998</v>
      </c>
      <c r="E697" s="51" t="str">
        <f t="shared" si="11"/>
        <v>2021 q4</v>
      </c>
      <c r="I697" s="59"/>
    </row>
    <row r="698" spans="2:9" s="51" customFormat="1" ht="19.75" customHeight="1">
      <c r="B698" s="49">
        <v>44535</v>
      </c>
      <c r="C698" s="58">
        <v>82885937.986483604</v>
      </c>
      <c r="D698" s="58">
        <v>7987043.1439399999</v>
      </c>
      <c r="E698" s="51" t="str">
        <f t="shared" si="11"/>
        <v>2021 q4</v>
      </c>
      <c r="I698" s="59"/>
    </row>
    <row r="699" spans="2:9" s="51" customFormat="1" ht="19.75" customHeight="1">
      <c r="B699" s="49">
        <v>44542</v>
      </c>
      <c r="C699" s="58">
        <v>60957241.199292198</v>
      </c>
      <c r="D699" s="58">
        <v>5872382.0904400004</v>
      </c>
      <c r="E699" s="51" t="str">
        <f t="shared" si="11"/>
        <v>2021 q4</v>
      </c>
      <c r="I699" s="59"/>
    </row>
    <row r="700" spans="2:9" s="51" customFormat="1" ht="19.75" customHeight="1">
      <c r="B700" s="49">
        <v>44549</v>
      </c>
      <c r="C700" s="58">
        <v>75608317.912379801</v>
      </c>
      <c r="D700" s="58">
        <v>7217997.2432399997</v>
      </c>
      <c r="E700" s="51" t="str">
        <f t="shared" si="11"/>
        <v>2021 q4</v>
      </c>
      <c r="I700" s="59"/>
    </row>
    <row r="701" spans="2:9" s="51" customFormat="1" ht="19.75" customHeight="1">
      <c r="B701" s="49">
        <v>44556</v>
      </c>
      <c r="C701" s="58">
        <v>91431127.358177006</v>
      </c>
      <c r="D701" s="58">
        <v>8879957.1439999994</v>
      </c>
      <c r="E701" s="51" t="str">
        <f t="shared" si="11"/>
        <v>2021 q4</v>
      </c>
      <c r="I701" s="59"/>
    </row>
    <row r="702" spans="2:9" s="51" customFormat="1" ht="19.75" customHeight="1">
      <c r="B702" s="49">
        <v>44563</v>
      </c>
      <c r="C702" s="58">
        <v>113733627.66954499</v>
      </c>
      <c r="D702" s="58">
        <v>10974667.0768</v>
      </c>
      <c r="E702" s="51" t="str">
        <f t="shared" si="11"/>
        <v>2022 q1</v>
      </c>
      <c r="I702" s="59"/>
    </row>
    <row r="703" spans="2:9" s="51" customFormat="1" ht="19.75" customHeight="1">
      <c r="B703" s="49">
        <v>44570</v>
      </c>
      <c r="C703" s="58">
        <v>29812317.092</v>
      </c>
      <c r="D703" s="58">
        <v>2831455.1228</v>
      </c>
      <c r="E703" s="51" t="str">
        <f t="shared" si="11"/>
        <v>2022 q1</v>
      </c>
      <c r="I703" s="59"/>
    </row>
    <row r="704" spans="2:9" s="51" customFormat="1" ht="19.75" customHeight="1">
      <c r="B704" s="49">
        <v>44577</v>
      </c>
      <c r="C704" s="58">
        <v>36685769.201747999</v>
      </c>
      <c r="D704" s="58">
        <v>3398589.0491999998</v>
      </c>
      <c r="E704" s="51" t="str">
        <f t="shared" si="11"/>
        <v>2022 q1</v>
      </c>
      <c r="I704" s="59"/>
    </row>
    <row r="705" spans="2:9" s="51" customFormat="1" ht="19.75" customHeight="1">
      <c r="B705" s="49">
        <v>44584</v>
      </c>
      <c r="C705" s="58">
        <v>40298585.091112003</v>
      </c>
      <c r="D705" s="58">
        <v>3777661.6139199999</v>
      </c>
      <c r="E705" s="51" t="str">
        <f t="shared" si="11"/>
        <v>2022 q1</v>
      </c>
      <c r="I705" s="59"/>
    </row>
    <row r="706" spans="2:9" s="51" customFormat="1" ht="19.75" customHeight="1">
      <c r="B706" s="49">
        <v>44591</v>
      </c>
      <c r="C706" s="58">
        <v>36240377.114210002</v>
      </c>
      <c r="D706" s="58">
        <v>3481889.6573999999</v>
      </c>
      <c r="E706" s="51" t="str">
        <f t="shared" si="11"/>
        <v>2022 q1</v>
      </c>
      <c r="I706" s="59"/>
    </row>
    <row r="707" spans="2:9" s="51" customFormat="1" ht="19.75" customHeight="1">
      <c r="B707" s="49">
        <v>44598</v>
      </c>
      <c r="C707" s="58">
        <v>50006153.754864402</v>
      </c>
      <c r="D707" s="58">
        <v>4789280.5457600001</v>
      </c>
      <c r="E707" s="51" t="str">
        <f t="shared" si="11"/>
        <v>2022 q1</v>
      </c>
      <c r="I707" s="59"/>
    </row>
    <row r="708" spans="2:9" s="51" customFormat="1" ht="19.75" customHeight="1">
      <c r="B708" s="49">
        <v>44605</v>
      </c>
      <c r="C708" s="58">
        <v>39433649.6019504</v>
      </c>
      <c r="D708" s="58">
        <v>3826071.4612400001</v>
      </c>
      <c r="E708" s="51" t="str">
        <f t="shared" si="11"/>
        <v>2022 q1</v>
      </c>
      <c r="I708" s="59"/>
    </row>
    <row r="709" spans="2:9" s="51" customFormat="1" ht="19.75" customHeight="1">
      <c r="B709" s="49">
        <v>44612</v>
      </c>
      <c r="C709" s="58">
        <v>53825881.612960599</v>
      </c>
      <c r="D709" s="58">
        <v>4960572.8714600001</v>
      </c>
      <c r="E709" s="51" t="str">
        <f t="shared" si="11"/>
        <v>2022 q1</v>
      </c>
      <c r="I709" s="59"/>
    </row>
    <row r="710" spans="2:9" s="51" customFormat="1" ht="19.75" customHeight="1">
      <c r="B710" s="49">
        <v>44619</v>
      </c>
      <c r="C710" s="58">
        <v>56589664.017561398</v>
      </c>
      <c r="D710" s="58">
        <v>5291302.6549199997</v>
      </c>
      <c r="E710" s="51" t="str">
        <f t="shared" ref="E710:E773" si="12">YEAR(B710)&amp;" q"&amp;ROUNDUP(MONTH(B710)/3,0)</f>
        <v>2022 q1</v>
      </c>
      <c r="I710" s="59"/>
    </row>
    <row r="711" spans="2:9" s="51" customFormat="1" ht="19.75" customHeight="1">
      <c r="B711" s="49">
        <v>44626</v>
      </c>
      <c r="C711" s="58">
        <v>58554234.75451</v>
      </c>
      <c r="D711" s="58">
        <v>5586957.7224000003</v>
      </c>
      <c r="E711" s="51" t="str">
        <f t="shared" si="12"/>
        <v>2022 q1</v>
      </c>
      <c r="I711" s="59"/>
    </row>
    <row r="712" spans="2:9" s="51" customFormat="1" ht="19.75" customHeight="1">
      <c r="B712" s="49">
        <v>44633</v>
      </c>
      <c r="C712" s="58">
        <v>45338081.838097997</v>
      </c>
      <c r="D712" s="58">
        <v>4446034.9230749998</v>
      </c>
      <c r="E712" s="51" t="str">
        <f t="shared" si="12"/>
        <v>2022 q1</v>
      </c>
      <c r="I712" s="59"/>
    </row>
    <row r="713" spans="2:9" s="51" customFormat="1" ht="19.75" customHeight="1">
      <c r="B713" s="49">
        <v>44640</v>
      </c>
      <c r="C713" s="58">
        <v>60074302.944062397</v>
      </c>
      <c r="D713" s="58">
        <v>6132020.7586000003</v>
      </c>
      <c r="E713" s="51" t="str">
        <f t="shared" si="12"/>
        <v>2022 q1</v>
      </c>
      <c r="I713" s="59"/>
    </row>
    <row r="714" spans="2:9" s="51" customFormat="1" ht="19.75" customHeight="1">
      <c r="B714" s="49">
        <v>44647</v>
      </c>
      <c r="C714" s="58">
        <v>63514179.740083799</v>
      </c>
      <c r="D714" s="58">
        <v>6103904.10934</v>
      </c>
      <c r="E714" s="51" t="str">
        <f t="shared" si="12"/>
        <v>2022 q1</v>
      </c>
      <c r="I714" s="59"/>
    </row>
    <row r="715" spans="2:9" s="51" customFormat="1" ht="19.75" customHeight="1">
      <c r="B715" s="49">
        <v>44654</v>
      </c>
      <c r="C715" s="58">
        <v>80857527.883540794</v>
      </c>
      <c r="D715" s="58">
        <v>8479151.4078199994</v>
      </c>
      <c r="E715" s="51" t="str">
        <f t="shared" si="12"/>
        <v>2022 q2</v>
      </c>
      <c r="I715" s="59"/>
    </row>
    <row r="716" spans="2:9" s="51" customFormat="1" ht="19.75" customHeight="1">
      <c r="B716" s="49">
        <v>44661</v>
      </c>
      <c r="C716" s="58">
        <v>51603520.020720199</v>
      </c>
      <c r="D716" s="58">
        <v>4574652.2410599999</v>
      </c>
      <c r="E716" s="51" t="str">
        <f t="shared" si="12"/>
        <v>2022 q2</v>
      </c>
      <c r="I716" s="59"/>
    </row>
    <row r="717" spans="2:9" s="51" customFormat="1" ht="19.75" customHeight="1">
      <c r="B717" s="49">
        <v>44668</v>
      </c>
      <c r="C717" s="58">
        <v>62558614.763706997</v>
      </c>
      <c r="D717" s="58">
        <v>5547205.8065400003</v>
      </c>
      <c r="E717" s="51" t="str">
        <f t="shared" si="12"/>
        <v>2022 q2</v>
      </c>
      <c r="I717" s="59"/>
    </row>
    <row r="718" spans="2:9" s="51" customFormat="1" ht="19.75" customHeight="1">
      <c r="B718" s="49">
        <v>44675</v>
      </c>
      <c r="C718" s="58">
        <v>67082986.835932598</v>
      </c>
      <c r="D718" s="58">
        <v>6200367.6431200001</v>
      </c>
      <c r="E718" s="51" t="str">
        <f t="shared" si="12"/>
        <v>2022 q2</v>
      </c>
      <c r="I718" s="59"/>
    </row>
    <row r="719" spans="2:9" s="51" customFormat="1" ht="19.75" customHeight="1">
      <c r="B719" s="49">
        <v>44682</v>
      </c>
      <c r="C719" s="58">
        <v>71566151.087912396</v>
      </c>
      <c r="D719" s="58">
        <v>6398659.0540199997</v>
      </c>
      <c r="E719" s="51" t="str">
        <f t="shared" si="12"/>
        <v>2022 q2</v>
      </c>
      <c r="I719" s="59"/>
    </row>
    <row r="720" spans="2:9" s="51" customFormat="1" ht="19.75" customHeight="1">
      <c r="B720" s="49">
        <v>44689</v>
      </c>
      <c r="C720" s="58">
        <v>67359334.584734395</v>
      </c>
      <c r="D720" s="58">
        <v>6034389.3468800001</v>
      </c>
      <c r="E720" s="51" t="str">
        <f t="shared" si="12"/>
        <v>2022 q2</v>
      </c>
      <c r="I720" s="59"/>
    </row>
    <row r="721" spans="2:9" s="51" customFormat="1" ht="19.75" customHeight="1">
      <c r="B721" s="49">
        <v>44696</v>
      </c>
      <c r="C721" s="58">
        <v>49808446.391804002</v>
      </c>
      <c r="D721" s="58">
        <v>4511828.09045</v>
      </c>
      <c r="E721" s="51" t="str">
        <f t="shared" si="12"/>
        <v>2022 q2</v>
      </c>
      <c r="I721" s="59"/>
    </row>
    <row r="722" spans="2:9" s="51" customFormat="1" ht="19.75" customHeight="1">
      <c r="B722" s="49">
        <v>44703</v>
      </c>
      <c r="C722" s="58">
        <v>61200206.918446399</v>
      </c>
      <c r="D722" s="58">
        <v>5509230.2638400001</v>
      </c>
      <c r="E722" s="51" t="str">
        <f t="shared" si="12"/>
        <v>2022 q2</v>
      </c>
      <c r="I722" s="59"/>
    </row>
    <row r="723" spans="2:9" s="51" customFormat="1" ht="19.75" customHeight="1">
      <c r="B723" s="49">
        <v>44710</v>
      </c>
      <c r="C723" s="58">
        <v>63840634.868578799</v>
      </c>
      <c r="D723" s="58">
        <v>5841298.9688600004</v>
      </c>
      <c r="E723" s="51" t="str">
        <f t="shared" si="12"/>
        <v>2022 q2</v>
      </c>
      <c r="I723" s="59"/>
    </row>
    <row r="724" spans="2:9" s="51" customFormat="1" ht="19.75" customHeight="1">
      <c r="B724" s="49">
        <v>44717</v>
      </c>
      <c r="C724" s="58">
        <v>64828130.321084</v>
      </c>
      <c r="D724" s="58">
        <v>5727366.2155999998</v>
      </c>
      <c r="E724" s="51" t="str">
        <f t="shared" si="12"/>
        <v>2022 q2</v>
      </c>
      <c r="I724" s="59"/>
    </row>
    <row r="725" spans="2:9" s="51" customFormat="1" ht="19.75" customHeight="1">
      <c r="B725" s="49">
        <v>44724</v>
      </c>
      <c r="C725" s="58">
        <v>59058657.6702592</v>
      </c>
      <c r="D725" s="58">
        <v>5112303.9760800004</v>
      </c>
      <c r="E725" s="51" t="str">
        <f t="shared" si="12"/>
        <v>2022 q2</v>
      </c>
      <c r="I725" s="59"/>
    </row>
    <row r="726" spans="2:9" s="51" customFormat="1" ht="19.75" customHeight="1">
      <c r="B726" s="49">
        <v>44731</v>
      </c>
      <c r="C726" s="58">
        <v>58688087.544498399</v>
      </c>
      <c r="D726" s="58">
        <v>5461018.9851200003</v>
      </c>
      <c r="E726" s="51" t="str">
        <f t="shared" si="12"/>
        <v>2022 q2</v>
      </c>
      <c r="I726" s="59"/>
    </row>
    <row r="727" spans="2:9" s="51" customFormat="1" ht="19.75" customHeight="1">
      <c r="B727" s="49">
        <v>44738</v>
      </c>
      <c r="C727" s="58">
        <v>70823612.459796801</v>
      </c>
      <c r="D727" s="58">
        <v>6076293.2818400003</v>
      </c>
      <c r="E727" s="51" t="str">
        <f t="shared" si="12"/>
        <v>2022 q2</v>
      </c>
      <c r="I727" s="59"/>
    </row>
    <row r="728" spans="2:9" s="51" customFormat="1" ht="19.75" customHeight="1">
      <c r="B728" s="49">
        <v>44745</v>
      </c>
      <c r="C728" s="58">
        <v>83865013.298899993</v>
      </c>
      <c r="D728" s="58">
        <v>7433363.3067399999</v>
      </c>
      <c r="E728" s="51" t="str">
        <f t="shared" si="12"/>
        <v>2022 q3</v>
      </c>
      <c r="I728" s="59"/>
    </row>
    <row r="729" spans="2:9" s="51" customFormat="1" ht="19.75" customHeight="1">
      <c r="B729" s="49">
        <v>44752</v>
      </c>
      <c r="C729" s="58">
        <v>45563326.1809645</v>
      </c>
      <c r="D729" s="58">
        <v>4112217.0197999999</v>
      </c>
      <c r="E729" s="51" t="str">
        <f t="shared" si="12"/>
        <v>2022 q3</v>
      </c>
      <c r="I729" s="59"/>
    </row>
    <row r="730" spans="2:9" s="51" customFormat="1" ht="19.75" customHeight="1">
      <c r="B730" s="49">
        <v>44759</v>
      </c>
      <c r="C730" s="58">
        <v>69374481.692148805</v>
      </c>
      <c r="D730" s="58">
        <v>6108782.7582799997</v>
      </c>
      <c r="E730" s="51" t="str">
        <f t="shared" si="12"/>
        <v>2022 q3</v>
      </c>
      <c r="I730" s="59"/>
    </row>
    <row r="731" spans="2:9" s="51" customFormat="1" ht="19.75" customHeight="1">
      <c r="B731" s="49">
        <v>44766</v>
      </c>
      <c r="C731" s="58">
        <v>76403251.212084398</v>
      </c>
      <c r="D731" s="58">
        <v>6645060.5515599996</v>
      </c>
      <c r="E731" s="51" t="str">
        <f t="shared" si="12"/>
        <v>2022 q3</v>
      </c>
      <c r="I731" s="59"/>
    </row>
    <row r="732" spans="2:9" s="51" customFormat="1" ht="19.75" customHeight="1">
      <c r="B732" s="49">
        <v>44773</v>
      </c>
      <c r="C732" s="58">
        <v>74780905.795460001</v>
      </c>
      <c r="D732" s="58">
        <v>6541792.61094</v>
      </c>
      <c r="E732" s="51" t="str">
        <f t="shared" si="12"/>
        <v>2022 q3</v>
      </c>
      <c r="I732" s="59"/>
    </row>
    <row r="733" spans="2:9" s="51" customFormat="1" ht="19.75" customHeight="1">
      <c r="B733" s="49">
        <v>44780</v>
      </c>
      <c r="C733" s="58">
        <v>70996866.341103196</v>
      </c>
      <c r="D733" s="58">
        <v>6158760.2338399999</v>
      </c>
      <c r="E733" s="51" t="str">
        <f t="shared" si="12"/>
        <v>2022 q3</v>
      </c>
      <c r="I733" s="59"/>
    </row>
    <row r="734" spans="2:9" s="51" customFormat="1" ht="19.75" customHeight="1">
      <c r="B734" s="49">
        <v>44787</v>
      </c>
      <c r="C734" s="58">
        <v>71952124.643576801</v>
      </c>
      <c r="D734" s="58">
        <v>6396319.2759999996</v>
      </c>
      <c r="E734" s="51" t="str">
        <f t="shared" si="12"/>
        <v>2022 q3</v>
      </c>
      <c r="I734" s="59"/>
    </row>
    <row r="735" spans="2:9" s="51" customFormat="1" ht="19.75" customHeight="1">
      <c r="B735" s="49">
        <v>44794</v>
      </c>
      <c r="C735" s="58">
        <v>72026268.187455803</v>
      </c>
      <c r="D735" s="58">
        <v>6164950.5818800004</v>
      </c>
      <c r="E735" s="51" t="str">
        <f t="shared" si="12"/>
        <v>2022 q3</v>
      </c>
      <c r="I735" s="59"/>
    </row>
    <row r="736" spans="2:9" s="51" customFormat="1" ht="19.75" customHeight="1">
      <c r="B736" s="49">
        <v>44801</v>
      </c>
      <c r="C736" s="58">
        <v>62727273.919448398</v>
      </c>
      <c r="D736" s="58">
        <v>5430169.7263799999</v>
      </c>
      <c r="E736" s="51" t="str">
        <f t="shared" si="12"/>
        <v>2022 q3</v>
      </c>
      <c r="I736" s="59"/>
    </row>
    <row r="737" spans="2:9" s="51" customFormat="1" ht="19.75" customHeight="1">
      <c r="B737" s="49">
        <v>44808</v>
      </c>
      <c r="C737" s="58">
        <v>91985284.936588794</v>
      </c>
      <c r="D737" s="58">
        <v>8024249.7899200004</v>
      </c>
      <c r="E737" s="51" t="str">
        <f t="shared" si="12"/>
        <v>2022 q3</v>
      </c>
      <c r="I737" s="59"/>
    </row>
    <row r="738" spans="2:9" s="51" customFormat="1" ht="19.75" customHeight="1">
      <c r="B738" s="49">
        <v>44815</v>
      </c>
      <c r="C738" s="58">
        <v>55110038.808137402</v>
      </c>
      <c r="D738" s="58">
        <v>4847481.4030400002</v>
      </c>
      <c r="E738" s="51" t="str">
        <f t="shared" si="12"/>
        <v>2022 q3</v>
      </c>
      <c r="I738" s="59"/>
    </row>
    <row r="739" spans="2:9" s="51" customFormat="1" ht="19.75" customHeight="1">
      <c r="B739" s="49">
        <v>44822</v>
      </c>
      <c r="C739" s="58">
        <v>68944542.844129995</v>
      </c>
      <c r="D739" s="58">
        <v>5902131.2084400002</v>
      </c>
      <c r="E739" s="51" t="str">
        <f t="shared" si="12"/>
        <v>2022 q3</v>
      </c>
      <c r="I739" s="59"/>
    </row>
    <row r="740" spans="2:9" s="51" customFormat="1" ht="19.75" customHeight="1">
      <c r="B740" s="49">
        <v>44829</v>
      </c>
      <c r="C740" s="58">
        <v>51936119.961358003</v>
      </c>
      <c r="D740" s="58">
        <v>4441394.4619000005</v>
      </c>
      <c r="E740" s="51" t="str">
        <f t="shared" si="12"/>
        <v>2022 q3</v>
      </c>
      <c r="I740" s="59"/>
    </row>
    <row r="741" spans="2:9" s="51" customFormat="1" ht="19.75" customHeight="1">
      <c r="B741" s="49">
        <v>44836</v>
      </c>
      <c r="C741" s="58">
        <v>95898165.022049993</v>
      </c>
      <c r="D741" s="58">
        <v>8482872.6500000004</v>
      </c>
      <c r="E741" s="51" t="str">
        <f t="shared" si="12"/>
        <v>2022 q4</v>
      </c>
      <c r="I741" s="59"/>
    </row>
    <row r="742" spans="2:9" s="51" customFormat="1" ht="19.75" customHeight="1">
      <c r="B742" s="49">
        <v>44843</v>
      </c>
      <c r="C742" s="58">
        <v>59196389.917323001</v>
      </c>
      <c r="D742" s="58">
        <v>5245821.2398800002</v>
      </c>
      <c r="E742" s="51" t="str">
        <f t="shared" si="12"/>
        <v>2022 q4</v>
      </c>
      <c r="I742" s="59"/>
    </row>
    <row r="743" spans="2:9" s="51" customFormat="1" ht="19.75" customHeight="1">
      <c r="B743" s="49">
        <v>44850</v>
      </c>
      <c r="C743" s="58">
        <v>69005333.994680002</v>
      </c>
      <c r="D743" s="58">
        <v>6025092.7064399999</v>
      </c>
      <c r="E743" s="51" t="str">
        <f t="shared" si="12"/>
        <v>2022 q4</v>
      </c>
      <c r="I743" s="59"/>
    </row>
    <row r="744" spans="2:9" s="51" customFormat="1" ht="19.75" customHeight="1">
      <c r="B744" s="49">
        <v>44857</v>
      </c>
      <c r="C744" s="58">
        <v>74618112.359219998</v>
      </c>
      <c r="D744" s="58">
        <v>6864028.3688000003</v>
      </c>
      <c r="E744" s="51" t="str">
        <f t="shared" si="12"/>
        <v>2022 q4</v>
      </c>
      <c r="I744" s="59"/>
    </row>
    <row r="745" spans="2:9" s="51" customFormat="1" ht="19.75" customHeight="1">
      <c r="B745" s="49">
        <v>44864</v>
      </c>
      <c r="C745" s="58">
        <v>87447061.172120005</v>
      </c>
      <c r="D745" s="58">
        <v>7685063.6514999997</v>
      </c>
      <c r="E745" s="51" t="str">
        <f t="shared" si="12"/>
        <v>2022 q4</v>
      </c>
      <c r="I745" s="59"/>
    </row>
    <row r="746" spans="2:9" s="51" customFormat="1" ht="19.75" customHeight="1">
      <c r="B746" s="49">
        <v>44871</v>
      </c>
      <c r="C746" s="58">
        <v>100618674.16215999</v>
      </c>
      <c r="D746" s="58">
        <v>8798767.2717199996</v>
      </c>
      <c r="E746" s="51" t="str">
        <f t="shared" si="12"/>
        <v>2022 q4</v>
      </c>
      <c r="I746" s="59"/>
    </row>
    <row r="747" spans="2:9" s="51" customFormat="1" ht="19.75" customHeight="1">
      <c r="B747" s="49">
        <v>44878</v>
      </c>
      <c r="C747" s="58">
        <v>63431054.196284004</v>
      </c>
      <c r="D747" s="58">
        <v>5506706.16756</v>
      </c>
      <c r="E747" s="51" t="str">
        <f t="shared" si="12"/>
        <v>2022 q4</v>
      </c>
      <c r="I747" s="59"/>
    </row>
    <row r="748" spans="2:9" s="51" customFormat="1" ht="19.75" customHeight="1">
      <c r="B748" s="49">
        <v>44885</v>
      </c>
      <c r="C748" s="58">
        <v>70439226.676285595</v>
      </c>
      <c r="D748" s="58">
        <v>6094581.5406600004</v>
      </c>
      <c r="E748" s="51" t="str">
        <f t="shared" si="12"/>
        <v>2022 q4</v>
      </c>
      <c r="I748" s="59"/>
    </row>
    <row r="749" spans="2:9" s="51" customFormat="1" ht="19.75" customHeight="1">
      <c r="B749" s="49">
        <v>44892</v>
      </c>
      <c r="C749" s="58">
        <v>52663279.207051203</v>
      </c>
      <c r="D749" s="58">
        <v>4525646.2419999996</v>
      </c>
      <c r="E749" s="51" t="str">
        <f t="shared" si="12"/>
        <v>2022 q4</v>
      </c>
      <c r="I749" s="59"/>
    </row>
    <row r="750" spans="2:9" s="51" customFormat="1" ht="19.75" customHeight="1">
      <c r="B750" s="49">
        <v>44899</v>
      </c>
      <c r="C750" s="58">
        <v>80263172.785490006</v>
      </c>
      <c r="D750" s="58">
        <v>6847112.7604</v>
      </c>
      <c r="E750" s="51" t="str">
        <f t="shared" si="12"/>
        <v>2022 q4</v>
      </c>
      <c r="I750" s="59"/>
    </row>
    <row r="751" spans="2:9" s="51" customFormat="1" ht="19.75" customHeight="1">
      <c r="B751" s="49">
        <v>44906</v>
      </c>
      <c r="C751" s="58">
        <v>57942103.621835202</v>
      </c>
      <c r="D751" s="58">
        <v>5090634.2112999996</v>
      </c>
      <c r="E751" s="51" t="str">
        <f t="shared" si="12"/>
        <v>2022 q4</v>
      </c>
      <c r="I751" s="59"/>
    </row>
    <row r="752" spans="2:9" s="51" customFormat="1" ht="19.75" customHeight="1">
      <c r="B752" s="49">
        <v>44913</v>
      </c>
      <c r="C752" s="58">
        <v>73454373.172327206</v>
      </c>
      <c r="D752" s="58">
        <v>6433720.8804000001</v>
      </c>
      <c r="E752" s="51" t="str">
        <f t="shared" si="12"/>
        <v>2022 q4</v>
      </c>
      <c r="I752" s="59"/>
    </row>
    <row r="753" spans="2:9" s="51" customFormat="1" ht="19.75" customHeight="1">
      <c r="B753" s="49">
        <v>44920</v>
      </c>
      <c r="C753" s="58">
        <v>79235321.796269193</v>
      </c>
      <c r="D753" s="58">
        <v>6904626.9922200004</v>
      </c>
      <c r="E753" s="51" t="str">
        <f t="shared" si="12"/>
        <v>2022 q4</v>
      </c>
      <c r="I753" s="59"/>
    </row>
    <row r="754" spans="2:9" s="51" customFormat="1" ht="19.75" customHeight="1">
      <c r="B754" s="49">
        <v>44927</v>
      </c>
      <c r="C754" s="58">
        <v>130981972.37465701</v>
      </c>
      <c r="D754" s="58">
        <v>11534145.64586</v>
      </c>
      <c r="E754" s="51" t="str">
        <f t="shared" si="12"/>
        <v>2023 q1</v>
      </c>
      <c r="I754" s="59"/>
    </row>
    <row r="755" spans="2:9" s="51" customFormat="1" ht="19.75" customHeight="1">
      <c r="B755" s="49">
        <v>44934</v>
      </c>
      <c r="C755" s="58">
        <v>20159638.047940399</v>
      </c>
      <c r="D755" s="58">
        <v>1777144.7617230001</v>
      </c>
      <c r="E755" s="51" t="str">
        <f t="shared" si="12"/>
        <v>2023 q1</v>
      </c>
      <c r="I755" s="59"/>
    </row>
    <row r="756" spans="2:9" s="51" customFormat="1" ht="19.75" customHeight="1">
      <c r="B756" s="49">
        <v>44941</v>
      </c>
      <c r="C756" s="58">
        <v>39130255.654410399</v>
      </c>
      <c r="D756" s="58">
        <v>3260573.7640200001</v>
      </c>
      <c r="E756" s="51" t="str">
        <f t="shared" si="12"/>
        <v>2023 q1</v>
      </c>
      <c r="I756" s="59"/>
    </row>
    <row r="757" spans="2:9" s="51" customFormat="1" ht="19.75" customHeight="1">
      <c r="B757" s="49">
        <v>44948</v>
      </c>
      <c r="C757" s="58">
        <v>43187127.922527999</v>
      </c>
      <c r="D757" s="58">
        <v>3559853.2792799999</v>
      </c>
      <c r="E757" s="51" t="str">
        <f t="shared" si="12"/>
        <v>2023 q1</v>
      </c>
      <c r="I757" s="59"/>
    </row>
    <row r="758" spans="2:9" s="51" customFormat="1" ht="19.75" customHeight="1">
      <c r="B758" s="49">
        <v>44955</v>
      </c>
      <c r="C758" s="58">
        <v>55169590.070780002</v>
      </c>
      <c r="D758" s="58">
        <v>4479156.6375000002</v>
      </c>
      <c r="E758" s="51" t="str">
        <f t="shared" si="12"/>
        <v>2023 q1</v>
      </c>
      <c r="I758" s="59"/>
    </row>
    <row r="759" spans="2:9" s="51" customFormat="1" ht="19.75" customHeight="1">
      <c r="B759" s="49">
        <v>44962</v>
      </c>
      <c r="C759" s="58">
        <v>54774993.104485601</v>
      </c>
      <c r="D759" s="58">
        <v>4445037.6725199996</v>
      </c>
      <c r="E759" s="51" t="str">
        <f t="shared" si="12"/>
        <v>2023 q1</v>
      </c>
      <c r="I759" s="59"/>
    </row>
    <row r="760" spans="2:9" s="51" customFormat="1" ht="19.75" customHeight="1">
      <c r="B760" s="49">
        <v>44969</v>
      </c>
      <c r="C760" s="58">
        <v>49496446.482800797</v>
      </c>
      <c r="D760" s="58">
        <v>4182870.872</v>
      </c>
      <c r="E760" s="51" t="str">
        <f t="shared" si="12"/>
        <v>2023 q1</v>
      </c>
      <c r="I760" s="59"/>
    </row>
    <row r="761" spans="2:9" s="51" customFormat="1" ht="19.75" customHeight="1">
      <c r="B761" s="49">
        <v>44976</v>
      </c>
      <c r="C761" s="58">
        <v>73700735.633007601</v>
      </c>
      <c r="D761" s="58">
        <v>6049809.5848399997</v>
      </c>
      <c r="E761" s="51" t="str">
        <f t="shared" si="12"/>
        <v>2023 q1</v>
      </c>
      <c r="I761" s="59"/>
    </row>
    <row r="762" spans="2:9" s="51" customFormat="1" ht="19.75" customHeight="1">
      <c r="B762" s="49">
        <v>44983</v>
      </c>
      <c r="C762" s="58">
        <v>70888156.435017601</v>
      </c>
      <c r="D762" s="58">
        <v>5857544.7630200004</v>
      </c>
      <c r="E762" s="51" t="str">
        <f t="shared" si="12"/>
        <v>2023 q1</v>
      </c>
      <c r="I762" s="59"/>
    </row>
    <row r="763" spans="2:9" s="51" customFormat="1" ht="19.75" customHeight="1">
      <c r="B763" s="49">
        <v>44990</v>
      </c>
      <c r="C763" s="58">
        <v>87672633.669031203</v>
      </c>
      <c r="D763" s="58">
        <v>7315838.8608799996</v>
      </c>
      <c r="E763" s="51" t="str">
        <f t="shared" si="12"/>
        <v>2023 q1</v>
      </c>
      <c r="I763" s="59"/>
    </row>
    <row r="764" spans="2:9" s="51" customFormat="1" ht="19.75" customHeight="1">
      <c r="B764" s="49">
        <v>44997</v>
      </c>
      <c r="C764" s="58">
        <v>60192744.104865</v>
      </c>
      <c r="D764" s="58">
        <v>4937049.7645500004</v>
      </c>
      <c r="E764" s="51" t="str">
        <f t="shared" si="12"/>
        <v>2023 q1</v>
      </c>
      <c r="I764" s="59"/>
    </row>
    <row r="765" spans="2:9" s="51" customFormat="1" ht="19.75" customHeight="1">
      <c r="B765" s="49">
        <v>45004</v>
      </c>
      <c r="C765" s="58">
        <v>89133451.141154006</v>
      </c>
      <c r="D765" s="58">
        <v>7296964.9827399999</v>
      </c>
      <c r="E765" s="51" t="str">
        <f t="shared" si="12"/>
        <v>2023 q1</v>
      </c>
      <c r="I765" s="59"/>
    </row>
    <row r="766" spans="2:9" s="51" customFormat="1" ht="19.75" customHeight="1">
      <c r="B766" s="49">
        <v>45011</v>
      </c>
      <c r="C766" s="58">
        <v>84571660.962044001</v>
      </c>
      <c r="D766" s="58">
        <v>7062246.5096000005</v>
      </c>
      <c r="E766" s="51" t="str">
        <f t="shared" si="12"/>
        <v>2023 q1</v>
      </c>
      <c r="I766" s="59"/>
    </row>
    <row r="767" spans="2:9" s="51" customFormat="1" ht="19.75" customHeight="1">
      <c r="B767" s="49">
        <v>45018</v>
      </c>
      <c r="C767" s="58">
        <v>94626921.332761794</v>
      </c>
      <c r="D767" s="58">
        <v>7837469.8474599998</v>
      </c>
      <c r="E767" s="51" t="str">
        <f t="shared" si="12"/>
        <v>2023 q2</v>
      </c>
      <c r="I767" s="59"/>
    </row>
    <row r="768" spans="2:9" s="51" customFormat="1" ht="19.75" customHeight="1">
      <c r="B768" s="49">
        <v>45025</v>
      </c>
      <c r="C768" s="58">
        <v>72384224.070612207</v>
      </c>
      <c r="D768" s="58">
        <v>6109031.7970399996</v>
      </c>
      <c r="E768" s="51" t="str">
        <f t="shared" si="12"/>
        <v>2023 q2</v>
      </c>
      <c r="I768" s="59"/>
    </row>
    <row r="769" spans="2:9" s="51" customFormat="1" ht="19.75" customHeight="1">
      <c r="B769" s="49">
        <v>45032</v>
      </c>
      <c r="C769" s="58">
        <v>69655269.063071996</v>
      </c>
      <c r="D769" s="58">
        <v>5687881.8071999997</v>
      </c>
      <c r="E769" s="51" t="str">
        <f t="shared" si="12"/>
        <v>2023 q2</v>
      </c>
      <c r="I769" s="59"/>
    </row>
    <row r="770" spans="2:9" s="51" customFormat="1" ht="19.75" customHeight="1">
      <c r="B770" s="49">
        <v>45039</v>
      </c>
      <c r="C770" s="58">
        <v>1239281.9417999999</v>
      </c>
      <c r="D770" s="58">
        <v>111063.27</v>
      </c>
      <c r="E770" s="51" t="str">
        <f t="shared" si="12"/>
        <v>2023 q2</v>
      </c>
      <c r="I770" s="59"/>
    </row>
    <row r="771" spans="2:9" s="51" customFormat="1" ht="19.75" customHeight="1">
      <c r="B771" s="49">
        <v>45074</v>
      </c>
      <c r="C771" s="58">
        <v>88184152.979300007</v>
      </c>
      <c r="D771" s="58">
        <v>6947322.1119999997</v>
      </c>
      <c r="E771" s="51" t="str">
        <f t="shared" si="12"/>
        <v>2023 q2</v>
      </c>
      <c r="I771" s="59"/>
    </row>
    <row r="772" spans="2:9" s="51" customFormat="1" ht="19.75" customHeight="1">
      <c r="B772" s="49">
        <v>45081</v>
      </c>
      <c r="C772" s="58">
        <v>99708656.948975995</v>
      </c>
      <c r="D772" s="58">
        <v>8089198.0864399998</v>
      </c>
      <c r="E772" s="51" t="str">
        <f t="shared" si="12"/>
        <v>2023 q2</v>
      </c>
      <c r="I772" s="59"/>
    </row>
    <row r="773" spans="2:9" s="51" customFormat="1" ht="19.75" customHeight="1">
      <c r="B773" s="49">
        <v>45116</v>
      </c>
      <c r="C773" s="58">
        <v>17064070.287799999</v>
      </c>
      <c r="D773" s="58">
        <v>1349342.7649999999</v>
      </c>
      <c r="E773" s="51" t="str">
        <f t="shared" si="12"/>
        <v>2023 q3</v>
      </c>
      <c r="I773" s="59"/>
    </row>
    <row r="774" spans="2:9" s="51" customFormat="1" ht="19.75" customHeight="1">
      <c r="B774" s="49">
        <v>45123</v>
      </c>
      <c r="C774" s="58">
        <v>73280135.552780002</v>
      </c>
      <c r="D774" s="58">
        <v>5901832.2768400004</v>
      </c>
      <c r="E774" s="51" t="str">
        <f t="shared" ref="E774:E817" si="13">YEAR(B774)&amp;" q"&amp;ROUNDUP(MONTH(B774)/3,0)</f>
        <v>2023 q3</v>
      </c>
      <c r="I774" s="59"/>
    </row>
    <row r="775" spans="2:9" s="51" customFormat="1" ht="19.75" customHeight="1">
      <c r="B775" s="49">
        <v>45130</v>
      </c>
      <c r="C775" s="58">
        <v>71933622.994000003</v>
      </c>
      <c r="D775" s="58">
        <v>5718111.1215599999</v>
      </c>
      <c r="E775" s="51" t="str">
        <f t="shared" si="13"/>
        <v>2023 q3</v>
      </c>
      <c r="I775" s="59"/>
    </row>
    <row r="776" spans="2:9" s="51" customFormat="1" ht="19.75" customHeight="1">
      <c r="B776" s="49">
        <v>45137</v>
      </c>
      <c r="C776" s="58">
        <v>76561930.430500001</v>
      </c>
      <c r="D776" s="58">
        <v>6177511.9780000001</v>
      </c>
      <c r="E776" s="51" t="str">
        <f t="shared" si="13"/>
        <v>2023 q3</v>
      </c>
      <c r="I776" s="59"/>
    </row>
    <row r="777" spans="2:9" s="51" customFormat="1" ht="19.75" customHeight="1">
      <c r="B777" s="49">
        <v>45144</v>
      </c>
      <c r="C777" s="58">
        <v>65765494.113700002</v>
      </c>
      <c r="D777" s="58">
        <v>5369821.3099999996</v>
      </c>
      <c r="E777" s="51" t="str">
        <f t="shared" si="13"/>
        <v>2023 q3</v>
      </c>
      <c r="I777" s="59"/>
    </row>
    <row r="778" spans="2:9" s="51" customFormat="1" ht="19.75" customHeight="1">
      <c r="B778" s="49">
        <v>45151</v>
      </c>
      <c r="C778" s="58">
        <v>81559005.20747</v>
      </c>
      <c r="D778" s="58">
        <v>6585816.0690599997</v>
      </c>
      <c r="E778" s="51" t="str">
        <f t="shared" si="13"/>
        <v>2023 q3</v>
      </c>
      <c r="I778" s="59"/>
    </row>
    <row r="779" spans="2:9" s="51" customFormat="1" ht="19.75" customHeight="1">
      <c r="B779" s="49">
        <v>45158</v>
      </c>
      <c r="C779" s="58">
        <v>61669858.927440003</v>
      </c>
      <c r="D779" s="58">
        <v>5035214.2845599996</v>
      </c>
      <c r="E779" s="51" t="str">
        <f t="shared" si="13"/>
        <v>2023 q3</v>
      </c>
      <c r="I779" s="59"/>
    </row>
    <row r="780" spans="2:9" s="51" customFormat="1" ht="19.75" customHeight="1">
      <c r="B780" s="49">
        <v>45165</v>
      </c>
      <c r="C780" s="58">
        <v>80941844.134169996</v>
      </c>
      <c r="D780" s="58">
        <v>6509179.1841399996</v>
      </c>
      <c r="E780" s="51" t="str">
        <f t="shared" si="13"/>
        <v>2023 q3</v>
      </c>
      <c r="I780" s="59"/>
    </row>
    <row r="781" spans="2:9" s="51" customFormat="1" ht="19.75" customHeight="1">
      <c r="B781" s="49">
        <v>45172</v>
      </c>
      <c r="C781" s="58">
        <v>92363938.492096007</v>
      </c>
      <c r="D781" s="58">
        <v>7337082.3464000002</v>
      </c>
      <c r="E781" s="51" t="str">
        <f t="shared" si="13"/>
        <v>2023 q3</v>
      </c>
      <c r="I781" s="59"/>
    </row>
    <row r="782" spans="2:9" s="51" customFormat="1" ht="19.75" customHeight="1">
      <c r="B782" s="49">
        <v>45179</v>
      </c>
      <c r="C782" s="58">
        <v>76999518.525307596</v>
      </c>
      <c r="D782" s="58">
        <v>6168516.3969599996</v>
      </c>
      <c r="E782" s="51" t="str">
        <f t="shared" si="13"/>
        <v>2023 q3</v>
      </c>
      <c r="I782" s="59"/>
    </row>
    <row r="783" spans="2:9" s="51" customFormat="1" ht="19.75" customHeight="1">
      <c r="B783" s="49">
        <v>45186</v>
      </c>
      <c r="C783" s="58">
        <v>71893830.650399998</v>
      </c>
      <c r="D783" s="58">
        <v>5721194.79</v>
      </c>
      <c r="E783" s="51" t="str">
        <f t="shared" si="13"/>
        <v>2023 q3</v>
      </c>
      <c r="I783" s="59"/>
    </row>
    <row r="784" spans="2:9" s="51" customFormat="1" ht="19.75" customHeight="1">
      <c r="B784" s="49">
        <v>45193</v>
      </c>
      <c r="C784" s="58">
        <v>50126080.919749998</v>
      </c>
      <c r="D784" s="58">
        <v>4070083.0924999998</v>
      </c>
      <c r="E784" s="51" t="str">
        <f t="shared" si="13"/>
        <v>2023 q3</v>
      </c>
      <c r="I784" s="59"/>
    </row>
    <row r="785" spans="2:9" s="51" customFormat="1" ht="19.75" customHeight="1">
      <c r="B785" s="49">
        <v>45200</v>
      </c>
      <c r="C785" s="58">
        <v>114062874.83922</v>
      </c>
      <c r="D785" s="58">
        <v>9008099.8360799998</v>
      </c>
      <c r="E785" s="51" t="str">
        <f t="shared" si="13"/>
        <v>2023 q4</v>
      </c>
      <c r="I785" s="59"/>
    </row>
    <row r="786" spans="2:9" s="51" customFormat="1" ht="19.75" customHeight="1">
      <c r="B786" s="49">
        <v>45207</v>
      </c>
      <c r="C786" s="58">
        <v>70682404.226400003</v>
      </c>
      <c r="D786" s="58">
        <v>5686090.5790400002</v>
      </c>
      <c r="E786" s="51" t="str">
        <f t="shared" si="13"/>
        <v>2023 q4</v>
      </c>
      <c r="I786" s="59"/>
    </row>
    <row r="787" spans="2:9" s="51" customFormat="1" ht="19.75" customHeight="1">
      <c r="B787" s="49">
        <v>45214</v>
      </c>
      <c r="C787" s="58">
        <v>85610697.362800002</v>
      </c>
      <c r="D787" s="58">
        <v>6768905.7170000002</v>
      </c>
      <c r="E787" s="51" t="str">
        <f t="shared" si="13"/>
        <v>2023 q4</v>
      </c>
      <c r="I787" s="59"/>
    </row>
    <row r="788" spans="2:9" s="51" customFormat="1" ht="19.75" customHeight="1">
      <c r="B788" s="49">
        <v>45221</v>
      </c>
      <c r="C788" s="58">
        <v>96435892.402600005</v>
      </c>
      <c r="D788" s="58">
        <v>7678071.0848000003</v>
      </c>
      <c r="E788" s="51" t="str">
        <f t="shared" si="13"/>
        <v>2023 q4</v>
      </c>
      <c r="I788" s="59"/>
    </row>
    <row r="789" spans="2:9" s="51" customFormat="1" ht="19.75" customHeight="1">
      <c r="B789" s="49">
        <v>45228</v>
      </c>
      <c r="C789" s="58">
        <v>87951466.277799994</v>
      </c>
      <c r="D789" s="58">
        <v>7030616.7300000004</v>
      </c>
      <c r="E789" s="51" t="str">
        <f t="shared" si="13"/>
        <v>2023 q4</v>
      </c>
      <c r="I789" s="59"/>
    </row>
    <row r="790" spans="2:9" s="51" customFormat="1" ht="19.75" customHeight="1">
      <c r="B790" s="49">
        <v>45235</v>
      </c>
      <c r="C790" s="58">
        <v>105059728.3029</v>
      </c>
      <c r="D790" s="58">
        <v>8351456.7800000003</v>
      </c>
      <c r="E790" s="51" t="str">
        <f t="shared" si="13"/>
        <v>2023 q4</v>
      </c>
      <c r="I790" s="59"/>
    </row>
    <row r="791" spans="2:9" s="51" customFormat="1" ht="19.75" customHeight="1">
      <c r="B791" s="49">
        <v>45242</v>
      </c>
      <c r="C791" s="58">
        <v>88619240.673199996</v>
      </c>
      <c r="D791" s="58">
        <v>6961620.8650000002</v>
      </c>
      <c r="E791" s="51" t="str">
        <f t="shared" si="13"/>
        <v>2023 q4</v>
      </c>
      <c r="I791" s="59"/>
    </row>
    <row r="792" spans="2:9" s="51" customFormat="1" ht="19.75" customHeight="1">
      <c r="B792" s="49">
        <v>45249</v>
      </c>
      <c r="C792" s="58">
        <v>80698856.877200007</v>
      </c>
      <c r="D792" s="58">
        <v>6401782.6399999997</v>
      </c>
      <c r="E792" s="51" t="str">
        <f t="shared" si="13"/>
        <v>2023 q4</v>
      </c>
      <c r="I792" s="59"/>
    </row>
    <row r="793" spans="2:9" s="51" customFormat="1" ht="19.75" customHeight="1">
      <c r="B793" s="49">
        <v>45256</v>
      </c>
      <c r="C793" s="58">
        <v>85397671.847399995</v>
      </c>
      <c r="D793" s="58">
        <v>6780956.2252000002</v>
      </c>
      <c r="E793" s="51" t="str">
        <f t="shared" si="13"/>
        <v>2023 q4</v>
      </c>
      <c r="I793" s="59"/>
    </row>
    <row r="794" spans="2:9" s="51" customFormat="1" ht="19.75" customHeight="1">
      <c r="B794" s="49">
        <v>45263</v>
      </c>
      <c r="C794" s="58">
        <v>89553050.028740004</v>
      </c>
      <c r="D794" s="58">
        <v>7050464.8801999995</v>
      </c>
      <c r="E794" s="51" t="str">
        <f t="shared" si="13"/>
        <v>2023 q4</v>
      </c>
      <c r="I794" s="59"/>
    </row>
    <row r="795" spans="2:9" s="51" customFormat="1" ht="19.75" customHeight="1">
      <c r="B795" s="49">
        <v>45270</v>
      </c>
      <c r="C795" s="58">
        <v>91466026.4947</v>
      </c>
      <c r="D795" s="58">
        <v>7380231.8300000001</v>
      </c>
      <c r="E795" s="51" t="str">
        <f t="shared" si="13"/>
        <v>2023 q4</v>
      </c>
      <c r="I795" s="59"/>
    </row>
    <row r="796" spans="2:9" s="51" customFormat="1" ht="19.75" customHeight="1">
      <c r="B796" s="49">
        <v>45277</v>
      </c>
      <c r="C796" s="58">
        <v>91953038.148800001</v>
      </c>
      <c r="D796" s="58">
        <v>7254750.0822000001</v>
      </c>
      <c r="E796" s="51" t="str">
        <f t="shared" si="13"/>
        <v>2023 q4</v>
      </c>
      <c r="I796" s="59"/>
    </row>
    <row r="797" spans="2:9" s="51" customFormat="1" ht="19.75" customHeight="1">
      <c r="B797" s="49">
        <v>45284</v>
      </c>
      <c r="C797" s="58">
        <v>131118382.93892001</v>
      </c>
      <c r="D797" s="58">
        <v>10626050.503799999</v>
      </c>
      <c r="E797" s="51" t="str">
        <f t="shared" si="13"/>
        <v>2023 q4</v>
      </c>
      <c r="I797" s="59"/>
    </row>
    <row r="798" spans="2:9" s="51" customFormat="1" ht="19.75" customHeight="1">
      <c r="B798" s="49">
        <v>45291</v>
      </c>
      <c r="C798" s="58">
        <v>156531828.84169999</v>
      </c>
      <c r="D798" s="58">
        <v>12597872.779999999</v>
      </c>
      <c r="E798" s="51" t="str">
        <f t="shared" si="13"/>
        <v>2023 q4</v>
      </c>
      <c r="I798" s="59"/>
    </row>
    <row r="799" spans="2:9" s="51" customFormat="1" ht="19.75" customHeight="1">
      <c r="B799" s="49">
        <v>45298</v>
      </c>
      <c r="C799" s="58">
        <v>17464520.583799999</v>
      </c>
      <c r="D799" s="58">
        <v>1414691.41</v>
      </c>
      <c r="E799" s="51" t="str">
        <f t="shared" si="13"/>
        <v>2024 q1</v>
      </c>
      <c r="I799" s="59"/>
    </row>
    <row r="800" spans="2:9" s="51" customFormat="1" ht="19.75" customHeight="1">
      <c r="B800" s="49">
        <v>45305</v>
      </c>
      <c r="C800" s="58">
        <v>40406937.972000003</v>
      </c>
      <c r="D800" s="58">
        <v>3164764.03</v>
      </c>
      <c r="E800" s="51" t="str">
        <f t="shared" si="13"/>
        <v>2024 q1</v>
      </c>
      <c r="I800" s="59"/>
    </row>
    <row r="801" spans="2:9" s="51" customFormat="1" ht="19.75" customHeight="1">
      <c r="B801" s="49">
        <v>45312</v>
      </c>
      <c r="C801" s="58">
        <v>53631896.665299997</v>
      </c>
      <c r="D801" s="58">
        <v>4261359.13</v>
      </c>
      <c r="E801" s="51" t="str">
        <f t="shared" si="13"/>
        <v>2024 q1</v>
      </c>
      <c r="I801" s="59"/>
    </row>
    <row r="802" spans="2:9" s="51" customFormat="1" ht="19.75" customHeight="1">
      <c r="B802" s="49">
        <v>45319</v>
      </c>
      <c r="C802" s="58">
        <v>71961624.672199994</v>
      </c>
      <c r="D802" s="58">
        <v>5629606</v>
      </c>
      <c r="E802" s="51" t="str">
        <f t="shared" si="13"/>
        <v>2024 q1</v>
      </c>
      <c r="I802" s="59"/>
    </row>
    <row r="803" spans="2:9" s="51" customFormat="1" ht="19.75" customHeight="1">
      <c r="B803" s="49">
        <v>45326</v>
      </c>
      <c r="C803" s="58">
        <v>65796586.074280001</v>
      </c>
      <c r="D803" s="58">
        <v>5193503.1656799996</v>
      </c>
      <c r="E803" s="51" t="str">
        <f t="shared" si="13"/>
        <v>2024 q1</v>
      </c>
      <c r="I803" s="59"/>
    </row>
    <row r="804" spans="2:9" s="51" customFormat="1" ht="19.75" customHeight="1">
      <c r="B804" s="49">
        <v>45333</v>
      </c>
      <c r="C804" s="58">
        <v>71755257.896046996</v>
      </c>
      <c r="D804" s="58">
        <v>5743609.1399999997</v>
      </c>
      <c r="E804" s="51" t="str">
        <f t="shared" si="13"/>
        <v>2024 q1</v>
      </c>
      <c r="I804" s="59"/>
    </row>
    <row r="805" spans="2:9" s="51" customFormat="1" ht="19.75" customHeight="1">
      <c r="B805" s="49">
        <v>45340</v>
      </c>
      <c r="C805" s="58">
        <v>74265970.231700093</v>
      </c>
      <c r="D805" s="58">
        <v>5971989.2819999997</v>
      </c>
      <c r="E805" s="51" t="str">
        <f t="shared" si="13"/>
        <v>2024 q1</v>
      </c>
      <c r="I805" s="59"/>
    </row>
    <row r="806" spans="2:9" s="51" customFormat="1" ht="19.75" customHeight="1">
      <c r="B806" s="49">
        <v>45347</v>
      </c>
      <c r="C806" s="58">
        <v>65572188.203299999</v>
      </c>
      <c r="D806" s="58">
        <v>5208249.1119999997</v>
      </c>
      <c r="E806" s="51" t="str">
        <f t="shared" si="13"/>
        <v>2024 q1</v>
      </c>
      <c r="I806" s="59"/>
    </row>
    <row r="807" spans="2:9" s="51" customFormat="1" ht="19.75" customHeight="1">
      <c r="B807" s="49">
        <v>45354</v>
      </c>
      <c r="C807" s="58">
        <v>87239476.008699998</v>
      </c>
      <c r="D807" s="58">
        <v>6939398.2699999996</v>
      </c>
      <c r="E807" s="51" t="str">
        <f t="shared" si="13"/>
        <v>2024 q1</v>
      </c>
      <c r="I807" s="59"/>
    </row>
    <row r="808" spans="2:9" s="51" customFormat="1" ht="19.75" customHeight="1">
      <c r="B808" s="49">
        <v>45361</v>
      </c>
      <c r="C808" s="58">
        <v>46819806.934799999</v>
      </c>
      <c r="D808" s="58">
        <v>3848051.33</v>
      </c>
      <c r="E808" s="51" t="str">
        <f t="shared" si="13"/>
        <v>2024 q1</v>
      </c>
      <c r="I808" s="59"/>
    </row>
    <row r="809" spans="2:9" s="51" customFormat="1" ht="19.75" customHeight="1">
      <c r="B809" s="49">
        <v>45368</v>
      </c>
      <c r="C809" s="58">
        <v>76777733.107199997</v>
      </c>
      <c r="D809" s="58">
        <v>6094215.602</v>
      </c>
      <c r="E809" s="51" t="str">
        <f t="shared" si="13"/>
        <v>2024 q1</v>
      </c>
      <c r="I809" s="59"/>
    </row>
    <row r="810" spans="2:9" s="51" customFormat="1" ht="19.75" customHeight="1">
      <c r="B810" s="49">
        <v>45375</v>
      </c>
      <c r="C810" s="58">
        <v>75348015.537799999</v>
      </c>
      <c r="D810" s="58">
        <v>6068171.7048000004</v>
      </c>
      <c r="E810" s="51" t="str">
        <f t="shared" si="13"/>
        <v>2024 q1</v>
      </c>
      <c r="I810" s="59"/>
    </row>
    <row r="811" spans="2:9" s="51" customFormat="1" ht="19.75" customHeight="1">
      <c r="B811" s="49">
        <v>45382</v>
      </c>
      <c r="C811" s="58">
        <v>106522164.118</v>
      </c>
      <c r="D811" s="58">
        <v>8372490.3300000001</v>
      </c>
      <c r="E811" s="51" t="str">
        <f t="shared" si="13"/>
        <v>2024 q1</v>
      </c>
      <c r="I811" s="59"/>
    </row>
    <row r="812" spans="2:9" s="51" customFormat="1" ht="19.75" customHeight="1">
      <c r="B812" s="49">
        <v>45389</v>
      </c>
      <c r="C812" s="58">
        <v>65343742.134099998</v>
      </c>
      <c r="D812" s="58">
        <v>5268173.5455999998</v>
      </c>
      <c r="E812" s="51" t="str">
        <f t="shared" si="13"/>
        <v>2024 q2</v>
      </c>
      <c r="I812" s="59"/>
    </row>
    <row r="813" spans="2:9" s="51" customFormat="1" ht="19.75" customHeight="1">
      <c r="B813" s="49">
        <v>45396</v>
      </c>
      <c r="C813" s="58">
        <v>87680267.683400005</v>
      </c>
      <c r="D813" s="58">
        <v>6945252.6900000004</v>
      </c>
      <c r="E813" s="51" t="str">
        <f t="shared" si="13"/>
        <v>2024 q2</v>
      </c>
      <c r="I813" s="59"/>
    </row>
    <row r="814" spans="2:9" s="51" customFormat="1" ht="19.75" customHeight="1">
      <c r="B814" s="49">
        <v>45403</v>
      </c>
      <c r="C814" s="58">
        <v>95046725.782114998</v>
      </c>
      <c r="D814" s="58">
        <v>7434409.7988200001</v>
      </c>
      <c r="E814" s="51" t="str">
        <f t="shared" si="13"/>
        <v>2024 q2</v>
      </c>
      <c r="I814" s="59"/>
    </row>
    <row r="815" spans="2:9" s="51" customFormat="1" ht="19.75" customHeight="1">
      <c r="B815" s="49">
        <v>45410</v>
      </c>
      <c r="C815" s="58">
        <v>63678882.6598</v>
      </c>
      <c r="D815" s="58">
        <v>5135288.16</v>
      </c>
      <c r="E815" s="51" t="str">
        <f t="shared" si="13"/>
        <v>2024 q2</v>
      </c>
      <c r="I815" s="59"/>
    </row>
    <row r="816" spans="2:9" s="51" customFormat="1" ht="19.75" customHeight="1">
      <c r="B816" s="49">
        <v>45417</v>
      </c>
      <c r="C816" s="58">
        <v>74727455.665000007</v>
      </c>
      <c r="D816" s="58">
        <v>6087073.7000000002</v>
      </c>
      <c r="E816" s="51" t="str">
        <f t="shared" si="13"/>
        <v>2024 q2</v>
      </c>
      <c r="I816" s="59"/>
    </row>
    <row r="817" spans="2:9" s="51" customFormat="1" ht="19.75" customHeight="1">
      <c r="B817" s="49">
        <v>45424</v>
      </c>
      <c r="C817" s="58">
        <v>59860000.844099998</v>
      </c>
      <c r="D817" s="58">
        <v>4735642.4400000004</v>
      </c>
      <c r="E817" s="51" t="str">
        <f t="shared" si="13"/>
        <v>2024 q2</v>
      </c>
      <c r="I817" s="59"/>
    </row>
    <row r="818" spans="2:9" s="51" customFormat="1" ht="28.75" customHeight="1"/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2E0-A62E-4335-851F-2FAF707E81B7}">
  <dimension ref="B1:P257"/>
  <sheetViews>
    <sheetView workbookViewId="0">
      <selection activeCell="C26" sqref="C26"/>
    </sheetView>
  </sheetViews>
  <sheetFormatPr baseColWidth="10" defaultColWidth="9.1640625" defaultRowHeight="13"/>
  <cols>
    <col min="1" max="1" width="1" style="59" customWidth="1"/>
    <col min="2" max="4" width="10.6640625" style="59" customWidth="1"/>
    <col min="5" max="5" width="48.6640625" style="59" customWidth="1"/>
    <col min="6" max="6" width="7.1640625" style="59" bestFit="1" customWidth="1"/>
    <col min="7" max="7" width="10" style="59" bestFit="1" customWidth="1"/>
    <col min="8" max="9" width="9.1640625" style="59"/>
    <col min="10" max="10" width="12.6640625" style="59" bestFit="1" customWidth="1"/>
    <col min="11" max="12" width="11.1640625" style="59" bestFit="1" customWidth="1"/>
    <col min="13" max="16384" width="9.1640625" style="59"/>
  </cols>
  <sheetData>
    <row r="1" spans="2:16">
      <c r="B1" s="59" t="s">
        <v>333</v>
      </c>
      <c r="G1" s="59" t="s">
        <v>334</v>
      </c>
    </row>
    <row r="2" spans="2:16" s="51" customFormat="1" ht="24" customHeight="1">
      <c r="B2" s="57" t="s">
        <v>328</v>
      </c>
      <c r="C2" s="57" t="s">
        <v>335</v>
      </c>
      <c r="D2" s="57" t="s">
        <v>336</v>
      </c>
      <c r="E2" s="51" t="s">
        <v>337</v>
      </c>
      <c r="G2" s="51" t="s">
        <v>328</v>
      </c>
      <c r="H2" s="51" t="s">
        <v>338</v>
      </c>
      <c r="I2" s="51" t="s">
        <v>339</v>
      </c>
      <c r="J2" s="51" t="s">
        <v>340</v>
      </c>
      <c r="K2" s="51" t="s">
        <v>341</v>
      </c>
      <c r="L2" s="51" t="s">
        <v>342</v>
      </c>
    </row>
    <row r="3" spans="2:16" s="51" customFormat="1" ht="19.75" customHeight="1">
      <c r="B3" s="49">
        <v>42766</v>
      </c>
      <c r="C3" s="58">
        <v>13417730.204</v>
      </c>
      <c r="D3" s="58">
        <v>97211787.893000007</v>
      </c>
      <c r="E3" s="51">
        <f>SUM(C3:D3)</f>
        <v>110629518.097</v>
      </c>
      <c r="F3" s="51" t="str">
        <f>YEAR(G3)&amp;" q"&amp;ROUNDUP(MONTH(G3)/3,0)</f>
        <v>2003 q1</v>
      </c>
      <c r="G3" s="49">
        <v>37652</v>
      </c>
      <c r="H3" s="51">
        <v>843584</v>
      </c>
      <c r="I3" s="51">
        <v>2599559</v>
      </c>
      <c r="J3" s="60">
        <v>3443143</v>
      </c>
      <c r="K3" s="60"/>
      <c r="L3" s="60">
        <f>J3</f>
        <v>3443143</v>
      </c>
      <c r="O3" s="51" t="s">
        <v>82</v>
      </c>
      <c r="P3" s="60">
        <f>AVERAGEIF($F$3:$F$257,O3,$L$3:$L$257)</f>
        <v>3442836.6666666665</v>
      </c>
    </row>
    <row r="4" spans="2:16" s="51" customFormat="1" ht="19.75" customHeight="1">
      <c r="B4" s="49">
        <v>42794</v>
      </c>
      <c r="C4" s="58">
        <v>13941118.153999999</v>
      </c>
      <c r="D4" s="58">
        <v>95872114.986000001</v>
      </c>
      <c r="E4" s="51">
        <f t="shared" ref="E4:E67" si="0">SUM(C4:D4)</f>
        <v>109813233.14</v>
      </c>
      <c r="F4" s="51" t="str">
        <f t="shared" ref="F4:F67" si="1">YEAR(G4)&amp;" q"&amp;ROUNDUP(MONTH(G4)/3,0)</f>
        <v>2003 q1</v>
      </c>
      <c r="G4" s="49">
        <v>37680</v>
      </c>
      <c r="H4" s="51">
        <v>953818</v>
      </c>
      <c r="I4" s="51">
        <v>2378925</v>
      </c>
      <c r="J4" s="60">
        <v>3332743</v>
      </c>
      <c r="K4" s="60"/>
      <c r="L4" s="60">
        <f t="shared" ref="L4:L67" si="2">J4</f>
        <v>3332743</v>
      </c>
      <c r="O4" s="51" t="s">
        <v>83</v>
      </c>
      <c r="P4" s="60">
        <f t="shared" ref="P4:P67" si="3">AVERAGEIF($F$3:$F$257,O4,$L$3:$L$257)</f>
        <v>3781467.6666666665</v>
      </c>
    </row>
    <row r="5" spans="2:16" s="51" customFormat="1" ht="19.75" customHeight="1">
      <c r="B5" s="49">
        <v>42825</v>
      </c>
      <c r="C5" s="58">
        <v>12933656.817</v>
      </c>
      <c r="D5" s="58">
        <v>100622671.131</v>
      </c>
      <c r="E5" s="51">
        <f t="shared" si="0"/>
        <v>113556327.948</v>
      </c>
      <c r="F5" s="51" t="str">
        <f t="shared" si="1"/>
        <v>2003 q1</v>
      </c>
      <c r="G5" s="49">
        <v>37711</v>
      </c>
      <c r="H5" s="51">
        <v>1054493</v>
      </c>
      <c r="I5" s="51">
        <v>2498131</v>
      </c>
      <c r="J5" s="60">
        <v>3552624</v>
      </c>
      <c r="K5" s="60"/>
      <c r="L5" s="60">
        <f t="shared" si="2"/>
        <v>3552624</v>
      </c>
      <c r="O5" s="51" t="s">
        <v>84</v>
      </c>
      <c r="P5" s="60">
        <f t="shared" si="3"/>
        <v>4388627.666666667</v>
      </c>
    </row>
    <row r="6" spans="2:16" s="51" customFormat="1" ht="19.75" customHeight="1">
      <c r="B6" s="49">
        <v>42855</v>
      </c>
      <c r="C6" s="58">
        <v>15037910.5382</v>
      </c>
      <c r="D6" s="58">
        <v>101811449.61040001</v>
      </c>
      <c r="E6" s="51">
        <f t="shared" si="0"/>
        <v>116849360.14860001</v>
      </c>
      <c r="F6" s="51" t="str">
        <f t="shared" si="1"/>
        <v>2003 q2</v>
      </c>
      <c r="G6" s="49">
        <v>37741</v>
      </c>
      <c r="H6" s="51">
        <v>1260510</v>
      </c>
      <c r="I6" s="51">
        <v>2188019</v>
      </c>
      <c r="J6" s="60">
        <v>3448529</v>
      </c>
      <c r="K6" s="60"/>
      <c r="L6" s="60">
        <f t="shared" si="2"/>
        <v>3448529</v>
      </c>
      <c r="O6" s="51" t="s">
        <v>85</v>
      </c>
      <c r="P6" s="60">
        <f t="shared" si="3"/>
        <v>4986759.333333333</v>
      </c>
    </row>
    <row r="7" spans="2:16" s="51" customFormat="1" ht="19.75" customHeight="1">
      <c r="B7" s="49">
        <v>42886</v>
      </c>
      <c r="C7" s="58">
        <v>15566135.314999999</v>
      </c>
      <c r="D7" s="58">
        <v>102126534.414</v>
      </c>
      <c r="E7" s="51">
        <f t="shared" si="0"/>
        <v>117692669.729</v>
      </c>
      <c r="F7" s="51" t="str">
        <f t="shared" si="1"/>
        <v>2003 q2</v>
      </c>
      <c r="G7" s="49">
        <v>37772</v>
      </c>
      <c r="H7" s="51">
        <v>1348965</v>
      </c>
      <c r="I7" s="51">
        <v>2791624</v>
      </c>
      <c r="J7" s="60">
        <v>4140589</v>
      </c>
      <c r="K7" s="60"/>
      <c r="L7" s="60">
        <f t="shared" si="2"/>
        <v>4140589</v>
      </c>
      <c r="O7" s="51" t="s">
        <v>86</v>
      </c>
      <c r="P7" s="60">
        <f t="shared" si="3"/>
        <v>5024665</v>
      </c>
    </row>
    <row r="8" spans="2:16" s="51" customFormat="1" ht="19.75" customHeight="1">
      <c r="B8" s="49">
        <v>42916</v>
      </c>
      <c r="C8" s="58">
        <v>20490639.032000002</v>
      </c>
      <c r="D8" s="58">
        <v>103400343.623</v>
      </c>
      <c r="E8" s="51">
        <f t="shared" si="0"/>
        <v>123890982.655</v>
      </c>
      <c r="F8" s="51" t="str">
        <f t="shared" si="1"/>
        <v>2003 q2</v>
      </c>
      <c r="G8" s="49">
        <v>37802</v>
      </c>
      <c r="H8" s="51">
        <v>1128800</v>
      </c>
      <c r="I8" s="51">
        <v>2626485</v>
      </c>
      <c r="J8" s="60">
        <v>3755285</v>
      </c>
      <c r="K8" s="60"/>
      <c r="L8" s="60">
        <f t="shared" si="2"/>
        <v>3755285</v>
      </c>
      <c r="O8" s="51" t="s">
        <v>87</v>
      </c>
      <c r="P8" s="60">
        <f t="shared" si="3"/>
        <v>5275383.1095500002</v>
      </c>
    </row>
    <row r="9" spans="2:16" s="51" customFormat="1" ht="19.75" customHeight="1">
      <c r="B9" s="49">
        <v>42947</v>
      </c>
      <c r="C9" s="58">
        <v>20274904.842</v>
      </c>
      <c r="D9" s="58">
        <v>105013856.954</v>
      </c>
      <c r="E9" s="51">
        <f t="shared" si="0"/>
        <v>125288761.796</v>
      </c>
      <c r="F9" s="51" t="str">
        <f t="shared" si="1"/>
        <v>2003 q3</v>
      </c>
      <c r="G9" s="49">
        <v>37833</v>
      </c>
      <c r="H9" s="51">
        <v>1603251</v>
      </c>
      <c r="I9" s="51">
        <v>2193199</v>
      </c>
      <c r="J9" s="60">
        <v>3796450</v>
      </c>
      <c r="K9" s="60"/>
      <c r="L9" s="60">
        <f t="shared" si="2"/>
        <v>3796450</v>
      </c>
      <c r="O9" s="51" t="s">
        <v>88</v>
      </c>
      <c r="P9" s="60">
        <f t="shared" si="3"/>
        <v>5653119.7767233327</v>
      </c>
    </row>
    <row r="10" spans="2:16" s="51" customFormat="1" ht="19.75" customHeight="1">
      <c r="B10" s="49">
        <v>42978</v>
      </c>
      <c r="C10" s="58">
        <v>21059647.409000002</v>
      </c>
      <c r="D10" s="58">
        <v>97612619.871999994</v>
      </c>
      <c r="E10" s="51">
        <f t="shared" si="0"/>
        <v>118672267.28099999</v>
      </c>
      <c r="F10" s="51" t="str">
        <f t="shared" si="1"/>
        <v>2003 q3</v>
      </c>
      <c r="G10" s="49">
        <v>37864</v>
      </c>
      <c r="H10" s="51">
        <v>1950653</v>
      </c>
      <c r="I10" s="51">
        <v>2451067</v>
      </c>
      <c r="J10" s="60">
        <v>4401720</v>
      </c>
      <c r="K10" s="60"/>
      <c r="L10" s="60">
        <f t="shared" si="2"/>
        <v>4401720</v>
      </c>
      <c r="O10" s="51" t="s">
        <v>89</v>
      </c>
      <c r="P10" s="60">
        <f t="shared" si="3"/>
        <v>5419070.3145866664</v>
      </c>
    </row>
    <row r="11" spans="2:16" s="51" customFormat="1" ht="19.75" customHeight="1">
      <c r="B11" s="49">
        <v>43008</v>
      </c>
      <c r="C11" s="58">
        <v>20963909.796</v>
      </c>
      <c r="D11" s="58">
        <v>110404679.65099999</v>
      </c>
      <c r="E11" s="51">
        <f t="shared" si="0"/>
        <v>131368589.447</v>
      </c>
      <c r="F11" s="51" t="str">
        <f t="shared" si="1"/>
        <v>2003 q3</v>
      </c>
      <c r="G11" s="49">
        <v>37894</v>
      </c>
      <c r="H11" s="51">
        <v>2073265</v>
      </c>
      <c r="I11" s="51">
        <v>2894448</v>
      </c>
      <c r="J11" s="60">
        <v>4967713</v>
      </c>
      <c r="K11" s="60"/>
      <c r="L11" s="60">
        <f t="shared" si="2"/>
        <v>4967713</v>
      </c>
      <c r="O11" s="51" t="s">
        <v>90</v>
      </c>
      <c r="P11" s="60">
        <f t="shared" si="3"/>
        <v>5559564.6039800001</v>
      </c>
    </row>
    <row r="12" spans="2:16" s="51" customFormat="1" ht="19.75" customHeight="1">
      <c r="B12" s="49">
        <v>43039</v>
      </c>
      <c r="C12" s="58">
        <v>22943809.041000001</v>
      </c>
      <c r="D12" s="58">
        <v>113632087.134</v>
      </c>
      <c r="E12" s="51">
        <f t="shared" si="0"/>
        <v>136575896.17500001</v>
      </c>
      <c r="F12" s="51" t="str">
        <f t="shared" si="1"/>
        <v>2003 q4</v>
      </c>
      <c r="G12" s="49">
        <v>37925</v>
      </c>
      <c r="H12" s="51">
        <v>2278264</v>
      </c>
      <c r="I12" s="51">
        <v>2820861</v>
      </c>
      <c r="J12" s="60">
        <v>5099125</v>
      </c>
      <c r="K12" s="60"/>
      <c r="L12" s="60">
        <f t="shared" si="2"/>
        <v>5099125</v>
      </c>
      <c r="O12" s="51" t="s">
        <v>91</v>
      </c>
      <c r="P12" s="60">
        <f t="shared" si="3"/>
        <v>6289087.333333333</v>
      </c>
    </row>
    <row r="13" spans="2:16" s="51" customFormat="1" ht="19.75" customHeight="1">
      <c r="B13" s="49">
        <v>43069</v>
      </c>
      <c r="C13" s="58">
        <v>25128907.638</v>
      </c>
      <c r="D13" s="58">
        <v>115532620.405</v>
      </c>
      <c r="E13" s="51">
        <f t="shared" si="0"/>
        <v>140661528.04300001</v>
      </c>
      <c r="F13" s="51" t="str">
        <f t="shared" si="1"/>
        <v>2003 q4</v>
      </c>
      <c r="G13" s="49">
        <v>37955</v>
      </c>
      <c r="H13" s="51">
        <v>2404609</v>
      </c>
      <c r="I13" s="51">
        <v>2651094</v>
      </c>
      <c r="J13" s="60">
        <v>5055703</v>
      </c>
      <c r="K13" s="60"/>
      <c r="L13" s="60">
        <f t="shared" si="2"/>
        <v>5055703</v>
      </c>
      <c r="O13" s="51" t="s">
        <v>92</v>
      </c>
      <c r="P13" s="60">
        <f t="shared" si="3"/>
        <v>7141805.3898500009</v>
      </c>
    </row>
    <row r="14" spans="2:16" s="51" customFormat="1" ht="19.75" customHeight="1">
      <c r="B14" s="49">
        <v>43100</v>
      </c>
      <c r="C14" s="58">
        <v>26755772.307</v>
      </c>
      <c r="D14" s="58">
        <v>122009004.103</v>
      </c>
      <c r="E14" s="51">
        <f t="shared" si="0"/>
        <v>148764776.41</v>
      </c>
      <c r="F14" s="51" t="str">
        <f t="shared" si="1"/>
        <v>2003 q4</v>
      </c>
      <c r="G14" s="49">
        <v>37986</v>
      </c>
      <c r="H14" s="51">
        <v>2115391</v>
      </c>
      <c r="I14" s="51">
        <v>2690059</v>
      </c>
      <c r="J14" s="60">
        <v>4805450</v>
      </c>
      <c r="K14" s="60"/>
      <c r="L14" s="60">
        <f t="shared" si="2"/>
        <v>4805450</v>
      </c>
      <c r="O14" s="51" t="s">
        <v>93</v>
      </c>
      <c r="P14" s="60">
        <f t="shared" si="3"/>
        <v>7744711.1258233329</v>
      </c>
    </row>
    <row r="15" spans="2:16" s="51" customFormat="1" ht="19.75" customHeight="1">
      <c r="B15" s="49">
        <v>43131</v>
      </c>
      <c r="C15" s="58">
        <v>25710222.522999998</v>
      </c>
      <c r="D15" s="58">
        <v>112324566.13699999</v>
      </c>
      <c r="E15" s="51">
        <f t="shared" si="0"/>
        <v>138034788.66</v>
      </c>
      <c r="F15" s="51" t="str">
        <f t="shared" si="1"/>
        <v>2004 q1</v>
      </c>
      <c r="G15" s="49">
        <v>38017</v>
      </c>
      <c r="H15" s="51">
        <v>2229787</v>
      </c>
      <c r="I15" s="51">
        <v>2519303</v>
      </c>
      <c r="J15" s="60">
        <v>4749090</v>
      </c>
      <c r="K15" s="60"/>
      <c r="L15" s="60">
        <f t="shared" si="2"/>
        <v>4749090</v>
      </c>
      <c r="O15" s="51" t="s">
        <v>94</v>
      </c>
      <c r="P15" s="60">
        <f t="shared" si="3"/>
        <v>7750122.6534033334</v>
      </c>
    </row>
    <row r="16" spans="2:16" s="51" customFormat="1" ht="19.75" customHeight="1">
      <c r="B16" s="49">
        <v>43159</v>
      </c>
      <c r="C16" s="58">
        <v>25364664.477000002</v>
      </c>
      <c r="D16" s="58">
        <v>117035800.95100001</v>
      </c>
      <c r="E16" s="51">
        <f t="shared" si="0"/>
        <v>142400465.428</v>
      </c>
      <c r="F16" s="51" t="str">
        <f t="shared" si="1"/>
        <v>2004 q1</v>
      </c>
      <c r="G16" s="49">
        <v>38046</v>
      </c>
      <c r="H16" s="51">
        <v>2210414</v>
      </c>
      <c r="I16" s="51">
        <v>2749126</v>
      </c>
      <c r="J16" s="60">
        <v>4959540</v>
      </c>
      <c r="K16" s="60"/>
      <c r="L16" s="60">
        <f t="shared" si="2"/>
        <v>4959540</v>
      </c>
      <c r="O16" s="51" t="s">
        <v>95</v>
      </c>
      <c r="P16" s="60">
        <f t="shared" si="3"/>
        <v>8884002.6660600007</v>
      </c>
    </row>
    <row r="17" spans="2:16" s="51" customFormat="1" ht="19.75" customHeight="1">
      <c r="B17" s="49">
        <v>43190</v>
      </c>
      <c r="C17" s="58">
        <v>28141348.576000001</v>
      </c>
      <c r="D17" s="58">
        <v>127244116.43700001</v>
      </c>
      <c r="E17" s="51">
        <f t="shared" si="0"/>
        <v>155385465.01300001</v>
      </c>
      <c r="F17" s="51" t="str">
        <f t="shared" si="1"/>
        <v>2004 q1</v>
      </c>
      <c r="G17" s="49">
        <v>38077</v>
      </c>
      <c r="H17" s="51">
        <v>2461048</v>
      </c>
      <c r="I17" s="51">
        <v>2904317</v>
      </c>
      <c r="J17" s="60">
        <v>5365365</v>
      </c>
      <c r="K17" s="60"/>
      <c r="L17" s="60">
        <f t="shared" si="2"/>
        <v>5365365</v>
      </c>
      <c r="O17" s="51" t="s">
        <v>96</v>
      </c>
      <c r="P17" s="60">
        <f t="shared" si="3"/>
        <v>9057415.0504100006</v>
      </c>
    </row>
    <row r="18" spans="2:16" s="51" customFormat="1" ht="19.75" customHeight="1">
      <c r="B18" s="49">
        <v>43220</v>
      </c>
      <c r="C18" s="58">
        <v>28924888.817000002</v>
      </c>
      <c r="D18" s="58">
        <v>119512496.861</v>
      </c>
      <c r="E18" s="51">
        <f t="shared" si="0"/>
        <v>148437385.678</v>
      </c>
      <c r="F18" s="51" t="str">
        <f t="shared" si="1"/>
        <v>2004 q2</v>
      </c>
      <c r="G18" s="49">
        <v>38107</v>
      </c>
      <c r="H18" s="51">
        <v>2295068</v>
      </c>
      <c r="I18" s="51">
        <v>3153336</v>
      </c>
      <c r="J18" s="60">
        <v>5448404</v>
      </c>
      <c r="K18" s="60"/>
      <c r="L18" s="60">
        <f t="shared" si="2"/>
        <v>5448404</v>
      </c>
      <c r="O18" s="51" t="s">
        <v>97</v>
      </c>
      <c r="P18" s="60">
        <f t="shared" si="3"/>
        <v>10629354.400736667</v>
      </c>
    </row>
    <row r="19" spans="2:16" s="51" customFormat="1" ht="19.75" customHeight="1">
      <c r="B19" s="49">
        <v>43251</v>
      </c>
      <c r="C19" s="58">
        <v>28963613.113000002</v>
      </c>
      <c r="D19" s="58">
        <v>127330666.773</v>
      </c>
      <c r="E19" s="51">
        <f t="shared" si="0"/>
        <v>156294279.88600001</v>
      </c>
      <c r="F19" s="51" t="str">
        <f t="shared" si="1"/>
        <v>2004 q2</v>
      </c>
      <c r="G19" s="49">
        <v>38138</v>
      </c>
      <c r="H19" s="51">
        <v>2385478.32865</v>
      </c>
      <c r="I19" s="51">
        <v>2880522</v>
      </c>
      <c r="J19" s="60">
        <v>5266000.3286499996</v>
      </c>
      <c r="K19" s="60"/>
      <c r="L19" s="60">
        <f t="shared" si="2"/>
        <v>5266000.3286499996</v>
      </c>
      <c r="O19" s="51" t="s">
        <v>98</v>
      </c>
      <c r="P19" s="60">
        <f t="shared" si="3"/>
        <v>12296063.466666667</v>
      </c>
    </row>
    <row r="20" spans="2:16" s="51" customFormat="1" ht="19.75" customHeight="1">
      <c r="B20" s="49">
        <v>43281</v>
      </c>
      <c r="C20" s="58">
        <v>36637258.364</v>
      </c>
      <c r="D20" s="58">
        <v>112557440.07099999</v>
      </c>
      <c r="E20" s="51">
        <f t="shared" si="0"/>
        <v>149194698.435</v>
      </c>
      <c r="F20" s="51" t="str">
        <f t="shared" si="1"/>
        <v>2004 q2</v>
      </c>
      <c r="G20" s="49">
        <v>38168</v>
      </c>
      <c r="H20" s="51">
        <v>2064581</v>
      </c>
      <c r="I20" s="51">
        <v>3047164</v>
      </c>
      <c r="J20" s="60">
        <v>5111745</v>
      </c>
      <c r="K20" s="60"/>
      <c r="L20" s="60">
        <f t="shared" si="2"/>
        <v>5111745</v>
      </c>
      <c r="O20" s="51" t="s">
        <v>99</v>
      </c>
      <c r="P20" s="60">
        <f t="shared" si="3"/>
        <v>14477815.066666668</v>
      </c>
    </row>
    <row r="21" spans="2:16" s="51" customFormat="1" ht="19.75" customHeight="1">
      <c r="B21" s="49">
        <v>43312</v>
      </c>
      <c r="C21" s="58">
        <v>39634024.811999999</v>
      </c>
      <c r="D21" s="58">
        <v>114743549.123</v>
      </c>
      <c r="E21" s="51">
        <f t="shared" si="0"/>
        <v>154377573.935</v>
      </c>
      <c r="F21" s="51" t="str">
        <f t="shared" si="1"/>
        <v>2004 q3</v>
      </c>
      <c r="G21" s="49">
        <v>38199</v>
      </c>
      <c r="H21" s="51">
        <v>2214699.10048</v>
      </c>
      <c r="I21" s="51">
        <v>3153516</v>
      </c>
      <c r="J21" s="60">
        <v>5368215.1004799996</v>
      </c>
      <c r="K21" s="60"/>
      <c r="L21" s="60">
        <f t="shared" si="2"/>
        <v>5368215.1004799996</v>
      </c>
      <c r="O21" s="51" t="s">
        <v>100</v>
      </c>
      <c r="P21" s="60">
        <f t="shared" si="3"/>
        <v>15949385.266666666</v>
      </c>
    </row>
    <row r="22" spans="2:16" s="51" customFormat="1" ht="19.75" customHeight="1">
      <c r="B22" s="49">
        <v>43343</v>
      </c>
      <c r="C22" s="58">
        <v>41589117.370999999</v>
      </c>
      <c r="D22" s="58">
        <v>116581376.154</v>
      </c>
      <c r="E22" s="51">
        <f t="shared" si="0"/>
        <v>158170493.52500001</v>
      </c>
      <c r="F22" s="51" t="str">
        <f t="shared" si="1"/>
        <v>2004 q3</v>
      </c>
      <c r="G22" s="49">
        <v>38230</v>
      </c>
      <c r="H22" s="51">
        <v>2049563.8112000001</v>
      </c>
      <c r="I22" s="51">
        <v>3639903</v>
      </c>
      <c r="J22" s="60">
        <v>5689466.8112000003</v>
      </c>
      <c r="K22" s="60"/>
      <c r="L22" s="60">
        <f t="shared" si="2"/>
        <v>5689466.8112000003</v>
      </c>
      <c r="O22" s="51" t="s">
        <v>101</v>
      </c>
      <c r="P22" s="60">
        <f t="shared" si="3"/>
        <v>20214524.666666668</v>
      </c>
    </row>
    <row r="23" spans="2:16" s="51" customFormat="1" ht="19.75" customHeight="1">
      <c r="B23" s="49">
        <v>43373</v>
      </c>
      <c r="C23" s="58">
        <v>42455043.299000002</v>
      </c>
      <c r="D23" s="58">
        <v>128992043.391</v>
      </c>
      <c r="E23" s="51">
        <f t="shared" si="0"/>
        <v>171447086.69</v>
      </c>
      <c r="F23" s="51" t="str">
        <f t="shared" si="1"/>
        <v>2004 q3</v>
      </c>
      <c r="G23" s="49">
        <v>38260</v>
      </c>
      <c r="H23" s="51">
        <v>1939825.4184900001</v>
      </c>
      <c r="I23" s="51">
        <v>3961852</v>
      </c>
      <c r="J23" s="60">
        <v>5901677.4184900001</v>
      </c>
      <c r="K23" s="60"/>
      <c r="L23" s="60">
        <f t="shared" si="2"/>
        <v>5901677.4184900001</v>
      </c>
      <c r="O23" s="51" t="s">
        <v>102</v>
      </c>
      <c r="P23" s="60">
        <f t="shared" si="3"/>
        <v>23640639.933333334</v>
      </c>
    </row>
    <row r="24" spans="2:16" s="51" customFormat="1" ht="19.75" customHeight="1">
      <c r="B24" s="49">
        <v>43404</v>
      </c>
      <c r="C24" s="58">
        <v>43127060.321999997</v>
      </c>
      <c r="D24" s="58">
        <v>130846958.139</v>
      </c>
      <c r="E24" s="51">
        <f t="shared" si="0"/>
        <v>173974018.461</v>
      </c>
      <c r="F24" s="51" t="str">
        <f t="shared" si="1"/>
        <v>2004 q4</v>
      </c>
      <c r="G24" s="49">
        <v>38291</v>
      </c>
      <c r="H24" s="51">
        <v>1334418.87925</v>
      </c>
      <c r="I24" s="51">
        <v>4081488</v>
      </c>
      <c r="J24" s="60">
        <v>5415906.8792500002</v>
      </c>
      <c r="K24" s="60"/>
      <c r="L24" s="60">
        <f t="shared" si="2"/>
        <v>5415906.8792500002</v>
      </c>
      <c r="O24" s="51" t="s">
        <v>103</v>
      </c>
      <c r="P24" s="60">
        <f t="shared" si="3"/>
        <v>29692297.828173667</v>
      </c>
    </row>
    <row r="25" spans="2:16" s="51" customFormat="1" ht="19.75" customHeight="1">
      <c r="B25" s="49">
        <v>43434</v>
      </c>
      <c r="C25" s="58">
        <v>38823266.660999998</v>
      </c>
      <c r="D25" s="58">
        <v>138036081.71599999</v>
      </c>
      <c r="E25" s="51">
        <f t="shared" si="0"/>
        <v>176859348.37699997</v>
      </c>
      <c r="F25" s="51" t="str">
        <f t="shared" si="1"/>
        <v>2004 q4</v>
      </c>
      <c r="G25" s="49">
        <v>38321</v>
      </c>
      <c r="H25" s="51">
        <v>1383052.28266</v>
      </c>
      <c r="I25" s="51">
        <v>4171562</v>
      </c>
      <c r="J25" s="60">
        <v>5554614.28266</v>
      </c>
      <c r="K25" s="60"/>
      <c r="L25" s="60">
        <f t="shared" si="2"/>
        <v>5554614.28266</v>
      </c>
      <c r="O25" s="51" t="s">
        <v>104</v>
      </c>
      <c r="P25" s="60">
        <f t="shared" si="3"/>
        <v>36330940.272799999</v>
      </c>
    </row>
    <row r="26" spans="2:16" s="51" customFormat="1" ht="19.75" customHeight="1">
      <c r="B26" s="49">
        <v>43465</v>
      </c>
      <c r="C26" s="58">
        <v>39655148.453000002</v>
      </c>
      <c r="D26" s="58">
        <v>129100119.802</v>
      </c>
      <c r="E26" s="51">
        <f t="shared" si="0"/>
        <v>168755268.255</v>
      </c>
      <c r="F26" s="51" t="str">
        <f t="shared" si="1"/>
        <v>2004 q4</v>
      </c>
      <c r="G26" s="49">
        <v>38352</v>
      </c>
      <c r="H26" s="51">
        <v>1640396.7818499999</v>
      </c>
      <c r="I26" s="51">
        <v>3646293</v>
      </c>
      <c r="J26" s="60">
        <v>5286689.7818499999</v>
      </c>
      <c r="K26" s="60"/>
      <c r="L26" s="60">
        <f t="shared" si="2"/>
        <v>5286689.7818499999</v>
      </c>
      <c r="O26" s="51" t="s">
        <v>105</v>
      </c>
      <c r="P26" s="60">
        <f t="shared" si="3"/>
        <v>40211510.942999996</v>
      </c>
    </row>
    <row r="27" spans="2:16" s="51" customFormat="1" ht="19.75" customHeight="1">
      <c r="B27" s="49">
        <v>43496</v>
      </c>
      <c r="C27" s="58">
        <v>41301193.789999999</v>
      </c>
      <c r="D27" s="58">
        <v>135042642.40799999</v>
      </c>
      <c r="E27" s="51">
        <f t="shared" si="0"/>
        <v>176343836.19799998</v>
      </c>
      <c r="F27" s="51" t="str">
        <f t="shared" si="1"/>
        <v>2005 q1</v>
      </c>
      <c r="G27" s="49">
        <v>38383</v>
      </c>
      <c r="H27" s="51">
        <v>1639594.8119399999</v>
      </c>
      <c r="I27" s="51">
        <v>3847662</v>
      </c>
      <c r="J27" s="60">
        <v>5487256.8119399995</v>
      </c>
      <c r="K27" s="60"/>
      <c r="L27" s="60">
        <f t="shared" si="2"/>
        <v>5487256.8119399995</v>
      </c>
      <c r="O27" s="51" t="s">
        <v>106</v>
      </c>
      <c r="P27" s="60">
        <f t="shared" si="3"/>
        <v>39875377.633333333</v>
      </c>
    </row>
    <row r="28" spans="2:16" s="51" customFormat="1" ht="19.75" customHeight="1">
      <c r="B28" s="49">
        <v>43524</v>
      </c>
      <c r="C28" s="58">
        <v>39405989.122999899</v>
      </c>
      <c r="D28" s="58">
        <v>139235177.667</v>
      </c>
      <c r="E28" s="51">
        <f t="shared" si="0"/>
        <v>178641166.7899999</v>
      </c>
      <c r="F28" s="51" t="str">
        <f t="shared" si="1"/>
        <v>2005 q1</v>
      </c>
      <c r="G28" s="49">
        <v>38411</v>
      </c>
      <c r="H28" s="51">
        <v>1659372</v>
      </c>
      <c r="I28" s="51">
        <v>3648499</v>
      </c>
      <c r="J28" s="60">
        <v>5307871</v>
      </c>
      <c r="K28" s="60"/>
      <c r="L28" s="60">
        <f t="shared" si="2"/>
        <v>5307871</v>
      </c>
      <c r="O28" s="51" t="s">
        <v>107</v>
      </c>
      <c r="P28" s="60">
        <f t="shared" si="3"/>
        <v>43410653.793900006</v>
      </c>
    </row>
    <row r="29" spans="2:16" s="51" customFormat="1" ht="19.75" customHeight="1">
      <c r="B29" s="49">
        <v>43555</v>
      </c>
      <c r="C29" s="58">
        <v>40182989.502999999</v>
      </c>
      <c r="D29" s="58">
        <v>140083905.13</v>
      </c>
      <c r="E29" s="51">
        <f t="shared" si="0"/>
        <v>180266894.63299999</v>
      </c>
      <c r="F29" s="51" t="str">
        <f t="shared" si="1"/>
        <v>2005 q1</v>
      </c>
      <c r="G29" s="49">
        <v>38442</v>
      </c>
      <c r="H29" s="51">
        <v>1904076</v>
      </c>
      <c r="I29" s="51">
        <v>3979490</v>
      </c>
      <c r="J29" s="60">
        <v>5883566</v>
      </c>
      <c r="K29" s="60"/>
      <c r="L29" s="60">
        <f t="shared" si="2"/>
        <v>5883566</v>
      </c>
      <c r="O29" s="51" t="s">
        <v>108</v>
      </c>
      <c r="P29" s="60">
        <f t="shared" si="3"/>
        <v>47915408.616400003</v>
      </c>
    </row>
    <row r="30" spans="2:16" s="51" customFormat="1" ht="19.75" customHeight="1">
      <c r="B30" s="49">
        <v>43585</v>
      </c>
      <c r="C30" s="58">
        <v>42074570.144000001</v>
      </c>
      <c r="D30" s="58">
        <v>136745346.13800001</v>
      </c>
      <c r="E30" s="51">
        <f t="shared" si="0"/>
        <v>178819916.28200001</v>
      </c>
      <c r="F30" s="51" t="str">
        <f t="shared" si="1"/>
        <v>2005 q2</v>
      </c>
      <c r="G30" s="49">
        <v>38472</v>
      </c>
      <c r="H30" s="51">
        <v>2563433</v>
      </c>
      <c r="I30" s="51">
        <v>3876449</v>
      </c>
      <c r="J30" s="60">
        <v>6439882</v>
      </c>
      <c r="K30" s="60"/>
      <c r="L30" s="60">
        <f t="shared" si="2"/>
        <v>6439882</v>
      </c>
      <c r="O30" s="51" t="s">
        <v>109</v>
      </c>
      <c r="P30" s="60">
        <f t="shared" si="3"/>
        <v>51940096.040466666</v>
      </c>
    </row>
    <row r="31" spans="2:16" s="51" customFormat="1" ht="19.75" customHeight="1">
      <c r="B31" s="49">
        <v>43616</v>
      </c>
      <c r="C31" s="58">
        <v>43298429.031999998</v>
      </c>
      <c r="D31" s="58">
        <v>138793667.65400001</v>
      </c>
      <c r="E31" s="51">
        <f t="shared" si="0"/>
        <v>182092096.68600002</v>
      </c>
      <c r="F31" s="51" t="str">
        <f t="shared" si="1"/>
        <v>2005 q2</v>
      </c>
      <c r="G31" s="49">
        <v>38503</v>
      </c>
      <c r="H31" s="51">
        <v>2729462</v>
      </c>
      <c r="I31" s="51">
        <v>3704971</v>
      </c>
      <c r="J31" s="60">
        <v>6434433</v>
      </c>
      <c r="K31" s="60"/>
      <c r="L31" s="60">
        <f t="shared" si="2"/>
        <v>6434433</v>
      </c>
      <c r="O31" s="51" t="s">
        <v>110</v>
      </c>
      <c r="P31" s="60">
        <f t="shared" si="3"/>
        <v>54654652.115500003</v>
      </c>
    </row>
    <row r="32" spans="2:16" s="51" customFormat="1" ht="19.75" customHeight="1">
      <c r="B32" s="49">
        <v>43646</v>
      </c>
      <c r="C32" s="58">
        <v>44671273.6120001</v>
      </c>
      <c r="D32" s="58">
        <v>137587921.45699999</v>
      </c>
      <c r="E32" s="51">
        <f t="shared" si="0"/>
        <v>182259195.0690001</v>
      </c>
      <c r="F32" s="51" t="str">
        <f t="shared" si="1"/>
        <v>2005 q2</v>
      </c>
      <c r="G32" s="49">
        <v>38533</v>
      </c>
      <c r="H32" s="51">
        <v>2568104</v>
      </c>
      <c r="I32" s="51">
        <v>3424843</v>
      </c>
      <c r="J32" s="60">
        <v>5992947</v>
      </c>
      <c r="K32" s="60"/>
      <c r="L32" s="60">
        <f t="shared" si="2"/>
        <v>5992947</v>
      </c>
      <c r="O32" s="51" t="s">
        <v>111</v>
      </c>
      <c r="P32" s="60">
        <f t="shared" si="3"/>
        <v>59235868.923966669</v>
      </c>
    </row>
    <row r="33" spans="2:16" s="51" customFormat="1" ht="19.75" customHeight="1">
      <c r="B33" s="49">
        <v>43677</v>
      </c>
      <c r="C33" s="58">
        <v>46152234.241000101</v>
      </c>
      <c r="D33" s="58">
        <v>138835811.02599999</v>
      </c>
      <c r="E33" s="51">
        <f t="shared" si="0"/>
        <v>184988045.26700008</v>
      </c>
      <c r="F33" s="51" t="str">
        <f t="shared" si="1"/>
        <v>2005 q3</v>
      </c>
      <c r="G33" s="49">
        <v>38564</v>
      </c>
      <c r="H33" s="51">
        <v>2771942</v>
      </c>
      <c r="I33" s="51">
        <v>4127847</v>
      </c>
      <c r="J33" s="60">
        <v>6899789</v>
      </c>
      <c r="K33" s="60"/>
      <c r="L33" s="60">
        <f t="shared" si="2"/>
        <v>6899789</v>
      </c>
      <c r="O33" s="59" t="s">
        <v>112</v>
      </c>
      <c r="P33" s="60">
        <f t="shared" si="3"/>
        <v>62626793.129666664</v>
      </c>
    </row>
    <row r="34" spans="2:16" s="51" customFormat="1" ht="19.75" customHeight="1">
      <c r="B34" s="49">
        <v>43708</v>
      </c>
      <c r="C34" s="58">
        <v>45731248.163999997</v>
      </c>
      <c r="D34" s="58">
        <v>146405190.625</v>
      </c>
      <c r="E34" s="51">
        <f t="shared" si="0"/>
        <v>192136438.789</v>
      </c>
      <c r="F34" s="51" t="str">
        <f t="shared" si="1"/>
        <v>2005 q3</v>
      </c>
      <c r="G34" s="49">
        <v>38595</v>
      </c>
      <c r="H34" s="51">
        <v>2962010</v>
      </c>
      <c r="I34" s="51">
        <v>4139522</v>
      </c>
      <c r="J34" s="60">
        <v>7101532</v>
      </c>
      <c r="K34" s="60"/>
      <c r="L34" s="60">
        <f t="shared" si="2"/>
        <v>7101532</v>
      </c>
      <c r="O34" s="59" t="s">
        <v>113</v>
      </c>
      <c r="P34" s="60">
        <f t="shared" si="3"/>
        <v>71189810.748400003</v>
      </c>
    </row>
    <row r="35" spans="2:16" s="51" customFormat="1" ht="19.75" customHeight="1">
      <c r="B35" s="49">
        <v>43738</v>
      </c>
      <c r="C35" s="58">
        <v>45617238.170999996</v>
      </c>
      <c r="D35" s="58">
        <v>146133256.80899999</v>
      </c>
      <c r="E35" s="51">
        <f t="shared" si="0"/>
        <v>191750494.97999999</v>
      </c>
      <c r="F35" s="51" t="str">
        <f t="shared" si="1"/>
        <v>2005 q3</v>
      </c>
      <c r="G35" s="49">
        <v>38625</v>
      </c>
      <c r="H35" s="51">
        <v>3298016.1695500002</v>
      </c>
      <c r="I35" s="51">
        <v>4126079</v>
      </c>
      <c r="J35" s="60">
        <v>7424095.1695499998</v>
      </c>
      <c r="K35" s="60"/>
      <c r="L35" s="60">
        <f t="shared" si="2"/>
        <v>7424095.1695499998</v>
      </c>
      <c r="O35" s="59" t="s">
        <v>114</v>
      </c>
      <c r="P35" s="60">
        <f t="shared" si="3"/>
        <v>76454416.581133336</v>
      </c>
    </row>
    <row r="36" spans="2:16" s="51" customFormat="1" ht="19.75" customHeight="1">
      <c r="B36" s="49">
        <v>43769</v>
      </c>
      <c r="C36" s="58">
        <v>45209071.182999998</v>
      </c>
      <c r="D36" s="58">
        <v>147361068.382</v>
      </c>
      <c r="E36" s="51">
        <f t="shared" si="0"/>
        <v>192570139.565</v>
      </c>
      <c r="F36" s="51" t="str">
        <f t="shared" si="1"/>
        <v>2005 q4</v>
      </c>
      <c r="G36" s="49">
        <v>38656</v>
      </c>
      <c r="H36" s="51">
        <v>3186267.16701</v>
      </c>
      <c r="I36" s="51">
        <v>4310956</v>
      </c>
      <c r="J36" s="60">
        <v>7497223.16701</v>
      </c>
      <c r="K36" s="60"/>
      <c r="L36" s="60">
        <f t="shared" si="2"/>
        <v>7497223.16701</v>
      </c>
      <c r="O36" s="59" t="s">
        <v>115</v>
      </c>
      <c r="P36" s="60">
        <f t="shared" si="3"/>
        <v>84079148.988533333</v>
      </c>
    </row>
    <row r="37" spans="2:16" s="51" customFormat="1" ht="19.75" customHeight="1">
      <c r="B37" s="49">
        <v>43799</v>
      </c>
      <c r="C37" s="58">
        <v>50041562.101999901</v>
      </c>
      <c r="D37" s="58">
        <v>143067528.169</v>
      </c>
      <c r="E37" s="51">
        <f t="shared" si="0"/>
        <v>193109090.27099991</v>
      </c>
      <c r="F37" s="51" t="str">
        <f t="shared" si="1"/>
        <v>2005 q4</v>
      </c>
      <c r="G37" s="49">
        <v>38686</v>
      </c>
      <c r="H37" s="51">
        <v>3319382.8274699999</v>
      </c>
      <c r="I37" s="51">
        <v>4541257</v>
      </c>
      <c r="J37" s="60">
        <v>7860639.8274699999</v>
      </c>
      <c r="K37" s="60"/>
      <c r="L37" s="60">
        <f t="shared" si="2"/>
        <v>7860639.8274699999</v>
      </c>
      <c r="O37" s="59" t="s">
        <v>116</v>
      </c>
      <c r="P37" s="60">
        <f t="shared" si="3"/>
        <v>87640417.429733321</v>
      </c>
    </row>
    <row r="38" spans="2:16" s="51" customFormat="1" ht="19.75" customHeight="1">
      <c r="B38" s="49">
        <v>43830</v>
      </c>
      <c r="C38" s="58">
        <v>58810071.431999996</v>
      </c>
      <c r="D38" s="58">
        <v>143893100.905</v>
      </c>
      <c r="E38" s="51">
        <f t="shared" si="0"/>
        <v>202703172.33700001</v>
      </c>
      <c r="F38" s="51" t="str">
        <f t="shared" si="1"/>
        <v>2005 q4</v>
      </c>
      <c r="G38" s="49">
        <v>38717</v>
      </c>
      <c r="H38" s="51">
        <v>3143901.3829899998</v>
      </c>
      <c r="I38" s="51">
        <v>4732369</v>
      </c>
      <c r="J38" s="60">
        <v>7876270.3829899998</v>
      </c>
      <c r="K38" s="60"/>
      <c r="L38" s="60">
        <f t="shared" si="2"/>
        <v>7876270.3829899998</v>
      </c>
      <c r="O38" s="59" t="s">
        <v>117</v>
      </c>
      <c r="P38" s="60">
        <f t="shared" si="3"/>
        <v>89825472.321600005</v>
      </c>
    </row>
    <row r="39" spans="2:16" s="51" customFormat="1" ht="19.75" customHeight="1">
      <c r="B39" s="49">
        <v>43861</v>
      </c>
      <c r="C39" s="58">
        <v>59883868.284999996</v>
      </c>
      <c r="D39" s="58">
        <v>141542419.51499999</v>
      </c>
      <c r="E39" s="51">
        <f t="shared" si="0"/>
        <v>201426287.79999998</v>
      </c>
      <c r="F39" s="51" t="str">
        <f t="shared" si="1"/>
        <v>2006 q1</v>
      </c>
      <c r="G39" s="49">
        <v>38748</v>
      </c>
      <c r="H39" s="51">
        <v>3350663.5422499999</v>
      </c>
      <c r="I39" s="51">
        <v>4202996</v>
      </c>
      <c r="J39" s="60">
        <v>7553659.5422499999</v>
      </c>
      <c r="K39" s="60"/>
      <c r="L39" s="60">
        <f t="shared" si="2"/>
        <v>7553659.5422499999</v>
      </c>
      <c r="O39" s="59" t="s">
        <v>118</v>
      </c>
      <c r="P39" s="60">
        <f t="shared" si="3"/>
        <v>96923816.547000006</v>
      </c>
    </row>
    <row r="40" spans="2:16" s="51" customFormat="1" ht="19.75" customHeight="1">
      <c r="B40" s="49">
        <v>43890</v>
      </c>
      <c r="C40" s="58">
        <v>57287578.846000001</v>
      </c>
      <c r="D40" s="58">
        <v>150697415.07699999</v>
      </c>
      <c r="E40" s="51">
        <f t="shared" si="0"/>
        <v>207984993.92299998</v>
      </c>
      <c r="F40" s="51" t="str">
        <f t="shared" si="1"/>
        <v>2006 q1</v>
      </c>
      <c r="G40" s="49">
        <v>38776</v>
      </c>
      <c r="H40" s="51">
        <v>3459314</v>
      </c>
      <c r="I40" s="51">
        <v>3694934</v>
      </c>
      <c r="J40" s="60">
        <v>7154248</v>
      </c>
      <c r="K40" s="60"/>
      <c r="L40" s="60">
        <f t="shared" si="2"/>
        <v>7154248</v>
      </c>
      <c r="O40" s="59" t="s">
        <v>119</v>
      </c>
      <c r="P40" s="60">
        <f t="shared" si="3"/>
        <v>99590323.074333325</v>
      </c>
    </row>
    <row r="41" spans="2:16" s="51" customFormat="1" ht="19.75" customHeight="1">
      <c r="B41" s="49">
        <v>43921</v>
      </c>
      <c r="C41" s="58">
        <v>60881697.777999997</v>
      </c>
      <c r="D41" s="58">
        <v>164282874.498</v>
      </c>
      <c r="E41" s="51">
        <f t="shared" si="0"/>
        <v>225164572.27599999</v>
      </c>
      <c r="F41" s="51" t="str">
        <f t="shared" si="1"/>
        <v>2006 q1</v>
      </c>
      <c r="G41" s="49">
        <v>38807</v>
      </c>
      <c r="H41" s="51">
        <v>4331423.4179600002</v>
      </c>
      <c r="I41" s="51">
        <v>4211037</v>
      </c>
      <c r="J41" s="60">
        <v>8542460.4179599993</v>
      </c>
      <c r="K41" s="60"/>
      <c r="L41" s="60">
        <f t="shared" si="2"/>
        <v>8542460.4179599993</v>
      </c>
      <c r="O41" s="59" t="s">
        <v>120</v>
      </c>
      <c r="P41" s="60">
        <f t="shared" si="3"/>
        <v>101443510.12433334</v>
      </c>
    </row>
    <row r="42" spans="2:16" s="51" customFormat="1" ht="19.75" customHeight="1">
      <c r="B42" s="49">
        <v>43951</v>
      </c>
      <c r="C42" s="58">
        <v>62280505.800999999</v>
      </c>
      <c r="D42" s="58">
        <v>159180558.91</v>
      </c>
      <c r="E42" s="51">
        <f t="shared" si="0"/>
        <v>221461064.711</v>
      </c>
      <c r="F42" s="51" t="str">
        <f t="shared" si="1"/>
        <v>2006 q2</v>
      </c>
      <c r="G42" s="49">
        <v>38837</v>
      </c>
      <c r="H42" s="51">
        <v>4957476.9071000004</v>
      </c>
      <c r="I42" s="51">
        <v>4162474</v>
      </c>
      <c r="J42" s="60">
        <v>9119950.9070999995</v>
      </c>
      <c r="K42" s="60"/>
      <c r="L42" s="60">
        <f t="shared" si="2"/>
        <v>9119950.9070999995</v>
      </c>
      <c r="O42" s="59" t="s">
        <v>121</v>
      </c>
      <c r="P42" s="60">
        <f t="shared" si="3"/>
        <v>101165523.82270665</v>
      </c>
    </row>
    <row r="43" spans="2:16" s="51" customFormat="1" ht="19.75" customHeight="1">
      <c r="B43" s="49">
        <v>43982</v>
      </c>
      <c r="C43" s="58">
        <v>62886542.695</v>
      </c>
      <c r="D43" s="58">
        <v>171515946.62099999</v>
      </c>
      <c r="E43" s="51">
        <f t="shared" si="0"/>
        <v>234402489.31599998</v>
      </c>
      <c r="F43" s="51" t="str">
        <f t="shared" si="1"/>
        <v>2006 q2</v>
      </c>
      <c r="G43" s="49">
        <v>38868</v>
      </c>
      <c r="H43" s="51">
        <v>4885037.6939000003</v>
      </c>
      <c r="I43" s="51">
        <v>4480168</v>
      </c>
      <c r="J43" s="60">
        <v>9365205.6939000003</v>
      </c>
      <c r="K43" s="60"/>
      <c r="L43" s="60">
        <f t="shared" si="2"/>
        <v>9365205.6939000003</v>
      </c>
      <c r="O43" s="59" t="s">
        <v>122</v>
      </c>
      <c r="P43" s="60">
        <f t="shared" si="3"/>
        <v>101554331.63700001</v>
      </c>
    </row>
    <row r="44" spans="2:16" s="51" customFormat="1" ht="19.75" customHeight="1">
      <c r="B44" s="49">
        <v>44012</v>
      </c>
      <c r="C44" s="58">
        <v>66588065.755999997</v>
      </c>
      <c r="D44" s="58">
        <v>170818127.32800001</v>
      </c>
      <c r="E44" s="51">
        <f t="shared" si="0"/>
        <v>237406193.08399999</v>
      </c>
      <c r="F44" s="51" t="str">
        <f t="shared" si="1"/>
        <v>2006 q2</v>
      </c>
      <c r="G44" s="49">
        <v>38898</v>
      </c>
      <c r="H44" s="51">
        <v>4606146.3971800003</v>
      </c>
      <c r="I44" s="51">
        <v>3560705</v>
      </c>
      <c r="J44" s="60">
        <v>8166851.3971800003</v>
      </c>
      <c r="K44" s="60"/>
      <c r="L44" s="60">
        <f t="shared" si="2"/>
        <v>8166851.3971800003</v>
      </c>
      <c r="O44" s="59" t="s">
        <v>123</v>
      </c>
      <c r="P44" s="60">
        <f t="shared" si="3"/>
        <v>103723650.87366666</v>
      </c>
    </row>
    <row r="45" spans="2:16" s="51" customFormat="1" ht="19.75" customHeight="1">
      <c r="B45" s="49">
        <v>44043</v>
      </c>
      <c r="C45" s="58">
        <v>68964421.760000005</v>
      </c>
      <c r="D45" s="58">
        <v>178905357.44</v>
      </c>
      <c r="E45" s="51">
        <f t="shared" si="0"/>
        <v>247869779.19999999</v>
      </c>
      <c r="F45" s="51" t="str">
        <f t="shared" si="1"/>
        <v>2006 q3</v>
      </c>
      <c r="G45" s="49">
        <v>38929</v>
      </c>
      <c r="H45" s="51">
        <v>5294969.0617800001</v>
      </c>
      <c r="I45" s="51">
        <v>3110997</v>
      </c>
      <c r="J45" s="60">
        <v>8405966.0617800001</v>
      </c>
      <c r="K45" s="60"/>
      <c r="L45" s="60">
        <f t="shared" si="2"/>
        <v>8405966.0617800001</v>
      </c>
      <c r="O45" s="59" t="s">
        <v>124</v>
      </c>
      <c r="P45" s="60">
        <f t="shared" si="3"/>
        <v>101610077.51366667</v>
      </c>
    </row>
    <row r="46" spans="2:16" s="51" customFormat="1" ht="19.75" customHeight="1">
      <c r="B46" s="49">
        <v>44074</v>
      </c>
      <c r="C46" s="58">
        <v>72526833.687999994</v>
      </c>
      <c r="D46" s="58">
        <v>181453321.926</v>
      </c>
      <c r="E46" s="51">
        <f t="shared" si="0"/>
        <v>253980155.61399999</v>
      </c>
      <c r="F46" s="51" t="str">
        <f t="shared" si="1"/>
        <v>2006 q3</v>
      </c>
      <c r="G46" s="49">
        <v>38960</v>
      </c>
      <c r="H46" s="51">
        <v>5675117.2358200001</v>
      </c>
      <c r="I46" s="51">
        <v>3270605</v>
      </c>
      <c r="J46" s="60">
        <v>8945722.2358199991</v>
      </c>
      <c r="K46" s="60"/>
      <c r="L46" s="60">
        <f t="shared" si="2"/>
        <v>8945722.2358199991</v>
      </c>
      <c r="O46" s="59" t="s">
        <v>125</v>
      </c>
      <c r="P46" s="60">
        <f t="shared" si="3"/>
        <v>104397386.95433332</v>
      </c>
    </row>
    <row r="47" spans="2:16" s="51" customFormat="1" ht="19.75" customHeight="1">
      <c r="B47" s="49">
        <v>44104</v>
      </c>
      <c r="C47" s="58">
        <v>60563938.215000004</v>
      </c>
      <c r="D47" s="58">
        <v>155824243.51800001</v>
      </c>
      <c r="E47" s="51">
        <f t="shared" si="0"/>
        <v>216388181.73300001</v>
      </c>
      <c r="F47" s="51" t="str">
        <f t="shared" si="1"/>
        <v>2006 q3</v>
      </c>
      <c r="G47" s="49">
        <v>38990</v>
      </c>
      <c r="H47" s="51">
        <v>5690793.8536299998</v>
      </c>
      <c r="I47" s="51">
        <v>4129763</v>
      </c>
      <c r="J47" s="60">
        <v>9820556.8536299989</v>
      </c>
      <c r="K47" s="60"/>
      <c r="L47" s="60">
        <f t="shared" si="2"/>
        <v>9820556.8536299989</v>
      </c>
      <c r="O47" s="59" t="s">
        <v>126</v>
      </c>
      <c r="P47" s="60">
        <f t="shared" si="3"/>
        <v>111763322.98033333</v>
      </c>
    </row>
    <row r="48" spans="2:16" s="51" customFormat="1" ht="19.75" customHeight="1">
      <c r="B48" s="49">
        <v>44135</v>
      </c>
      <c r="C48" s="58">
        <v>76812340.350999907</v>
      </c>
      <c r="D48" s="58">
        <v>188497549.77900001</v>
      </c>
      <c r="E48" s="51">
        <f t="shared" si="0"/>
        <v>265309890.12999994</v>
      </c>
      <c r="F48" s="51" t="str">
        <f t="shared" si="1"/>
        <v>2006 q4</v>
      </c>
      <c r="G48" s="49">
        <v>39021</v>
      </c>
      <c r="H48" s="51">
        <v>5973527.2022099998</v>
      </c>
      <c r="I48" s="51">
        <v>3985520</v>
      </c>
      <c r="J48" s="60">
        <v>9959047.2022099998</v>
      </c>
      <c r="K48" s="60"/>
      <c r="L48" s="60">
        <f t="shared" si="2"/>
        <v>9959047.2022099998</v>
      </c>
      <c r="O48" s="59" t="s">
        <v>127</v>
      </c>
      <c r="P48" s="60">
        <f t="shared" si="3"/>
        <v>111236048.32599999</v>
      </c>
    </row>
    <row r="49" spans="2:16" s="51" customFormat="1" ht="19.75" customHeight="1">
      <c r="B49" s="49">
        <v>44165</v>
      </c>
      <c r="C49" s="58">
        <v>77764136.231000006</v>
      </c>
      <c r="D49" s="58">
        <v>196312261.24200001</v>
      </c>
      <c r="E49" s="51">
        <f t="shared" si="0"/>
        <v>274076397.47300005</v>
      </c>
      <c r="F49" s="51" t="str">
        <f t="shared" si="1"/>
        <v>2006 q4</v>
      </c>
      <c r="G49" s="49">
        <v>39051</v>
      </c>
      <c r="H49" s="51">
        <v>6690173</v>
      </c>
      <c r="I49" s="51">
        <v>3697858</v>
      </c>
      <c r="J49" s="60">
        <v>10388031</v>
      </c>
      <c r="K49" s="60"/>
      <c r="L49" s="60">
        <f t="shared" si="2"/>
        <v>10388031</v>
      </c>
      <c r="O49" s="59" t="s">
        <v>128</v>
      </c>
      <c r="P49" s="60">
        <f t="shared" si="3"/>
        <v>113441164.07866667</v>
      </c>
    </row>
    <row r="50" spans="2:16" s="51" customFormat="1" ht="19.75" customHeight="1">
      <c r="B50" s="49">
        <v>44196</v>
      </c>
      <c r="C50" s="58">
        <v>75701704.398000106</v>
      </c>
      <c r="D50" s="58">
        <v>208811184.91100001</v>
      </c>
      <c r="E50" s="51">
        <f t="shared" si="0"/>
        <v>284512889.30900013</v>
      </c>
      <c r="F50" s="51" t="str">
        <f t="shared" si="1"/>
        <v>2006 q4</v>
      </c>
      <c r="G50" s="49">
        <v>39082</v>
      </c>
      <c r="H50" s="51">
        <v>8175740</v>
      </c>
      <c r="I50" s="51">
        <v>3365245</v>
      </c>
      <c r="J50" s="60">
        <v>11540985</v>
      </c>
      <c r="K50" s="60"/>
      <c r="L50" s="60">
        <f t="shared" si="2"/>
        <v>11540985</v>
      </c>
      <c r="O50" s="59" t="s">
        <v>129</v>
      </c>
      <c r="P50" s="60">
        <f t="shared" si="3"/>
        <v>119850154.02066667</v>
      </c>
    </row>
    <row r="51" spans="2:16" s="51" customFormat="1" ht="19.75" customHeight="1">
      <c r="B51" s="49">
        <v>44227</v>
      </c>
      <c r="C51" s="58">
        <v>77026889.796000004</v>
      </c>
      <c r="D51" s="58">
        <v>205279598.743</v>
      </c>
      <c r="E51" s="51">
        <f t="shared" si="0"/>
        <v>282306488.53900003</v>
      </c>
      <c r="F51" s="51" t="str">
        <f t="shared" si="1"/>
        <v>2007 q1</v>
      </c>
      <c r="G51" s="49">
        <v>39113</v>
      </c>
      <c r="H51" s="51">
        <v>8950917</v>
      </c>
      <c r="I51" s="51">
        <v>2965246</v>
      </c>
      <c r="J51" s="60">
        <v>11916163</v>
      </c>
      <c r="K51" s="60"/>
      <c r="L51" s="60">
        <f t="shared" si="2"/>
        <v>11916163</v>
      </c>
      <c r="O51" s="59" t="s">
        <v>130</v>
      </c>
      <c r="P51" s="60">
        <f t="shared" si="3"/>
        <v>117885187.112</v>
      </c>
    </row>
    <row r="52" spans="2:16" s="51" customFormat="1" ht="19.75" customHeight="1">
      <c r="B52" s="49">
        <v>44255</v>
      </c>
      <c r="C52" s="58">
        <v>83694948.663000003</v>
      </c>
      <c r="D52" s="58">
        <v>209521160.09200001</v>
      </c>
      <c r="E52" s="51">
        <f t="shared" si="0"/>
        <v>293216108.755</v>
      </c>
      <c r="F52" s="51" t="str">
        <f t="shared" si="1"/>
        <v>2007 q1</v>
      </c>
      <c r="G52" s="49">
        <v>39141</v>
      </c>
      <c r="H52" s="51">
        <v>8976877.3000000007</v>
      </c>
      <c r="I52" s="51">
        <v>2869876</v>
      </c>
      <c r="J52" s="60">
        <v>11846753.300000001</v>
      </c>
      <c r="K52" s="60"/>
      <c r="L52" s="60">
        <f t="shared" si="2"/>
        <v>11846753.300000001</v>
      </c>
      <c r="O52" s="59" t="s">
        <v>131</v>
      </c>
      <c r="P52" s="60">
        <f t="shared" si="3"/>
        <v>116363911.09104998</v>
      </c>
    </row>
    <row r="53" spans="2:16" s="51" customFormat="1" ht="19.75" customHeight="1">
      <c r="B53" s="49">
        <v>44286</v>
      </c>
      <c r="C53" s="58">
        <v>83765177.125000104</v>
      </c>
      <c r="D53" s="58">
        <v>209594343.44800001</v>
      </c>
      <c r="E53" s="51">
        <f t="shared" si="0"/>
        <v>293359520.57300013</v>
      </c>
      <c r="F53" s="51" t="str">
        <f t="shared" si="1"/>
        <v>2007 q1</v>
      </c>
      <c r="G53" s="49">
        <v>39172</v>
      </c>
      <c r="H53" s="51">
        <v>9465950.0999999996</v>
      </c>
      <c r="I53" s="51">
        <v>3659324</v>
      </c>
      <c r="J53" s="60">
        <v>13125274.1</v>
      </c>
      <c r="K53" s="60"/>
      <c r="L53" s="60">
        <f t="shared" si="2"/>
        <v>13125274.1</v>
      </c>
      <c r="O53" s="59" t="s">
        <v>132</v>
      </c>
      <c r="P53" s="60">
        <f t="shared" si="3"/>
        <v>118205664.87813832</v>
      </c>
    </row>
    <row r="54" spans="2:16" s="51" customFormat="1" ht="19.75" customHeight="1">
      <c r="B54" s="49">
        <v>44316</v>
      </c>
      <c r="C54" s="58">
        <v>76085284.082000107</v>
      </c>
      <c r="D54" s="58">
        <v>179687133.28</v>
      </c>
      <c r="E54" s="51">
        <f t="shared" si="0"/>
        <v>255772417.36200011</v>
      </c>
      <c r="F54" s="51" t="str">
        <f t="shared" si="1"/>
        <v>2007 q2</v>
      </c>
      <c r="G54" s="49">
        <v>39202</v>
      </c>
      <c r="H54" s="51">
        <v>9592409.9000000004</v>
      </c>
      <c r="I54" s="51">
        <v>4385473</v>
      </c>
      <c r="J54" s="60">
        <v>13977882.9</v>
      </c>
      <c r="K54" s="60"/>
      <c r="L54" s="60">
        <f t="shared" si="2"/>
        <v>13977882.9</v>
      </c>
      <c r="O54" s="59" t="s">
        <v>133</v>
      </c>
      <c r="P54" s="60">
        <f t="shared" si="3"/>
        <v>109235156.108096</v>
      </c>
    </row>
    <row r="55" spans="2:16" s="51" customFormat="1" ht="19.75" customHeight="1">
      <c r="B55" s="49">
        <v>44347</v>
      </c>
      <c r="C55" s="58">
        <v>93367358.889000103</v>
      </c>
      <c r="D55" s="58">
        <v>214413222.15099999</v>
      </c>
      <c r="E55" s="51">
        <f t="shared" si="0"/>
        <v>307780581.04000008</v>
      </c>
      <c r="F55" s="51" t="str">
        <f t="shared" si="1"/>
        <v>2007 q2</v>
      </c>
      <c r="G55" s="49">
        <v>39233</v>
      </c>
      <c r="H55" s="51">
        <v>9623989.0999999996</v>
      </c>
      <c r="I55" s="51">
        <v>5066187</v>
      </c>
      <c r="J55" s="60">
        <v>14690176.1</v>
      </c>
      <c r="K55" s="60"/>
      <c r="L55" s="60">
        <f t="shared" si="2"/>
        <v>14690176.1</v>
      </c>
      <c r="O55" s="59" t="s">
        <v>134</v>
      </c>
      <c r="P55" s="60">
        <f t="shared" si="3"/>
        <v>111346592.68880701</v>
      </c>
    </row>
    <row r="56" spans="2:16" s="51" customFormat="1" ht="19.75" customHeight="1">
      <c r="B56" s="49">
        <v>44377</v>
      </c>
      <c r="C56" s="58">
        <v>108809570.028</v>
      </c>
      <c r="D56" s="58">
        <v>213849050.23500001</v>
      </c>
      <c r="E56" s="51">
        <f t="shared" si="0"/>
        <v>322658620.26300001</v>
      </c>
      <c r="F56" s="51" t="str">
        <f t="shared" si="1"/>
        <v>2007 q2</v>
      </c>
      <c r="G56" s="49">
        <v>39263</v>
      </c>
      <c r="H56" s="51">
        <v>9266640.1999999993</v>
      </c>
      <c r="I56" s="51">
        <v>5498746</v>
      </c>
      <c r="J56" s="60">
        <v>14765386.199999999</v>
      </c>
      <c r="K56" s="60"/>
      <c r="L56" s="60">
        <f t="shared" si="2"/>
        <v>14765386.199999999</v>
      </c>
      <c r="O56" s="59" t="s">
        <v>135</v>
      </c>
      <c r="P56" s="60">
        <f t="shared" si="3"/>
        <v>114217933.09319</v>
      </c>
    </row>
    <row r="57" spans="2:16" s="51" customFormat="1" ht="19.75" customHeight="1">
      <c r="B57" s="49">
        <v>44408</v>
      </c>
      <c r="C57" s="58">
        <v>113627509.78200001</v>
      </c>
      <c r="D57" s="58">
        <v>215292761.46399999</v>
      </c>
      <c r="E57" s="51">
        <f t="shared" si="0"/>
        <v>328920271.24599999</v>
      </c>
      <c r="F57" s="51" t="str">
        <f t="shared" si="1"/>
        <v>2007 q3</v>
      </c>
      <c r="G57" s="49">
        <v>39294</v>
      </c>
      <c r="H57" s="51">
        <v>9006585.0999999996</v>
      </c>
      <c r="I57" s="51">
        <v>5962760</v>
      </c>
      <c r="J57" s="60">
        <v>14969345.1</v>
      </c>
      <c r="K57" s="60"/>
      <c r="L57" s="60">
        <f t="shared" si="2"/>
        <v>14969345.1</v>
      </c>
      <c r="O57" s="59" t="s">
        <v>136</v>
      </c>
      <c r="P57" s="60">
        <f t="shared" si="3"/>
        <v>113748983.66666667</v>
      </c>
    </row>
    <row r="58" spans="2:16" s="51" customFormat="1" ht="19.75" customHeight="1">
      <c r="B58" s="49">
        <v>44439</v>
      </c>
      <c r="C58" s="58">
        <v>117991520.704</v>
      </c>
      <c r="D58" s="58">
        <v>232850701.05599999</v>
      </c>
      <c r="E58" s="51">
        <f t="shared" si="0"/>
        <v>350842221.75999999</v>
      </c>
      <c r="F58" s="51" t="str">
        <f t="shared" si="1"/>
        <v>2007 q3</v>
      </c>
      <c r="G58" s="49">
        <v>39325</v>
      </c>
      <c r="H58" s="51">
        <v>9123924.8000000007</v>
      </c>
      <c r="I58" s="51">
        <v>6365656</v>
      </c>
      <c r="J58" s="60">
        <v>15489580.800000001</v>
      </c>
      <c r="K58" s="60"/>
      <c r="L58" s="60">
        <f t="shared" si="2"/>
        <v>15489580.800000001</v>
      </c>
      <c r="O58" s="59" t="s">
        <v>137</v>
      </c>
      <c r="P58" s="60">
        <f t="shared" si="3"/>
        <v>107006178.33333333</v>
      </c>
    </row>
    <row r="59" spans="2:16" s="51" customFormat="1" ht="19.75" customHeight="1">
      <c r="B59" s="49">
        <v>44469</v>
      </c>
      <c r="C59" s="58">
        <v>117244818.03399999</v>
      </c>
      <c r="D59" s="58">
        <v>228131000.94</v>
      </c>
      <c r="E59" s="51">
        <f t="shared" si="0"/>
        <v>345375818.97399998</v>
      </c>
      <c r="F59" s="51" t="str">
        <f t="shared" si="1"/>
        <v>2007 q3</v>
      </c>
      <c r="G59" s="49">
        <v>39355</v>
      </c>
      <c r="H59" s="51">
        <v>9963568.9000000004</v>
      </c>
      <c r="I59" s="51">
        <v>7425661</v>
      </c>
      <c r="J59" s="60">
        <v>17389229.899999999</v>
      </c>
      <c r="K59" s="60"/>
      <c r="L59" s="60">
        <f t="shared" si="2"/>
        <v>17389229.899999999</v>
      </c>
      <c r="O59" s="59" t="s">
        <v>138</v>
      </c>
      <c r="P59" s="60">
        <f t="shared" si="3"/>
        <v>111333026.395</v>
      </c>
    </row>
    <row r="60" spans="2:16" s="51" customFormat="1" ht="19.75" customHeight="1">
      <c r="B60" s="49">
        <v>44500</v>
      </c>
      <c r="C60" s="58">
        <v>116495682.83400001</v>
      </c>
      <c r="D60" s="58">
        <v>228616244.09400001</v>
      </c>
      <c r="E60" s="51">
        <f t="shared" si="0"/>
        <v>345111926.92800003</v>
      </c>
      <c r="F60" s="51" t="str">
        <f t="shared" si="1"/>
        <v>2007 q4</v>
      </c>
      <c r="G60" s="49">
        <v>39386</v>
      </c>
      <c r="H60" s="51">
        <v>10462941.699999999</v>
      </c>
      <c r="I60" s="51">
        <v>8628520</v>
      </c>
      <c r="J60" s="60">
        <v>19091461.699999999</v>
      </c>
      <c r="K60" s="60"/>
      <c r="L60" s="60">
        <f t="shared" si="2"/>
        <v>19091461.699999999</v>
      </c>
      <c r="O60" s="59" t="s">
        <v>139</v>
      </c>
      <c r="P60" s="60">
        <f t="shared" si="3"/>
        <v>119477670.84420002</v>
      </c>
    </row>
    <row r="61" spans="2:16" s="51" customFormat="1" ht="19.75" customHeight="1">
      <c r="B61" s="49">
        <v>44530</v>
      </c>
      <c r="C61" s="58">
        <v>105533869.664</v>
      </c>
      <c r="D61" s="58">
        <v>240060443.13800001</v>
      </c>
      <c r="E61" s="51">
        <f t="shared" si="0"/>
        <v>345594312.80200005</v>
      </c>
      <c r="F61" s="51" t="str">
        <f t="shared" si="1"/>
        <v>2007 q4</v>
      </c>
      <c r="G61" s="49">
        <v>39416</v>
      </c>
      <c r="H61" s="51">
        <v>11276076.6</v>
      </c>
      <c r="I61" s="51">
        <v>8242516</v>
      </c>
      <c r="J61" s="60">
        <v>19518592.600000001</v>
      </c>
      <c r="K61" s="60"/>
      <c r="L61" s="60">
        <f t="shared" si="2"/>
        <v>19518592.600000001</v>
      </c>
      <c r="O61" s="59" t="s">
        <v>140</v>
      </c>
      <c r="P61" s="60">
        <f t="shared" si="3"/>
        <v>125109872.84133333</v>
      </c>
    </row>
    <row r="62" spans="2:16" s="51" customFormat="1" ht="19.75" customHeight="1">
      <c r="B62" s="49">
        <v>44561</v>
      </c>
      <c r="C62" s="58">
        <v>107005628.73199999</v>
      </c>
      <c r="D62" s="58">
        <v>229787689.74000001</v>
      </c>
      <c r="E62" s="51">
        <f t="shared" si="0"/>
        <v>336793318.472</v>
      </c>
      <c r="F62" s="51" t="str">
        <f t="shared" si="1"/>
        <v>2007 q4</v>
      </c>
      <c r="G62" s="49">
        <v>39447</v>
      </c>
      <c r="H62" s="51">
        <v>13440789.699999999</v>
      </c>
      <c r="I62" s="51">
        <v>8592730</v>
      </c>
      <c r="J62" s="60">
        <v>22033519.699999999</v>
      </c>
      <c r="K62" s="60"/>
      <c r="L62" s="60">
        <f t="shared" si="2"/>
        <v>22033519.699999999</v>
      </c>
      <c r="O62" s="59" t="s">
        <v>141</v>
      </c>
      <c r="P62" s="60">
        <f t="shared" si="3"/>
        <v>142000733.54266667</v>
      </c>
    </row>
    <row r="63" spans="2:16" s="51" customFormat="1" ht="19.75" customHeight="1">
      <c r="B63" s="49">
        <v>44592</v>
      </c>
      <c r="C63" s="58">
        <v>108361260.20900001</v>
      </c>
      <c r="D63" s="58">
        <v>231352337.69100001</v>
      </c>
      <c r="E63" s="51">
        <f t="shared" si="0"/>
        <v>339713597.90000004</v>
      </c>
      <c r="F63" s="51" t="str">
        <f t="shared" si="1"/>
        <v>2008 q1</v>
      </c>
      <c r="G63" s="49">
        <v>39478</v>
      </c>
      <c r="H63" s="51">
        <v>13041483</v>
      </c>
      <c r="I63" s="51">
        <v>9387935</v>
      </c>
      <c r="J63" s="60">
        <v>22429418</v>
      </c>
      <c r="K63" s="60"/>
      <c r="L63" s="60">
        <f t="shared" si="2"/>
        <v>22429418</v>
      </c>
      <c r="O63" s="59" t="s">
        <v>142</v>
      </c>
      <c r="P63" s="60">
        <f t="shared" si="3"/>
        <v>145273573.03366667</v>
      </c>
    </row>
    <row r="64" spans="2:16" s="51" customFormat="1" ht="19.75" customHeight="1">
      <c r="B64" s="49">
        <v>44620</v>
      </c>
      <c r="C64" s="58">
        <v>108903513.527</v>
      </c>
      <c r="D64" s="58">
        <v>238044913.861</v>
      </c>
      <c r="E64" s="51">
        <f t="shared" si="0"/>
        <v>346948427.38800001</v>
      </c>
      <c r="F64" s="51" t="str">
        <f t="shared" si="1"/>
        <v>2008 q1</v>
      </c>
      <c r="G64" s="49">
        <v>39507</v>
      </c>
      <c r="H64" s="51">
        <v>13272536</v>
      </c>
      <c r="I64" s="51">
        <v>9580892</v>
      </c>
      <c r="J64" s="60">
        <v>22853428</v>
      </c>
      <c r="K64" s="60"/>
      <c r="L64" s="60">
        <f t="shared" si="2"/>
        <v>22853428</v>
      </c>
      <c r="O64" s="59" t="s">
        <v>143</v>
      </c>
      <c r="P64" s="60">
        <f t="shared" si="3"/>
        <v>151308787.99966666</v>
      </c>
    </row>
    <row r="65" spans="2:16" s="51" customFormat="1" ht="19.75" customHeight="1">
      <c r="B65" s="49">
        <v>44651</v>
      </c>
      <c r="C65" s="58">
        <v>110085302.59900001</v>
      </c>
      <c r="D65" s="58">
        <v>246737566.13999999</v>
      </c>
      <c r="E65" s="51">
        <f t="shared" si="0"/>
        <v>356822868.73899996</v>
      </c>
      <c r="F65" s="51" t="str">
        <f t="shared" si="1"/>
        <v>2008 q1</v>
      </c>
      <c r="G65" s="49">
        <v>39538</v>
      </c>
      <c r="H65" s="51">
        <v>15314198.800000001</v>
      </c>
      <c r="I65" s="51">
        <v>10324875</v>
      </c>
      <c r="J65" s="60">
        <v>25639073.800000001</v>
      </c>
      <c r="K65" s="60"/>
      <c r="L65" s="60">
        <f t="shared" si="2"/>
        <v>25639073.800000001</v>
      </c>
      <c r="O65" s="59" t="s">
        <v>144</v>
      </c>
      <c r="P65" s="60">
        <f t="shared" si="3"/>
        <v>161331718.05000001</v>
      </c>
    </row>
    <row r="66" spans="2:16" s="51" customFormat="1" ht="19.75" customHeight="1">
      <c r="B66" s="49">
        <v>44681</v>
      </c>
      <c r="C66" s="58">
        <v>121078391.84900001</v>
      </c>
      <c r="D66" s="58">
        <v>236187165.51199999</v>
      </c>
      <c r="E66" s="51">
        <f t="shared" si="0"/>
        <v>357265557.361</v>
      </c>
      <c r="F66" s="51" t="str">
        <f t="shared" si="1"/>
        <v>2008 q2</v>
      </c>
      <c r="G66" s="49">
        <v>39568</v>
      </c>
      <c r="H66" s="51">
        <v>15971503.33523</v>
      </c>
      <c r="I66" s="51">
        <v>12124979.877811</v>
      </c>
      <c r="J66" s="60">
        <v>28096483.213041</v>
      </c>
      <c r="K66" s="60"/>
      <c r="L66" s="60">
        <f t="shared" si="2"/>
        <v>28096483.213041</v>
      </c>
      <c r="O66" s="59" t="s">
        <v>145</v>
      </c>
      <c r="P66" s="60">
        <f t="shared" si="3"/>
        <v>173196211.69766665</v>
      </c>
    </row>
    <row r="67" spans="2:16" s="51" customFormat="1" ht="19.75" customHeight="1">
      <c r="B67" s="49">
        <v>44712</v>
      </c>
      <c r="C67" s="58">
        <v>124209293.74600001</v>
      </c>
      <c r="D67" s="58">
        <v>241818773.09</v>
      </c>
      <c r="E67" s="51">
        <f t="shared" si="0"/>
        <v>366028066.83600003</v>
      </c>
      <c r="F67" s="51" t="str">
        <f t="shared" si="1"/>
        <v>2008 q2</v>
      </c>
      <c r="G67" s="49">
        <v>39599</v>
      </c>
      <c r="H67" s="51">
        <v>15531949.9</v>
      </c>
      <c r="I67" s="51">
        <v>13758989</v>
      </c>
      <c r="J67" s="60">
        <v>29290938.899999999</v>
      </c>
      <c r="K67" s="60"/>
      <c r="L67" s="60">
        <f t="shared" si="2"/>
        <v>29290938.899999999</v>
      </c>
      <c r="O67" s="59" t="s">
        <v>146</v>
      </c>
      <c r="P67" s="60">
        <f t="shared" si="3"/>
        <v>178417299.20699999</v>
      </c>
    </row>
    <row r="68" spans="2:16" s="51" customFormat="1" ht="19.75" customHeight="1">
      <c r="B68" s="49">
        <v>44742</v>
      </c>
      <c r="C68" s="58">
        <v>130132472.66599999</v>
      </c>
      <c r="D68" s="58">
        <v>220373384.73500001</v>
      </c>
      <c r="E68" s="51">
        <f t="shared" ref="E68:E90" si="4">SUM(C68:D68)</f>
        <v>350505857.40100002</v>
      </c>
      <c r="F68" s="51" t="str">
        <f t="shared" ref="F68:F131" si="5">YEAR(G68)&amp;" q"&amp;ROUNDUP(MONTH(G68)/3,0)</f>
        <v>2008 q2</v>
      </c>
      <c r="G68" s="49">
        <v>39629</v>
      </c>
      <c r="H68" s="51">
        <v>16750552.371479999</v>
      </c>
      <c r="I68" s="51">
        <v>14938919</v>
      </c>
      <c r="J68" s="60">
        <v>31689471.371479999</v>
      </c>
      <c r="K68" s="60"/>
      <c r="L68" s="60">
        <f t="shared" ref="L68:L131" si="6">J68</f>
        <v>31689471.371479999</v>
      </c>
      <c r="O68" s="59" t="s">
        <v>147</v>
      </c>
      <c r="P68" s="60">
        <f t="shared" ref="P68:P87" si="7">AVERAGEIF($F$3:$F$257,O68,$L$3:$L$257)</f>
        <v>181057069.34566674</v>
      </c>
    </row>
    <row r="69" spans="2:16" s="51" customFormat="1" ht="19.75" customHeight="1">
      <c r="B69" s="49">
        <v>44773</v>
      </c>
      <c r="C69" s="58">
        <v>142389106.65099999</v>
      </c>
      <c r="D69" s="58">
        <v>214177340.25</v>
      </c>
      <c r="E69" s="51">
        <f t="shared" si="4"/>
        <v>356566446.90100002</v>
      </c>
      <c r="F69" s="51" t="str">
        <f t="shared" si="5"/>
        <v>2008 q3</v>
      </c>
      <c r="G69" s="49">
        <v>39660</v>
      </c>
      <c r="H69" s="51">
        <v>18435688</v>
      </c>
      <c r="I69" s="51">
        <v>16266877</v>
      </c>
      <c r="J69" s="60">
        <v>34702565</v>
      </c>
      <c r="K69" s="60"/>
      <c r="L69" s="60">
        <f t="shared" si="6"/>
        <v>34702565</v>
      </c>
      <c r="O69" s="59" t="s">
        <v>148</v>
      </c>
      <c r="P69" s="60">
        <f t="shared" si="7"/>
        <v>189624993.01200005</v>
      </c>
    </row>
    <row r="70" spans="2:16" s="51" customFormat="1" ht="19.75" customHeight="1">
      <c r="B70" s="49">
        <v>44804</v>
      </c>
      <c r="C70" s="58">
        <v>147209699.96399999</v>
      </c>
      <c r="D70" s="58">
        <v>209257292.785</v>
      </c>
      <c r="E70" s="51">
        <f t="shared" si="4"/>
        <v>356466992.74899995</v>
      </c>
      <c r="F70" s="51" t="str">
        <f t="shared" si="5"/>
        <v>2008 q3</v>
      </c>
      <c r="G70" s="49">
        <v>39691</v>
      </c>
      <c r="H70" s="51">
        <v>19345387</v>
      </c>
      <c r="I70" s="51">
        <v>17515868</v>
      </c>
      <c r="J70" s="60">
        <v>36861255</v>
      </c>
      <c r="K70" s="60"/>
      <c r="L70" s="60">
        <f t="shared" si="6"/>
        <v>36861255</v>
      </c>
      <c r="O70" s="59" t="s">
        <v>149</v>
      </c>
      <c r="P70" s="60">
        <f t="shared" si="7"/>
        <v>196127467.39099994</v>
      </c>
    </row>
    <row r="71" spans="2:16" s="51" customFormat="1" ht="19.75" customHeight="1">
      <c r="B71" s="49">
        <v>44834</v>
      </c>
      <c r="C71" s="58">
        <v>144442084.31400001</v>
      </c>
      <c r="D71" s="58">
        <v>211258004.46700001</v>
      </c>
      <c r="E71" s="51">
        <f t="shared" si="4"/>
        <v>355700088.78100002</v>
      </c>
      <c r="F71" s="51" t="str">
        <f t="shared" si="5"/>
        <v>2008 q3</v>
      </c>
      <c r="G71" s="49">
        <v>39721</v>
      </c>
      <c r="H71" s="51">
        <v>19544951.818399999</v>
      </c>
      <c r="I71" s="51">
        <v>17884049</v>
      </c>
      <c r="J71" s="60">
        <v>37429000.818399996</v>
      </c>
      <c r="K71" s="60"/>
      <c r="L71" s="60">
        <f t="shared" si="6"/>
        <v>37429000.818399996</v>
      </c>
      <c r="O71" s="59" t="s">
        <v>150</v>
      </c>
      <c r="P71" s="60">
        <f t="shared" si="7"/>
        <v>211525284.66633332</v>
      </c>
    </row>
    <row r="72" spans="2:16" s="51" customFormat="1" ht="19.75" customHeight="1">
      <c r="B72" s="49">
        <v>44865</v>
      </c>
      <c r="C72" s="58">
        <v>149729169.04899999</v>
      </c>
      <c r="D72" s="58">
        <v>196127002.898</v>
      </c>
      <c r="E72" s="51">
        <f t="shared" si="4"/>
        <v>345856171.94700003</v>
      </c>
      <c r="F72" s="51" t="str">
        <f t="shared" si="5"/>
        <v>2008 q4</v>
      </c>
      <c r="G72" s="49">
        <v>39752</v>
      </c>
      <c r="H72" s="51">
        <v>20583720</v>
      </c>
      <c r="I72" s="51">
        <v>20656088</v>
      </c>
      <c r="J72" s="60">
        <v>41239808</v>
      </c>
      <c r="K72" s="60"/>
      <c r="L72" s="60">
        <f t="shared" si="6"/>
        <v>41239808</v>
      </c>
      <c r="O72" s="59" t="s">
        <v>151</v>
      </c>
      <c r="P72" s="60">
        <f t="shared" si="7"/>
        <v>231089915.70366666</v>
      </c>
    </row>
    <row r="73" spans="2:16" s="51" customFormat="1" ht="19.75" customHeight="1">
      <c r="B73" s="49">
        <v>44895</v>
      </c>
      <c r="C73" s="58">
        <v>150834825.34999999</v>
      </c>
      <c r="D73" s="58">
        <v>202451204.042</v>
      </c>
      <c r="E73" s="51">
        <f t="shared" si="4"/>
        <v>353286029.39199996</v>
      </c>
      <c r="F73" s="51" t="str">
        <f t="shared" si="5"/>
        <v>2008 q4</v>
      </c>
      <c r="G73" s="49">
        <v>39782</v>
      </c>
      <c r="H73" s="51">
        <v>20487063</v>
      </c>
      <c r="I73" s="51">
        <v>19427071</v>
      </c>
      <c r="J73" s="60">
        <v>39914134</v>
      </c>
      <c r="K73" s="60"/>
      <c r="L73" s="60">
        <f t="shared" si="6"/>
        <v>39914134</v>
      </c>
      <c r="O73" s="59" t="s">
        <v>152</v>
      </c>
      <c r="P73" s="60">
        <f t="shared" si="7"/>
        <v>239412705.51566669</v>
      </c>
    </row>
    <row r="74" spans="2:16" s="51" customFormat="1" ht="19.75" customHeight="1">
      <c r="B74" s="49">
        <v>44926</v>
      </c>
      <c r="C74" s="58">
        <v>151296410.523</v>
      </c>
      <c r="D74" s="58">
        <v>211149245.39300001</v>
      </c>
      <c r="E74" s="51">
        <f t="shared" si="4"/>
        <v>362445655.91600001</v>
      </c>
      <c r="F74" s="51" t="str">
        <f t="shared" si="5"/>
        <v>2008 q4</v>
      </c>
      <c r="G74" s="49">
        <v>39813</v>
      </c>
      <c r="H74" s="51">
        <v>20032881.829</v>
      </c>
      <c r="I74" s="51">
        <v>19447709</v>
      </c>
      <c r="J74" s="60">
        <v>39480590.828999996</v>
      </c>
      <c r="K74" s="60"/>
      <c r="L74" s="60">
        <f t="shared" si="6"/>
        <v>39480590.828999996</v>
      </c>
      <c r="O74" s="59" t="s">
        <v>153</v>
      </c>
      <c r="P74" s="60">
        <f t="shared" si="7"/>
        <v>274633058.97066671</v>
      </c>
    </row>
    <row r="75" spans="2:16" s="51" customFormat="1" ht="19.75" customHeight="1">
      <c r="B75" s="49">
        <v>44957</v>
      </c>
      <c r="C75" s="58">
        <v>151005055.618</v>
      </c>
      <c r="D75" s="58">
        <v>206519929.067</v>
      </c>
      <c r="E75" s="51">
        <f t="shared" si="4"/>
        <v>357524984.685</v>
      </c>
      <c r="F75" s="51" t="str">
        <f t="shared" si="5"/>
        <v>2009 q1</v>
      </c>
      <c r="G75" s="49">
        <v>39844</v>
      </c>
      <c r="H75" s="51">
        <v>19271859</v>
      </c>
      <c r="I75" s="51">
        <v>18970122</v>
      </c>
      <c r="J75" s="60">
        <v>38241981</v>
      </c>
      <c r="K75" s="60"/>
      <c r="L75" s="60">
        <f t="shared" si="6"/>
        <v>38241981</v>
      </c>
      <c r="O75" s="59" t="s">
        <v>154</v>
      </c>
      <c r="P75" s="60">
        <f t="shared" si="7"/>
        <v>289627372.62233335</v>
      </c>
    </row>
    <row r="76" spans="2:16" s="51" customFormat="1" ht="19.75" customHeight="1">
      <c r="B76" s="49">
        <v>44985</v>
      </c>
      <c r="C76" s="58">
        <v>154462747.01300001</v>
      </c>
      <c r="D76" s="58">
        <v>215459522.56200001</v>
      </c>
      <c r="E76" s="51">
        <f t="shared" si="4"/>
        <v>369922269.57500005</v>
      </c>
      <c r="F76" s="51" t="str">
        <f t="shared" si="5"/>
        <v>2009 q1</v>
      </c>
      <c r="G76" s="49">
        <v>39872</v>
      </c>
      <c r="H76" s="51">
        <v>16267500.9</v>
      </c>
      <c r="I76" s="51">
        <v>21842374</v>
      </c>
      <c r="J76" s="60">
        <v>38109874.899999999</v>
      </c>
      <c r="K76" s="60"/>
      <c r="L76" s="60">
        <f t="shared" si="6"/>
        <v>38109874.899999999</v>
      </c>
      <c r="O76" s="59" t="s">
        <v>155</v>
      </c>
      <c r="P76" s="60">
        <f t="shared" si="7"/>
        <v>295403872.88833338</v>
      </c>
    </row>
    <row r="77" spans="2:16" s="51" customFormat="1" ht="19.75" customHeight="1">
      <c r="B77" s="49">
        <v>45016</v>
      </c>
      <c r="C77" s="58">
        <v>160139403.03299999</v>
      </c>
      <c r="D77" s="58">
        <v>223967172.70500001</v>
      </c>
      <c r="E77" s="51">
        <f t="shared" si="4"/>
        <v>384106575.73800004</v>
      </c>
      <c r="F77" s="51" t="str">
        <f t="shared" si="5"/>
        <v>2009 q1</v>
      </c>
      <c r="G77" s="49">
        <v>39903</v>
      </c>
      <c r="H77" s="51">
        <v>15302559</v>
      </c>
      <c r="I77" s="51">
        <v>27971718</v>
      </c>
      <c r="J77" s="60">
        <v>43274277</v>
      </c>
      <c r="K77" s="60"/>
      <c r="L77" s="60">
        <f t="shared" si="6"/>
        <v>43274277</v>
      </c>
      <c r="O77" s="59" t="s">
        <v>156</v>
      </c>
      <c r="P77" s="60">
        <f t="shared" si="7"/>
        <v>341712770.66000003</v>
      </c>
    </row>
    <row r="78" spans="2:16" s="51" customFormat="1" ht="19.75" customHeight="1">
      <c r="B78" s="49">
        <v>45046</v>
      </c>
      <c r="C78" s="58">
        <v>165736108.449</v>
      </c>
      <c r="D78" s="58">
        <v>225916734.55899999</v>
      </c>
      <c r="E78" s="51">
        <f t="shared" si="4"/>
        <v>391652843.00800002</v>
      </c>
      <c r="F78" s="51" t="str">
        <f t="shared" si="5"/>
        <v>2009 q2</v>
      </c>
      <c r="G78" s="49">
        <v>39933</v>
      </c>
      <c r="H78" s="51">
        <v>13980386.65</v>
      </c>
      <c r="I78" s="51">
        <v>28670130.399999999</v>
      </c>
      <c r="J78" s="60">
        <v>42650517.049999997</v>
      </c>
      <c r="K78" s="60"/>
      <c r="L78" s="60">
        <f t="shared" si="6"/>
        <v>42650517.049999997</v>
      </c>
      <c r="O78" s="59" t="s">
        <v>157</v>
      </c>
      <c r="P78" s="60">
        <f t="shared" si="7"/>
        <v>342499852.73400003</v>
      </c>
    </row>
    <row r="79" spans="2:16" s="51" customFormat="1" ht="19.75" customHeight="1">
      <c r="B79" s="49">
        <v>45077</v>
      </c>
      <c r="C79" s="58">
        <v>173918307.509</v>
      </c>
      <c r="D79" s="58">
        <v>235710847.493</v>
      </c>
      <c r="E79" s="51">
        <f t="shared" si="4"/>
        <v>409629155.00199997</v>
      </c>
      <c r="F79" s="51" t="str">
        <f t="shared" si="5"/>
        <v>2009 q2</v>
      </c>
      <c r="G79" s="49">
        <v>39964</v>
      </c>
      <c r="H79" s="51">
        <v>14485500.375800001</v>
      </c>
      <c r="I79" s="51">
        <v>29058501.212900002</v>
      </c>
      <c r="J79" s="60">
        <v>43544001.588700004</v>
      </c>
      <c r="K79" s="60"/>
      <c r="L79" s="60">
        <f t="shared" si="6"/>
        <v>43544001.588700004</v>
      </c>
      <c r="O79" s="59" t="s">
        <v>158</v>
      </c>
      <c r="P79" s="60">
        <f t="shared" si="7"/>
        <v>347828298.009</v>
      </c>
    </row>
    <row r="80" spans="2:16" s="51" customFormat="1" ht="19.75" customHeight="1">
      <c r="B80" s="49">
        <v>45107</v>
      </c>
      <c r="C80" s="58">
        <v>177274908.442</v>
      </c>
      <c r="D80" s="58">
        <v>235575965.45100001</v>
      </c>
      <c r="E80" s="51">
        <f t="shared" si="4"/>
        <v>412850873.89300001</v>
      </c>
      <c r="F80" s="51" t="str">
        <f t="shared" si="5"/>
        <v>2009 q2</v>
      </c>
      <c r="G80" s="49">
        <v>39994</v>
      </c>
      <c r="H80" s="51">
        <v>14243473.264</v>
      </c>
      <c r="I80" s="51">
        <v>29793969.478999998</v>
      </c>
      <c r="J80" s="60">
        <v>44037442.743000001</v>
      </c>
      <c r="K80" s="60"/>
      <c r="L80" s="60">
        <f t="shared" si="6"/>
        <v>44037442.743000001</v>
      </c>
      <c r="O80" s="59" t="s">
        <v>159</v>
      </c>
      <c r="P80" s="60">
        <f t="shared" si="7"/>
        <v>357933160.53266668</v>
      </c>
    </row>
    <row r="81" spans="2:16" s="51" customFormat="1" ht="19.75" customHeight="1">
      <c r="B81" s="49">
        <v>45138</v>
      </c>
      <c r="C81" s="58">
        <v>183112751.45442</v>
      </c>
      <c r="D81" s="58">
        <v>253133675.48563999</v>
      </c>
      <c r="E81" s="51">
        <f t="shared" si="4"/>
        <v>436246426.94006002</v>
      </c>
      <c r="F81" s="51" t="str">
        <f t="shared" si="5"/>
        <v>2009 q3</v>
      </c>
      <c r="G81" s="49">
        <v>40025</v>
      </c>
      <c r="H81" s="51">
        <v>15092912.958799999</v>
      </c>
      <c r="I81" s="51">
        <v>32180519.9505</v>
      </c>
      <c r="J81" s="60">
        <v>47273432.909299999</v>
      </c>
      <c r="K81" s="60"/>
      <c r="L81" s="60">
        <f t="shared" si="6"/>
        <v>47273432.909299999</v>
      </c>
      <c r="O81" s="59" t="s">
        <v>160</v>
      </c>
      <c r="P81" s="60">
        <f t="shared" si="7"/>
        <v>356244509.477</v>
      </c>
    </row>
    <row r="82" spans="2:16" s="51" customFormat="1" ht="19.75" customHeight="1">
      <c r="B82" s="49">
        <v>45169</v>
      </c>
      <c r="C82" s="58">
        <v>189157821.73300001</v>
      </c>
      <c r="D82" s="58">
        <v>258600067.815</v>
      </c>
      <c r="E82" s="51">
        <f t="shared" si="4"/>
        <v>447757889.54799998</v>
      </c>
      <c r="F82" s="51" t="str">
        <f t="shared" si="5"/>
        <v>2009 q3</v>
      </c>
      <c r="G82" s="49">
        <v>40056</v>
      </c>
      <c r="H82" s="51">
        <v>14672188.9563</v>
      </c>
      <c r="I82" s="51">
        <v>32911035.9322</v>
      </c>
      <c r="J82" s="60">
        <v>47583224.888499998</v>
      </c>
      <c r="K82" s="60"/>
      <c r="L82" s="60">
        <f t="shared" si="6"/>
        <v>47583224.888499998</v>
      </c>
      <c r="O82" s="59" t="s">
        <v>161</v>
      </c>
      <c r="P82" s="60">
        <f t="shared" si="7"/>
        <v>353862619.08499998</v>
      </c>
    </row>
    <row r="83" spans="2:16" s="51" customFormat="1" ht="19.75" customHeight="1">
      <c r="B83" s="49">
        <v>45199</v>
      </c>
      <c r="C83" s="58">
        <v>196399623.86500001</v>
      </c>
      <c r="D83" s="58">
        <v>258201793.66</v>
      </c>
      <c r="E83" s="51">
        <f t="shared" si="4"/>
        <v>454601417.52499998</v>
      </c>
      <c r="F83" s="51" t="str">
        <f t="shared" si="5"/>
        <v>2009 q3</v>
      </c>
      <c r="G83" s="49">
        <v>40086</v>
      </c>
      <c r="H83" s="51">
        <v>14581363.806600001</v>
      </c>
      <c r="I83" s="51">
        <v>34308204.244800001</v>
      </c>
      <c r="J83" s="60">
        <v>48889568.051400006</v>
      </c>
      <c r="K83" s="60"/>
      <c r="L83" s="60">
        <f t="shared" si="6"/>
        <v>48889568.051400006</v>
      </c>
      <c r="O83" s="59" t="s">
        <v>162</v>
      </c>
      <c r="P83" s="60">
        <f t="shared" si="7"/>
        <v>370517943.3326667</v>
      </c>
    </row>
    <row r="84" spans="2:16" s="51" customFormat="1" ht="19.75" customHeight="1">
      <c r="B84" s="49">
        <v>45230</v>
      </c>
      <c r="C84" s="58">
        <v>208002316.45699999</v>
      </c>
      <c r="D84" s="58">
        <v>271723555.50099999</v>
      </c>
      <c r="E84" s="51">
        <f t="shared" si="4"/>
        <v>479725871.95799994</v>
      </c>
      <c r="F84" s="51" t="str">
        <f t="shared" si="5"/>
        <v>2009 q4</v>
      </c>
      <c r="G84" s="49">
        <v>40117</v>
      </c>
      <c r="H84" s="51">
        <v>15150805.751499999</v>
      </c>
      <c r="I84" s="51">
        <v>35785722.202399999</v>
      </c>
      <c r="J84" s="60">
        <v>50936527.953899994</v>
      </c>
      <c r="K84" s="60"/>
      <c r="L84" s="60">
        <f t="shared" si="6"/>
        <v>50936527.953899994</v>
      </c>
      <c r="O84" s="59" t="s">
        <v>163</v>
      </c>
      <c r="P84" s="60">
        <f t="shared" si="7"/>
        <v>404710957.30099994</v>
      </c>
    </row>
    <row r="85" spans="2:16" s="51" customFormat="1" ht="19.75" customHeight="1">
      <c r="B85" s="49">
        <v>45260</v>
      </c>
      <c r="C85" s="58">
        <v>214796858.65599999</v>
      </c>
      <c r="D85" s="58">
        <v>279732800.75199997</v>
      </c>
      <c r="E85" s="51">
        <f t="shared" si="4"/>
        <v>494529659.40799999</v>
      </c>
      <c r="F85" s="51" t="str">
        <f t="shared" si="5"/>
        <v>2009 q4</v>
      </c>
      <c r="G85" s="49">
        <v>40147</v>
      </c>
      <c r="H85" s="51">
        <v>15646560.270300001</v>
      </c>
      <c r="I85" s="51">
        <v>35104959.442500003</v>
      </c>
      <c r="J85" s="60">
        <v>50751519.712800004</v>
      </c>
      <c r="K85" s="60"/>
      <c r="L85" s="60">
        <f t="shared" si="6"/>
        <v>50751519.712800004</v>
      </c>
      <c r="O85" s="59" t="s">
        <v>164</v>
      </c>
      <c r="P85" s="60">
        <f t="shared" si="7"/>
        <v>446201911.33768672</v>
      </c>
    </row>
    <row r="86" spans="2:16" s="51" customFormat="1" ht="19.75" customHeight="1">
      <c r="B86" s="49">
        <v>45291</v>
      </c>
      <c r="C86" s="58">
        <v>223537898.43900001</v>
      </c>
      <c r="D86" s="58">
        <v>285681457.37699997</v>
      </c>
      <c r="E86" s="51">
        <f t="shared" si="4"/>
        <v>509219355.81599998</v>
      </c>
      <c r="F86" s="51" t="str">
        <f t="shared" si="5"/>
        <v>2009 q4</v>
      </c>
      <c r="G86" s="49">
        <v>40178</v>
      </c>
      <c r="H86" s="51">
        <v>16873566.017099999</v>
      </c>
      <c r="I86" s="51">
        <v>37258674.437600002</v>
      </c>
      <c r="J86" s="60">
        <v>54132240.454700001</v>
      </c>
      <c r="K86" s="60"/>
      <c r="L86" s="60">
        <f t="shared" si="6"/>
        <v>54132240.454700001</v>
      </c>
      <c r="O86" s="59" t="s">
        <v>165</v>
      </c>
      <c r="P86" s="60">
        <f t="shared" si="7"/>
        <v>494491629.06066662</v>
      </c>
    </row>
    <row r="87" spans="2:16" s="51" customFormat="1" ht="19.75" customHeight="1">
      <c r="B87" s="49">
        <v>45322</v>
      </c>
      <c r="C87" s="58">
        <v>228821941.55199999</v>
      </c>
      <c r="D87" s="58">
        <v>287346622.2263</v>
      </c>
      <c r="E87" s="51">
        <f t="shared" si="4"/>
        <v>516168563.77829999</v>
      </c>
      <c r="F87" s="51" t="str">
        <f t="shared" si="5"/>
        <v>2010 q1</v>
      </c>
      <c r="G87" s="49">
        <v>40209</v>
      </c>
      <c r="H87" s="51">
        <v>16686393.238</v>
      </c>
      <c r="I87" s="51">
        <v>35923538.1307</v>
      </c>
      <c r="J87" s="60">
        <v>52609931.368699998</v>
      </c>
      <c r="K87" s="60"/>
      <c r="L87" s="60">
        <f t="shared" si="6"/>
        <v>52609931.368699998</v>
      </c>
      <c r="O87" s="59" t="s">
        <v>166</v>
      </c>
      <c r="P87" s="60">
        <f t="shared" si="7"/>
        <v>528725279.05443364</v>
      </c>
    </row>
    <row r="88" spans="2:16" s="51" customFormat="1" ht="19.75" customHeight="1">
      <c r="B88" s="49">
        <v>45351</v>
      </c>
      <c r="C88" s="58">
        <v>232468837.11899999</v>
      </c>
      <c r="D88" s="58">
        <v>296132660.56800002</v>
      </c>
      <c r="E88" s="51">
        <f t="shared" si="4"/>
        <v>528601497.68700004</v>
      </c>
      <c r="F88" s="51" t="str">
        <f t="shared" si="5"/>
        <v>2010 q1</v>
      </c>
      <c r="G88" s="49">
        <v>40237</v>
      </c>
      <c r="H88" s="51">
        <v>16661682.586200001</v>
      </c>
      <c r="I88" s="51">
        <v>37211145.326800004</v>
      </c>
      <c r="J88" s="60">
        <v>53872827.913000003</v>
      </c>
      <c r="K88" s="60"/>
      <c r="L88" s="60">
        <f t="shared" si="6"/>
        <v>53872827.913000003</v>
      </c>
      <c r="O88" s="59"/>
    </row>
    <row r="89" spans="2:16" s="51" customFormat="1" ht="19.75" customHeight="1">
      <c r="B89" s="49">
        <v>45382</v>
      </c>
      <c r="C89" s="58">
        <v>243995000.52900001</v>
      </c>
      <c r="D89" s="58">
        <v>297410775.16900098</v>
      </c>
      <c r="E89" s="51">
        <f t="shared" si="4"/>
        <v>541405775.69800103</v>
      </c>
      <c r="F89" s="51" t="str">
        <f t="shared" si="5"/>
        <v>2010 q1</v>
      </c>
      <c r="G89" s="49">
        <v>40268</v>
      </c>
      <c r="H89" s="51">
        <v>17747300.233800001</v>
      </c>
      <c r="I89" s="51">
        <v>39733896.831</v>
      </c>
      <c r="J89" s="60">
        <v>57481197.064800002</v>
      </c>
      <c r="K89" s="60"/>
      <c r="L89" s="60">
        <f t="shared" si="6"/>
        <v>57481197.064800002</v>
      </c>
      <c r="O89" s="59"/>
    </row>
    <row r="90" spans="2:16" s="51" customFormat="1" ht="19.75" customHeight="1">
      <c r="B90" s="49">
        <v>45412</v>
      </c>
      <c r="C90" s="58">
        <v>232963318.76756001</v>
      </c>
      <c r="D90" s="58">
        <v>286670737.70741999</v>
      </c>
      <c r="E90" s="51">
        <f t="shared" si="4"/>
        <v>519634056.47498</v>
      </c>
      <c r="F90" s="51" t="str">
        <f t="shared" si="5"/>
        <v>2010 q2</v>
      </c>
      <c r="G90" s="49">
        <v>40298</v>
      </c>
      <c r="H90" s="51">
        <v>17802918.206099998</v>
      </c>
      <c r="I90" s="51">
        <v>41749846.462399997</v>
      </c>
      <c r="J90" s="60">
        <v>59552764.668499991</v>
      </c>
      <c r="K90" s="60"/>
      <c r="L90" s="60">
        <f t="shared" si="6"/>
        <v>59552764.668499991</v>
      </c>
      <c r="O90" s="59"/>
    </row>
    <row r="91" spans="2:16" s="51" customFormat="1" ht="28.75" customHeight="1">
      <c r="F91" s="51" t="str">
        <f t="shared" si="5"/>
        <v>2010 q2</v>
      </c>
      <c r="G91" s="49">
        <v>40329</v>
      </c>
      <c r="H91" s="51">
        <v>17592727.2278</v>
      </c>
      <c r="I91" s="51">
        <v>41786986.164099999</v>
      </c>
      <c r="J91" s="60">
        <v>59379713.391900003</v>
      </c>
      <c r="K91" s="60"/>
      <c r="L91" s="60">
        <f t="shared" si="6"/>
        <v>59379713.391900003</v>
      </c>
      <c r="O91" s="59"/>
    </row>
    <row r="92" spans="2:16">
      <c r="F92" s="51" t="str">
        <f t="shared" si="5"/>
        <v>2010 q2</v>
      </c>
      <c r="G92" s="49">
        <v>40359</v>
      </c>
      <c r="H92" s="59">
        <v>17996054.9329</v>
      </c>
      <c r="I92" s="59">
        <v>40779073.7786</v>
      </c>
      <c r="J92" s="61">
        <v>58775128.711500004</v>
      </c>
      <c r="K92" s="61"/>
      <c r="L92" s="60">
        <f t="shared" si="6"/>
        <v>58775128.711500004</v>
      </c>
    </row>
    <row r="93" spans="2:16">
      <c r="F93" s="51" t="str">
        <f t="shared" si="5"/>
        <v>2010 q3</v>
      </c>
      <c r="G93" s="49">
        <v>40390</v>
      </c>
      <c r="H93" s="59">
        <v>18616634.096999999</v>
      </c>
      <c r="I93" s="59">
        <v>44682268.937100001</v>
      </c>
      <c r="J93" s="61">
        <v>63298903.034099996</v>
      </c>
      <c r="K93" s="61"/>
      <c r="L93" s="60">
        <f t="shared" si="6"/>
        <v>63298903.034099996</v>
      </c>
    </row>
    <row r="94" spans="2:16">
      <c r="F94" s="51" t="str">
        <f t="shared" si="5"/>
        <v>2010 q3</v>
      </c>
      <c r="G94" s="49">
        <v>40421</v>
      </c>
      <c r="H94" s="59">
        <v>17243352.3321</v>
      </c>
      <c r="I94" s="59">
        <v>42056140.379900001</v>
      </c>
      <c r="J94" s="61">
        <v>59299492.711999997</v>
      </c>
      <c r="K94" s="61"/>
      <c r="L94" s="60">
        <f t="shared" si="6"/>
        <v>59299492.711999997</v>
      </c>
    </row>
    <row r="95" spans="2:16">
      <c r="F95" s="51" t="str">
        <f t="shared" si="5"/>
        <v>2010 q3</v>
      </c>
      <c r="G95" s="49">
        <v>40451</v>
      </c>
      <c r="H95" s="59">
        <v>19162757.5572</v>
      </c>
      <c r="I95" s="59">
        <v>46119226.085699998</v>
      </c>
      <c r="J95" s="61">
        <v>65281983.642899998</v>
      </c>
      <c r="K95" s="61"/>
      <c r="L95" s="60">
        <f t="shared" si="6"/>
        <v>65281983.642899998</v>
      </c>
    </row>
    <row r="96" spans="2:16">
      <c r="F96" s="51" t="str">
        <f t="shared" si="5"/>
        <v>2010 q4</v>
      </c>
      <c r="G96" s="49">
        <v>40482</v>
      </c>
      <c r="H96" s="59">
        <v>18067346.343400002</v>
      </c>
      <c r="I96" s="59">
        <v>49893007.836400002</v>
      </c>
      <c r="J96" s="61">
        <v>67960354.179800004</v>
      </c>
      <c r="K96" s="61"/>
      <c r="L96" s="60">
        <f t="shared" si="6"/>
        <v>67960354.179800004</v>
      </c>
    </row>
    <row r="97" spans="6:12">
      <c r="F97" s="51" t="str">
        <f t="shared" si="5"/>
        <v>2010 q4</v>
      </c>
      <c r="G97" s="49">
        <v>40512</v>
      </c>
      <c r="H97" s="59">
        <v>18410240.885600001</v>
      </c>
      <c r="I97" s="59">
        <v>52404124.8398</v>
      </c>
      <c r="J97" s="61">
        <v>70814365.725400001</v>
      </c>
      <c r="K97" s="61"/>
      <c r="L97" s="60">
        <f t="shared" si="6"/>
        <v>70814365.725400001</v>
      </c>
    </row>
    <row r="98" spans="6:12">
      <c r="F98" s="51" t="str">
        <f t="shared" si="5"/>
        <v>2010 q4</v>
      </c>
      <c r="G98" s="49">
        <v>40543</v>
      </c>
      <c r="H98" s="59">
        <v>18276819.698600002</v>
      </c>
      <c r="I98" s="59">
        <v>56517892.641400002</v>
      </c>
      <c r="J98" s="61">
        <v>74794712.340000004</v>
      </c>
      <c r="K98" s="61"/>
      <c r="L98" s="60">
        <f t="shared" si="6"/>
        <v>74794712.340000004</v>
      </c>
    </row>
    <row r="99" spans="6:12">
      <c r="F99" s="51" t="str">
        <f t="shared" si="5"/>
        <v>2011 q1</v>
      </c>
      <c r="G99" s="49">
        <v>40574</v>
      </c>
      <c r="H99" s="59">
        <v>18764887.706099998</v>
      </c>
      <c r="I99" s="59">
        <v>55211609.361000001</v>
      </c>
      <c r="J99" s="61">
        <v>73976497.067100003</v>
      </c>
      <c r="K99" s="61"/>
      <c r="L99" s="60">
        <f t="shared" si="6"/>
        <v>73976497.067100003</v>
      </c>
    </row>
    <row r="100" spans="6:12">
      <c r="F100" s="51" t="str">
        <f t="shared" si="5"/>
        <v>2011 q1</v>
      </c>
      <c r="G100" s="49">
        <v>40602</v>
      </c>
      <c r="H100" s="59">
        <v>19352490.491599999</v>
      </c>
      <c r="I100" s="59">
        <v>57274099.243500002</v>
      </c>
      <c r="J100" s="61">
        <v>76626589.735100001</v>
      </c>
      <c r="K100" s="61"/>
      <c r="L100" s="60">
        <f t="shared" si="6"/>
        <v>76626589.735100001</v>
      </c>
    </row>
    <row r="101" spans="6:12">
      <c r="F101" s="51" t="str">
        <f t="shared" si="5"/>
        <v>2011 q1</v>
      </c>
      <c r="G101" s="49">
        <v>40633</v>
      </c>
      <c r="H101" s="59">
        <v>18829861.675099999</v>
      </c>
      <c r="I101" s="59">
        <v>59930301.266099997</v>
      </c>
      <c r="J101" s="61">
        <v>78760162.941199988</v>
      </c>
      <c r="K101" s="61"/>
      <c r="L101" s="60">
        <f t="shared" si="6"/>
        <v>78760162.941199988</v>
      </c>
    </row>
    <row r="102" spans="6:12">
      <c r="F102" s="51" t="str">
        <f t="shared" si="5"/>
        <v>2011 q2</v>
      </c>
      <c r="G102" s="49">
        <v>40663</v>
      </c>
      <c r="H102" s="59">
        <v>19427782.906100001</v>
      </c>
      <c r="I102" s="59">
        <v>61955544.8244</v>
      </c>
      <c r="J102" s="61">
        <v>81383327.730499998</v>
      </c>
      <c r="K102" s="61"/>
      <c r="L102" s="60">
        <f t="shared" si="6"/>
        <v>81383327.730499998</v>
      </c>
    </row>
    <row r="103" spans="6:12">
      <c r="F103" s="51" t="str">
        <f t="shared" si="5"/>
        <v>2011 q2</v>
      </c>
      <c r="G103" s="49">
        <v>40694</v>
      </c>
      <c r="H103" s="59">
        <v>20500419.863200001</v>
      </c>
      <c r="I103" s="59">
        <v>63096991.667400002</v>
      </c>
      <c r="J103" s="61">
        <v>83597411.530600011</v>
      </c>
      <c r="K103" s="61"/>
      <c r="L103" s="60">
        <f t="shared" si="6"/>
        <v>83597411.530600011</v>
      </c>
    </row>
    <row r="104" spans="6:12">
      <c r="F104" s="51" t="str">
        <f t="shared" si="5"/>
        <v>2011 q2</v>
      </c>
      <c r="G104" s="49">
        <v>40724</v>
      </c>
      <c r="H104" s="59">
        <v>21312355.529599998</v>
      </c>
      <c r="I104" s="59">
        <v>65944352.174900003</v>
      </c>
      <c r="J104" s="61">
        <v>87256707.704500005</v>
      </c>
      <c r="K104" s="61"/>
      <c r="L104" s="60">
        <f t="shared" si="6"/>
        <v>87256707.704500005</v>
      </c>
    </row>
    <row r="105" spans="6:12">
      <c r="F105" s="51" t="str">
        <f t="shared" si="5"/>
        <v>2011 q3</v>
      </c>
      <c r="G105" s="49">
        <v>40755</v>
      </c>
      <c r="H105" s="59">
        <v>23161608.188000001</v>
      </c>
      <c r="I105" s="59">
        <v>67328762.256999999</v>
      </c>
      <c r="J105" s="61">
        <v>90490370.444999993</v>
      </c>
      <c r="K105" s="61"/>
      <c r="L105" s="60">
        <f t="shared" si="6"/>
        <v>90490370.444999993</v>
      </c>
    </row>
    <row r="106" spans="6:12">
      <c r="F106" s="51" t="str">
        <f t="shared" si="5"/>
        <v>2011 q3</v>
      </c>
      <c r="G106" s="49">
        <v>40786</v>
      </c>
      <c r="H106" s="59">
        <v>21412668.102600001</v>
      </c>
      <c r="I106" s="59">
        <v>65260637.329099998</v>
      </c>
      <c r="J106" s="61">
        <v>86673305.431699991</v>
      </c>
      <c r="K106" s="61"/>
      <c r="L106" s="60">
        <f t="shared" si="6"/>
        <v>86673305.431699991</v>
      </c>
    </row>
    <row r="107" spans="6:12">
      <c r="F107" s="51" t="str">
        <f t="shared" si="5"/>
        <v>2011 q3</v>
      </c>
      <c r="G107" s="49">
        <v>40816</v>
      </c>
      <c r="H107" s="59">
        <v>20777854.878600001</v>
      </c>
      <c r="I107" s="59">
        <v>64979721.5339</v>
      </c>
      <c r="J107" s="61">
        <v>85757576.412499994</v>
      </c>
      <c r="K107" s="61"/>
      <c r="L107" s="60">
        <f t="shared" si="6"/>
        <v>85757576.412499994</v>
      </c>
    </row>
    <row r="108" spans="6:12">
      <c r="F108" s="51" t="str">
        <f t="shared" si="5"/>
        <v>2011 q4</v>
      </c>
      <c r="G108" s="49">
        <v>40847</v>
      </c>
      <c r="H108" s="59">
        <v>20114976.021299999</v>
      </c>
      <c r="I108" s="59">
        <v>65103520.515199997</v>
      </c>
      <c r="J108" s="61">
        <v>85218496.536499992</v>
      </c>
      <c r="K108" s="61"/>
      <c r="L108" s="60">
        <f t="shared" si="6"/>
        <v>85218496.536499992</v>
      </c>
    </row>
    <row r="109" spans="6:12">
      <c r="F109" s="51" t="str">
        <f t="shared" si="5"/>
        <v>2011 q4</v>
      </c>
      <c r="G109" s="49">
        <v>40877</v>
      </c>
      <c r="H109" s="59">
        <v>20801099.863299999</v>
      </c>
      <c r="I109" s="59">
        <v>67477203.643800005</v>
      </c>
      <c r="J109" s="61">
        <v>88278303.507100001</v>
      </c>
      <c r="K109" s="61"/>
      <c r="L109" s="60">
        <f t="shared" si="6"/>
        <v>88278303.507100001</v>
      </c>
    </row>
    <row r="110" spans="6:12">
      <c r="F110" s="51" t="str">
        <f t="shared" si="5"/>
        <v>2011 q4</v>
      </c>
      <c r="G110" s="49">
        <v>40908</v>
      </c>
      <c r="H110" s="59">
        <v>19319642.455400001</v>
      </c>
      <c r="I110" s="59">
        <v>76659974.465800002</v>
      </c>
      <c r="J110" s="61">
        <v>95979616.921200007</v>
      </c>
      <c r="K110" s="61"/>
      <c r="L110" s="60">
        <f t="shared" si="6"/>
        <v>95979616.921200007</v>
      </c>
    </row>
    <row r="111" spans="6:12">
      <c r="F111" s="51" t="str">
        <f t="shared" si="5"/>
        <v>2012 q1</v>
      </c>
      <c r="G111" s="49">
        <v>40939</v>
      </c>
      <c r="H111" s="59">
        <v>19292674.445999999</v>
      </c>
      <c r="I111" s="59">
        <v>77144285.978</v>
      </c>
      <c r="J111" s="61">
        <v>96436960.423999995</v>
      </c>
      <c r="K111" s="61"/>
      <c r="L111" s="60">
        <f t="shared" si="6"/>
        <v>96436960.423999995</v>
      </c>
    </row>
    <row r="112" spans="6:12">
      <c r="F112" s="51" t="str">
        <f t="shared" si="5"/>
        <v>2012 q1</v>
      </c>
      <c r="G112" s="49">
        <v>40968</v>
      </c>
      <c r="H112" s="59">
        <v>18718932.631999999</v>
      </c>
      <c r="I112" s="59">
        <v>77991572.670000002</v>
      </c>
      <c r="J112" s="61">
        <v>96710505.302000001</v>
      </c>
      <c r="K112" s="61"/>
      <c r="L112" s="60">
        <f t="shared" si="6"/>
        <v>96710505.302000001</v>
      </c>
    </row>
    <row r="113" spans="6:12">
      <c r="F113" s="51" t="str">
        <f t="shared" si="5"/>
        <v>2012 q1</v>
      </c>
      <c r="G113" s="49">
        <v>40999</v>
      </c>
      <c r="H113" s="59">
        <v>18457784.088</v>
      </c>
      <c r="I113" s="59">
        <v>79166199.827000007</v>
      </c>
      <c r="J113" s="61">
        <v>97623983.915000007</v>
      </c>
      <c r="K113" s="61"/>
      <c r="L113" s="60">
        <f t="shared" si="6"/>
        <v>97623983.915000007</v>
      </c>
    </row>
    <row r="114" spans="6:12">
      <c r="F114" s="51" t="str">
        <f t="shared" si="5"/>
        <v>2012 q2</v>
      </c>
      <c r="G114" s="49">
        <v>41029</v>
      </c>
      <c r="H114" s="59">
        <v>17907249.383000001</v>
      </c>
      <c r="I114" s="59">
        <v>79225224.063999996</v>
      </c>
      <c r="J114" s="61">
        <v>97132473.446999997</v>
      </c>
      <c r="K114" s="61"/>
      <c r="L114" s="60">
        <f t="shared" si="6"/>
        <v>97132473.446999997</v>
      </c>
    </row>
    <row r="115" spans="6:12">
      <c r="F115" s="51" t="str">
        <f t="shared" si="5"/>
        <v>2012 q2</v>
      </c>
      <c r="G115" s="49">
        <v>41060</v>
      </c>
      <c r="H115" s="59">
        <v>17402208.346000001</v>
      </c>
      <c r="I115" s="59">
        <v>80876590.508000001</v>
      </c>
      <c r="J115" s="61">
        <v>98278798.854000002</v>
      </c>
      <c r="K115" s="61"/>
      <c r="L115" s="60">
        <f t="shared" si="6"/>
        <v>98278798.854000002</v>
      </c>
    </row>
    <row r="116" spans="6:12">
      <c r="F116" s="51" t="str">
        <f t="shared" si="5"/>
        <v>2012 q2</v>
      </c>
      <c r="G116" s="49">
        <v>41090</v>
      </c>
      <c r="H116" s="59">
        <v>18527068.765000001</v>
      </c>
      <c r="I116" s="59">
        <v>84832628.157000005</v>
      </c>
      <c r="J116" s="61">
        <v>103359696.92200001</v>
      </c>
      <c r="K116" s="61"/>
      <c r="L116" s="60">
        <f t="shared" si="6"/>
        <v>103359696.92200001</v>
      </c>
    </row>
    <row r="117" spans="6:12">
      <c r="F117" s="51" t="str">
        <f t="shared" si="5"/>
        <v>2012 q3</v>
      </c>
      <c r="G117" s="49">
        <v>41121</v>
      </c>
      <c r="H117" s="59">
        <v>18412879.223999999</v>
      </c>
      <c r="I117" s="59">
        <v>82185832.980000004</v>
      </c>
      <c r="J117" s="61">
        <v>100598712.204</v>
      </c>
      <c r="K117" s="61"/>
      <c r="L117" s="60">
        <f t="shared" si="6"/>
        <v>100598712.204</v>
      </c>
    </row>
    <row r="118" spans="6:12">
      <c r="F118" s="51" t="str">
        <f t="shared" si="5"/>
        <v>2012 q3</v>
      </c>
      <c r="G118" s="49">
        <v>41152</v>
      </c>
      <c r="H118" s="59">
        <v>18224573.035999998</v>
      </c>
      <c r="I118" s="59">
        <v>82178361.745000005</v>
      </c>
      <c r="J118" s="61">
        <v>100402934.781</v>
      </c>
      <c r="K118" s="61"/>
      <c r="L118" s="60">
        <f t="shared" si="6"/>
        <v>100402934.781</v>
      </c>
    </row>
    <row r="119" spans="6:12">
      <c r="F119" s="51" t="str">
        <f t="shared" si="5"/>
        <v>2012 q3</v>
      </c>
      <c r="G119" s="49">
        <v>41182</v>
      </c>
      <c r="H119" s="59">
        <v>18145654.737</v>
      </c>
      <c r="I119" s="59">
        <v>85183228.650999993</v>
      </c>
      <c r="J119" s="61">
        <v>103328883.388</v>
      </c>
      <c r="K119" s="61"/>
      <c r="L119" s="60">
        <f t="shared" si="6"/>
        <v>103328883.388</v>
      </c>
    </row>
    <row r="120" spans="6:12">
      <c r="F120" s="51" t="str">
        <f t="shared" si="5"/>
        <v>2012 q4</v>
      </c>
      <c r="G120" s="49">
        <v>41213</v>
      </c>
      <c r="H120" s="59">
        <v>17724051.101</v>
      </c>
      <c r="I120" s="59">
        <v>84260055.983119994</v>
      </c>
      <c r="J120" s="61">
        <v>101984107.08411999</v>
      </c>
      <c r="K120" s="61"/>
      <c r="L120" s="60">
        <f t="shared" si="6"/>
        <v>101984107.08411999</v>
      </c>
    </row>
    <row r="121" spans="6:12">
      <c r="F121" s="51" t="str">
        <f t="shared" si="5"/>
        <v>2012 q4</v>
      </c>
      <c r="G121" s="49">
        <v>41243</v>
      </c>
      <c r="H121" s="59">
        <v>17511501.125999998</v>
      </c>
      <c r="I121" s="59">
        <v>83907614.376000002</v>
      </c>
      <c r="J121" s="61">
        <v>101419115.502</v>
      </c>
      <c r="K121" s="61"/>
      <c r="L121" s="60">
        <f t="shared" si="6"/>
        <v>101419115.502</v>
      </c>
    </row>
    <row r="122" spans="6:12">
      <c r="F122" s="51" t="str">
        <f t="shared" si="5"/>
        <v>2012 q4</v>
      </c>
      <c r="G122" s="49">
        <v>41274</v>
      </c>
      <c r="H122" s="59">
        <v>16587141.479</v>
      </c>
      <c r="I122" s="59">
        <v>83506207.402999997</v>
      </c>
      <c r="J122" s="61">
        <v>100093348.882</v>
      </c>
      <c r="K122" s="61"/>
      <c r="L122" s="60">
        <f t="shared" si="6"/>
        <v>100093348.882</v>
      </c>
    </row>
    <row r="123" spans="6:12">
      <c r="F123" s="51" t="str">
        <f t="shared" si="5"/>
        <v>2013 q1</v>
      </c>
      <c r="G123" s="49">
        <v>41305</v>
      </c>
      <c r="H123" s="59">
        <v>16033519.881999999</v>
      </c>
      <c r="I123" s="59">
        <v>84211842.501000002</v>
      </c>
      <c r="J123" s="61">
        <v>100245362.383</v>
      </c>
      <c r="K123" s="61"/>
      <c r="L123" s="60">
        <f t="shared" si="6"/>
        <v>100245362.383</v>
      </c>
    </row>
    <row r="124" spans="6:12">
      <c r="F124" s="51" t="str">
        <f t="shared" si="5"/>
        <v>2013 q1</v>
      </c>
      <c r="G124" s="49">
        <v>41333</v>
      </c>
      <c r="H124" s="59">
        <v>16152362.793</v>
      </c>
      <c r="I124" s="59">
        <v>84390089.111000001</v>
      </c>
      <c r="J124" s="61">
        <v>100542451.904</v>
      </c>
      <c r="K124" s="61"/>
      <c r="L124" s="60">
        <f t="shared" si="6"/>
        <v>100542451.904</v>
      </c>
    </row>
    <row r="125" spans="6:12">
      <c r="F125" s="51" t="str">
        <f t="shared" si="5"/>
        <v>2013 q1</v>
      </c>
      <c r="G125" s="49">
        <v>41364</v>
      </c>
      <c r="H125" s="59">
        <v>16113045.089</v>
      </c>
      <c r="I125" s="59">
        <v>87762135.534999996</v>
      </c>
      <c r="J125" s="61">
        <v>103875180.624</v>
      </c>
      <c r="K125" s="61"/>
      <c r="L125" s="60">
        <f t="shared" si="6"/>
        <v>103875180.624</v>
      </c>
    </row>
    <row r="126" spans="6:12">
      <c r="F126" s="51" t="str">
        <f t="shared" si="5"/>
        <v>2013 q2</v>
      </c>
      <c r="G126" s="49">
        <v>41394</v>
      </c>
      <c r="H126" s="59">
        <v>17159417.166000001</v>
      </c>
      <c r="I126" s="59">
        <v>86847513.199000001</v>
      </c>
      <c r="J126" s="61">
        <v>104006930.36500001</v>
      </c>
      <c r="K126" s="61"/>
      <c r="L126" s="60">
        <f t="shared" si="6"/>
        <v>104006930.36500001</v>
      </c>
    </row>
    <row r="127" spans="6:12">
      <c r="F127" s="51" t="str">
        <f t="shared" si="5"/>
        <v>2013 q2</v>
      </c>
      <c r="G127" s="49">
        <v>41425</v>
      </c>
      <c r="H127" s="59">
        <v>16847042.693</v>
      </c>
      <c r="I127" s="59">
        <v>86937065.650999993</v>
      </c>
      <c r="J127" s="61">
        <v>103784108.344</v>
      </c>
      <c r="K127" s="61"/>
      <c r="L127" s="60">
        <f t="shared" si="6"/>
        <v>103784108.344</v>
      </c>
    </row>
    <row r="128" spans="6:12">
      <c r="F128" s="51" t="str">
        <f t="shared" si="5"/>
        <v>2013 q2</v>
      </c>
      <c r="G128" s="49">
        <v>41455</v>
      </c>
      <c r="H128" s="59">
        <v>17157102.280999999</v>
      </c>
      <c r="I128" s="59">
        <v>86222811.630999997</v>
      </c>
      <c r="J128" s="61">
        <v>103379913.912</v>
      </c>
      <c r="K128" s="61"/>
      <c r="L128" s="60">
        <f t="shared" si="6"/>
        <v>103379913.912</v>
      </c>
    </row>
    <row r="129" spans="6:12">
      <c r="F129" s="51" t="str">
        <f t="shared" si="5"/>
        <v>2013 q3</v>
      </c>
      <c r="G129" s="49">
        <v>41486</v>
      </c>
      <c r="H129" s="59">
        <v>16723450.423</v>
      </c>
      <c r="I129" s="59">
        <v>85443208.748999998</v>
      </c>
      <c r="J129" s="61">
        <v>102166659.17199999</v>
      </c>
      <c r="K129" s="61"/>
      <c r="L129" s="60">
        <f t="shared" si="6"/>
        <v>102166659.17199999</v>
      </c>
    </row>
    <row r="130" spans="6:12">
      <c r="F130" s="51" t="str">
        <f t="shared" si="5"/>
        <v>2013 q3</v>
      </c>
      <c r="G130" s="49">
        <v>41517</v>
      </c>
      <c r="H130" s="59">
        <v>14710372.582</v>
      </c>
      <c r="I130" s="59">
        <v>84706269.865999997</v>
      </c>
      <c r="J130" s="61">
        <v>99416642.447999999</v>
      </c>
      <c r="K130" s="61"/>
      <c r="L130" s="60">
        <f t="shared" si="6"/>
        <v>99416642.447999999</v>
      </c>
    </row>
    <row r="131" spans="6:12">
      <c r="F131" s="51" t="str">
        <f t="shared" si="5"/>
        <v>2013 q3</v>
      </c>
      <c r="G131" s="49">
        <v>41547</v>
      </c>
      <c r="H131" s="59">
        <v>15146804.475</v>
      </c>
      <c r="I131" s="59">
        <v>88100126.445999995</v>
      </c>
      <c r="J131" s="61">
        <v>103246930.92099999</v>
      </c>
      <c r="K131" s="61"/>
      <c r="L131" s="60">
        <f t="shared" si="6"/>
        <v>103246930.92099999</v>
      </c>
    </row>
    <row r="132" spans="6:12">
      <c r="F132" s="51" t="str">
        <f t="shared" ref="F132:F195" si="8">YEAR(G132)&amp;" q"&amp;ROUNDUP(MONTH(G132)/3,0)</f>
        <v>2013 q4</v>
      </c>
      <c r="G132" s="49">
        <v>41578</v>
      </c>
      <c r="H132" s="59">
        <v>14399865.168</v>
      </c>
      <c r="I132" s="59">
        <v>88242807.734999999</v>
      </c>
      <c r="J132" s="61">
        <v>102642672.903</v>
      </c>
      <c r="K132" s="61"/>
      <c r="L132" s="60">
        <f t="shared" ref="L132:L170" si="9">J132</f>
        <v>102642672.903</v>
      </c>
    </row>
    <row r="133" spans="6:12">
      <c r="F133" s="51" t="str">
        <f t="shared" si="8"/>
        <v>2013 q4</v>
      </c>
      <c r="G133" s="49">
        <v>41608</v>
      </c>
      <c r="H133" s="59">
        <v>13120617.965</v>
      </c>
      <c r="I133" s="59">
        <v>88021139.108999997</v>
      </c>
      <c r="J133" s="61">
        <v>101141757.074</v>
      </c>
      <c r="K133" s="61"/>
      <c r="L133" s="60">
        <f t="shared" si="9"/>
        <v>101141757.074</v>
      </c>
    </row>
    <row r="134" spans="6:12">
      <c r="F134" s="51" t="str">
        <f t="shared" si="8"/>
        <v>2013 q4</v>
      </c>
      <c r="G134" s="49">
        <v>41639</v>
      </c>
      <c r="H134" s="59">
        <v>21567171.866999999</v>
      </c>
      <c r="I134" s="59">
        <v>87840559.018999994</v>
      </c>
      <c r="J134" s="61">
        <v>109407730.88599999</v>
      </c>
      <c r="K134" s="61"/>
      <c r="L134" s="60">
        <f t="shared" si="9"/>
        <v>109407730.88599999</v>
      </c>
    </row>
    <row r="135" spans="6:12">
      <c r="F135" s="51" t="str">
        <f t="shared" si="8"/>
        <v>2014 q1</v>
      </c>
      <c r="G135" s="49">
        <v>41670</v>
      </c>
      <c r="H135" s="59">
        <v>21572766.282000002</v>
      </c>
      <c r="I135" s="59">
        <v>88561881.441</v>
      </c>
      <c r="J135" s="61">
        <v>110134647.723</v>
      </c>
      <c r="K135" s="61"/>
      <c r="L135" s="60">
        <f t="shared" si="9"/>
        <v>110134647.723</v>
      </c>
    </row>
    <row r="136" spans="6:12">
      <c r="F136" s="51" t="str">
        <f t="shared" si="8"/>
        <v>2014 q1</v>
      </c>
      <c r="G136" s="49">
        <v>41698</v>
      </c>
      <c r="H136" s="59">
        <v>21867626.522999998</v>
      </c>
      <c r="I136" s="59">
        <v>90019806.964000002</v>
      </c>
      <c r="J136" s="61">
        <v>111887433.487</v>
      </c>
      <c r="K136" s="61"/>
      <c r="L136" s="60">
        <f t="shared" si="9"/>
        <v>111887433.487</v>
      </c>
    </row>
    <row r="137" spans="6:12">
      <c r="F137" s="51" t="str">
        <f t="shared" si="8"/>
        <v>2014 q1</v>
      </c>
      <c r="G137" s="49">
        <v>41729</v>
      </c>
      <c r="H137" s="59">
        <v>21980607.954999998</v>
      </c>
      <c r="I137" s="59">
        <v>91287279.775999993</v>
      </c>
      <c r="J137" s="61">
        <v>113267887.73099999</v>
      </c>
      <c r="K137" s="61"/>
      <c r="L137" s="60">
        <f t="shared" si="9"/>
        <v>113267887.73099999</v>
      </c>
    </row>
    <row r="138" spans="6:12">
      <c r="F138" s="51" t="str">
        <f t="shared" si="8"/>
        <v>2014 q2</v>
      </c>
      <c r="G138" s="49">
        <v>41759</v>
      </c>
      <c r="H138" s="59">
        <v>22215740.870999999</v>
      </c>
      <c r="I138" s="59">
        <v>90516849.851999998</v>
      </c>
      <c r="J138" s="61">
        <v>112732590.72299999</v>
      </c>
      <c r="K138" s="61"/>
      <c r="L138" s="60">
        <f t="shared" si="9"/>
        <v>112732590.72299999</v>
      </c>
    </row>
    <row r="139" spans="6:12">
      <c r="F139" s="51" t="str">
        <f t="shared" si="8"/>
        <v>2014 q2</v>
      </c>
      <c r="G139" s="49">
        <v>41790</v>
      </c>
      <c r="H139" s="59">
        <v>22440193.528000001</v>
      </c>
      <c r="I139" s="59">
        <v>88605815.368000001</v>
      </c>
      <c r="J139" s="61">
        <v>111046008.896</v>
      </c>
      <c r="K139" s="61"/>
      <c r="L139" s="60">
        <f t="shared" si="9"/>
        <v>111046008.896</v>
      </c>
    </row>
    <row r="140" spans="6:12">
      <c r="F140" s="51" t="str">
        <f t="shared" si="8"/>
        <v>2014 q2</v>
      </c>
      <c r="G140" s="49">
        <v>41820</v>
      </c>
      <c r="H140" s="59">
        <v>23273446.565000001</v>
      </c>
      <c r="I140" s="59">
        <v>86656098.794</v>
      </c>
      <c r="J140" s="61">
        <v>109929545.359</v>
      </c>
      <c r="K140" s="61"/>
      <c r="L140" s="60">
        <f t="shared" si="9"/>
        <v>109929545.359</v>
      </c>
    </row>
    <row r="141" spans="6:12">
      <c r="F141" s="51" t="str">
        <f t="shared" si="8"/>
        <v>2014 q3</v>
      </c>
      <c r="G141" s="49">
        <v>41851</v>
      </c>
      <c r="H141" s="59">
        <v>24912303.855</v>
      </c>
      <c r="I141" s="59">
        <v>85737667.553000003</v>
      </c>
      <c r="J141" s="61">
        <v>110649971.40800001</v>
      </c>
      <c r="K141" s="61"/>
      <c r="L141" s="60">
        <f t="shared" si="9"/>
        <v>110649971.40800001</v>
      </c>
    </row>
    <row r="142" spans="6:12">
      <c r="F142" s="51" t="str">
        <f t="shared" si="8"/>
        <v>2014 q3</v>
      </c>
      <c r="G142" s="49">
        <v>41882</v>
      </c>
      <c r="H142" s="59">
        <v>25470663.131999999</v>
      </c>
      <c r="I142" s="59">
        <v>89416193.193000004</v>
      </c>
      <c r="J142" s="61">
        <v>114886856.325</v>
      </c>
      <c r="K142" s="61"/>
      <c r="L142" s="60">
        <f t="shared" si="9"/>
        <v>114886856.325</v>
      </c>
    </row>
    <row r="143" spans="6:12">
      <c r="F143" s="51" t="str">
        <f t="shared" si="8"/>
        <v>2014 q3</v>
      </c>
      <c r="G143" s="49">
        <v>41912</v>
      </c>
      <c r="H143" s="59">
        <v>26103827.737</v>
      </c>
      <c r="I143" s="59">
        <v>88682836.766000003</v>
      </c>
      <c r="J143" s="61">
        <v>114786664.50300001</v>
      </c>
      <c r="K143" s="61"/>
      <c r="L143" s="60">
        <f t="shared" si="9"/>
        <v>114786664.50300001</v>
      </c>
    </row>
    <row r="144" spans="6:12">
      <c r="F144" s="51" t="str">
        <f t="shared" si="8"/>
        <v>2014 q4</v>
      </c>
      <c r="G144" s="49">
        <v>41943</v>
      </c>
      <c r="H144" s="59">
        <v>26637480.296999998</v>
      </c>
      <c r="I144" s="59">
        <v>89072452.103</v>
      </c>
      <c r="J144" s="61">
        <v>115709932.40000001</v>
      </c>
      <c r="K144" s="61"/>
      <c r="L144" s="60">
        <f t="shared" si="9"/>
        <v>115709932.40000001</v>
      </c>
    </row>
    <row r="145" spans="6:12">
      <c r="F145" s="51" t="str">
        <f t="shared" si="8"/>
        <v>2014 q4</v>
      </c>
      <c r="G145" s="49">
        <v>41973</v>
      </c>
      <c r="H145" s="59">
        <v>26899573.254000001</v>
      </c>
      <c r="I145" s="59">
        <v>93072354.127000004</v>
      </c>
      <c r="J145" s="61">
        <v>119971927.38100001</v>
      </c>
      <c r="K145" s="61"/>
      <c r="L145" s="60">
        <f t="shared" si="9"/>
        <v>119971927.38100001</v>
      </c>
    </row>
    <row r="146" spans="6:12">
      <c r="F146" s="51" t="str">
        <f t="shared" si="8"/>
        <v>2014 q4</v>
      </c>
      <c r="G146" s="49">
        <v>42004</v>
      </c>
      <c r="H146" s="59">
        <v>25449355.324999999</v>
      </c>
      <c r="I146" s="59">
        <v>98419246.956</v>
      </c>
      <c r="J146" s="61">
        <v>123868602.281</v>
      </c>
      <c r="K146" s="61"/>
      <c r="L146" s="60">
        <f t="shared" si="9"/>
        <v>123868602.281</v>
      </c>
    </row>
    <row r="147" spans="6:12">
      <c r="F147" s="51" t="str">
        <f t="shared" si="8"/>
        <v>2015 q1</v>
      </c>
      <c r="G147" s="49">
        <v>42035</v>
      </c>
      <c r="H147" s="59">
        <v>25174525.201000001</v>
      </c>
      <c r="I147" s="59">
        <v>97535086.812000006</v>
      </c>
      <c r="J147" s="61">
        <v>122709612.01300001</v>
      </c>
      <c r="K147" s="61"/>
      <c r="L147" s="60">
        <f t="shared" si="9"/>
        <v>122709612.01300001</v>
      </c>
    </row>
    <row r="148" spans="6:12">
      <c r="F148" s="51" t="str">
        <f t="shared" si="8"/>
        <v>2015 q1</v>
      </c>
      <c r="G148" s="49">
        <v>42063</v>
      </c>
      <c r="H148" s="59">
        <v>22759253.938999999</v>
      </c>
      <c r="I148" s="59">
        <v>93502233.511000007</v>
      </c>
      <c r="J148" s="61">
        <v>116261487.45</v>
      </c>
      <c r="K148" s="61"/>
      <c r="L148" s="60">
        <f t="shared" si="9"/>
        <v>116261487.45</v>
      </c>
    </row>
    <row r="149" spans="6:12">
      <c r="F149" s="51" t="str">
        <f t="shared" si="8"/>
        <v>2015 q1</v>
      </c>
      <c r="G149" s="49">
        <v>42094</v>
      </c>
      <c r="H149" s="59">
        <v>22785490.362</v>
      </c>
      <c r="I149" s="59">
        <v>91898971.511000007</v>
      </c>
      <c r="J149" s="61">
        <v>114684461.87300001</v>
      </c>
      <c r="K149" s="61"/>
      <c r="L149" s="60">
        <f t="shared" si="9"/>
        <v>114684461.87300001</v>
      </c>
    </row>
    <row r="150" spans="6:12">
      <c r="F150" s="51" t="str">
        <f t="shared" si="8"/>
        <v>2015 q2</v>
      </c>
      <c r="G150" s="49">
        <v>42124</v>
      </c>
      <c r="H150" s="59">
        <v>22693187.475000001</v>
      </c>
      <c r="I150" s="59">
        <v>94222567.407000005</v>
      </c>
      <c r="J150" s="61">
        <v>116915754.882</v>
      </c>
      <c r="K150" s="61"/>
      <c r="L150" s="60">
        <f t="shared" si="9"/>
        <v>116915754.882</v>
      </c>
    </row>
    <row r="151" spans="6:12">
      <c r="F151" s="51" t="str">
        <f t="shared" si="8"/>
        <v>2015 q2</v>
      </c>
      <c r="G151" s="49">
        <v>42155</v>
      </c>
      <c r="H151" s="59">
        <v>22767838.935800001</v>
      </c>
      <c r="I151" s="59">
        <v>94313569.799025998</v>
      </c>
      <c r="J151" s="61">
        <v>117081408.734826</v>
      </c>
      <c r="K151" s="61"/>
      <c r="L151" s="60">
        <f t="shared" si="9"/>
        <v>117081408.734826</v>
      </c>
    </row>
    <row r="152" spans="6:12">
      <c r="F152" s="51" t="str">
        <f t="shared" si="8"/>
        <v>2015 q2</v>
      </c>
      <c r="G152" s="49">
        <v>42185</v>
      </c>
      <c r="H152" s="59">
        <v>22192004.377900001</v>
      </c>
      <c r="I152" s="59">
        <v>92902565.278423995</v>
      </c>
      <c r="J152" s="61">
        <v>115094569.656324</v>
      </c>
      <c r="K152" s="61"/>
      <c r="L152" s="60">
        <f t="shared" si="9"/>
        <v>115094569.656324</v>
      </c>
    </row>
    <row r="153" spans="6:12">
      <c r="F153" s="51" t="str">
        <f t="shared" si="8"/>
        <v>2015 q3</v>
      </c>
      <c r="G153" s="49">
        <v>42216</v>
      </c>
      <c r="H153" s="59">
        <v>26869353.8695</v>
      </c>
      <c r="I153" s="59">
        <v>93350452.844328001</v>
      </c>
      <c r="J153" s="61">
        <v>120219806.713828</v>
      </c>
      <c r="K153" s="61"/>
      <c r="L153" s="60">
        <f t="shared" si="9"/>
        <v>120219806.713828</v>
      </c>
    </row>
    <row r="154" spans="6:12">
      <c r="F154" s="51" t="str">
        <f t="shared" si="8"/>
        <v>2015 q3</v>
      </c>
      <c r="G154" s="49">
        <v>42247</v>
      </c>
      <c r="H154" s="59">
        <v>28443211.751200002</v>
      </c>
      <c r="I154" s="59">
        <v>92957232.043787003</v>
      </c>
      <c r="J154" s="61">
        <v>121400443.79498701</v>
      </c>
      <c r="K154" s="61"/>
      <c r="L154" s="60">
        <f t="shared" si="9"/>
        <v>121400443.79498701</v>
      </c>
    </row>
    <row r="155" spans="6:12">
      <c r="F155" s="51" t="str">
        <f t="shared" si="8"/>
        <v>2015 q3</v>
      </c>
      <c r="G155" s="49">
        <v>42277</v>
      </c>
      <c r="H155" s="59">
        <v>26739830.7498</v>
      </c>
      <c r="I155" s="59">
        <v>86256913.375799999</v>
      </c>
      <c r="J155" s="61">
        <v>112996744.1256</v>
      </c>
      <c r="K155" s="61"/>
      <c r="L155" s="60">
        <f t="shared" si="9"/>
        <v>112996744.1256</v>
      </c>
    </row>
    <row r="156" spans="6:12">
      <c r="F156" s="51" t="str">
        <f t="shared" si="8"/>
        <v>2015 q4</v>
      </c>
      <c r="G156" s="49">
        <v>42308</v>
      </c>
      <c r="H156" s="59">
        <v>25643384.207199998</v>
      </c>
      <c r="I156" s="59">
        <v>83758672.159611002</v>
      </c>
      <c r="J156" s="61">
        <v>109402056.36681101</v>
      </c>
      <c r="K156" s="61"/>
      <c r="L156" s="60">
        <f t="shared" si="9"/>
        <v>109402056.36681101</v>
      </c>
    </row>
    <row r="157" spans="6:12">
      <c r="F157" s="51" t="str">
        <f t="shared" si="8"/>
        <v>2015 q4</v>
      </c>
      <c r="G157" s="49">
        <v>42338</v>
      </c>
      <c r="H157" s="59">
        <v>25765798.9197</v>
      </c>
      <c r="I157" s="59">
        <v>85960893.057089999</v>
      </c>
      <c r="J157" s="61">
        <v>111726691.97679</v>
      </c>
      <c r="K157" s="61"/>
      <c r="L157" s="60">
        <f t="shared" si="9"/>
        <v>111726691.97679</v>
      </c>
    </row>
    <row r="158" spans="6:12">
      <c r="F158" s="51" t="str">
        <f t="shared" si="8"/>
        <v>2015 q4</v>
      </c>
      <c r="G158" s="49">
        <v>42369</v>
      </c>
      <c r="H158" s="59">
        <v>26030554.794399999</v>
      </c>
      <c r="I158" s="59">
        <v>80546165.186287001</v>
      </c>
      <c r="J158" s="61">
        <v>106576719.98068699</v>
      </c>
      <c r="K158" s="61"/>
      <c r="L158" s="60">
        <f t="shared" si="9"/>
        <v>106576719.98068699</v>
      </c>
    </row>
    <row r="159" spans="6:12">
      <c r="F159" s="51" t="str">
        <f t="shared" si="8"/>
        <v>2016 q1</v>
      </c>
      <c r="G159" s="49">
        <v>42400</v>
      </c>
      <c r="H159" s="59">
        <v>26037437.511</v>
      </c>
      <c r="I159" s="59">
        <v>82242373.953999996</v>
      </c>
      <c r="J159" s="61">
        <v>108279811.465</v>
      </c>
      <c r="K159" s="61"/>
      <c r="L159" s="60">
        <f t="shared" si="9"/>
        <v>108279811.465</v>
      </c>
    </row>
    <row r="160" spans="6:12">
      <c r="F160" s="51" t="str">
        <f t="shared" si="8"/>
        <v>2016 q1</v>
      </c>
      <c r="G160" s="49">
        <v>42429</v>
      </c>
      <c r="H160" s="59">
        <v>25915539.693999998</v>
      </c>
      <c r="I160" s="59">
        <v>87140239.854144007</v>
      </c>
      <c r="J160" s="61">
        <v>113055779.54814401</v>
      </c>
      <c r="K160" s="61"/>
      <c r="L160" s="60">
        <f t="shared" si="9"/>
        <v>113055779.54814401</v>
      </c>
    </row>
    <row r="161" spans="6:12">
      <c r="F161" s="51" t="str">
        <f t="shared" si="8"/>
        <v>2016 q1</v>
      </c>
      <c r="G161" s="49">
        <v>42460</v>
      </c>
      <c r="H161" s="59">
        <v>26999123.033199999</v>
      </c>
      <c r="I161" s="59">
        <v>85705064.020077005</v>
      </c>
      <c r="J161" s="61">
        <v>112704187.053277</v>
      </c>
      <c r="K161" s="61"/>
      <c r="L161" s="60">
        <f t="shared" si="9"/>
        <v>112704187.053277</v>
      </c>
    </row>
    <row r="162" spans="6:12">
      <c r="F162" s="51" t="str">
        <f t="shared" si="8"/>
        <v>2016 q2</v>
      </c>
      <c r="G162" s="49">
        <v>42490</v>
      </c>
      <c r="H162" s="59">
        <v>27087860.6175</v>
      </c>
      <c r="I162" s="59">
        <v>86447644.662070006</v>
      </c>
      <c r="J162" s="61">
        <v>113535505.27957001</v>
      </c>
      <c r="K162" s="61"/>
      <c r="L162" s="60">
        <f t="shared" si="9"/>
        <v>113535505.27957001</v>
      </c>
    </row>
    <row r="163" spans="6:12">
      <c r="F163" s="51" t="str">
        <f t="shared" si="8"/>
        <v>2016 q2</v>
      </c>
      <c r="G163" s="49">
        <v>42521</v>
      </c>
      <c r="H163" s="59">
        <v>28071821</v>
      </c>
      <c r="I163" s="59">
        <v>87501574</v>
      </c>
      <c r="J163" s="61">
        <v>115573395</v>
      </c>
      <c r="K163" s="61"/>
      <c r="L163" s="60">
        <f t="shared" si="9"/>
        <v>115573395</v>
      </c>
    </row>
    <row r="164" spans="6:12">
      <c r="F164" s="51" t="str">
        <f t="shared" si="8"/>
        <v>2016 q2</v>
      </c>
      <c r="G164" s="49">
        <v>42551</v>
      </c>
      <c r="H164" s="59">
        <v>28059504</v>
      </c>
      <c r="I164" s="59">
        <v>85485395</v>
      </c>
      <c r="J164" s="61">
        <v>113544899</v>
      </c>
      <c r="K164" s="61"/>
      <c r="L164" s="60">
        <f t="shared" si="9"/>
        <v>113544899</v>
      </c>
    </row>
    <row r="165" spans="6:12">
      <c r="F165" s="51" t="str">
        <f t="shared" si="8"/>
        <v>2016 q3</v>
      </c>
      <c r="G165" s="49">
        <v>42582</v>
      </c>
      <c r="H165" s="59">
        <v>28636727</v>
      </c>
      <c r="I165" s="59">
        <v>85996054</v>
      </c>
      <c r="J165" s="61">
        <v>114632781</v>
      </c>
      <c r="K165" s="61"/>
      <c r="L165" s="60">
        <f t="shared" si="9"/>
        <v>114632781</v>
      </c>
    </row>
    <row r="166" spans="6:12">
      <c r="F166" s="51" t="str">
        <f t="shared" si="8"/>
        <v>2016 q3</v>
      </c>
      <c r="G166" s="49">
        <v>42613</v>
      </c>
      <c r="H166" s="59">
        <v>28593530</v>
      </c>
      <c r="I166" s="59">
        <v>86202598</v>
      </c>
      <c r="J166" s="61">
        <v>114796128</v>
      </c>
      <c r="K166" s="61"/>
      <c r="L166" s="60">
        <f t="shared" si="9"/>
        <v>114796128</v>
      </c>
    </row>
    <row r="167" spans="6:12">
      <c r="F167" s="51" t="str">
        <f t="shared" si="8"/>
        <v>2016 q3</v>
      </c>
      <c r="G167" s="49">
        <v>42643</v>
      </c>
      <c r="H167" s="59">
        <v>27497329</v>
      </c>
      <c r="I167" s="59">
        <v>84320713</v>
      </c>
      <c r="J167" s="61">
        <v>111818042</v>
      </c>
      <c r="K167" s="61"/>
      <c r="L167" s="60">
        <f t="shared" si="9"/>
        <v>111818042</v>
      </c>
    </row>
    <row r="168" spans="6:12">
      <c r="F168" s="51" t="str">
        <f t="shared" si="8"/>
        <v>2016 q4</v>
      </c>
      <c r="G168" s="49">
        <v>42674</v>
      </c>
      <c r="H168" s="59">
        <v>28006217</v>
      </c>
      <c r="I168" s="59">
        <v>82569124</v>
      </c>
      <c r="J168" s="61">
        <v>110575341</v>
      </c>
      <c r="K168" s="61"/>
      <c r="L168" s="60">
        <f t="shared" si="9"/>
        <v>110575341</v>
      </c>
    </row>
    <row r="169" spans="6:12">
      <c r="F169" s="51" t="str">
        <f t="shared" si="8"/>
        <v>2016 q4</v>
      </c>
      <c r="G169" s="49">
        <v>42704</v>
      </c>
      <c r="H169" s="59">
        <v>27881963</v>
      </c>
      <c r="I169" s="59">
        <v>79748290</v>
      </c>
      <c r="J169" s="61">
        <v>107630253</v>
      </c>
      <c r="K169" s="61"/>
      <c r="L169" s="60">
        <f t="shared" si="9"/>
        <v>107630253</v>
      </c>
    </row>
    <row r="170" spans="6:12">
      <c r="F170" s="51" t="str">
        <f t="shared" si="8"/>
        <v>2016 q4</v>
      </c>
      <c r="G170" s="49">
        <v>42735</v>
      </c>
      <c r="H170" s="59">
        <v>13759868</v>
      </c>
      <c r="I170" s="59">
        <v>89053073</v>
      </c>
      <c r="J170" s="61">
        <v>102812941</v>
      </c>
      <c r="K170" s="61"/>
      <c r="L170" s="60">
        <f t="shared" si="9"/>
        <v>102812941</v>
      </c>
    </row>
    <row r="171" spans="6:12">
      <c r="F171" s="51" t="str">
        <f t="shared" si="8"/>
        <v>2017 q1</v>
      </c>
      <c r="G171" s="49">
        <v>42766</v>
      </c>
      <c r="H171" s="59">
        <v>12977854</v>
      </c>
      <c r="I171" s="59">
        <v>87896068</v>
      </c>
      <c r="J171" s="61">
        <v>100873922</v>
      </c>
      <c r="K171" s="61">
        <f>E3</f>
        <v>110629518.097</v>
      </c>
      <c r="L171" s="61">
        <f>K171</f>
        <v>110629518.097</v>
      </c>
    </row>
    <row r="172" spans="6:12">
      <c r="F172" s="51" t="str">
        <f t="shared" si="8"/>
        <v>2017 q1</v>
      </c>
      <c r="G172" s="49">
        <v>42794</v>
      </c>
      <c r="H172" s="59">
        <v>13452404</v>
      </c>
      <c r="I172" s="59">
        <v>87750861</v>
      </c>
      <c r="J172" s="61">
        <v>101203265</v>
      </c>
      <c r="K172" s="61">
        <f t="shared" ref="K172:K235" si="10">E4</f>
        <v>109813233.14</v>
      </c>
      <c r="L172" s="61">
        <f t="shared" ref="L172:L235" si="11">K172</f>
        <v>109813233.14</v>
      </c>
    </row>
    <row r="173" spans="6:12">
      <c r="F173" s="51" t="str">
        <f t="shared" si="8"/>
        <v>2017 q1</v>
      </c>
      <c r="G173" s="49">
        <v>42825</v>
      </c>
      <c r="H173" s="59">
        <v>12462838</v>
      </c>
      <c r="I173" s="59">
        <v>95816103</v>
      </c>
      <c r="J173" s="61">
        <v>108278941</v>
      </c>
      <c r="K173" s="61">
        <f t="shared" si="10"/>
        <v>113556327.948</v>
      </c>
      <c r="L173" s="61">
        <f t="shared" si="11"/>
        <v>113556327.948</v>
      </c>
    </row>
    <row r="174" spans="6:12">
      <c r="F174" s="51" t="str">
        <f t="shared" si="8"/>
        <v>2017 q2</v>
      </c>
      <c r="G174" s="49">
        <v>42855</v>
      </c>
      <c r="H174" s="59">
        <v>14531790</v>
      </c>
      <c r="I174" s="59">
        <v>96866592</v>
      </c>
      <c r="J174" s="61">
        <v>111398382</v>
      </c>
      <c r="K174" s="61">
        <f t="shared" si="10"/>
        <v>116849360.14860001</v>
      </c>
      <c r="L174" s="61">
        <f t="shared" si="11"/>
        <v>116849360.14860001</v>
      </c>
    </row>
    <row r="175" spans="6:12">
      <c r="F175" s="51" t="str">
        <f t="shared" si="8"/>
        <v>2017 q2</v>
      </c>
      <c r="G175" s="49">
        <v>42886</v>
      </c>
      <c r="H175" s="59">
        <v>15015470</v>
      </c>
      <c r="I175" s="59">
        <v>97458524</v>
      </c>
      <c r="J175" s="61">
        <v>112473994</v>
      </c>
      <c r="K175" s="61">
        <f t="shared" si="10"/>
        <v>117692669.729</v>
      </c>
      <c r="L175" s="61">
        <f t="shared" si="11"/>
        <v>117692669.729</v>
      </c>
    </row>
    <row r="176" spans="6:12">
      <c r="F176" s="51" t="str">
        <f t="shared" si="8"/>
        <v>2017 q2</v>
      </c>
      <c r="G176" s="49">
        <v>42916</v>
      </c>
      <c r="H176" s="59">
        <v>19932491</v>
      </c>
      <c r="I176" s="59">
        <v>98786051</v>
      </c>
      <c r="J176" s="61">
        <v>118718542</v>
      </c>
      <c r="K176" s="61">
        <f t="shared" si="10"/>
        <v>123890982.655</v>
      </c>
      <c r="L176" s="61">
        <f t="shared" si="11"/>
        <v>123890982.655</v>
      </c>
    </row>
    <row r="177" spans="6:12">
      <c r="F177" s="51" t="str">
        <f t="shared" si="8"/>
        <v>2017 q3</v>
      </c>
      <c r="G177" s="49">
        <v>42947</v>
      </c>
      <c r="H177" s="59">
        <v>19654982</v>
      </c>
      <c r="I177" s="59">
        <v>100112795</v>
      </c>
      <c r="J177" s="61">
        <v>119767777</v>
      </c>
      <c r="K177" s="61">
        <f t="shared" si="10"/>
        <v>125288761.796</v>
      </c>
      <c r="L177" s="61">
        <f t="shared" si="11"/>
        <v>125288761.796</v>
      </c>
    </row>
    <row r="178" spans="6:12">
      <c r="F178" s="51" t="str">
        <f t="shared" si="8"/>
        <v>2017 q3</v>
      </c>
      <c r="G178" s="49">
        <v>42978</v>
      </c>
      <c r="H178" s="59">
        <v>20391964</v>
      </c>
      <c r="I178" s="59">
        <v>92565425</v>
      </c>
      <c r="J178" s="61">
        <v>112957389</v>
      </c>
      <c r="K178" s="61">
        <f t="shared" si="10"/>
        <v>118672267.28099999</v>
      </c>
      <c r="L178" s="61">
        <f t="shared" si="11"/>
        <v>118672267.28099999</v>
      </c>
    </row>
    <row r="179" spans="6:12">
      <c r="F179" s="51" t="str">
        <f t="shared" si="8"/>
        <v>2017 q3</v>
      </c>
      <c r="G179" s="49">
        <v>43008</v>
      </c>
      <c r="H179" s="59">
        <v>21174708</v>
      </c>
      <c r="I179" s="59">
        <v>104372150</v>
      </c>
      <c r="J179" s="61">
        <v>125546858</v>
      </c>
      <c r="K179" s="61">
        <f t="shared" si="10"/>
        <v>131368589.447</v>
      </c>
      <c r="L179" s="61">
        <f t="shared" si="11"/>
        <v>131368589.447</v>
      </c>
    </row>
    <row r="180" spans="6:12">
      <c r="F180" s="51" t="str">
        <f t="shared" si="8"/>
        <v>2017 q4</v>
      </c>
      <c r="G180" s="49">
        <v>43039</v>
      </c>
      <c r="H180" s="59">
        <v>22337577</v>
      </c>
      <c r="I180" s="59">
        <v>108243961</v>
      </c>
      <c r="J180" s="61">
        <v>130581538</v>
      </c>
      <c r="K180" s="61">
        <f t="shared" si="10"/>
        <v>136575896.17500001</v>
      </c>
      <c r="L180" s="61">
        <f t="shared" si="11"/>
        <v>136575896.17500001</v>
      </c>
    </row>
    <row r="181" spans="6:12">
      <c r="F181" s="51" t="str">
        <f t="shared" si="8"/>
        <v>2017 q4</v>
      </c>
      <c r="G181" s="49">
        <v>43069</v>
      </c>
      <c r="H181" s="59">
        <v>24500857</v>
      </c>
      <c r="I181" s="59">
        <v>109973958</v>
      </c>
      <c r="J181" s="61">
        <v>134474815</v>
      </c>
      <c r="K181" s="61">
        <f t="shared" si="10"/>
        <v>140661528.04300001</v>
      </c>
      <c r="L181" s="61">
        <f t="shared" si="11"/>
        <v>140661528.04300001</v>
      </c>
    </row>
    <row r="182" spans="6:12">
      <c r="F182" s="51" t="str">
        <f t="shared" si="8"/>
        <v>2017 q4</v>
      </c>
      <c r="G182" s="49">
        <v>43100</v>
      </c>
      <c r="H182" s="59">
        <v>26120388</v>
      </c>
      <c r="I182" s="59">
        <v>117657499</v>
      </c>
      <c r="J182" s="61">
        <v>143777887</v>
      </c>
      <c r="K182" s="61">
        <f t="shared" si="10"/>
        <v>148764776.41</v>
      </c>
      <c r="L182" s="61">
        <f t="shared" si="11"/>
        <v>148764776.41</v>
      </c>
    </row>
    <row r="183" spans="6:12">
      <c r="F183" s="51" t="str">
        <f t="shared" si="8"/>
        <v>2018 q1</v>
      </c>
      <c r="G183" s="49">
        <v>43131</v>
      </c>
      <c r="H183" s="59">
        <v>25024532</v>
      </c>
      <c r="I183" s="59">
        <v>107819065</v>
      </c>
      <c r="J183" s="61">
        <v>132843597</v>
      </c>
      <c r="K183" s="61">
        <f t="shared" si="10"/>
        <v>138034788.66</v>
      </c>
      <c r="L183" s="61">
        <f t="shared" si="11"/>
        <v>138034788.66</v>
      </c>
    </row>
    <row r="184" spans="6:12">
      <c r="F184" s="51" t="str">
        <f t="shared" si="8"/>
        <v>2018 q1</v>
      </c>
      <c r="G184" s="49">
        <v>43159</v>
      </c>
      <c r="H184" s="59">
        <v>24701842</v>
      </c>
      <c r="I184" s="59">
        <v>112341110</v>
      </c>
      <c r="J184" s="61">
        <v>137042952</v>
      </c>
      <c r="K184" s="61">
        <f t="shared" si="10"/>
        <v>142400465.428</v>
      </c>
      <c r="L184" s="61">
        <f t="shared" si="11"/>
        <v>142400465.428</v>
      </c>
    </row>
    <row r="185" spans="6:12">
      <c r="F185" s="51" t="str">
        <f t="shared" si="8"/>
        <v>2018 q1</v>
      </c>
      <c r="G185" s="49">
        <v>43190</v>
      </c>
      <c r="H185" s="59">
        <v>28572900</v>
      </c>
      <c r="I185" s="59">
        <v>121356864</v>
      </c>
      <c r="J185" s="61">
        <v>149929764</v>
      </c>
      <c r="K185" s="61">
        <f t="shared" si="10"/>
        <v>155385465.01300001</v>
      </c>
      <c r="L185" s="61">
        <f t="shared" si="11"/>
        <v>155385465.01300001</v>
      </c>
    </row>
    <row r="186" spans="6:12">
      <c r="F186" s="51" t="str">
        <f t="shared" si="8"/>
        <v>2018 q2</v>
      </c>
      <c r="G186" s="49">
        <v>43220</v>
      </c>
      <c r="H186" s="59">
        <v>28187248</v>
      </c>
      <c r="I186" s="59">
        <v>114403676</v>
      </c>
      <c r="J186" s="61">
        <v>142590924</v>
      </c>
      <c r="K186" s="61">
        <f t="shared" si="10"/>
        <v>148437385.678</v>
      </c>
      <c r="L186" s="61">
        <f t="shared" si="11"/>
        <v>148437385.678</v>
      </c>
    </row>
    <row r="187" spans="6:12">
      <c r="F187" s="51" t="str">
        <f t="shared" si="8"/>
        <v>2018 q2</v>
      </c>
      <c r="G187" s="49">
        <v>43251</v>
      </c>
      <c r="H187" s="59">
        <v>28208461</v>
      </c>
      <c r="I187" s="59">
        <v>112855600</v>
      </c>
      <c r="J187" s="61">
        <v>141064061</v>
      </c>
      <c r="K187" s="61">
        <f t="shared" si="10"/>
        <v>156294279.88600001</v>
      </c>
      <c r="L187" s="61">
        <f t="shared" si="11"/>
        <v>156294279.88600001</v>
      </c>
    </row>
    <row r="188" spans="6:12">
      <c r="F188" s="51" t="str">
        <f t="shared" si="8"/>
        <v>2018 q2</v>
      </c>
      <c r="G188" s="49">
        <v>43281</v>
      </c>
      <c r="H188" s="59">
        <v>36018261</v>
      </c>
      <c r="I188" s="59">
        <v>108086471</v>
      </c>
      <c r="J188" s="61">
        <v>144104732</v>
      </c>
      <c r="K188" s="61">
        <f t="shared" si="10"/>
        <v>149194698.435</v>
      </c>
      <c r="L188" s="61">
        <f t="shared" si="11"/>
        <v>149194698.435</v>
      </c>
    </row>
    <row r="189" spans="6:12">
      <c r="F189" s="51" t="str">
        <f t="shared" si="8"/>
        <v>2018 q3</v>
      </c>
      <c r="G189" s="49">
        <v>43312</v>
      </c>
      <c r="H189" s="59">
        <v>38814289</v>
      </c>
      <c r="I189" s="59">
        <v>109631957</v>
      </c>
      <c r="J189" s="61">
        <v>148446246</v>
      </c>
      <c r="K189" s="61">
        <f t="shared" si="10"/>
        <v>154377573.935</v>
      </c>
      <c r="L189" s="61">
        <f t="shared" si="11"/>
        <v>154377573.935</v>
      </c>
    </row>
    <row r="190" spans="6:12">
      <c r="F190" s="51" t="str">
        <f t="shared" si="8"/>
        <v>2018 q3</v>
      </c>
      <c r="G190" s="49">
        <v>43343</v>
      </c>
      <c r="H190" s="59">
        <v>40666273</v>
      </c>
      <c r="I190" s="59">
        <v>111218967</v>
      </c>
      <c r="J190" s="61">
        <v>151885240</v>
      </c>
      <c r="K190" s="61">
        <f t="shared" si="10"/>
        <v>158170493.52500001</v>
      </c>
      <c r="L190" s="61">
        <f t="shared" si="11"/>
        <v>158170493.52500001</v>
      </c>
    </row>
    <row r="191" spans="6:12">
      <c r="F191" s="51" t="str">
        <f t="shared" si="8"/>
        <v>2018 q3</v>
      </c>
      <c r="G191" s="49">
        <v>43373</v>
      </c>
      <c r="H191" s="59">
        <v>41439503</v>
      </c>
      <c r="I191" s="59">
        <v>123842769</v>
      </c>
      <c r="J191" s="61">
        <v>165282272</v>
      </c>
      <c r="K191" s="61">
        <f t="shared" si="10"/>
        <v>171447086.69</v>
      </c>
      <c r="L191" s="61">
        <f t="shared" si="11"/>
        <v>171447086.69</v>
      </c>
    </row>
    <row r="192" spans="6:12">
      <c r="F192" s="51" t="str">
        <f t="shared" si="8"/>
        <v>2018 q4</v>
      </c>
      <c r="G192" s="49">
        <v>43404</v>
      </c>
      <c r="H192" s="59">
        <v>42015803</v>
      </c>
      <c r="I192" s="59">
        <v>125349679</v>
      </c>
      <c r="J192" s="61">
        <v>167365482</v>
      </c>
      <c r="K192" s="61">
        <f t="shared" si="10"/>
        <v>173974018.461</v>
      </c>
      <c r="L192" s="61">
        <f t="shared" si="11"/>
        <v>173974018.461</v>
      </c>
    </row>
    <row r="193" spans="6:12">
      <c r="F193" s="51" t="str">
        <f t="shared" si="8"/>
        <v>2018 q4</v>
      </c>
      <c r="G193" s="49">
        <v>43434</v>
      </c>
      <c r="H193" s="59">
        <v>37667041</v>
      </c>
      <c r="I193" s="59">
        <v>132239140</v>
      </c>
      <c r="J193" s="61">
        <v>169906181</v>
      </c>
      <c r="K193" s="61">
        <f t="shared" si="10"/>
        <v>176859348.37699997</v>
      </c>
      <c r="L193" s="61">
        <f t="shared" si="11"/>
        <v>176859348.37699997</v>
      </c>
    </row>
    <row r="194" spans="6:12">
      <c r="F194" s="51" t="str">
        <f t="shared" si="8"/>
        <v>2018 q4</v>
      </c>
      <c r="G194" s="49">
        <v>43465</v>
      </c>
      <c r="H194" s="59">
        <v>38406560</v>
      </c>
      <c r="I194" s="59">
        <v>122752611</v>
      </c>
      <c r="J194" s="61">
        <v>161159171</v>
      </c>
      <c r="K194" s="61">
        <f t="shared" si="10"/>
        <v>168755268.255</v>
      </c>
      <c r="L194" s="61">
        <f t="shared" si="11"/>
        <v>168755268.255</v>
      </c>
    </row>
    <row r="195" spans="6:12">
      <c r="F195" s="51" t="str">
        <f t="shared" si="8"/>
        <v>2019 q1</v>
      </c>
      <c r="G195" s="49">
        <v>43496</v>
      </c>
      <c r="H195" s="59">
        <v>39950922</v>
      </c>
      <c r="I195" s="59">
        <v>127097291</v>
      </c>
      <c r="J195" s="61">
        <v>167048213</v>
      </c>
      <c r="K195" s="61">
        <f t="shared" si="10"/>
        <v>176343836.19799998</v>
      </c>
      <c r="L195" s="61">
        <f t="shared" si="11"/>
        <v>176343836.19799998</v>
      </c>
    </row>
    <row r="196" spans="6:12">
      <c r="F196" s="51" t="str">
        <f t="shared" ref="F196:F257" si="12">YEAR(G196)&amp;" q"&amp;ROUNDUP(MONTH(G196)/3,0)</f>
        <v>2019 q1</v>
      </c>
      <c r="G196" s="49">
        <v>43524</v>
      </c>
      <c r="H196" s="59">
        <v>38007072</v>
      </c>
      <c r="I196" s="59">
        <v>131400370</v>
      </c>
      <c r="J196" s="61">
        <v>169407442</v>
      </c>
      <c r="K196" s="61">
        <f t="shared" si="10"/>
        <v>178641166.7899999</v>
      </c>
      <c r="L196" s="61">
        <f t="shared" si="11"/>
        <v>178641166.7899999</v>
      </c>
    </row>
    <row r="197" spans="6:12">
      <c r="F197" s="51" t="str">
        <f t="shared" si="12"/>
        <v>2019 q1</v>
      </c>
      <c r="G197" s="49">
        <v>43555</v>
      </c>
      <c r="H197" s="59">
        <v>38652430</v>
      </c>
      <c r="I197" s="59">
        <v>132169194</v>
      </c>
      <c r="J197" s="61">
        <v>170821624</v>
      </c>
      <c r="K197" s="61">
        <f t="shared" si="10"/>
        <v>180266894.63299999</v>
      </c>
      <c r="L197" s="61">
        <f t="shared" si="11"/>
        <v>180266894.63299999</v>
      </c>
    </row>
    <row r="198" spans="6:12">
      <c r="F198" s="51" t="str">
        <f t="shared" si="12"/>
        <v>2019 q2</v>
      </c>
      <c r="G198" s="49">
        <v>43585</v>
      </c>
      <c r="H198" s="59">
        <v>40540365</v>
      </c>
      <c r="I198" s="59">
        <v>128668775</v>
      </c>
      <c r="J198" s="61">
        <v>169209140</v>
      </c>
      <c r="K198" s="61">
        <f t="shared" si="10"/>
        <v>178819916.28200001</v>
      </c>
      <c r="L198" s="61">
        <f t="shared" si="11"/>
        <v>178819916.28200001</v>
      </c>
    </row>
    <row r="199" spans="6:12">
      <c r="F199" s="51" t="str">
        <f t="shared" si="12"/>
        <v>2019 q2</v>
      </c>
      <c r="G199" s="49">
        <v>43616</v>
      </c>
      <c r="H199" s="59">
        <v>41646291</v>
      </c>
      <c r="I199" s="59">
        <v>130464850</v>
      </c>
      <c r="J199" s="61">
        <v>172111141</v>
      </c>
      <c r="K199" s="61">
        <f t="shared" si="10"/>
        <v>182092096.68600002</v>
      </c>
      <c r="L199" s="61">
        <f t="shared" si="11"/>
        <v>182092096.68600002</v>
      </c>
    </row>
    <row r="200" spans="6:12">
      <c r="F200" s="51" t="str">
        <f t="shared" si="12"/>
        <v>2019 q2</v>
      </c>
      <c r="G200" s="49">
        <v>43646</v>
      </c>
      <c r="H200" s="59">
        <v>42911321</v>
      </c>
      <c r="I200" s="59">
        <v>129693158</v>
      </c>
      <c r="J200" s="61">
        <v>172604479</v>
      </c>
      <c r="K200" s="61">
        <f t="shared" si="10"/>
        <v>182259195.0690001</v>
      </c>
      <c r="L200" s="61">
        <f t="shared" si="11"/>
        <v>182259195.0690001</v>
      </c>
    </row>
    <row r="201" spans="6:12">
      <c r="F201" s="51" t="str">
        <f t="shared" si="12"/>
        <v>2019 q3</v>
      </c>
      <c r="G201" s="49">
        <v>43677</v>
      </c>
      <c r="H201" s="59">
        <v>44262352</v>
      </c>
      <c r="I201" s="59">
        <v>130563864</v>
      </c>
      <c r="J201" s="61">
        <v>174826216</v>
      </c>
      <c r="K201" s="61">
        <f t="shared" si="10"/>
        <v>184988045.26700008</v>
      </c>
      <c r="L201" s="61">
        <f t="shared" si="11"/>
        <v>184988045.26700008</v>
      </c>
    </row>
    <row r="202" spans="6:12">
      <c r="F202" s="51" t="str">
        <f t="shared" si="12"/>
        <v>2019 q3</v>
      </c>
      <c r="G202" s="49">
        <v>43708</v>
      </c>
      <c r="H202" s="59">
        <v>44079209</v>
      </c>
      <c r="I202" s="59">
        <v>138622442</v>
      </c>
      <c r="J202" s="61">
        <v>182701651</v>
      </c>
      <c r="K202" s="61">
        <f t="shared" si="10"/>
        <v>192136438.789</v>
      </c>
      <c r="L202" s="61">
        <f t="shared" si="11"/>
        <v>192136438.789</v>
      </c>
    </row>
    <row r="203" spans="6:12">
      <c r="F203" s="51" t="str">
        <f t="shared" si="12"/>
        <v>2019 q3</v>
      </c>
      <c r="G203" s="49">
        <v>43738</v>
      </c>
      <c r="H203" s="59">
        <v>43851960</v>
      </c>
      <c r="I203" s="59">
        <v>138168783</v>
      </c>
      <c r="J203" s="61">
        <v>182020743</v>
      </c>
      <c r="K203" s="61">
        <f t="shared" si="10"/>
        <v>191750494.97999999</v>
      </c>
      <c r="L203" s="61">
        <f t="shared" si="11"/>
        <v>191750494.97999999</v>
      </c>
    </row>
    <row r="204" spans="6:12">
      <c r="F204" s="51" t="str">
        <f t="shared" si="12"/>
        <v>2019 q4</v>
      </c>
      <c r="G204" s="49">
        <v>43769</v>
      </c>
      <c r="H204" s="59">
        <v>43445644</v>
      </c>
      <c r="I204" s="59">
        <v>139019969</v>
      </c>
      <c r="J204" s="61">
        <v>182465613</v>
      </c>
      <c r="K204" s="61">
        <f t="shared" si="10"/>
        <v>192570139.565</v>
      </c>
      <c r="L204" s="61">
        <f t="shared" si="11"/>
        <v>192570139.565</v>
      </c>
    </row>
    <row r="205" spans="6:12">
      <c r="F205" s="51" t="str">
        <f t="shared" si="12"/>
        <v>2019 q4</v>
      </c>
      <c r="G205" s="49">
        <v>43799</v>
      </c>
      <c r="H205" s="59">
        <v>48170465</v>
      </c>
      <c r="I205" s="59">
        <v>134702017</v>
      </c>
      <c r="J205" s="61">
        <v>182872482</v>
      </c>
      <c r="K205" s="61">
        <f t="shared" si="10"/>
        <v>193109090.27099991</v>
      </c>
      <c r="L205" s="61">
        <f t="shared" si="11"/>
        <v>193109090.27099991</v>
      </c>
    </row>
    <row r="206" spans="6:12">
      <c r="F206" s="51" t="str">
        <f t="shared" si="12"/>
        <v>2019 q4</v>
      </c>
      <c r="G206" s="49">
        <v>43830</v>
      </c>
      <c r="H206" s="59">
        <v>56965779</v>
      </c>
      <c r="I206" s="59">
        <v>135779800</v>
      </c>
      <c r="J206" s="61">
        <v>192745579</v>
      </c>
      <c r="K206" s="61">
        <f t="shared" si="10"/>
        <v>202703172.33700001</v>
      </c>
      <c r="L206" s="61">
        <f t="shared" si="11"/>
        <v>202703172.33700001</v>
      </c>
    </row>
    <row r="207" spans="6:12">
      <c r="F207" s="51" t="str">
        <f t="shared" si="12"/>
        <v>2020 q1</v>
      </c>
      <c r="G207" s="49">
        <v>43861</v>
      </c>
      <c r="H207" s="59">
        <v>57848317</v>
      </c>
      <c r="I207" s="59">
        <v>133430430</v>
      </c>
      <c r="J207" s="61">
        <v>191278747</v>
      </c>
      <c r="K207" s="61">
        <f t="shared" si="10"/>
        <v>201426287.79999998</v>
      </c>
      <c r="L207" s="61">
        <f t="shared" si="11"/>
        <v>201426287.79999998</v>
      </c>
    </row>
    <row r="208" spans="6:12">
      <c r="F208" s="51" t="str">
        <f t="shared" si="12"/>
        <v>2020 q1</v>
      </c>
      <c r="G208" s="49">
        <v>43890</v>
      </c>
      <c r="H208" s="59">
        <v>55146684</v>
      </c>
      <c r="I208" s="59">
        <v>142422411</v>
      </c>
      <c r="J208" s="61">
        <v>197569095</v>
      </c>
      <c r="K208" s="61">
        <f t="shared" si="10"/>
        <v>207984993.92299998</v>
      </c>
      <c r="L208" s="61">
        <f t="shared" si="11"/>
        <v>207984993.92299998</v>
      </c>
    </row>
    <row r="209" spans="6:12">
      <c r="F209" s="51" t="str">
        <f t="shared" si="12"/>
        <v>2020 q1</v>
      </c>
      <c r="G209" s="49">
        <v>43921</v>
      </c>
      <c r="H209" s="59">
        <v>58561664</v>
      </c>
      <c r="I209" s="59">
        <v>155189926</v>
      </c>
      <c r="J209" s="61">
        <v>213751590</v>
      </c>
      <c r="K209" s="61">
        <f t="shared" si="10"/>
        <v>225164572.27599999</v>
      </c>
      <c r="L209" s="61">
        <f t="shared" si="11"/>
        <v>225164572.27599999</v>
      </c>
    </row>
    <row r="210" spans="6:12">
      <c r="F210" s="51" t="str">
        <f t="shared" si="12"/>
        <v>2020 q2</v>
      </c>
      <c r="G210" s="49">
        <v>43951</v>
      </c>
      <c r="H210" s="59">
        <v>59728401</v>
      </c>
      <c r="I210" s="59">
        <v>150309475</v>
      </c>
      <c r="J210" s="61">
        <v>210037876</v>
      </c>
      <c r="K210" s="61">
        <f t="shared" si="10"/>
        <v>221461064.711</v>
      </c>
      <c r="L210" s="61">
        <f t="shared" si="11"/>
        <v>221461064.711</v>
      </c>
    </row>
    <row r="211" spans="6:12">
      <c r="F211" s="51" t="str">
        <f t="shared" si="12"/>
        <v>2020 q2</v>
      </c>
      <c r="G211" s="49">
        <v>43982</v>
      </c>
      <c r="H211" s="59">
        <v>60125700</v>
      </c>
      <c r="I211" s="59">
        <v>162317534</v>
      </c>
      <c r="J211" s="61">
        <v>222443234</v>
      </c>
      <c r="K211" s="61">
        <f t="shared" si="10"/>
        <v>234402489.31599998</v>
      </c>
      <c r="L211" s="61">
        <f t="shared" si="11"/>
        <v>234402489.31599998</v>
      </c>
    </row>
    <row r="212" spans="6:12">
      <c r="F212" s="51" t="str">
        <f t="shared" si="12"/>
        <v>2020 q2</v>
      </c>
      <c r="G212" s="49">
        <v>44012</v>
      </c>
      <c r="H212" s="59">
        <v>63698986</v>
      </c>
      <c r="I212" s="59">
        <v>161379268</v>
      </c>
      <c r="J212" s="61">
        <v>225078254</v>
      </c>
      <c r="K212" s="61">
        <f t="shared" si="10"/>
        <v>237406193.08399999</v>
      </c>
      <c r="L212" s="61">
        <f t="shared" si="11"/>
        <v>237406193.08399999</v>
      </c>
    </row>
    <row r="213" spans="6:12">
      <c r="F213" s="51" t="str">
        <f t="shared" si="12"/>
        <v>2020 q3</v>
      </c>
      <c r="G213" s="49">
        <v>44043</v>
      </c>
      <c r="H213" s="59">
        <v>65946296</v>
      </c>
      <c r="I213" s="59">
        <v>168876166</v>
      </c>
      <c r="J213" s="61">
        <v>234822462</v>
      </c>
      <c r="K213" s="61">
        <f t="shared" si="10"/>
        <v>247869779.19999999</v>
      </c>
      <c r="L213" s="61">
        <f t="shared" si="11"/>
        <v>247869779.19999999</v>
      </c>
    </row>
    <row r="214" spans="6:12">
      <c r="F214" s="51" t="str">
        <f t="shared" si="12"/>
        <v>2020 q3</v>
      </c>
      <c r="G214" s="49">
        <v>44074</v>
      </c>
      <c r="H214" s="59">
        <v>69373546</v>
      </c>
      <c r="I214" s="59">
        <v>171004621</v>
      </c>
      <c r="J214" s="61">
        <v>240378167</v>
      </c>
      <c r="K214" s="61">
        <f t="shared" si="10"/>
        <v>253980155.61399999</v>
      </c>
      <c r="L214" s="61">
        <f t="shared" si="11"/>
        <v>253980155.61399999</v>
      </c>
    </row>
    <row r="215" spans="6:12">
      <c r="F215" s="51" t="str">
        <f t="shared" si="12"/>
        <v>2020 q3</v>
      </c>
      <c r="G215" s="49">
        <v>44104</v>
      </c>
      <c r="H215" s="59">
        <v>71459025</v>
      </c>
      <c r="I215" s="59">
        <v>176092332</v>
      </c>
      <c r="J215" s="61">
        <v>247551357</v>
      </c>
      <c r="K215" s="61">
        <f t="shared" si="10"/>
        <v>216388181.73300001</v>
      </c>
      <c r="L215" s="61">
        <f t="shared" si="11"/>
        <v>216388181.73300001</v>
      </c>
    </row>
    <row r="216" spans="6:12">
      <c r="F216" s="51" t="str">
        <f t="shared" si="12"/>
        <v>2020 q4</v>
      </c>
      <c r="G216" s="49">
        <v>44135</v>
      </c>
      <c r="H216" s="59">
        <v>73283106</v>
      </c>
      <c r="I216" s="59">
        <v>178234535</v>
      </c>
      <c r="J216" s="61">
        <v>251517641</v>
      </c>
      <c r="K216" s="61">
        <f t="shared" si="10"/>
        <v>265309890.12999994</v>
      </c>
      <c r="L216" s="61">
        <f t="shared" si="11"/>
        <v>265309890.12999994</v>
      </c>
    </row>
    <row r="217" spans="6:12">
      <c r="F217" s="51" t="str">
        <f t="shared" si="12"/>
        <v>2020 q4</v>
      </c>
      <c r="G217" s="49">
        <v>44165</v>
      </c>
      <c r="H217" s="59">
        <v>74007225</v>
      </c>
      <c r="I217" s="59">
        <v>185079085</v>
      </c>
      <c r="J217" s="61">
        <v>259086310</v>
      </c>
      <c r="K217" s="61">
        <f t="shared" si="10"/>
        <v>274076397.47300005</v>
      </c>
      <c r="L217" s="61">
        <f t="shared" si="11"/>
        <v>274076397.47300005</v>
      </c>
    </row>
    <row r="218" spans="6:12">
      <c r="F218" s="51" t="str">
        <f t="shared" si="12"/>
        <v>2020 q4</v>
      </c>
      <c r="G218" s="49">
        <v>44196</v>
      </c>
      <c r="H218" s="59">
        <v>71730156</v>
      </c>
      <c r="I218" s="59">
        <v>197417309</v>
      </c>
      <c r="J218" s="61">
        <v>269147465</v>
      </c>
      <c r="K218" s="61">
        <f t="shared" si="10"/>
        <v>284512889.30900013</v>
      </c>
      <c r="L218" s="61">
        <f t="shared" si="11"/>
        <v>284512889.30900013</v>
      </c>
    </row>
    <row r="219" spans="6:12">
      <c r="F219" s="51" t="str">
        <f t="shared" si="12"/>
        <v>2021 q1</v>
      </c>
      <c r="G219" s="49">
        <v>44227</v>
      </c>
      <c r="H219" s="59">
        <v>72795448</v>
      </c>
      <c r="I219" s="59">
        <v>193617243</v>
      </c>
      <c r="J219" s="61">
        <v>266412691</v>
      </c>
      <c r="K219" s="61">
        <f t="shared" si="10"/>
        <v>282306488.53900003</v>
      </c>
      <c r="L219" s="61">
        <f t="shared" si="11"/>
        <v>282306488.53900003</v>
      </c>
    </row>
    <row r="220" spans="6:12">
      <c r="F220" s="51" t="str">
        <f t="shared" si="12"/>
        <v>2021 q1</v>
      </c>
      <c r="G220" s="49">
        <v>44255</v>
      </c>
      <c r="H220" s="59">
        <v>79274295</v>
      </c>
      <c r="I220" s="59">
        <v>196583704</v>
      </c>
      <c r="J220" s="61">
        <v>275857999</v>
      </c>
      <c r="K220" s="61">
        <f t="shared" si="10"/>
        <v>293216108.755</v>
      </c>
      <c r="L220" s="61">
        <f t="shared" si="11"/>
        <v>293216108.755</v>
      </c>
    </row>
    <row r="221" spans="6:12">
      <c r="F221" s="51" t="str">
        <f t="shared" si="12"/>
        <v>2021 q1</v>
      </c>
      <c r="G221" s="49">
        <v>44286</v>
      </c>
      <c r="H221" s="59">
        <v>79102400.586119995</v>
      </c>
      <c r="I221" s="59">
        <v>195927516.02761701</v>
      </c>
      <c r="J221" s="61">
        <v>275029916.61373699</v>
      </c>
      <c r="K221" s="61">
        <f t="shared" si="10"/>
        <v>293359520.57300013</v>
      </c>
      <c r="L221" s="61">
        <f t="shared" si="11"/>
        <v>293359520.57300013</v>
      </c>
    </row>
    <row r="222" spans="6:12">
      <c r="F222" s="51" t="str">
        <f t="shared" si="12"/>
        <v>2021 q2</v>
      </c>
      <c r="G222" s="49">
        <v>44316</v>
      </c>
      <c r="H222" s="59">
        <v>82377068.164000005</v>
      </c>
      <c r="I222" s="59">
        <v>198448835.52685699</v>
      </c>
      <c r="J222" s="61">
        <v>280825903.69085699</v>
      </c>
      <c r="K222" s="61">
        <f t="shared" si="10"/>
        <v>255772417.36200011</v>
      </c>
      <c r="L222" s="61">
        <f t="shared" si="11"/>
        <v>255772417.36200011</v>
      </c>
    </row>
    <row r="223" spans="6:12">
      <c r="F223" s="51" t="str">
        <f t="shared" si="12"/>
        <v>2021 q2</v>
      </c>
      <c r="G223" s="49">
        <v>44347</v>
      </c>
      <c r="H223" s="59">
        <v>87607736.843490005</v>
      </c>
      <c r="I223" s="59">
        <v>198235064.72020301</v>
      </c>
      <c r="J223" s="61">
        <v>285842801.56369305</v>
      </c>
      <c r="K223" s="61">
        <f t="shared" si="10"/>
        <v>307780581.04000008</v>
      </c>
      <c r="L223" s="61">
        <f t="shared" si="11"/>
        <v>307780581.04000008</v>
      </c>
    </row>
    <row r="224" spans="6:12">
      <c r="F224" s="51" t="str">
        <f t="shared" si="12"/>
        <v>2021 q2</v>
      </c>
      <c r="G224" s="49">
        <v>44377</v>
      </c>
      <c r="H224" s="59">
        <v>103404971.30140001</v>
      </c>
      <c r="I224" s="59">
        <v>200759064.534343</v>
      </c>
      <c r="J224" s="61">
        <v>304164035.83574301</v>
      </c>
      <c r="K224" s="61">
        <f t="shared" si="10"/>
        <v>322658620.26300001</v>
      </c>
      <c r="L224" s="61">
        <f t="shared" si="11"/>
        <v>322658620.26300001</v>
      </c>
    </row>
    <row r="225" spans="6:12">
      <c r="F225" s="51" t="str">
        <f t="shared" si="12"/>
        <v>2021 q3</v>
      </c>
      <c r="G225" s="49">
        <v>44408</v>
      </c>
      <c r="H225" s="59">
        <v>107962617.15109999</v>
      </c>
      <c r="I225" s="59">
        <v>202098887.05803999</v>
      </c>
      <c r="J225" s="61">
        <v>310061504.20914</v>
      </c>
      <c r="K225" s="61">
        <f t="shared" si="10"/>
        <v>328920271.24599999</v>
      </c>
      <c r="L225" s="61">
        <f t="shared" si="11"/>
        <v>328920271.24599999</v>
      </c>
    </row>
    <row r="226" spans="6:12">
      <c r="F226" s="51" t="str">
        <f t="shared" si="12"/>
        <v>2021 q3</v>
      </c>
      <c r="G226" s="49">
        <v>44439</v>
      </c>
      <c r="H226" s="59">
        <v>112021256.98575</v>
      </c>
      <c r="I226" s="59">
        <v>219150147.29703799</v>
      </c>
      <c r="J226" s="61">
        <v>331171404.28278798</v>
      </c>
      <c r="K226" s="61">
        <f t="shared" si="10"/>
        <v>350842221.75999999</v>
      </c>
      <c r="L226" s="61">
        <f t="shared" si="11"/>
        <v>350842221.75999999</v>
      </c>
    </row>
    <row r="227" spans="6:12">
      <c r="F227" s="51" t="str">
        <f t="shared" si="12"/>
        <v>2021 q3</v>
      </c>
      <c r="G227" s="49">
        <v>44469</v>
      </c>
      <c r="H227" s="59">
        <v>111003813.71981999</v>
      </c>
      <c r="I227" s="59">
        <v>214081452.995915</v>
      </c>
      <c r="J227" s="61">
        <v>325085266.71573496</v>
      </c>
      <c r="K227" s="61">
        <f t="shared" si="10"/>
        <v>345375818.97399998</v>
      </c>
      <c r="L227" s="61">
        <f t="shared" si="11"/>
        <v>345375818.97399998</v>
      </c>
    </row>
    <row r="228" spans="6:12">
      <c r="F228" s="51" t="str">
        <f t="shared" si="12"/>
        <v>2021 q4</v>
      </c>
      <c r="G228" s="49">
        <v>44500</v>
      </c>
      <c r="H228" s="59">
        <v>110055054.93111999</v>
      </c>
      <c r="I228" s="59">
        <v>214154652.46248901</v>
      </c>
      <c r="J228" s="61">
        <v>324209707.39360899</v>
      </c>
      <c r="K228" s="61">
        <f t="shared" si="10"/>
        <v>345111926.92800003</v>
      </c>
      <c r="L228" s="61">
        <f t="shared" si="11"/>
        <v>345111926.92800003</v>
      </c>
    </row>
    <row r="229" spans="6:12">
      <c r="F229" s="51" t="str">
        <f t="shared" si="12"/>
        <v>2021 q4</v>
      </c>
      <c r="G229" s="49">
        <v>44530</v>
      </c>
      <c r="H229" s="59">
        <v>98936860.565190002</v>
      </c>
      <c r="I229" s="59">
        <v>225312904.125541</v>
      </c>
      <c r="J229" s="61">
        <v>324249764.69073099</v>
      </c>
      <c r="K229" s="61">
        <f t="shared" si="10"/>
        <v>345594312.80200005</v>
      </c>
      <c r="L229" s="61">
        <f t="shared" si="11"/>
        <v>345594312.80200005</v>
      </c>
    </row>
    <row r="230" spans="6:12">
      <c r="F230" s="51" t="str">
        <f t="shared" si="12"/>
        <v>2021 q4</v>
      </c>
      <c r="G230" s="49">
        <v>44561</v>
      </c>
      <c r="H230" s="59">
        <v>100023659</v>
      </c>
      <c r="I230" s="59">
        <v>215135918</v>
      </c>
      <c r="J230" s="61">
        <v>315159577</v>
      </c>
      <c r="K230" s="61">
        <f t="shared" si="10"/>
        <v>336793318.472</v>
      </c>
      <c r="L230" s="61">
        <f t="shared" si="11"/>
        <v>336793318.472</v>
      </c>
    </row>
    <row r="231" spans="6:12">
      <c r="F231" s="51" t="str">
        <f t="shared" si="12"/>
        <v>2022 q1</v>
      </c>
      <c r="G231" s="49">
        <v>44592</v>
      </c>
      <c r="H231" s="59">
        <v>101026601</v>
      </c>
      <c r="I231" s="59">
        <v>216023672</v>
      </c>
      <c r="J231" s="61">
        <v>317050273</v>
      </c>
      <c r="K231" s="61">
        <f t="shared" si="10"/>
        <v>339713597.90000004</v>
      </c>
      <c r="L231" s="61">
        <f t="shared" si="11"/>
        <v>339713597.90000004</v>
      </c>
    </row>
    <row r="232" spans="6:12">
      <c r="F232" s="51" t="str">
        <f t="shared" si="12"/>
        <v>2022 q1</v>
      </c>
      <c r="G232" s="49">
        <v>44620</v>
      </c>
      <c r="H232" s="59">
        <v>101353610</v>
      </c>
      <c r="I232" s="59">
        <v>222866465</v>
      </c>
      <c r="J232" s="61">
        <v>324220075</v>
      </c>
      <c r="K232" s="61">
        <f t="shared" si="10"/>
        <v>346948427.38800001</v>
      </c>
      <c r="L232" s="61">
        <f t="shared" si="11"/>
        <v>346948427.38800001</v>
      </c>
    </row>
    <row r="233" spans="6:12">
      <c r="F233" s="51" t="str">
        <f t="shared" si="12"/>
        <v>2022 q1</v>
      </c>
      <c r="G233" s="49">
        <v>44651</v>
      </c>
      <c r="H233" s="59">
        <v>102945987</v>
      </c>
      <c r="I233" s="59">
        <v>230749463</v>
      </c>
      <c r="J233" s="61">
        <v>333695450</v>
      </c>
      <c r="K233" s="61">
        <f t="shared" si="10"/>
        <v>356822868.73899996</v>
      </c>
      <c r="L233" s="61">
        <f t="shared" si="11"/>
        <v>356822868.73899996</v>
      </c>
    </row>
    <row r="234" spans="6:12">
      <c r="F234" s="51" t="str">
        <f t="shared" si="12"/>
        <v>2022 q2</v>
      </c>
      <c r="G234" s="49">
        <v>44681</v>
      </c>
      <c r="H234" s="59">
        <v>113690623</v>
      </c>
      <c r="I234" s="59">
        <v>220978095</v>
      </c>
      <c r="J234" s="61">
        <v>334668718</v>
      </c>
      <c r="K234" s="61">
        <f t="shared" si="10"/>
        <v>357265557.361</v>
      </c>
      <c r="L234" s="61">
        <f t="shared" si="11"/>
        <v>357265557.361</v>
      </c>
    </row>
    <row r="235" spans="6:12">
      <c r="F235" s="51" t="str">
        <f t="shared" si="12"/>
        <v>2022 q2</v>
      </c>
      <c r="G235" s="49">
        <v>44712</v>
      </c>
      <c r="H235" s="59">
        <v>116471139</v>
      </c>
      <c r="I235" s="59">
        <v>226522046</v>
      </c>
      <c r="J235" s="61">
        <v>342993185</v>
      </c>
      <c r="K235" s="61">
        <f t="shared" si="10"/>
        <v>366028066.83600003</v>
      </c>
      <c r="L235" s="61">
        <f t="shared" si="11"/>
        <v>366028066.83600003</v>
      </c>
    </row>
    <row r="236" spans="6:12">
      <c r="F236" s="51" t="str">
        <f t="shared" si="12"/>
        <v>2022 q2</v>
      </c>
      <c r="G236" s="49">
        <v>44742</v>
      </c>
      <c r="H236" s="59">
        <v>122108139</v>
      </c>
      <c r="I236" s="59">
        <v>206248737</v>
      </c>
      <c r="J236" s="61">
        <v>328356876</v>
      </c>
      <c r="K236" s="61">
        <f t="shared" ref="K236:K257" si="13">E68</f>
        <v>350505857.40100002</v>
      </c>
      <c r="L236" s="61">
        <f t="shared" ref="L236:L257" si="14">K236</f>
        <v>350505857.40100002</v>
      </c>
    </row>
    <row r="237" spans="6:12">
      <c r="F237" s="51" t="str">
        <f t="shared" si="12"/>
        <v>2022 q3</v>
      </c>
      <c r="G237" s="49">
        <v>44773</v>
      </c>
      <c r="H237" s="59">
        <v>134048445</v>
      </c>
      <c r="I237" s="59">
        <v>201745020</v>
      </c>
      <c r="J237" s="61">
        <v>335793465</v>
      </c>
      <c r="K237" s="61">
        <f t="shared" si="13"/>
        <v>356566446.90100002</v>
      </c>
      <c r="L237" s="61">
        <f t="shared" si="14"/>
        <v>356566446.90100002</v>
      </c>
    </row>
    <row r="238" spans="6:12">
      <c r="F238" s="51" t="str">
        <f t="shared" si="12"/>
        <v>2022 q3</v>
      </c>
      <c r="G238" s="49">
        <v>44804</v>
      </c>
      <c r="H238" s="59">
        <v>138373319</v>
      </c>
      <c r="I238" s="59">
        <v>197745746</v>
      </c>
      <c r="J238" s="61">
        <v>336119065</v>
      </c>
      <c r="K238" s="61">
        <f t="shared" si="13"/>
        <v>356466992.74899995</v>
      </c>
      <c r="L238" s="61">
        <f t="shared" si="14"/>
        <v>356466992.74899995</v>
      </c>
    </row>
    <row r="239" spans="6:12">
      <c r="F239" s="51" t="str">
        <f t="shared" si="12"/>
        <v>2022 q3</v>
      </c>
      <c r="G239" s="49">
        <v>44834</v>
      </c>
      <c r="H239" s="59">
        <v>137658441</v>
      </c>
      <c r="I239" s="59">
        <v>202522308</v>
      </c>
      <c r="J239" s="61">
        <v>340180749</v>
      </c>
      <c r="K239" s="61">
        <f t="shared" si="13"/>
        <v>355700088.78100002</v>
      </c>
      <c r="L239" s="61">
        <f t="shared" si="14"/>
        <v>355700088.78100002</v>
      </c>
    </row>
    <row r="240" spans="6:12">
      <c r="F240" s="51" t="str">
        <f t="shared" si="12"/>
        <v>2022 q4</v>
      </c>
      <c r="G240" s="49">
        <v>44865</v>
      </c>
      <c r="H240" s="59">
        <v>142562332</v>
      </c>
      <c r="I240" s="59">
        <v>187859637</v>
      </c>
      <c r="J240" s="61">
        <v>330421969</v>
      </c>
      <c r="K240" s="61">
        <f t="shared" si="13"/>
        <v>345856171.94700003</v>
      </c>
      <c r="L240" s="61">
        <f t="shared" si="14"/>
        <v>345856171.94700003</v>
      </c>
    </row>
    <row r="241" spans="6:12">
      <c r="F241" s="51" t="str">
        <f t="shared" si="12"/>
        <v>2022 q4</v>
      </c>
      <c r="G241" s="49">
        <v>44895</v>
      </c>
      <c r="H241" s="59">
        <v>144706024.64704999</v>
      </c>
      <c r="I241" s="59">
        <v>195957441.57977501</v>
      </c>
      <c r="J241" s="61">
        <v>340663466.226825</v>
      </c>
      <c r="K241" s="61">
        <f t="shared" si="13"/>
        <v>353286029.39199996</v>
      </c>
      <c r="L241" s="61">
        <f t="shared" si="14"/>
        <v>353286029.39199996</v>
      </c>
    </row>
    <row r="242" spans="6:12">
      <c r="F242" s="51" t="str">
        <f t="shared" si="12"/>
        <v>2022 q4</v>
      </c>
      <c r="G242" s="49">
        <v>44926</v>
      </c>
      <c r="H242" s="59">
        <v>144601630.10949999</v>
      </c>
      <c r="I242" s="59">
        <v>205008520.953109</v>
      </c>
      <c r="J242" s="61">
        <v>349610151.06260896</v>
      </c>
      <c r="K242" s="61">
        <f t="shared" si="13"/>
        <v>362445655.91600001</v>
      </c>
      <c r="L242" s="61">
        <f t="shared" si="14"/>
        <v>362445655.91600001</v>
      </c>
    </row>
    <row r="243" spans="6:12">
      <c r="F243" s="51" t="str">
        <f t="shared" si="12"/>
        <v>2023 q1</v>
      </c>
      <c r="G243" s="49">
        <v>44957</v>
      </c>
      <c r="H243" s="59">
        <v>143967915.87110999</v>
      </c>
      <c r="I243" s="59">
        <v>200121896.698594</v>
      </c>
      <c r="J243" s="61">
        <v>344089812.569704</v>
      </c>
      <c r="K243" s="61">
        <f t="shared" si="13"/>
        <v>357524984.685</v>
      </c>
      <c r="L243" s="61">
        <f t="shared" si="14"/>
        <v>357524984.685</v>
      </c>
    </row>
    <row r="244" spans="6:12">
      <c r="F244" s="51" t="str">
        <f t="shared" si="12"/>
        <v>2023 q1</v>
      </c>
      <c r="G244" s="49">
        <v>44985</v>
      </c>
      <c r="H244" s="59">
        <v>147185585.54484001</v>
      </c>
      <c r="I244" s="59">
        <v>209284498.00983301</v>
      </c>
      <c r="J244" s="61">
        <v>356470083.55467302</v>
      </c>
      <c r="K244" s="61">
        <f t="shared" si="13"/>
        <v>369922269.57500005</v>
      </c>
      <c r="L244" s="61">
        <f t="shared" si="14"/>
        <v>369922269.57500005</v>
      </c>
    </row>
    <row r="245" spans="6:12">
      <c r="F245" s="51" t="str">
        <f t="shared" si="12"/>
        <v>2023 q1</v>
      </c>
      <c r="G245" s="49">
        <v>45016</v>
      </c>
      <c r="H245" s="59">
        <v>152420313.31968999</v>
      </c>
      <c r="I245" s="59">
        <v>217873535.41939899</v>
      </c>
      <c r="J245" s="61">
        <v>370293848.73908901</v>
      </c>
      <c r="K245" s="61">
        <f t="shared" si="13"/>
        <v>384106575.73800004</v>
      </c>
      <c r="L245" s="61">
        <f t="shared" si="14"/>
        <v>384106575.73800004</v>
      </c>
    </row>
    <row r="246" spans="6:12">
      <c r="F246" s="51" t="str">
        <f t="shared" si="12"/>
        <v>2023 q2</v>
      </c>
      <c r="G246" s="49">
        <v>45046</v>
      </c>
      <c r="H246" s="59">
        <v>15641671</v>
      </c>
      <c r="I246" s="59">
        <v>25570576</v>
      </c>
      <c r="J246" s="61"/>
      <c r="K246" s="61">
        <f t="shared" si="13"/>
        <v>391652843.00800002</v>
      </c>
      <c r="L246" s="61">
        <f t="shared" si="14"/>
        <v>391652843.00800002</v>
      </c>
    </row>
    <row r="247" spans="6:12">
      <c r="F247" s="51" t="str">
        <f t="shared" si="12"/>
        <v>2023 q2</v>
      </c>
      <c r="G247" s="49">
        <v>45077</v>
      </c>
      <c r="H247" s="59">
        <v>164732669.37017</v>
      </c>
      <c r="I247" s="59">
        <v>230971403.08589301</v>
      </c>
      <c r="J247" s="61"/>
      <c r="K247" s="61">
        <f t="shared" si="13"/>
        <v>409629155.00199997</v>
      </c>
      <c r="L247" s="61">
        <f t="shared" si="14"/>
        <v>409629155.00199997</v>
      </c>
    </row>
    <row r="248" spans="6:12">
      <c r="F248" s="51" t="str">
        <f t="shared" si="12"/>
        <v>2023 q2</v>
      </c>
      <c r="G248" s="49">
        <v>45107</v>
      </c>
      <c r="H248" s="59">
        <v>346032520.56681001</v>
      </c>
      <c r="I248" s="59">
        <v>273900855.88928699</v>
      </c>
      <c r="J248" s="61"/>
      <c r="K248" s="61">
        <f t="shared" si="13"/>
        <v>412850873.89300001</v>
      </c>
      <c r="L248" s="61">
        <f t="shared" si="14"/>
        <v>412850873.89300001</v>
      </c>
    </row>
    <row r="249" spans="6:12">
      <c r="F249" s="51" t="str">
        <f t="shared" si="12"/>
        <v>2023 q3</v>
      </c>
      <c r="G249" s="49">
        <v>45138</v>
      </c>
      <c r="H249" s="59">
        <v>545354.95793999999</v>
      </c>
      <c r="I249" s="59">
        <v>1410499.849156</v>
      </c>
      <c r="J249" s="61"/>
      <c r="K249" s="61">
        <f t="shared" si="13"/>
        <v>436246426.94006002</v>
      </c>
      <c r="L249" s="61">
        <f t="shared" si="14"/>
        <v>436246426.94006002</v>
      </c>
    </row>
    <row r="250" spans="6:12">
      <c r="F250" s="51" t="str">
        <f t="shared" si="12"/>
        <v>2023 q3</v>
      </c>
      <c r="G250" s="49">
        <v>45169</v>
      </c>
      <c r="H250" s="59">
        <v>535754.86560999998</v>
      </c>
      <c r="I250" s="59">
        <v>1815524.5046079999</v>
      </c>
      <c r="J250" s="61"/>
      <c r="K250" s="61">
        <f t="shared" si="13"/>
        <v>447757889.54799998</v>
      </c>
      <c r="L250" s="61">
        <f t="shared" si="14"/>
        <v>447757889.54799998</v>
      </c>
    </row>
    <row r="251" spans="6:12">
      <c r="F251" s="51" t="str">
        <f t="shared" si="12"/>
        <v>2023 q3</v>
      </c>
      <c r="G251" s="49">
        <v>45199</v>
      </c>
      <c r="H251" s="59">
        <v>633049.85711999994</v>
      </c>
      <c r="I251" s="59">
        <v>2057215.711474</v>
      </c>
      <c r="J251" s="61"/>
      <c r="K251" s="61">
        <f t="shared" si="13"/>
        <v>454601417.52499998</v>
      </c>
      <c r="L251" s="61">
        <f t="shared" si="14"/>
        <v>454601417.52499998</v>
      </c>
    </row>
    <row r="252" spans="6:12">
      <c r="F252" s="51" t="str">
        <f t="shared" si="12"/>
        <v>2023 q4</v>
      </c>
      <c r="G252" s="49">
        <v>45230</v>
      </c>
      <c r="H252" s="59">
        <v>589066.58525999996</v>
      </c>
      <c r="I252" s="59">
        <v>2153170.5730599998</v>
      </c>
      <c r="J252" s="61"/>
      <c r="K252" s="61">
        <f t="shared" si="13"/>
        <v>479725871.95799994</v>
      </c>
      <c r="L252" s="61">
        <f t="shared" si="14"/>
        <v>479725871.95799994</v>
      </c>
    </row>
    <row r="253" spans="6:12">
      <c r="F253" s="51" t="str">
        <f t="shared" si="12"/>
        <v>2023 q4</v>
      </c>
      <c r="G253" s="49">
        <v>45260</v>
      </c>
      <c r="J253" s="61"/>
      <c r="K253" s="61">
        <f t="shared" si="13"/>
        <v>494529659.40799999</v>
      </c>
      <c r="L253" s="61">
        <f t="shared" si="14"/>
        <v>494529659.40799999</v>
      </c>
    </row>
    <row r="254" spans="6:12">
      <c r="F254" s="51" t="str">
        <f t="shared" si="12"/>
        <v>2023 q4</v>
      </c>
      <c r="G254" s="49">
        <v>45291</v>
      </c>
      <c r="J254" s="61"/>
      <c r="K254" s="61">
        <f t="shared" si="13"/>
        <v>509219355.81599998</v>
      </c>
      <c r="L254" s="61">
        <f t="shared" si="14"/>
        <v>509219355.81599998</v>
      </c>
    </row>
    <row r="255" spans="6:12">
      <c r="F255" s="51" t="str">
        <f t="shared" si="12"/>
        <v>2024 q1</v>
      </c>
      <c r="G255" s="49">
        <v>45322</v>
      </c>
      <c r="J255" s="61"/>
      <c r="K255" s="61">
        <f t="shared" si="13"/>
        <v>516168563.77829999</v>
      </c>
      <c r="L255" s="61">
        <f t="shared" si="14"/>
        <v>516168563.77829999</v>
      </c>
    </row>
    <row r="256" spans="6:12">
      <c r="F256" s="51" t="str">
        <f t="shared" si="12"/>
        <v>2024 q1</v>
      </c>
      <c r="G256" s="49">
        <v>45351</v>
      </c>
      <c r="J256" s="61"/>
      <c r="K256" s="61">
        <f t="shared" si="13"/>
        <v>528601497.68700004</v>
      </c>
      <c r="L256" s="61">
        <f t="shared" si="14"/>
        <v>528601497.68700004</v>
      </c>
    </row>
    <row r="257" spans="6:12">
      <c r="F257" s="51" t="str">
        <f t="shared" si="12"/>
        <v>2024 q1</v>
      </c>
      <c r="G257" s="49">
        <v>45382</v>
      </c>
      <c r="J257" s="61"/>
      <c r="K257" s="61">
        <f t="shared" si="13"/>
        <v>541405775.69800103</v>
      </c>
      <c r="L257" s="61">
        <f t="shared" si="14"/>
        <v>541405775.69800103</v>
      </c>
    </row>
  </sheetData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259-A565-495A-B3F4-F4FAF2E9386B}">
  <dimension ref="A1:G16300"/>
  <sheetViews>
    <sheetView workbookViewId="0">
      <selection activeCell="D11" sqref="D11"/>
    </sheetView>
  </sheetViews>
  <sheetFormatPr baseColWidth="10" defaultColWidth="8.83203125" defaultRowHeight="15"/>
  <cols>
    <col min="1" max="1" width="96" bestFit="1" customWidth="1"/>
  </cols>
  <sheetData>
    <row r="1" spans="1:3">
      <c r="A1" t="s">
        <v>346</v>
      </c>
    </row>
    <row r="3" spans="1:3">
      <c r="A3" t="s">
        <v>347</v>
      </c>
    </row>
    <row r="5" spans="1:3">
      <c r="A5" t="s">
        <v>348</v>
      </c>
    </row>
    <row r="6" spans="1:3" ht="26">
      <c r="A6" t="s">
        <v>349</v>
      </c>
      <c r="C6" s="63" t="s">
        <v>519</v>
      </c>
    </row>
    <row r="7" spans="1:3">
      <c r="A7" t="s">
        <v>350</v>
      </c>
    </row>
    <row r="8" spans="1:3">
      <c r="A8" t="s">
        <v>351</v>
      </c>
    </row>
    <row r="12" spans="1:3">
      <c r="A12" t="s">
        <v>352</v>
      </c>
    </row>
    <row r="13" spans="1:3">
      <c r="A13" t="s">
        <v>353</v>
      </c>
    </row>
    <row r="16" spans="1:3">
      <c r="A16" t="s">
        <v>354</v>
      </c>
      <c r="B16" t="s">
        <v>355</v>
      </c>
    </row>
    <row r="17" spans="1:7">
      <c r="A17" s="62">
        <v>21733</v>
      </c>
      <c r="B17">
        <v>0.29299999999999998</v>
      </c>
      <c r="C17" t="str">
        <f>YEAR(A17)&amp;" q"&amp;ROUNDUP(MONTH(A17)/3,0)</f>
        <v>1959 q3</v>
      </c>
      <c r="F17" t="s">
        <v>356</v>
      </c>
      <c r="G17">
        <f>AVERAGEIF($C$17:$C$16300,F17,$B$17:$B$16300)</f>
        <v>0.2970380952380951</v>
      </c>
    </row>
    <row r="18" spans="1:7">
      <c r="A18" s="62">
        <v>21737</v>
      </c>
      <c r="B18">
        <v>0.29099999999999998</v>
      </c>
      <c r="C18" t="str">
        <f t="shared" ref="C18:C81" si="0">YEAR(A18)&amp;" q"&amp;ROUNDUP(MONTH(A18)/3,0)</f>
        <v>1959 q3</v>
      </c>
      <c r="F18" t="s">
        <v>357</v>
      </c>
      <c r="G18">
        <f t="shared" ref="G18:G81" si="1">AVERAGEIF($C$17:$C$16300,F18,$B$17:$B$16300)</f>
        <v>0.32466129032258068</v>
      </c>
    </row>
    <row r="19" spans="1:7">
      <c r="A19" s="62">
        <v>21738</v>
      </c>
      <c r="B19">
        <v>0.28199999999999997</v>
      </c>
      <c r="C19" t="str">
        <f t="shared" si="0"/>
        <v>1959 q3</v>
      </c>
      <c r="F19" t="s">
        <v>358</v>
      </c>
      <c r="G19">
        <f t="shared" si="1"/>
        <v>0.31003809523809528</v>
      </c>
    </row>
    <row r="20" spans="1:7">
      <c r="A20" s="62">
        <v>21739</v>
      </c>
      <c r="B20">
        <v>0.28460000000000002</v>
      </c>
      <c r="C20" t="str">
        <f t="shared" si="0"/>
        <v>1959 q3</v>
      </c>
      <c r="F20" t="s">
        <v>359</v>
      </c>
      <c r="G20">
        <f t="shared" si="1"/>
        <v>0.30282698412698417</v>
      </c>
    </row>
    <row r="21" spans="1:7">
      <c r="A21" s="62">
        <v>21740</v>
      </c>
      <c r="B21">
        <v>0.27600000000000002</v>
      </c>
      <c r="C21" t="str">
        <f t="shared" si="0"/>
        <v>1959 q3</v>
      </c>
      <c r="F21" t="s">
        <v>360</v>
      </c>
      <c r="G21">
        <f t="shared" si="1"/>
        <v>0.30003125000000003</v>
      </c>
    </row>
    <row r="22" spans="1:7">
      <c r="A22" s="62">
        <v>21741</v>
      </c>
      <c r="B22">
        <v>0.2757</v>
      </c>
      <c r="C22" t="str">
        <f t="shared" si="0"/>
        <v>1959 q3</v>
      </c>
      <c r="F22" t="s">
        <v>361</v>
      </c>
      <c r="G22">
        <f t="shared" si="1"/>
        <v>0.28014193548387101</v>
      </c>
    </row>
    <row r="23" spans="1:7">
      <c r="A23" s="62">
        <v>21744</v>
      </c>
      <c r="B23">
        <v>0.27800000000000002</v>
      </c>
      <c r="C23" t="str">
        <f t="shared" si="0"/>
        <v>1959 q3</v>
      </c>
      <c r="F23" t="s">
        <v>362</v>
      </c>
      <c r="G23">
        <f t="shared" si="1"/>
        <v>0.28037903225806449</v>
      </c>
    </row>
    <row r="24" spans="1:7">
      <c r="A24" s="62">
        <v>21745</v>
      </c>
      <c r="B24">
        <v>0.28549999999999998</v>
      </c>
      <c r="C24" t="str">
        <f t="shared" si="0"/>
        <v>1959 q3</v>
      </c>
      <c r="F24" t="s">
        <v>363</v>
      </c>
      <c r="G24">
        <f t="shared" si="1"/>
        <v>0.30632698412698411</v>
      </c>
    </row>
    <row r="25" spans="1:7">
      <c r="A25" s="62">
        <v>21746</v>
      </c>
      <c r="B25">
        <v>0.2873</v>
      </c>
      <c r="C25" t="str">
        <f t="shared" si="0"/>
        <v>1959 q3</v>
      </c>
      <c r="F25" t="s">
        <v>364</v>
      </c>
      <c r="G25">
        <f t="shared" si="1"/>
        <v>0.3065396825396825</v>
      </c>
    </row>
    <row r="26" spans="1:7">
      <c r="A26" s="62">
        <v>21747</v>
      </c>
      <c r="B26">
        <v>0.29149999999999998</v>
      </c>
      <c r="C26" t="str">
        <f t="shared" si="0"/>
        <v>1959 q3</v>
      </c>
      <c r="F26" t="s">
        <v>365</v>
      </c>
      <c r="G26">
        <f t="shared" si="1"/>
        <v>0.29893225806451607</v>
      </c>
    </row>
    <row r="27" spans="1:7">
      <c r="A27" s="62">
        <v>21748</v>
      </c>
      <c r="B27">
        <v>0.29160000000000003</v>
      </c>
      <c r="C27" t="str">
        <f t="shared" si="0"/>
        <v>1959 q3</v>
      </c>
      <c r="F27" t="s">
        <v>366</v>
      </c>
      <c r="G27">
        <f t="shared" si="1"/>
        <v>0.30388870967741943</v>
      </c>
    </row>
    <row r="28" spans="1:7">
      <c r="A28" s="62">
        <v>21751</v>
      </c>
      <c r="B28">
        <v>0.2893</v>
      </c>
      <c r="C28" t="str">
        <f t="shared" si="0"/>
        <v>1959 q3</v>
      </c>
      <c r="F28" t="s">
        <v>367</v>
      </c>
      <c r="G28">
        <f t="shared" si="1"/>
        <v>0.29350634920634922</v>
      </c>
    </row>
    <row r="29" spans="1:7">
      <c r="A29" s="62">
        <v>21752</v>
      </c>
      <c r="B29">
        <v>0.29160000000000003</v>
      </c>
      <c r="C29" t="str">
        <f t="shared" si="0"/>
        <v>1959 q3</v>
      </c>
      <c r="F29" t="s">
        <v>368</v>
      </c>
      <c r="G29">
        <f t="shared" si="1"/>
        <v>0.28625714285714288</v>
      </c>
    </row>
    <row r="30" spans="1:7">
      <c r="A30" s="62">
        <v>21753</v>
      </c>
      <c r="B30">
        <v>0.29430000000000001</v>
      </c>
      <c r="C30" t="str">
        <f t="shared" si="0"/>
        <v>1959 q3</v>
      </c>
      <c r="F30" t="s">
        <v>369</v>
      </c>
      <c r="G30">
        <f t="shared" si="1"/>
        <v>0.28625</v>
      </c>
    </row>
    <row r="31" spans="1:7">
      <c r="A31" s="62">
        <v>21754</v>
      </c>
      <c r="B31">
        <v>0.29389999999999999</v>
      </c>
      <c r="C31" t="str">
        <f t="shared" si="0"/>
        <v>1959 q3</v>
      </c>
      <c r="F31" t="s">
        <v>370</v>
      </c>
      <c r="G31">
        <f t="shared" si="1"/>
        <v>0.293416129032258</v>
      </c>
    </row>
    <row r="32" spans="1:7">
      <c r="A32" s="62">
        <v>21755</v>
      </c>
      <c r="B32">
        <v>0.29330000000000001</v>
      </c>
      <c r="C32" t="str">
        <f t="shared" si="0"/>
        <v>1959 q3</v>
      </c>
      <c r="F32" t="s">
        <v>371</v>
      </c>
      <c r="G32">
        <f t="shared" si="1"/>
        <v>0.29826825396825407</v>
      </c>
    </row>
    <row r="33" spans="1:7">
      <c r="A33" s="62">
        <v>21758</v>
      </c>
      <c r="B33">
        <v>0.29320000000000002</v>
      </c>
      <c r="C33" t="str">
        <f t="shared" si="0"/>
        <v>1959 q3</v>
      </c>
      <c r="F33" t="s">
        <v>372</v>
      </c>
      <c r="G33">
        <f t="shared" si="1"/>
        <v>0.29790937500000003</v>
      </c>
    </row>
    <row r="34" spans="1:7">
      <c r="A34" s="62">
        <v>21759</v>
      </c>
      <c r="B34">
        <v>0.29349999999999998</v>
      </c>
      <c r="C34" t="str">
        <f t="shared" si="0"/>
        <v>1959 q3</v>
      </c>
      <c r="F34" t="s">
        <v>373</v>
      </c>
      <c r="G34">
        <f t="shared" si="1"/>
        <v>0.30085161290322593</v>
      </c>
    </row>
    <row r="35" spans="1:7">
      <c r="A35" s="62">
        <v>21760</v>
      </c>
      <c r="B35">
        <v>0.28499999999999998</v>
      </c>
      <c r="C35" t="str">
        <f t="shared" si="0"/>
        <v>1959 q3</v>
      </c>
      <c r="F35" t="s">
        <v>374</v>
      </c>
      <c r="G35">
        <f t="shared" si="1"/>
        <v>0.33005161290322593</v>
      </c>
    </row>
    <row r="36" spans="1:7">
      <c r="A36" s="62">
        <v>21761</v>
      </c>
      <c r="B36">
        <v>0.28739999999999999</v>
      </c>
      <c r="C36" t="str">
        <f t="shared" si="0"/>
        <v>1959 q3</v>
      </c>
      <c r="F36" t="s">
        <v>375</v>
      </c>
      <c r="G36">
        <f t="shared" si="1"/>
        <v>0.37658124999999992</v>
      </c>
    </row>
    <row r="37" spans="1:7">
      <c r="A37" s="62">
        <v>21762</v>
      </c>
      <c r="B37">
        <v>0.29149999999999998</v>
      </c>
      <c r="C37" t="str">
        <f t="shared" si="0"/>
        <v>1959 q3</v>
      </c>
      <c r="F37" t="s">
        <v>376</v>
      </c>
      <c r="G37">
        <f t="shared" si="1"/>
        <v>0.39403437499999999</v>
      </c>
    </row>
    <row r="38" spans="1:7">
      <c r="A38" s="62">
        <v>21765</v>
      </c>
      <c r="B38">
        <v>0.29320000000000002</v>
      </c>
      <c r="C38" t="str">
        <f t="shared" si="0"/>
        <v>1959 q3</v>
      </c>
      <c r="F38" t="s">
        <v>377</v>
      </c>
      <c r="G38">
        <f t="shared" si="1"/>
        <v>0.51522622950819663</v>
      </c>
    </row>
    <row r="39" spans="1:7">
      <c r="A39" s="62">
        <v>21766</v>
      </c>
      <c r="B39">
        <v>0.28999999999999998</v>
      </c>
      <c r="C39" t="str">
        <f t="shared" si="0"/>
        <v>1959 q3</v>
      </c>
      <c r="F39" t="s">
        <v>378</v>
      </c>
      <c r="G39">
        <f t="shared" si="1"/>
        <v>0.41091311475409842</v>
      </c>
    </row>
    <row r="40" spans="1:7">
      <c r="A40" s="62">
        <v>21767</v>
      </c>
      <c r="B40">
        <v>0.29049999999999998</v>
      </c>
      <c r="C40" t="str">
        <f t="shared" si="0"/>
        <v>1959 q3</v>
      </c>
      <c r="F40" t="s">
        <v>379</v>
      </c>
      <c r="G40">
        <f t="shared" si="1"/>
        <v>0.49719682539682553</v>
      </c>
    </row>
    <row r="41" spans="1:7">
      <c r="A41" s="62">
        <v>21768</v>
      </c>
      <c r="B41">
        <v>0.29449999999999998</v>
      </c>
      <c r="C41" t="str">
        <f t="shared" si="0"/>
        <v>1959 q3</v>
      </c>
      <c r="F41" t="s">
        <v>380</v>
      </c>
      <c r="G41">
        <f t="shared" si="1"/>
        <v>0.49562343749999982</v>
      </c>
    </row>
    <row r="42" spans="1:7">
      <c r="A42" s="62">
        <v>21769</v>
      </c>
      <c r="B42">
        <v>0.29930000000000001</v>
      </c>
      <c r="C42" t="str">
        <f t="shared" si="0"/>
        <v>1959 q3</v>
      </c>
      <c r="F42" t="s">
        <v>381</v>
      </c>
      <c r="G42">
        <f t="shared" si="1"/>
        <v>0.55484745762711873</v>
      </c>
    </row>
    <row r="43" spans="1:7">
      <c r="A43" s="62">
        <v>21772</v>
      </c>
      <c r="B43">
        <v>0.30199999999999999</v>
      </c>
      <c r="C43" t="str">
        <f t="shared" si="0"/>
        <v>1959 q3</v>
      </c>
      <c r="F43" t="s">
        <v>382</v>
      </c>
      <c r="G43">
        <f t="shared" si="1"/>
        <v>0.67203015873015892</v>
      </c>
    </row>
    <row r="44" spans="1:7">
      <c r="A44" s="62">
        <v>21773</v>
      </c>
      <c r="B44">
        <v>0.30280000000000001</v>
      </c>
      <c r="C44" t="str">
        <f t="shared" si="0"/>
        <v>1959 q3</v>
      </c>
      <c r="F44" t="s">
        <v>383</v>
      </c>
      <c r="G44">
        <f t="shared" si="1"/>
        <v>0.72076031746031743</v>
      </c>
    </row>
    <row r="45" spans="1:7">
      <c r="A45" s="62">
        <v>21774</v>
      </c>
      <c r="B45">
        <v>0.3049</v>
      </c>
      <c r="C45" t="str">
        <f t="shared" si="0"/>
        <v>1959 q3</v>
      </c>
      <c r="F45" t="s">
        <v>384</v>
      </c>
      <c r="G45">
        <f t="shared" si="1"/>
        <v>0.58182499999999981</v>
      </c>
    </row>
    <row r="46" spans="1:7">
      <c r="A46" s="62">
        <v>21775</v>
      </c>
      <c r="B46">
        <v>0.308</v>
      </c>
      <c r="C46" t="str">
        <f t="shared" si="0"/>
        <v>1959 q3</v>
      </c>
      <c r="F46" t="s">
        <v>385</v>
      </c>
      <c r="G46">
        <f t="shared" si="1"/>
        <v>0.55787833333333336</v>
      </c>
    </row>
    <row r="47" spans="1:7">
      <c r="A47" s="62">
        <v>21776</v>
      </c>
      <c r="B47">
        <v>0.30649999999999999</v>
      </c>
      <c r="C47" t="str">
        <f t="shared" si="0"/>
        <v>1959 q3</v>
      </c>
      <c r="F47" t="s">
        <v>386</v>
      </c>
      <c r="G47">
        <f t="shared" si="1"/>
        <v>0.50605901639344264</v>
      </c>
    </row>
    <row r="48" spans="1:7">
      <c r="A48" s="62">
        <v>21779</v>
      </c>
      <c r="B48">
        <v>0.29399999999999998</v>
      </c>
      <c r="C48" t="str">
        <f t="shared" si="0"/>
        <v>1959 q3</v>
      </c>
      <c r="F48" t="s">
        <v>387</v>
      </c>
      <c r="G48">
        <f t="shared" si="1"/>
        <v>0.43096718749999996</v>
      </c>
    </row>
    <row r="49" spans="1:7">
      <c r="A49" s="62">
        <v>21780</v>
      </c>
      <c r="B49">
        <v>0.30099999999999999</v>
      </c>
      <c r="C49" t="str">
        <f t="shared" si="0"/>
        <v>1959 q3</v>
      </c>
      <c r="F49" t="s">
        <v>388</v>
      </c>
      <c r="G49">
        <f t="shared" si="1"/>
        <v>0.45989354838709673</v>
      </c>
    </row>
    <row r="50" spans="1:7">
      <c r="A50" s="62">
        <v>21781</v>
      </c>
      <c r="B50">
        <v>0.30199999999999999</v>
      </c>
      <c r="C50" t="str">
        <f t="shared" si="0"/>
        <v>1959 q3</v>
      </c>
      <c r="F50" t="s">
        <v>389</v>
      </c>
      <c r="G50">
        <f t="shared" si="1"/>
        <v>0.57395573770491792</v>
      </c>
    </row>
    <row r="51" spans="1:7">
      <c r="A51" s="62">
        <v>21782</v>
      </c>
      <c r="B51">
        <v>0.30099999999999999</v>
      </c>
      <c r="C51" t="str">
        <f t="shared" si="0"/>
        <v>1959 q3</v>
      </c>
      <c r="F51" t="s">
        <v>390</v>
      </c>
      <c r="G51">
        <f t="shared" si="1"/>
        <v>0.62891311475409828</v>
      </c>
    </row>
    <row r="52" spans="1:7">
      <c r="A52" s="62">
        <v>21783</v>
      </c>
      <c r="B52">
        <v>0.30009999999999998</v>
      </c>
      <c r="C52" t="str">
        <f t="shared" si="0"/>
        <v>1959 q3</v>
      </c>
      <c r="F52" t="s">
        <v>391</v>
      </c>
      <c r="G52">
        <f t="shared" si="1"/>
        <v>0.4724360655737706</v>
      </c>
    </row>
    <row r="53" spans="1:7">
      <c r="A53" s="62">
        <v>21786</v>
      </c>
      <c r="B53">
        <v>0.29980000000000001</v>
      </c>
      <c r="C53" t="str">
        <f t="shared" si="0"/>
        <v>1959 q3</v>
      </c>
      <c r="F53" t="s">
        <v>392</v>
      </c>
      <c r="G53">
        <f t="shared" si="1"/>
        <v>0.45073333333333354</v>
      </c>
    </row>
    <row r="54" spans="1:7">
      <c r="A54" s="62">
        <v>21787</v>
      </c>
      <c r="B54">
        <v>0.29799999999999999</v>
      </c>
      <c r="C54" t="str">
        <f t="shared" si="0"/>
        <v>1959 q3</v>
      </c>
      <c r="F54" t="s">
        <v>393</v>
      </c>
      <c r="G54">
        <f t="shared" si="1"/>
        <v>0.48171639344262301</v>
      </c>
    </row>
    <row r="55" spans="1:7">
      <c r="A55" s="62">
        <v>21788</v>
      </c>
      <c r="B55">
        <v>0.30180000000000001</v>
      </c>
      <c r="C55" t="str">
        <f t="shared" si="0"/>
        <v>1959 q3</v>
      </c>
      <c r="F55" t="s">
        <v>394</v>
      </c>
      <c r="G55">
        <f t="shared" si="1"/>
        <v>0.5299355932203389</v>
      </c>
    </row>
    <row r="56" spans="1:7">
      <c r="A56" s="62">
        <v>21789</v>
      </c>
      <c r="B56">
        <v>0.30399999999999999</v>
      </c>
      <c r="C56" t="str">
        <f t="shared" si="0"/>
        <v>1959 q3</v>
      </c>
      <c r="F56" t="s">
        <v>395</v>
      </c>
      <c r="G56">
        <f t="shared" si="1"/>
        <v>0.59403015873015863</v>
      </c>
    </row>
    <row r="57" spans="1:7">
      <c r="A57" s="62">
        <v>21790</v>
      </c>
      <c r="B57">
        <v>0.30690000000000001</v>
      </c>
      <c r="C57" t="str">
        <f t="shared" si="0"/>
        <v>1959 q3</v>
      </c>
      <c r="F57" t="s">
        <v>396</v>
      </c>
      <c r="G57">
        <f t="shared" si="1"/>
        <v>0.64599841269841263</v>
      </c>
    </row>
    <row r="58" spans="1:7">
      <c r="A58" s="62">
        <v>21793</v>
      </c>
      <c r="B58">
        <v>0.31230000000000002</v>
      </c>
      <c r="C58" t="str">
        <f t="shared" si="0"/>
        <v>1959 q3</v>
      </c>
      <c r="F58" t="s">
        <v>397</v>
      </c>
      <c r="G58">
        <f t="shared" si="1"/>
        <v>0.70637166666666673</v>
      </c>
    </row>
    <row r="59" spans="1:7">
      <c r="A59" s="62">
        <v>21794</v>
      </c>
      <c r="B59">
        <v>0.307</v>
      </c>
      <c r="C59" t="str">
        <f t="shared" si="0"/>
        <v>1959 q3</v>
      </c>
      <c r="F59" t="s">
        <v>398</v>
      </c>
      <c r="G59">
        <f t="shared" si="1"/>
        <v>0.71210169491525466</v>
      </c>
    </row>
    <row r="60" spans="1:7">
      <c r="A60" s="62">
        <v>21795</v>
      </c>
      <c r="B60">
        <v>0.30780000000000002</v>
      </c>
      <c r="C60" t="str">
        <f t="shared" si="0"/>
        <v>1959 q3</v>
      </c>
      <c r="F60" t="s">
        <v>399</v>
      </c>
      <c r="G60">
        <f t="shared" si="1"/>
        <v>0.70030781250000007</v>
      </c>
    </row>
    <row r="61" spans="1:7">
      <c r="A61" s="62">
        <v>21796</v>
      </c>
      <c r="B61">
        <v>0.30830000000000002</v>
      </c>
      <c r="C61" t="str">
        <f t="shared" si="0"/>
        <v>1959 q3</v>
      </c>
      <c r="F61" t="s">
        <v>400</v>
      </c>
      <c r="G61">
        <f t="shared" si="1"/>
        <v>0.58506406250000009</v>
      </c>
    </row>
    <row r="62" spans="1:7">
      <c r="A62" s="62">
        <v>21797</v>
      </c>
      <c r="B62">
        <v>0.31009999999999999</v>
      </c>
      <c r="C62" t="str">
        <f t="shared" si="0"/>
        <v>1959 q3</v>
      </c>
      <c r="F62" t="s">
        <v>401</v>
      </c>
      <c r="G62">
        <f t="shared" si="1"/>
        <v>0.48757377049180323</v>
      </c>
    </row>
    <row r="63" spans="1:7">
      <c r="A63" s="62">
        <v>21801</v>
      </c>
      <c r="B63">
        <v>0.31130000000000002</v>
      </c>
      <c r="C63" t="str">
        <f t="shared" si="0"/>
        <v>1959 q3</v>
      </c>
      <c r="F63" t="s">
        <v>402</v>
      </c>
      <c r="G63">
        <f t="shared" si="1"/>
        <v>0.48588196721311477</v>
      </c>
    </row>
    <row r="64" spans="1:7">
      <c r="A64" s="62">
        <v>21802</v>
      </c>
      <c r="B64">
        <v>0.30890000000000001</v>
      </c>
      <c r="C64" t="str">
        <f t="shared" si="0"/>
        <v>1959 q3</v>
      </c>
      <c r="F64" t="s">
        <v>403</v>
      </c>
      <c r="G64">
        <f t="shared" si="1"/>
        <v>0.52261428571428559</v>
      </c>
    </row>
    <row r="65" spans="1:7">
      <c r="A65" s="62">
        <v>21803</v>
      </c>
      <c r="B65">
        <v>0.3075</v>
      </c>
      <c r="C65" t="str">
        <f t="shared" si="0"/>
        <v>1959 q3</v>
      </c>
      <c r="F65" t="s">
        <v>404</v>
      </c>
      <c r="G65">
        <f t="shared" si="1"/>
        <v>0.50224262295081967</v>
      </c>
    </row>
    <row r="66" spans="1:7">
      <c r="A66" s="62">
        <v>21804</v>
      </c>
      <c r="B66">
        <v>0.30759999999999998</v>
      </c>
      <c r="C66" t="str">
        <f t="shared" si="0"/>
        <v>1959 q3</v>
      </c>
      <c r="F66" t="s">
        <v>405</v>
      </c>
      <c r="G66">
        <f t="shared" si="1"/>
        <v>0.47188500000000028</v>
      </c>
    </row>
    <row r="67" spans="1:7">
      <c r="A67" s="62">
        <v>21807</v>
      </c>
      <c r="B67">
        <v>0.30230000000000001</v>
      </c>
      <c r="C67" t="str">
        <f t="shared" si="0"/>
        <v>1959 q3</v>
      </c>
      <c r="F67" t="s">
        <v>406</v>
      </c>
      <c r="G67">
        <f t="shared" si="1"/>
        <v>0.5084403225806452</v>
      </c>
    </row>
    <row r="68" spans="1:7">
      <c r="A68" s="62">
        <v>21808</v>
      </c>
      <c r="B68">
        <v>0.29830000000000001</v>
      </c>
      <c r="C68" t="str">
        <f t="shared" si="0"/>
        <v>1959 q3</v>
      </c>
      <c r="F68" t="s">
        <v>407</v>
      </c>
      <c r="G68">
        <f t="shared" si="1"/>
        <v>0.5014453124999998</v>
      </c>
    </row>
    <row r="69" spans="1:7">
      <c r="A69" s="62">
        <v>21809</v>
      </c>
      <c r="B69">
        <v>0.29959999999999998</v>
      </c>
      <c r="C69" t="str">
        <f t="shared" si="0"/>
        <v>1959 q3</v>
      </c>
      <c r="F69" t="s">
        <v>408</v>
      </c>
      <c r="G69">
        <f t="shared" si="1"/>
        <v>0.48878548387096765</v>
      </c>
    </row>
    <row r="70" spans="1:7">
      <c r="A70" s="62">
        <v>21810</v>
      </c>
      <c r="B70">
        <v>0.2979</v>
      </c>
      <c r="C70" t="str">
        <f t="shared" si="0"/>
        <v>1959 q3</v>
      </c>
      <c r="F70" t="s">
        <v>409</v>
      </c>
      <c r="G70">
        <f t="shared" si="1"/>
        <v>0.47703559322033889</v>
      </c>
    </row>
    <row r="71" spans="1:7">
      <c r="A71" s="62">
        <v>21811</v>
      </c>
      <c r="B71">
        <v>0.29430000000000001</v>
      </c>
      <c r="C71" t="str">
        <f t="shared" si="0"/>
        <v>1959 q3</v>
      </c>
      <c r="F71" t="s">
        <v>410</v>
      </c>
      <c r="G71">
        <f t="shared" si="1"/>
        <v>0.58901803278688525</v>
      </c>
    </row>
    <row r="72" spans="1:7">
      <c r="A72" s="62">
        <v>21814</v>
      </c>
      <c r="B72">
        <v>0.29099999999999998</v>
      </c>
      <c r="C72" t="str">
        <f t="shared" si="0"/>
        <v>1959 q3</v>
      </c>
      <c r="F72" t="s">
        <v>411</v>
      </c>
      <c r="G72">
        <f t="shared" si="1"/>
        <v>0.71437777777777767</v>
      </c>
    </row>
    <row r="73" spans="1:7">
      <c r="A73" s="62">
        <v>21815</v>
      </c>
      <c r="B73">
        <v>0.29170000000000001</v>
      </c>
      <c r="C73" t="str">
        <f t="shared" si="0"/>
        <v>1959 q3</v>
      </c>
      <c r="F73" t="s">
        <v>412</v>
      </c>
      <c r="G73">
        <f t="shared" si="1"/>
        <v>0.84544920634920639</v>
      </c>
    </row>
    <row r="74" spans="1:7">
      <c r="A74" s="62">
        <v>21816</v>
      </c>
      <c r="B74">
        <v>0.29699999999999999</v>
      </c>
      <c r="C74" t="str">
        <f t="shared" si="0"/>
        <v>1959 q3</v>
      </c>
      <c r="F74" t="s">
        <v>413</v>
      </c>
      <c r="G74">
        <f t="shared" si="1"/>
        <v>0.92592999999999981</v>
      </c>
    </row>
    <row r="75" spans="1:7">
      <c r="A75" s="62">
        <v>21817</v>
      </c>
      <c r="B75">
        <v>0.30180000000000001</v>
      </c>
      <c r="C75" t="str">
        <f t="shared" si="0"/>
        <v>1959 q3</v>
      </c>
      <c r="F75" t="s">
        <v>414</v>
      </c>
      <c r="G75">
        <f t="shared" si="1"/>
        <v>1.0300360655737704</v>
      </c>
    </row>
    <row r="76" spans="1:7">
      <c r="A76" s="62">
        <v>21818</v>
      </c>
      <c r="B76">
        <v>0.30259999999999998</v>
      </c>
      <c r="C76" t="str">
        <f t="shared" si="0"/>
        <v>1959 q3</v>
      </c>
      <c r="F76" t="s">
        <v>415</v>
      </c>
      <c r="G76">
        <f t="shared" si="1"/>
        <v>1.1771079365079362</v>
      </c>
    </row>
    <row r="77" spans="1:7">
      <c r="A77" s="62">
        <v>21821</v>
      </c>
      <c r="B77">
        <v>0.30030000000000001</v>
      </c>
      <c r="C77" t="str">
        <f t="shared" si="0"/>
        <v>1959 q3</v>
      </c>
      <c r="F77" t="s">
        <v>416</v>
      </c>
      <c r="G77">
        <f t="shared" si="1"/>
        <v>0.77902812499999996</v>
      </c>
    </row>
    <row r="78" spans="1:7">
      <c r="A78" s="62">
        <v>21822</v>
      </c>
      <c r="B78">
        <v>0.30249999999999999</v>
      </c>
      <c r="C78" t="str">
        <f t="shared" si="0"/>
        <v>1959 q3</v>
      </c>
      <c r="F78" t="s">
        <v>417</v>
      </c>
      <c r="G78">
        <f t="shared" si="1"/>
        <v>0.59526885245901628</v>
      </c>
    </row>
    <row r="79" spans="1:7">
      <c r="A79" s="62">
        <v>21823</v>
      </c>
      <c r="B79">
        <v>0.30380000000000001</v>
      </c>
      <c r="C79" t="str">
        <f t="shared" si="0"/>
        <v>1959 q3</v>
      </c>
      <c r="F79" t="s">
        <v>418</v>
      </c>
      <c r="G79">
        <f t="shared" si="1"/>
        <v>0.55869333333333304</v>
      </c>
    </row>
    <row r="80" spans="1:7">
      <c r="A80" s="62">
        <v>21824</v>
      </c>
      <c r="B80">
        <v>0.30499999999999999</v>
      </c>
      <c r="C80" t="str">
        <f t="shared" si="0"/>
        <v>1959 q4</v>
      </c>
      <c r="F80" t="s">
        <v>419</v>
      </c>
      <c r="G80">
        <f t="shared" si="1"/>
        <v>0.55780312500000018</v>
      </c>
    </row>
    <row r="81" spans="1:7">
      <c r="A81" s="62">
        <v>21825</v>
      </c>
      <c r="B81">
        <v>0.30919999999999997</v>
      </c>
      <c r="C81" t="str">
        <f t="shared" si="0"/>
        <v>1959 q4</v>
      </c>
      <c r="F81" t="s">
        <v>420</v>
      </c>
      <c r="G81">
        <f t="shared" si="1"/>
        <v>0.58025312500000015</v>
      </c>
    </row>
    <row r="82" spans="1:7">
      <c r="A82" s="62">
        <v>21828</v>
      </c>
      <c r="B82">
        <v>0.31080000000000002</v>
      </c>
      <c r="C82" t="str">
        <f t="shared" ref="C82:C145" si="2">YEAR(A82)&amp;" q"&amp;ROUNDUP(MONTH(A82)/3,0)</f>
        <v>1959 q4</v>
      </c>
      <c r="F82" t="s">
        <v>421</v>
      </c>
      <c r="G82">
        <f t="shared" ref="G82:G145" si="3">AVERAGEIF($C$17:$C$16300,F82,$B$17:$B$16300)</f>
        <v>0.54547999999999996</v>
      </c>
    </row>
    <row r="83" spans="1:7">
      <c r="A83" s="62">
        <v>21829</v>
      </c>
      <c r="B83">
        <v>0.31169999999999998</v>
      </c>
      <c r="C83" t="str">
        <f t="shared" si="2"/>
        <v>1959 q4</v>
      </c>
      <c r="F83" t="s">
        <v>422</v>
      </c>
      <c r="G83">
        <f t="shared" si="3"/>
        <v>0.58387301587301599</v>
      </c>
    </row>
    <row r="84" spans="1:7">
      <c r="A84" s="62">
        <v>21830</v>
      </c>
      <c r="B84">
        <v>0.30759999999999998</v>
      </c>
      <c r="C84" t="str">
        <f t="shared" si="2"/>
        <v>1959 q4</v>
      </c>
      <c r="F84" t="s">
        <v>423</v>
      </c>
      <c r="G84">
        <f t="shared" si="3"/>
        <v>0.70154285714285725</v>
      </c>
    </row>
    <row r="85" spans="1:7">
      <c r="A85" s="62">
        <v>21831</v>
      </c>
      <c r="B85">
        <v>0.309</v>
      </c>
      <c r="C85" t="str">
        <f t="shared" si="2"/>
        <v>1959 q4</v>
      </c>
      <c r="F85" t="s">
        <v>424</v>
      </c>
      <c r="G85">
        <f t="shared" si="3"/>
        <v>0.70858437499999982</v>
      </c>
    </row>
    <row r="86" spans="1:7">
      <c r="A86" s="62">
        <v>21832</v>
      </c>
      <c r="B86">
        <v>0.30990000000000001</v>
      </c>
      <c r="C86" t="str">
        <f t="shared" si="2"/>
        <v>1959 q4</v>
      </c>
      <c r="F86" t="s">
        <v>425</v>
      </c>
      <c r="G86">
        <f t="shared" si="3"/>
        <v>0.59079354838709675</v>
      </c>
    </row>
    <row r="87" spans="1:7">
      <c r="A87" s="62">
        <v>21836</v>
      </c>
      <c r="B87">
        <v>0.308</v>
      </c>
      <c r="C87" t="str">
        <f t="shared" si="2"/>
        <v>1959 q4</v>
      </c>
      <c r="F87" t="s">
        <v>426</v>
      </c>
      <c r="G87">
        <f t="shared" si="3"/>
        <v>0.67067619047619054</v>
      </c>
    </row>
    <row r="88" spans="1:7">
      <c r="A88" s="62">
        <v>21837</v>
      </c>
      <c r="B88">
        <v>0.312</v>
      </c>
      <c r="C88" t="str">
        <f t="shared" si="2"/>
        <v>1959 q4</v>
      </c>
      <c r="F88" t="s">
        <v>427</v>
      </c>
      <c r="G88">
        <f t="shared" si="3"/>
        <v>0.63380317460317448</v>
      </c>
    </row>
    <row r="89" spans="1:7">
      <c r="A89" s="62">
        <v>21838</v>
      </c>
      <c r="B89">
        <v>0.31119999999999998</v>
      </c>
      <c r="C89" t="str">
        <f t="shared" si="2"/>
        <v>1959 q4</v>
      </c>
      <c r="F89" t="s">
        <v>428</v>
      </c>
      <c r="G89">
        <f t="shared" si="3"/>
        <v>0.55573333333333352</v>
      </c>
    </row>
    <row r="90" spans="1:7">
      <c r="A90" s="62">
        <v>21839</v>
      </c>
      <c r="B90">
        <v>0.3115</v>
      </c>
      <c r="C90" t="str">
        <f t="shared" si="2"/>
        <v>1959 q4</v>
      </c>
      <c r="F90" t="s">
        <v>429</v>
      </c>
      <c r="G90">
        <f t="shared" si="3"/>
        <v>0.56936190476190462</v>
      </c>
    </row>
    <row r="91" spans="1:7">
      <c r="A91" s="62">
        <v>21842</v>
      </c>
      <c r="B91">
        <v>0.316</v>
      </c>
      <c r="C91" t="str">
        <f t="shared" si="2"/>
        <v>1959 q4</v>
      </c>
      <c r="F91" t="s">
        <v>430</v>
      </c>
      <c r="G91">
        <f t="shared" si="3"/>
        <v>0.58628333333333305</v>
      </c>
    </row>
    <row r="92" spans="1:7">
      <c r="A92" s="62">
        <v>21843</v>
      </c>
      <c r="B92">
        <v>0.32200000000000001</v>
      </c>
      <c r="C92" t="str">
        <f t="shared" si="2"/>
        <v>1959 q4</v>
      </c>
      <c r="F92" t="s">
        <v>431</v>
      </c>
      <c r="G92">
        <f t="shared" si="3"/>
        <v>0.60849999999999993</v>
      </c>
    </row>
    <row r="93" spans="1:7">
      <c r="A93" s="62">
        <v>21844</v>
      </c>
      <c r="B93">
        <v>0.3246</v>
      </c>
      <c r="C93" t="str">
        <f t="shared" si="2"/>
        <v>1959 q4</v>
      </c>
      <c r="F93" t="s">
        <v>432</v>
      </c>
      <c r="G93">
        <f t="shared" si="3"/>
        <v>0.64283333333333326</v>
      </c>
    </row>
    <row r="94" spans="1:7">
      <c r="A94" s="62">
        <v>21845</v>
      </c>
      <c r="B94">
        <v>0.32879999999999998</v>
      </c>
      <c r="C94" t="str">
        <f t="shared" si="2"/>
        <v>1959 q4</v>
      </c>
      <c r="F94" t="s">
        <v>433</v>
      </c>
      <c r="G94">
        <f t="shared" si="3"/>
        <v>0.67662096774193559</v>
      </c>
    </row>
    <row r="95" spans="1:7">
      <c r="A95" s="62">
        <v>21846</v>
      </c>
      <c r="B95">
        <v>0.32650000000000001</v>
      </c>
      <c r="C95" t="str">
        <f t="shared" si="2"/>
        <v>1959 q4</v>
      </c>
      <c r="F95" t="s">
        <v>434</v>
      </c>
      <c r="G95">
        <f t="shared" si="3"/>
        <v>0.84051428571428566</v>
      </c>
    </row>
    <row r="96" spans="1:7">
      <c r="A96" s="62">
        <v>21849</v>
      </c>
      <c r="B96">
        <v>0.32719999999999999</v>
      </c>
      <c r="C96" t="str">
        <f t="shared" si="2"/>
        <v>1959 q4</v>
      </c>
      <c r="F96" t="s">
        <v>435</v>
      </c>
      <c r="G96">
        <f t="shared" si="3"/>
        <v>0.86752063492063503</v>
      </c>
    </row>
    <row r="97" spans="1:7">
      <c r="A97" s="62">
        <v>21850</v>
      </c>
      <c r="B97">
        <v>0.33100000000000002</v>
      </c>
      <c r="C97" t="str">
        <f t="shared" si="2"/>
        <v>1959 q4</v>
      </c>
      <c r="F97" t="s">
        <v>436</v>
      </c>
      <c r="G97">
        <f t="shared" si="3"/>
        <v>0.87238888888888899</v>
      </c>
    </row>
    <row r="98" spans="1:7">
      <c r="A98" s="62">
        <v>21851</v>
      </c>
      <c r="B98">
        <v>0.33150000000000002</v>
      </c>
      <c r="C98" t="str">
        <f t="shared" si="2"/>
        <v>1959 q4</v>
      </c>
      <c r="F98" t="s">
        <v>437</v>
      </c>
      <c r="G98">
        <f t="shared" si="3"/>
        <v>0.97228412698412703</v>
      </c>
    </row>
    <row r="99" spans="1:7">
      <c r="A99" s="62">
        <v>21852</v>
      </c>
      <c r="B99">
        <v>0.33200000000000002</v>
      </c>
      <c r="C99" t="str">
        <f t="shared" si="2"/>
        <v>1959 q4</v>
      </c>
      <c r="F99" t="s">
        <v>438</v>
      </c>
      <c r="G99">
        <f t="shared" si="3"/>
        <v>1.1622380952380953</v>
      </c>
    </row>
    <row r="100" spans="1:7">
      <c r="A100" s="62">
        <v>21853</v>
      </c>
      <c r="B100">
        <v>0.33</v>
      </c>
      <c r="C100" t="str">
        <f t="shared" si="2"/>
        <v>1959 q4</v>
      </c>
      <c r="F100" t="s">
        <v>439</v>
      </c>
      <c r="G100">
        <f t="shared" si="3"/>
        <v>0.89429047619047608</v>
      </c>
    </row>
    <row r="101" spans="1:7">
      <c r="A101" s="62">
        <v>21856</v>
      </c>
      <c r="B101">
        <v>0.33350000000000002</v>
      </c>
      <c r="C101" t="str">
        <f t="shared" si="2"/>
        <v>1959 q4</v>
      </c>
      <c r="F101" t="s">
        <v>440</v>
      </c>
      <c r="G101">
        <f t="shared" si="3"/>
        <v>0.95981718749999967</v>
      </c>
    </row>
    <row r="102" spans="1:7">
      <c r="A102" s="62">
        <v>21858</v>
      </c>
      <c r="B102">
        <v>0.34179999999999999</v>
      </c>
      <c r="C102" t="str">
        <f t="shared" si="2"/>
        <v>1959 q4</v>
      </c>
      <c r="F102" t="s">
        <v>441</v>
      </c>
      <c r="G102">
        <f t="shared" si="3"/>
        <v>0.90801290322580663</v>
      </c>
    </row>
    <row r="103" spans="1:7">
      <c r="A103" s="62">
        <v>21859</v>
      </c>
      <c r="B103">
        <v>0.34250000000000003</v>
      </c>
      <c r="C103" t="str">
        <f t="shared" si="2"/>
        <v>1959 q4</v>
      </c>
      <c r="F103" t="s">
        <v>442</v>
      </c>
      <c r="G103">
        <f t="shared" si="3"/>
        <v>0.84160645161290304</v>
      </c>
    </row>
    <row r="104" spans="1:7">
      <c r="A104" s="62">
        <v>21860</v>
      </c>
      <c r="B104">
        <v>0.34739999999999999</v>
      </c>
      <c r="C104" t="str">
        <f t="shared" si="2"/>
        <v>1959 q4</v>
      </c>
      <c r="F104" t="s">
        <v>443</v>
      </c>
      <c r="G104">
        <f t="shared" si="3"/>
        <v>0.80949365079365054</v>
      </c>
    </row>
    <row r="105" spans="1:7">
      <c r="A105" s="62">
        <v>21863</v>
      </c>
      <c r="B105">
        <v>0.34870000000000001</v>
      </c>
      <c r="C105" t="str">
        <f t="shared" si="2"/>
        <v>1959 q4</v>
      </c>
      <c r="F105" t="s">
        <v>444</v>
      </c>
      <c r="G105">
        <f t="shared" si="3"/>
        <v>0.80022499999999974</v>
      </c>
    </row>
    <row r="106" spans="1:7">
      <c r="A106" s="62">
        <v>21864</v>
      </c>
      <c r="B106">
        <v>0.35299999999999998</v>
      </c>
      <c r="C106" t="str">
        <f t="shared" si="2"/>
        <v>1959 q4</v>
      </c>
      <c r="F106" t="s">
        <v>445</v>
      </c>
      <c r="G106">
        <f t="shared" si="3"/>
        <v>0.74830624999999973</v>
      </c>
    </row>
    <row r="107" spans="1:7">
      <c r="A107" s="62">
        <v>21865</v>
      </c>
      <c r="B107">
        <v>0.34720000000000001</v>
      </c>
      <c r="C107" t="str">
        <f t="shared" si="2"/>
        <v>1959 q4</v>
      </c>
      <c r="F107" t="s">
        <v>446</v>
      </c>
      <c r="G107">
        <f t="shared" si="3"/>
        <v>0.71292096774193547</v>
      </c>
    </row>
    <row r="108" spans="1:7">
      <c r="A108" s="62">
        <v>21866</v>
      </c>
      <c r="B108">
        <v>0.3422</v>
      </c>
      <c r="C108" t="str">
        <f t="shared" si="2"/>
        <v>1959 q4</v>
      </c>
      <c r="F108" t="s">
        <v>447</v>
      </c>
      <c r="G108">
        <f t="shared" si="3"/>
        <v>0.66105238095238095</v>
      </c>
    </row>
    <row r="109" spans="1:7">
      <c r="A109" s="62">
        <v>21867</v>
      </c>
      <c r="B109">
        <v>0.33650000000000002</v>
      </c>
      <c r="C109" t="str">
        <f t="shared" si="2"/>
        <v>1959 q4</v>
      </c>
      <c r="F109" t="s">
        <v>448</v>
      </c>
      <c r="G109">
        <f t="shared" si="3"/>
        <v>0.63667812500000021</v>
      </c>
    </row>
    <row r="110" spans="1:7">
      <c r="A110" s="62">
        <v>21870</v>
      </c>
      <c r="B110">
        <v>0.32850000000000001</v>
      </c>
      <c r="C110" t="str">
        <f t="shared" si="2"/>
        <v>1959 q4</v>
      </c>
      <c r="F110" t="s">
        <v>449</v>
      </c>
      <c r="G110">
        <f t="shared" si="3"/>
        <v>0.65503709677419353</v>
      </c>
    </row>
    <row r="111" spans="1:7">
      <c r="A111" s="62">
        <v>21871</v>
      </c>
      <c r="B111">
        <v>0.31969999999999998</v>
      </c>
      <c r="C111" t="str">
        <f t="shared" si="2"/>
        <v>1959 q4</v>
      </c>
      <c r="F111" t="s">
        <v>450</v>
      </c>
      <c r="G111">
        <f t="shared" si="3"/>
        <v>0.74598730158730142</v>
      </c>
    </row>
    <row r="112" spans="1:7">
      <c r="A112" s="62">
        <v>21872</v>
      </c>
      <c r="B112">
        <v>0.32150000000000001</v>
      </c>
      <c r="C112" t="str">
        <f t="shared" si="2"/>
        <v>1959 q4</v>
      </c>
      <c r="F112" t="s">
        <v>451</v>
      </c>
      <c r="G112">
        <f t="shared" si="3"/>
        <v>0.77190476190476209</v>
      </c>
    </row>
    <row r="113" spans="1:7">
      <c r="A113" s="62">
        <v>21873</v>
      </c>
      <c r="B113">
        <v>0.32590000000000002</v>
      </c>
      <c r="C113" t="str">
        <f t="shared" si="2"/>
        <v>1959 q4</v>
      </c>
      <c r="F113" t="s">
        <v>452</v>
      </c>
      <c r="G113">
        <f t="shared" si="3"/>
        <v>0.74417343749999998</v>
      </c>
    </row>
    <row r="114" spans="1:7">
      <c r="A114" s="62">
        <v>21874</v>
      </c>
      <c r="B114">
        <v>0.32369999999999999</v>
      </c>
      <c r="C114" t="str">
        <f t="shared" si="2"/>
        <v>1959 q4</v>
      </c>
      <c r="F114" t="s">
        <v>453</v>
      </c>
      <c r="G114">
        <f t="shared" si="3"/>
        <v>0.64312698412698421</v>
      </c>
    </row>
    <row r="115" spans="1:7">
      <c r="A115" s="62">
        <v>21877</v>
      </c>
      <c r="B115">
        <v>0.32</v>
      </c>
      <c r="C115" t="str">
        <f t="shared" si="2"/>
        <v>1959 q4</v>
      </c>
      <c r="F115" t="s">
        <v>454</v>
      </c>
      <c r="G115">
        <f t="shared" si="3"/>
        <v>0.65542857142857158</v>
      </c>
    </row>
    <row r="116" spans="1:7">
      <c r="A116" s="62">
        <v>21878</v>
      </c>
      <c r="B116">
        <v>0.32219999999999999</v>
      </c>
      <c r="C116" t="str">
        <f t="shared" si="2"/>
        <v>1959 q4</v>
      </c>
      <c r="F116" t="s">
        <v>455</v>
      </c>
      <c r="G116">
        <f t="shared" si="3"/>
        <v>0.64811746031746031</v>
      </c>
    </row>
    <row r="117" spans="1:7">
      <c r="A117" s="62">
        <v>21879</v>
      </c>
      <c r="B117">
        <v>0.317</v>
      </c>
      <c r="C117" t="str">
        <f t="shared" si="2"/>
        <v>1959 q4</v>
      </c>
      <c r="F117" t="s">
        <v>456</v>
      </c>
      <c r="G117">
        <f t="shared" si="3"/>
        <v>0.5929000000000002</v>
      </c>
    </row>
    <row r="118" spans="1:7">
      <c r="A118" s="62">
        <v>21881</v>
      </c>
      <c r="B118">
        <v>0.31209999999999999</v>
      </c>
      <c r="C118" t="str">
        <f t="shared" si="2"/>
        <v>1959 q4</v>
      </c>
      <c r="F118" t="s">
        <v>457</v>
      </c>
      <c r="G118">
        <f t="shared" si="3"/>
        <v>0.58256507936507951</v>
      </c>
    </row>
    <row r="119" spans="1:7">
      <c r="A119" s="62">
        <v>21884</v>
      </c>
      <c r="B119">
        <v>0.3095</v>
      </c>
      <c r="C119" t="str">
        <f t="shared" si="2"/>
        <v>1959 q4</v>
      </c>
      <c r="F119" t="s">
        <v>458</v>
      </c>
      <c r="G119">
        <f t="shared" si="3"/>
        <v>0.60425967741935471</v>
      </c>
    </row>
    <row r="120" spans="1:7">
      <c r="A120" s="62">
        <v>21885</v>
      </c>
      <c r="B120">
        <v>0.3175</v>
      </c>
      <c r="C120" t="str">
        <f t="shared" si="2"/>
        <v>1959 q4</v>
      </c>
      <c r="F120" t="s">
        <v>459</v>
      </c>
      <c r="G120">
        <f t="shared" si="3"/>
        <v>0.62700793650793629</v>
      </c>
    </row>
    <row r="121" spans="1:7">
      <c r="A121" s="62">
        <v>21886</v>
      </c>
      <c r="B121">
        <v>0.32190000000000002</v>
      </c>
      <c r="C121" t="str">
        <f t="shared" si="2"/>
        <v>1959 q4</v>
      </c>
      <c r="F121" t="s">
        <v>460</v>
      </c>
      <c r="G121">
        <f t="shared" si="3"/>
        <v>0.60765396825396834</v>
      </c>
    </row>
    <row r="122" spans="1:7">
      <c r="A122" s="62">
        <v>21887</v>
      </c>
      <c r="B122">
        <v>0.31900000000000001</v>
      </c>
      <c r="C122" t="str">
        <f t="shared" si="2"/>
        <v>1959 q4</v>
      </c>
      <c r="F122" t="s">
        <v>461</v>
      </c>
      <c r="G122">
        <f t="shared" si="3"/>
        <v>0.61953124999999998</v>
      </c>
    </row>
    <row r="123" spans="1:7">
      <c r="A123" s="62">
        <v>21888</v>
      </c>
      <c r="B123">
        <v>0.31919999999999998</v>
      </c>
      <c r="C123" t="str">
        <f t="shared" si="2"/>
        <v>1959 q4</v>
      </c>
      <c r="F123" t="s">
        <v>462</v>
      </c>
      <c r="G123">
        <f t="shared" si="3"/>
        <v>0.65587213114754095</v>
      </c>
    </row>
    <row r="124" spans="1:7">
      <c r="A124" s="62">
        <v>21891</v>
      </c>
      <c r="B124">
        <v>0.3216</v>
      </c>
      <c r="C124" t="str">
        <f t="shared" si="2"/>
        <v>1959 q4</v>
      </c>
      <c r="F124" t="s">
        <v>463</v>
      </c>
      <c r="G124">
        <f t="shared" si="3"/>
        <v>0.63307343750000011</v>
      </c>
    </row>
    <row r="125" spans="1:7">
      <c r="A125" s="62">
        <v>21892</v>
      </c>
      <c r="B125">
        <v>0.32640000000000002</v>
      </c>
      <c r="C125" t="str">
        <f t="shared" si="2"/>
        <v>1959 q4</v>
      </c>
      <c r="F125" t="s">
        <v>464</v>
      </c>
      <c r="G125">
        <f t="shared" si="3"/>
        <v>0.59520158730158734</v>
      </c>
    </row>
    <row r="126" spans="1:7">
      <c r="A126" s="62">
        <v>21893</v>
      </c>
      <c r="B126">
        <v>0.32650000000000001</v>
      </c>
      <c r="C126" t="str">
        <f t="shared" si="2"/>
        <v>1959 q4</v>
      </c>
      <c r="F126" t="s">
        <v>465</v>
      </c>
      <c r="G126">
        <f t="shared" si="3"/>
        <v>0.59667619047619036</v>
      </c>
    </row>
    <row r="127" spans="1:7">
      <c r="A127" s="62">
        <v>21894</v>
      </c>
      <c r="B127">
        <v>0.3286</v>
      </c>
      <c r="C127" t="str">
        <f t="shared" si="2"/>
        <v>1959 q4</v>
      </c>
      <c r="F127" t="s">
        <v>466</v>
      </c>
      <c r="G127">
        <f t="shared" si="3"/>
        <v>0.62306774193548398</v>
      </c>
    </row>
    <row r="128" spans="1:7">
      <c r="A128" s="62">
        <v>21895</v>
      </c>
      <c r="B128">
        <v>0.32479999999999998</v>
      </c>
      <c r="C128" t="str">
        <f t="shared" si="2"/>
        <v>1959 q4</v>
      </c>
      <c r="F128" t="s">
        <v>467</v>
      </c>
      <c r="G128">
        <f t="shared" si="3"/>
        <v>0.66084603174603174</v>
      </c>
    </row>
    <row r="129" spans="1:7">
      <c r="A129" s="62">
        <v>21898</v>
      </c>
      <c r="B129">
        <v>0.32350000000000001</v>
      </c>
      <c r="C129" t="str">
        <f t="shared" si="2"/>
        <v>1959 q4</v>
      </c>
      <c r="F129" t="s">
        <v>468</v>
      </c>
      <c r="G129">
        <f t="shared" si="3"/>
        <v>0.77029687499999988</v>
      </c>
    </row>
    <row r="130" spans="1:7">
      <c r="A130" s="62">
        <v>21899</v>
      </c>
      <c r="B130">
        <v>0.32840000000000003</v>
      </c>
      <c r="C130" t="str">
        <f t="shared" si="2"/>
        <v>1959 q4</v>
      </c>
      <c r="F130" t="s">
        <v>469</v>
      </c>
      <c r="G130">
        <f t="shared" si="3"/>
        <v>1.0195890624999999</v>
      </c>
    </row>
    <row r="131" spans="1:7">
      <c r="A131" s="62">
        <v>21900</v>
      </c>
      <c r="B131">
        <v>0.32329999999999998</v>
      </c>
      <c r="C131" t="str">
        <f t="shared" si="2"/>
        <v>1959 q4</v>
      </c>
      <c r="F131" t="s">
        <v>470</v>
      </c>
      <c r="G131">
        <f t="shared" si="3"/>
        <v>1.0075142857142856</v>
      </c>
    </row>
    <row r="132" spans="1:7">
      <c r="A132" s="62">
        <v>21901</v>
      </c>
      <c r="B132">
        <v>0.32150000000000001</v>
      </c>
      <c r="C132" t="str">
        <f t="shared" si="2"/>
        <v>1959 q4</v>
      </c>
      <c r="F132" t="s">
        <v>471</v>
      </c>
      <c r="G132">
        <f t="shared" si="3"/>
        <v>0.98028888888888888</v>
      </c>
    </row>
    <row r="133" spans="1:7">
      <c r="A133" s="62">
        <v>21902</v>
      </c>
      <c r="B133">
        <v>0.32690000000000002</v>
      </c>
      <c r="C133" t="str">
        <f t="shared" si="2"/>
        <v>1959 q4</v>
      </c>
      <c r="F133" t="s">
        <v>472</v>
      </c>
      <c r="G133">
        <f t="shared" si="3"/>
        <v>0.98228906250000025</v>
      </c>
    </row>
    <row r="134" spans="1:7">
      <c r="A134" s="62">
        <v>21905</v>
      </c>
      <c r="B134">
        <v>0.32969999999999999</v>
      </c>
      <c r="C134" t="str">
        <f t="shared" si="2"/>
        <v>1959 q4</v>
      </c>
      <c r="F134" t="s">
        <v>473</v>
      </c>
      <c r="G134">
        <f t="shared" si="3"/>
        <v>1.3756129032258069</v>
      </c>
    </row>
    <row r="135" spans="1:7">
      <c r="A135" s="62">
        <v>21906</v>
      </c>
      <c r="B135">
        <v>0.3296</v>
      </c>
      <c r="C135" t="str">
        <f t="shared" si="2"/>
        <v>1959 q4</v>
      </c>
      <c r="F135" t="s">
        <v>474</v>
      </c>
      <c r="G135">
        <f t="shared" si="3"/>
        <v>1.3742548387096769</v>
      </c>
    </row>
    <row r="136" spans="1:7">
      <c r="A136" s="62">
        <v>21907</v>
      </c>
      <c r="B136">
        <v>0.33119999999999999</v>
      </c>
      <c r="C136" t="str">
        <f t="shared" si="2"/>
        <v>1959 q4</v>
      </c>
      <c r="F136" t="s">
        <v>475</v>
      </c>
      <c r="G136">
        <f t="shared" si="3"/>
        <v>1.2150109375</v>
      </c>
    </row>
    <row r="137" spans="1:7">
      <c r="A137" s="62">
        <v>21908</v>
      </c>
      <c r="B137">
        <v>0.33379999999999999</v>
      </c>
      <c r="C137" t="str">
        <f t="shared" si="2"/>
        <v>1959 q4</v>
      </c>
      <c r="F137" t="s">
        <v>476</v>
      </c>
      <c r="G137">
        <f t="shared" si="3"/>
        <v>1.1763730158730155</v>
      </c>
    </row>
    <row r="138" spans="1:7">
      <c r="A138" s="62">
        <v>21912</v>
      </c>
      <c r="B138">
        <v>0.33639999999999998</v>
      </c>
      <c r="C138" t="str">
        <f t="shared" si="2"/>
        <v>1959 q4</v>
      </c>
      <c r="F138" t="s">
        <v>477</v>
      </c>
      <c r="G138">
        <f t="shared" si="3"/>
        <v>1.1389571428571428</v>
      </c>
    </row>
    <row r="139" spans="1:7">
      <c r="A139" s="62">
        <v>21913</v>
      </c>
      <c r="B139">
        <v>0.32779999999999998</v>
      </c>
      <c r="C139" t="str">
        <f t="shared" si="2"/>
        <v>1959 q4</v>
      </c>
      <c r="F139" t="s">
        <v>478</v>
      </c>
      <c r="G139">
        <f t="shared" si="3"/>
        <v>1.0864063492063498</v>
      </c>
    </row>
    <row r="140" spans="1:7">
      <c r="A140" s="62">
        <v>21914</v>
      </c>
      <c r="B140">
        <v>0.3231</v>
      </c>
      <c r="C140" t="str">
        <f t="shared" si="2"/>
        <v>1959 q4</v>
      </c>
      <c r="F140" t="s">
        <v>479</v>
      </c>
      <c r="G140">
        <f t="shared" si="3"/>
        <v>1.1410079365079364</v>
      </c>
    </row>
    <row r="141" spans="1:7">
      <c r="A141" s="62">
        <v>21915</v>
      </c>
      <c r="B141">
        <v>0.31990000000000002</v>
      </c>
      <c r="C141" t="str">
        <f t="shared" si="2"/>
        <v>1959 q4</v>
      </c>
      <c r="F141" t="s">
        <v>480</v>
      </c>
      <c r="G141">
        <f t="shared" si="3"/>
        <v>1.244417741935484</v>
      </c>
    </row>
    <row r="142" spans="1:7">
      <c r="A142" s="62">
        <v>21919</v>
      </c>
      <c r="B142">
        <v>0.31869999999999998</v>
      </c>
      <c r="C142" t="str">
        <f t="shared" si="2"/>
        <v>1960 q1</v>
      </c>
      <c r="F142" t="s">
        <v>481</v>
      </c>
      <c r="G142">
        <f t="shared" si="3"/>
        <v>1.1480396825396826</v>
      </c>
    </row>
    <row r="143" spans="1:7">
      <c r="A143" s="62">
        <v>21920</v>
      </c>
      <c r="B143">
        <v>0.318</v>
      </c>
      <c r="C143" t="str">
        <f t="shared" si="2"/>
        <v>1960 q1</v>
      </c>
      <c r="F143" t="s">
        <v>482</v>
      </c>
      <c r="G143">
        <f t="shared" si="3"/>
        <v>1.0908622950819669</v>
      </c>
    </row>
    <row r="144" spans="1:7">
      <c r="A144" s="62">
        <v>21921</v>
      </c>
      <c r="B144">
        <v>0.31950000000000001</v>
      </c>
      <c r="C144" t="str">
        <f t="shared" si="2"/>
        <v>1960 q1</v>
      </c>
      <c r="F144" t="s">
        <v>483</v>
      </c>
      <c r="G144">
        <f t="shared" si="3"/>
        <v>1.0289921874999997</v>
      </c>
    </row>
    <row r="145" spans="1:7">
      <c r="A145" s="62">
        <v>21922</v>
      </c>
      <c r="B145">
        <v>0.315</v>
      </c>
      <c r="C145" t="str">
        <f t="shared" si="2"/>
        <v>1960 q1</v>
      </c>
      <c r="F145" t="s">
        <v>484</v>
      </c>
      <c r="G145">
        <f t="shared" si="3"/>
        <v>1.0186126984126986</v>
      </c>
    </row>
    <row r="146" spans="1:7">
      <c r="A146" s="62">
        <v>21923</v>
      </c>
      <c r="B146">
        <v>0.31709999999999999</v>
      </c>
      <c r="C146" t="str">
        <f t="shared" ref="C146:C209" si="4">YEAR(A146)&amp;" q"&amp;ROUNDUP(MONTH(A146)/3,0)</f>
        <v>1960 q1</v>
      </c>
      <c r="F146" t="s">
        <v>485</v>
      </c>
      <c r="G146">
        <f t="shared" ref="G146:G209" si="5">AVERAGEIF($C$17:$C$16300,F146,$B$17:$B$16300)</f>
        <v>1.0292515624999994</v>
      </c>
    </row>
    <row r="147" spans="1:7">
      <c r="A147" s="62">
        <v>21926</v>
      </c>
      <c r="B147">
        <v>0.31950000000000001</v>
      </c>
      <c r="C147" t="str">
        <f t="shared" si="4"/>
        <v>1960 q1</v>
      </c>
      <c r="F147" t="s">
        <v>486</v>
      </c>
      <c r="G147">
        <f t="shared" si="5"/>
        <v>0.99571269841269872</v>
      </c>
    </row>
    <row r="148" spans="1:7">
      <c r="A148" s="62">
        <v>21927</v>
      </c>
      <c r="B148">
        <v>0.31730000000000003</v>
      </c>
      <c r="C148" t="str">
        <f t="shared" si="4"/>
        <v>1960 q1</v>
      </c>
      <c r="F148" t="s">
        <v>487</v>
      </c>
      <c r="G148">
        <f t="shared" si="5"/>
        <v>1.0209523809523811</v>
      </c>
    </row>
    <row r="149" spans="1:7">
      <c r="A149" s="62">
        <v>21928</v>
      </c>
      <c r="B149">
        <v>0.31759999999999999</v>
      </c>
      <c r="C149" t="str">
        <f t="shared" si="4"/>
        <v>1960 q1</v>
      </c>
      <c r="F149" t="s">
        <v>488</v>
      </c>
      <c r="G149">
        <f t="shared" si="5"/>
        <v>1.1169484374999998</v>
      </c>
    </row>
    <row r="150" spans="1:7">
      <c r="A150" s="62">
        <v>21929</v>
      </c>
      <c r="B150">
        <v>0.31879999999999997</v>
      </c>
      <c r="C150" t="str">
        <f t="shared" si="4"/>
        <v>1960 q1</v>
      </c>
      <c r="F150" t="s">
        <v>489</v>
      </c>
      <c r="G150">
        <f t="shared" si="5"/>
        <v>0.99060781249999996</v>
      </c>
    </row>
    <row r="151" spans="1:7">
      <c r="A151" s="62">
        <v>21930</v>
      </c>
      <c r="B151">
        <v>0.32100000000000001</v>
      </c>
      <c r="C151" t="str">
        <f t="shared" si="4"/>
        <v>1960 q1</v>
      </c>
      <c r="F151" t="s">
        <v>490</v>
      </c>
      <c r="G151">
        <f t="shared" si="5"/>
        <v>0.98666935483870977</v>
      </c>
    </row>
    <row r="152" spans="1:7">
      <c r="A152" s="62">
        <v>21933</v>
      </c>
      <c r="B152">
        <v>0.32129999999999997</v>
      </c>
      <c r="C152" t="str">
        <f t="shared" si="4"/>
        <v>1960 q1</v>
      </c>
      <c r="F152" t="s">
        <v>491</v>
      </c>
      <c r="G152">
        <f t="shared" si="5"/>
        <v>0.83840000000000026</v>
      </c>
    </row>
    <row r="153" spans="1:7">
      <c r="A153" s="62">
        <v>21934</v>
      </c>
      <c r="B153">
        <v>0.31969999999999998</v>
      </c>
      <c r="C153" t="str">
        <f t="shared" si="4"/>
        <v>1960 q1</v>
      </c>
      <c r="F153" t="s">
        <v>492</v>
      </c>
      <c r="G153">
        <f t="shared" si="5"/>
        <v>0.84163650793650768</v>
      </c>
    </row>
    <row r="154" spans="1:7">
      <c r="A154" s="62">
        <v>21935</v>
      </c>
      <c r="B154">
        <v>0.31950000000000001</v>
      </c>
      <c r="C154" t="str">
        <f t="shared" si="4"/>
        <v>1960 q1</v>
      </c>
      <c r="F154" t="s">
        <v>493</v>
      </c>
      <c r="G154">
        <f t="shared" si="5"/>
        <v>0.75985322580645165</v>
      </c>
    </row>
    <row r="155" spans="1:7">
      <c r="A155" s="62">
        <v>21936</v>
      </c>
      <c r="B155">
        <v>0.31969999999999998</v>
      </c>
      <c r="C155" t="str">
        <f t="shared" si="4"/>
        <v>1960 q1</v>
      </c>
      <c r="F155" t="s">
        <v>494</v>
      </c>
      <c r="G155">
        <f t="shared" si="5"/>
        <v>0.86946349206349227</v>
      </c>
    </row>
    <row r="156" spans="1:7">
      <c r="A156" s="62">
        <v>21937</v>
      </c>
      <c r="B156">
        <v>0.32250000000000001</v>
      </c>
      <c r="C156" t="str">
        <f t="shared" si="4"/>
        <v>1960 q1</v>
      </c>
      <c r="F156" t="s">
        <v>495</v>
      </c>
      <c r="G156">
        <f t="shared" si="5"/>
        <v>0.99399838709677435</v>
      </c>
    </row>
    <row r="157" spans="1:7">
      <c r="A157" s="62">
        <v>21940</v>
      </c>
      <c r="B157">
        <v>0.32669999999999999</v>
      </c>
      <c r="C157" t="str">
        <f t="shared" si="4"/>
        <v>1960 q1</v>
      </c>
      <c r="F157" t="s">
        <v>496</v>
      </c>
      <c r="G157">
        <f t="shared" si="5"/>
        <v>1.1246890625000003</v>
      </c>
    </row>
    <row r="158" spans="1:7">
      <c r="A158" s="62">
        <v>21941</v>
      </c>
      <c r="B158">
        <v>0.32829999999999998</v>
      </c>
      <c r="C158" t="str">
        <f t="shared" si="4"/>
        <v>1960 q1</v>
      </c>
      <c r="F158" t="s">
        <v>497</v>
      </c>
      <c r="G158">
        <f t="shared" si="5"/>
        <v>1.2742467741935484</v>
      </c>
    </row>
    <row r="159" spans="1:7">
      <c r="A159" s="62">
        <v>21942</v>
      </c>
      <c r="B159">
        <v>0.32650000000000001</v>
      </c>
      <c r="C159" t="str">
        <f t="shared" si="4"/>
        <v>1960 q1</v>
      </c>
      <c r="F159" t="s">
        <v>498</v>
      </c>
      <c r="G159">
        <f t="shared" si="5"/>
        <v>1.3524031746031746</v>
      </c>
    </row>
    <row r="160" spans="1:7">
      <c r="A160" s="62">
        <v>21943</v>
      </c>
      <c r="B160">
        <v>0.32400000000000001</v>
      </c>
      <c r="C160" t="str">
        <f t="shared" si="4"/>
        <v>1960 q1</v>
      </c>
      <c r="F160" t="s">
        <v>499</v>
      </c>
      <c r="G160">
        <f t="shared" si="5"/>
        <v>1.3190968253968254</v>
      </c>
    </row>
    <row r="161" spans="1:7">
      <c r="A161" s="62">
        <v>21944</v>
      </c>
      <c r="B161">
        <v>0.3201</v>
      </c>
      <c r="C161" t="str">
        <f t="shared" si="4"/>
        <v>1960 q1</v>
      </c>
      <c r="F161" t="s">
        <v>500</v>
      </c>
      <c r="G161">
        <f t="shared" si="5"/>
        <v>1.349303225806451</v>
      </c>
    </row>
    <row r="162" spans="1:7">
      <c r="A162" s="62">
        <v>21947</v>
      </c>
      <c r="B162">
        <v>0.31659999999999999</v>
      </c>
      <c r="C162" t="str">
        <f t="shared" si="4"/>
        <v>1960 q1</v>
      </c>
      <c r="F162" t="s">
        <v>501</v>
      </c>
      <c r="G162">
        <f t="shared" si="5"/>
        <v>1.2835548387096776</v>
      </c>
    </row>
    <row r="163" spans="1:7">
      <c r="A163" s="62">
        <v>21948</v>
      </c>
      <c r="B163">
        <v>0.31859999999999999</v>
      </c>
      <c r="C163" t="str">
        <f t="shared" si="4"/>
        <v>1960 q1</v>
      </c>
      <c r="F163" t="s">
        <v>502</v>
      </c>
      <c r="G163">
        <f t="shared" si="5"/>
        <v>1.1562064516129031</v>
      </c>
    </row>
    <row r="164" spans="1:7">
      <c r="A164" s="62">
        <v>21949</v>
      </c>
      <c r="B164">
        <v>0.31809999999999999</v>
      </c>
      <c r="C164" t="str">
        <f t="shared" si="4"/>
        <v>1960 q1</v>
      </c>
      <c r="F164" t="s">
        <v>503</v>
      </c>
      <c r="G164">
        <f t="shared" si="5"/>
        <v>1.1219063492063486</v>
      </c>
    </row>
    <row r="165" spans="1:7">
      <c r="A165" s="62">
        <v>21950</v>
      </c>
      <c r="B165">
        <v>0.3236</v>
      </c>
      <c r="C165" t="str">
        <f t="shared" si="4"/>
        <v>1960 q1</v>
      </c>
      <c r="F165" t="s">
        <v>504</v>
      </c>
      <c r="G165">
        <f t="shared" si="5"/>
        <v>0.90424285714285713</v>
      </c>
    </row>
    <row r="166" spans="1:7">
      <c r="A166" s="62">
        <v>21951</v>
      </c>
      <c r="B166">
        <v>0.32219999999999999</v>
      </c>
      <c r="C166" t="str">
        <f t="shared" si="4"/>
        <v>1960 q1</v>
      </c>
      <c r="F166" t="s">
        <v>505</v>
      </c>
      <c r="G166">
        <f t="shared" si="5"/>
        <v>0.97360476190476208</v>
      </c>
    </row>
    <row r="167" spans="1:7">
      <c r="A167" s="62">
        <v>21954</v>
      </c>
      <c r="B167">
        <v>0.32329999999999998</v>
      </c>
      <c r="C167" t="str">
        <f t="shared" si="4"/>
        <v>1960 q1</v>
      </c>
      <c r="F167" t="s">
        <v>506</v>
      </c>
      <c r="G167">
        <f t="shared" si="5"/>
        <v>1.0833836065573765</v>
      </c>
    </row>
    <row r="168" spans="1:7">
      <c r="A168" s="62">
        <v>21955</v>
      </c>
      <c r="B168">
        <v>0.32650000000000001</v>
      </c>
      <c r="C168" t="str">
        <f t="shared" si="4"/>
        <v>1960 q1</v>
      </c>
      <c r="F168" t="s">
        <v>507</v>
      </c>
      <c r="G168">
        <f t="shared" si="5"/>
        <v>1.1353875000000002</v>
      </c>
    </row>
    <row r="169" spans="1:7">
      <c r="A169" s="62">
        <v>21956</v>
      </c>
      <c r="B169">
        <v>0.32550000000000001</v>
      </c>
      <c r="C169" t="str">
        <f t="shared" si="4"/>
        <v>1960 q1</v>
      </c>
      <c r="F169" t="s">
        <v>508</v>
      </c>
      <c r="G169">
        <f t="shared" si="5"/>
        <v>1.0209421875</v>
      </c>
    </row>
    <row r="170" spans="1:7">
      <c r="A170" s="62">
        <v>21957</v>
      </c>
      <c r="B170">
        <v>0.32740000000000002</v>
      </c>
      <c r="C170" t="str">
        <f t="shared" si="4"/>
        <v>1960 q1</v>
      </c>
      <c r="F170" t="s">
        <v>509</v>
      </c>
      <c r="G170">
        <f t="shared" si="5"/>
        <v>0.87236825396825368</v>
      </c>
    </row>
    <row r="171" spans="1:7">
      <c r="A171" s="62">
        <v>21958</v>
      </c>
      <c r="B171">
        <v>0.3286</v>
      </c>
      <c r="C171" t="str">
        <f t="shared" si="4"/>
        <v>1960 q1</v>
      </c>
      <c r="F171" t="s">
        <v>510</v>
      </c>
      <c r="G171">
        <f t="shared" si="5"/>
        <v>0.781922950819672</v>
      </c>
    </row>
    <row r="172" spans="1:7">
      <c r="A172" s="62">
        <v>21961</v>
      </c>
      <c r="B172">
        <v>0.32550000000000001</v>
      </c>
      <c r="C172" t="str">
        <f t="shared" si="4"/>
        <v>1960 q1</v>
      </c>
      <c r="F172" t="s">
        <v>511</v>
      </c>
      <c r="G172">
        <f t="shared" si="5"/>
        <v>0.78508412698412722</v>
      </c>
    </row>
    <row r="173" spans="1:7">
      <c r="A173" s="62">
        <v>21962</v>
      </c>
      <c r="B173">
        <v>0.32400000000000001</v>
      </c>
      <c r="C173" t="str">
        <f t="shared" si="4"/>
        <v>1960 q1</v>
      </c>
      <c r="F173" t="s">
        <v>512</v>
      </c>
      <c r="G173">
        <f t="shared" si="5"/>
        <v>0.74974843749999986</v>
      </c>
    </row>
    <row r="174" spans="1:7">
      <c r="A174" s="62">
        <v>21963</v>
      </c>
      <c r="B174">
        <v>0.32600000000000001</v>
      </c>
      <c r="C174" t="str">
        <f t="shared" si="4"/>
        <v>1960 q1</v>
      </c>
      <c r="F174" t="s">
        <v>513</v>
      </c>
      <c r="G174">
        <f t="shared" si="5"/>
        <v>0.70313650793650773</v>
      </c>
    </row>
    <row r="175" spans="1:7">
      <c r="A175" s="62">
        <v>21964</v>
      </c>
      <c r="B175">
        <v>0.32800000000000001</v>
      </c>
      <c r="C175" t="str">
        <f t="shared" si="4"/>
        <v>1960 q1</v>
      </c>
      <c r="F175" t="s">
        <v>514</v>
      </c>
      <c r="G175">
        <f t="shared" si="5"/>
        <v>0.64279180327868846</v>
      </c>
    </row>
    <row r="176" spans="1:7">
      <c r="A176" s="62">
        <v>21965</v>
      </c>
      <c r="B176">
        <v>0.32650000000000001</v>
      </c>
      <c r="C176" t="str">
        <f t="shared" si="4"/>
        <v>1960 q1</v>
      </c>
      <c r="F176" t="s">
        <v>515</v>
      </c>
      <c r="G176">
        <f t="shared" si="5"/>
        <v>0.67473015873015874</v>
      </c>
    </row>
    <row r="177" spans="1:7">
      <c r="A177" s="62">
        <v>21969</v>
      </c>
      <c r="B177">
        <v>0.32019999999999998</v>
      </c>
      <c r="C177" t="str">
        <f t="shared" si="4"/>
        <v>1960 q1</v>
      </c>
      <c r="F177" t="s">
        <v>516</v>
      </c>
      <c r="G177">
        <f t="shared" si="5"/>
        <v>0.78213593750000021</v>
      </c>
    </row>
    <row r="178" spans="1:7">
      <c r="A178" s="62">
        <v>21970</v>
      </c>
      <c r="B178">
        <v>0.31730000000000003</v>
      </c>
      <c r="C178" t="str">
        <f t="shared" si="4"/>
        <v>1960 q1</v>
      </c>
      <c r="F178" t="s">
        <v>517</v>
      </c>
      <c r="G178">
        <f t="shared" si="5"/>
        <v>0.8041967741935484</v>
      </c>
    </row>
    <row r="179" spans="1:7">
      <c r="A179" s="62">
        <v>21971</v>
      </c>
      <c r="B179">
        <v>0.31569999999999998</v>
      </c>
      <c r="C179" t="str">
        <f t="shared" si="4"/>
        <v>1960 q1</v>
      </c>
      <c r="F179" t="s">
        <v>70</v>
      </c>
      <c r="G179">
        <f t="shared" si="5"/>
        <v>0.82783225806451577</v>
      </c>
    </row>
    <row r="180" spans="1:7">
      <c r="A180" s="62">
        <v>21972</v>
      </c>
      <c r="B180">
        <v>0.31</v>
      </c>
      <c r="C180" t="str">
        <f t="shared" si="4"/>
        <v>1960 q1</v>
      </c>
      <c r="F180" t="s">
        <v>71</v>
      </c>
      <c r="G180">
        <f t="shared" si="5"/>
        <v>0.80764761904761906</v>
      </c>
    </row>
    <row r="181" spans="1:7">
      <c r="A181" s="62">
        <v>21975</v>
      </c>
      <c r="B181">
        <v>0.30199999999999999</v>
      </c>
      <c r="C181" t="str">
        <f t="shared" si="4"/>
        <v>1960 q1</v>
      </c>
      <c r="F181" t="s">
        <v>72</v>
      </c>
      <c r="G181">
        <f t="shared" si="5"/>
        <v>0.87879354838709667</v>
      </c>
    </row>
    <row r="182" spans="1:7">
      <c r="A182" s="62">
        <v>21976</v>
      </c>
      <c r="B182">
        <v>0.29549999999999998</v>
      </c>
      <c r="C182" t="str">
        <f t="shared" si="4"/>
        <v>1960 q1</v>
      </c>
      <c r="F182" t="s">
        <v>73</v>
      </c>
      <c r="G182">
        <f t="shared" si="5"/>
        <v>0.86124838709677409</v>
      </c>
    </row>
    <row r="183" spans="1:7">
      <c r="A183" s="62">
        <v>21977</v>
      </c>
      <c r="B183">
        <v>0.2964</v>
      </c>
      <c r="C183" t="str">
        <f t="shared" si="4"/>
        <v>1960 q1</v>
      </c>
      <c r="F183" t="s">
        <v>74</v>
      </c>
      <c r="G183">
        <f t="shared" si="5"/>
        <v>0.82000161290322604</v>
      </c>
    </row>
    <row r="184" spans="1:7">
      <c r="A184" s="62">
        <v>21978</v>
      </c>
      <c r="B184">
        <v>0.29599999999999999</v>
      </c>
      <c r="C184" t="str">
        <f t="shared" si="4"/>
        <v>1960 q1</v>
      </c>
      <c r="F184" t="s">
        <v>75</v>
      </c>
      <c r="G184">
        <f t="shared" si="5"/>
        <v>0.75746666666666651</v>
      </c>
    </row>
    <row r="185" spans="1:7">
      <c r="A185" s="62">
        <v>21979</v>
      </c>
      <c r="B185">
        <v>0.29249999999999998</v>
      </c>
      <c r="C185" t="str">
        <f t="shared" si="4"/>
        <v>1960 q1</v>
      </c>
      <c r="F185" t="s">
        <v>76</v>
      </c>
      <c r="G185">
        <f t="shared" si="5"/>
        <v>0.68033934426229503</v>
      </c>
    </row>
    <row r="186" spans="1:7">
      <c r="A186" s="62">
        <v>21982</v>
      </c>
      <c r="B186">
        <v>0.29110000000000003</v>
      </c>
      <c r="C186" t="str">
        <f t="shared" si="4"/>
        <v>1960 q1</v>
      </c>
      <c r="F186" t="s">
        <v>77</v>
      </c>
      <c r="G186">
        <f t="shared" si="5"/>
        <v>0.65888064516129019</v>
      </c>
    </row>
    <row r="187" spans="1:7">
      <c r="A187" s="62">
        <v>21983</v>
      </c>
      <c r="B187">
        <v>0.29189999999999999</v>
      </c>
      <c r="C187" t="str">
        <f t="shared" si="4"/>
        <v>1960 q1</v>
      </c>
      <c r="F187" t="s">
        <v>78</v>
      </c>
      <c r="G187">
        <f t="shared" si="5"/>
        <v>0.72512499999999991</v>
      </c>
    </row>
    <row r="188" spans="1:7">
      <c r="A188" s="62">
        <v>21984</v>
      </c>
      <c r="B188">
        <v>0.29330000000000001</v>
      </c>
      <c r="C188" t="str">
        <f t="shared" si="4"/>
        <v>1960 q1</v>
      </c>
      <c r="F188" t="s">
        <v>79</v>
      </c>
      <c r="G188">
        <f t="shared" si="5"/>
        <v>0.74431562500000004</v>
      </c>
    </row>
    <row r="189" spans="1:7">
      <c r="A189" s="62">
        <v>21985</v>
      </c>
      <c r="B189">
        <v>0.29070000000000001</v>
      </c>
      <c r="C189" t="str">
        <f t="shared" si="4"/>
        <v>1960 q1</v>
      </c>
      <c r="F189" t="s">
        <v>80</v>
      </c>
      <c r="G189">
        <f t="shared" si="5"/>
        <v>0.69783015873015863</v>
      </c>
    </row>
    <row r="190" spans="1:7">
      <c r="A190" s="62">
        <v>21986</v>
      </c>
      <c r="B190">
        <v>0.28549999999999998</v>
      </c>
      <c r="C190" t="str">
        <f t="shared" si="4"/>
        <v>1960 q1</v>
      </c>
      <c r="F190" t="s">
        <v>81</v>
      </c>
      <c r="G190">
        <f t="shared" si="5"/>
        <v>0.71205873015873022</v>
      </c>
    </row>
    <row r="191" spans="1:7">
      <c r="A191" s="62">
        <v>21989</v>
      </c>
      <c r="B191">
        <v>0.28770000000000001</v>
      </c>
      <c r="C191" t="str">
        <f t="shared" si="4"/>
        <v>1960 q1</v>
      </c>
      <c r="F191" t="s">
        <v>82</v>
      </c>
      <c r="G191">
        <f t="shared" si="5"/>
        <v>0.76300000000000023</v>
      </c>
    </row>
    <row r="192" spans="1:7">
      <c r="A192" s="62">
        <v>21990</v>
      </c>
      <c r="B192">
        <v>0.28749999999999998</v>
      </c>
      <c r="C192" t="str">
        <f t="shared" si="4"/>
        <v>1960 q1</v>
      </c>
      <c r="F192" t="s">
        <v>83</v>
      </c>
      <c r="G192">
        <f t="shared" si="5"/>
        <v>0.74962539682539708</v>
      </c>
    </row>
    <row r="193" spans="1:7">
      <c r="A193" s="62">
        <v>21991</v>
      </c>
      <c r="B193">
        <v>0.28620000000000001</v>
      </c>
      <c r="C193" t="str">
        <f t="shared" si="4"/>
        <v>1960 q1</v>
      </c>
      <c r="F193" t="s">
        <v>84</v>
      </c>
      <c r="G193">
        <f t="shared" si="5"/>
        <v>0.80331718750000025</v>
      </c>
    </row>
    <row r="194" spans="1:7">
      <c r="A194" s="62">
        <v>21992</v>
      </c>
      <c r="B194">
        <v>0.28470000000000001</v>
      </c>
      <c r="C194" t="str">
        <f t="shared" si="4"/>
        <v>1960 q1</v>
      </c>
      <c r="F194" t="s">
        <v>85</v>
      </c>
      <c r="G194">
        <f t="shared" si="5"/>
        <v>0.93481935483870982</v>
      </c>
    </row>
    <row r="195" spans="1:7">
      <c r="A195" s="62">
        <v>21993</v>
      </c>
      <c r="B195">
        <v>0.28939999999999999</v>
      </c>
      <c r="C195" t="str">
        <f t="shared" si="4"/>
        <v>1960 q1</v>
      </c>
      <c r="F195" t="s">
        <v>86</v>
      </c>
      <c r="G195">
        <f t="shared" si="5"/>
        <v>1.2404278688524586</v>
      </c>
    </row>
    <row r="196" spans="1:7">
      <c r="A196" s="62">
        <v>21996</v>
      </c>
      <c r="B196">
        <v>0.29020000000000001</v>
      </c>
      <c r="C196" t="str">
        <f t="shared" si="4"/>
        <v>1960 q1</v>
      </c>
      <c r="F196" t="s">
        <v>87</v>
      </c>
      <c r="G196">
        <f t="shared" si="5"/>
        <v>1.2323499999999994</v>
      </c>
    </row>
    <row r="197" spans="1:7">
      <c r="A197" s="62">
        <v>21997</v>
      </c>
      <c r="B197">
        <v>0.29120000000000001</v>
      </c>
      <c r="C197" t="str">
        <f t="shared" si="4"/>
        <v>1960 q1</v>
      </c>
      <c r="F197" t="s">
        <v>88</v>
      </c>
      <c r="G197">
        <f t="shared" si="5"/>
        <v>1.2847843750000005</v>
      </c>
    </row>
    <row r="198" spans="1:7">
      <c r="A198" s="62">
        <v>21998</v>
      </c>
      <c r="B198">
        <v>0.29289999999999999</v>
      </c>
      <c r="C198" t="str">
        <f t="shared" si="4"/>
        <v>1960 q1</v>
      </c>
      <c r="F198" t="s">
        <v>89</v>
      </c>
      <c r="G198">
        <f t="shared" si="5"/>
        <v>1.3831822580645161</v>
      </c>
    </row>
    <row r="199" spans="1:7">
      <c r="A199" s="62">
        <v>21999</v>
      </c>
      <c r="B199">
        <v>0.29389999999999999</v>
      </c>
      <c r="C199" t="str">
        <f t="shared" si="4"/>
        <v>1960 q1</v>
      </c>
      <c r="F199" t="s">
        <v>90</v>
      </c>
      <c r="G199">
        <f t="shared" si="5"/>
        <v>1.4456278688524591</v>
      </c>
    </row>
    <row r="200" spans="1:7">
      <c r="A200" s="62">
        <v>22000</v>
      </c>
      <c r="B200">
        <v>0.29530000000000001</v>
      </c>
      <c r="C200" t="str">
        <f t="shared" si="4"/>
        <v>1960 q1</v>
      </c>
      <c r="F200" t="s">
        <v>91</v>
      </c>
      <c r="G200">
        <f t="shared" si="5"/>
        <v>1.4847750000000002</v>
      </c>
    </row>
    <row r="201" spans="1:7">
      <c r="A201" s="62">
        <v>22003</v>
      </c>
      <c r="B201">
        <v>0.29399999999999998</v>
      </c>
      <c r="C201" t="str">
        <f t="shared" si="4"/>
        <v>1960 q1</v>
      </c>
      <c r="F201" t="s">
        <v>92</v>
      </c>
      <c r="G201">
        <f t="shared" si="5"/>
        <v>1.6361890625000008</v>
      </c>
    </row>
    <row r="202" spans="1:7">
      <c r="A202" s="62">
        <v>22004</v>
      </c>
      <c r="B202">
        <v>0.28910000000000002</v>
      </c>
      <c r="C202" t="str">
        <f t="shared" si="4"/>
        <v>1960 q1</v>
      </c>
      <c r="F202" t="s">
        <v>93</v>
      </c>
      <c r="G202">
        <f t="shared" si="5"/>
        <v>1.9362596774193548</v>
      </c>
    </row>
    <row r="203" spans="1:7">
      <c r="A203" s="62">
        <v>22005</v>
      </c>
      <c r="B203">
        <v>0.2893</v>
      </c>
      <c r="C203" t="str">
        <f t="shared" si="4"/>
        <v>1960 q1</v>
      </c>
      <c r="F203" t="s">
        <v>94</v>
      </c>
      <c r="G203">
        <f t="shared" si="5"/>
        <v>2.2317274193548391</v>
      </c>
    </row>
    <row r="204" spans="1:7">
      <c r="A204" s="62">
        <v>22006</v>
      </c>
      <c r="B204">
        <v>0.29170000000000001</v>
      </c>
      <c r="C204" t="str">
        <f t="shared" si="4"/>
        <v>1960 q1</v>
      </c>
      <c r="F204" t="s">
        <v>95</v>
      </c>
      <c r="G204">
        <f t="shared" si="5"/>
        <v>3.2993354838709674</v>
      </c>
    </row>
    <row r="205" spans="1:7">
      <c r="A205" s="62">
        <v>22007</v>
      </c>
      <c r="B205">
        <v>0.29099999999999998</v>
      </c>
      <c r="C205" t="str">
        <f t="shared" si="4"/>
        <v>1960 q2</v>
      </c>
      <c r="F205" t="s">
        <v>96</v>
      </c>
      <c r="G205">
        <f t="shared" si="5"/>
        <v>3.5010435483870963</v>
      </c>
    </row>
    <row r="206" spans="1:7">
      <c r="A206" s="62">
        <v>22010</v>
      </c>
      <c r="B206">
        <v>0.29010000000000002</v>
      </c>
      <c r="C206" t="str">
        <f t="shared" si="4"/>
        <v>1960 q2</v>
      </c>
      <c r="F206" t="s">
        <v>97</v>
      </c>
      <c r="G206">
        <f t="shared" si="5"/>
        <v>3.2066032258064521</v>
      </c>
    </row>
    <row r="207" spans="1:7">
      <c r="A207" s="62">
        <v>22011</v>
      </c>
      <c r="B207">
        <v>0.29189999999999999</v>
      </c>
      <c r="C207" t="str">
        <f t="shared" si="4"/>
        <v>1960 q2</v>
      </c>
      <c r="F207" t="s">
        <v>98</v>
      </c>
      <c r="G207">
        <f t="shared" si="5"/>
        <v>2.7150098360655743</v>
      </c>
    </row>
    <row r="208" spans="1:7">
      <c r="A208" s="62">
        <v>22012</v>
      </c>
      <c r="B208">
        <v>0.29349999999999998</v>
      </c>
      <c r="C208" t="str">
        <f t="shared" si="4"/>
        <v>1960 q2</v>
      </c>
      <c r="F208" t="s">
        <v>99</v>
      </c>
      <c r="G208">
        <f t="shared" si="5"/>
        <v>3.4612777777777772</v>
      </c>
    </row>
    <row r="209" spans="1:7">
      <c r="A209" s="62">
        <v>22013</v>
      </c>
      <c r="B209">
        <v>0.29680000000000001</v>
      </c>
      <c r="C209" t="str">
        <f t="shared" si="4"/>
        <v>1960 q2</v>
      </c>
      <c r="F209" t="s">
        <v>100</v>
      </c>
      <c r="G209">
        <f t="shared" si="5"/>
        <v>3.4640682539682546</v>
      </c>
    </row>
    <row r="210" spans="1:7">
      <c r="A210" s="62">
        <v>22014</v>
      </c>
      <c r="B210">
        <v>0.29699999999999999</v>
      </c>
      <c r="C210" t="str">
        <f t="shared" ref="C210:C273" si="6">YEAR(A210)&amp;" q"&amp;ROUNDUP(MONTH(A210)/3,0)</f>
        <v>1960 q2</v>
      </c>
      <c r="F210" t="s">
        <v>101</v>
      </c>
      <c r="G210">
        <f t="shared" ref="G210:G273" si="7">AVERAGEIF($C$17:$C$16300,F210,$B$17:$B$16300)</f>
        <v>3.2696312499999984</v>
      </c>
    </row>
    <row r="211" spans="1:7">
      <c r="A211" s="62">
        <v>22017</v>
      </c>
      <c r="B211">
        <v>0.29870000000000002</v>
      </c>
      <c r="C211" t="str">
        <f t="shared" si="6"/>
        <v>1960 q2</v>
      </c>
      <c r="F211" t="s">
        <v>102</v>
      </c>
      <c r="G211">
        <f t="shared" si="7"/>
        <v>3.5233216666666669</v>
      </c>
    </row>
    <row r="212" spans="1:7">
      <c r="A212" s="62">
        <v>22018</v>
      </c>
      <c r="B212">
        <v>0.2999</v>
      </c>
      <c r="C212" t="str">
        <f t="shared" si="6"/>
        <v>1960 q2</v>
      </c>
      <c r="F212" t="s">
        <v>103</v>
      </c>
      <c r="G212">
        <f t="shared" si="7"/>
        <v>3.7874435483870967</v>
      </c>
    </row>
    <row r="213" spans="1:7">
      <c r="A213" s="62">
        <v>22019</v>
      </c>
      <c r="B213">
        <v>0.30170000000000002</v>
      </c>
      <c r="C213" t="str">
        <f t="shared" si="6"/>
        <v>1960 q2</v>
      </c>
      <c r="F213" t="s">
        <v>104</v>
      </c>
      <c r="G213">
        <f t="shared" si="7"/>
        <v>3.4150888888888895</v>
      </c>
    </row>
    <row r="214" spans="1:7">
      <c r="A214" s="62">
        <v>22020</v>
      </c>
      <c r="B214">
        <v>0.2994</v>
      </c>
      <c r="C214" t="str">
        <f t="shared" si="6"/>
        <v>1960 q2</v>
      </c>
      <c r="F214" t="s">
        <v>105</v>
      </c>
      <c r="G214">
        <f t="shared" si="7"/>
        <v>1.7621793650793653</v>
      </c>
    </row>
    <row r="215" spans="1:7">
      <c r="A215" s="62">
        <v>22024</v>
      </c>
      <c r="B215">
        <v>0.29909999999999998</v>
      </c>
      <c r="C215" t="str">
        <f t="shared" si="6"/>
        <v>1960 q2</v>
      </c>
      <c r="F215" t="s">
        <v>106</v>
      </c>
      <c r="G215">
        <f t="shared" si="7"/>
        <v>1.5832650000000001</v>
      </c>
    </row>
    <row r="216" spans="1:7">
      <c r="A216" s="62">
        <v>22025</v>
      </c>
      <c r="B216">
        <v>0.29870000000000002</v>
      </c>
      <c r="C216" t="str">
        <f t="shared" si="6"/>
        <v>1960 q2</v>
      </c>
      <c r="F216" t="s">
        <v>107</v>
      </c>
      <c r="G216">
        <f t="shared" si="7"/>
        <v>2.1462063492063499</v>
      </c>
    </row>
    <row r="217" spans="1:7">
      <c r="A217" s="62">
        <v>22026</v>
      </c>
      <c r="B217">
        <v>0.3004</v>
      </c>
      <c r="C217" t="str">
        <f t="shared" si="6"/>
        <v>1960 q2</v>
      </c>
      <c r="F217" t="s">
        <v>108</v>
      </c>
      <c r="G217">
        <f t="shared" si="7"/>
        <v>2.6759406249999986</v>
      </c>
    </row>
    <row r="218" spans="1:7">
      <c r="A218" s="62">
        <v>22027</v>
      </c>
      <c r="B218">
        <v>0.3044</v>
      </c>
      <c r="C218" t="str">
        <f t="shared" si="6"/>
        <v>1960 q2</v>
      </c>
      <c r="F218" t="s">
        <v>109</v>
      </c>
      <c r="G218">
        <f t="shared" si="7"/>
        <v>3.0407904761904767</v>
      </c>
    </row>
    <row r="219" spans="1:7">
      <c r="A219" s="62">
        <v>22028</v>
      </c>
      <c r="B219">
        <v>0.30990000000000001</v>
      </c>
      <c r="C219" t="str">
        <f t="shared" si="6"/>
        <v>1960 q2</v>
      </c>
      <c r="F219" t="s">
        <v>110</v>
      </c>
      <c r="G219">
        <f t="shared" si="7"/>
        <v>3.2999033898305088</v>
      </c>
    </row>
    <row r="220" spans="1:7">
      <c r="A220" s="62">
        <v>22031</v>
      </c>
      <c r="B220">
        <v>0.31190000000000001</v>
      </c>
      <c r="C220" t="str">
        <f t="shared" si="6"/>
        <v>1960 q2</v>
      </c>
      <c r="F220" t="s">
        <v>111</v>
      </c>
      <c r="G220">
        <f t="shared" si="7"/>
        <v>3.191720634920634</v>
      </c>
    </row>
    <row r="221" spans="1:7">
      <c r="A221" s="62">
        <v>22032</v>
      </c>
      <c r="B221">
        <v>0.30470000000000003</v>
      </c>
      <c r="C221" t="str">
        <f t="shared" si="6"/>
        <v>1960 q2</v>
      </c>
      <c r="F221" t="s">
        <v>112</v>
      </c>
      <c r="G221">
        <f t="shared" si="7"/>
        <v>3.2979419354838706</v>
      </c>
    </row>
    <row r="222" spans="1:7">
      <c r="A222" s="62">
        <v>22033</v>
      </c>
      <c r="B222">
        <v>0.30480000000000002</v>
      </c>
      <c r="C222" t="str">
        <f t="shared" si="6"/>
        <v>1960 q2</v>
      </c>
      <c r="F222" t="s">
        <v>113</v>
      </c>
      <c r="G222">
        <f t="shared" si="7"/>
        <v>3.9360328124999988</v>
      </c>
    </row>
    <row r="223" spans="1:7">
      <c r="A223" s="62">
        <v>22034</v>
      </c>
      <c r="B223">
        <v>0.29870000000000002</v>
      </c>
      <c r="C223" t="str">
        <f t="shared" si="6"/>
        <v>1960 q2</v>
      </c>
      <c r="F223" t="s">
        <v>114</v>
      </c>
      <c r="G223">
        <f t="shared" si="7"/>
        <v>4.3905606557377039</v>
      </c>
    </row>
    <row r="224" spans="1:7">
      <c r="A224" s="62">
        <v>22035</v>
      </c>
      <c r="B224">
        <v>0.29430000000000001</v>
      </c>
      <c r="C224" t="str">
        <f t="shared" si="6"/>
        <v>1960 q2</v>
      </c>
      <c r="F224" t="s">
        <v>115</v>
      </c>
      <c r="G224">
        <f t="shared" si="7"/>
        <v>4.1538854838709671</v>
      </c>
    </row>
    <row r="225" spans="1:7">
      <c r="A225" s="62">
        <v>22038</v>
      </c>
      <c r="B225">
        <v>0.29310000000000003</v>
      </c>
      <c r="C225" t="str">
        <f t="shared" si="6"/>
        <v>1960 q2</v>
      </c>
      <c r="F225" t="s">
        <v>116</v>
      </c>
      <c r="G225">
        <f t="shared" si="7"/>
        <v>4.0752968749999994</v>
      </c>
    </row>
    <row r="226" spans="1:7">
      <c r="A226" s="62">
        <v>22039</v>
      </c>
      <c r="B226">
        <v>0.29899999999999999</v>
      </c>
      <c r="C226" t="str">
        <f t="shared" si="6"/>
        <v>1960 q2</v>
      </c>
      <c r="F226" t="s">
        <v>117</v>
      </c>
      <c r="G226">
        <f t="shared" si="7"/>
        <v>3.4093555555555555</v>
      </c>
    </row>
    <row r="227" spans="1:7">
      <c r="A227" s="62">
        <v>22040</v>
      </c>
      <c r="B227">
        <v>0.29549999999999998</v>
      </c>
      <c r="C227" t="str">
        <f t="shared" si="6"/>
        <v>1960 q2</v>
      </c>
      <c r="F227" t="s">
        <v>118</v>
      </c>
      <c r="G227">
        <f t="shared" si="7"/>
        <v>3.7895032786885245</v>
      </c>
    </row>
    <row r="228" spans="1:7">
      <c r="A228" s="62">
        <v>22041</v>
      </c>
      <c r="B228">
        <v>0.29399999999999998</v>
      </c>
      <c r="C228" t="str">
        <f t="shared" si="6"/>
        <v>1960 q2</v>
      </c>
      <c r="F228" t="s">
        <v>119</v>
      </c>
      <c r="G228">
        <f t="shared" si="7"/>
        <v>3.5440904761904748</v>
      </c>
    </row>
    <row r="229" spans="1:7">
      <c r="A229" s="62">
        <v>22042</v>
      </c>
      <c r="B229">
        <v>0.29149999999999998</v>
      </c>
      <c r="C229" t="str">
        <f t="shared" si="6"/>
        <v>1960 q2</v>
      </c>
      <c r="F229" t="s">
        <v>120</v>
      </c>
      <c r="G229">
        <f t="shared" si="7"/>
        <v>3.5110190476190475</v>
      </c>
    </row>
    <row r="230" spans="1:7">
      <c r="A230" s="62">
        <v>22045</v>
      </c>
      <c r="B230">
        <v>0.29260000000000003</v>
      </c>
      <c r="C230" t="str">
        <f t="shared" si="6"/>
        <v>1960 q2</v>
      </c>
      <c r="F230" t="s">
        <v>121</v>
      </c>
      <c r="G230">
        <f t="shared" si="7"/>
        <v>3.6013666666666673</v>
      </c>
    </row>
    <row r="231" spans="1:7">
      <c r="A231" s="62">
        <v>22046</v>
      </c>
      <c r="B231">
        <v>0.29249999999999998</v>
      </c>
      <c r="C231" t="str">
        <f t="shared" si="6"/>
        <v>1960 q2</v>
      </c>
      <c r="F231" t="s">
        <v>122</v>
      </c>
      <c r="G231">
        <f t="shared" si="7"/>
        <v>3.6117983333333319</v>
      </c>
    </row>
    <row r="232" spans="1:7">
      <c r="A232" s="62">
        <v>22047</v>
      </c>
      <c r="B232">
        <v>0.29249999999999998</v>
      </c>
      <c r="C232" t="str">
        <f t="shared" si="6"/>
        <v>1960 q2</v>
      </c>
      <c r="F232" t="s">
        <v>123</v>
      </c>
      <c r="G232">
        <f t="shared" si="7"/>
        <v>3.2554781249999989</v>
      </c>
    </row>
    <row r="233" spans="1:7">
      <c r="A233" s="62">
        <v>22048</v>
      </c>
      <c r="B233">
        <v>0.29299999999999998</v>
      </c>
      <c r="C233" t="str">
        <f t="shared" si="6"/>
        <v>1960 q2</v>
      </c>
      <c r="F233" t="s">
        <v>124</v>
      </c>
      <c r="G233">
        <f t="shared" si="7"/>
        <v>3.2281796875</v>
      </c>
    </row>
    <row r="234" spans="1:7">
      <c r="A234" s="62">
        <v>22049</v>
      </c>
      <c r="B234">
        <v>0.2908</v>
      </c>
      <c r="C234" t="str">
        <f t="shared" si="6"/>
        <v>1960 q2</v>
      </c>
      <c r="F234" t="s">
        <v>125</v>
      </c>
      <c r="G234">
        <f t="shared" si="7"/>
        <v>3.2756703124999991</v>
      </c>
    </row>
    <row r="235" spans="1:7">
      <c r="A235" s="62">
        <v>22052</v>
      </c>
      <c r="B235">
        <v>0.29089999999999999</v>
      </c>
      <c r="C235" t="str">
        <f t="shared" si="6"/>
        <v>1960 q2</v>
      </c>
      <c r="F235" t="s">
        <v>126</v>
      </c>
      <c r="G235">
        <f t="shared" si="7"/>
        <v>3.1897833333333336</v>
      </c>
    </row>
    <row r="236" spans="1:7">
      <c r="A236" s="62">
        <v>22053</v>
      </c>
      <c r="B236">
        <v>0.2969</v>
      </c>
      <c r="C236" t="str">
        <f t="shared" si="6"/>
        <v>1960 q2</v>
      </c>
      <c r="F236" t="s">
        <v>127</v>
      </c>
      <c r="G236">
        <f t="shared" si="7"/>
        <v>3.0891793650793651</v>
      </c>
    </row>
    <row r="237" spans="1:7">
      <c r="A237" s="62">
        <v>22054</v>
      </c>
      <c r="B237">
        <v>0.29630000000000001</v>
      </c>
      <c r="C237" t="str">
        <f t="shared" si="6"/>
        <v>1960 q2</v>
      </c>
      <c r="F237" t="s">
        <v>128</v>
      </c>
      <c r="G237">
        <f t="shared" si="7"/>
        <v>3.1672546875000003</v>
      </c>
    </row>
    <row r="238" spans="1:7">
      <c r="A238" s="62">
        <v>22055</v>
      </c>
      <c r="B238">
        <v>0.29870000000000002</v>
      </c>
      <c r="C238" t="str">
        <f t="shared" si="6"/>
        <v>1960 q2</v>
      </c>
      <c r="F238" t="s">
        <v>129</v>
      </c>
      <c r="G238">
        <f t="shared" si="7"/>
        <v>2.9799333333333329</v>
      </c>
    </row>
    <row r="239" spans="1:7">
      <c r="A239" s="62">
        <v>22056</v>
      </c>
      <c r="B239">
        <v>0.30349999999999999</v>
      </c>
      <c r="C239" t="str">
        <f t="shared" si="6"/>
        <v>1960 q2</v>
      </c>
      <c r="F239" t="s">
        <v>130</v>
      </c>
      <c r="G239">
        <f t="shared" si="7"/>
        <v>2.6436916666666672</v>
      </c>
    </row>
    <row r="240" spans="1:7">
      <c r="A240" s="62">
        <v>22059</v>
      </c>
      <c r="B240">
        <v>0.30480000000000002</v>
      </c>
      <c r="C240" t="str">
        <f t="shared" si="6"/>
        <v>1960 q2</v>
      </c>
      <c r="F240" t="s">
        <v>131</v>
      </c>
      <c r="G240">
        <f t="shared" si="7"/>
        <v>2.7536476190476198</v>
      </c>
    </row>
    <row r="241" spans="1:7">
      <c r="A241" s="62">
        <v>22060</v>
      </c>
      <c r="B241">
        <v>0.3</v>
      </c>
      <c r="C241" t="str">
        <f t="shared" si="6"/>
        <v>1960 q2</v>
      </c>
      <c r="F241" t="s">
        <v>132</v>
      </c>
      <c r="G241">
        <f t="shared" si="7"/>
        <v>2.3905703125000004</v>
      </c>
    </row>
    <row r="242" spans="1:7">
      <c r="A242" s="62">
        <v>22061</v>
      </c>
      <c r="B242">
        <v>0.2964</v>
      </c>
      <c r="C242" t="str">
        <f t="shared" si="6"/>
        <v>1960 q2</v>
      </c>
      <c r="F242" t="s">
        <v>133</v>
      </c>
      <c r="G242">
        <f t="shared" si="7"/>
        <v>2.2043171874999996</v>
      </c>
    </row>
    <row r="243" spans="1:7">
      <c r="A243" s="62">
        <v>22062</v>
      </c>
      <c r="B243">
        <v>0.29649999999999999</v>
      </c>
      <c r="C243" t="str">
        <f t="shared" si="6"/>
        <v>1960 q2</v>
      </c>
      <c r="F243" t="s">
        <v>134</v>
      </c>
      <c r="G243">
        <f t="shared" si="7"/>
        <v>2.1145491803278689</v>
      </c>
    </row>
    <row r="244" spans="1:7">
      <c r="A244" s="62">
        <v>22063</v>
      </c>
      <c r="B244">
        <v>0.29670000000000002</v>
      </c>
      <c r="C244" t="str">
        <f t="shared" si="6"/>
        <v>1960 q2</v>
      </c>
      <c r="F244" t="s">
        <v>135</v>
      </c>
      <c r="G244">
        <f t="shared" si="7"/>
        <v>2.1299593750000003</v>
      </c>
    </row>
    <row r="245" spans="1:7">
      <c r="A245" s="62">
        <v>22067</v>
      </c>
      <c r="B245">
        <v>0.30099999999999999</v>
      </c>
      <c r="C245" t="str">
        <f t="shared" si="6"/>
        <v>1960 q2</v>
      </c>
      <c r="F245" t="s">
        <v>136</v>
      </c>
      <c r="G245">
        <f t="shared" si="7"/>
        <v>2.1639515624999994</v>
      </c>
    </row>
    <row r="246" spans="1:7">
      <c r="A246" s="62">
        <v>22068</v>
      </c>
      <c r="B246">
        <v>0.30370000000000003</v>
      </c>
      <c r="C246" t="str">
        <f t="shared" si="6"/>
        <v>1960 q2</v>
      </c>
      <c r="F246" t="s">
        <v>137</v>
      </c>
      <c r="G246">
        <f t="shared" si="7"/>
        <v>2.3944730158730159</v>
      </c>
    </row>
    <row r="247" spans="1:7">
      <c r="A247" s="62">
        <v>22069</v>
      </c>
      <c r="B247">
        <v>0.31080000000000002</v>
      </c>
      <c r="C247" t="str">
        <f t="shared" si="6"/>
        <v>1960 q2</v>
      </c>
      <c r="F247" t="s">
        <v>138</v>
      </c>
      <c r="G247">
        <f t="shared" si="7"/>
        <v>2.6578032258064521</v>
      </c>
    </row>
    <row r="248" spans="1:7">
      <c r="A248" s="62">
        <v>22070</v>
      </c>
      <c r="B248">
        <v>0.31059999999999999</v>
      </c>
      <c r="C248" t="str">
        <f t="shared" si="6"/>
        <v>1960 q2</v>
      </c>
      <c r="F248" t="s">
        <v>139</v>
      </c>
      <c r="G248">
        <f t="shared" si="7"/>
        <v>2.5828269841269833</v>
      </c>
    </row>
    <row r="249" spans="1:7">
      <c r="A249" s="62">
        <v>22073</v>
      </c>
      <c r="B249">
        <v>0.31409999999999999</v>
      </c>
      <c r="C249" t="str">
        <f t="shared" si="6"/>
        <v>1960 q2</v>
      </c>
      <c r="F249" t="s">
        <v>140</v>
      </c>
      <c r="G249">
        <f t="shared" si="7"/>
        <v>2.9029380952380959</v>
      </c>
    </row>
    <row r="250" spans="1:7">
      <c r="A250" s="62">
        <v>22074</v>
      </c>
      <c r="B250">
        <v>0.311</v>
      </c>
      <c r="C250" t="str">
        <f t="shared" si="6"/>
        <v>1960 q2</v>
      </c>
      <c r="F250" t="s">
        <v>141</v>
      </c>
      <c r="G250">
        <f t="shared" si="7"/>
        <v>3.105068253968255</v>
      </c>
    </row>
    <row r="251" spans="1:7">
      <c r="A251" s="62">
        <v>22075</v>
      </c>
      <c r="B251">
        <v>0.30840000000000001</v>
      </c>
      <c r="C251" t="str">
        <f t="shared" si="6"/>
        <v>1960 q2</v>
      </c>
      <c r="F251" t="s">
        <v>142</v>
      </c>
      <c r="G251">
        <f t="shared" si="7"/>
        <v>3.1569885245901634</v>
      </c>
    </row>
    <row r="252" spans="1:7">
      <c r="A252" s="62">
        <v>22076</v>
      </c>
      <c r="B252">
        <v>0.31119999999999998</v>
      </c>
      <c r="C252" t="str">
        <f t="shared" si="6"/>
        <v>1960 q2</v>
      </c>
      <c r="F252" t="s">
        <v>143</v>
      </c>
      <c r="G252">
        <f t="shared" si="7"/>
        <v>3.0975421875000007</v>
      </c>
    </row>
    <row r="253" spans="1:7">
      <c r="A253" s="62">
        <v>22077</v>
      </c>
      <c r="B253">
        <v>0.31240000000000001</v>
      </c>
      <c r="C253" t="str">
        <f t="shared" si="6"/>
        <v>1960 q2</v>
      </c>
      <c r="F253" t="s">
        <v>144</v>
      </c>
      <c r="G253">
        <f t="shared" si="7"/>
        <v>2.7379666666666669</v>
      </c>
    </row>
    <row r="254" spans="1:7">
      <c r="A254" s="62">
        <v>22080</v>
      </c>
      <c r="B254">
        <v>0.31359999999999999</v>
      </c>
      <c r="C254" t="str">
        <f t="shared" si="6"/>
        <v>1960 q2</v>
      </c>
      <c r="F254" t="s">
        <v>145</v>
      </c>
      <c r="G254">
        <f t="shared" si="7"/>
        <v>2.748275</v>
      </c>
    </row>
    <row r="255" spans="1:7">
      <c r="A255" s="62">
        <v>22081</v>
      </c>
      <c r="B255">
        <v>0.32200000000000001</v>
      </c>
      <c r="C255" t="str">
        <f t="shared" si="6"/>
        <v>1960 q2</v>
      </c>
      <c r="F255" t="s">
        <v>146</v>
      </c>
      <c r="G255">
        <f t="shared" si="7"/>
        <v>2.807057377049182</v>
      </c>
    </row>
    <row r="256" spans="1:7">
      <c r="A256" s="62">
        <v>22082</v>
      </c>
      <c r="B256">
        <v>0.31859999999999999</v>
      </c>
      <c r="C256" t="str">
        <f t="shared" si="6"/>
        <v>1960 q2</v>
      </c>
      <c r="F256" t="s">
        <v>147</v>
      </c>
      <c r="G256">
        <f t="shared" si="7"/>
        <v>2.7762047619047614</v>
      </c>
    </row>
    <row r="257" spans="1:7">
      <c r="A257" s="62">
        <v>22083</v>
      </c>
      <c r="B257">
        <v>0.3165</v>
      </c>
      <c r="C257" t="str">
        <f t="shared" si="6"/>
        <v>1960 q2</v>
      </c>
      <c r="F257" t="s">
        <v>148</v>
      </c>
      <c r="G257">
        <f t="shared" si="7"/>
        <v>2.6287718749999995</v>
      </c>
    </row>
    <row r="258" spans="1:7">
      <c r="A258" s="62">
        <v>22084</v>
      </c>
      <c r="B258">
        <v>0.31919999999999998</v>
      </c>
      <c r="C258" t="str">
        <f t="shared" si="6"/>
        <v>1960 q2</v>
      </c>
      <c r="F258" t="s">
        <v>149</v>
      </c>
      <c r="G258">
        <f t="shared" si="7"/>
        <v>2.6802046875000012</v>
      </c>
    </row>
    <row r="259" spans="1:7">
      <c r="A259" s="62">
        <v>22087</v>
      </c>
      <c r="B259">
        <v>0.316</v>
      </c>
      <c r="C259" t="str">
        <f t="shared" si="6"/>
        <v>1960 q2</v>
      </c>
      <c r="F259" t="s">
        <v>150</v>
      </c>
      <c r="G259">
        <f t="shared" si="7"/>
        <v>2.5549741935483876</v>
      </c>
    </row>
    <row r="260" spans="1:7">
      <c r="A260" s="62">
        <v>22088</v>
      </c>
      <c r="B260">
        <v>0.31850000000000001</v>
      </c>
      <c r="C260" t="str">
        <f t="shared" si="6"/>
        <v>1960 q2</v>
      </c>
      <c r="F260" t="s">
        <v>151</v>
      </c>
      <c r="G260">
        <f t="shared" si="7"/>
        <v>2.4250857142857138</v>
      </c>
    </row>
    <row r="261" spans="1:7">
      <c r="A261" s="62">
        <v>22089</v>
      </c>
      <c r="B261">
        <v>0.31519999999999998</v>
      </c>
      <c r="C261" t="str">
        <f t="shared" si="6"/>
        <v>1960 q2</v>
      </c>
      <c r="F261" t="s">
        <v>152</v>
      </c>
      <c r="G261">
        <f t="shared" si="7"/>
        <v>2.9427546875000012</v>
      </c>
    </row>
    <row r="262" spans="1:7">
      <c r="A262" s="62">
        <v>22090</v>
      </c>
      <c r="B262">
        <v>0.3135</v>
      </c>
      <c r="C262" t="str">
        <f t="shared" si="6"/>
        <v>1960 q2</v>
      </c>
      <c r="F262" t="s">
        <v>153</v>
      </c>
      <c r="G262">
        <f t="shared" si="7"/>
        <v>3.2687531250000008</v>
      </c>
    </row>
    <row r="263" spans="1:7">
      <c r="A263" s="62">
        <v>22091</v>
      </c>
      <c r="B263">
        <v>0.30969999999999998</v>
      </c>
      <c r="C263" t="str">
        <f t="shared" si="6"/>
        <v>1960 q2</v>
      </c>
      <c r="F263" t="s">
        <v>154</v>
      </c>
      <c r="G263">
        <f t="shared" si="7"/>
        <v>3.8644180327868858</v>
      </c>
    </row>
    <row r="264" spans="1:7">
      <c r="A264" s="62">
        <v>22094</v>
      </c>
      <c r="B264">
        <v>0.30880000000000002</v>
      </c>
      <c r="C264" t="str">
        <f t="shared" si="6"/>
        <v>1960 q2</v>
      </c>
      <c r="F264" t="s">
        <v>155</v>
      </c>
      <c r="G264">
        <f t="shared" si="7"/>
        <v>4.4096761904761905</v>
      </c>
    </row>
    <row r="265" spans="1:7">
      <c r="A265" s="62">
        <v>22095</v>
      </c>
      <c r="B265">
        <v>0.30840000000000001</v>
      </c>
      <c r="C265" t="str">
        <f t="shared" si="6"/>
        <v>1960 q2</v>
      </c>
      <c r="F265" t="s">
        <v>156</v>
      </c>
      <c r="G265">
        <f t="shared" si="7"/>
        <v>4.3046076923076937</v>
      </c>
    </row>
    <row r="266" spans="1:7">
      <c r="A266" s="62">
        <v>22096</v>
      </c>
      <c r="B266">
        <v>0.30740000000000001</v>
      </c>
      <c r="C266" t="str">
        <f t="shared" si="6"/>
        <v>1960 q2</v>
      </c>
      <c r="F266" t="s">
        <v>157</v>
      </c>
      <c r="G266">
        <f t="shared" si="7"/>
        <v>4.3790757575757562</v>
      </c>
    </row>
    <row r="267" spans="1:7">
      <c r="A267" s="62">
        <v>22097</v>
      </c>
      <c r="B267">
        <v>0.3054</v>
      </c>
      <c r="C267" t="str">
        <f t="shared" si="6"/>
        <v>1960 q2</v>
      </c>
      <c r="F267" t="s">
        <v>158</v>
      </c>
      <c r="G267">
        <f t="shared" si="7"/>
        <v>4.5528999999999993</v>
      </c>
    </row>
    <row r="268" spans="1:7">
      <c r="A268" s="62">
        <v>22098</v>
      </c>
      <c r="B268">
        <v>0.30280000000000001</v>
      </c>
      <c r="C268" t="str">
        <f t="shared" si="6"/>
        <v>1960 q3</v>
      </c>
      <c r="F268" t="s">
        <v>159</v>
      </c>
      <c r="G268">
        <f t="shared" si="7"/>
        <v>4.3333953124999987</v>
      </c>
    </row>
    <row r="269" spans="1:7">
      <c r="A269" s="62">
        <v>22102</v>
      </c>
      <c r="B269">
        <v>0.30120000000000002</v>
      </c>
      <c r="C269" t="str">
        <f t="shared" si="6"/>
        <v>1960 q3</v>
      </c>
      <c r="F269" t="s">
        <v>160</v>
      </c>
      <c r="G269">
        <f t="shared" si="7"/>
        <v>3.4950303030303034</v>
      </c>
    </row>
    <row r="270" spans="1:7">
      <c r="A270" s="62">
        <v>22103</v>
      </c>
      <c r="B270">
        <v>0.30280000000000001</v>
      </c>
      <c r="C270" t="str">
        <f t="shared" si="6"/>
        <v>1960 q3</v>
      </c>
      <c r="F270" t="s">
        <v>161</v>
      </c>
      <c r="G270">
        <f t="shared" si="7"/>
        <v>3.6360861538461551</v>
      </c>
    </row>
    <row r="271" spans="1:7">
      <c r="A271" s="62">
        <v>22104</v>
      </c>
      <c r="B271">
        <v>0.30270000000000002</v>
      </c>
      <c r="C271" t="str">
        <f t="shared" si="6"/>
        <v>1960 q3</v>
      </c>
      <c r="F271" t="s">
        <v>162</v>
      </c>
      <c r="G271">
        <f t="shared" si="7"/>
        <v>4.0764061538461531</v>
      </c>
    </row>
    <row r="272" spans="1:7">
      <c r="A272" s="62">
        <v>22105</v>
      </c>
      <c r="B272">
        <v>0.30740000000000001</v>
      </c>
      <c r="C272" t="str">
        <f t="shared" si="6"/>
        <v>1960 q3</v>
      </c>
      <c r="F272" t="s">
        <v>163</v>
      </c>
      <c r="G272">
        <f t="shared" si="7"/>
        <v>3.8476800000000009</v>
      </c>
    </row>
    <row r="273" spans="1:7">
      <c r="A273" s="62">
        <v>22108</v>
      </c>
      <c r="B273">
        <v>0.31190000000000001</v>
      </c>
      <c r="C273" t="str">
        <f t="shared" si="6"/>
        <v>1960 q3</v>
      </c>
      <c r="F273" t="s">
        <v>164</v>
      </c>
      <c r="G273">
        <f t="shared" si="7"/>
        <v>3.802018461538462</v>
      </c>
    </row>
    <row r="274" spans="1:7">
      <c r="A274" s="62">
        <v>22109</v>
      </c>
      <c r="B274">
        <v>0.3085</v>
      </c>
      <c r="C274" t="str">
        <f t="shared" ref="C274:C337" si="8">YEAR(A274)&amp;" q"&amp;ROUNDUP(MONTH(A274)/3,0)</f>
        <v>1960 q3</v>
      </c>
      <c r="F274" t="s">
        <v>165</v>
      </c>
      <c r="G274">
        <f t="shared" ref="G274:G276" si="9">AVERAGEIF($C$17:$C$16300,F274,$B$17:$B$16300)</f>
        <v>3.7326370967741935</v>
      </c>
    </row>
    <row r="275" spans="1:7">
      <c r="A275" s="62">
        <v>22110</v>
      </c>
      <c r="B275">
        <v>0.31019999999999998</v>
      </c>
      <c r="C275" t="str">
        <f t="shared" si="8"/>
        <v>1960 q3</v>
      </c>
      <c r="F275" t="s">
        <v>166</v>
      </c>
      <c r="G275">
        <f t="shared" si="9"/>
        <v>3.8675199999999994</v>
      </c>
    </row>
    <row r="276" spans="1:7">
      <c r="A276" s="62">
        <v>22111</v>
      </c>
      <c r="B276">
        <v>0.30859999999999999</v>
      </c>
      <c r="C276" t="str">
        <f t="shared" si="8"/>
        <v>1960 q3</v>
      </c>
      <c r="F276" t="s">
        <v>167</v>
      </c>
      <c r="G276">
        <f t="shared" si="9"/>
        <v>4.5032000000000005</v>
      </c>
    </row>
    <row r="277" spans="1:7">
      <c r="A277" s="62">
        <v>22112</v>
      </c>
      <c r="B277">
        <v>0.30549999999999999</v>
      </c>
      <c r="C277" t="str">
        <f t="shared" si="8"/>
        <v>1960 q3</v>
      </c>
    </row>
    <row r="278" spans="1:7">
      <c r="A278" s="62">
        <v>22115</v>
      </c>
      <c r="B278">
        <v>0.30759999999999998</v>
      </c>
      <c r="C278" t="str">
        <f t="shared" si="8"/>
        <v>1960 q3</v>
      </c>
    </row>
    <row r="279" spans="1:7">
      <c r="A279" s="62">
        <v>22116</v>
      </c>
      <c r="B279">
        <v>0.30580000000000002</v>
      </c>
      <c r="C279" t="str">
        <f t="shared" si="8"/>
        <v>1960 q3</v>
      </c>
    </row>
    <row r="280" spans="1:7">
      <c r="A280" s="62">
        <v>22117</v>
      </c>
      <c r="B280">
        <v>0.30959999999999999</v>
      </c>
      <c r="C280" t="str">
        <f t="shared" si="8"/>
        <v>1960 q3</v>
      </c>
    </row>
    <row r="281" spans="1:7">
      <c r="A281" s="62">
        <v>22118</v>
      </c>
      <c r="B281">
        <v>0.309</v>
      </c>
      <c r="C281" t="str">
        <f t="shared" si="8"/>
        <v>1960 q3</v>
      </c>
    </row>
    <row r="282" spans="1:7">
      <c r="A282" s="62">
        <v>22119</v>
      </c>
      <c r="B282">
        <v>0.30740000000000001</v>
      </c>
      <c r="C282" t="str">
        <f t="shared" si="8"/>
        <v>1960 q3</v>
      </c>
    </row>
    <row r="283" spans="1:7">
      <c r="A283" s="62">
        <v>22122</v>
      </c>
      <c r="B283">
        <v>0.30680000000000002</v>
      </c>
      <c r="C283" t="str">
        <f t="shared" si="8"/>
        <v>1960 q3</v>
      </c>
    </row>
    <row r="284" spans="1:7">
      <c r="A284" s="62">
        <v>22123</v>
      </c>
      <c r="B284">
        <v>0.308</v>
      </c>
      <c r="C284" t="str">
        <f t="shared" si="8"/>
        <v>1960 q3</v>
      </c>
    </row>
    <row r="285" spans="1:7">
      <c r="A285" s="62">
        <v>22124</v>
      </c>
      <c r="B285">
        <v>0.30880000000000002</v>
      </c>
      <c r="C285" t="str">
        <f t="shared" si="8"/>
        <v>1960 q3</v>
      </c>
    </row>
    <row r="286" spans="1:7">
      <c r="A286" s="62">
        <v>22125</v>
      </c>
      <c r="B286">
        <v>0.30709999999999998</v>
      </c>
      <c r="C286" t="str">
        <f t="shared" si="8"/>
        <v>1960 q3</v>
      </c>
    </row>
    <row r="287" spans="1:7">
      <c r="A287" s="62">
        <v>22126</v>
      </c>
      <c r="B287">
        <v>0.30719999999999997</v>
      </c>
      <c r="C287" t="str">
        <f t="shared" si="8"/>
        <v>1960 q3</v>
      </c>
    </row>
    <row r="288" spans="1:7">
      <c r="A288" s="62">
        <v>22129</v>
      </c>
      <c r="B288">
        <v>0.30840000000000001</v>
      </c>
      <c r="C288" t="str">
        <f t="shared" si="8"/>
        <v>1960 q3</v>
      </c>
    </row>
    <row r="289" spans="1:3">
      <c r="A289" s="62">
        <v>22130</v>
      </c>
      <c r="B289">
        <v>0.3075</v>
      </c>
      <c r="C289" t="str">
        <f t="shared" si="8"/>
        <v>1960 q3</v>
      </c>
    </row>
    <row r="290" spans="1:3">
      <c r="A290" s="62">
        <v>22131</v>
      </c>
      <c r="B290">
        <v>0.30769999999999997</v>
      </c>
      <c r="C290" t="str">
        <f t="shared" si="8"/>
        <v>1960 q3</v>
      </c>
    </row>
    <row r="291" spans="1:3">
      <c r="A291" s="62">
        <v>22132</v>
      </c>
      <c r="B291">
        <v>0.30590000000000001</v>
      </c>
      <c r="C291" t="str">
        <f t="shared" si="8"/>
        <v>1960 q3</v>
      </c>
    </row>
    <row r="292" spans="1:3">
      <c r="A292" s="62">
        <v>22133</v>
      </c>
      <c r="B292">
        <v>0.30580000000000002</v>
      </c>
      <c r="C292" t="str">
        <f t="shared" si="8"/>
        <v>1960 q3</v>
      </c>
    </row>
    <row r="293" spans="1:3">
      <c r="A293" s="62">
        <v>22136</v>
      </c>
      <c r="B293">
        <v>0.30349999999999999</v>
      </c>
      <c r="C293" t="str">
        <f t="shared" si="8"/>
        <v>1960 q3</v>
      </c>
    </row>
    <row r="294" spans="1:3">
      <c r="A294" s="62">
        <v>22137</v>
      </c>
      <c r="B294">
        <v>0.30349999999999999</v>
      </c>
      <c r="C294" t="str">
        <f t="shared" si="8"/>
        <v>1960 q3</v>
      </c>
    </row>
    <row r="295" spans="1:3">
      <c r="A295" s="62">
        <v>22138</v>
      </c>
      <c r="B295">
        <v>0.30270000000000002</v>
      </c>
      <c r="C295" t="str">
        <f t="shared" si="8"/>
        <v>1960 q3</v>
      </c>
    </row>
    <row r="296" spans="1:3">
      <c r="A296" s="62">
        <v>22139</v>
      </c>
      <c r="B296">
        <v>0.30220000000000002</v>
      </c>
      <c r="C296" t="str">
        <f t="shared" si="8"/>
        <v>1960 q3</v>
      </c>
    </row>
    <row r="297" spans="1:3">
      <c r="A297" s="62">
        <v>22140</v>
      </c>
      <c r="B297">
        <v>0.30249999999999999</v>
      </c>
      <c r="C297" t="str">
        <f t="shared" si="8"/>
        <v>1960 q3</v>
      </c>
    </row>
    <row r="298" spans="1:3">
      <c r="A298" s="62">
        <v>22143</v>
      </c>
      <c r="B298">
        <v>0.30059999999999998</v>
      </c>
      <c r="C298" t="str">
        <f t="shared" si="8"/>
        <v>1960 q3</v>
      </c>
    </row>
    <row r="299" spans="1:3">
      <c r="A299" s="62">
        <v>22144</v>
      </c>
      <c r="B299">
        <v>0.30249999999999999</v>
      </c>
      <c r="C299" t="str">
        <f t="shared" si="8"/>
        <v>1960 q3</v>
      </c>
    </row>
    <row r="300" spans="1:3">
      <c r="A300" s="62">
        <v>22145</v>
      </c>
      <c r="B300">
        <v>0.30299999999999999</v>
      </c>
      <c r="C300" t="str">
        <f t="shared" si="8"/>
        <v>1960 q3</v>
      </c>
    </row>
    <row r="301" spans="1:3">
      <c r="A301" s="62">
        <v>22146</v>
      </c>
      <c r="B301">
        <v>0.30370000000000003</v>
      </c>
      <c r="C301" t="str">
        <f t="shared" si="8"/>
        <v>1960 q3</v>
      </c>
    </row>
    <row r="302" spans="1:3">
      <c r="A302" s="62">
        <v>22147</v>
      </c>
      <c r="B302">
        <v>0.30449999999999999</v>
      </c>
      <c r="C302" t="str">
        <f t="shared" si="8"/>
        <v>1960 q3</v>
      </c>
    </row>
    <row r="303" spans="1:3">
      <c r="A303" s="62">
        <v>22150</v>
      </c>
      <c r="B303">
        <v>0.30170000000000002</v>
      </c>
      <c r="C303" t="str">
        <f t="shared" si="8"/>
        <v>1960 q3</v>
      </c>
    </row>
    <row r="304" spans="1:3">
      <c r="A304" s="62">
        <v>22151</v>
      </c>
      <c r="B304">
        <v>0.30259999999999998</v>
      </c>
      <c r="C304" t="str">
        <f t="shared" si="8"/>
        <v>1960 q3</v>
      </c>
    </row>
    <row r="305" spans="1:3">
      <c r="A305" s="62">
        <v>22152</v>
      </c>
      <c r="B305">
        <v>0.30349999999999999</v>
      </c>
      <c r="C305" t="str">
        <f t="shared" si="8"/>
        <v>1960 q3</v>
      </c>
    </row>
    <row r="306" spans="1:3">
      <c r="A306" s="62">
        <v>22153</v>
      </c>
      <c r="B306">
        <v>0.30380000000000001</v>
      </c>
      <c r="C306" t="str">
        <f t="shared" si="8"/>
        <v>1960 q3</v>
      </c>
    </row>
    <row r="307" spans="1:3">
      <c r="A307" s="62">
        <v>22154</v>
      </c>
      <c r="B307">
        <v>0.30130000000000001</v>
      </c>
      <c r="C307" t="str">
        <f t="shared" si="8"/>
        <v>1960 q3</v>
      </c>
    </row>
    <row r="308" spans="1:3">
      <c r="A308" s="62">
        <v>22157</v>
      </c>
      <c r="B308">
        <v>0.29920000000000002</v>
      </c>
      <c r="C308" t="str">
        <f t="shared" si="8"/>
        <v>1960 q3</v>
      </c>
    </row>
    <row r="309" spans="1:3">
      <c r="A309" s="62">
        <v>22158</v>
      </c>
      <c r="B309">
        <v>0.29670000000000002</v>
      </c>
      <c r="C309" t="str">
        <f t="shared" si="8"/>
        <v>1960 q3</v>
      </c>
    </row>
    <row r="310" spans="1:3">
      <c r="A310" s="62">
        <v>22159</v>
      </c>
      <c r="B310">
        <v>0.29289999999999999</v>
      </c>
      <c r="C310" t="str">
        <f t="shared" si="8"/>
        <v>1960 q3</v>
      </c>
    </row>
    <row r="311" spans="1:3">
      <c r="A311" s="62">
        <v>22160</v>
      </c>
      <c r="B311">
        <v>0.29310000000000003</v>
      </c>
      <c r="C311" t="str">
        <f t="shared" si="8"/>
        <v>1960 q3</v>
      </c>
    </row>
    <row r="312" spans="1:3">
      <c r="A312" s="62">
        <v>22161</v>
      </c>
      <c r="B312">
        <v>0.29299999999999998</v>
      </c>
      <c r="C312" t="str">
        <f t="shared" si="8"/>
        <v>1960 q3</v>
      </c>
    </row>
    <row r="313" spans="1:3">
      <c r="A313" s="62">
        <v>22165</v>
      </c>
      <c r="B313">
        <v>0.29249999999999998</v>
      </c>
      <c r="C313" t="str">
        <f t="shared" si="8"/>
        <v>1960 q3</v>
      </c>
    </row>
    <row r="314" spans="1:3">
      <c r="A314" s="62">
        <v>22166</v>
      </c>
      <c r="B314">
        <v>0.29170000000000001</v>
      </c>
      <c r="C314" t="str">
        <f t="shared" si="8"/>
        <v>1960 q3</v>
      </c>
    </row>
    <row r="315" spans="1:3">
      <c r="A315" s="62">
        <v>22167</v>
      </c>
      <c r="B315">
        <v>0.28939999999999999</v>
      </c>
      <c r="C315" t="str">
        <f t="shared" si="8"/>
        <v>1960 q3</v>
      </c>
    </row>
    <row r="316" spans="1:3">
      <c r="A316" s="62">
        <v>22168</v>
      </c>
      <c r="B316">
        <v>0.28899999999999998</v>
      </c>
      <c r="C316" t="str">
        <f t="shared" si="8"/>
        <v>1960 q3</v>
      </c>
    </row>
    <row r="317" spans="1:3">
      <c r="A317" s="62">
        <v>22171</v>
      </c>
      <c r="B317">
        <v>0.28920000000000001</v>
      </c>
      <c r="C317" t="str">
        <f t="shared" si="8"/>
        <v>1960 q3</v>
      </c>
    </row>
    <row r="318" spans="1:3">
      <c r="A318" s="62">
        <v>22172</v>
      </c>
      <c r="B318">
        <v>0.28949999999999998</v>
      </c>
      <c r="C318" t="str">
        <f t="shared" si="8"/>
        <v>1960 q3</v>
      </c>
    </row>
    <row r="319" spans="1:3">
      <c r="A319" s="62">
        <v>22173</v>
      </c>
      <c r="B319">
        <v>0.2913</v>
      </c>
      <c r="C319" t="str">
        <f t="shared" si="8"/>
        <v>1960 q3</v>
      </c>
    </row>
    <row r="320" spans="1:3">
      <c r="A320" s="62">
        <v>22174</v>
      </c>
      <c r="B320">
        <v>0.29210000000000003</v>
      </c>
      <c r="C320" t="str">
        <f t="shared" si="8"/>
        <v>1960 q3</v>
      </c>
    </row>
    <row r="321" spans="1:3">
      <c r="A321" s="62">
        <v>22175</v>
      </c>
      <c r="B321">
        <v>0.29370000000000002</v>
      </c>
      <c r="C321" t="str">
        <f t="shared" si="8"/>
        <v>1960 q3</v>
      </c>
    </row>
    <row r="322" spans="1:3">
      <c r="A322" s="62">
        <v>22178</v>
      </c>
      <c r="B322">
        <v>0.2893</v>
      </c>
      <c r="C322" t="str">
        <f t="shared" si="8"/>
        <v>1960 q3</v>
      </c>
    </row>
    <row r="323" spans="1:3">
      <c r="A323" s="62">
        <v>22179</v>
      </c>
      <c r="B323">
        <v>0.29120000000000001</v>
      </c>
      <c r="C323" t="str">
        <f t="shared" si="8"/>
        <v>1960 q3</v>
      </c>
    </row>
    <row r="324" spans="1:3">
      <c r="A324" s="62">
        <v>22180</v>
      </c>
      <c r="B324">
        <v>0.29249999999999998</v>
      </c>
      <c r="C324" t="str">
        <f t="shared" si="8"/>
        <v>1960 q3</v>
      </c>
    </row>
    <row r="325" spans="1:3">
      <c r="A325" s="62">
        <v>22181</v>
      </c>
      <c r="B325">
        <v>0.29049999999999998</v>
      </c>
      <c r="C325" t="str">
        <f t="shared" si="8"/>
        <v>1960 q3</v>
      </c>
    </row>
    <row r="326" spans="1:3">
      <c r="A326" s="62">
        <v>22182</v>
      </c>
      <c r="B326">
        <v>0.29010000000000002</v>
      </c>
      <c r="C326" t="str">
        <f t="shared" si="8"/>
        <v>1960 q3</v>
      </c>
    </row>
    <row r="327" spans="1:3">
      <c r="A327" s="62">
        <v>22185</v>
      </c>
      <c r="B327">
        <v>0.28820000000000001</v>
      </c>
      <c r="C327" t="str">
        <f t="shared" si="8"/>
        <v>1960 q3</v>
      </c>
    </row>
    <row r="328" spans="1:3">
      <c r="A328" s="62">
        <v>22186</v>
      </c>
      <c r="B328">
        <v>0.2883</v>
      </c>
      <c r="C328" t="str">
        <f t="shared" si="8"/>
        <v>1960 q3</v>
      </c>
    </row>
    <row r="329" spans="1:3">
      <c r="A329" s="62">
        <v>22187</v>
      </c>
      <c r="B329">
        <v>0.28799999999999998</v>
      </c>
      <c r="C329" t="str">
        <f t="shared" si="8"/>
        <v>1960 q3</v>
      </c>
    </row>
    <row r="330" spans="1:3">
      <c r="A330" s="62">
        <v>22188</v>
      </c>
      <c r="B330">
        <v>0.28670000000000001</v>
      </c>
      <c r="C330" t="str">
        <f t="shared" si="8"/>
        <v>1960 q3</v>
      </c>
    </row>
    <row r="331" spans="1:3">
      <c r="A331" s="62">
        <v>22189</v>
      </c>
      <c r="B331">
        <v>0.28810000000000002</v>
      </c>
      <c r="C331" t="str">
        <f t="shared" si="8"/>
        <v>1960 q3</v>
      </c>
    </row>
    <row r="332" spans="1:3">
      <c r="A332" s="62">
        <v>22192</v>
      </c>
      <c r="B332">
        <v>0.28420000000000001</v>
      </c>
      <c r="C332" t="str">
        <f t="shared" si="8"/>
        <v>1960 q4</v>
      </c>
    </row>
    <row r="333" spans="1:3">
      <c r="A333" s="62">
        <v>22193</v>
      </c>
      <c r="B333">
        <v>0.28249999999999997</v>
      </c>
      <c r="C333" t="str">
        <f t="shared" si="8"/>
        <v>1960 q4</v>
      </c>
    </row>
    <row r="334" spans="1:3">
      <c r="A334" s="62">
        <v>22194</v>
      </c>
      <c r="B334">
        <v>0.28249999999999997</v>
      </c>
      <c r="C334" t="str">
        <f t="shared" si="8"/>
        <v>1960 q4</v>
      </c>
    </row>
    <row r="335" spans="1:3">
      <c r="A335" s="62">
        <v>22195</v>
      </c>
      <c r="B335">
        <v>0.28179999999999999</v>
      </c>
      <c r="C335" t="str">
        <f t="shared" si="8"/>
        <v>1960 q4</v>
      </c>
    </row>
    <row r="336" spans="1:3">
      <c r="A336" s="62">
        <v>22196</v>
      </c>
      <c r="B336">
        <v>0.28189999999999998</v>
      </c>
      <c r="C336" t="str">
        <f t="shared" si="8"/>
        <v>1960 q4</v>
      </c>
    </row>
    <row r="337" spans="1:3">
      <c r="A337" s="62">
        <v>22199</v>
      </c>
      <c r="B337">
        <v>0.28389999999999999</v>
      </c>
      <c r="C337" t="str">
        <f t="shared" si="8"/>
        <v>1960 q4</v>
      </c>
    </row>
    <row r="338" spans="1:3">
      <c r="A338" s="62">
        <v>22200</v>
      </c>
      <c r="B338">
        <v>0.28220000000000001</v>
      </c>
      <c r="C338" t="str">
        <f t="shared" ref="C338:C401" si="10">YEAR(A338)&amp;" q"&amp;ROUNDUP(MONTH(A338)/3,0)</f>
        <v>1960 q4</v>
      </c>
    </row>
    <row r="339" spans="1:3">
      <c r="A339" s="62">
        <v>22201</v>
      </c>
      <c r="B339">
        <v>0.27800000000000002</v>
      </c>
      <c r="C339" t="str">
        <f t="shared" si="10"/>
        <v>1960 q4</v>
      </c>
    </row>
    <row r="340" spans="1:3">
      <c r="A340" s="62">
        <v>22202</v>
      </c>
      <c r="B340">
        <v>0.27800000000000002</v>
      </c>
      <c r="C340" t="str">
        <f t="shared" si="10"/>
        <v>1960 q4</v>
      </c>
    </row>
    <row r="341" spans="1:3">
      <c r="A341" s="62">
        <v>22203</v>
      </c>
      <c r="B341">
        <v>0.27889999999999998</v>
      </c>
      <c r="C341" t="str">
        <f t="shared" si="10"/>
        <v>1960 q4</v>
      </c>
    </row>
    <row r="342" spans="1:3">
      <c r="A342" s="62">
        <v>22206</v>
      </c>
      <c r="B342">
        <v>0.27960000000000002</v>
      </c>
      <c r="C342" t="str">
        <f t="shared" si="10"/>
        <v>1960 q4</v>
      </c>
    </row>
    <row r="343" spans="1:3">
      <c r="A343" s="62">
        <v>22207</v>
      </c>
      <c r="B343">
        <v>0.27710000000000001</v>
      </c>
      <c r="C343" t="str">
        <f t="shared" si="10"/>
        <v>1960 q4</v>
      </c>
    </row>
    <row r="344" spans="1:3">
      <c r="A344" s="62">
        <v>22208</v>
      </c>
      <c r="B344">
        <v>0.27679999999999999</v>
      </c>
      <c r="C344" t="str">
        <f t="shared" si="10"/>
        <v>1960 q4</v>
      </c>
    </row>
    <row r="345" spans="1:3">
      <c r="A345" s="62">
        <v>22209</v>
      </c>
      <c r="B345">
        <v>0.2802</v>
      </c>
      <c r="C345" t="str">
        <f t="shared" si="10"/>
        <v>1960 q4</v>
      </c>
    </row>
    <row r="346" spans="1:3">
      <c r="A346" s="62">
        <v>22210</v>
      </c>
      <c r="B346">
        <v>0.27660000000000001</v>
      </c>
      <c r="C346" t="str">
        <f t="shared" si="10"/>
        <v>1960 q4</v>
      </c>
    </row>
    <row r="347" spans="1:3">
      <c r="A347" s="62">
        <v>22213</v>
      </c>
      <c r="B347">
        <v>0.27700000000000002</v>
      </c>
      <c r="C347" t="str">
        <f t="shared" si="10"/>
        <v>1960 q4</v>
      </c>
    </row>
    <row r="348" spans="1:3">
      <c r="A348" s="62">
        <v>22214</v>
      </c>
      <c r="B348">
        <v>0.27760000000000001</v>
      </c>
      <c r="C348" t="str">
        <f t="shared" si="10"/>
        <v>1960 q4</v>
      </c>
    </row>
    <row r="349" spans="1:3">
      <c r="A349" s="62">
        <v>22215</v>
      </c>
      <c r="B349">
        <v>0.27739999999999998</v>
      </c>
      <c r="C349" t="str">
        <f t="shared" si="10"/>
        <v>1960 q4</v>
      </c>
    </row>
    <row r="350" spans="1:3">
      <c r="A350" s="62">
        <v>22216</v>
      </c>
      <c r="B350">
        <v>0.27889999999999998</v>
      </c>
      <c r="C350" t="str">
        <f t="shared" si="10"/>
        <v>1960 q4</v>
      </c>
    </row>
    <row r="351" spans="1:3">
      <c r="A351" s="62">
        <v>22217</v>
      </c>
      <c r="B351">
        <v>0.27800000000000002</v>
      </c>
      <c r="C351" t="str">
        <f t="shared" si="10"/>
        <v>1960 q4</v>
      </c>
    </row>
    <row r="352" spans="1:3">
      <c r="A352" s="62">
        <v>22220</v>
      </c>
      <c r="B352">
        <v>0.2782</v>
      </c>
      <c r="C352" t="str">
        <f t="shared" si="10"/>
        <v>1960 q4</v>
      </c>
    </row>
    <row r="353" spans="1:3">
      <c r="A353" s="62">
        <v>22221</v>
      </c>
      <c r="B353">
        <v>0.27960000000000002</v>
      </c>
      <c r="C353" t="str">
        <f t="shared" si="10"/>
        <v>1960 q4</v>
      </c>
    </row>
    <row r="354" spans="1:3">
      <c r="A354" s="62">
        <v>22222</v>
      </c>
      <c r="B354">
        <v>0.28199999999999997</v>
      </c>
      <c r="C354" t="str">
        <f t="shared" si="10"/>
        <v>1960 q4</v>
      </c>
    </row>
    <row r="355" spans="1:3">
      <c r="A355" s="62">
        <v>22223</v>
      </c>
      <c r="B355">
        <v>0.28260000000000002</v>
      </c>
      <c r="C355" t="str">
        <f t="shared" si="10"/>
        <v>1960 q4</v>
      </c>
    </row>
    <row r="356" spans="1:3">
      <c r="A356" s="62">
        <v>22224</v>
      </c>
      <c r="B356">
        <v>0.28179999999999999</v>
      </c>
      <c r="C356" t="str">
        <f t="shared" si="10"/>
        <v>1960 q4</v>
      </c>
    </row>
    <row r="357" spans="1:3">
      <c r="A357" s="62">
        <v>22227</v>
      </c>
      <c r="B357">
        <v>0.28420000000000001</v>
      </c>
      <c r="C357" t="str">
        <f t="shared" si="10"/>
        <v>1960 q4</v>
      </c>
    </row>
    <row r="358" spans="1:3">
      <c r="A358" s="62">
        <v>22229</v>
      </c>
      <c r="B358">
        <v>0.28620000000000001</v>
      </c>
      <c r="C358" t="str">
        <f t="shared" si="10"/>
        <v>1960 q4</v>
      </c>
    </row>
    <row r="359" spans="1:3">
      <c r="A359" s="62">
        <v>22230</v>
      </c>
      <c r="B359">
        <v>0.2838</v>
      </c>
      <c r="C359" t="str">
        <f t="shared" si="10"/>
        <v>1960 q4</v>
      </c>
    </row>
    <row r="360" spans="1:3">
      <c r="A360" s="62">
        <v>22231</v>
      </c>
      <c r="B360">
        <v>0.28320000000000001</v>
      </c>
      <c r="C360" t="str">
        <f t="shared" si="10"/>
        <v>1960 q4</v>
      </c>
    </row>
    <row r="361" spans="1:3">
      <c r="A361" s="62">
        <v>22234</v>
      </c>
      <c r="B361">
        <v>0.27950000000000003</v>
      </c>
      <c r="C361" t="str">
        <f t="shared" si="10"/>
        <v>1960 q4</v>
      </c>
    </row>
    <row r="362" spans="1:3">
      <c r="A362" s="62">
        <v>22235</v>
      </c>
      <c r="B362">
        <v>0.2823</v>
      </c>
      <c r="C362" t="str">
        <f t="shared" si="10"/>
        <v>1960 q4</v>
      </c>
    </row>
    <row r="363" spans="1:3">
      <c r="A363" s="62">
        <v>22236</v>
      </c>
      <c r="B363">
        <v>0.27950000000000003</v>
      </c>
      <c r="C363" t="str">
        <f t="shared" si="10"/>
        <v>1960 q4</v>
      </c>
    </row>
    <row r="364" spans="1:3">
      <c r="A364" s="62">
        <v>22237</v>
      </c>
      <c r="B364">
        <v>0.28039999999999998</v>
      </c>
      <c r="C364" t="str">
        <f t="shared" si="10"/>
        <v>1960 q4</v>
      </c>
    </row>
    <row r="365" spans="1:3">
      <c r="A365" s="62">
        <v>22238</v>
      </c>
      <c r="B365">
        <v>0.28039999999999998</v>
      </c>
      <c r="C365" t="str">
        <f t="shared" si="10"/>
        <v>1960 q4</v>
      </c>
    </row>
    <row r="366" spans="1:3">
      <c r="A366" s="62">
        <v>22241</v>
      </c>
      <c r="B366">
        <v>0.28399999999999997</v>
      </c>
      <c r="C366" t="str">
        <f t="shared" si="10"/>
        <v>1960 q4</v>
      </c>
    </row>
    <row r="367" spans="1:3">
      <c r="A367" s="62">
        <v>22242</v>
      </c>
      <c r="B367">
        <v>0.28349999999999997</v>
      </c>
      <c r="C367" t="str">
        <f t="shared" si="10"/>
        <v>1960 q4</v>
      </c>
    </row>
    <row r="368" spans="1:3">
      <c r="A368" s="62">
        <v>22243</v>
      </c>
      <c r="B368">
        <v>0.28179999999999999</v>
      </c>
      <c r="C368" t="str">
        <f t="shared" si="10"/>
        <v>1960 q4</v>
      </c>
    </row>
    <row r="369" spans="1:3">
      <c r="A369" s="62">
        <v>22245</v>
      </c>
      <c r="B369">
        <v>0.28129999999999999</v>
      </c>
      <c r="C369" t="str">
        <f t="shared" si="10"/>
        <v>1960 q4</v>
      </c>
    </row>
    <row r="370" spans="1:3">
      <c r="A370" s="62">
        <v>22248</v>
      </c>
      <c r="B370">
        <v>0.28070000000000001</v>
      </c>
      <c r="C370" t="str">
        <f t="shared" si="10"/>
        <v>1960 q4</v>
      </c>
    </row>
    <row r="371" spans="1:3">
      <c r="A371" s="62">
        <v>22249</v>
      </c>
      <c r="B371">
        <v>0.27950000000000003</v>
      </c>
      <c r="C371" t="str">
        <f t="shared" si="10"/>
        <v>1960 q4</v>
      </c>
    </row>
    <row r="372" spans="1:3">
      <c r="A372" s="62">
        <v>22250</v>
      </c>
      <c r="B372">
        <v>0.28050000000000003</v>
      </c>
      <c r="C372" t="str">
        <f t="shared" si="10"/>
        <v>1960 q4</v>
      </c>
    </row>
    <row r="373" spans="1:3">
      <c r="A373" s="62">
        <v>22251</v>
      </c>
      <c r="B373">
        <v>0.28189999999999998</v>
      </c>
      <c r="C373" t="str">
        <f t="shared" si="10"/>
        <v>1960 q4</v>
      </c>
    </row>
    <row r="374" spans="1:3">
      <c r="A374" s="62">
        <v>22252</v>
      </c>
      <c r="B374">
        <v>0.28170000000000001</v>
      </c>
      <c r="C374" t="str">
        <f t="shared" si="10"/>
        <v>1960 q4</v>
      </c>
    </row>
    <row r="375" spans="1:3">
      <c r="A375" s="62">
        <v>22255</v>
      </c>
      <c r="B375">
        <v>0.2828</v>
      </c>
      <c r="C375" t="str">
        <f t="shared" si="10"/>
        <v>1960 q4</v>
      </c>
    </row>
    <row r="376" spans="1:3">
      <c r="A376" s="62">
        <v>22256</v>
      </c>
      <c r="B376">
        <v>0.28299999999999997</v>
      </c>
      <c r="C376" t="str">
        <f t="shared" si="10"/>
        <v>1960 q4</v>
      </c>
    </row>
    <row r="377" spans="1:3">
      <c r="A377" s="62">
        <v>22257</v>
      </c>
      <c r="B377">
        <v>0.28060000000000002</v>
      </c>
      <c r="C377" t="str">
        <f t="shared" si="10"/>
        <v>1960 q4</v>
      </c>
    </row>
    <row r="378" spans="1:3">
      <c r="A378" s="62">
        <v>22258</v>
      </c>
      <c r="B378">
        <v>0.28139999999999998</v>
      </c>
      <c r="C378" t="str">
        <f t="shared" si="10"/>
        <v>1960 q4</v>
      </c>
    </row>
    <row r="379" spans="1:3">
      <c r="A379" s="62">
        <v>22259</v>
      </c>
      <c r="B379">
        <v>0.28149999999999997</v>
      </c>
      <c r="C379" t="str">
        <f t="shared" si="10"/>
        <v>1960 q4</v>
      </c>
    </row>
    <row r="380" spans="1:3">
      <c r="A380" s="62">
        <v>22262</v>
      </c>
      <c r="B380">
        <v>0.28139999999999998</v>
      </c>
      <c r="C380" t="str">
        <f t="shared" si="10"/>
        <v>1960 q4</v>
      </c>
    </row>
    <row r="381" spans="1:3">
      <c r="A381" s="62">
        <v>22263</v>
      </c>
      <c r="B381">
        <v>0.27910000000000001</v>
      </c>
      <c r="C381" t="str">
        <f t="shared" si="10"/>
        <v>1960 q4</v>
      </c>
    </row>
    <row r="382" spans="1:3">
      <c r="A382" s="62">
        <v>22264</v>
      </c>
      <c r="B382">
        <v>0.27789999999999998</v>
      </c>
      <c r="C382" t="str">
        <f t="shared" si="10"/>
        <v>1960 q4</v>
      </c>
    </row>
    <row r="383" spans="1:3">
      <c r="A383" s="62">
        <v>22265</v>
      </c>
      <c r="B383">
        <v>0.27529999999999999</v>
      </c>
      <c r="C383" t="str">
        <f t="shared" si="10"/>
        <v>1960 q4</v>
      </c>
    </row>
    <row r="384" spans="1:3">
      <c r="A384" s="62">
        <v>22266</v>
      </c>
      <c r="B384">
        <v>0.27600000000000002</v>
      </c>
      <c r="C384" t="str">
        <f t="shared" si="10"/>
        <v>1960 q4</v>
      </c>
    </row>
    <row r="385" spans="1:3">
      <c r="A385" s="62">
        <v>22269</v>
      </c>
      <c r="B385">
        <v>0.2757</v>
      </c>
      <c r="C385" t="str">
        <f t="shared" si="10"/>
        <v>1960 q4</v>
      </c>
    </row>
    <row r="386" spans="1:3">
      <c r="A386" s="62">
        <v>22270</v>
      </c>
      <c r="B386">
        <v>0.2772</v>
      </c>
      <c r="C386" t="str">
        <f t="shared" si="10"/>
        <v>1960 q4</v>
      </c>
    </row>
    <row r="387" spans="1:3">
      <c r="A387" s="62">
        <v>22271</v>
      </c>
      <c r="B387">
        <v>0.27800000000000002</v>
      </c>
      <c r="C387" t="str">
        <f t="shared" si="10"/>
        <v>1960 q4</v>
      </c>
    </row>
    <row r="388" spans="1:3">
      <c r="A388" s="62">
        <v>22272</v>
      </c>
      <c r="B388">
        <v>0.27929999999999999</v>
      </c>
      <c r="C388" t="str">
        <f t="shared" si="10"/>
        <v>1960 q4</v>
      </c>
    </row>
    <row r="389" spans="1:3">
      <c r="A389" s="62">
        <v>22273</v>
      </c>
      <c r="B389">
        <v>0.27910000000000001</v>
      </c>
      <c r="C389" t="str">
        <f t="shared" si="10"/>
        <v>1960 q4</v>
      </c>
    </row>
    <row r="390" spans="1:3">
      <c r="A390" s="62">
        <v>22277</v>
      </c>
      <c r="B390">
        <v>0.27839999999999998</v>
      </c>
      <c r="C390" t="str">
        <f t="shared" si="10"/>
        <v>1960 q4</v>
      </c>
    </row>
    <row r="391" spans="1:3">
      <c r="A391" s="62">
        <v>22278</v>
      </c>
      <c r="B391">
        <v>0.27639999999999998</v>
      </c>
      <c r="C391" t="str">
        <f t="shared" si="10"/>
        <v>1960 q4</v>
      </c>
    </row>
    <row r="392" spans="1:3">
      <c r="A392" s="62">
        <v>22279</v>
      </c>
      <c r="B392">
        <v>0.2767</v>
      </c>
      <c r="C392" t="str">
        <f t="shared" si="10"/>
        <v>1960 q4</v>
      </c>
    </row>
    <row r="393" spans="1:3">
      <c r="A393" s="62">
        <v>22280</v>
      </c>
      <c r="B393">
        <v>0.27729999999999999</v>
      </c>
      <c r="C393" t="str">
        <f t="shared" si="10"/>
        <v>1960 q4</v>
      </c>
    </row>
    <row r="394" spans="1:3">
      <c r="A394" s="62">
        <v>22284</v>
      </c>
      <c r="B394">
        <v>0.2767</v>
      </c>
      <c r="C394" t="str">
        <f t="shared" si="10"/>
        <v>1961 q1</v>
      </c>
    </row>
    <row r="395" spans="1:3">
      <c r="A395" s="62">
        <v>22285</v>
      </c>
      <c r="B395">
        <v>0.27450000000000002</v>
      </c>
      <c r="C395" t="str">
        <f t="shared" si="10"/>
        <v>1961 q1</v>
      </c>
    </row>
    <row r="396" spans="1:3">
      <c r="A396" s="62">
        <v>22286</v>
      </c>
      <c r="B396">
        <v>0.27600000000000002</v>
      </c>
      <c r="C396" t="str">
        <f t="shared" si="10"/>
        <v>1961 q1</v>
      </c>
    </row>
    <row r="397" spans="1:3">
      <c r="A397" s="62">
        <v>22287</v>
      </c>
      <c r="B397">
        <v>0.27629999999999999</v>
      </c>
      <c r="C397" t="str">
        <f t="shared" si="10"/>
        <v>1961 q1</v>
      </c>
    </row>
    <row r="398" spans="1:3">
      <c r="A398" s="62">
        <v>22290</v>
      </c>
      <c r="B398">
        <v>0.27010000000000001</v>
      </c>
      <c r="C398" t="str">
        <f t="shared" si="10"/>
        <v>1961 q1</v>
      </c>
    </row>
    <row r="399" spans="1:3">
      <c r="A399" s="62">
        <v>22291</v>
      </c>
      <c r="B399">
        <v>0.26960000000000001</v>
      </c>
      <c r="C399" t="str">
        <f t="shared" si="10"/>
        <v>1961 q1</v>
      </c>
    </row>
    <row r="400" spans="1:3">
      <c r="A400" s="62">
        <v>22292</v>
      </c>
      <c r="B400">
        <v>0.26719999999999999</v>
      </c>
      <c r="C400" t="str">
        <f t="shared" si="10"/>
        <v>1961 q1</v>
      </c>
    </row>
    <row r="401" spans="1:3">
      <c r="A401" s="62">
        <v>22293</v>
      </c>
      <c r="B401">
        <v>0.26840000000000003</v>
      </c>
      <c r="C401" t="str">
        <f t="shared" si="10"/>
        <v>1961 q1</v>
      </c>
    </row>
    <row r="402" spans="1:3">
      <c r="A402" s="62">
        <v>22294</v>
      </c>
      <c r="B402">
        <v>0.2702</v>
      </c>
      <c r="C402" t="str">
        <f t="shared" ref="C402:C465" si="11">YEAR(A402)&amp;" q"&amp;ROUNDUP(MONTH(A402)/3,0)</f>
        <v>1961 q1</v>
      </c>
    </row>
    <row r="403" spans="1:3">
      <c r="A403" s="62">
        <v>22297</v>
      </c>
      <c r="B403">
        <v>0.26750000000000002</v>
      </c>
      <c r="C403" t="str">
        <f t="shared" si="11"/>
        <v>1961 q1</v>
      </c>
    </row>
    <row r="404" spans="1:3">
      <c r="A404" s="62">
        <v>22298</v>
      </c>
      <c r="B404">
        <v>0.27089999999999997</v>
      </c>
      <c r="C404" t="str">
        <f t="shared" si="11"/>
        <v>1961 q1</v>
      </c>
    </row>
    <row r="405" spans="1:3">
      <c r="A405" s="62">
        <v>22299</v>
      </c>
      <c r="B405">
        <v>0.27400000000000002</v>
      </c>
      <c r="C405" t="str">
        <f t="shared" si="11"/>
        <v>1961 q1</v>
      </c>
    </row>
    <row r="406" spans="1:3">
      <c r="A406" s="62">
        <v>22300</v>
      </c>
      <c r="B406">
        <v>0.2727</v>
      </c>
      <c r="C406" t="str">
        <f t="shared" si="11"/>
        <v>1961 q1</v>
      </c>
    </row>
    <row r="407" spans="1:3">
      <c r="A407" s="62">
        <v>22301</v>
      </c>
      <c r="B407">
        <v>0.27260000000000001</v>
      </c>
      <c r="C407" t="str">
        <f t="shared" si="11"/>
        <v>1961 q1</v>
      </c>
    </row>
    <row r="408" spans="1:3">
      <c r="A408" s="62">
        <v>22304</v>
      </c>
      <c r="B408">
        <v>0.27500000000000002</v>
      </c>
      <c r="C408" t="str">
        <f t="shared" si="11"/>
        <v>1961 q1</v>
      </c>
    </row>
    <row r="409" spans="1:3">
      <c r="A409" s="62">
        <v>22305</v>
      </c>
      <c r="B409">
        <v>0.2737</v>
      </c>
      <c r="C409" t="str">
        <f t="shared" si="11"/>
        <v>1961 q1</v>
      </c>
    </row>
    <row r="410" spans="1:3">
      <c r="A410" s="62">
        <v>22306</v>
      </c>
      <c r="B410">
        <v>0.27089999999999997</v>
      </c>
      <c r="C410" t="str">
        <f t="shared" si="11"/>
        <v>1961 q1</v>
      </c>
    </row>
    <row r="411" spans="1:3">
      <c r="A411" s="62">
        <v>22307</v>
      </c>
      <c r="B411">
        <v>0.27129999999999999</v>
      </c>
      <c r="C411" t="str">
        <f t="shared" si="11"/>
        <v>1961 q1</v>
      </c>
    </row>
    <row r="412" spans="1:3">
      <c r="A412" s="62">
        <v>22308</v>
      </c>
      <c r="B412">
        <v>0.27260000000000001</v>
      </c>
      <c r="C412" t="str">
        <f t="shared" si="11"/>
        <v>1961 q1</v>
      </c>
    </row>
    <row r="413" spans="1:3">
      <c r="A413" s="62">
        <v>22311</v>
      </c>
      <c r="B413">
        <v>0.2757</v>
      </c>
      <c r="C413" t="str">
        <f t="shared" si="11"/>
        <v>1961 q1</v>
      </c>
    </row>
    <row r="414" spans="1:3">
      <c r="A414" s="62">
        <v>22312</v>
      </c>
      <c r="B414">
        <v>0.27389999999999998</v>
      </c>
      <c r="C414" t="str">
        <f t="shared" si="11"/>
        <v>1961 q1</v>
      </c>
    </row>
    <row r="415" spans="1:3">
      <c r="A415" s="62">
        <v>22313</v>
      </c>
      <c r="B415">
        <v>0.27550000000000002</v>
      </c>
      <c r="C415" t="str">
        <f t="shared" si="11"/>
        <v>1961 q1</v>
      </c>
    </row>
    <row r="416" spans="1:3">
      <c r="A416" s="62">
        <v>22314</v>
      </c>
      <c r="B416">
        <v>0.27679999999999999</v>
      </c>
      <c r="C416" t="str">
        <f t="shared" si="11"/>
        <v>1961 q1</v>
      </c>
    </row>
    <row r="417" spans="1:3">
      <c r="A417" s="62">
        <v>22315</v>
      </c>
      <c r="B417">
        <v>0.27650000000000002</v>
      </c>
      <c r="C417" t="str">
        <f t="shared" si="11"/>
        <v>1961 q1</v>
      </c>
    </row>
    <row r="418" spans="1:3">
      <c r="A418" s="62">
        <v>22318</v>
      </c>
      <c r="B418">
        <v>0.27800000000000002</v>
      </c>
      <c r="C418" t="str">
        <f t="shared" si="11"/>
        <v>1961 q1</v>
      </c>
    </row>
    <row r="419" spans="1:3">
      <c r="A419" s="62">
        <v>22319</v>
      </c>
      <c r="B419">
        <v>0.27850000000000003</v>
      </c>
      <c r="C419" t="str">
        <f t="shared" si="11"/>
        <v>1961 q1</v>
      </c>
    </row>
    <row r="420" spans="1:3">
      <c r="A420" s="62">
        <v>22320</v>
      </c>
      <c r="B420">
        <v>0.2782</v>
      </c>
      <c r="C420" t="str">
        <f t="shared" si="11"/>
        <v>1961 q1</v>
      </c>
    </row>
    <row r="421" spans="1:3">
      <c r="A421" s="62">
        <v>22321</v>
      </c>
      <c r="B421">
        <v>0.27829999999999999</v>
      </c>
      <c r="C421" t="str">
        <f t="shared" si="11"/>
        <v>1961 q1</v>
      </c>
    </row>
    <row r="422" spans="1:3">
      <c r="A422" s="62">
        <v>22322</v>
      </c>
      <c r="B422">
        <v>0.27960000000000002</v>
      </c>
      <c r="C422" t="str">
        <f t="shared" si="11"/>
        <v>1961 q1</v>
      </c>
    </row>
    <row r="423" spans="1:3">
      <c r="A423" s="62">
        <v>22325</v>
      </c>
      <c r="B423">
        <v>0.28079999999999999</v>
      </c>
      <c r="C423" t="str">
        <f t="shared" si="11"/>
        <v>1961 q1</v>
      </c>
    </row>
    <row r="424" spans="1:3">
      <c r="A424" s="62">
        <v>22326</v>
      </c>
      <c r="B424">
        <v>0.2828</v>
      </c>
      <c r="C424" t="str">
        <f t="shared" si="11"/>
        <v>1961 q1</v>
      </c>
    </row>
    <row r="425" spans="1:3">
      <c r="A425" s="62">
        <v>22327</v>
      </c>
      <c r="B425">
        <v>0.28360000000000002</v>
      </c>
      <c r="C425" t="str">
        <f t="shared" si="11"/>
        <v>1961 q1</v>
      </c>
    </row>
    <row r="426" spans="1:3">
      <c r="A426" s="62">
        <v>22328</v>
      </c>
      <c r="B426">
        <v>0.28210000000000002</v>
      </c>
      <c r="C426" t="str">
        <f t="shared" si="11"/>
        <v>1961 q1</v>
      </c>
    </row>
    <row r="427" spans="1:3">
      <c r="A427" s="62">
        <v>22329</v>
      </c>
      <c r="B427">
        <v>0.28449999999999998</v>
      </c>
      <c r="C427" t="str">
        <f t="shared" si="11"/>
        <v>1961 q1</v>
      </c>
    </row>
    <row r="428" spans="1:3">
      <c r="A428" s="62">
        <v>22332</v>
      </c>
      <c r="B428">
        <v>0.2868</v>
      </c>
      <c r="C428" t="str">
        <f t="shared" si="11"/>
        <v>1961 q1</v>
      </c>
    </row>
    <row r="429" spans="1:3">
      <c r="A429" s="62">
        <v>22333</v>
      </c>
      <c r="B429">
        <v>0.28739999999999999</v>
      </c>
      <c r="C429" t="str">
        <f t="shared" si="11"/>
        <v>1961 q1</v>
      </c>
    </row>
    <row r="430" spans="1:3">
      <c r="A430" s="62">
        <v>22335</v>
      </c>
      <c r="B430">
        <v>0.28789999999999999</v>
      </c>
      <c r="C430" t="str">
        <f t="shared" si="11"/>
        <v>1961 q1</v>
      </c>
    </row>
    <row r="431" spans="1:3">
      <c r="A431" s="62">
        <v>22336</v>
      </c>
      <c r="B431">
        <v>0.29060000000000002</v>
      </c>
      <c r="C431" t="str">
        <f t="shared" si="11"/>
        <v>1961 q1</v>
      </c>
    </row>
    <row r="432" spans="1:3">
      <c r="A432" s="62">
        <v>22339</v>
      </c>
      <c r="B432">
        <v>0.28739999999999999</v>
      </c>
      <c r="C432" t="str">
        <f t="shared" si="11"/>
        <v>1961 q1</v>
      </c>
    </row>
    <row r="433" spans="1:3">
      <c r="A433" s="62">
        <v>22340</v>
      </c>
      <c r="B433">
        <v>0.28660000000000002</v>
      </c>
      <c r="C433" t="str">
        <f t="shared" si="11"/>
        <v>1961 q1</v>
      </c>
    </row>
    <row r="434" spans="1:3">
      <c r="A434" s="62">
        <v>22341</v>
      </c>
      <c r="B434">
        <v>0.28470000000000001</v>
      </c>
      <c r="C434" t="str">
        <f t="shared" si="11"/>
        <v>1961 q1</v>
      </c>
    </row>
    <row r="435" spans="1:3">
      <c r="A435" s="62">
        <v>22342</v>
      </c>
      <c r="B435">
        <v>0.2868</v>
      </c>
      <c r="C435" t="str">
        <f t="shared" si="11"/>
        <v>1961 q1</v>
      </c>
    </row>
    <row r="436" spans="1:3">
      <c r="A436" s="62">
        <v>22343</v>
      </c>
      <c r="B436">
        <v>0.28599999999999998</v>
      </c>
      <c r="C436" t="str">
        <f t="shared" si="11"/>
        <v>1961 q1</v>
      </c>
    </row>
    <row r="437" spans="1:3">
      <c r="A437" s="62">
        <v>22346</v>
      </c>
      <c r="B437">
        <v>0.2878</v>
      </c>
      <c r="C437" t="str">
        <f t="shared" si="11"/>
        <v>1961 q1</v>
      </c>
    </row>
    <row r="438" spans="1:3">
      <c r="A438" s="62">
        <v>22347</v>
      </c>
      <c r="B438">
        <v>0.28689999999999999</v>
      </c>
      <c r="C438" t="str">
        <f t="shared" si="11"/>
        <v>1961 q1</v>
      </c>
    </row>
    <row r="439" spans="1:3">
      <c r="A439" s="62">
        <v>22348</v>
      </c>
      <c r="B439">
        <v>0.28610000000000002</v>
      </c>
      <c r="C439" t="str">
        <f t="shared" si="11"/>
        <v>1961 q1</v>
      </c>
    </row>
    <row r="440" spans="1:3">
      <c r="A440" s="62">
        <v>22349</v>
      </c>
      <c r="B440">
        <v>0.28420000000000001</v>
      </c>
      <c r="C440" t="str">
        <f t="shared" si="11"/>
        <v>1961 q1</v>
      </c>
    </row>
    <row r="441" spans="1:3">
      <c r="A441" s="62">
        <v>22350</v>
      </c>
      <c r="B441">
        <v>0.28399999999999997</v>
      </c>
      <c r="C441" t="str">
        <f t="shared" si="11"/>
        <v>1961 q1</v>
      </c>
    </row>
    <row r="442" spans="1:3">
      <c r="A442" s="62">
        <v>22353</v>
      </c>
      <c r="B442">
        <v>0.28370000000000001</v>
      </c>
      <c r="C442" t="str">
        <f t="shared" si="11"/>
        <v>1961 q1</v>
      </c>
    </row>
    <row r="443" spans="1:3">
      <c r="A443" s="62">
        <v>22354</v>
      </c>
      <c r="B443">
        <v>0.28439999999999999</v>
      </c>
      <c r="C443" t="str">
        <f t="shared" si="11"/>
        <v>1961 q1</v>
      </c>
    </row>
    <row r="444" spans="1:3">
      <c r="A444" s="62">
        <v>22355</v>
      </c>
      <c r="B444">
        <v>0.28549999999999998</v>
      </c>
      <c r="C444" t="str">
        <f t="shared" si="11"/>
        <v>1961 q1</v>
      </c>
    </row>
    <row r="445" spans="1:3">
      <c r="A445" s="62">
        <v>22356</v>
      </c>
      <c r="B445">
        <v>0.28599999999999998</v>
      </c>
      <c r="C445" t="str">
        <f t="shared" si="11"/>
        <v>1961 q1</v>
      </c>
    </row>
    <row r="446" spans="1:3">
      <c r="A446" s="62">
        <v>22357</v>
      </c>
      <c r="B446">
        <v>0.2908</v>
      </c>
      <c r="C446" t="str">
        <f t="shared" si="11"/>
        <v>1961 q1</v>
      </c>
    </row>
    <row r="447" spans="1:3">
      <c r="A447" s="62">
        <v>22360</v>
      </c>
      <c r="B447">
        <v>0.28999999999999998</v>
      </c>
      <c r="C447" t="str">
        <f t="shared" si="11"/>
        <v>1961 q1</v>
      </c>
    </row>
    <row r="448" spans="1:3">
      <c r="A448" s="62">
        <v>22361</v>
      </c>
      <c r="B448">
        <v>0.28849999999999998</v>
      </c>
      <c r="C448" t="str">
        <f t="shared" si="11"/>
        <v>1961 q1</v>
      </c>
    </row>
    <row r="449" spans="1:3">
      <c r="A449" s="62">
        <v>22362</v>
      </c>
      <c r="B449">
        <v>0.28799999999999998</v>
      </c>
      <c r="C449" t="str">
        <f t="shared" si="11"/>
        <v>1961 q1</v>
      </c>
    </row>
    <row r="450" spans="1:3">
      <c r="A450" s="62">
        <v>22363</v>
      </c>
      <c r="B450">
        <v>0.2893</v>
      </c>
      <c r="C450" t="str">
        <f t="shared" si="11"/>
        <v>1961 q1</v>
      </c>
    </row>
    <row r="451" spans="1:3">
      <c r="A451" s="62">
        <v>22364</v>
      </c>
      <c r="B451">
        <v>0.28920000000000001</v>
      </c>
      <c r="C451" t="str">
        <f t="shared" si="11"/>
        <v>1961 q1</v>
      </c>
    </row>
    <row r="452" spans="1:3">
      <c r="A452" s="62">
        <v>22367</v>
      </c>
      <c r="B452">
        <v>0.28420000000000001</v>
      </c>
      <c r="C452" t="str">
        <f t="shared" si="11"/>
        <v>1961 q1</v>
      </c>
    </row>
    <row r="453" spans="1:3">
      <c r="A453" s="62">
        <v>22368</v>
      </c>
      <c r="B453">
        <v>0.28499999999999998</v>
      </c>
      <c r="C453" t="str">
        <f t="shared" si="11"/>
        <v>1961 q1</v>
      </c>
    </row>
    <row r="454" spans="1:3">
      <c r="A454" s="62">
        <v>22369</v>
      </c>
      <c r="B454">
        <v>0.28499999999999998</v>
      </c>
      <c r="C454" t="str">
        <f t="shared" si="11"/>
        <v>1961 q1</v>
      </c>
    </row>
    <row r="455" spans="1:3">
      <c r="A455" s="62">
        <v>22370</v>
      </c>
      <c r="B455">
        <v>0.28570000000000001</v>
      </c>
      <c r="C455" t="str">
        <f t="shared" si="11"/>
        <v>1961 q1</v>
      </c>
    </row>
    <row r="456" spans="1:3">
      <c r="A456" s="62">
        <v>22374</v>
      </c>
      <c r="B456">
        <v>0.2853</v>
      </c>
      <c r="C456" t="str">
        <f t="shared" si="11"/>
        <v>1961 q2</v>
      </c>
    </row>
    <row r="457" spans="1:3">
      <c r="A457" s="62">
        <v>22375</v>
      </c>
      <c r="B457">
        <v>0.28749999999999998</v>
      </c>
      <c r="C457" t="str">
        <f t="shared" si="11"/>
        <v>1961 q2</v>
      </c>
    </row>
    <row r="458" spans="1:3">
      <c r="A458" s="62">
        <v>22376</v>
      </c>
      <c r="B458">
        <v>0.28749999999999998</v>
      </c>
      <c r="C458" t="str">
        <f t="shared" si="11"/>
        <v>1961 q2</v>
      </c>
    </row>
    <row r="459" spans="1:3">
      <c r="A459" s="62">
        <v>22377</v>
      </c>
      <c r="B459">
        <v>0.28999999999999998</v>
      </c>
      <c r="C459" t="str">
        <f t="shared" si="11"/>
        <v>1961 q2</v>
      </c>
    </row>
    <row r="460" spans="1:3">
      <c r="A460" s="62">
        <v>22378</v>
      </c>
      <c r="B460">
        <v>0.2928</v>
      </c>
      <c r="C460" t="str">
        <f t="shared" si="11"/>
        <v>1961 q2</v>
      </c>
    </row>
    <row r="461" spans="1:3">
      <c r="A461" s="62">
        <v>22381</v>
      </c>
      <c r="B461">
        <v>0.29430000000000001</v>
      </c>
      <c r="C461" t="str">
        <f t="shared" si="11"/>
        <v>1961 q2</v>
      </c>
    </row>
    <row r="462" spans="1:3">
      <c r="A462" s="62">
        <v>22382</v>
      </c>
      <c r="B462">
        <v>0.29509999999999997</v>
      </c>
      <c r="C462" t="str">
        <f t="shared" si="11"/>
        <v>1961 q2</v>
      </c>
    </row>
    <row r="463" spans="1:3">
      <c r="A463" s="62">
        <v>22383</v>
      </c>
      <c r="B463">
        <v>0.29849999999999999</v>
      </c>
      <c r="C463" t="str">
        <f t="shared" si="11"/>
        <v>1961 q2</v>
      </c>
    </row>
    <row r="464" spans="1:3">
      <c r="A464" s="62">
        <v>22384</v>
      </c>
      <c r="B464">
        <v>0.29770000000000002</v>
      </c>
      <c r="C464" t="str">
        <f t="shared" si="11"/>
        <v>1961 q2</v>
      </c>
    </row>
    <row r="465" spans="1:3">
      <c r="A465" s="62">
        <v>22385</v>
      </c>
      <c r="B465">
        <v>0.29570000000000002</v>
      </c>
      <c r="C465" t="str">
        <f t="shared" si="11"/>
        <v>1961 q2</v>
      </c>
    </row>
    <row r="466" spans="1:3">
      <c r="A466" s="62">
        <v>22388</v>
      </c>
      <c r="B466">
        <v>0.29709999999999998</v>
      </c>
      <c r="C466" t="str">
        <f t="shared" ref="C466:C529" si="12">YEAR(A466)&amp;" q"&amp;ROUNDUP(MONTH(A466)/3,0)</f>
        <v>1961 q2</v>
      </c>
    </row>
    <row r="467" spans="1:3">
      <c r="A467" s="62">
        <v>22389</v>
      </c>
      <c r="B467">
        <v>0.29880000000000001</v>
      </c>
      <c r="C467" t="str">
        <f t="shared" si="12"/>
        <v>1961 q2</v>
      </c>
    </row>
    <row r="468" spans="1:3">
      <c r="A468" s="62">
        <v>22390</v>
      </c>
      <c r="B468">
        <v>0.2944</v>
      </c>
      <c r="C468" t="str">
        <f t="shared" si="12"/>
        <v>1961 q2</v>
      </c>
    </row>
    <row r="469" spans="1:3">
      <c r="A469" s="62">
        <v>22391</v>
      </c>
      <c r="B469">
        <v>0.29659999999999997</v>
      </c>
      <c r="C469" t="str">
        <f t="shared" si="12"/>
        <v>1961 q2</v>
      </c>
    </row>
    <row r="470" spans="1:3">
      <c r="A470" s="62">
        <v>22392</v>
      </c>
      <c r="B470">
        <v>0.29699999999999999</v>
      </c>
      <c r="C470" t="str">
        <f t="shared" si="12"/>
        <v>1961 q2</v>
      </c>
    </row>
    <row r="471" spans="1:3">
      <c r="A471" s="62">
        <v>22395</v>
      </c>
      <c r="B471">
        <v>0.29880000000000001</v>
      </c>
      <c r="C471" t="str">
        <f t="shared" si="12"/>
        <v>1961 q2</v>
      </c>
    </row>
    <row r="472" spans="1:3">
      <c r="A472" s="62">
        <v>22396</v>
      </c>
      <c r="B472">
        <v>0.29870000000000002</v>
      </c>
      <c r="C472" t="str">
        <f t="shared" si="12"/>
        <v>1961 q2</v>
      </c>
    </row>
    <row r="473" spans="1:3">
      <c r="A473" s="62">
        <v>22397</v>
      </c>
      <c r="B473">
        <v>0.30099999999999999</v>
      </c>
      <c r="C473" t="str">
        <f t="shared" si="12"/>
        <v>1961 q2</v>
      </c>
    </row>
    <row r="474" spans="1:3">
      <c r="A474" s="62">
        <v>22398</v>
      </c>
      <c r="B474">
        <v>0.30570000000000003</v>
      </c>
      <c r="C474" t="str">
        <f t="shared" si="12"/>
        <v>1961 q2</v>
      </c>
    </row>
    <row r="475" spans="1:3">
      <c r="A475" s="62">
        <v>22399</v>
      </c>
      <c r="B475">
        <v>0.30380000000000001</v>
      </c>
      <c r="C475" t="str">
        <f t="shared" si="12"/>
        <v>1961 q2</v>
      </c>
    </row>
    <row r="476" spans="1:3">
      <c r="A476" s="62">
        <v>22402</v>
      </c>
      <c r="B476">
        <v>0.30599999999999999</v>
      </c>
      <c r="C476" t="str">
        <f t="shared" si="12"/>
        <v>1961 q2</v>
      </c>
    </row>
    <row r="477" spans="1:3">
      <c r="A477" s="62">
        <v>22403</v>
      </c>
      <c r="B477">
        <v>0.30640000000000001</v>
      </c>
      <c r="C477" t="str">
        <f t="shared" si="12"/>
        <v>1961 q2</v>
      </c>
    </row>
    <row r="478" spans="1:3">
      <c r="A478" s="62">
        <v>22404</v>
      </c>
      <c r="B478">
        <v>0.30940000000000001</v>
      </c>
      <c r="C478" t="str">
        <f t="shared" si="12"/>
        <v>1961 q2</v>
      </c>
    </row>
    <row r="479" spans="1:3">
      <c r="A479" s="62">
        <v>22405</v>
      </c>
      <c r="B479">
        <v>0.30819999999999997</v>
      </c>
      <c r="C479" t="str">
        <f t="shared" si="12"/>
        <v>1961 q2</v>
      </c>
    </row>
    <row r="480" spans="1:3">
      <c r="A480" s="62">
        <v>22406</v>
      </c>
      <c r="B480">
        <v>0.31219999999999998</v>
      </c>
      <c r="C480" t="str">
        <f t="shared" si="12"/>
        <v>1961 q2</v>
      </c>
    </row>
    <row r="481" spans="1:3">
      <c r="A481" s="62">
        <v>22409</v>
      </c>
      <c r="B481">
        <v>0.3125</v>
      </c>
      <c r="C481" t="str">
        <f t="shared" si="12"/>
        <v>1961 q2</v>
      </c>
    </row>
    <row r="482" spans="1:3">
      <c r="A482" s="62">
        <v>22410</v>
      </c>
      <c r="B482">
        <v>0.312</v>
      </c>
      <c r="C482" t="str">
        <f t="shared" si="12"/>
        <v>1961 q2</v>
      </c>
    </row>
    <row r="483" spans="1:3">
      <c r="A483" s="62">
        <v>22411</v>
      </c>
      <c r="B483">
        <v>0.31280000000000002</v>
      </c>
      <c r="C483" t="str">
        <f t="shared" si="12"/>
        <v>1961 q2</v>
      </c>
    </row>
    <row r="484" spans="1:3">
      <c r="A484" s="62">
        <v>22412</v>
      </c>
      <c r="B484">
        <v>0.3115</v>
      </c>
      <c r="C484" t="str">
        <f t="shared" si="12"/>
        <v>1961 q2</v>
      </c>
    </row>
    <row r="485" spans="1:3">
      <c r="A485" s="62">
        <v>22413</v>
      </c>
      <c r="B485">
        <v>0.3135</v>
      </c>
      <c r="C485" t="str">
        <f t="shared" si="12"/>
        <v>1961 q2</v>
      </c>
    </row>
    <row r="486" spans="1:3">
      <c r="A486" s="62">
        <v>22416</v>
      </c>
      <c r="B486">
        <v>0.31730000000000003</v>
      </c>
      <c r="C486" t="str">
        <f t="shared" si="12"/>
        <v>1961 q2</v>
      </c>
    </row>
    <row r="487" spans="1:3">
      <c r="A487" s="62">
        <v>22417</v>
      </c>
      <c r="B487">
        <v>0.31979999999999997</v>
      </c>
      <c r="C487" t="str">
        <f t="shared" si="12"/>
        <v>1961 q2</v>
      </c>
    </row>
    <row r="488" spans="1:3">
      <c r="A488" s="62">
        <v>22418</v>
      </c>
      <c r="B488">
        <v>0.31890000000000002</v>
      </c>
      <c r="C488" t="str">
        <f t="shared" si="12"/>
        <v>1961 q2</v>
      </c>
    </row>
    <row r="489" spans="1:3">
      <c r="A489" s="62">
        <v>22419</v>
      </c>
      <c r="B489">
        <v>0.31900000000000001</v>
      </c>
      <c r="C489" t="str">
        <f t="shared" si="12"/>
        <v>1961 q2</v>
      </c>
    </row>
    <row r="490" spans="1:3">
      <c r="A490" s="62">
        <v>22420</v>
      </c>
      <c r="B490">
        <v>0.32100000000000001</v>
      </c>
      <c r="C490" t="str">
        <f t="shared" si="12"/>
        <v>1961 q2</v>
      </c>
    </row>
    <row r="491" spans="1:3">
      <c r="A491" s="62">
        <v>22423</v>
      </c>
      <c r="B491">
        <v>0.32569999999999999</v>
      </c>
      <c r="C491" t="str">
        <f t="shared" si="12"/>
        <v>1961 q2</v>
      </c>
    </row>
    <row r="492" spans="1:3">
      <c r="A492" s="62">
        <v>22424</v>
      </c>
      <c r="B492">
        <v>0.32550000000000001</v>
      </c>
      <c r="C492" t="str">
        <f t="shared" si="12"/>
        <v>1961 q2</v>
      </c>
    </row>
    <row r="493" spans="1:3">
      <c r="A493" s="62">
        <v>22425</v>
      </c>
      <c r="B493">
        <v>0.3276</v>
      </c>
      <c r="C493" t="str">
        <f t="shared" si="12"/>
        <v>1961 q2</v>
      </c>
    </row>
    <row r="494" spans="1:3">
      <c r="A494" s="62">
        <v>22426</v>
      </c>
      <c r="B494">
        <v>0.32069999999999999</v>
      </c>
      <c r="C494" t="str">
        <f t="shared" si="12"/>
        <v>1961 q2</v>
      </c>
    </row>
    <row r="495" spans="1:3">
      <c r="A495" s="62">
        <v>22427</v>
      </c>
      <c r="B495">
        <v>0.32269999999999999</v>
      </c>
      <c r="C495" t="str">
        <f t="shared" si="12"/>
        <v>1961 q2</v>
      </c>
    </row>
    <row r="496" spans="1:3">
      <c r="A496" s="62">
        <v>22432</v>
      </c>
      <c r="B496">
        <v>0.31780000000000003</v>
      </c>
      <c r="C496" t="str">
        <f t="shared" si="12"/>
        <v>1961 q2</v>
      </c>
    </row>
    <row r="497" spans="1:3">
      <c r="A497" s="62">
        <v>22433</v>
      </c>
      <c r="B497">
        <v>0.31459999999999999</v>
      </c>
      <c r="C497" t="str">
        <f t="shared" si="12"/>
        <v>1961 q2</v>
      </c>
    </row>
    <row r="498" spans="1:3">
      <c r="A498" s="62">
        <v>22434</v>
      </c>
      <c r="B498">
        <v>0.31640000000000001</v>
      </c>
      <c r="C498" t="str">
        <f t="shared" si="12"/>
        <v>1961 q2</v>
      </c>
    </row>
    <row r="499" spans="1:3">
      <c r="A499" s="62">
        <v>22437</v>
      </c>
      <c r="B499">
        <v>0.31269999999999998</v>
      </c>
      <c r="C499" t="str">
        <f t="shared" si="12"/>
        <v>1961 q2</v>
      </c>
    </row>
    <row r="500" spans="1:3">
      <c r="A500" s="62">
        <v>22438</v>
      </c>
      <c r="B500">
        <v>0.31069999999999998</v>
      </c>
      <c r="C500" t="str">
        <f t="shared" si="12"/>
        <v>1961 q2</v>
      </c>
    </row>
    <row r="501" spans="1:3">
      <c r="A501" s="62">
        <v>22439</v>
      </c>
      <c r="B501">
        <v>0.30640000000000001</v>
      </c>
      <c r="C501" t="str">
        <f t="shared" si="12"/>
        <v>1961 q2</v>
      </c>
    </row>
    <row r="502" spans="1:3">
      <c r="A502" s="62">
        <v>22440</v>
      </c>
      <c r="B502">
        <v>0.3085</v>
      </c>
      <c r="C502" t="str">
        <f t="shared" si="12"/>
        <v>1961 q2</v>
      </c>
    </row>
    <row r="503" spans="1:3">
      <c r="A503" s="62">
        <v>22441</v>
      </c>
      <c r="B503">
        <v>0.3105</v>
      </c>
      <c r="C503" t="str">
        <f t="shared" si="12"/>
        <v>1961 q2</v>
      </c>
    </row>
    <row r="504" spans="1:3">
      <c r="A504" s="62">
        <v>22444</v>
      </c>
      <c r="B504">
        <v>0.30509999999999998</v>
      </c>
      <c r="C504" t="str">
        <f t="shared" si="12"/>
        <v>1961 q2</v>
      </c>
    </row>
    <row r="505" spans="1:3">
      <c r="A505" s="62">
        <v>22445</v>
      </c>
      <c r="B505">
        <v>0.30480000000000002</v>
      </c>
      <c r="C505" t="str">
        <f t="shared" si="12"/>
        <v>1961 q2</v>
      </c>
    </row>
    <row r="506" spans="1:3">
      <c r="A506" s="62">
        <v>22446</v>
      </c>
      <c r="B506">
        <v>0.30409999999999998</v>
      </c>
      <c r="C506" t="str">
        <f t="shared" si="12"/>
        <v>1961 q2</v>
      </c>
    </row>
    <row r="507" spans="1:3">
      <c r="A507" s="62">
        <v>22447</v>
      </c>
      <c r="B507">
        <v>0.30180000000000001</v>
      </c>
      <c r="C507" t="str">
        <f t="shared" si="12"/>
        <v>1961 q2</v>
      </c>
    </row>
    <row r="508" spans="1:3">
      <c r="A508" s="62">
        <v>22448</v>
      </c>
      <c r="B508">
        <v>0.29820000000000002</v>
      </c>
      <c r="C508" t="str">
        <f t="shared" si="12"/>
        <v>1961 q2</v>
      </c>
    </row>
    <row r="509" spans="1:3">
      <c r="A509" s="62">
        <v>22451</v>
      </c>
      <c r="B509">
        <v>0.29699999999999999</v>
      </c>
      <c r="C509" t="str">
        <f t="shared" si="12"/>
        <v>1961 q2</v>
      </c>
    </row>
    <row r="510" spans="1:3">
      <c r="A510" s="62">
        <v>22452</v>
      </c>
      <c r="B510">
        <v>0.3014</v>
      </c>
      <c r="C510" t="str">
        <f t="shared" si="12"/>
        <v>1961 q2</v>
      </c>
    </row>
    <row r="511" spans="1:3">
      <c r="A511" s="62">
        <v>22453</v>
      </c>
      <c r="B511">
        <v>0.30470000000000003</v>
      </c>
      <c r="C511" t="str">
        <f t="shared" si="12"/>
        <v>1961 q2</v>
      </c>
    </row>
    <row r="512" spans="1:3">
      <c r="A512" s="62">
        <v>22454</v>
      </c>
      <c r="B512">
        <v>0.30470000000000003</v>
      </c>
      <c r="C512" t="str">
        <f t="shared" si="12"/>
        <v>1961 q2</v>
      </c>
    </row>
    <row r="513" spans="1:3">
      <c r="A513" s="62">
        <v>22455</v>
      </c>
      <c r="B513">
        <v>0.30520000000000003</v>
      </c>
      <c r="C513" t="str">
        <f t="shared" si="12"/>
        <v>1961 q2</v>
      </c>
    </row>
    <row r="514" spans="1:3">
      <c r="A514" s="62">
        <v>22458</v>
      </c>
      <c r="B514">
        <v>0.30480000000000002</v>
      </c>
      <c r="C514" t="str">
        <f t="shared" si="12"/>
        <v>1961 q2</v>
      </c>
    </row>
    <row r="515" spans="1:3">
      <c r="A515" s="62">
        <v>22459</v>
      </c>
      <c r="B515">
        <v>0.30570000000000003</v>
      </c>
      <c r="C515" t="str">
        <f t="shared" si="12"/>
        <v>1961 q2</v>
      </c>
    </row>
    <row r="516" spans="1:3">
      <c r="A516" s="62">
        <v>22460</v>
      </c>
      <c r="B516">
        <v>0.31019999999999998</v>
      </c>
      <c r="C516" t="str">
        <f t="shared" si="12"/>
        <v>1961 q2</v>
      </c>
    </row>
    <row r="517" spans="1:3">
      <c r="A517" s="62">
        <v>22461</v>
      </c>
      <c r="B517">
        <v>0.30780000000000002</v>
      </c>
      <c r="C517" t="str">
        <f t="shared" si="12"/>
        <v>1961 q2</v>
      </c>
    </row>
    <row r="518" spans="1:3">
      <c r="A518" s="62">
        <v>22462</v>
      </c>
      <c r="B518">
        <v>0.30649999999999999</v>
      </c>
      <c r="C518" t="str">
        <f t="shared" si="12"/>
        <v>1961 q2</v>
      </c>
    </row>
    <row r="519" spans="1:3">
      <c r="A519" s="62">
        <v>22465</v>
      </c>
      <c r="B519">
        <v>0.30070000000000002</v>
      </c>
      <c r="C519" t="str">
        <f t="shared" si="12"/>
        <v>1961 q3</v>
      </c>
    </row>
    <row r="520" spans="1:3">
      <c r="A520" s="62">
        <v>22467</v>
      </c>
      <c r="B520">
        <v>0.30230000000000001</v>
      </c>
      <c r="C520" t="str">
        <f t="shared" si="12"/>
        <v>1961 q3</v>
      </c>
    </row>
    <row r="521" spans="1:3">
      <c r="A521" s="62">
        <v>22468</v>
      </c>
      <c r="B521">
        <v>0.2994</v>
      </c>
      <c r="C521" t="str">
        <f t="shared" si="12"/>
        <v>1961 q3</v>
      </c>
    </row>
    <row r="522" spans="1:3">
      <c r="A522" s="62">
        <v>22469</v>
      </c>
      <c r="B522">
        <v>0.30230000000000001</v>
      </c>
      <c r="C522" t="str">
        <f t="shared" si="12"/>
        <v>1961 q3</v>
      </c>
    </row>
    <row r="523" spans="1:3">
      <c r="A523" s="62">
        <v>22472</v>
      </c>
      <c r="B523">
        <v>0.30249999999999999</v>
      </c>
      <c r="C523" t="str">
        <f t="shared" si="12"/>
        <v>1961 q3</v>
      </c>
    </row>
    <row r="524" spans="1:3">
      <c r="A524" s="62">
        <v>22473</v>
      </c>
      <c r="B524">
        <v>0.3034</v>
      </c>
      <c r="C524" t="str">
        <f t="shared" si="12"/>
        <v>1961 q3</v>
      </c>
    </row>
    <row r="525" spans="1:3">
      <c r="A525" s="62">
        <v>22474</v>
      </c>
      <c r="B525">
        <v>0.30209999999999998</v>
      </c>
      <c r="C525" t="str">
        <f t="shared" si="12"/>
        <v>1961 q3</v>
      </c>
    </row>
    <row r="526" spans="1:3">
      <c r="A526" s="62">
        <v>22475</v>
      </c>
      <c r="B526">
        <v>0.30230000000000001</v>
      </c>
      <c r="C526" t="str">
        <f t="shared" si="12"/>
        <v>1961 q3</v>
      </c>
    </row>
    <row r="527" spans="1:3">
      <c r="A527" s="62">
        <v>22476</v>
      </c>
      <c r="B527">
        <v>0.30249999999999999</v>
      </c>
      <c r="C527" t="str">
        <f t="shared" si="12"/>
        <v>1961 q3</v>
      </c>
    </row>
    <row r="528" spans="1:3">
      <c r="A528" s="62">
        <v>22479</v>
      </c>
      <c r="B528">
        <v>0.3044</v>
      </c>
      <c r="C528" t="str">
        <f t="shared" si="12"/>
        <v>1961 q3</v>
      </c>
    </row>
    <row r="529" spans="1:3">
      <c r="A529" s="62">
        <v>22480</v>
      </c>
      <c r="B529">
        <v>0.30249999999999999</v>
      </c>
      <c r="C529" t="str">
        <f t="shared" si="12"/>
        <v>1961 q3</v>
      </c>
    </row>
    <row r="530" spans="1:3">
      <c r="A530" s="62">
        <v>22481</v>
      </c>
      <c r="B530">
        <v>0.30180000000000001</v>
      </c>
      <c r="C530" t="str">
        <f t="shared" ref="C530:C593" si="13">YEAR(A530)&amp;" q"&amp;ROUNDUP(MONTH(A530)/3,0)</f>
        <v>1961 q3</v>
      </c>
    </row>
    <row r="531" spans="1:3">
      <c r="A531" s="62">
        <v>22482</v>
      </c>
      <c r="B531">
        <v>0.30499999999999999</v>
      </c>
      <c r="C531" t="str">
        <f t="shared" si="13"/>
        <v>1961 q3</v>
      </c>
    </row>
    <row r="532" spans="1:3">
      <c r="A532" s="62">
        <v>22483</v>
      </c>
      <c r="B532">
        <v>0.30649999999999999</v>
      </c>
      <c r="C532" t="str">
        <f t="shared" si="13"/>
        <v>1961 q3</v>
      </c>
    </row>
    <row r="533" spans="1:3">
      <c r="A533" s="62">
        <v>22486</v>
      </c>
      <c r="B533">
        <v>0.307</v>
      </c>
      <c r="C533" t="str">
        <f t="shared" si="13"/>
        <v>1961 q3</v>
      </c>
    </row>
    <row r="534" spans="1:3">
      <c r="A534" s="62">
        <v>22487</v>
      </c>
      <c r="B534">
        <v>0.3049</v>
      </c>
      <c r="C534" t="str">
        <f t="shared" si="13"/>
        <v>1961 q3</v>
      </c>
    </row>
    <row r="535" spans="1:3">
      <c r="A535" s="62">
        <v>22488</v>
      </c>
      <c r="B535">
        <v>0.30549999999999999</v>
      </c>
      <c r="C535" t="str">
        <f t="shared" si="13"/>
        <v>1961 q3</v>
      </c>
    </row>
    <row r="536" spans="1:3">
      <c r="A536" s="62">
        <v>22489</v>
      </c>
      <c r="B536">
        <v>0.30570000000000003</v>
      </c>
      <c r="C536" t="str">
        <f t="shared" si="13"/>
        <v>1961 q3</v>
      </c>
    </row>
    <row r="537" spans="1:3">
      <c r="A537" s="62">
        <v>22490</v>
      </c>
      <c r="B537">
        <v>0.30640000000000001</v>
      </c>
      <c r="C537" t="str">
        <f t="shared" si="13"/>
        <v>1961 q3</v>
      </c>
    </row>
    <row r="538" spans="1:3">
      <c r="A538" s="62">
        <v>22493</v>
      </c>
      <c r="B538">
        <v>0.30769999999999997</v>
      </c>
      <c r="C538" t="str">
        <f t="shared" si="13"/>
        <v>1961 q3</v>
      </c>
    </row>
    <row r="539" spans="1:3">
      <c r="A539" s="62">
        <v>22494</v>
      </c>
      <c r="B539">
        <v>0.30370000000000003</v>
      </c>
      <c r="C539" t="str">
        <f t="shared" si="13"/>
        <v>1961 q3</v>
      </c>
    </row>
    <row r="540" spans="1:3">
      <c r="A540" s="62">
        <v>22495</v>
      </c>
      <c r="B540">
        <v>0.30370000000000003</v>
      </c>
      <c r="C540" t="str">
        <f t="shared" si="13"/>
        <v>1961 q3</v>
      </c>
    </row>
    <row r="541" spans="1:3">
      <c r="A541" s="62">
        <v>22496</v>
      </c>
      <c r="B541">
        <v>0.30270000000000002</v>
      </c>
      <c r="C541" t="str">
        <f t="shared" si="13"/>
        <v>1961 q3</v>
      </c>
    </row>
    <row r="542" spans="1:3">
      <c r="A542" s="62">
        <v>22497</v>
      </c>
      <c r="B542">
        <v>0.30399999999999999</v>
      </c>
      <c r="C542" t="str">
        <f t="shared" si="13"/>
        <v>1961 q3</v>
      </c>
    </row>
    <row r="543" spans="1:3">
      <c r="A543" s="62">
        <v>22500</v>
      </c>
      <c r="B543">
        <v>0.30630000000000002</v>
      </c>
      <c r="C543" t="str">
        <f t="shared" si="13"/>
        <v>1961 q3</v>
      </c>
    </row>
    <row r="544" spans="1:3">
      <c r="A544" s="62">
        <v>22501</v>
      </c>
      <c r="B544">
        <v>0.30559999999999998</v>
      </c>
      <c r="C544" t="str">
        <f t="shared" si="13"/>
        <v>1961 q3</v>
      </c>
    </row>
    <row r="545" spans="1:3">
      <c r="A545" s="62">
        <v>22502</v>
      </c>
      <c r="B545">
        <v>0.30559999999999998</v>
      </c>
      <c r="C545" t="str">
        <f t="shared" si="13"/>
        <v>1961 q3</v>
      </c>
    </row>
    <row r="546" spans="1:3">
      <c r="A546" s="62">
        <v>22503</v>
      </c>
      <c r="B546">
        <v>0.30470000000000003</v>
      </c>
      <c r="C546" t="str">
        <f t="shared" si="13"/>
        <v>1961 q3</v>
      </c>
    </row>
    <row r="547" spans="1:3">
      <c r="A547" s="62">
        <v>22504</v>
      </c>
      <c r="B547">
        <v>0.30620000000000003</v>
      </c>
      <c r="C547" t="str">
        <f t="shared" si="13"/>
        <v>1961 q3</v>
      </c>
    </row>
    <row r="548" spans="1:3">
      <c r="A548" s="62">
        <v>22507</v>
      </c>
      <c r="B548">
        <v>0.30599999999999999</v>
      </c>
      <c r="C548" t="str">
        <f t="shared" si="13"/>
        <v>1961 q3</v>
      </c>
    </row>
    <row r="549" spans="1:3">
      <c r="A549" s="62">
        <v>22508</v>
      </c>
      <c r="B549">
        <v>0.30549999999999999</v>
      </c>
      <c r="C549" t="str">
        <f t="shared" si="13"/>
        <v>1961 q3</v>
      </c>
    </row>
    <row r="550" spans="1:3">
      <c r="A550" s="62">
        <v>22509</v>
      </c>
      <c r="B550">
        <v>0.3075</v>
      </c>
      <c r="C550" t="str">
        <f t="shared" si="13"/>
        <v>1961 q3</v>
      </c>
    </row>
    <row r="551" spans="1:3">
      <c r="A551" s="62">
        <v>22510</v>
      </c>
      <c r="B551">
        <v>0.30819999999999997</v>
      </c>
      <c r="C551" t="str">
        <f t="shared" si="13"/>
        <v>1961 q3</v>
      </c>
    </row>
    <row r="552" spans="1:3">
      <c r="A552" s="62">
        <v>22511</v>
      </c>
      <c r="B552">
        <v>0.30780000000000002</v>
      </c>
      <c r="C552" t="str">
        <f t="shared" si="13"/>
        <v>1961 q3</v>
      </c>
    </row>
    <row r="553" spans="1:3">
      <c r="A553" s="62">
        <v>22514</v>
      </c>
      <c r="B553">
        <v>0.31019999999999998</v>
      </c>
      <c r="C553" t="str">
        <f t="shared" si="13"/>
        <v>1961 q3</v>
      </c>
    </row>
    <row r="554" spans="1:3">
      <c r="A554" s="62">
        <v>22515</v>
      </c>
      <c r="B554">
        <v>0.30980000000000002</v>
      </c>
      <c r="C554" t="str">
        <f t="shared" si="13"/>
        <v>1961 q3</v>
      </c>
    </row>
    <row r="555" spans="1:3">
      <c r="A555" s="62">
        <v>22516</v>
      </c>
      <c r="B555">
        <v>0.30869999999999997</v>
      </c>
      <c r="C555" t="str">
        <f t="shared" si="13"/>
        <v>1961 q3</v>
      </c>
    </row>
    <row r="556" spans="1:3">
      <c r="A556" s="62">
        <v>22517</v>
      </c>
      <c r="B556">
        <v>0.30709999999999998</v>
      </c>
      <c r="C556" t="str">
        <f t="shared" si="13"/>
        <v>1961 q3</v>
      </c>
    </row>
    <row r="557" spans="1:3">
      <c r="A557" s="62">
        <v>22518</v>
      </c>
      <c r="B557">
        <v>0.30919999999999997</v>
      </c>
      <c r="C557" t="str">
        <f t="shared" si="13"/>
        <v>1961 q3</v>
      </c>
    </row>
    <row r="558" spans="1:3">
      <c r="A558" s="62">
        <v>22521</v>
      </c>
      <c r="B558">
        <v>0.31140000000000001</v>
      </c>
      <c r="C558" t="str">
        <f t="shared" si="13"/>
        <v>1961 q3</v>
      </c>
    </row>
    <row r="559" spans="1:3">
      <c r="A559" s="62">
        <v>22522</v>
      </c>
      <c r="B559">
        <v>0.31230000000000002</v>
      </c>
      <c r="C559" t="str">
        <f t="shared" si="13"/>
        <v>1961 q3</v>
      </c>
    </row>
    <row r="560" spans="1:3">
      <c r="A560" s="62">
        <v>22523</v>
      </c>
      <c r="B560">
        <v>0.31230000000000002</v>
      </c>
      <c r="C560" t="str">
        <f t="shared" si="13"/>
        <v>1961 q3</v>
      </c>
    </row>
    <row r="561" spans="1:3">
      <c r="A561" s="62">
        <v>22524</v>
      </c>
      <c r="B561">
        <v>0.31359999999999999</v>
      </c>
      <c r="C561" t="str">
        <f t="shared" si="13"/>
        <v>1961 q3</v>
      </c>
    </row>
    <row r="562" spans="1:3">
      <c r="A562" s="62">
        <v>22525</v>
      </c>
      <c r="B562">
        <v>0.31440000000000001</v>
      </c>
      <c r="C562" t="str">
        <f t="shared" si="13"/>
        <v>1961 q3</v>
      </c>
    </row>
    <row r="563" spans="1:3">
      <c r="A563" s="62">
        <v>22529</v>
      </c>
      <c r="B563">
        <v>0.31480000000000002</v>
      </c>
      <c r="C563" t="str">
        <f t="shared" si="13"/>
        <v>1961 q3</v>
      </c>
    </row>
    <row r="564" spans="1:3">
      <c r="A564" s="62">
        <v>22530</v>
      </c>
      <c r="B564">
        <v>0.31359999999999999</v>
      </c>
      <c r="C564" t="str">
        <f t="shared" si="13"/>
        <v>1961 q3</v>
      </c>
    </row>
    <row r="565" spans="1:3">
      <c r="A565" s="62">
        <v>22531</v>
      </c>
      <c r="B565">
        <v>0.31140000000000001</v>
      </c>
      <c r="C565" t="str">
        <f t="shared" si="13"/>
        <v>1961 q3</v>
      </c>
    </row>
    <row r="566" spans="1:3">
      <c r="A566" s="62">
        <v>22532</v>
      </c>
      <c r="B566">
        <v>0.3105</v>
      </c>
      <c r="C566" t="str">
        <f t="shared" si="13"/>
        <v>1961 q3</v>
      </c>
    </row>
    <row r="567" spans="1:3">
      <c r="A567" s="62">
        <v>22535</v>
      </c>
      <c r="B567">
        <v>0.31090000000000001</v>
      </c>
      <c r="C567" t="str">
        <f t="shared" si="13"/>
        <v>1961 q3</v>
      </c>
    </row>
    <row r="568" spans="1:3">
      <c r="A568" s="62">
        <v>22536</v>
      </c>
      <c r="B568">
        <v>0.31259999999999999</v>
      </c>
      <c r="C568" t="str">
        <f t="shared" si="13"/>
        <v>1961 q3</v>
      </c>
    </row>
    <row r="569" spans="1:3">
      <c r="A569" s="62">
        <v>22537</v>
      </c>
      <c r="B569">
        <v>0.31319999999999998</v>
      </c>
      <c r="C569" t="str">
        <f t="shared" si="13"/>
        <v>1961 q3</v>
      </c>
    </row>
    <row r="570" spans="1:3">
      <c r="A570" s="62">
        <v>22538</v>
      </c>
      <c r="B570">
        <v>0.31219999999999998</v>
      </c>
      <c r="C570" t="str">
        <f t="shared" si="13"/>
        <v>1961 q3</v>
      </c>
    </row>
    <row r="571" spans="1:3">
      <c r="A571" s="62">
        <v>22539</v>
      </c>
      <c r="B571">
        <v>0.31140000000000001</v>
      </c>
      <c r="C571" t="str">
        <f t="shared" si="13"/>
        <v>1961 q3</v>
      </c>
    </row>
    <row r="572" spans="1:3">
      <c r="A572" s="62">
        <v>22542</v>
      </c>
      <c r="B572">
        <v>0.309</v>
      </c>
      <c r="C572" t="str">
        <f t="shared" si="13"/>
        <v>1961 q3</v>
      </c>
    </row>
    <row r="573" spans="1:3">
      <c r="A573" s="62">
        <v>22543</v>
      </c>
      <c r="B573">
        <v>0.30830000000000002</v>
      </c>
      <c r="C573" t="str">
        <f t="shared" si="13"/>
        <v>1961 q3</v>
      </c>
    </row>
    <row r="574" spans="1:3">
      <c r="A574" s="62">
        <v>22544</v>
      </c>
      <c r="B574">
        <v>0.307</v>
      </c>
      <c r="C574" t="str">
        <f t="shared" si="13"/>
        <v>1961 q3</v>
      </c>
    </row>
    <row r="575" spans="1:3">
      <c r="A575" s="62">
        <v>22545</v>
      </c>
      <c r="B575">
        <v>0.30630000000000002</v>
      </c>
      <c r="C575" t="str">
        <f t="shared" si="13"/>
        <v>1961 q3</v>
      </c>
    </row>
    <row r="576" spans="1:3">
      <c r="A576" s="62">
        <v>22546</v>
      </c>
      <c r="B576">
        <v>0.30559999999999998</v>
      </c>
      <c r="C576" t="str">
        <f t="shared" si="13"/>
        <v>1961 q3</v>
      </c>
    </row>
    <row r="577" spans="1:3">
      <c r="A577" s="62">
        <v>22549</v>
      </c>
      <c r="B577">
        <v>0.30320000000000003</v>
      </c>
      <c r="C577" t="str">
        <f t="shared" si="13"/>
        <v>1961 q3</v>
      </c>
    </row>
    <row r="578" spans="1:3">
      <c r="A578" s="62">
        <v>22550</v>
      </c>
      <c r="B578">
        <v>0.3014</v>
      </c>
      <c r="C578" t="str">
        <f t="shared" si="13"/>
        <v>1961 q3</v>
      </c>
    </row>
    <row r="579" spans="1:3">
      <c r="A579" s="62">
        <v>22551</v>
      </c>
      <c r="B579">
        <v>0.3019</v>
      </c>
      <c r="C579" t="str">
        <f t="shared" si="13"/>
        <v>1961 q3</v>
      </c>
    </row>
    <row r="580" spans="1:3">
      <c r="A580" s="62">
        <v>22552</v>
      </c>
      <c r="B580">
        <v>0.2994</v>
      </c>
      <c r="C580" t="str">
        <f t="shared" si="13"/>
        <v>1961 q3</v>
      </c>
    </row>
    <row r="581" spans="1:3">
      <c r="A581" s="62">
        <v>22553</v>
      </c>
      <c r="B581">
        <v>0.2979</v>
      </c>
      <c r="C581" t="str">
        <f t="shared" si="13"/>
        <v>1961 q3</v>
      </c>
    </row>
    <row r="582" spans="1:3">
      <c r="A582" s="62">
        <v>22556</v>
      </c>
      <c r="B582">
        <v>0.29699999999999999</v>
      </c>
      <c r="C582" t="str">
        <f t="shared" si="13"/>
        <v>1961 q4</v>
      </c>
    </row>
    <row r="583" spans="1:3">
      <c r="A583" s="62">
        <v>22557</v>
      </c>
      <c r="B583">
        <v>0.29809999999999998</v>
      </c>
      <c r="C583" t="str">
        <f t="shared" si="13"/>
        <v>1961 q4</v>
      </c>
    </row>
    <row r="584" spans="1:3">
      <c r="A584" s="62">
        <v>22558</v>
      </c>
      <c r="B584">
        <v>0.3019</v>
      </c>
      <c r="C584" t="str">
        <f t="shared" si="13"/>
        <v>1961 q4</v>
      </c>
    </row>
    <row r="585" spans="1:3">
      <c r="A585" s="62">
        <v>22559</v>
      </c>
      <c r="B585">
        <v>0.30259999999999998</v>
      </c>
      <c r="C585" t="str">
        <f t="shared" si="13"/>
        <v>1961 q4</v>
      </c>
    </row>
    <row r="586" spans="1:3">
      <c r="A586" s="62">
        <v>22560</v>
      </c>
      <c r="B586">
        <v>0.30059999999999998</v>
      </c>
      <c r="C586" t="str">
        <f t="shared" si="13"/>
        <v>1961 q4</v>
      </c>
    </row>
    <row r="587" spans="1:3">
      <c r="A587" s="62">
        <v>22563</v>
      </c>
      <c r="B587">
        <v>0.29680000000000001</v>
      </c>
      <c r="C587" t="str">
        <f t="shared" si="13"/>
        <v>1961 q4</v>
      </c>
    </row>
    <row r="588" spans="1:3">
      <c r="A588" s="62">
        <v>22564</v>
      </c>
      <c r="B588">
        <v>0.29820000000000002</v>
      </c>
      <c r="C588" t="str">
        <f t="shared" si="13"/>
        <v>1961 q4</v>
      </c>
    </row>
    <row r="589" spans="1:3">
      <c r="A589" s="62">
        <v>22565</v>
      </c>
      <c r="B589">
        <v>0.29849999999999999</v>
      </c>
      <c r="C589" t="str">
        <f t="shared" si="13"/>
        <v>1961 q4</v>
      </c>
    </row>
    <row r="590" spans="1:3">
      <c r="A590" s="62">
        <v>22566</v>
      </c>
      <c r="B590">
        <v>0.3019</v>
      </c>
      <c r="C590" t="str">
        <f t="shared" si="13"/>
        <v>1961 q4</v>
      </c>
    </row>
    <row r="591" spans="1:3">
      <c r="A591" s="62">
        <v>22567</v>
      </c>
      <c r="B591">
        <v>0.30449999999999999</v>
      </c>
      <c r="C591" t="str">
        <f t="shared" si="13"/>
        <v>1961 q4</v>
      </c>
    </row>
    <row r="592" spans="1:3">
      <c r="A592" s="62">
        <v>22570</v>
      </c>
      <c r="B592">
        <v>0.30299999999999999</v>
      </c>
      <c r="C592" t="str">
        <f t="shared" si="13"/>
        <v>1961 q4</v>
      </c>
    </row>
    <row r="593" spans="1:3">
      <c r="A593" s="62">
        <v>22571</v>
      </c>
      <c r="B593">
        <v>0.30030000000000001</v>
      </c>
      <c r="C593" t="str">
        <f t="shared" si="13"/>
        <v>1961 q4</v>
      </c>
    </row>
    <row r="594" spans="1:3">
      <c r="A594" s="62">
        <v>22572</v>
      </c>
      <c r="B594">
        <v>0.29959999999999998</v>
      </c>
      <c r="C594" t="str">
        <f t="shared" ref="C594:C657" si="14">YEAR(A594)&amp;" q"&amp;ROUNDUP(MONTH(A594)/3,0)</f>
        <v>1961 q4</v>
      </c>
    </row>
    <row r="595" spans="1:3">
      <c r="A595" s="62">
        <v>22573</v>
      </c>
      <c r="B595">
        <v>0.30059999999999998</v>
      </c>
      <c r="C595" t="str">
        <f t="shared" si="14"/>
        <v>1961 q4</v>
      </c>
    </row>
    <row r="596" spans="1:3">
      <c r="A596" s="62">
        <v>22574</v>
      </c>
      <c r="B596">
        <v>0.30009999999999998</v>
      </c>
      <c r="C596" t="str">
        <f t="shared" si="14"/>
        <v>1961 q4</v>
      </c>
    </row>
    <row r="597" spans="1:3">
      <c r="A597" s="62">
        <v>22577</v>
      </c>
      <c r="B597">
        <v>0.29770000000000002</v>
      </c>
      <c r="C597" t="str">
        <f t="shared" si="14"/>
        <v>1961 q4</v>
      </c>
    </row>
    <row r="598" spans="1:3">
      <c r="A598" s="62">
        <v>22578</v>
      </c>
      <c r="B598">
        <v>0.29849999999999999</v>
      </c>
      <c r="C598" t="str">
        <f t="shared" si="14"/>
        <v>1961 q4</v>
      </c>
    </row>
    <row r="599" spans="1:3">
      <c r="A599" s="62">
        <v>22579</v>
      </c>
      <c r="B599">
        <v>0.30020000000000002</v>
      </c>
      <c r="C599" t="str">
        <f t="shared" si="14"/>
        <v>1961 q4</v>
      </c>
    </row>
    <row r="600" spans="1:3">
      <c r="A600" s="62">
        <v>22580</v>
      </c>
      <c r="B600">
        <v>0.30109999999999998</v>
      </c>
      <c r="C600" t="str">
        <f t="shared" si="14"/>
        <v>1961 q4</v>
      </c>
    </row>
    <row r="601" spans="1:3">
      <c r="A601" s="62">
        <v>22581</v>
      </c>
      <c r="B601">
        <v>0.3</v>
      </c>
      <c r="C601" t="str">
        <f t="shared" si="14"/>
        <v>1961 q4</v>
      </c>
    </row>
    <row r="602" spans="1:3">
      <c r="A602" s="62">
        <v>22584</v>
      </c>
      <c r="B602">
        <v>0.29849999999999999</v>
      </c>
      <c r="C602" t="str">
        <f t="shared" si="14"/>
        <v>1961 q4</v>
      </c>
    </row>
    <row r="603" spans="1:3">
      <c r="A603" s="62">
        <v>22585</v>
      </c>
      <c r="B603">
        <v>0.29799999999999999</v>
      </c>
      <c r="C603" t="str">
        <f t="shared" si="14"/>
        <v>1961 q4</v>
      </c>
    </row>
    <row r="604" spans="1:3">
      <c r="A604" s="62">
        <v>22586</v>
      </c>
      <c r="B604">
        <v>0.29820000000000002</v>
      </c>
      <c r="C604" t="str">
        <f t="shared" si="14"/>
        <v>1961 q4</v>
      </c>
    </row>
    <row r="605" spans="1:3">
      <c r="A605" s="62">
        <v>22587</v>
      </c>
      <c r="B605">
        <v>0.29830000000000001</v>
      </c>
      <c r="C605" t="str">
        <f t="shared" si="14"/>
        <v>1961 q4</v>
      </c>
    </row>
    <row r="606" spans="1:3">
      <c r="A606" s="62">
        <v>22588</v>
      </c>
      <c r="B606">
        <v>0.29949999999999999</v>
      </c>
      <c r="C606" t="str">
        <f t="shared" si="14"/>
        <v>1961 q4</v>
      </c>
    </row>
    <row r="607" spans="1:3">
      <c r="A607" s="62">
        <v>22591</v>
      </c>
      <c r="B607">
        <v>0.29980000000000001</v>
      </c>
      <c r="C607" t="str">
        <f t="shared" si="14"/>
        <v>1961 q4</v>
      </c>
    </row>
    <row r="608" spans="1:3">
      <c r="A608" s="62">
        <v>22593</v>
      </c>
      <c r="B608">
        <v>0.30230000000000001</v>
      </c>
      <c r="C608" t="str">
        <f t="shared" si="14"/>
        <v>1961 q4</v>
      </c>
    </row>
    <row r="609" spans="1:3">
      <c r="A609" s="62">
        <v>22594</v>
      </c>
      <c r="B609">
        <v>0.30059999999999998</v>
      </c>
      <c r="C609" t="str">
        <f t="shared" si="14"/>
        <v>1961 q4</v>
      </c>
    </row>
    <row r="610" spans="1:3">
      <c r="A610" s="62">
        <v>22595</v>
      </c>
      <c r="B610">
        <v>0.29620000000000002</v>
      </c>
      <c r="C610" t="str">
        <f t="shared" si="14"/>
        <v>1961 q4</v>
      </c>
    </row>
    <row r="611" spans="1:3">
      <c r="A611" s="62">
        <v>22598</v>
      </c>
      <c r="B611">
        <v>0.29499999999999998</v>
      </c>
      <c r="C611" t="str">
        <f t="shared" si="14"/>
        <v>1961 q4</v>
      </c>
    </row>
    <row r="612" spans="1:3">
      <c r="A612" s="62">
        <v>22599</v>
      </c>
      <c r="B612">
        <v>0.29449999999999998</v>
      </c>
      <c r="C612" t="str">
        <f t="shared" si="14"/>
        <v>1961 q4</v>
      </c>
    </row>
    <row r="613" spans="1:3">
      <c r="A613" s="62">
        <v>22600</v>
      </c>
      <c r="B613">
        <v>0.29530000000000001</v>
      </c>
      <c r="C613" t="str">
        <f t="shared" si="14"/>
        <v>1961 q4</v>
      </c>
    </row>
    <row r="614" spans="1:3">
      <c r="A614" s="62">
        <v>22601</v>
      </c>
      <c r="B614">
        <v>0.29520000000000002</v>
      </c>
      <c r="C614" t="str">
        <f t="shared" si="14"/>
        <v>1961 q4</v>
      </c>
    </row>
    <row r="615" spans="1:3">
      <c r="A615" s="62">
        <v>22602</v>
      </c>
      <c r="B615">
        <v>0.29609999999999997</v>
      </c>
      <c r="C615" t="str">
        <f t="shared" si="14"/>
        <v>1961 q4</v>
      </c>
    </row>
    <row r="616" spans="1:3">
      <c r="A616" s="62">
        <v>22605</v>
      </c>
      <c r="B616">
        <v>0.29649999999999999</v>
      </c>
      <c r="C616" t="str">
        <f t="shared" si="14"/>
        <v>1961 q4</v>
      </c>
    </row>
    <row r="617" spans="1:3">
      <c r="A617" s="62">
        <v>22606</v>
      </c>
      <c r="B617">
        <v>0.29509999999999997</v>
      </c>
      <c r="C617" t="str">
        <f t="shared" si="14"/>
        <v>1961 q4</v>
      </c>
    </row>
    <row r="618" spans="1:3">
      <c r="A618" s="62">
        <v>22607</v>
      </c>
      <c r="B618">
        <v>0.29609999999999997</v>
      </c>
      <c r="C618" t="str">
        <f t="shared" si="14"/>
        <v>1961 q4</v>
      </c>
    </row>
    <row r="619" spans="1:3">
      <c r="A619" s="62">
        <v>22609</v>
      </c>
      <c r="B619">
        <v>0.29780000000000001</v>
      </c>
      <c r="C619" t="str">
        <f t="shared" si="14"/>
        <v>1961 q4</v>
      </c>
    </row>
    <row r="620" spans="1:3">
      <c r="A620" s="62">
        <v>22612</v>
      </c>
      <c r="B620">
        <v>0.29809999999999998</v>
      </c>
      <c r="C620" t="str">
        <f t="shared" si="14"/>
        <v>1961 q4</v>
      </c>
    </row>
    <row r="621" spans="1:3">
      <c r="A621" s="62">
        <v>22613</v>
      </c>
      <c r="B621">
        <v>0.29609999999999997</v>
      </c>
      <c r="C621" t="str">
        <f t="shared" si="14"/>
        <v>1961 q4</v>
      </c>
    </row>
    <row r="622" spans="1:3">
      <c r="A622" s="62">
        <v>22614</v>
      </c>
      <c r="B622">
        <v>0.29409999999999997</v>
      </c>
      <c r="C622" t="str">
        <f t="shared" si="14"/>
        <v>1961 q4</v>
      </c>
    </row>
    <row r="623" spans="1:3">
      <c r="A623" s="62">
        <v>22615</v>
      </c>
      <c r="B623">
        <v>0.2959</v>
      </c>
      <c r="C623" t="str">
        <f t="shared" si="14"/>
        <v>1961 q4</v>
      </c>
    </row>
    <row r="624" spans="1:3">
      <c r="A624" s="62">
        <v>22616</v>
      </c>
      <c r="B624">
        <v>0.29609999999999997</v>
      </c>
      <c r="C624" t="str">
        <f t="shared" si="14"/>
        <v>1961 q4</v>
      </c>
    </row>
    <row r="625" spans="1:3">
      <c r="A625" s="62">
        <v>22619</v>
      </c>
      <c r="B625">
        <v>0.29620000000000002</v>
      </c>
      <c r="C625" t="str">
        <f t="shared" si="14"/>
        <v>1961 q4</v>
      </c>
    </row>
    <row r="626" spans="1:3">
      <c r="A626" s="62">
        <v>22620</v>
      </c>
      <c r="B626">
        <v>0.29870000000000002</v>
      </c>
      <c r="C626" t="str">
        <f t="shared" si="14"/>
        <v>1961 q4</v>
      </c>
    </row>
    <row r="627" spans="1:3">
      <c r="A627" s="62">
        <v>22621</v>
      </c>
      <c r="B627">
        <v>0.3</v>
      </c>
      <c r="C627" t="str">
        <f t="shared" si="14"/>
        <v>1961 q4</v>
      </c>
    </row>
    <row r="628" spans="1:3">
      <c r="A628" s="62">
        <v>22622</v>
      </c>
      <c r="B628">
        <v>0.3</v>
      </c>
      <c r="C628" t="str">
        <f t="shared" si="14"/>
        <v>1961 q4</v>
      </c>
    </row>
    <row r="629" spans="1:3">
      <c r="A629" s="62">
        <v>22623</v>
      </c>
      <c r="B629">
        <v>0.29859999999999998</v>
      </c>
      <c r="C629" t="str">
        <f t="shared" si="14"/>
        <v>1961 q4</v>
      </c>
    </row>
    <row r="630" spans="1:3">
      <c r="A630" s="62">
        <v>22626</v>
      </c>
      <c r="B630">
        <v>0.30249999999999999</v>
      </c>
      <c r="C630" t="str">
        <f t="shared" si="14"/>
        <v>1961 q4</v>
      </c>
    </row>
    <row r="631" spans="1:3">
      <c r="A631" s="62">
        <v>22627</v>
      </c>
      <c r="B631">
        <v>0.3009</v>
      </c>
      <c r="C631" t="str">
        <f t="shared" si="14"/>
        <v>1961 q4</v>
      </c>
    </row>
    <row r="632" spans="1:3">
      <c r="A632" s="62">
        <v>22628</v>
      </c>
      <c r="B632">
        <v>0.30249999999999999</v>
      </c>
      <c r="C632" t="str">
        <f t="shared" si="14"/>
        <v>1961 q4</v>
      </c>
    </row>
    <row r="633" spans="1:3">
      <c r="A633" s="62">
        <v>22629</v>
      </c>
      <c r="B633">
        <v>0.30070000000000002</v>
      </c>
      <c r="C633" t="str">
        <f t="shared" si="14"/>
        <v>1961 q4</v>
      </c>
    </row>
    <row r="634" spans="1:3">
      <c r="A634" s="62">
        <v>22630</v>
      </c>
      <c r="B634">
        <v>0.29980000000000001</v>
      </c>
      <c r="C634" t="str">
        <f t="shared" si="14"/>
        <v>1961 q4</v>
      </c>
    </row>
    <row r="635" spans="1:3">
      <c r="A635" s="62">
        <v>22633</v>
      </c>
      <c r="B635">
        <v>0.29749999999999999</v>
      </c>
      <c r="C635" t="str">
        <f t="shared" si="14"/>
        <v>1961 q4</v>
      </c>
    </row>
    <row r="636" spans="1:3">
      <c r="A636" s="62">
        <v>22634</v>
      </c>
      <c r="B636">
        <v>0.29899999999999999</v>
      </c>
      <c r="C636" t="str">
        <f t="shared" si="14"/>
        <v>1961 q4</v>
      </c>
    </row>
    <row r="637" spans="1:3">
      <c r="A637" s="62">
        <v>22635</v>
      </c>
      <c r="B637">
        <v>0.30080000000000001</v>
      </c>
      <c r="C637" t="str">
        <f t="shared" si="14"/>
        <v>1961 q4</v>
      </c>
    </row>
    <row r="638" spans="1:3">
      <c r="A638" s="62">
        <v>22636</v>
      </c>
      <c r="B638">
        <v>0.30099999999999999</v>
      </c>
      <c r="C638" t="str">
        <f t="shared" si="14"/>
        <v>1961 q4</v>
      </c>
    </row>
    <row r="639" spans="1:3">
      <c r="A639" s="62">
        <v>22637</v>
      </c>
      <c r="B639">
        <v>0.29899999999999999</v>
      </c>
      <c r="C639" t="str">
        <f t="shared" si="14"/>
        <v>1961 q4</v>
      </c>
    </row>
    <row r="640" spans="1:3">
      <c r="A640" s="62">
        <v>22641</v>
      </c>
      <c r="B640">
        <v>0.30030000000000001</v>
      </c>
      <c r="C640" t="str">
        <f t="shared" si="14"/>
        <v>1961 q4</v>
      </c>
    </row>
    <row r="641" spans="1:3">
      <c r="A641" s="62">
        <v>22642</v>
      </c>
      <c r="B641">
        <v>0.30020000000000002</v>
      </c>
      <c r="C641" t="str">
        <f t="shared" si="14"/>
        <v>1961 q4</v>
      </c>
    </row>
    <row r="642" spans="1:3">
      <c r="A642" s="62">
        <v>22643</v>
      </c>
      <c r="B642">
        <v>0.30009999999999998</v>
      </c>
      <c r="C642" t="str">
        <f t="shared" si="14"/>
        <v>1961 q4</v>
      </c>
    </row>
    <row r="643" spans="1:3">
      <c r="A643" s="62">
        <v>22644</v>
      </c>
      <c r="B643">
        <v>0.30149999999999999</v>
      </c>
      <c r="C643" t="str">
        <f t="shared" si="14"/>
        <v>1961 q4</v>
      </c>
    </row>
    <row r="644" spans="1:3">
      <c r="A644" s="62">
        <v>22648</v>
      </c>
      <c r="B644">
        <v>0.3019</v>
      </c>
      <c r="C644" t="str">
        <f t="shared" si="14"/>
        <v>1962 q1</v>
      </c>
    </row>
    <row r="645" spans="1:3">
      <c r="A645" s="62">
        <v>22649</v>
      </c>
      <c r="B645">
        <v>0.30320000000000003</v>
      </c>
      <c r="C645" t="str">
        <f t="shared" si="14"/>
        <v>1962 q1</v>
      </c>
    </row>
    <row r="646" spans="1:3">
      <c r="A646" s="62">
        <v>22650</v>
      </c>
      <c r="B646">
        <v>0.3044</v>
      </c>
      <c r="C646" t="str">
        <f t="shared" si="14"/>
        <v>1962 q1</v>
      </c>
    </row>
    <row r="647" spans="1:3">
      <c r="A647" s="62">
        <v>22651</v>
      </c>
      <c r="B647">
        <v>0.30590000000000001</v>
      </c>
      <c r="C647" t="str">
        <f t="shared" si="14"/>
        <v>1962 q1</v>
      </c>
    </row>
    <row r="648" spans="1:3">
      <c r="A648" s="62">
        <v>22654</v>
      </c>
      <c r="B648">
        <v>0.30380000000000001</v>
      </c>
      <c r="C648" t="str">
        <f t="shared" si="14"/>
        <v>1962 q1</v>
      </c>
    </row>
    <row r="649" spans="1:3">
      <c r="A649" s="62">
        <v>22655</v>
      </c>
      <c r="B649">
        <v>0.3039</v>
      </c>
      <c r="C649" t="str">
        <f t="shared" si="14"/>
        <v>1962 q1</v>
      </c>
    </row>
    <row r="650" spans="1:3">
      <c r="A650" s="62">
        <v>22656</v>
      </c>
      <c r="B650">
        <v>0.30299999999999999</v>
      </c>
      <c r="C650" t="str">
        <f t="shared" si="14"/>
        <v>1962 q1</v>
      </c>
    </row>
    <row r="651" spans="1:3">
      <c r="A651" s="62">
        <v>22657</v>
      </c>
      <c r="B651">
        <v>0.30270000000000002</v>
      </c>
      <c r="C651" t="str">
        <f t="shared" si="14"/>
        <v>1962 q1</v>
      </c>
    </row>
    <row r="652" spans="1:3">
      <c r="A652" s="62">
        <v>22661</v>
      </c>
      <c r="B652">
        <v>0.29949999999999999</v>
      </c>
      <c r="C652" t="str">
        <f t="shared" si="14"/>
        <v>1962 q1</v>
      </c>
    </row>
    <row r="653" spans="1:3">
      <c r="A653" s="62">
        <v>22662</v>
      </c>
      <c r="B653">
        <v>0.29880000000000001</v>
      </c>
      <c r="C653" t="str">
        <f t="shared" si="14"/>
        <v>1962 q1</v>
      </c>
    </row>
    <row r="654" spans="1:3">
      <c r="A654" s="62">
        <v>22663</v>
      </c>
      <c r="B654">
        <v>0.3</v>
      </c>
      <c r="C654" t="str">
        <f t="shared" si="14"/>
        <v>1962 q1</v>
      </c>
    </row>
    <row r="655" spans="1:3">
      <c r="A655" s="62">
        <v>22664</v>
      </c>
      <c r="B655">
        <v>0.30199999999999999</v>
      </c>
      <c r="C655" t="str">
        <f t="shared" si="14"/>
        <v>1962 q1</v>
      </c>
    </row>
    <row r="656" spans="1:3">
      <c r="A656" s="62">
        <v>22665</v>
      </c>
      <c r="B656">
        <v>0.30249999999999999</v>
      </c>
      <c r="C656" t="str">
        <f t="shared" si="14"/>
        <v>1962 q1</v>
      </c>
    </row>
    <row r="657" spans="1:3">
      <c r="A657" s="62">
        <v>22668</v>
      </c>
      <c r="B657">
        <v>0.30299999999999999</v>
      </c>
      <c r="C657" t="str">
        <f t="shared" si="14"/>
        <v>1962 q1</v>
      </c>
    </row>
    <row r="658" spans="1:3">
      <c r="A658" s="62">
        <v>22669</v>
      </c>
      <c r="B658">
        <v>0.30030000000000001</v>
      </c>
      <c r="C658" t="str">
        <f t="shared" ref="C658:C721" si="15">YEAR(A658)&amp;" q"&amp;ROUNDUP(MONTH(A658)/3,0)</f>
        <v>1962 q1</v>
      </c>
    </row>
    <row r="659" spans="1:3">
      <c r="A659" s="62">
        <v>22670</v>
      </c>
      <c r="B659">
        <v>0.30349999999999999</v>
      </c>
      <c r="C659" t="str">
        <f t="shared" si="15"/>
        <v>1962 q1</v>
      </c>
    </row>
    <row r="660" spans="1:3">
      <c r="A660" s="62">
        <v>22671</v>
      </c>
      <c r="B660">
        <v>0.3034</v>
      </c>
      <c r="C660" t="str">
        <f t="shared" si="15"/>
        <v>1962 q1</v>
      </c>
    </row>
    <row r="661" spans="1:3">
      <c r="A661" s="62">
        <v>22672</v>
      </c>
      <c r="B661">
        <v>0.30259999999999998</v>
      </c>
      <c r="C661" t="str">
        <f t="shared" si="15"/>
        <v>1962 q1</v>
      </c>
    </row>
    <row r="662" spans="1:3">
      <c r="A662" s="62">
        <v>22675</v>
      </c>
      <c r="B662">
        <v>0.30209999999999998</v>
      </c>
      <c r="C662" t="str">
        <f t="shared" si="15"/>
        <v>1962 q1</v>
      </c>
    </row>
    <row r="663" spans="1:3">
      <c r="A663" s="62">
        <v>22676</v>
      </c>
      <c r="B663">
        <v>0.30299999999999999</v>
      </c>
      <c r="C663" t="str">
        <f t="shared" si="15"/>
        <v>1962 q1</v>
      </c>
    </row>
    <row r="664" spans="1:3">
      <c r="A664" s="62">
        <v>22677</v>
      </c>
      <c r="B664">
        <v>0.30499999999999999</v>
      </c>
      <c r="C664" t="str">
        <f t="shared" si="15"/>
        <v>1962 q1</v>
      </c>
    </row>
    <row r="665" spans="1:3">
      <c r="A665" s="62">
        <v>22678</v>
      </c>
      <c r="B665">
        <v>0.30349999999999999</v>
      </c>
      <c r="C665" t="str">
        <f t="shared" si="15"/>
        <v>1962 q1</v>
      </c>
    </row>
    <row r="666" spans="1:3">
      <c r="A666" s="62">
        <v>22679</v>
      </c>
      <c r="B666">
        <v>0.30309999999999998</v>
      </c>
      <c r="C666" t="str">
        <f t="shared" si="15"/>
        <v>1962 q1</v>
      </c>
    </row>
    <row r="667" spans="1:3">
      <c r="A667" s="62">
        <v>22682</v>
      </c>
      <c r="B667">
        <v>0.30249999999999999</v>
      </c>
      <c r="C667" t="str">
        <f t="shared" si="15"/>
        <v>1962 q1</v>
      </c>
    </row>
    <row r="668" spans="1:3">
      <c r="A668" s="62">
        <v>22683</v>
      </c>
      <c r="B668">
        <v>0.30309999999999998</v>
      </c>
      <c r="C668" t="str">
        <f t="shared" si="15"/>
        <v>1962 q1</v>
      </c>
    </row>
    <row r="669" spans="1:3">
      <c r="A669" s="62">
        <v>22684</v>
      </c>
      <c r="B669">
        <v>0.30309999999999998</v>
      </c>
      <c r="C669" t="str">
        <f t="shared" si="15"/>
        <v>1962 q1</v>
      </c>
    </row>
    <row r="670" spans="1:3">
      <c r="A670" s="62">
        <v>22685</v>
      </c>
      <c r="B670">
        <v>0.3034</v>
      </c>
      <c r="C670" t="str">
        <f t="shared" si="15"/>
        <v>1962 q1</v>
      </c>
    </row>
    <row r="671" spans="1:3">
      <c r="A671" s="62">
        <v>22686</v>
      </c>
      <c r="B671">
        <v>0.30320000000000003</v>
      </c>
      <c r="C671" t="str">
        <f t="shared" si="15"/>
        <v>1962 q1</v>
      </c>
    </row>
    <row r="672" spans="1:3">
      <c r="A672" s="62">
        <v>22689</v>
      </c>
      <c r="B672">
        <v>0.30299999999999999</v>
      </c>
      <c r="C672" t="str">
        <f t="shared" si="15"/>
        <v>1962 q1</v>
      </c>
    </row>
    <row r="673" spans="1:3">
      <c r="A673" s="62">
        <v>22690</v>
      </c>
      <c r="B673">
        <v>0.30380000000000001</v>
      </c>
      <c r="C673" t="str">
        <f t="shared" si="15"/>
        <v>1962 q1</v>
      </c>
    </row>
    <row r="674" spans="1:3">
      <c r="A674" s="62">
        <v>22691</v>
      </c>
      <c r="B674">
        <v>0.30299999999999999</v>
      </c>
      <c r="C674" t="str">
        <f t="shared" si="15"/>
        <v>1962 q1</v>
      </c>
    </row>
    <row r="675" spans="1:3">
      <c r="A675" s="62">
        <v>22692</v>
      </c>
      <c r="B675">
        <v>0.30230000000000001</v>
      </c>
      <c r="C675" t="str">
        <f t="shared" si="15"/>
        <v>1962 q1</v>
      </c>
    </row>
    <row r="676" spans="1:3">
      <c r="A676" s="62">
        <v>22693</v>
      </c>
      <c r="B676">
        <v>0.30309999999999998</v>
      </c>
      <c r="C676" t="str">
        <f t="shared" si="15"/>
        <v>1962 q1</v>
      </c>
    </row>
    <row r="677" spans="1:3">
      <c r="A677" s="62">
        <v>22696</v>
      </c>
      <c r="B677">
        <v>0.30309999999999998</v>
      </c>
      <c r="C677" t="str">
        <f t="shared" si="15"/>
        <v>1962 q1</v>
      </c>
    </row>
    <row r="678" spans="1:3">
      <c r="A678" s="62">
        <v>22697</v>
      </c>
      <c r="B678">
        <v>0.30399999999999999</v>
      </c>
      <c r="C678" t="str">
        <f t="shared" si="15"/>
        <v>1962 q1</v>
      </c>
    </row>
    <row r="679" spans="1:3">
      <c r="A679" s="62">
        <v>22698</v>
      </c>
      <c r="B679">
        <v>0.30399999999999999</v>
      </c>
      <c r="C679" t="str">
        <f t="shared" si="15"/>
        <v>1962 q1</v>
      </c>
    </row>
    <row r="680" spans="1:3">
      <c r="A680" s="62">
        <v>22700</v>
      </c>
      <c r="B680">
        <v>0.3039</v>
      </c>
      <c r="C680" t="str">
        <f t="shared" si="15"/>
        <v>1962 q1</v>
      </c>
    </row>
    <row r="681" spans="1:3">
      <c r="A681" s="62">
        <v>22703</v>
      </c>
      <c r="B681">
        <v>0.30480000000000002</v>
      </c>
      <c r="C681" t="str">
        <f t="shared" si="15"/>
        <v>1962 q1</v>
      </c>
    </row>
    <row r="682" spans="1:3">
      <c r="A682" s="62">
        <v>22704</v>
      </c>
      <c r="B682">
        <v>0.30480000000000002</v>
      </c>
      <c r="C682" t="str">
        <f t="shared" si="15"/>
        <v>1962 q1</v>
      </c>
    </row>
    <row r="683" spans="1:3">
      <c r="A683" s="62">
        <v>22705</v>
      </c>
      <c r="B683">
        <v>0.30459999999999998</v>
      </c>
      <c r="C683" t="str">
        <f t="shared" si="15"/>
        <v>1962 q1</v>
      </c>
    </row>
    <row r="684" spans="1:3">
      <c r="A684" s="62">
        <v>22706</v>
      </c>
      <c r="B684">
        <v>0.3049</v>
      </c>
      <c r="C684" t="str">
        <f t="shared" si="15"/>
        <v>1962 q1</v>
      </c>
    </row>
    <row r="685" spans="1:3">
      <c r="A685" s="62">
        <v>22707</v>
      </c>
      <c r="B685">
        <v>0.30599999999999999</v>
      </c>
      <c r="C685" t="str">
        <f t="shared" si="15"/>
        <v>1962 q1</v>
      </c>
    </row>
    <row r="686" spans="1:3">
      <c r="A686" s="62">
        <v>22710</v>
      </c>
      <c r="B686">
        <v>0.30669999999999997</v>
      </c>
      <c r="C686" t="str">
        <f t="shared" si="15"/>
        <v>1962 q1</v>
      </c>
    </row>
    <row r="687" spans="1:3">
      <c r="A687" s="62">
        <v>22711</v>
      </c>
      <c r="B687">
        <v>0.30559999999999998</v>
      </c>
      <c r="C687" t="str">
        <f t="shared" si="15"/>
        <v>1962 q1</v>
      </c>
    </row>
    <row r="688" spans="1:3">
      <c r="A688" s="62">
        <v>22712</v>
      </c>
      <c r="B688">
        <v>0.30559999999999998</v>
      </c>
      <c r="C688" t="str">
        <f t="shared" si="15"/>
        <v>1962 q1</v>
      </c>
    </row>
    <row r="689" spans="1:3">
      <c r="A689" s="62">
        <v>22713</v>
      </c>
      <c r="B689">
        <v>0.3054</v>
      </c>
      <c r="C689" t="str">
        <f t="shared" si="15"/>
        <v>1962 q1</v>
      </c>
    </row>
    <row r="690" spans="1:3">
      <c r="A690" s="62">
        <v>22714</v>
      </c>
      <c r="B690">
        <v>0.30590000000000001</v>
      </c>
      <c r="C690" t="str">
        <f t="shared" si="15"/>
        <v>1962 q1</v>
      </c>
    </row>
    <row r="691" spans="1:3">
      <c r="A691" s="62">
        <v>22717</v>
      </c>
      <c r="B691">
        <v>0.30599999999999999</v>
      </c>
      <c r="C691" t="str">
        <f t="shared" si="15"/>
        <v>1962 q1</v>
      </c>
    </row>
    <row r="692" spans="1:3">
      <c r="A692" s="62">
        <v>22718</v>
      </c>
      <c r="B692">
        <v>0.30630000000000002</v>
      </c>
      <c r="C692" t="str">
        <f t="shared" si="15"/>
        <v>1962 q1</v>
      </c>
    </row>
    <row r="693" spans="1:3">
      <c r="A693" s="62">
        <v>22719</v>
      </c>
      <c r="B693">
        <v>0.30609999999999998</v>
      </c>
      <c r="C693" t="str">
        <f t="shared" si="15"/>
        <v>1962 q1</v>
      </c>
    </row>
    <row r="694" spans="1:3">
      <c r="A694" s="62">
        <v>22720</v>
      </c>
      <c r="B694">
        <v>0.30709999999999998</v>
      </c>
      <c r="C694" t="str">
        <f t="shared" si="15"/>
        <v>1962 q1</v>
      </c>
    </row>
    <row r="695" spans="1:3">
      <c r="A695" s="62">
        <v>22721</v>
      </c>
      <c r="B695">
        <v>0.3075</v>
      </c>
      <c r="C695" t="str">
        <f t="shared" si="15"/>
        <v>1962 q1</v>
      </c>
    </row>
    <row r="696" spans="1:3">
      <c r="A696" s="62">
        <v>22724</v>
      </c>
      <c r="B696">
        <v>0.30730000000000002</v>
      </c>
      <c r="C696" t="str">
        <f t="shared" si="15"/>
        <v>1962 q1</v>
      </c>
    </row>
    <row r="697" spans="1:3">
      <c r="A697" s="62">
        <v>22725</v>
      </c>
      <c r="B697">
        <v>0.30669999999999997</v>
      </c>
      <c r="C697" t="str">
        <f t="shared" si="15"/>
        <v>1962 q1</v>
      </c>
    </row>
    <row r="698" spans="1:3">
      <c r="A698" s="62">
        <v>22726</v>
      </c>
      <c r="B698">
        <v>0.30680000000000002</v>
      </c>
      <c r="C698" t="str">
        <f t="shared" si="15"/>
        <v>1962 q1</v>
      </c>
    </row>
    <row r="699" spans="1:3">
      <c r="A699" s="62">
        <v>22727</v>
      </c>
      <c r="B699">
        <v>0.30630000000000002</v>
      </c>
      <c r="C699" t="str">
        <f t="shared" si="15"/>
        <v>1962 q1</v>
      </c>
    </row>
    <row r="700" spans="1:3">
      <c r="A700" s="62">
        <v>22728</v>
      </c>
      <c r="B700">
        <v>0.30399999999999999</v>
      </c>
      <c r="C700" t="str">
        <f t="shared" si="15"/>
        <v>1962 q1</v>
      </c>
    </row>
    <row r="701" spans="1:3">
      <c r="A701" s="62">
        <v>22731</v>
      </c>
      <c r="B701">
        <v>0.30280000000000001</v>
      </c>
      <c r="C701" t="str">
        <f t="shared" si="15"/>
        <v>1962 q1</v>
      </c>
    </row>
    <row r="702" spans="1:3">
      <c r="A702" s="62">
        <v>22732</v>
      </c>
      <c r="B702">
        <v>0.30349999999999999</v>
      </c>
      <c r="C702" t="str">
        <f t="shared" si="15"/>
        <v>1962 q1</v>
      </c>
    </row>
    <row r="703" spans="1:3">
      <c r="A703" s="62">
        <v>22733</v>
      </c>
      <c r="B703">
        <v>0.30320000000000003</v>
      </c>
      <c r="C703" t="str">
        <f t="shared" si="15"/>
        <v>1962 q1</v>
      </c>
    </row>
    <row r="704" spans="1:3">
      <c r="A704" s="62">
        <v>22734</v>
      </c>
      <c r="B704">
        <v>0.30320000000000003</v>
      </c>
      <c r="C704" t="str">
        <f t="shared" si="15"/>
        <v>1962 q1</v>
      </c>
    </row>
    <row r="705" spans="1:3">
      <c r="A705" s="62">
        <v>22735</v>
      </c>
      <c r="B705">
        <v>0.3034</v>
      </c>
      <c r="C705" t="str">
        <f t="shared" si="15"/>
        <v>1962 q1</v>
      </c>
    </row>
    <row r="706" spans="1:3">
      <c r="A706" s="62">
        <v>22738</v>
      </c>
      <c r="B706">
        <v>0.30309999999999998</v>
      </c>
      <c r="C706" t="str">
        <f t="shared" si="15"/>
        <v>1962 q2</v>
      </c>
    </row>
    <row r="707" spans="1:3">
      <c r="A707" s="62">
        <v>22739</v>
      </c>
      <c r="B707">
        <v>0.30309999999999998</v>
      </c>
      <c r="C707" t="str">
        <f t="shared" si="15"/>
        <v>1962 q2</v>
      </c>
    </row>
    <row r="708" spans="1:3">
      <c r="A708" s="62">
        <v>22740</v>
      </c>
      <c r="B708">
        <v>0.30059999999999998</v>
      </c>
      <c r="C708" t="str">
        <f t="shared" si="15"/>
        <v>1962 q2</v>
      </c>
    </row>
    <row r="709" spans="1:3">
      <c r="A709" s="62">
        <v>22741</v>
      </c>
      <c r="B709">
        <v>0.30099999999999999</v>
      </c>
      <c r="C709" t="str">
        <f t="shared" si="15"/>
        <v>1962 q2</v>
      </c>
    </row>
    <row r="710" spans="1:3">
      <c r="A710" s="62">
        <v>22742</v>
      </c>
      <c r="B710">
        <v>0.30080000000000001</v>
      </c>
      <c r="C710" t="str">
        <f t="shared" si="15"/>
        <v>1962 q2</v>
      </c>
    </row>
    <row r="711" spans="1:3">
      <c r="A711" s="62">
        <v>22745</v>
      </c>
      <c r="B711">
        <v>0.30109999999999998</v>
      </c>
      <c r="C711" t="str">
        <f t="shared" si="15"/>
        <v>1962 q2</v>
      </c>
    </row>
    <row r="712" spans="1:3">
      <c r="A712" s="62">
        <v>22746</v>
      </c>
      <c r="B712">
        <v>0.2999</v>
      </c>
      <c r="C712" t="str">
        <f t="shared" si="15"/>
        <v>1962 q2</v>
      </c>
    </row>
    <row r="713" spans="1:3">
      <c r="A713" s="62">
        <v>22747</v>
      </c>
      <c r="B713">
        <v>0.2999</v>
      </c>
      <c r="C713" t="str">
        <f t="shared" si="15"/>
        <v>1962 q2</v>
      </c>
    </row>
    <row r="714" spans="1:3">
      <c r="A714" s="62">
        <v>22748</v>
      </c>
      <c r="B714">
        <v>0.29959999999999998</v>
      </c>
      <c r="C714" t="str">
        <f t="shared" si="15"/>
        <v>1962 q2</v>
      </c>
    </row>
    <row r="715" spans="1:3">
      <c r="A715" s="62">
        <v>22749</v>
      </c>
      <c r="B715">
        <v>0.29970000000000002</v>
      </c>
      <c r="C715" t="str">
        <f t="shared" si="15"/>
        <v>1962 q2</v>
      </c>
    </row>
    <row r="716" spans="1:3">
      <c r="A716" s="62">
        <v>22752</v>
      </c>
      <c r="B716">
        <v>0.29880000000000001</v>
      </c>
      <c r="C716" t="str">
        <f t="shared" si="15"/>
        <v>1962 q2</v>
      </c>
    </row>
    <row r="717" spans="1:3">
      <c r="A717" s="62">
        <v>22753</v>
      </c>
      <c r="B717">
        <v>0.29899999999999999</v>
      </c>
      <c r="C717" t="str">
        <f t="shared" si="15"/>
        <v>1962 q2</v>
      </c>
    </row>
    <row r="718" spans="1:3">
      <c r="A718" s="62">
        <v>22754</v>
      </c>
      <c r="B718">
        <v>0.2984</v>
      </c>
      <c r="C718" t="str">
        <f t="shared" si="15"/>
        <v>1962 q2</v>
      </c>
    </row>
    <row r="719" spans="1:3">
      <c r="A719" s="62">
        <v>22755</v>
      </c>
      <c r="B719">
        <v>0.29680000000000001</v>
      </c>
      <c r="C719" t="str">
        <f t="shared" si="15"/>
        <v>1962 q2</v>
      </c>
    </row>
    <row r="720" spans="1:3">
      <c r="A720" s="62">
        <v>22759</v>
      </c>
      <c r="B720">
        <v>0.29759999999999998</v>
      </c>
      <c r="C720" t="str">
        <f t="shared" si="15"/>
        <v>1962 q2</v>
      </c>
    </row>
    <row r="721" spans="1:3">
      <c r="A721" s="62">
        <v>22760</v>
      </c>
      <c r="B721">
        <v>0.29580000000000001</v>
      </c>
      <c r="C721" t="str">
        <f t="shared" si="15"/>
        <v>1962 q2</v>
      </c>
    </row>
    <row r="722" spans="1:3">
      <c r="A722" s="62">
        <v>22761</v>
      </c>
      <c r="B722">
        <v>0.29499999999999998</v>
      </c>
      <c r="C722" t="str">
        <f t="shared" ref="C722:C785" si="16">YEAR(A722)&amp;" q"&amp;ROUNDUP(MONTH(A722)/3,0)</f>
        <v>1962 q2</v>
      </c>
    </row>
    <row r="723" spans="1:3">
      <c r="A723" s="62">
        <v>22762</v>
      </c>
      <c r="B723">
        <v>0.2964</v>
      </c>
      <c r="C723" t="str">
        <f t="shared" si="16"/>
        <v>1962 q2</v>
      </c>
    </row>
    <row r="724" spans="1:3">
      <c r="A724" s="62">
        <v>22763</v>
      </c>
      <c r="B724">
        <v>0.29670000000000002</v>
      </c>
      <c r="C724" t="str">
        <f t="shared" si="16"/>
        <v>1962 q2</v>
      </c>
    </row>
    <row r="725" spans="1:3">
      <c r="A725" s="62">
        <v>22766</v>
      </c>
      <c r="B725">
        <v>0.2989</v>
      </c>
      <c r="C725" t="str">
        <f t="shared" si="16"/>
        <v>1962 q2</v>
      </c>
    </row>
    <row r="726" spans="1:3">
      <c r="A726" s="62">
        <v>22767</v>
      </c>
      <c r="B726">
        <v>0.29880000000000001</v>
      </c>
      <c r="C726" t="str">
        <f t="shared" si="16"/>
        <v>1962 q2</v>
      </c>
    </row>
    <row r="727" spans="1:3">
      <c r="A727" s="62">
        <v>22768</v>
      </c>
      <c r="B727">
        <v>0.2984</v>
      </c>
      <c r="C727" t="str">
        <f t="shared" si="16"/>
        <v>1962 q2</v>
      </c>
    </row>
    <row r="728" spans="1:3">
      <c r="A728" s="62">
        <v>22769</v>
      </c>
      <c r="B728">
        <v>0.29759999999999998</v>
      </c>
      <c r="C728" t="str">
        <f t="shared" si="16"/>
        <v>1962 q2</v>
      </c>
    </row>
    <row r="729" spans="1:3">
      <c r="A729" s="62">
        <v>22770</v>
      </c>
      <c r="B729">
        <v>0.29699999999999999</v>
      </c>
      <c r="C729" t="str">
        <f t="shared" si="16"/>
        <v>1962 q2</v>
      </c>
    </row>
    <row r="730" spans="1:3">
      <c r="A730" s="62">
        <v>22773</v>
      </c>
      <c r="B730">
        <v>0.2974</v>
      </c>
      <c r="C730" t="str">
        <f t="shared" si="16"/>
        <v>1962 q2</v>
      </c>
    </row>
    <row r="731" spans="1:3">
      <c r="A731" s="62">
        <v>22774</v>
      </c>
      <c r="B731">
        <v>0.29809999999999998</v>
      </c>
      <c r="C731" t="str">
        <f t="shared" si="16"/>
        <v>1962 q2</v>
      </c>
    </row>
    <row r="732" spans="1:3">
      <c r="A732" s="62">
        <v>22775</v>
      </c>
      <c r="B732">
        <v>0.2994</v>
      </c>
      <c r="C732" t="str">
        <f t="shared" si="16"/>
        <v>1962 q2</v>
      </c>
    </row>
    <row r="733" spans="1:3">
      <c r="A733" s="62">
        <v>22776</v>
      </c>
      <c r="B733">
        <v>0.2989</v>
      </c>
      <c r="C733" t="str">
        <f t="shared" si="16"/>
        <v>1962 q2</v>
      </c>
    </row>
    <row r="734" spans="1:3">
      <c r="A734" s="62">
        <v>22777</v>
      </c>
      <c r="B734">
        <v>0.29799999999999999</v>
      </c>
      <c r="C734" t="str">
        <f t="shared" si="16"/>
        <v>1962 q2</v>
      </c>
    </row>
    <row r="735" spans="1:3">
      <c r="A735" s="62">
        <v>22780</v>
      </c>
      <c r="B735">
        <v>0.29820000000000002</v>
      </c>
      <c r="C735" t="str">
        <f t="shared" si="16"/>
        <v>1962 q2</v>
      </c>
    </row>
    <row r="736" spans="1:3">
      <c r="A736" s="62">
        <v>22781</v>
      </c>
      <c r="B736">
        <v>0.29820000000000002</v>
      </c>
      <c r="C736" t="str">
        <f t="shared" si="16"/>
        <v>1962 q2</v>
      </c>
    </row>
    <row r="737" spans="1:3">
      <c r="A737" s="62">
        <v>22782</v>
      </c>
      <c r="B737">
        <v>0.29699999999999999</v>
      </c>
      <c r="C737" t="str">
        <f t="shared" si="16"/>
        <v>1962 q2</v>
      </c>
    </row>
    <row r="738" spans="1:3">
      <c r="A738" s="62">
        <v>22783</v>
      </c>
      <c r="B738">
        <v>0.29709999999999998</v>
      </c>
      <c r="C738" t="str">
        <f t="shared" si="16"/>
        <v>1962 q2</v>
      </c>
    </row>
    <row r="739" spans="1:3">
      <c r="A739" s="62">
        <v>22784</v>
      </c>
      <c r="B739">
        <v>0.29699999999999999</v>
      </c>
      <c r="C739" t="str">
        <f t="shared" si="16"/>
        <v>1962 q2</v>
      </c>
    </row>
    <row r="740" spans="1:3">
      <c r="A740" s="62">
        <v>22787</v>
      </c>
      <c r="B740">
        <v>0.2954</v>
      </c>
      <c r="C740" t="str">
        <f t="shared" si="16"/>
        <v>1962 q2</v>
      </c>
    </row>
    <row r="741" spans="1:3">
      <c r="A741" s="62">
        <v>22788</v>
      </c>
      <c r="B741">
        <v>0.29449999999999998</v>
      </c>
      <c r="C741" t="str">
        <f t="shared" si="16"/>
        <v>1962 q2</v>
      </c>
    </row>
    <row r="742" spans="1:3">
      <c r="A742" s="62">
        <v>22789</v>
      </c>
      <c r="B742">
        <v>0.2923</v>
      </c>
      <c r="C742" t="str">
        <f t="shared" si="16"/>
        <v>1962 q2</v>
      </c>
    </row>
    <row r="743" spans="1:3">
      <c r="A743" s="62">
        <v>22790</v>
      </c>
      <c r="B743">
        <v>0.29120000000000001</v>
      </c>
      <c r="C743" t="str">
        <f t="shared" si="16"/>
        <v>1962 q2</v>
      </c>
    </row>
    <row r="744" spans="1:3">
      <c r="A744" s="62">
        <v>22791</v>
      </c>
      <c r="B744">
        <v>0.28920000000000001</v>
      </c>
      <c r="C744" t="str">
        <f t="shared" si="16"/>
        <v>1962 q2</v>
      </c>
    </row>
    <row r="745" spans="1:3">
      <c r="A745" s="62">
        <v>22794</v>
      </c>
      <c r="B745">
        <v>0.28799999999999998</v>
      </c>
      <c r="C745" t="str">
        <f t="shared" si="16"/>
        <v>1962 q2</v>
      </c>
    </row>
    <row r="746" spans="1:3">
      <c r="A746" s="62">
        <v>22795</v>
      </c>
      <c r="B746">
        <v>0.28810000000000002</v>
      </c>
      <c r="C746" t="str">
        <f t="shared" si="16"/>
        <v>1962 q2</v>
      </c>
    </row>
    <row r="747" spans="1:3">
      <c r="A747" s="62">
        <v>22797</v>
      </c>
      <c r="B747">
        <v>0.28820000000000001</v>
      </c>
      <c r="C747" t="str">
        <f t="shared" si="16"/>
        <v>1962 q2</v>
      </c>
    </row>
    <row r="748" spans="1:3">
      <c r="A748" s="62">
        <v>22798</v>
      </c>
      <c r="B748">
        <v>0.28760000000000002</v>
      </c>
      <c r="C748" t="str">
        <f t="shared" si="16"/>
        <v>1962 q2</v>
      </c>
    </row>
    <row r="749" spans="1:3">
      <c r="A749" s="62">
        <v>22801</v>
      </c>
      <c r="B749">
        <v>0.28660000000000002</v>
      </c>
      <c r="C749" t="str">
        <f t="shared" si="16"/>
        <v>1962 q2</v>
      </c>
    </row>
    <row r="750" spans="1:3">
      <c r="A750" s="62">
        <v>22802</v>
      </c>
      <c r="B750">
        <v>0.28660000000000002</v>
      </c>
      <c r="C750" t="str">
        <f t="shared" si="16"/>
        <v>1962 q2</v>
      </c>
    </row>
    <row r="751" spans="1:3">
      <c r="A751" s="62">
        <v>22803</v>
      </c>
      <c r="B751">
        <v>0.28749999999999998</v>
      </c>
      <c r="C751" t="str">
        <f t="shared" si="16"/>
        <v>1962 q2</v>
      </c>
    </row>
    <row r="752" spans="1:3">
      <c r="A752" s="62">
        <v>22804</v>
      </c>
      <c r="B752">
        <v>0.28799999999999998</v>
      </c>
      <c r="C752" t="str">
        <f t="shared" si="16"/>
        <v>1962 q2</v>
      </c>
    </row>
    <row r="753" spans="1:3">
      <c r="A753" s="62">
        <v>22805</v>
      </c>
      <c r="B753">
        <v>0.28810000000000002</v>
      </c>
      <c r="C753" t="str">
        <f t="shared" si="16"/>
        <v>1962 q2</v>
      </c>
    </row>
    <row r="754" spans="1:3">
      <c r="A754" s="62">
        <v>22808</v>
      </c>
      <c r="B754">
        <v>0.28789999999999999</v>
      </c>
      <c r="C754" t="str">
        <f t="shared" si="16"/>
        <v>1962 q2</v>
      </c>
    </row>
    <row r="755" spans="1:3">
      <c r="A755" s="62">
        <v>22809</v>
      </c>
      <c r="B755">
        <v>0.28720000000000001</v>
      </c>
      <c r="C755" t="str">
        <f t="shared" si="16"/>
        <v>1962 q2</v>
      </c>
    </row>
    <row r="756" spans="1:3">
      <c r="A756" s="62">
        <v>22810</v>
      </c>
      <c r="B756">
        <v>0.28720000000000001</v>
      </c>
      <c r="C756" t="str">
        <f t="shared" si="16"/>
        <v>1962 q2</v>
      </c>
    </row>
    <row r="757" spans="1:3">
      <c r="A757" s="62">
        <v>22811</v>
      </c>
      <c r="B757">
        <v>0.28620000000000001</v>
      </c>
      <c r="C757" t="str">
        <f t="shared" si="16"/>
        <v>1962 q2</v>
      </c>
    </row>
    <row r="758" spans="1:3">
      <c r="A758" s="62">
        <v>22812</v>
      </c>
      <c r="B758">
        <v>0.28699999999999998</v>
      </c>
      <c r="C758" t="str">
        <f t="shared" si="16"/>
        <v>1962 q2</v>
      </c>
    </row>
    <row r="759" spans="1:3">
      <c r="A759" s="62">
        <v>22815</v>
      </c>
      <c r="B759">
        <v>0.28739999999999999</v>
      </c>
      <c r="C759" t="str">
        <f t="shared" si="16"/>
        <v>1962 q2</v>
      </c>
    </row>
    <row r="760" spans="1:3">
      <c r="A760" s="62">
        <v>22816</v>
      </c>
      <c r="B760">
        <v>0.28620000000000001</v>
      </c>
      <c r="C760" t="str">
        <f t="shared" si="16"/>
        <v>1962 q2</v>
      </c>
    </row>
    <row r="761" spans="1:3">
      <c r="A761" s="62">
        <v>22817</v>
      </c>
      <c r="B761">
        <v>0.28620000000000001</v>
      </c>
      <c r="C761" t="str">
        <f t="shared" si="16"/>
        <v>1962 q2</v>
      </c>
    </row>
    <row r="762" spans="1:3">
      <c r="A762" s="62">
        <v>22818</v>
      </c>
      <c r="B762">
        <v>0.28399999999999997</v>
      </c>
      <c r="C762" t="str">
        <f t="shared" si="16"/>
        <v>1962 q2</v>
      </c>
    </row>
    <row r="763" spans="1:3">
      <c r="A763" s="62">
        <v>22819</v>
      </c>
      <c r="B763">
        <v>0.2848</v>
      </c>
      <c r="C763" t="str">
        <f t="shared" si="16"/>
        <v>1962 q2</v>
      </c>
    </row>
    <row r="764" spans="1:3">
      <c r="A764" s="62">
        <v>22822</v>
      </c>
      <c r="B764">
        <v>0.28349999999999997</v>
      </c>
      <c r="C764" t="str">
        <f t="shared" si="16"/>
        <v>1962 q2</v>
      </c>
    </row>
    <row r="765" spans="1:3">
      <c r="A765" s="62">
        <v>22823</v>
      </c>
      <c r="B765">
        <v>0.28389999999999999</v>
      </c>
      <c r="C765" t="str">
        <f t="shared" si="16"/>
        <v>1962 q2</v>
      </c>
    </row>
    <row r="766" spans="1:3">
      <c r="A766" s="62">
        <v>22824</v>
      </c>
      <c r="B766">
        <v>0.28460000000000002</v>
      </c>
      <c r="C766" t="str">
        <f t="shared" si="16"/>
        <v>1962 q2</v>
      </c>
    </row>
    <row r="767" spans="1:3">
      <c r="A767" s="62">
        <v>22825</v>
      </c>
      <c r="B767">
        <v>0.28520000000000001</v>
      </c>
      <c r="C767" t="str">
        <f t="shared" si="16"/>
        <v>1962 q2</v>
      </c>
    </row>
    <row r="768" spans="1:3">
      <c r="A768" s="62">
        <v>22826</v>
      </c>
      <c r="B768">
        <v>0.28499999999999998</v>
      </c>
      <c r="C768" t="str">
        <f t="shared" si="16"/>
        <v>1962 q2</v>
      </c>
    </row>
    <row r="769" spans="1:3">
      <c r="A769" s="62">
        <v>22829</v>
      </c>
      <c r="B769">
        <v>0.28589999999999999</v>
      </c>
      <c r="C769" t="str">
        <f t="shared" si="16"/>
        <v>1962 q3</v>
      </c>
    </row>
    <row r="770" spans="1:3">
      <c r="A770" s="62">
        <v>22830</v>
      </c>
      <c r="B770">
        <v>0.28649999999999998</v>
      </c>
      <c r="C770" t="str">
        <f t="shared" si="16"/>
        <v>1962 q3</v>
      </c>
    </row>
    <row r="771" spans="1:3">
      <c r="A771" s="62">
        <v>22832</v>
      </c>
      <c r="B771">
        <v>0.28639999999999999</v>
      </c>
      <c r="C771" t="str">
        <f t="shared" si="16"/>
        <v>1962 q3</v>
      </c>
    </row>
    <row r="772" spans="1:3">
      <c r="A772" s="62">
        <v>22833</v>
      </c>
      <c r="B772">
        <v>0.2878</v>
      </c>
      <c r="C772" t="str">
        <f t="shared" si="16"/>
        <v>1962 q3</v>
      </c>
    </row>
    <row r="773" spans="1:3">
      <c r="A773" s="62">
        <v>22836</v>
      </c>
      <c r="B773">
        <v>0.28789999999999999</v>
      </c>
      <c r="C773" t="str">
        <f t="shared" si="16"/>
        <v>1962 q3</v>
      </c>
    </row>
    <row r="774" spans="1:3">
      <c r="A774" s="62">
        <v>22837</v>
      </c>
      <c r="B774">
        <v>0.28539999999999999</v>
      </c>
      <c r="C774" t="str">
        <f t="shared" si="16"/>
        <v>1962 q3</v>
      </c>
    </row>
    <row r="775" spans="1:3">
      <c r="A775" s="62">
        <v>22838</v>
      </c>
      <c r="B775">
        <v>0.28199999999999997</v>
      </c>
      <c r="C775" t="str">
        <f t="shared" si="16"/>
        <v>1962 q3</v>
      </c>
    </row>
    <row r="776" spans="1:3">
      <c r="A776" s="62">
        <v>22839</v>
      </c>
      <c r="B776">
        <v>0.28260000000000002</v>
      </c>
      <c r="C776" t="str">
        <f t="shared" si="16"/>
        <v>1962 q3</v>
      </c>
    </row>
    <row r="777" spans="1:3">
      <c r="A777" s="62">
        <v>22840</v>
      </c>
      <c r="B777">
        <v>0.28270000000000001</v>
      </c>
      <c r="C777" t="str">
        <f t="shared" si="16"/>
        <v>1962 q3</v>
      </c>
    </row>
    <row r="778" spans="1:3">
      <c r="A778" s="62">
        <v>22843</v>
      </c>
      <c r="B778">
        <v>0.28149999999999997</v>
      </c>
      <c r="C778" t="str">
        <f t="shared" si="16"/>
        <v>1962 q3</v>
      </c>
    </row>
    <row r="779" spans="1:3">
      <c r="A779" s="62">
        <v>22844</v>
      </c>
      <c r="B779">
        <v>0.28179999999999999</v>
      </c>
      <c r="C779" t="str">
        <f t="shared" si="16"/>
        <v>1962 q3</v>
      </c>
    </row>
    <row r="780" spans="1:3">
      <c r="A780" s="62">
        <v>22845</v>
      </c>
      <c r="B780">
        <v>0.28110000000000002</v>
      </c>
      <c r="C780" t="str">
        <f t="shared" si="16"/>
        <v>1962 q3</v>
      </c>
    </row>
    <row r="781" spans="1:3">
      <c r="A781" s="62">
        <v>22846</v>
      </c>
      <c r="B781">
        <v>0.2828</v>
      </c>
      <c r="C781" t="str">
        <f t="shared" si="16"/>
        <v>1962 q3</v>
      </c>
    </row>
    <row r="782" spans="1:3">
      <c r="A782" s="62">
        <v>22847</v>
      </c>
      <c r="B782">
        <v>0.28339999999999999</v>
      </c>
      <c r="C782" t="str">
        <f t="shared" si="16"/>
        <v>1962 q3</v>
      </c>
    </row>
    <row r="783" spans="1:3">
      <c r="A783" s="62">
        <v>22850</v>
      </c>
      <c r="B783">
        <v>0.28220000000000001</v>
      </c>
      <c r="C783" t="str">
        <f t="shared" si="16"/>
        <v>1962 q3</v>
      </c>
    </row>
    <row r="784" spans="1:3">
      <c r="A784" s="62">
        <v>22851</v>
      </c>
      <c r="B784">
        <v>0.28399999999999997</v>
      </c>
      <c r="C784" t="str">
        <f t="shared" si="16"/>
        <v>1962 q3</v>
      </c>
    </row>
    <row r="785" spans="1:3">
      <c r="A785" s="62">
        <v>22852</v>
      </c>
      <c r="B785">
        <v>0.28499999999999998</v>
      </c>
      <c r="C785" t="str">
        <f t="shared" si="16"/>
        <v>1962 q3</v>
      </c>
    </row>
    <row r="786" spans="1:3">
      <c r="A786" s="62">
        <v>22853</v>
      </c>
      <c r="B786">
        <v>0.28439999999999999</v>
      </c>
      <c r="C786" t="str">
        <f t="shared" ref="C786:C849" si="17">YEAR(A786)&amp;" q"&amp;ROUNDUP(MONTH(A786)/3,0)</f>
        <v>1962 q3</v>
      </c>
    </row>
    <row r="787" spans="1:3">
      <c r="A787" s="62">
        <v>22854</v>
      </c>
      <c r="B787">
        <v>0.28420000000000001</v>
      </c>
      <c r="C787" t="str">
        <f t="shared" si="17"/>
        <v>1962 q3</v>
      </c>
    </row>
    <row r="788" spans="1:3">
      <c r="A788" s="62">
        <v>22857</v>
      </c>
      <c r="B788">
        <v>0.2838</v>
      </c>
      <c r="C788" t="str">
        <f t="shared" si="17"/>
        <v>1962 q3</v>
      </c>
    </row>
    <row r="789" spans="1:3">
      <c r="A789" s="62">
        <v>22858</v>
      </c>
      <c r="B789">
        <v>0.28339999999999999</v>
      </c>
      <c r="C789" t="str">
        <f t="shared" si="17"/>
        <v>1962 q3</v>
      </c>
    </row>
    <row r="790" spans="1:3">
      <c r="A790" s="62">
        <v>22859</v>
      </c>
      <c r="B790">
        <v>0.28249999999999997</v>
      </c>
      <c r="C790" t="str">
        <f t="shared" si="17"/>
        <v>1962 q3</v>
      </c>
    </row>
    <row r="791" spans="1:3">
      <c r="A791" s="62">
        <v>22860</v>
      </c>
      <c r="B791">
        <v>0.28249999999999997</v>
      </c>
      <c r="C791" t="str">
        <f t="shared" si="17"/>
        <v>1962 q3</v>
      </c>
    </row>
    <row r="792" spans="1:3">
      <c r="A792" s="62">
        <v>22861</v>
      </c>
      <c r="B792">
        <v>0.28249999999999997</v>
      </c>
      <c r="C792" t="str">
        <f t="shared" si="17"/>
        <v>1962 q3</v>
      </c>
    </row>
    <row r="793" spans="1:3">
      <c r="A793" s="62">
        <v>22864</v>
      </c>
      <c r="B793">
        <v>0.28310000000000002</v>
      </c>
      <c r="C793" t="str">
        <f t="shared" si="17"/>
        <v>1962 q3</v>
      </c>
    </row>
    <row r="794" spans="1:3">
      <c r="A794" s="62">
        <v>22865</v>
      </c>
      <c r="B794">
        <v>0.28339999999999999</v>
      </c>
      <c r="C794" t="str">
        <f t="shared" si="17"/>
        <v>1962 q3</v>
      </c>
    </row>
    <row r="795" spans="1:3">
      <c r="A795" s="62">
        <v>22866</v>
      </c>
      <c r="B795">
        <v>0.28570000000000001</v>
      </c>
      <c r="C795" t="str">
        <f t="shared" si="17"/>
        <v>1962 q3</v>
      </c>
    </row>
    <row r="796" spans="1:3">
      <c r="A796" s="62">
        <v>22867</v>
      </c>
      <c r="B796">
        <v>0.28660000000000002</v>
      </c>
      <c r="C796" t="str">
        <f t="shared" si="17"/>
        <v>1962 q3</v>
      </c>
    </row>
    <row r="797" spans="1:3">
      <c r="A797" s="62">
        <v>22868</v>
      </c>
      <c r="B797">
        <v>0.2863</v>
      </c>
      <c r="C797" t="str">
        <f t="shared" si="17"/>
        <v>1962 q3</v>
      </c>
    </row>
    <row r="798" spans="1:3">
      <c r="A798" s="62">
        <v>22871</v>
      </c>
      <c r="B798">
        <v>0.28760000000000002</v>
      </c>
      <c r="C798" t="str">
        <f t="shared" si="17"/>
        <v>1962 q3</v>
      </c>
    </row>
    <row r="799" spans="1:3">
      <c r="A799" s="62">
        <v>22872</v>
      </c>
      <c r="B799">
        <v>0.28720000000000001</v>
      </c>
      <c r="C799" t="str">
        <f t="shared" si="17"/>
        <v>1962 q3</v>
      </c>
    </row>
    <row r="800" spans="1:3">
      <c r="A800" s="62">
        <v>22873</v>
      </c>
      <c r="B800">
        <v>0.28910000000000002</v>
      </c>
      <c r="C800" t="str">
        <f t="shared" si="17"/>
        <v>1962 q3</v>
      </c>
    </row>
    <row r="801" spans="1:3">
      <c r="A801" s="62">
        <v>22874</v>
      </c>
      <c r="B801">
        <v>0.29039999999999999</v>
      </c>
      <c r="C801" t="str">
        <f t="shared" si="17"/>
        <v>1962 q3</v>
      </c>
    </row>
    <row r="802" spans="1:3">
      <c r="A802" s="62">
        <v>22875</v>
      </c>
      <c r="B802">
        <v>0.29270000000000002</v>
      </c>
      <c r="C802" t="str">
        <f t="shared" si="17"/>
        <v>1962 q3</v>
      </c>
    </row>
    <row r="803" spans="1:3">
      <c r="A803" s="62">
        <v>22878</v>
      </c>
      <c r="B803">
        <v>0.29360000000000003</v>
      </c>
      <c r="C803" t="str">
        <f t="shared" si="17"/>
        <v>1962 q3</v>
      </c>
    </row>
    <row r="804" spans="1:3">
      <c r="A804" s="62">
        <v>22879</v>
      </c>
      <c r="B804">
        <v>0.29320000000000002</v>
      </c>
      <c r="C804" t="str">
        <f t="shared" si="17"/>
        <v>1962 q3</v>
      </c>
    </row>
    <row r="805" spans="1:3">
      <c r="A805" s="62">
        <v>22880</v>
      </c>
      <c r="B805">
        <v>0.29220000000000002</v>
      </c>
      <c r="C805" t="str">
        <f t="shared" si="17"/>
        <v>1962 q3</v>
      </c>
    </row>
    <row r="806" spans="1:3">
      <c r="A806" s="62">
        <v>22881</v>
      </c>
      <c r="B806">
        <v>0.29299999999999998</v>
      </c>
      <c r="C806" t="str">
        <f t="shared" si="17"/>
        <v>1962 q3</v>
      </c>
    </row>
    <row r="807" spans="1:3">
      <c r="A807" s="62">
        <v>22882</v>
      </c>
      <c r="B807">
        <v>0.2923</v>
      </c>
      <c r="C807" t="str">
        <f t="shared" si="17"/>
        <v>1962 q3</v>
      </c>
    </row>
    <row r="808" spans="1:3">
      <c r="A808" s="62">
        <v>22885</v>
      </c>
      <c r="B808">
        <v>0.29239999999999999</v>
      </c>
      <c r="C808" t="str">
        <f t="shared" si="17"/>
        <v>1962 q3</v>
      </c>
    </row>
    <row r="809" spans="1:3">
      <c r="A809" s="62">
        <v>22886</v>
      </c>
      <c r="B809">
        <v>0.2913</v>
      </c>
      <c r="C809" t="str">
        <f t="shared" si="17"/>
        <v>1962 q3</v>
      </c>
    </row>
    <row r="810" spans="1:3">
      <c r="A810" s="62">
        <v>22887</v>
      </c>
      <c r="B810">
        <v>0.29010000000000002</v>
      </c>
      <c r="C810" t="str">
        <f t="shared" si="17"/>
        <v>1962 q3</v>
      </c>
    </row>
    <row r="811" spans="1:3">
      <c r="A811" s="62">
        <v>22888</v>
      </c>
      <c r="B811">
        <v>0.29049999999999998</v>
      </c>
      <c r="C811" t="str">
        <f t="shared" si="17"/>
        <v>1962 q3</v>
      </c>
    </row>
    <row r="812" spans="1:3">
      <c r="A812" s="62">
        <v>22889</v>
      </c>
      <c r="B812">
        <v>0.28899999999999998</v>
      </c>
      <c r="C812" t="str">
        <f t="shared" si="17"/>
        <v>1962 q3</v>
      </c>
    </row>
    <row r="813" spans="1:3">
      <c r="A813" s="62">
        <v>22893</v>
      </c>
      <c r="B813">
        <v>0.28799999999999998</v>
      </c>
      <c r="C813" t="str">
        <f t="shared" si="17"/>
        <v>1962 q3</v>
      </c>
    </row>
    <row r="814" spans="1:3">
      <c r="A814" s="62">
        <v>22894</v>
      </c>
      <c r="B814">
        <v>0.28699999999999998</v>
      </c>
      <c r="C814" t="str">
        <f t="shared" si="17"/>
        <v>1962 q3</v>
      </c>
    </row>
    <row r="815" spans="1:3">
      <c r="A815" s="62">
        <v>22895</v>
      </c>
      <c r="B815">
        <v>0.28710000000000002</v>
      </c>
      <c r="C815" t="str">
        <f t="shared" si="17"/>
        <v>1962 q3</v>
      </c>
    </row>
    <row r="816" spans="1:3">
      <c r="A816" s="62">
        <v>22896</v>
      </c>
      <c r="B816">
        <v>0.28660000000000002</v>
      </c>
      <c r="C816" t="str">
        <f t="shared" si="17"/>
        <v>1962 q3</v>
      </c>
    </row>
    <row r="817" spans="1:3">
      <c r="A817" s="62">
        <v>22899</v>
      </c>
      <c r="B817">
        <v>0.2873</v>
      </c>
      <c r="C817" t="str">
        <f t="shared" si="17"/>
        <v>1962 q3</v>
      </c>
    </row>
    <row r="818" spans="1:3">
      <c r="A818" s="62">
        <v>22900</v>
      </c>
      <c r="B818">
        <v>0.28749999999999998</v>
      </c>
      <c r="C818" t="str">
        <f t="shared" si="17"/>
        <v>1962 q3</v>
      </c>
    </row>
    <row r="819" spans="1:3">
      <c r="A819" s="62">
        <v>22901</v>
      </c>
      <c r="B819">
        <v>0.28799999999999998</v>
      </c>
      <c r="C819" t="str">
        <f t="shared" si="17"/>
        <v>1962 q3</v>
      </c>
    </row>
    <row r="820" spans="1:3">
      <c r="A820" s="62">
        <v>22902</v>
      </c>
      <c r="B820">
        <v>0.28739999999999999</v>
      </c>
      <c r="C820" t="str">
        <f t="shared" si="17"/>
        <v>1962 q3</v>
      </c>
    </row>
    <row r="821" spans="1:3">
      <c r="A821" s="62">
        <v>22903</v>
      </c>
      <c r="B821">
        <v>0.28760000000000002</v>
      </c>
      <c r="C821" t="str">
        <f t="shared" si="17"/>
        <v>1962 q3</v>
      </c>
    </row>
    <row r="822" spans="1:3">
      <c r="A822" s="62">
        <v>22906</v>
      </c>
      <c r="B822">
        <v>0.2878</v>
      </c>
      <c r="C822" t="str">
        <f t="shared" si="17"/>
        <v>1962 q3</v>
      </c>
    </row>
    <row r="823" spans="1:3">
      <c r="A823" s="62">
        <v>22907</v>
      </c>
      <c r="B823">
        <v>0.2878</v>
      </c>
      <c r="C823" t="str">
        <f t="shared" si="17"/>
        <v>1962 q3</v>
      </c>
    </row>
    <row r="824" spans="1:3">
      <c r="A824" s="62">
        <v>22908</v>
      </c>
      <c r="B824">
        <v>0.28810000000000002</v>
      </c>
      <c r="C824" t="str">
        <f t="shared" si="17"/>
        <v>1962 q3</v>
      </c>
    </row>
    <row r="825" spans="1:3">
      <c r="A825" s="62">
        <v>22909</v>
      </c>
      <c r="B825">
        <v>0.28560000000000002</v>
      </c>
      <c r="C825" t="str">
        <f t="shared" si="17"/>
        <v>1962 q3</v>
      </c>
    </row>
    <row r="826" spans="1:3">
      <c r="A826" s="62">
        <v>22910</v>
      </c>
      <c r="B826">
        <v>0.28449999999999998</v>
      </c>
      <c r="C826" t="str">
        <f t="shared" si="17"/>
        <v>1962 q3</v>
      </c>
    </row>
    <row r="827" spans="1:3">
      <c r="A827" s="62">
        <v>22913</v>
      </c>
      <c r="B827">
        <v>0.2828</v>
      </c>
      <c r="C827" t="str">
        <f t="shared" si="17"/>
        <v>1962 q3</v>
      </c>
    </row>
    <row r="828" spans="1:3">
      <c r="A828" s="62">
        <v>22914</v>
      </c>
      <c r="B828">
        <v>0.28310000000000002</v>
      </c>
      <c r="C828" t="str">
        <f t="shared" si="17"/>
        <v>1962 q3</v>
      </c>
    </row>
    <row r="829" spans="1:3">
      <c r="A829" s="62">
        <v>22915</v>
      </c>
      <c r="B829">
        <v>0.28239999999999998</v>
      </c>
      <c r="C829" t="str">
        <f t="shared" si="17"/>
        <v>1962 q3</v>
      </c>
    </row>
    <row r="830" spans="1:3">
      <c r="A830" s="62">
        <v>22916</v>
      </c>
      <c r="B830">
        <v>0.28179999999999999</v>
      </c>
      <c r="C830" t="str">
        <f t="shared" si="17"/>
        <v>1962 q3</v>
      </c>
    </row>
    <row r="831" spans="1:3">
      <c r="A831" s="62">
        <v>22917</v>
      </c>
      <c r="B831">
        <v>0.28179999999999999</v>
      </c>
      <c r="C831" t="str">
        <f t="shared" si="17"/>
        <v>1962 q3</v>
      </c>
    </row>
    <row r="832" spans="1:3">
      <c r="A832" s="62">
        <v>22920</v>
      </c>
      <c r="B832">
        <v>0.2828</v>
      </c>
      <c r="C832" t="str">
        <f t="shared" si="17"/>
        <v>1962 q4</v>
      </c>
    </row>
    <row r="833" spans="1:3">
      <c r="A833" s="62">
        <v>22921</v>
      </c>
      <c r="B833">
        <v>0.28249999999999997</v>
      </c>
      <c r="C833" t="str">
        <f t="shared" si="17"/>
        <v>1962 q4</v>
      </c>
    </row>
    <row r="834" spans="1:3">
      <c r="A834" s="62">
        <v>22922</v>
      </c>
      <c r="B834">
        <v>0.28260000000000002</v>
      </c>
      <c r="C834" t="str">
        <f t="shared" si="17"/>
        <v>1962 q4</v>
      </c>
    </row>
    <row r="835" spans="1:3">
      <c r="A835" s="62">
        <v>22923</v>
      </c>
      <c r="B835">
        <v>0.28320000000000001</v>
      </c>
      <c r="C835" t="str">
        <f t="shared" si="17"/>
        <v>1962 q4</v>
      </c>
    </row>
    <row r="836" spans="1:3">
      <c r="A836" s="62">
        <v>22924</v>
      </c>
      <c r="B836">
        <v>0.2833</v>
      </c>
      <c r="C836" t="str">
        <f t="shared" si="17"/>
        <v>1962 q4</v>
      </c>
    </row>
    <row r="837" spans="1:3">
      <c r="A837" s="62">
        <v>22927</v>
      </c>
      <c r="B837">
        <v>0.28199999999999997</v>
      </c>
      <c r="C837" t="str">
        <f t="shared" si="17"/>
        <v>1962 q4</v>
      </c>
    </row>
    <row r="838" spans="1:3">
      <c r="A838" s="62">
        <v>22928</v>
      </c>
      <c r="B838">
        <v>0.2823</v>
      </c>
      <c r="C838" t="str">
        <f t="shared" si="17"/>
        <v>1962 q4</v>
      </c>
    </row>
    <row r="839" spans="1:3">
      <c r="A839" s="62">
        <v>22929</v>
      </c>
      <c r="B839">
        <v>0.28220000000000001</v>
      </c>
      <c r="C839" t="str">
        <f t="shared" si="17"/>
        <v>1962 q4</v>
      </c>
    </row>
    <row r="840" spans="1:3">
      <c r="A840" s="62">
        <v>22930</v>
      </c>
      <c r="B840">
        <v>0.28210000000000002</v>
      </c>
      <c r="C840" t="str">
        <f t="shared" si="17"/>
        <v>1962 q4</v>
      </c>
    </row>
    <row r="841" spans="1:3">
      <c r="A841" s="62">
        <v>22931</v>
      </c>
      <c r="B841">
        <v>0.28039999999999998</v>
      </c>
      <c r="C841" t="str">
        <f t="shared" si="17"/>
        <v>1962 q4</v>
      </c>
    </row>
    <row r="842" spans="1:3">
      <c r="A842" s="62">
        <v>22934</v>
      </c>
      <c r="B842">
        <v>0.28089999999999998</v>
      </c>
      <c r="C842" t="str">
        <f t="shared" si="17"/>
        <v>1962 q4</v>
      </c>
    </row>
    <row r="843" spans="1:3">
      <c r="A843" s="62">
        <v>22935</v>
      </c>
      <c r="B843">
        <v>0.28000000000000003</v>
      </c>
      <c r="C843" t="str">
        <f t="shared" si="17"/>
        <v>1962 q4</v>
      </c>
    </row>
    <row r="844" spans="1:3">
      <c r="A844" s="62">
        <v>22936</v>
      </c>
      <c r="B844">
        <v>0.28060000000000002</v>
      </c>
      <c r="C844" t="str">
        <f t="shared" si="17"/>
        <v>1962 q4</v>
      </c>
    </row>
    <row r="845" spans="1:3">
      <c r="A845" s="62">
        <v>22937</v>
      </c>
      <c r="B845">
        <v>0.28179999999999999</v>
      </c>
      <c r="C845" t="str">
        <f t="shared" si="17"/>
        <v>1962 q4</v>
      </c>
    </row>
    <row r="846" spans="1:3">
      <c r="A846" s="62">
        <v>22938</v>
      </c>
      <c r="B846">
        <v>0.28220000000000001</v>
      </c>
      <c r="C846" t="str">
        <f t="shared" si="17"/>
        <v>1962 q4</v>
      </c>
    </row>
    <row r="847" spans="1:3">
      <c r="A847" s="62">
        <v>22941</v>
      </c>
      <c r="B847">
        <v>0.28399999999999997</v>
      </c>
      <c r="C847" t="str">
        <f t="shared" si="17"/>
        <v>1962 q4</v>
      </c>
    </row>
    <row r="848" spans="1:3">
      <c r="A848" s="62">
        <v>22942</v>
      </c>
      <c r="B848">
        <v>0.29049999999999998</v>
      </c>
      <c r="C848" t="str">
        <f t="shared" si="17"/>
        <v>1962 q4</v>
      </c>
    </row>
    <row r="849" spans="1:3">
      <c r="A849" s="62">
        <v>22943</v>
      </c>
      <c r="B849">
        <v>0.2918</v>
      </c>
      <c r="C849" t="str">
        <f t="shared" si="17"/>
        <v>1962 q4</v>
      </c>
    </row>
    <row r="850" spans="1:3">
      <c r="A850" s="62">
        <v>22944</v>
      </c>
      <c r="B850">
        <v>0.28839999999999999</v>
      </c>
      <c r="C850" t="str">
        <f t="shared" ref="C850:C913" si="18">YEAR(A850)&amp;" q"&amp;ROUNDUP(MONTH(A850)/3,0)</f>
        <v>1962 q4</v>
      </c>
    </row>
    <row r="851" spans="1:3">
      <c r="A851" s="62">
        <v>22945</v>
      </c>
      <c r="B851">
        <v>0.29170000000000001</v>
      </c>
      <c r="C851" t="str">
        <f t="shared" si="18"/>
        <v>1962 q4</v>
      </c>
    </row>
    <row r="852" spans="1:3">
      <c r="A852" s="62">
        <v>22948</v>
      </c>
      <c r="B852">
        <v>0.28660000000000002</v>
      </c>
      <c r="C852" t="str">
        <f t="shared" si="18"/>
        <v>1962 q4</v>
      </c>
    </row>
    <row r="853" spans="1:3">
      <c r="A853" s="62">
        <v>22949</v>
      </c>
      <c r="B853">
        <v>0.28699999999999998</v>
      </c>
      <c r="C853" t="str">
        <f t="shared" si="18"/>
        <v>1962 q4</v>
      </c>
    </row>
    <row r="854" spans="1:3">
      <c r="A854" s="62">
        <v>22950</v>
      </c>
      <c r="B854">
        <v>0.28720000000000001</v>
      </c>
      <c r="C854" t="str">
        <f t="shared" si="18"/>
        <v>1962 q4</v>
      </c>
    </row>
    <row r="855" spans="1:3">
      <c r="A855" s="62">
        <v>22951</v>
      </c>
      <c r="B855">
        <v>0.28849999999999998</v>
      </c>
      <c r="C855" t="str">
        <f t="shared" si="18"/>
        <v>1962 q4</v>
      </c>
    </row>
    <row r="856" spans="1:3">
      <c r="A856" s="62">
        <v>22952</v>
      </c>
      <c r="B856">
        <v>0.28870000000000001</v>
      </c>
      <c r="C856" t="str">
        <f t="shared" si="18"/>
        <v>1962 q4</v>
      </c>
    </row>
    <row r="857" spans="1:3">
      <c r="A857" s="62">
        <v>22955</v>
      </c>
      <c r="B857">
        <v>0.28810000000000002</v>
      </c>
      <c r="C857" t="str">
        <f t="shared" si="18"/>
        <v>1962 q4</v>
      </c>
    </row>
    <row r="858" spans="1:3">
      <c r="A858" s="62">
        <v>22957</v>
      </c>
      <c r="B858">
        <v>0.2888</v>
      </c>
      <c r="C858" t="str">
        <f t="shared" si="18"/>
        <v>1962 q4</v>
      </c>
    </row>
    <row r="859" spans="1:3">
      <c r="A859" s="62">
        <v>22958</v>
      </c>
      <c r="B859">
        <v>0.2878</v>
      </c>
      <c r="C859" t="str">
        <f t="shared" si="18"/>
        <v>1962 q4</v>
      </c>
    </row>
    <row r="860" spans="1:3">
      <c r="A860" s="62">
        <v>22959</v>
      </c>
      <c r="B860">
        <v>0.28760000000000002</v>
      </c>
      <c r="C860" t="str">
        <f t="shared" si="18"/>
        <v>1962 q4</v>
      </c>
    </row>
    <row r="861" spans="1:3">
      <c r="A861" s="62">
        <v>22962</v>
      </c>
      <c r="B861">
        <v>0.28820000000000001</v>
      </c>
      <c r="C861" t="str">
        <f t="shared" si="18"/>
        <v>1962 q4</v>
      </c>
    </row>
    <row r="862" spans="1:3">
      <c r="A862" s="62">
        <v>22963</v>
      </c>
      <c r="B862">
        <v>0.28799999999999998</v>
      </c>
      <c r="C862" t="str">
        <f t="shared" si="18"/>
        <v>1962 q4</v>
      </c>
    </row>
    <row r="863" spans="1:3">
      <c r="A863" s="62">
        <v>22964</v>
      </c>
      <c r="B863">
        <v>0.28839999999999999</v>
      </c>
      <c r="C863" t="str">
        <f t="shared" si="18"/>
        <v>1962 q4</v>
      </c>
    </row>
    <row r="864" spans="1:3">
      <c r="A864" s="62">
        <v>22965</v>
      </c>
      <c r="B864">
        <v>0.28849999999999998</v>
      </c>
      <c r="C864" t="str">
        <f t="shared" si="18"/>
        <v>1962 q4</v>
      </c>
    </row>
    <row r="865" spans="1:3">
      <c r="A865" s="62">
        <v>22966</v>
      </c>
      <c r="B865">
        <v>0.28860000000000002</v>
      </c>
      <c r="C865" t="str">
        <f t="shared" si="18"/>
        <v>1962 q4</v>
      </c>
    </row>
    <row r="866" spans="1:3">
      <c r="A866" s="62">
        <v>22969</v>
      </c>
      <c r="B866">
        <v>0.28920000000000001</v>
      </c>
      <c r="C866" t="str">
        <f t="shared" si="18"/>
        <v>1962 q4</v>
      </c>
    </row>
    <row r="867" spans="1:3">
      <c r="A867" s="62">
        <v>22970</v>
      </c>
      <c r="B867">
        <v>0.2888</v>
      </c>
      <c r="C867" t="str">
        <f t="shared" si="18"/>
        <v>1962 q4</v>
      </c>
    </row>
    <row r="868" spans="1:3">
      <c r="A868" s="62">
        <v>22971</v>
      </c>
      <c r="B868">
        <v>0.28810000000000002</v>
      </c>
      <c r="C868" t="str">
        <f t="shared" si="18"/>
        <v>1962 q4</v>
      </c>
    </row>
    <row r="869" spans="1:3">
      <c r="A869" s="62">
        <v>22973</v>
      </c>
      <c r="B869">
        <v>0.28739999999999999</v>
      </c>
      <c r="C869" t="str">
        <f t="shared" si="18"/>
        <v>1962 q4</v>
      </c>
    </row>
    <row r="870" spans="1:3">
      <c r="A870" s="62">
        <v>22976</v>
      </c>
      <c r="B870">
        <v>0.28739999999999999</v>
      </c>
      <c r="C870" t="str">
        <f t="shared" si="18"/>
        <v>1962 q4</v>
      </c>
    </row>
    <row r="871" spans="1:3">
      <c r="A871" s="62">
        <v>22977</v>
      </c>
      <c r="B871">
        <v>0.28660000000000002</v>
      </c>
      <c r="C871" t="str">
        <f t="shared" si="18"/>
        <v>1962 q4</v>
      </c>
    </row>
    <row r="872" spans="1:3">
      <c r="A872" s="62">
        <v>22978</v>
      </c>
      <c r="B872">
        <v>0.28689999999999999</v>
      </c>
      <c r="C872" t="str">
        <f t="shared" si="18"/>
        <v>1962 q4</v>
      </c>
    </row>
    <row r="873" spans="1:3">
      <c r="A873" s="62">
        <v>22979</v>
      </c>
      <c r="B873">
        <v>0.2863</v>
      </c>
      <c r="C873" t="str">
        <f t="shared" si="18"/>
        <v>1962 q4</v>
      </c>
    </row>
    <row r="874" spans="1:3">
      <c r="A874" s="62">
        <v>22980</v>
      </c>
      <c r="B874">
        <v>0.2878</v>
      </c>
      <c r="C874" t="str">
        <f t="shared" si="18"/>
        <v>1962 q4</v>
      </c>
    </row>
    <row r="875" spans="1:3">
      <c r="A875" s="62">
        <v>22983</v>
      </c>
      <c r="B875">
        <v>0.28710000000000002</v>
      </c>
      <c r="C875" t="str">
        <f t="shared" si="18"/>
        <v>1962 q4</v>
      </c>
    </row>
    <row r="876" spans="1:3">
      <c r="A876" s="62">
        <v>22984</v>
      </c>
      <c r="B876">
        <v>0.28670000000000001</v>
      </c>
      <c r="C876" t="str">
        <f t="shared" si="18"/>
        <v>1962 q4</v>
      </c>
    </row>
    <row r="877" spans="1:3">
      <c r="A877" s="62">
        <v>22985</v>
      </c>
      <c r="B877">
        <v>0.2853</v>
      </c>
      <c r="C877" t="str">
        <f t="shared" si="18"/>
        <v>1962 q4</v>
      </c>
    </row>
    <row r="878" spans="1:3">
      <c r="A878" s="62">
        <v>22986</v>
      </c>
      <c r="B878">
        <v>0.28510000000000002</v>
      </c>
      <c r="C878" t="str">
        <f t="shared" si="18"/>
        <v>1962 q4</v>
      </c>
    </row>
    <row r="879" spans="1:3">
      <c r="A879" s="62">
        <v>22987</v>
      </c>
      <c r="B879">
        <v>0.28460000000000002</v>
      </c>
      <c r="C879" t="str">
        <f t="shared" si="18"/>
        <v>1962 q4</v>
      </c>
    </row>
    <row r="880" spans="1:3">
      <c r="A880" s="62">
        <v>22990</v>
      </c>
      <c r="B880">
        <v>0.28520000000000001</v>
      </c>
      <c r="C880" t="str">
        <f t="shared" si="18"/>
        <v>1962 q4</v>
      </c>
    </row>
    <row r="881" spans="1:3">
      <c r="A881" s="62">
        <v>22991</v>
      </c>
      <c r="B881">
        <v>0.28610000000000002</v>
      </c>
      <c r="C881" t="str">
        <f t="shared" si="18"/>
        <v>1962 q4</v>
      </c>
    </row>
    <row r="882" spans="1:3">
      <c r="A882" s="62">
        <v>22992</v>
      </c>
      <c r="B882">
        <v>0.28689999999999999</v>
      </c>
      <c r="C882" t="str">
        <f t="shared" si="18"/>
        <v>1962 q4</v>
      </c>
    </row>
    <row r="883" spans="1:3">
      <c r="A883" s="62">
        <v>22993</v>
      </c>
      <c r="B883">
        <v>0.28670000000000001</v>
      </c>
      <c r="C883" t="str">
        <f t="shared" si="18"/>
        <v>1962 q4</v>
      </c>
    </row>
    <row r="884" spans="1:3">
      <c r="A884" s="62">
        <v>22994</v>
      </c>
      <c r="B884">
        <v>0.28639999999999999</v>
      </c>
      <c r="C884" t="str">
        <f t="shared" si="18"/>
        <v>1962 q4</v>
      </c>
    </row>
    <row r="885" spans="1:3">
      <c r="A885" s="62">
        <v>22997</v>
      </c>
      <c r="B885">
        <v>0.28760000000000002</v>
      </c>
      <c r="C885" t="str">
        <f t="shared" si="18"/>
        <v>1962 q4</v>
      </c>
    </row>
    <row r="886" spans="1:3">
      <c r="A886" s="62">
        <v>22998</v>
      </c>
      <c r="B886">
        <v>0.28799999999999998</v>
      </c>
      <c r="C886" t="str">
        <f t="shared" si="18"/>
        <v>1962 q4</v>
      </c>
    </row>
    <row r="887" spans="1:3">
      <c r="A887" s="62">
        <v>22999</v>
      </c>
      <c r="B887">
        <v>0.28789999999999999</v>
      </c>
      <c r="C887" t="str">
        <f t="shared" si="18"/>
        <v>1962 q4</v>
      </c>
    </row>
    <row r="888" spans="1:3">
      <c r="A888" s="62">
        <v>23000</v>
      </c>
      <c r="B888">
        <v>0.28770000000000001</v>
      </c>
      <c r="C888" t="str">
        <f t="shared" si="18"/>
        <v>1962 q4</v>
      </c>
    </row>
    <row r="889" spans="1:3">
      <c r="A889" s="62">
        <v>23001</v>
      </c>
      <c r="B889">
        <v>0.2878</v>
      </c>
      <c r="C889" t="str">
        <f t="shared" si="18"/>
        <v>1962 q4</v>
      </c>
    </row>
    <row r="890" spans="1:3">
      <c r="A890" s="62">
        <v>23006</v>
      </c>
      <c r="B890">
        <v>0.28820000000000001</v>
      </c>
      <c r="C890" t="str">
        <f t="shared" si="18"/>
        <v>1962 q4</v>
      </c>
    </row>
    <row r="891" spans="1:3">
      <c r="A891" s="62">
        <v>23007</v>
      </c>
      <c r="B891">
        <v>0.2878</v>
      </c>
      <c r="C891" t="str">
        <f t="shared" si="18"/>
        <v>1962 q4</v>
      </c>
    </row>
    <row r="892" spans="1:3">
      <c r="A892" s="62">
        <v>23008</v>
      </c>
      <c r="B892">
        <v>0.28870000000000001</v>
      </c>
      <c r="C892" t="str">
        <f t="shared" si="18"/>
        <v>1962 q4</v>
      </c>
    </row>
    <row r="893" spans="1:3">
      <c r="A893" s="62">
        <v>23011</v>
      </c>
      <c r="B893">
        <v>0.28789999999999999</v>
      </c>
      <c r="C893" t="str">
        <f t="shared" si="18"/>
        <v>1962 q4</v>
      </c>
    </row>
    <row r="894" spans="1:3">
      <c r="A894" s="62">
        <v>23013</v>
      </c>
      <c r="B894">
        <v>0.28699999999999998</v>
      </c>
      <c r="C894" t="str">
        <f t="shared" si="18"/>
        <v>1963 q1</v>
      </c>
    </row>
    <row r="895" spans="1:3">
      <c r="A895" s="62">
        <v>23014</v>
      </c>
      <c r="B895">
        <v>0.2883</v>
      </c>
      <c r="C895" t="str">
        <f t="shared" si="18"/>
        <v>1963 q1</v>
      </c>
    </row>
    <row r="896" spans="1:3">
      <c r="A896" s="62">
        <v>23015</v>
      </c>
      <c r="B896">
        <v>0.28889999999999999</v>
      </c>
      <c r="C896" t="str">
        <f t="shared" si="18"/>
        <v>1963 q1</v>
      </c>
    </row>
    <row r="897" spans="1:3">
      <c r="A897" s="62">
        <v>23018</v>
      </c>
      <c r="B897">
        <v>0.28970000000000001</v>
      </c>
      <c r="C897" t="str">
        <f t="shared" si="18"/>
        <v>1963 q1</v>
      </c>
    </row>
    <row r="898" spans="1:3">
      <c r="A898" s="62">
        <v>23019</v>
      </c>
      <c r="B898">
        <v>0.28939999999999999</v>
      </c>
      <c r="C898" t="str">
        <f t="shared" si="18"/>
        <v>1963 q1</v>
      </c>
    </row>
    <row r="899" spans="1:3">
      <c r="A899" s="62">
        <v>23020</v>
      </c>
      <c r="B899">
        <v>0.2898</v>
      </c>
      <c r="C899" t="str">
        <f t="shared" si="18"/>
        <v>1963 q1</v>
      </c>
    </row>
    <row r="900" spans="1:3">
      <c r="A900" s="62">
        <v>23021</v>
      </c>
      <c r="B900">
        <v>0.29099999999999998</v>
      </c>
      <c r="C900" t="str">
        <f t="shared" si="18"/>
        <v>1963 q1</v>
      </c>
    </row>
    <row r="901" spans="1:3">
      <c r="A901" s="62">
        <v>23022</v>
      </c>
      <c r="B901">
        <v>0.29199999999999998</v>
      </c>
      <c r="C901" t="str">
        <f t="shared" si="18"/>
        <v>1963 q1</v>
      </c>
    </row>
    <row r="902" spans="1:3">
      <c r="A902" s="62">
        <v>23025</v>
      </c>
      <c r="B902">
        <v>0.29270000000000002</v>
      </c>
      <c r="C902" t="str">
        <f t="shared" si="18"/>
        <v>1963 q1</v>
      </c>
    </row>
    <row r="903" spans="1:3">
      <c r="A903" s="62">
        <v>23026</v>
      </c>
      <c r="B903">
        <v>0.29020000000000001</v>
      </c>
      <c r="C903" t="str">
        <f t="shared" si="18"/>
        <v>1963 q1</v>
      </c>
    </row>
    <row r="904" spans="1:3">
      <c r="A904" s="62">
        <v>23027</v>
      </c>
      <c r="B904">
        <v>0.28920000000000001</v>
      </c>
      <c r="C904" t="str">
        <f t="shared" si="18"/>
        <v>1963 q1</v>
      </c>
    </row>
    <row r="905" spans="1:3">
      <c r="A905" s="62">
        <v>23028</v>
      </c>
      <c r="B905">
        <v>0.29010000000000002</v>
      </c>
      <c r="C905" t="str">
        <f t="shared" si="18"/>
        <v>1963 q1</v>
      </c>
    </row>
    <row r="906" spans="1:3">
      <c r="A906" s="62">
        <v>23029</v>
      </c>
      <c r="B906">
        <v>0.29060000000000002</v>
      </c>
      <c r="C906" t="str">
        <f t="shared" si="18"/>
        <v>1963 q1</v>
      </c>
    </row>
    <row r="907" spans="1:3">
      <c r="A907" s="62">
        <v>23032</v>
      </c>
      <c r="B907">
        <v>0.29020000000000001</v>
      </c>
      <c r="C907" t="str">
        <f t="shared" si="18"/>
        <v>1963 q1</v>
      </c>
    </row>
    <row r="908" spans="1:3">
      <c r="A908" s="62">
        <v>23033</v>
      </c>
      <c r="B908">
        <v>0.29099999999999998</v>
      </c>
      <c r="C908" t="str">
        <f t="shared" si="18"/>
        <v>1963 q1</v>
      </c>
    </row>
    <row r="909" spans="1:3">
      <c r="A909" s="62">
        <v>23034</v>
      </c>
      <c r="B909">
        <v>0.2918</v>
      </c>
      <c r="C909" t="str">
        <f t="shared" si="18"/>
        <v>1963 q1</v>
      </c>
    </row>
    <row r="910" spans="1:3">
      <c r="A910" s="62">
        <v>23035</v>
      </c>
      <c r="B910">
        <v>0.29199999999999998</v>
      </c>
      <c r="C910" t="str">
        <f t="shared" si="18"/>
        <v>1963 q1</v>
      </c>
    </row>
    <row r="911" spans="1:3">
      <c r="A911" s="62">
        <v>23036</v>
      </c>
      <c r="B911">
        <v>0.29249999999999998</v>
      </c>
      <c r="C911" t="str">
        <f t="shared" si="18"/>
        <v>1963 q1</v>
      </c>
    </row>
    <row r="912" spans="1:3">
      <c r="A912" s="62">
        <v>23039</v>
      </c>
      <c r="B912">
        <v>0.29120000000000001</v>
      </c>
      <c r="C912" t="str">
        <f t="shared" si="18"/>
        <v>1963 q1</v>
      </c>
    </row>
    <row r="913" spans="1:3">
      <c r="A913" s="62">
        <v>23040</v>
      </c>
      <c r="B913">
        <v>0.29120000000000001</v>
      </c>
      <c r="C913" t="str">
        <f t="shared" si="18"/>
        <v>1963 q1</v>
      </c>
    </row>
    <row r="914" spans="1:3">
      <c r="A914" s="62">
        <v>23041</v>
      </c>
      <c r="B914">
        <v>0.29189999999999999</v>
      </c>
      <c r="C914" t="str">
        <f t="shared" ref="C914:C977" si="19">YEAR(A914)&amp;" q"&amp;ROUNDUP(MONTH(A914)/3,0)</f>
        <v>1963 q1</v>
      </c>
    </row>
    <row r="915" spans="1:3">
      <c r="A915" s="62">
        <v>23042</v>
      </c>
      <c r="B915">
        <v>0.29220000000000002</v>
      </c>
      <c r="C915" t="str">
        <f t="shared" si="19"/>
        <v>1963 q1</v>
      </c>
    </row>
    <row r="916" spans="1:3">
      <c r="A916" s="62">
        <v>23043</v>
      </c>
      <c r="B916">
        <v>0.2918</v>
      </c>
      <c r="C916" t="str">
        <f t="shared" si="19"/>
        <v>1963 q1</v>
      </c>
    </row>
    <row r="917" spans="1:3">
      <c r="A917" s="62">
        <v>23046</v>
      </c>
      <c r="B917">
        <v>0.29210000000000003</v>
      </c>
      <c r="C917" t="str">
        <f t="shared" si="19"/>
        <v>1963 q1</v>
      </c>
    </row>
    <row r="918" spans="1:3">
      <c r="A918" s="62">
        <v>23047</v>
      </c>
      <c r="B918">
        <v>0.29299999999999998</v>
      </c>
      <c r="C918" t="str">
        <f t="shared" si="19"/>
        <v>1963 q1</v>
      </c>
    </row>
    <row r="919" spans="1:3">
      <c r="A919" s="62">
        <v>23048</v>
      </c>
      <c r="B919">
        <v>0.29299999999999998</v>
      </c>
      <c r="C919" t="str">
        <f t="shared" si="19"/>
        <v>1963 q1</v>
      </c>
    </row>
    <row r="920" spans="1:3">
      <c r="A920" s="62">
        <v>23049</v>
      </c>
      <c r="B920">
        <v>0.29289999999999999</v>
      </c>
      <c r="C920" t="str">
        <f t="shared" si="19"/>
        <v>1963 q1</v>
      </c>
    </row>
    <row r="921" spans="1:3">
      <c r="A921" s="62">
        <v>23050</v>
      </c>
      <c r="B921">
        <v>0.29349999999999998</v>
      </c>
      <c r="C921" t="str">
        <f t="shared" si="19"/>
        <v>1963 q1</v>
      </c>
    </row>
    <row r="922" spans="1:3">
      <c r="A922" s="62">
        <v>23053</v>
      </c>
      <c r="B922">
        <v>0.29399999999999998</v>
      </c>
      <c r="C922" t="str">
        <f t="shared" si="19"/>
        <v>1963 q1</v>
      </c>
    </row>
    <row r="923" spans="1:3">
      <c r="A923" s="62">
        <v>23054</v>
      </c>
      <c r="B923">
        <v>0.2949</v>
      </c>
      <c r="C923" t="str">
        <f t="shared" si="19"/>
        <v>1963 q1</v>
      </c>
    </row>
    <row r="924" spans="1:3">
      <c r="A924" s="62">
        <v>23055</v>
      </c>
      <c r="B924">
        <v>0.29530000000000001</v>
      </c>
      <c r="C924" t="str">
        <f t="shared" si="19"/>
        <v>1963 q1</v>
      </c>
    </row>
    <row r="925" spans="1:3">
      <c r="A925" s="62">
        <v>23056</v>
      </c>
      <c r="B925">
        <v>0.29399999999999998</v>
      </c>
      <c r="C925" t="str">
        <f t="shared" si="19"/>
        <v>1963 q1</v>
      </c>
    </row>
    <row r="926" spans="1:3">
      <c r="A926" s="62">
        <v>23057</v>
      </c>
      <c r="B926">
        <v>0.29380000000000001</v>
      </c>
      <c r="C926" t="str">
        <f t="shared" si="19"/>
        <v>1963 q1</v>
      </c>
    </row>
    <row r="927" spans="1:3">
      <c r="A927" s="62">
        <v>23060</v>
      </c>
      <c r="B927">
        <v>0.29370000000000002</v>
      </c>
      <c r="C927" t="str">
        <f t="shared" si="19"/>
        <v>1963 q1</v>
      </c>
    </row>
    <row r="928" spans="1:3">
      <c r="A928" s="62">
        <v>23061</v>
      </c>
      <c r="B928">
        <v>0.2949</v>
      </c>
      <c r="C928" t="str">
        <f t="shared" si="19"/>
        <v>1963 q1</v>
      </c>
    </row>
    <row r="929" spans="1:3">
      <c r="A929" s="62">
        <v>23062</v>
      </c>
      <c r="B929">
        <v>0.29499999999999998</v>
      </c>
      <c r="C929" t="str">
        <f t="shared" si="19"/>
        <v>1963 q1</v>
      </c>
    </row>
    <row r="930" spans="1:3">
      <c r="A930" s="62">
        <v>23063</v>
      </c>
      <c r="B930">
        <v>0.29530000000000001</v>
      </c>
      <c r="C930" t="str">
        <f t="shared" si="19"/>
        <v>1963 q1</v>
      </c>
    </row>
    <row r="931" spans="1:3">
      <c r="A931" s="62">
        <v>23067</v>
      </c>
      <c r="B931">
        <v>0.29509999999999997</v>
      </c>
      <c r="C931" t="str">
        <f t="shared" si="19"/>
        <v>1963 q1</v>
      </c>
    </row>
    <row r="932" spans="1:3">
      <c r="A932" s="62">
        <v>23068</v>
      </c>
      <c r="B932">
        <v>0.29480000000000001</v>
      </c>
      <c r="C932" t="str">
        <f t="shared" si="19"/>
        <v>1963 q1</v>
      </c>
    </row>
    <row r="933" spans="1:3">
      <c r="A933" s="62">
        <v>23069</v>
      </c>
      <c r="B933">
        <v>0.29499999999999998</v>
      </c>
      <c r="C933" t="str">
        <f t="shared" si="19"/>
        <v>1963 q1</v>
      </c>
    </row>
    <row r="934" spans="1:3">
      <c r="A934" s="62">
        <v>23070</v>
      </c>
      <c r="B934">
        <v>0.29480000000000001</v>
      </c>
      <c r="C934" t="str">
        <f t="shared" si="19"/>
        <v>1963 q1</v>
      </c>
    </row>
    <row r="935" spans="1:3">
      <c r="A935" s="62">
        <v>23071</v>
      </c>
      <c r="B935">
        <v>0.29420000000000002</v>
      </c>
      <c r="C935" t="str">
        <f t="shared" si="19"/>
        <v>1963 q1</v>
      </c>
    </row>
    <row r="936" spans="1:3">
      <c r="A936" s="62">
        <v>23074</v>
      </c>
      <c r="B936">
        <v>0.29430000000000001</v>
      </c>
      <c r="C936" t="str">
        <f t="shared" si="19"/>
        <v>1963 q1</v>
      </c>
    </row>
    <row r="937" spans="1:3">
      <c r="A937" s="62">
        <v>23075</v>
      </c>
      <c r="B937">
        <v>0.29399999999999998</v>
      </c>
      <c r="C937" t="str">
        <f t="shared" si="19"/>
        <v>1963 q1</v>
      </c>
    </row>
    <row r="938" spans="1:3">
      <c r="A938" s="62">
        <v>23076</v>
      </c>
      <c r="B938">
        <v>0.29389999999999999</v>
      </c>
      <c r="C938" t="str">
        <f t="shared" si="19"/>
        <v>1963 q1</v>
      </c>
    </row>
    <row r="939" spans="1:3">
      <c r="A939" s="62">
        <v>23077</v>
      </c>
      <c r="B939">
        <v>0.29370000000000002</v>
      </c>
      <c r="C939" t="str">
        <f t="shared" si="19"/>
        <v>1963 q1</v>
      </c>
    </row>
    <row r="940" spans="1:3">
      <c r="A940" s="62">
        <v>23078</v>
      </c>
      <c r="B940">
        <v>0.29289999999999999</v>
      </c>
      <c r="C940" t="str">
        <f t="shared" si="19"/>
        <v>1963 q1</v>
      </c>
    </row>
    <row r="941" spans="1:3">
      <c r="A941" s="62">
        <v>23081</v>
      </c>
      <c r="B941">
        <v>0.29349999999999998</v>
      </c>
      <c r="C941" t="str">
        <f t="shared" si="19"/>
        <v>1963 q1</v>
      </c>
    </row>
    <row r="942" spans="1:3">
      <c r="A942" s="62">
        <v>23082</v>
      </c>
      <c r="B942">
        <v>0.29549999999999998</v>
      </c>
      <c r="C942" t="str">
        <f t="shared" si="19"/>
        <v>1963 q1</v>
      </c>
    </row>
    <row r="943" spans="1:3">
      <c r="A943" s="62">
        <v>23083</v>
      </c>
      <c r="B943">
        <v>0.29530000000000001</v>
      </c>
      <c r="C943" t="str">
        <f t="shared" si="19"/>
        <v>1963 q1</v>
      </c>
    </row>
    <row r="944" spans="1:3">
      <c r="A944" s="62">
        <v>23084</v>
      </c>
      <c r="B944">
        <v>0.29509999999999997</v>
      </c>
      <c r="C944" t="str">
        <f t="shared" si="19"/>
        <v>1963 q1</v>
      </c>
    </row>
    <row r="945" spans="1:3">
      <c r="A945" s="62">
        <v>23085</v>
      </c>
      <c r="B945">
        <v>0.29520000000000002</v>
      </c>
      <c r="C945" t="str">
        <f t="shared" si="19"/>
        <v>1963 q1</v>
      </c>
    </row>
    <row r="946" spans="1:3">
      <c r="A946" s="62">
        <v>23088</v>
      </c>
      <c r="B946">
        <v>0.29620000000000002</v>
      </c>
      <c r="C946" t="str">
        <f t="shared" si="19"/>
        <v>1963 q1</v>
      </c>
    </row>
    <row r="947" spans="1:3">
      <c r="A947" s="62">
        <v>23089</v>
      </c>
      <c r="B947">
        <v>0.2964</v>
      </c>
      <c r="C947" t="str">
        <f t="shared" si="19"/>
        <v>1963 q1</v>
      </c>
    </row>
    <row r="948" spans="1:3">
      <c r="A948" s="62">
        <v>23090</v>
      </c>
      <c r="B948">
        <v>0.29699999999999999</v>
      </c>
      <c r="C948" t="str">
        <f t="shared" si="19"/>
        <v>1963 q1</v>
      </c>
    </row>
    <row r="949" spans="1:3">
      <c r="A949" s="62">
        <v>23091</v>
      </c>
      <c r="B949">
        <v>0.29749999999999999</v>
      </c>
      <c r="C949" t="str">
        <f t="shared" si="19"/>
        <v>1963 q1</v>
      </c>
    </row>
    <row r="950" spans="1:3">
      <c r="A950" s="62">
        <v>23092</v>
      </c>
      <c r="B950">
        <v>0.29730000000000001</v>
      </c>
      <c r="C950" t="str">
        <f t="shared" si="19"/>
        <v>1963 q1</v>
      </c>
    </row>
    <row r="951" spans="1:3">
      <c r="A951" s="62">
        <v>23095</v>
      </c>
      <c r="B951">
        <v>0.29709999999999998</v>
      </c>
      <c r="C951" t="str">
        <f t="shared" si="19"/>
        <v>1963 q1</v>
      </c>
    </row>
    <row r="952" spans="1:3">
      <c r="A952" s="62">
        <v>23096</v>
      </c>
      <c r="B952">
        <v>0.29799999999999999</v>
      </c>
      <c r="C952" t="str">
        <f t="shared" si="19"/>
        <v>1963 q1</v>
      </c>
    </row>
    <row r="953" spans="1:3">
      <c r="A953" s="62">
        <v>23097</v>
      </c>
      <c r="B953">
        <v>0.29770000000000002</v>
      </c>
      <c r="C953" t="str">
        <f t="shared" si="19"/>
        <v>1963 q1</v>
      </c>
    </row>
    <row r="954" spans="1:3">
      <c r="A954" s="62">
        <v>23098</v>
      </c>
      <c r="B954">
        <v>0.29870000000000002</v>
      </c>
      <c r="C954" t="str">
        <f t="shared" si="19"/>
        <v>1963 q1</v>
      </c>
    </row>
    <row r="955" spans="1:3">
      <c r="A955" s="62">
        <v>23099</v>
      </c>
      <c r="B955">
        <v>0.29849999999999999</v>
      </c>
      <c r="C955" t="str">
        <f t="shared" si="19"/>
        <v>1963 q1</v>
      </c>
    </row>
    <row r="956" spans="1:3">
      <c r="A956" s="62">
        <v>23102</v>
      </c>
      <c r="B956">
        <v>0.29799999999999999</v>
      </c>
      <c r="C956" t="str">
        <f t="shared" si="19"/>
        <v>1963 q2</v>
      </c>
    </row>
    <row r="957" spans="1:3">
      <c r="A957" s="62">
        <v>23103</v>
      </c>
      <c r="B957">
        <v>0.29830000000000001</v>
      </c>
      <c r="C957" t="str">
        <f t="shared" si="19"/>
        <v>1963 q2</v>
      </c>
    </row>
    <row r="958" spans="1:3">
      <c r="A958" s="62">
        <v>23104</v>
      </c>
      <c r="B958">
        <v>0.29849999999999999</v>
      </c>
      <c r="C958" t="str">
        <f t="shared" si="19"/>
        <v>1963 q2</v>
      </c>
    </row>
    <row r="959" spans="1:3">
      <c r="A959" s="62">
        <v>23105</v>
      </c>
      <c r="B959">
        <v>0.29749999999999999</v>
      </c>
      <c r="C959" t="str">
        <f t="shared" si="19"/>
        <v>1963 q2</v>
      </c>
    </row>
    <row r="960" spans="1:3">
      <c r="A960" s="62">
        <v>23106</v>
      </c>
      <c r="B960">
        <v>0.2984</v>
      </c>
      <c r="C960" t="str">
        <f t="shared" si="19"/>
        <v>1963 q2</v>
      </c>
    </row>
    <row r="961" spans="1:3">
      <c r="A961" s="62">
        <v>23109</v>
      </c>
      <c r="B961">
        <v>0.29949999999999999</v>
      </c>
      <c r="C961" t="str">
        <f t="shared" si="19"/>
        <v>1963 q2</v>
      </c>
    </row>
    <row r="962" spans="1:3">
      <c r="A962" s="62">
        <v>23110</v>
      </c>
      <c r="B962">
        <v>0.30080000000000001</v>
      </c>
      <c r="C962" t="str">
        <f t="shared" si="19"/>
        <v>1963 q2</v>
      </c>
    </row>
    <row r="963" spans="1:3">
      <c r="A963" s="62">
        <v>23111</v>
      </c>
      <c r="B963">
        <v>0.29949999999999999</v>
      </c>
      <c r="C963" t="str">
        <f t="shared" si="19"/>
        <v>1963 q2</v>
      </c>
    </row>
    <row r="964" spans="1:3">
      <c r="A964" s="62">
        <v>23112</v>
      </c>
      <c r="B964">
        <v>0.3</v>
      </c>
      <c r="C964" t="str">
        <f t="shared" si="19"/>
        <v>1963 q2</v>
      </c>
    </row>
    <row r="965" spans="1:3">
      <c r="A965" s="62">
        <v>23116</v>
      </c>
      <c r="B965">
        <v>0.3</v>
      </c>
      <c r="C965" t="str">
        <f t="shared" si="19"/>
        <v>1963 q2</v>
      </c>
    </row>
    <row r="966" spans="1:3">
      <c r="A966" s="62">
        <v>23117</v>
      </c>
      <c r="B966">
        <v>0.30120000000000002</v>
      </c>
      <c r="C966" t="str">
        <f t="shared" si="19"/>
        <v>1963 q2</v>
      </c>
    </row>
    <row r="967" spans="1:3">
      <c r="A967" s="62">
        <v>23118</v>
      </c>
      <c r="B967">
        <v>0.30120000000000002</v>
      </c>
      <c r="C967" t="str">
        <f t="shared" si="19"/>
        <v>1963 q2</v>
      </c>
    </row>
    <row r="968" spans="1:3">
      <c r="A968" s="62">
        <v>23119</v>
      </c>
      <c r="B968">
        <v>0.29909999999999998</v>
      </c>
      <c r="C968" t="str">
        <f t="shared" si="19"/>
        <v>1963 q2</v>
      </c>
    </row>
    <row r="969" spans="1:3">
      <c r="A969" s="62">
        <v>23120</v>
      </c>
      <c r="B969">
        <v>0.29899999999999999</v>
      </c>
      <c r="C969" t="str">
        <f t="shared" si="19"/>
        <v>1963 q2</v>
      </c>
    </row>
    <row r="970" spans="1:3">
      <c r="A970" s="62">
        <v>23123</v>
      </c>
      <c r="B970">
        <v>0.29849999999999999</v>
      </c>
      <c r="C970" t="str">
        <f t="shared" si="19"/>
        <v>1963 q2</v>
      </c>
    </row>
    <row r="971" spans="1:3">
      <c r="A971" s="62">
        <v>23124</v>
      </c>
      <c r="B971">
        <v>0.29730000000000001</v>
      </c>
      <c r="C971" t="str">
        <f t="shared" si="19"/>
        <v>1963 q2</v>
      </c>
    </row>
    <row r="972" spans="1:3">
      <c r="A972" s="62">
        <v>23125</v>
      </c>
      <c r="B972">
        <v>0.29730000000000001</v>
      </c>
      <c r="C972" t="str">
        <f t="shared" si="19"/>
        <v>1963 q2</v>
      </c>
    </row>
    <row r="973" spans="1:3">
      <c r="A973" s="62">
        <v>23126</v>
      </c>
      <c r="B973">
        <v>0.29820000000000002</v>
      </c>
      <c r="C973" t="str">
        <f t="shared" si="19"/>
        <v>1963 q2</v>
      </c>
    </row>
    <row r="974" spans="1:3">
      <c r="A974" s="62">
        <v>23127</v>
      </c>
      <c r="B974">
        <v>0.29730000000000001</v>
      </c>
      <c r="C974" t="str">
        <f t="shared" si="19"/>
        <v>1963 q2</v>
      </c>
    </row>
    <row r="975" spans="1:3">
      <c r="A975" s="62">
        <v>23130</v>
      </c>
      <c r="B975">
        <v>0.29699999999999999</v>
      </c>
      <c r="C975" t="str">
        <f t="shared" si="19"/>
        <v>1963 q2</v>
      </c>
    </row>
    <row r="976" spans="1:3">
      <c r="A976" s="62">
        <v>23131</v>
      </c>
      <c r="B976">
        <v>0.29809999999999998</v>
      </c>
      <c r="C976" t="str">
        <f t="shared" si="19"/>
        <v>1963 q2</v>
      </c>
    </row>
    <row r="977" spans="1:3">
      <c r="A977" s="62">
        <v>23132</v>
      </c>
      <c r="B977">
        <v>0.29870000000000002</v>
      </c>
      <c r="C977" t="str">
        <f t="shared" si="19"/>
        <v>1963 q2</v>
      </c>
    </row>
    <row r="978" spans="1:3">
      <c r="A978" s="62">
        <v>23133</v>
      </c>
      <c r="B978">
        <v>0.29820000000000002</v>
      </c>
      <c r="C978" t="str">
        <f t="shared" ref="C978:C1041" si="20">YEAR(A978)&amp;" q"&amp;ROUNDUP(MONTH(A978)/3,0)</f>
        <v>1963 q2</v>
      </c>
    </row>
    <row r="979" spans="1:3">
      <c r="A979" s="62">
        <v>23134</v>
      </c>
      <c r="B979">
        <v>0.29809999999999998</v>
      </c>
      <c r="C979" t="str">
        <f t="shared" si="20"/>
        <v>1963 q2</v>
      </c>
    </row>
    <row r="980" spans="1:3">
      <c r="A980" s="62">
        <v>23137</v>
      </c>
      <c r="B980">
        <v>0.29770000000000002</v>
      </c>
      <c r="C980" t="str">
        <f t="shared" si="20"/>
        <v>1963 q2</v>
      </c>
    </row>
    <row r="981" spans="1:3">
      <c r="A981" s="62">
        <v>23138</v>
      </c>
      <c r="B981">
        <v>0.29820000000000002</v>
      </c>
      <c r="C981" t="str">
        <f t="shared" si="20"/>
        <v>1963 q2</v>
      </c>
    </row>
    <row r="982" spans="1:3">
      <c r="A982" s="62">
        <v>23139</v>
      </c>
      <c r="B982">
        <v>0.2989</v>
      </c>
      <c r="C982" t="str">
        <f t="shared" si="20"/>
        <v>1963 q2</v>
      </c>
    </row>
    <row r="983" spans="1:3">
      <c r="A983" s="62">
        <v>23140</v>
      </c>
      <c r="B983">
        <v>0.2989</v>
      </c>
      <c r="C983" t="str">
        <f t="shared" si="20"/>
        <v>1963 q2</v>
      </c>
    </row>
    <row r="984" spans="1:3">
      <c r="A984" s="62">
        <v>23141</v>
      </c>
      <c r="B984">
        <v>0.2989</v>
      </c>
      <c r="C984" t="str">
        <f t="shared" si="20"/>
        <v>1963 q2</v>
      </c>
    </row>
    <row r="985" spans="1:3">
      <c r="A985" s="62">
        <v>23144</v>
      </c>
      <c r="B985">
        <v>0.29849999999999999</v>
      </c>
      <c r="C985" t="str">
        <f t="shared" si="20"/>
        <v>1963 q2</v>
      </c>
    </row>
    <row r="986" spans="1:3">
      <c r="A986" s="62">
        <v>23145</v>
      </c>
      <c r="B986">
        <v>0.29799999999999999</v>
      </c>
      <c r="C986" t="str">
        <f t="shared" si="20"/>
        <v>1963 q2</v>
      </c>
    </row>
    <row r="987" spans="1:3">
      <c r="A987" s="62">
        <v>23146</v>
      </c>
      <c r="B987">
        <v>0.29920000000000002</v>
      </c>
      <c r="C987" t="str">
        <f t="shared" si="20"/>
        <v>1963 q2</v>
      </c>
    </row>
    <row r="988" spans="1:3">
      <c r="A988" s="62">
        <v>23147</v>
      </c>
      <c r="B988">
        <v>0.29949999999999999</v>
      </c>
      <c r="C988" t="str">
        <f t="shared" si="20"/>
        <v>1963 q2</v>
      </c>
    </row>
    <row r="989" spans="1:3">
      <c r="A989" s="62">
        <v>23148</v>
      </c>
      <c r="B989">
        <v>0.2994</v>
      </c>
      <c r="C989" t="str">
        <f t="shared" si="20"/>
        <v>1963 q2</v>
      </c>
    </row>
    <row r="990" spans="1:3">
      <c r="A990" s="62">
        <v>23151</v>
      </c>
      <c r="B990">
        <v>0.29880000000000001</v>
      </c>
      <c r="C990" t="str">
        <f t="shared" si="20"/>
        <v>1963 q2</v>
      </c>
    </row>
    <row r="991" spans="1:3">
      <c r="A991" s="62">
        <v>23152</v>
      </c>
      <c r="B991">
        <v>0.29820000000000002</v>
      </c>
      <c r="C991" t="str">
        <f t="shared" si="20"/>
        <v>1963 q2</v>
      </c>
    </row>
    <row r="992" spans="1:3">
      <c r="A992" s="62">
        <v>23153</v>
      </c>
      <c r="B992">
        <v>0.29859999999999998</v>
      </c>
      <c r="C992" t="str">
        <f t="shared" si="20"/>
        <v>1963 q2</v>
      </c>
    </row>
    <row r="993" spans="1:3">
      <c r="A993" s="62">
        <v>23154</v>
      </c>
      <c r="B993">
        <v>0.29820000000000002</v>
      </c>
      <c r="C993" t="str">
        <f t="shared" si="20"/>
        <v>1963 q2</v>
      </c>
    </row>
    <row r="994" spans="1:3">
      <c r="A994" s="62">
        <v>23155</v>
      </c>
      <c r="B994">
        <v>0.29849999999999999</v>
      </c>
      <c r="C994" t="str">
        <f t="shared" si="20"/>
        <v>1963 q2</v>
      </c>
    </row>
    <row r="995" spans="1:3">
      <c r="A995" s="62">
        <v>23158</v>
      </c>
      <c r="B995">
        <v>0.29859999999999998</v>
      </c>
      <c r="C995" t="str">
        <f t="shared" si="20"/>
        <v>1963 q2</v>
      </c>
    </row>
    <row r="996" spans="1:3">
      <c r="A996" s="62">
        <v>23159</v>
      </c>
      <c r="B996">
        <v>0.29799999999999999</v>
      </c>
      <c r="C996" t="str">
        <f t="shared" si="20"/>
        <v>1963 q2</v>
      </c>
    </row>
    <row r="997" spans="1:3">
      <c r="A997" s="62">
        <v>23160</v>
      </c>
      <c r="B997">
        <v>0.29799999999999999</v>
      </c>
      <c r="C997" t="str">
        <f t="shared" si="20"/>
        <v>1963 q2</v>
      </c>
    </row>
    <row r="998" spans="1:3">
      <c r="A998" s="62">
        <v>23162</v>
      </c>
      <c r="B998">
        <v>0.29749999999999999</v>
      </c>
      <c r="C998" t="str">
        <f t="shared" si="20"/>
        <v>1963 q2</v>
      </c>
    </row>
    <row r="999" spans="1:3">
      <c r="A999" s="62">
        <v>23165</v>
      </c>
      <c r="B999">
        <v>0.29730000000000001</v>
      </c>
      <c r="C999" t="str">
        <f t="shared" si="20"/>
        <v>1963 q2</v>
      </c>
    </row>
    <row r="1000" spans="1:3">
      <c r="A1000" s="62">
        <v>23166</v>
      </c>
      <c r="B1000">
        <v>0.29699999999999999</v>
      </c>
      <c r="C1000" t="str">
        <f t="shared" si="20"/>
        <v>1963 q2</v>
      </c>
    </row>
    <row r="1001" spans="1:3">
      <c r="A1001" s="62">
        <v>23167</v>
      </c>
      <c r="B1001">
        <v>0.29770000000000002</v>
      </c>
      <c r="C1001" t="str">
        <f t="shared" si="20"/>
        <v>1963 q2</v>
      </c>
    </row>
    <row r="1002" spans="1:3">
      <c r="A1002" s="62">
        <v>23168</v>
      </c>
      <c r="B1002">
        <v>0.29770000000000002</v>
      </c>
      <c r="C1002" t="str">
        <f t="shared" si="20"/>
        <v>1963 q2</v>
      </c>
    </row>
    <row r="1003" spans="1:3">
      <c r="A1003" s="62">
        <v>23169</v>
      </c>
      <c r="B1003">
        <v>0.29749999999999999</v>
      </c>
      <c r="C1003" t="str">
        <f t="shared" si="20"/>
        <v>1963 q2</v>
      </c>
    </row>
    <row r="1004" spans="1:3">
      <c r="A1004" s="62">
        <v>23172</v>
      </c>
      <c r="B1004">
        <v>0.29720000000000002</v>
      </c>
      <c r="C1004" t="str">
        <f t="shared" si="20"/>
        <v>1963 q2</v>
      </c>
    </row>
    <row r="1005" spans="1:3">
      <c r="A1005" s="62">
        <v>23173</v>
      </c>
      <c r="B1005">
        <v>0.29749999999999999</v>
      </c>
      <c r="C1005" t="str">
        <f t="shared" si="20"/>
        <v>1963 q2</v>
      </c>
    </row>
    <row r="1006" spans="1:3">
      <c r="A1006" s="62">
        <v>23174</v>
      </c>
      <c r="B1006">
        <v>0.29820000000000002</v>
      </c>
      <c r="C1006" t="str">
        <f t="shared" si="20"/>
        <v>1963 q2</v>
      </c>
    </row>
    <row r="1007" spans="1:3">
      <c r="A1007" s="62">
        <v>23175</v>
      </c>
      <c r="B1007">
        <v>0.29820000000000002</v>
      </c>
      <c r="C1007" t="str">
        <f t="shared" si="20"/>
        <v>1963 q2</v>
      </c>
    </row>
    <row r="1008" spans="1:3">
      <c r="A1008" s="62">
        <v>23176</v>
      </c>
      <c r="B1008">
        <v>0.29859999999999998</v>
      </c>
      <c r="C1008" t="str">
        <f t="shared" si="20"/>
        <v>1963 q2</v>
      </c>
    </row>
    <row r="1009" spans="1:3">
      <c r="A1009" s="62">
        <v>23179</v>
      </c>
      <c r="B1009">
        <v>0.29809999999999998</v>
      </c>
      <c r="C1009" t="str">
        <f t="shared" si="20"/>
        <v>1963 q2</v>
      </c>
    </row>
    <row r="1010" spans="1:3">
      <c r="A1010" s="62">
        <v>23180</v>
      </c>
      <c r="B1010">
        <v>0.29820000000000002</v>
      </c>
      <c r="C1010" t="str">
        <f t="shared" si="20"/>
        <v>1963 q2</v>
      </c>
    </row>
    <row r="1011" spans="1:3">
      <c r="A1011" s="62">
        <v>23181</v>
      </c>
      <c r="B1011">
        <v>0.29809999999999998</v>
      </c>
      <c r="C1011" t="str">
        <f t="shared" si="20"/>
        <v>1963 q2</v>
      </c>
    </row>
    <row r="1012" spans="1:3">
      <c r="A1012" s="62">
        <v>23182</v>
      </c>
      <c r="B1012">
        <v>0.29809999999999998</v>
      </c>
      <c r="C1012" t="str">
        <f t="shared" si="20"/>
        <v>1963 q2</v>
      </c>
    </row>
    <row r="1013" spans="1:3">
      <c r="A1013" s="62">
        <v>23183</v>
      </c>
      <c r="B1013">
        <v>0.29809999999999998</v>
      </c>
      <c r="C1013" t="str">
        <f t="shared" si="20"/>
        <v>1963 q2</v>
      </c>
    </row>
    <row r="1014" spans="1:3">
      <c r="A1014" s="62">
        <v>23186</v>
      </c>
      <c r="B1014">
        <v>0.29780000000000001</v>
      </c>
      <c r="C1014" t="str">
        <f t="shared" si="20"/>
        <v>1963 q2</v>
      </c>
    </row>
    <row r="1015" spans="1:3">
      <c r="A1015" s="62">
        <v>23187</v>
      </c>
      <c r="B1015">
        <v>0.29680000000000001</v>
      </c>
      <c r="C1015" t="str">
        <f t="shared" si="20"/>
        <v>1963 q2</v>
      </c>
    </row>
    <row r="1016" spans="1:3">
      <c r="A1016" s="62">
        <v>23188</v>
      </c>
      <c r="B1016">
        <v>0.29599999999999999</v>
      </c>
      <c r="C1016" t="str">
        <f t="shared" si="20"/>
        <v>1963 q2</v>
      </c>
    </row>
    <row r="1017" spans="1:3">
      <c r="A1017" s="62">
        <v>23189</v>
      </c>
      <c r="B1017">
        <v>0.29559999999999997</v>
      </c>
      <c r="C1017" t="str">
        <f t="shared" si="20"/>
        <v>1963 q2</v>
      </c>
    </row>
    <row r="1018" spans="1:3">
      <c r="A1018" s="62">
        <v>23190</v>
      </c>
      <c r="B1018">
        <v>0.2959</v>
      </c>
      <c r="C1018" t="str">
        <f t="shared" si="20"/>
        <v>1963 q2</v>
      </c>
    </row>
    <row r="1019" spans="1:3">
      <c r="A1019" s="62">
        <v>23193</v>
      </c>
      <c r="B1019">
        <v>0.29609999999999997</v>
      </c>
      <c r="C1019" t="str">
        <f t="shared" si="20"/>
        <v>1963 q3</v>
      </c>
    </row>
    <row r="1020" spans="1:3">
      <c r="A1020" s="62">
        <v>23194</v>
      </c>
      <c r="B1020">
        <v>0.29599999999999999</v>
      </c>
      <c r="C1020" t="str">
        <f t="shared" si="20"/>
        <v>1963 q3</v>
      </c>
    </row>
    <row r="1021" spans="1:3">
      <c r="A1021" s="62">
        <v>23195</v>
      </c>
      <c r="B1021">
        <v>0.29609999999999997</v>
      </c>
      <c r="C1021" t="str">
        <f t="shared" si="20"/>
        <v>1963 q3</v>
      </c>
    </row>
    <row r="1022" spans="1:3">
      <c r="A1022" s="62">
        <v>23197</v>
      </c>
      <c r="B1022">
        <v>0.29649999999999999</v>
      </c>
      <c r="C1022" t="str">
        <f t="shared" si="20"/>
        <v>1963 q3</v>
      </c>
    </row>
    <row r="1023" spans="1:3">
      <c r="A1023" s="62">
        <v>23200</v>
      </c>
      <c r="B1023">
        <v>0.29649999999999999</v>
      </c>
      <c r="C1023" t="str">
        <f t="shared" si="20"/>
        <v>1963 q3</v>
      </c>
    </row>
    <row r="1024" spans="1:3">
      <c r="A1024" s="62">
        <v>23201</v>
      </c>
      <c r="B1024">
        <v>0.29649999999999999</v>
      </c>
      <c r="C1024" t="str">
        <f t="shared" si="20"/>
        <v>1963 q3</v>
      </c>
    </row>
    <row r="1025" spans="1:3">
      <c r="A1025" s="62">
        <v>23202</v>
      </c>
      <c r="B1025">
        <v>0.29730000000000001</v>
      </c>
      <c r="C1025" t="str">
        <f t="shared" si="20"/>
        <v>1963 q3</v>
      </c>
    </row>
    <row r="1026" spans="1:3">
      <c r="A1026" s="62">
        <v>23203</v>
      </c>
      <c r="B1026">
        <v>0.29799999999999999</v>
      </c>
      <c r="C1026" t="str">
        <f t="shared" si="20"/>
        <v>1963 q3</v>
      </c>
    </row>
    <row r="1027" spans="1:3">
      <c r="A1027" s="62">
        <v>23204</v>
      </c>
      <c r="B1027">
        <v>0.29709999999999998</v>
      </c>
      <c r="C1027" t="str">
        <f t="shared" si="20"/>
        <v>1963 q3</v>
      </c>
    </row>
    <row r="1028" spans="1:3">
      <c r="A1028" s="62">
        <v>23207</v>
      </c>
      <c r="B1028">
        <v>0.2974</v>
      </c>
      <c r="C1028" t="str">
        <f t="shared" si="20"/>
        <v>1963 q3</v>
      </c>
    </row>
    <row r="1029" spans="1:3">
      <c r="A1029" s="62">
        <v>23208</v>
      </c>
      <c r="B1029">
        <v>0.29649999999999999</v>
      </c>
      <c r="C1029" t="str">
        <f t="shared" si="20"/>
        <v>1963 q3</v>
      </c>
    </row>
    <row r="1030" spans="1:3">
      <c r="A1030" s="62">
        <v>23209</v>
      </c>
      <c r="B1030">
        <v>0.29649999999999999</v>
      </c>
      <c r="C1030" t="str">
        <f t="shared" si="20"/>
        <v>1963 q3</v>
      </c>
    </row>
    <row r="1031" spans="1:3">
      <c r="A1031" s="62">
        <v>23210</v>
      </c>
      <c r="B1031">
        <v>0.29630000000000001</v>
      </c>
      <c r="C1031" t="str">
        <f t="shared" si="20"/>
        <v>1963 q3</v>
      </c>
    </row>
    <row r="1032" spans="1:3">
      <c r="A1032" s="62">
        <v>23211</v>
      </c>
      <c r="B1032">
        <v>0.29580000000000001</v>
      </c>
      <c r="C1032" t="str">
        <f t="shared" si="20"/>
        <v>1963 q3</v>
      </c>
    </row>
    <row r="1033" spans="1:3">
      <c r="A1033" s="62">
        <v>23214</v>
      </c>
      <c r="B1033">
        <v>0.29620000000000002</v>
      </c>
      <c r="C1033" t="str">
        <f t="shared" si="20"/>
        <v>1963 q3</v>
      </c>
    </row>
    <row r="1034" spans="1:3">
      <c r="A1034" s="62">
        <v>23215</v>
      </c>
      <c r="B1034">
        <v>0.29630000000000001</v>
      </c>
      <c r="C1034" t="str">
        <f t="shared" si="20"/>
        <v>1963 q3</v>
      </c>
    </row>
    <row r="1035" spans="1:3">
      <c r="A1035" s="62">
        <v>23216</v>
      </c>
      <c r="B1035">
        <v>0.29599999999999999</v>
      </c>
      <c r="C1035" t="str">
        <f t="shared" si="20"/>
        <v>1963 q3</v>
      </c>
    </row>
    <row r="1036" spans="1:3">
      <c r="A1036" s="62">
        <v>23217</v>
      </c>
      <c r="B1036">
        <v>0.29649999999999999</v>
      </c>
      <c r="C1036" t="str">
        <f t="shared" si="20"/>
        <v>1963 q3</v>
      </c>
    </row>
    <row r="1037" spans="1:3">
      <c r="A1037" s="62">
        <v>23218</v>
      </c>
      <c r="B1037">
        <v>0.29699999999999999</v>
      </c>
      <c r="C1037" t="str">
        <f t="shared" si="20"/>
        <v>1963 q3</v>
      </c>
    </row>
    <row r="1038" spans="1:3">
      <c r="A1038" s="62">
        <v>23221</v>
      </c>
      <c r="B1038">
        <v>0.29699999999999999</v>
      </c>
      <c r="C1038" t="str">
        <f t="shared" si="20"/>
        <v>1963 q3</v>
      </c>
    </row>
    <row r="1039" spans="1:3">
      <c r="A1039" s="62">
        <v>23222</v>
      </c>
      <c r="B1039">
        <v>0.29720000000000002</v>
      </c>
      <c r="C1039" t="str">
        <f t="shared" si="20"/>
        <v>1963 q3</v>
      </c>
    </row>
    <row r="1040" spans="1:3">
      <c r="A1040" s="62">
        <v>23223</v>
      </c>
      <c r="B1040">
        <v>0.29720000000000002</v>
      </c>
      <c r="C1040" t="str">
        <f t="shared" si="20"/>
        <v>1963 q3</v>
      </c>
    </row>
    <row r="1041" spans="1:3">
      <c r="A1041" s="62">
        <v>23224</v>
      </c>
      <c r="B1041">
        <v>0.29749999999999999</v>
      </c>
      <c r="C1041" t="str">
        <f t="shared" si="20"/>
        <v>1963 q3</v>
      </c>
    </row>
    <row r="1042" spans="1:3">
      <c r="A1042" s="62">
        <v>23225</v>
      </c>
      <c r="B1042">
        <v>0.29749999999999999</v>
      </c>
      <c r="C1042" t="str">
        <f t="shared" ref="C1042:C1105" si="21">YEAR(A1042)&amp;" q"&amp;ROUNDUP(MONTH(A1042)/3,0)</f>
        <v>1963 q3</v>
      </c>
    </row>
    <row r="1043" spans="1:3">
      <c r="A1043" s="62">
        <v>23228</v>
      </c>
      <c r="B1043">
        <v>0.29749999999999999</v>
      </c>
      <c r="C1043" t="str">
        <f t="shared" si="21"/>
        <v>1963 q3</v>
      </c>
    </row>
    <row r="1044" spans="1:3">
      <c r="A1044" s="62">
        <v>23229</v>
      </c>
      <c r="B1044">
        <v>0.29749999999999999</v>
      </c>
      <c r="C1044" t="str">
        <f t="shared" si="21"/>
        <v>1963 q3</v>
      </c>
    </row>
    <row r="1045" spans="1:3">
      <c r="A1045" s="62">
        <v>23230</v>
      </c>
      <c r="B1045">
        <v>0.29699999999999999</v>
      </c>
      <c r="C1045" t="str">
        <f t="shared" si="21"/>
        <v>1963 q3</v>
      </c>
    </row>
    <row r="1046" spans="1:3">
      <c r="A1046" s="62">
        <v>23231</v>
      </c>
      <c r="B1046">
        <v>0.29699999999999999</v>
      </c>
      <c r="C1046" t="str">
        <f t="shared" si="21"/>
        <v>1963 q3</v>
      </c>
    </row>
    <row r="1047" spans="1:3">
      <c r="A1047" s="62">
        <v>23232</v>
      </c>
      <c r="B1047">
        <v>0.29720000000000002</v>
      </c>
      <c r="C1047" t="str">
        <f t="shared" si="21"/>
        <v>1963 q3</v>
      </c>
    </row>
    <row r="1048" spans="1:3">
      <c r="A1048" s="62">
        <v>23235</v>
      </c>
      <c r="B1048">
        <v>0.29699999999999999</v>
      </c>
      <c r="C1048" t="str">
        <f t="shared" si="21"/>
        <v>1963 q3</v>
      </c>
    </row>
    <row r="1049" spans="1:3">
      <c r="A1049" s="62">
        <v>23236</v>
      </c>
      <c r="B1049">
        <v>0.29730000000000001</v>
      </c>
      <c r="C1049" t="str">
        <f t="shared" si="21"/>
        <v>1963 q3</v>
      </c>
    </row>
    <row r="1050" spans="1:3">
      <c r="A1050" s="62">
        <v>23237</v>
      </c>
      <c r="B1050">
        <v>0.29730000000000001</v>
      </c>
      <c r="C1050" t="str">
        <f t="shared" si="21"/>
        <v>1963 q3</v>
      </c>
    </row>
    <row r="1051" spans="1:3">
      <c r="A1051" s="62">
        <v>23238</v>
      </c>
      <c r="B1051">
        <v>0.29699999999999999</v>
      </c>
      <c r="C1051" t="str">
        <f t="shared" si="21"/>
        <v>1963 q3</v>
      </c>
    </row>
    <row r="1052" spans="1:3">
      <c r="A1052" s="62">
        <v>23239</v>
      </c>
      <c r="B1052">
        <v>0.29699999999999999</v>
      </c>
      <c r="C1052" t="str">
        <f t="shared" si="21"/>
        <v>1963 q3</v>
      </c>
    </row>
    <row r="1053" spans="1:3">
      <c r="A1053" s="62">
        <v>23242</v>
      </c>
      <c r="B1053">
        <v>0.29649999999999999</v>
      </c>
      <c r="C1053" t="str">
        <f t="shared" si="21"/>
        <v>1963 q3</v>
      </c>
    </row>
    <row r="1054" spans="1:3">
      <c r="A1054" s="62">
        <v>23243</v>
      </c>
      <c r="B1054">
        <v>0.29680000000000001</v>
      </c>
      <c r="C1054" t="str">
        <f t="shared" si="21"/>
        <v>1963 q3</v>
      </c>
    </row>
    <row r="1055" spans="1:3">
      <c r="A1055" s="62">
        <v>23244</v>
      </c>
      <c r="B1055">
        <v>0.29699999999999999</v>
      </c>
      <c r="C1055" t="str">
        <f t="shared" si="21"/>
        <v>1963 q3</v>
      </c>
    </row>
    <row r="1056" spans="1:3">
      <c r="A1056" s="62">
        <v>23245</v>
      </c>
      <c r="B1056">
        <v>0.29659999999999997</v>
      </c>
      <c r="C1056" t="str">
        <f t="shared" si="21"/>
        <v>1963 q3</v>
      </c>
    </row>
    <row r="1057" spans="1:3">
      <c r="A1057" s="62">
        <v>23246</v>
      </c>
      <c r="B1057">
        <v>0.2964</v>
      </c>
      <c r="C1057" t="str">
        <f t="shared" si="21"/>
        <v>1963 q3</v>
      </c>
    </row>
    <row r="1058" spans="1:3">
      <c r="A1058" s="62">
        <v>23249</v>
      </c>
      <c r="B1058">
        <v>0.29620000000000002</v>
      </c>
      <c r="C1058" t="str">
        <f t="shared" si="21"/>
        <v>1963 q3</v>
      </c>
    </row>
    <row r="1059" spans="1:3">
      <c r="A1059" s="62">
        <v>23250</v>
      </c>
      <c r="B1059">
        <v>0.2964</v>
      </c>
      <c r="C1059" t="str">
        <f t="shared" si="21"/>
        <v>1963 q3</v>
      </c>
    </row>
    <row r="1060" spans="1:3">
      <c r="A1060" s="62">
        <v>23251</v>
      </c>
      <c r="B1060">
        <v>0.2964</v>
      </c>
      <c r="C1060" t="str">
        <f t="shared" si="21"/>
        <v>1963 q3</v>
      </c>
    </row>
    <row r="1061" spans="1:3">
      <c r="A1061" s="62">
        <v>23252</v>
      </c>
      <c r="B1061">
        <v>0.29670000000000002</v>
      </c>
      <c r="C1061" t="str">
        <f t="shared" si="21"/>
        <v>1963 q3</v>
      </c>
    </row>
    <row r="1062" spans="1:3">
      <c r="A1062" s="62">
        <v>23253</v>
      </c>
      <c r="B1062">
        <v>0.29720000000000002</v>
      </c>
      <c r="C1062" t="str">
        <f t="shared" si="21"/>
        <v>1963 q3</v>
      </c>
    </row>
    <row r="1063" spans="1:3">
      <c r="A1063" s="62">
        <v>23257</v>
      </c>
      <c r="B1063">
        <v>0.2974</v>
      </c>
      <c r="C1063" t="str">
        <f t="shared" si="21"/>
        <v>1963 q3</v>
      </c>
    </row>
    <row r="1064" spans="1:3">
      <c r="A1064" s="62">
        <v>23258</v>
      </c>
      <c r="B1064">
        <v>0.29799999999999999</v>
      </c>
      <c r="C1064" t="str">
        <f t="shared" si="21"/>
        <v>1963 q3</v>
      </c>
    </row>
    <row r="1065" spans="1:3">
      <c r="A1065" s="62">
        <v>23259</v>
      </c>
      <c r="B1065">
        <v>0.29849999999999999</v>
      </c>
      <c r="C1065" t="str">
        <f t="shared" si="21"/>
        <v>1963 q3</v>
      </c>
    </row>
    <row r="1066" spans="1:3">
      <c r="A1066" s="62">
        <v>23260</v>
      </c>
      <c r="B1066">
        <v>0.2989</v>
      </c>
      <c r="C1066" t="str">
        <f t="shared" si="21"/>
        <v>1963 q3</v>
      </c>
    </row>
    <row r="1067" spans="1:3">
      <c r="A1067" s="62">
        <v>23263</v>
      </c>
      <c r="B1067">
        <v>0.29949999999999999</v>
      </c>
      <c r="C1067" t="str">
        <f t="shared" si="21"/>
        <v>1963 q3</v>
      </c>
    </row>
    <row r="1068" spans="1:3">
      <c r="A1068" s="62">
        <v>23264</v>
      </c>
      <c r="B1068">
        <v>0.3</v>
      </c>
      <c r="C1068" t="str">
        <f t="shared" si="21"/>
        <v>1963 q3</v>
      </c>
    </row>
    <row r="1069" spans="1:3">
      <c r="A1069" s="62">
        <v>23265</v>
      </c>
      <c r="B1069">
        <v>0.3009</v>
      </c>
      <c r="C1069" t="str">
        <f t="shared" si="21"/>
        <v>1963 q3</v>
      </c>
    </row>
    <row r="1070" spans="1:3">
      <c r="A1070" s="62">
        <v>23266</v>
      </c>
      <c r="B1070">
        <v>0.3014</v>
      </c>
      <c r="C1070" t="str">
        <f t="shared" si="21"/>
        <v>1963 q3</v>
      </c>
    </row>
    <row r="1071" spans="1:3">
      <c r="A1071" s="62">
        <v>23267</v>
      </c>
      <c r="B1071">
        <v>0.30049999999999999</v>
      </c>
      <c r="C1071" t="str">
        <f t="shared" si="21"/>
        <v>1963 q3</v>
      </c>
    </row>
    <row r="1072" spans="1:3">
      <c r="A1072" s="62">
        <v>23270</v>
      </c>
      <c r="B1072">
        <v>0.3</v>
      </c>
      <c r="C1072" t="str">
        <f t="shared" si="21"/>
        <v>1963 q3</v>
      </c>
    </row>
    <row r="1073" spans="1:3">
      <c r="A1073" s="62">
        <v>23271</v>
      </c>
      <c r="B1073">
        <v>0.30070000000000002</v>
      </c>
      <c r="C1073" t="str">
        <f t="shared" si="21"/>
        <v>1963 q3</v>
      </c>
    </row>
    <row r="1074" spans="1:3">
      <c r="A1074" s="62">
        <v>23272</v>
      </c>
      <c r="B1074">
        <v>0.30120000000000002</v>
      </c>
      <c r="C1074" t="str">
        <f t="shared" si="21"/>
        <v>1963 q3</v>
      </c>
    </row>
    <row r="1075" spans="1:3">
      <c r="A1075" s="62">
        <v>23273</v>
      </c>
      <c r="B1075">
        <v>0.30159999999999998</v>
      </c>
      <c r="C1075" t="str">
        <f t="shared" si="21"/>
        <v>1963 q3</v>
      </c>
    </row>
    <row r="1076" spans="1:3">
      <c r="A1076" s="62">
        <v>23274</v>
      </c>
      <c r="B1076">
        <v>0.30149999999999999</v>
      </c>
      <c r="C1076" t="str">
        <f t="shared" si="21"/>
        <v>1963 q3</v>
      </c>
    </row>
    <row r="1077" spans="1:3">
      <c r="A1077" s="62">
        <v>23277</v>
      </c>
      <c r="B1077">
        <v>0.3009</v>
      </c>
      <c r="C1077" t="str">
        <f t="shared" si="21"/>
        <v>1963 q3</v>
      </c>
    </row>
    <row r="1078" spans="1:3">
      <c r="A1078" s="62">
        <v>23278</v>
      </c>
      <c r="B1078">
        <v>0.30149999999999999</v>
      </c>
      <c r="C1078" t="str">
        <f t="shared" si="21"/>
        <v>1963 q3</v>
      </c>
    </row>
    <row r="1079" spans="1:3">
      <c r="A1079" s="62">
        <v>23279</v>
      </c>
      <c r="B1079">
        <v>0.30209999999999998</v>
      </c>
      <c r="C1079" t="str">
        <f t="shared" si="21"/>
        <v>1963 q3</v>
      </c>
    </row>
    <row r="1080" spans="1:3">
      <c r="A1080" s="62">
        <v>23280</v>
      </c>
      <c r="B1080">
        <v>0.30149999999999999</v>
      </c>
      <c r="C1080" t="str">
        <f t="shared" si="21"/>
        <v>1963 q3</v>
      </c>
    </row>
    <row r="1081" spans="1:3">
      <c r="A1081" s="62">
        <v>23281</v>
      </c>
      <c r="B1081">
        <v>0.30049999999999999</v>
      </c>
      <c r="C1081" t="str">
        <f t="shared" si="21"/>
        <v>1963 q3</v>
      </c>
    </row>
    <row r="1082" spans="1:3">
      <c r="A1082" s="62">
        <v>23284</v>
      </c>
      <c r="B1082">
        <v>0.30059999999999998</v>
      </c>
      <c r="C1082" t="str">
        <f t="shared" si="21"/>
        <v>1963 q3</v>
      </c>
    </row>
    <row r="1083" spans="1:3">
      <c r="A1083" s="62">
        <v>23285</v>
      </c>
      <c r="B1083">
        <v>0.30049999999999999</v>
      </c>
      <c r="C1083" t="str">
        <f t="shared" si="21"/>
        <v>1963 q4</v>
      </c>
    </row>
    <row r="1084" spans="1:3">
      <c r="A1084" s="62">
        <v>23286</v>
      </c>
      <c r="B1084">
        <v>0.29980000000000001</v>
      </c>
      <c r="C1084" t="str">
        <f t="shared" si="21"/>
        <v>1963 q4</v>
      </c>
    </row>
    <row r="1085" spans="1:3">
      <c r="A1085" s="62">
        <v>23287</v>
      </c>
      <c r="B1085">
        <v>0.29959999999999998</v>
      </c>
      <c r="C1085" t="str">
        <f t="shared" si="21"/>
        <v>1963 q4</v>
      </c>
    </row>
    <row r="1086" spans="1:3">
      <c r="A1086" s="62">
        <v>23288</v>
      </c>
      <c r="B1086">
        <v>0.29980000000000001</v>
      </c>
      <c r="C1086" t="str">
        <f t="shared" si="21"/>
        <v>1963 q4</v>
      </c>
    </row>
    <row r="1087" spans="1:3">
      <c r="A1087" s="62">
        <v>23291</v>
      </c>
      <c r="B1087">
        <v>0.29980000000000001</v>
      </c>
      <c r="C1087" t="str">
        <f t="shared" si="21"/>
        <v>1963 q4</v>
      </c>
    </row>
    <row r="1088" spans="1:3">
      <c r="A1088" s="62">
        <v>23292</v>
      </c>
      <c r="B1088">
        <v>0.3</v>
      </c>
      <c r="C1088" t="str">
        <f t="shared" si="21"/>
        <v>1963 q4</v>
      </c>
    </row>
    <row r="1089" spans="1:3">
      <c r="A1089" s="62">
        <v>23293</v>
      </c>
      <c r="B1089">
        <v>0.3</v>
      </c>
      <c r="C1089" t="str">
        <f t="shared" si="21"/>
        <v>1963 q4</v>
      </c>
    </row>
    <row r="1090" spans="1:3">
      <c r="A1090" s="62">
        <v>23294</v>
      </c>
      <c r="B1090">
        <v>0.30049999999999999</v>
      </c>
      <c r="C1090" t="str">
        <f t="shared" si="21"/>
        <v>1963 q4</v>
      </c>
    </row>
    <row r="1091" spans="1:3">
      <c r="A1091" s="62">
        <v>23295</v>
      </c>
      <c r="B1091">
        <v>0.30049999999999999</v>
      </c>
      <c r="C1091" t="str">
        <f t="shared" si="21"/>
        <v>1963 q4</v>
      </c>
    </row>
    <row r="1092" spans="1:3">
      <c r="A1092" s="62">
        <v>23298</v>
      </c>
      <c r="B1092">
        <v>0.30020000000000002</v>
      </c>
      <c r="C1092" t="str">
        <f t="shared" si="21"/>
        <v>1963 q4</v>
      </c>
    </row>
    <row r="1093" spans="1:3">
      <c r="A1093" s="62">
        <v>23299</v>
      </c>
      <c r="B1093">
        <v>0.29970000000000002</v>
      </c>
      <c r="C1093" t="str">
        <f t="shared" si="21"/>
        <v>1963 q4</v>
      </c>
    </row>
    <row r="1094" spans="1:3">
      <c r="A1094" s="62">
        <v>23300</v>
      </c>
      <c r="B1094">
        <v>0.3</v>
      </c>
      <c r="C1094" t="str">
        <f t="shared" si="21"/>
        <v>1963 q4</v>
      </c>
    </row>
    <row r="1095" spans="1:3">
      <c r="A1095" s="62">
        <v>23301</v>
      </c>
      <c r="B1095">
        <v>0.3</v>
      </c>
      <c r="C1095" t="str">
        <f t="shared" si="21"/>
        <v>1963 q4</v>
      </c>
    </row>
    <row r="1096" spans="1:3">
      <c r="A1096" s="62">
        <v>23302</v>
      </c>
      <c r="B1096">
        <v>0.30009999999999998</v>
      </c>
      <c r="C1096" t="str">
        <f t="shared" si="21"/>
        <v>1963 q4</v>
      </c>
    </row>
    <row r="1097" spans="1:3">
      <c r="A1097" s="62">
        <v>23305</v>
      </c>
      <c r="B1097">
        <v>0.3</v>
      </c>
      <c r="C1097" t="str">
        <f t="shared" si="21"/>
        <v>1963 q4</v>
      </c>
    </row>
    <row r="1098" spans="1:3">
      <c r="A1098" s="62">
        <v>23306</v>
      </c>
      <c r="B1098">
        <v>0.3</v>
      </c>
      <c r="C1098" t="str">
        <f t="shared" si="21"/>
        <v>1963 q4</v>
      </c>
    </row>
    <row r="1099" spans="1:3">
      <c r="A1099" s="62">
        <v>23307</v>
      </c>
      <c r="B1099">
        <v>0.30049999999999999</v>
      </c>
      <c r="C1099" t="str">
        <f t="shared" si="21"/>
        <v>1963 q4</v>
      </c>
    </row>
    <row r="1100" spans="1:3">
      <c r="A1100" s="62">
        <v>23308</v>
      </c>
      <c r="B1100">
        <v>0.30070000000000002</v>
      </c>
      <c r="C1100" t="str">
        <f t="shared" si="21"/>
        <v>1963 q4</v>
      </c>
    </row>
    <row r="1101" spans="1:3">
      <c r="A1101" s="62">
        <v>23309</v>
      </c>
      <c r="B1101">
        <v>0.30099999999999999</v>
      </c>
      <c r="C1101" t="str">
        <f t="shared" si="21"/>
        <v>1963 q4</v>
      </c>
    </row>
    <row r="1102" spans="1:3">
      <c r="A1102" s="62">
        <v>23312</v>
      </c>
      <c r="B1102">
        <v>0.30099999999999999</v>
      </c>
      <c r="C1102" t="str">
        <f t="shared" si="21"/>
        <v>1963 q4</v>
      </c>
    </row>
    <row r="1103" spans="1:3">
      <c r="A1103" s="62">
        <v>23313</v>
      </c>
      <c r="B1103">
        <v>0.30230000000000001</v>
      </c>
      <c r="C1103" t="str">
        <f t="shared" si="21"/>
        <v>1963 q4</v>
      </c>
    </row>
    <row r="1104" spans="1:3">
      <c r="A1104" s="62">
        <v>23314</v>
      </c>
      <c r="B1104">
        <v>0.30220000000000002</v>
      </c>
      <c r="C1104" t="str">
        <f t="shared" si="21"/>
        <v>1963 q4</v>
      </c>
    </row>
    <row r="1105" spans="1:3">
      <c r="A1105" s="62">
        <v>23315</v>
      </c>
      <c r="B1105">
        <v>0.30180000000000001</v>
      </c>
      <c r="C1105" t="str">
        <f t="shared" si="21"/>
        <v>1963 q4</v>
      </c>
    </row>
    <row r="1106" spans="1:3">
      <c r="A1106" s="62">
        <v>23316</v>
      </c>
      <c r="B1106">
        <v>0.30149999999999999</v>
      </c>
      <c r="C1106" t="str">
        <f t="shared" ref="C1106:C1169" si="22">YEAR(A1106)&amp;" q"&amp;ROUNDUP(MONTH(A1106)/3,0)</f>
        <v>1963 q4</v>
      </c>
    </row>
    <row r="1107" spans="1:3">
      <c r="A1107" s="62">
        <v>23319</v>
      </c>
      <c r="B1107">
        <v>0.30149999999999999</v>
      </c>
      <c r="C1107" t="str">
        <f t="shared" si="22"/>
        <v>1963 q4</v>
      </c>
    </row>
    <row r="1108" spans="1:3">
      <c r="A1108" s="62">
        <v>23321</v>
      </c>
      <c r="B1108">
        <v>0.30130000000000001</v>
      </c>
      <c r="C1108" t="str">
        <f t="shared" si="22"/>
        <v>1963 q4</v>
      </c>
    </row>
    <row r="1109" spans="1:3">
      <c r="A1109" s="62">
        <v>23322</v>
      </c>
      <c r="B1109">
        <v>0.30120000000000002</v>
      </c>
      <c r="C1109" t="str">
        <f t="shared" si="22"/>
        <v>1963 q4</v>
      </c>
    </row>
    <row r="1110" spans="1:3">
      <c r="A1110" s="62">
        <v>23323</v>
      </c>
      <c r="B1110">
        <v>0.30149999999999999</v>
      </c>
      <c r="C1110" t="str">
        <f t="shared" si="22"/>
        <v>1963 q4</v>
      </c>
    </row>
    <row r="1111" spans="1:3">
      <c r="A1111" s="62">
        <v>23326</v>
      </c>
      <c r="B1111">
        <v>0.30120000000000002</v>
      </c>
      <c r="C1111" t="str">
        <f t="shared" si="22"/>
        <v>1963 q4</v>
      </c>
    </row>
    <row r="1112" spans="1:3">
      <c r="A1112" s="62">
        <v>23327</v>
      </c>
      <c r="B1112">
        <v>0.3014</v>
      </c>
      <c r="C1112" t="str">
        <f t="shared" si="22"/>
        <v>1963 q4</v>
      </c>
    </row>
    <row r="1113" spans="1:3">
      <c r="A1113" s="62">
        <v>23328</v>
      </c>
      <c r="B1113">
        <v>0.30109999999999998</v>
      </c>
      <c r="C1113" t="str">
        <f t="shared" si="22"/>
        <v>1963 q4</v>
      </c>
    </row>
    <row r="1114" spans="1:3">
      <c r="A1114" s="62">
        <v>23329</v>
      </c>
      <c r="B1114">
        <v>0.3009</v>
      </c>
      <c r="C1114" t="str">
        <f t="shared" si="22"/>
        <v>1963 q4</v>
      </c>
    </row>
    <row r="1115" spans="1:3">
      <c r="A1115" s="62">
        <v>23330</v>
      </c>
      <c r="B1115">
        <v>0.30099999999999999</v>
      </c>
      <c r="C1115" t="str">
        <f t="shared" si="22"/>
        <v>1963 q4</v>
      </c>
    </row>
    <row r="1116" spans="1:3">
      <c r="A1116" s="62">
        <v>23333</v>
      </c>
      <c r="B1116">
        <v>0.3</v>
      </c>
      <c r="C1116" t="str">
        <f t="shared" si="22"/>
        <v>1963 q4</v>
      </c>
    </row>
    <row r="1117" spans="1:3">
      <c r="A1117" s="62">
        <v>23334</v>
      </c>
      <c r="B1117">
        <v>0.30059999999999998</v>
      </c>
      <c r="C1117" t="str">
        <f t="shared" si="22"/>
        <v>1963 q4</v>
      </c>
    </row>
    <row r="1118" spans="1:3">
      <c r="A1118" s="62">
        <v>23335</v>
      </c>
      <c r="B1118">
        <v>0.3</v>
      </c>
      <c r="C1118" t="str">
        <f t="shared" si="22"/>
        <v>1963 q4</v>
      </c>
    </row>
    <row r="1119" spans="1:3">
      <c r="A1119" s="62">
        <v>23336</v>
      </c>
      <c r="B1119">
        <v>0.3</v>
      </c>
      <c r="C1119" t="str">
        <f t="shared" si="22"/>
        <v>1963 q4</v>
      </c>
    </row>
    <row r="1120" spans="1:3">
      <c r="A1120" s="62">
        <v>23337</v>
      </c>
      <c r="B1120">
        <v>0.30009999999999998</v>
      </c>
      <c r="C1120" t="str">
        <f t="shared" si="22"/>
        <v>1963 q4</v>
      </c>
    </row>
    <row r="1121" spans="1:3">
      <c r="A1121" s="62">
        <v>23341</v>
      </c>
      <c r="B1121">
        <v>0.29859999999999998</v>
      </c>
      <c r="C1121" t="str">
        <f t="shared" si="22"/>
        <v>1963 q4</v>
      </c>
    </row>
    <row r="1122" spans="1:3">
      <c r="A1122" s="62">
        <v>23342</v>
      </c>
      <c r="B1122">
        <v>0.29949999999999999</v>
      </c>
      <c r="C1122" t="str">
        <f t="shared" si="22"/>
        <v>1963 q4</v>
      </c>
    </row>
    <row r="1123" spans="1:3">
      <c r="A1123" s="62">
        <v>23344</v>
      </c>
      <c r="B1123">
        <v>0.3</v>
      </c>
      <c r="C1123" t="str">
        <f t="shared" si="22"/>
        <v>1963 q4</v>
      </c>
    </row>
    <row r="1124" spans="1:3">
      <c r="A1124" s="62">
        <v>23347</v>
      </c>
      <c r="B1124">
        <v>0.29949999999999999</v>
      </c>
      <c r="C1124" t="str">
        <f t="shared" si="22"/>
        <v>1963 q4</v>
      </c>
    </row>
    <row r="1125" spans="1:3">
      <c r="A1125" s="62">
        <v>23348</v>
      </c>
      <c r="B1125">
        <v>0.29949999999999999</v>
      </c>
      <c r="C1125" t="str">
        <f t="shared" si="22"/>
        <v>1963 q4</v>
      </c>
    </row>
    <row r="1126" spans="1:3">
      <c r="A1126" s="62">
        <v>23349</v>
      </c>
      <c r="B1126">
        <v>0.29980000000000001</v>
      </c>
      <c r="C1126" t="str">
        <f t="shared" si="22"/>
        <v>1963 q4</v>
      </c>
    </row>
    <row r="1127" spans="1:3">
      <c r="A1127" s="62">
        <v>23350</v>
      </c>
      <c r="B1127">
        <v>0.30059999999999998</v>
      </c>
      <c r="C1127" t="str">
        <f t="shared" si="22"/>
        <v>1963 q4</v>
      </c>
    </row>
    <row r="1128" spans="1:3">
      <c r="A1128" s="62">
        <v>23351</v>
      </c>
      <c r="B1128">
        <v>0.3014</v>
      </c>
      <c r="C1128" t="str">
        <f t="shared" si="22"/>
        <v>1963 q4</v>
      </c>
    </row>
    <row r="1129" spans="1:3">
      <c r="A1129" s="62">
        <v>23354</v>
      </c>
      <c r="B1129">
        <v>0.30049999999999999</v>
      </c>
      <c r="C1129" t="str">
        <f t="shared" si="22"/>
        <v>1963 q4</v>
      </c>
    </row>
    <row r="1130" spans="1:3">
      <c r="A1130" s="62">
        <v>23355</v>
      </c>
      <c r="B1130">
        <v>0.30070000000000002</v>
      </c>
      <c r="C1130" t="str">
        <f t="shared" si="22"/>
        <v>1963 q4</v>
      </c>
    </row>
    <row r="1131" spans="1:3">
      <c r="A1131" s="62">
        <v>23356</v>
      </c>
      <c r="B1131">
        <v>0.30099999999999999</v>
      </c>
      <c r="C1131" t="str">
        <f t="shared" si="22"/>
        <v>1963 q4</v>
      </c>
    </row>
    <row r="1132" spans="1:3">
      <c r="A1132" s="62">
        <v>23357</v>
      </c>
      <c r="B1132">
        <v>0.30149999999999999</v>
      </c>
      <c r="C1132" t="str">
        <f t="shared" si="22"/>
        <v>1963 q4</v>
      </c>
    </row>
    <row r="1133" spans="1:3">
      <c r="A1133" s="62">
        <v>23358</v>
      </c>
      <c r="B1133">
        <v>0.30199999999999999</v>
      </c>
      <c r="C1133" t="str">
        <f t="shared" si="22"/>
        <v>1963 q4</v>
      </c>
    </row>
    <row r="1134" spans="1:3">
      <c r="A1134" s="62">
        <v>23361</v>
      </c>
      <c r="B1134">
        <v>0.30149999999999999</v>
      </c>
      <c r="C1134" t="str">
        <f t="shared" si="22"/>
        <v>1963 q4</v>
      </c>
    </row>
    <row r="1135" spans="1:3">
      <c r="A1135" s="62">
        <v>23362</v>
      </c>
      <c r="B1135">
        <v>0.30149999999999999</v>
      </c>
      <c r="C1135" t="str">
        <f t="shared" si="22"/>
        <v>1963 q4</v>
      </c>
    </row>
    <row r="1136" spans="1:3">
      <c r="A1136" s="62">
        <v>23363</v>
      </c>
      <c r="B1136">
        <v>0.30199999999999999</v>
      </c>
      <c r="C1136" t="str">
        <f t="shared" si="22"/>
        <v>1963 q4</v>
      </c>
    </row>
    <row r="1137" spans="1:3">
      <c r="A1137" s="62">
        <v>23364</v>
      </c>
      <c r="B1137">
        <v>0.30299999999999999</v>
      </c>
      <c r="C1137" t="str">
        <f t="shared" si="22"/>
        <v>1963 q4</v>
      </c>
    </row>
    <row r="1138" spans="1:3">
      <c r="A1138" s="62">
        <v>23365</v>
      </c>
      <c r="B1138">
        <v>0.30130000000000001</v>
      </c>
      <c r="C1138" t="str">
        <f t="shared" si="22"/>
        <v>1963 q4</v>
      </c>
    </row>
    <row r="1139" spans="1:3">
      <c r="A1139" s="62">
        <v>23368</v>
      </c>
      <c r="B1139">
        <v>0.30049999999999999</v>
      </c>
      <c r="C1139" t="str">
        <f t="shared" si="22"/>
        <v>1963 q4</v>
      </c>
    </row>
    <row r="1140" spans="1:3">
      <c r="A1140" s="62">
        <v>23369</v>
      </c>
      <c r="B1140">
        <v>0.30049999999999999</v>
      </c>
      <c r="C1140" t="str">
        <f t="shared" si="22"/>
        <v>1963 q4</v>
      </c>
    </row>
    <row r="1141" spans="1:3">
      <c r="A1141" s="62">
        <v>23371</v>
      </c>
      <c r="B1141">
        <v>0.30330000000000001</v>
      </c>
      <c r="C1141" t="str">
        <f t="shared" si="22"/>
        <v>1963 q4</v>
      </c>
    </row>
    <row r="1142" spans="1:3">
      <c r="A1142" s="62">
        <v>23372</v>
      </c>
      <c r="B1142">
        <v>0.30299999999999999</v>
      </c>
      <c r="C1142" t="str">
        <f t="shared" si="22"/>
        <v>1963 q4</v>
      </c>
    </row>
    <row r="1143" spans="1:3">
      <c r="A1143" s="62">
        <v>23375</v>
      </c>
      <c r="B1143">
        <v>0.30370000000000003</v>
      </c>
      <c r="C1143" t="str">
        <f t="shared" si="22"/>
        <v>1963 q4</v>
      </c>
    </row>
    <row r="1144" spans="1:3">
      <c r="A1144" s="62">
        <v>23376</v>
      </c>
      <c r="B1144">
        <v>0.30459999999999998</v>
      </c>
      <c r="C1144" t="str">
        <f t="shared" si="22"/>
        <v>1963 q4</v>
      </c>
    </row>
    <row r="1145" spans="1:3">
      <c r="A1145" s="62">
        <v>23378</v>
      </c>
      <c r="B1145">
        <v>0.30549999999999999</v>
      </c>
      <c r="C1145" t="str">
        <f t="shared" si="22"/>
        <v>1964 q1</v>
      </c>
    </row>
    <row r="1146" spans="1:3">
      <c r="A1146" s="62">
        <v>23379</v>
      </c>
      <c r="B1146">
        <v>0.30449999999999999</v>
      </c>
      <c r="C1146" t="str">
        <f t="shared" si="22"/>
        <v>1964 q1</v>
      </c>
    </row>
    <row r="1147" spans="1:3">
      <c r="A1147" s="62">
        <v>23382</v>
      </c>
      <c r="B1147">
        <v>0.30520000000000003</v>
      </c>
      <c r="C1147" t="str">
        <f t="shared" si="22"/>
        <v>1964 q1</v>
      </c>
    </row>
    <row r="1148" spans="1:3">
      <c r="A1148" s="62">
        <v>23383</v>
      </c>
      <c r="B1148">
        <v>0.3075</v>
      </c>
      <c r="C1148" t="str">
        <f t="shared" si="22"/>
        <v>1964 q1</v>
      </c>
    </row>
    <row r="1149" spans="1:3">
      <c r="A1149" s="62">
        <v>23384</v>
      </c>
      <c r="B1149">
        <v>0.30869999999999997</v>
      </c>
      <c r="C1149" t="str">
        <f t="shared" si="22"/>
        <v>1964 q1</v>
      </c>
    </row>
    <row r="1150" spans="1:3">
      <c r="A1150" s="62">
        <v>23385</v>
      </c>
      <c r="B1150">
        <v>0.31</v>
      </c>
      <c r="C1150" t="str">
        <f t="shared" si="22"/>
        <v>1964 q1</v>
      </c>
    </row>
    <row r="1151" spans="1:3">
      <c r="A1151" s="62">
        <v>23386</v>
      </c>
      <c r="B1151">
        <v>0.30859999999999999</v>
      </c>
      <c r="C1151" t="str">
        <f t="shared" si="22"/>
        <v>1964 q1</v>
      </c>
    </row>
    <row r="1152" spans="1:3">
      <c r="A1152" s="62">
        <v>23389</v>
      </c>
      <c r="B1152">
        <v>0.30930000000000002</v>
      </c>
      <c r="C1152" t="str">
        <f t="shared" si="22"/>
        <v>1964 q1</v>
      </c>
    </row>
    <row r="1153" spans="1:3">
      <c r="A1153" s="62">
        <v>23390</v>
      </c>
      <c r="B1153">
        <v>0.31119999999999998</v>
      </c>
      <c r="C1153" t="str">
        <f t="shared" si="22"/>
        <v>1964 q1</v>
      </c>
    </row>
    <row r="1154" spans="1:3">
      <c r="A1154" s="62">
        <v>23391</v>
      </c>
      <c r="B1154">
        <v>0.3155</v>
      </c>
      <c r="C1154" t="str">
        <f t="shared" si="22"/>
        <v>1964 q1</v>
      </c>
    </row>
    <row r="1155" spans="1:3">
      <c r="A1155" s="62">
        <v>23392</v>
      </c>
      <c r="B1155">
        <v>0.31580000000000003</v>
      </c>
      <c r="C1155" t="str">
        <f t="shared" si="22"/>
        <v>1964 q1</v>
      </c>
    </row>
    <row r="1156" spans="1:3">
      <c r="A1156" s="62">
        <v>23393</v>
      </c>
      <c r="B1156">
        <v>0.313</v>
      </c>
      <c r="C1156" t="str">
        <f t="shared" si="22"/>
        <v>1964 q1</v>
      </c>
    </row>
    <row r="1157" spans="1:3">
      <c r="A1157" s="62">
        <v>23396</v>
      </c>
      <c r="B1157">
        <v>0.31</v>
      </c>
      <c r="C1157" t="str">
        <f t="shared" si="22"/>
        <v>1964 q1</v>
      </c>
    </row>
    <row r="1158" spans="1:3">
      <c r="A1158" s="62">
        <v>23397</v>
      </c>
      <c r="B1158">
        <v>0.311</v>
      </c>
      <c r="C1158" t="str">
        <f t="shared" si="22"/>
        <v>1964 q1</v>
      </c>
    </row>
    <row r="1159" spans="1:3">
      <c r="A1159" s="62">
        <v>23398</v>
      </c>
      <c r="B1159">
        <v>0.313</v>
      </c>
      <c r="C1159" t="str">
        <f t="shared" si="22"/>
        <v>1964 q1</v>
      </c>
    </row>
    <row r="1160" spans="1:3">
      <c r="A1160" s="62">
        <v>23399</v>
      </c>
      <c r="B1160">
        <v>0.314</v>
      </c>
      <c r="C1160" t="str">
        <f t="shared" si="22"/>
        <v>1964 q1</v>
      </c>
    </row>
    <row r="1161" spans="1:3">
      <c r="A1161" s="62">
        <v>23400</v>
      </c>
      <c r="B1161">
        <v>0.314</v>
      </c>
      <c r="C1161" t="str">
        <f t="shared" si="22"/>
        <v>1964 q1</v>
      </c>
    </row>
    <row r="1162" spans="1:3">
      <c r="A1162" s="62">
        <v>23403</v>
      </c>
      <c r="B1162">
        <v>0.311</v>
      </c>
      <c r="C1162" t="str">
        <f t="shared" si="22"/>
        <v>1964 q1</v>
      </c>
    </row>
    <row r="1163" spans="1:3">
      <c r="A1163" s="62">
        <v>23404</v>
      </c>
      <c r="B1163">
        <v>0.3125</v>
      </c>
      <c r="C1163" t="str">
        <f t="shared" si="22"/>
        <v>1964 q1</v>
      </c>
    </row>
    <row r="1164" spans="1:3">
      <c r="A1164" s="62">
        <v>23405</v>
      </c>
      <c r="B1164">
        <v>0.31369999999999998</v>
      </c>
      <c r="C1164" t="str">
        <f t="shared" si="22"/>
        <v>1964 q1</v>
      </c>
    </row>
    <row r="1165" spans="1:3">
      <c r="A1165" s="62">
        <v>23406</v>
      </c>
      <c r="B1165">
        <v>0.31309999999999999</v>
      </c>
      <c r="C1165" t="str">
        <f t="shared" si="22"/>
        <v>1964 q1</v>
      </c>
    </row>
    <row r="1166" spans="1:3">
      <c r="A1166" s="62">
        <v>23407</v>
      </c>
      <c r="B1166">
        <v>0.312</v>
      </c>
      <c r="C1166" t="str">
        <f t="shared" si="22"/>
        <v>1964 q1</v>
      </c>
    </row>
    <row r="1167" spans="1:3">
      <c r="A1167" s="62">
        <v>23410</v>
      </c>
      <c r="B1167">
        <v>0.3135</v>
      </c>
      <c r="C1167" t="str">
        <f t="shared" si="22"/>
        <v>1964 q1</v>
      </c>
    </row>
    <row r="1168" spans="1:3">
      <c r="A1168" s="62">
        <v>23411</v>
      </c>
      <c r="B1168">
        <v>0.31430000000000002</v>
      </c>
      <c r="C1168" t="str">
        <f t="shared" si="22"/>
        <v>1964 q1</v>
      </c>
    </row>
    <row r="1169" spans="1:3">
      <c r="A1169" s="62">
        <v>23412</v>
      </c>
      <c r="B1169">
        <v>0.3155</v>
      </c>
      <c r="C1169" t="str">
        <f t="shared" si="22"/>
        <v>1964 q1</v>
      </c>
    </row>
    <row r="1170" spans="1:3">
      <c r="A1170" s="62">
        <v>23413</v>
      </c>
      <c r="B1170">
        <v>0.3175</v>
      </c>
      <c r="C1170" t="str">
        <f t="shared" ref="C1170:C1233" si="23">YEAR(A1170)&amp;" q"&amp;ROUNDUP(MONTH(A1170)/3,0)</f>
        <v>1964 q1</v>
      </c>
    </row>
    <row r="1171" spans="1:3">
      <c r="A1171" s="62">
        <v>23414</v>
      </c>
      <c r="B1171">
        <v>0.31769999999999998</v>
      </c>
      <c r="C1171" t="str">
        <f t="shared" si="23"/>
        <v>1964 q1</v>
      </c>
    </row>
    <row r="1172" spans="1:3">
      <c r="A1172" s="62">
        <v>23417</v>
      </c>
      <c r="B1172">
        <v>0.31850000000000001</v>
      </c>
      <c r="C1172" t="str">
        <f t="shared" si="23"/>
        <v>1964 q1</v>
      </c>
    </row>
    <row r="1173" spans="1:3">
      <c r="A1173" s="62">
        <v>23418</v>
      </c>
      <c r="B1173">
        <v>0.3175</v>
      </c>
      <c r="C1173" t="str">
        <f t="shared" si="23"/>
        <v>1964 q1</v>
      </c>
    </row>
    <row r="1174" spans="1:3">
      <c r="A1174" s="62">
        <v>23419</v>
      </c>
      <c r="B1174">
        <v>0.318</v>
      </c>
      <c r="C1174" t="str">
        <f t="shared" si="23"/>
        <v>1964 q1</v>
      </c>
    </row>
    <row r="1175" spans="1:3">
      <c r="A1175" s="62">
        <v>23420</v>
      </c>
      <c r="B1175">
        <v>0.32250000000000001</v>
      </c>
      <c r="C1175" t="str">
        <f t="shared" si="23"/>
        <v>1964 q1</v>
      </c>
    </row>
    <row r="1176" spans="1:3">
      <c r="A1176" s="62">
        <v>23421</v>
      </c>
      <c r="B1176">
        <v>0.3256</v>
      </c>
      <c r="C1176" t="str">
        <f t="shared" si="23"/>
        <v>1964 q1</v>
      </c>
    </row>
    <row r="1177" spans="1:3">
      <c r="A1177" s="62">
        <v>23424</v>
      </c>
      <c r="B1177">
        <v>0.32619999999999999</v>
      </c>
      <c r="C1177" t="str">
        <f t="shared" si="23"/>
        <v>1964 q1</v>
      </c>
    </row>
    <row r="1178" spans="1:3">
      <c r="A1178" s="62">
        <v>23425</v>
      </c>
      <c r="B1178">
        <v>0.33</v>
      </c>
      <c r="C1178" t="str">
        <f t="shared" si="23"/>
        <v>1964 q1</v>
      </c>
    </row>
    <row r="1179" spans="1:3">
      <c r="A1179" s="62">
        <v>23426</v>
      </c>
      <c r="B1179">
        <v>0.33239999999999997</v>
      </c>
      <c r="C1179" t="str">
        <f t="shared" si="23"/>
        <v>1964 q1</v>
      </c>
    </row>
    <row r="1180" spans="1:3">
      <c r="A1180" s="62">
        <v>23427</v>
      </c>
      <c r="B1180">
        <v>0.33200000000000002</v>
      </c>
      <c r="C1180" t="str">
        <f t="shared" si="23"/>
        <v>1964 q1</v>
      </c>
    </row>
    <row r="1181" spans="1:3">
      <c r="A1181" s="62">
        <v>23431</v>
      </c>
      <c r="B1181">
        <v>0.34499999999999997</v>
      </c>
      <c r="C1181" t="str">
        <f t="shared" si="23"/>
        <v>1964 q1</v>
      </c>
    </row>
    <row r="1182" spans="1:3">
      <c r="A1182" s="62">
        <v>23432</v>
      </c>
      <c r="B1182">
        <v>0.34470000000000001</v>
      </c>
      <c r="C1182" t="str">
        <f t="shared" si="23"/>
        <v>1964 q1</v>
      </c>
    </row>
    <row r="1183" spans="1:3">
      <c r="A1183" s="62">
        <v>23433</v>
      </c>
      <c r="B1183">
        <v>0.33789999999999998</v>
      </c>
      <c r="C1183" t="str">
        <f t="shared" si="23"/>
        <v>1964 q1</v>
      </c>
    </row>
    <row r="1184" spans="1:3">
      <c r="A1184" s="62">
        <v>23434</v>
      </c>
      <c r="B1184">
        <v>0.33729999999999999</v>
      </c>
      <c r="C1184" t="str">
        <f t="shared" si="23"/>
        <v>1964 q1</v>
      </c>
    </row>
    <row r="1185" spans="1:3">
      <c r="A1185" s="62">
        <v>23435</v>
      </c>
      <c r="B1185">
        <v>0.34439999999999998</v>
      </c>
      <c r="C1185" t="str">
        <f t="shared" si="23"/>
        <v>1964 q1</v>
      </c>
    </row>
    <row r="1186" spans="1:3">
      <c r="A1186" s="62">
        <v>23438</v>
      </c>
      <c r="B1186">
        <v>0.34749999999999998</v>
      </c>
      <c r="C1186" t="str">
        <f t="shared" si="23"/>
        <v>1964 q1</v>
      </c>
    </row>
    <row r="1187" spans="1:3">
      <c r="A1187" s="62">
        <v>23439</v>
      </c>
      <c r="B1187">
        <v>0.34599999999999997</v>
      </c>
      <c r="C1187" t="str">
        <f t="shared" si="23"/>
        <v>1964 q1</v>
      </c>
    </row>
    <row r="1188" spans="1:3">
      <c r="A1188" s="62">
        <v>23440</v>
      </c>
      <c r="B1188">
        <v>0.34320000000000001</v>
      </c>
      <c r="C1188" t="str">
        <f t="shared" si="23"/>
        <v>1964 q1</v>
      </c>
    </row>
    <row r="1189" spans="1:3">
      <c r="A1189" s="62">
        <v>23441</v>
      </c>
      <c r="B1189">
        <v>0.34350000000000003</v>
      </c>
      <c r="C1189" t="str">
        <f t="shared" si="23"/>
        <v>1964 q1</v>
      </c>
    </row>
    <row r="1190" spans="1:3">
      <c r="A1190" s="62">
        <v>23442</v>
      </c>
      <c r="B1190">
        <v>0.3473</v>
      </c>
      <c r="C1190" t="str">
        <f t="shared" si="23"/>
        <v>1964 q1</v>
      </c>
    </row>
    <row r="1191" spans="1:3">
      <c r="A1191" s="62">
        <v>23445</v>
      </c>
      <c r="B1191">
        <v>0.34949999999999998</v>
      </c>
      <c r="C1191" t="str">
        <f t="shared" si="23"/>
        <v>1964 q1</v>
      </c>
    </row>
    <row r="1192" spans="1:3">
      <c r="A1192" s="62">
        <v>23446</v>
      </c>
      <c r="B1192">
        <v>0.35049999999999998</v>
      </c>
      <c r="C1192" t="str">
        <f t="shared" si="23"/>
        <v>1964 q1</v>
      </c>
    </row>
    <row r="1193" spans="1:3">
      <c r="A1193" s="62">
        <v>23447</v>
      </c>
      <c r="B1193">
        <v>0.34649999999999997</v>
      </c>
      <c r="C1193" t="str">
        <f t="shared" si="23"/>
        <v>1964 q1</v>
      </c>
    </row>
    <row r="1194" spans="1:3">
      <c r="A1194" s="62">
        <v>23448</v>
      </c>
      <c r="B1194">
        <v>0.34949999999999998</v>
      </c>
      <c r="C1194" t="str">
        <f t="shared" si="23"/>
        <v>1964 q1</v>
      </c>
    </row>
    <row r="1195" spans="1:3">
      <c r="A1195" s="62">
        <v>23449</v>
      </c>
      <c r="B1195">
        <v>0.35149999999999998</v>
      </c>
      <c r="C1195" t="str">
        <f t="shared" si="23"/>
        <v>1964 q1</v>
      </c>
    </row>
    <row r="1196" spans="1:3">
      <c r="A1196" s="62">
        <v>23452</v>
      </c>
      <c r="B1196">
        <v>0.34899999999999998</v>
      </c>
      <c r="C1196" t="str">
        <f t="shared" si="23"/>
        <v>1964 q1</v>
      </c>
    </row>
    <row r="1197" spans="1:3">
      <c r="A1197" s="62">
        <v>23453</v>
      </c>
      <c r="B1197">
        <v>0.35349999999999998</v>
      </c>
      <c r="C1197" t="str">
        <f t="shared" si="23"/>
        <v>1964 q1</v>
      </c>
    </row>
    <row r="1198" spans="1:3">
      <c r="A1198" s="62">
        <v>23454</v>
      </c>
      <c r="B1198">
        <v>0.35060000000000002</v>
      </c>
      <c r="C1198" t="str">
        <f t="shared" si="23"/>
        <v>1964 q1</v>
      </c>
    </row>
    <row r="1199" spans="1:3">
      <c r="A1199" s="62">
        <v>23455</v>
      </c>
      <c r="B1199">
        <v>0.35630000000000001</v>
      </c>
      <c r="C1199" t="str">
        <f t="shared" si="23"/>
        <v>1964 q1</v>
      </c>
    </row>
    <row r="1200" spans="1:3">
      <c r="A1200" s="62">
        <v>23456</v>
      </c>
      <c r="B1200">
        <v>0.35499999999999998</v>
      </c>
      <c r="C1200" t="str">
        <f t="shared" si="23"/>
        <v>1964 q1</v>
      </c>
    </row>
    <row r="1201" spans="1:3">
      <c r="A1201" s="62">
        <v>23459</v>
      </c>
      <c r="B1201">
        <v>0.35349999999999998</v>
      </c>
      <c r="C1201" t="str">
        <f t="shared" si="23"/>
        <v>1964 q1</v>
      </c>
    </row>
    <row r="1202" spans="1:3">
      <c r="A1202" s="62">
        <v>23460</v>
      </c>
      <c r="B1202">
        <v>0.35349999999999998</v>
      </c>
      <c r="C1202" t="str">
        <f t="shared" si="23"/>
        <v>1964 q1</v>
      </c>
    </row>
    <row r="1203" spans="1:3">
      <c r="A1203" s="62">
        <v>23461</v>
      </c>
      <c r="B1203">
        <v>0.36049999999999999</v>
      </c>
      <c r="C1203" t="str">
        <f t="shared" si="23"/>
        <v>1964 q1</v>
      </c>
    </row>
    <row r="1204" spans="1:3">
      <c r="A1204" s="62">
        <v>23462</v>
      </c>
      <c r="B1204">
        <v>0.36399999999999999</v>
      </c>
      <c r="C1204" t="str">
        <f t="shared" si="23"/>
        <v>1964 q1</v>
      </c>
    </row>
    <row r="1205" spans="1:3">
      <c r="A1205" s="62">
        <v>23466</v>
      </c>
      <c r="B1205">
        <v>0.3725</v>
      </c>
      <c r="C1205" t="str">
        <f t="shared" si="23"/>
        <v>1964 q1</v>
      </c>
    </row>
    <row r="1206" spans="1:3">
      <c r="A1206" s="62">
        <v>23467</v>
      </c>
      <c r="B1206">
        <v>0.37019999999999997</v>
      </c>
      <c r="C1206" t="str">
        <f t="shared" si="23"/>
        <v>1964 q1</v>
      </c>
    </row>
    <row r="1207" spans="1:3">
      <c r="A1207" s="62">
        <v>23468</v>
      </c>
      <c r="B1207">
        <v>0.3755</v>
      </c>
      <c r="C1207" t="str">
        <f t="shared" si="23"/>
        <v>1964 q2</v>
      </c>
    </row>
    <row r="1208" spans="1:3">
      <c r="A1208" s="62">
        <v>23469</v>
      </c>
      <c r="B1208">
        <v>0.36899999999999999</v>
      </c>
      <c r="C1208" t="str">
        <f t="shared" si="23"/>
        <v>1964 q2</v>
      </c>
    </row>
    <row r="1209" spans="1:3">
      <c r="A1209" s="62">
        <v>23470</v>
      </c>
      <c r="B1209">
        <v>0.374</v>
      </c>
      <c r="C1209" t="str">
        <f t="shared" si="23"/>
        <v>1964 q2</v>
      </c>
    </row>
    <row r="1210" spans="1:3">
      <c r="A1210" s="62">
        <v>23473</v>
      </c>
      <c r="B1210">
        <v>0.38800000000000001</v>
      </c>
      <c r="C1210" t="str">
        <f t="shared" si="23"/>
        <v>1964 q2</v>
      </c>
    </row>
    <row r="1211" spans="1:3">
      <c r="A1211" s="62">
        <v>23474</v>
      </c>
      <c r="B1211">
        <v>0.38800000000000001</v>
      </c>
      <c r="C1211" t="str">
        <f t="shared" si="23"/>
        <v>1964 q2</v>
      </c>
    </row>
    <row r="1212" spans="1:3">
      <c r="A1212" s="62">
        <v>23475</v>
      </c>
      <c r="B1212">
        <v>0.39200000000000002</v>
      </c>
      <c r="C1212" t="str">
        <f t="shared" si="23"/>
        <v>1964 q2</v>
      </c>
    </row>
    <row r="1213" spans="1:3">
      <c r="A1213" s="62">
        <v>23476</v>
      </c>
      <c r="B1213">
        <v>0.39600000000000002</v>
      </c>
      <c r="C1213" t="str">
        <f t="shared" si="23"/>
        <v>1964 q2</v>
      </c>
    </row>
    <row r="1214" spans="1:3">
      <c r="A1214" s="62">
        <v>23477</v>
      </c>
      <c r="B1214">
        <v>0.39650000000000002</v>
      </c>
      <c r="C1214" t="str">
        <f t="shared" si="23"/>
        <v>1964 q2</v>
      </c>
    </row>
    <row r="1215" spans="1:3">
      <c r="A1215" s="62">
        <v>23480</v>
      </c>
      <c r="B1215">
        <v>0.39550000000000002</v>
      </c>
      <c r="C1215" t="str">
        <f t="shared" si="23"/>
        <v>1964 q2</v>
      </c>
    </row>
    <row r="1216" spans="1:3">
      <c r="A1216" s="62">
        <v>23481</v>
      </c>
      <c r="B1216">
        <v>0.38750000000000001</v>
      </c>
      <c r="C1216" t="str">
        <f t="shared" si="23"/>
        <v>1964 q2</v>
      </c>
    </row>
    <row r="1217" spans="1:3">
      <c r="A1217" s="62">
        <v>23482</v>
      </c>
      <c r="B1217">
        <v>0.38550000000000001</v>
      </c>
      <c r="C1217" t="str">
        <f t="shared" si="23"/>
        <v>1964 q2</v>
      </c>
    </row>
    <row r="1218" spans="1:3">
      <c r="A1218" s="62">
        <v>23483</v>
      </c>
      <c r="B1218">
        <v>0.38450000000000001</v>
      </c>
      <c r="C1218" t="str">
        <f t="shared" si="23"/>
        <v>1964 q2</v>
      </c>
    </row>
    <row r="1219" spans="1:3">
      <c r="A1219" s="62">
        <v>23484</v>
      </c>
      <c r="B1219">
        <v>0.38900000000000001</v>
      </c>
      <c r="C1219" t="str">
        <f t="shared" si="23"/>
        <v>1964 q2</v>
      </c>
    </row>
    <row r="1220" spans="1:3">
      <c r="A1220" s="62">
        <v>23487</v>
      </c>
      <c r="B1220">
        <v>0.38400000000000001</v>
      </c>
      <c r="C1220" t="str">
        <f t="shared" si="23"/>
        <v>1964 q2</v>
      </c>
    </row>
    <row r="1221" spans="1:3">
      <c r="A1221" s="62">
        <v>23488</v>
      </c>
      <c r="B1221">
        <v>0.3805</v>
      </c>
      <c r="C1221" t="str">
        <f t="shared" si="23"/>
        <v>1964 q2</v>
      </c>
    </row>
    <row r="1222" spans="1:3">
      <c r="A1222" s="62">
        <v>23489</v>
      </c>
      <c r="B1222">
        <v>0.38600000000000001</v>
      </c>
      <c r="C1222" t="str">
        <f t="shared" si="23"/>
        <v>1964 q2</v>
      </c>
    </row>
    <row r="1223" spans="1:3">
      <c r="A1223" s="62">
        <v>23490</v>
      </c>
      <c r="B1223">
        <v>0.38400000000000001</v>
      </c>
      <c r="C1223" t="str">
        <f t="shared" si="23"/>
        <v>1964 q2</v>
      </c>
    </row>
    <row r="1224" spans="1:3">
      <c r="A1224" s="62">
        <v>23491</v>
      </c>
      <c r="B1224">
        <v>0.38350000000000001</v>
      </c>
      <c r="C1224" t="str">
        <f t="shared" si="23"/>
        <v>1964 q2</v>
      </c>
    </row>
    <row r="1225" spans="1:3">
      <c r="A1225" s="62">
        <v>23494</v>
      </c>
      <c r="B1225">
        <v>0.38929999999999998</v>
      </c>
      <c r="C1225" t="str">
        <f t="shared" si="23"/>
        <v>1964 q2</v>
      </c>
    </row>
    <row r="1226" spans="1:3">
      <c r="A1226" s="62">
        <v>23495</v>
      </c>
      <c r="B1226">
        <v>0.38679999999999998</v>
      </c>
      <c r="C1226" t="str">
        <f t="shared" si="23"/>
        <v>1964 q2</v>
      </c>
    </row>
    <row r="1227" spans="1:3">
      <c r="A1227" s="62">
        <v>23496</v>
      </c>
      <c r="B1227">
        <v>0.39900000000000002</v>
      </c>
      <c r="C1227" t="str">
        <f t="shared" si="23"/>
        <v>1964 q2</v>
      </c>
    </row>
    <row r="1228" spans="1:3">
      <c r="A1228" s="62">
        <v>23497</v>
      </c>
      <c r="B1228">
        <v>0.39379999999999998</v>
      </c>
      <c r="C1228" t="str">
        <f t="shared" si="23"/>
        <v>1964 q2</v>
      </c>
    </row>
    <row r="1229" spans="1:3">
      <c r="A1229" s="62">
        <v>23498</v>
      </c>
      <c r="B1229">
        <v>0.39150000000000001</v>
      </c>
      <c r="C1229" t="str">
        <f t="shared" si="23"/>
        <v>1964 q2</v>
      </c>
    </row>
    <row r="1230" spans="1:3">
      <c r="A1230" s="62">
        <v>23501</v>
      </c>
      <c r="B1230">
        <v>0.39550000000000002</v>
      </c>
      <c r="C1230" t="str">
        <f t="shared" si="23"/>
        <v>1964 q2</v>
      </c>
    </row>
    <row r="1231" spans="1:3">
      <c r="A1231" s="62">
        <v>23502</v>
      </c>
      <c r="B1231">
        <v>0.39069999999999999</v>
      </c>
      <c r="C1231" t="str">
        <f t="shared" si="23"/>
        <v>1964 q2</v>
      </c>
    </row>
    <row r="1232" spans="1:3">
      <c r="A1232" s="62">
        <v>23503</v>
      </c>
      <c r="B1232">
        <v>0.38190000000000002</v>
      </c>
      <c r="C1232" t="str">
        <f t="shared" si="23"/>
        <v>1964 q2</v>
      </c>
    </row>
    <row r="1233" spans="1:3">
      <c r="A1233" s="62">
        <v>23504</v>
      </c>
      <c r="B1233">
        <v>0.3836</v>
      </c>
      <c r="C1233" t="str">
        <f t="shared" si="23"/>
        <v>1964 q2</v>
      </c>
    </row>
    <row r="1234" spans="1:3">
      <c r="A1234" s="62">
        <v>23505</v>
      </c>
      <c r="B1234">
        <v>0.379</v>
      </c>
      <c r="C1234" t="str">
        <f t="shared" ref="C1234:C1297" si="24">YEAR(A1234)&amp;" q"&amp;ROUNDUP(MONTH(A1234)/3,0)</f>
        <v>1964 q2</v>
      </c>
    </row>
    <row r="1235" spans="1:3">
      <c r="A1235" s="62">
        <v>23508</v>
      </c>
      <c r="B1235">
        <v>0.36499999999999999</v>
      </c>
      <c r="C1235" t="str">
        <f t="shared" si="24"/>
        <v>1964 q2</v>
      </c>
    </row>
    <row r="1236" spans="1:3">
      <c r="A1236" s="62">
        <v>23509</v>
      </c>
      <c r="B1236">
        <v>0.36699999999999999</v>
      </c>
      <c r="C1236" t="str">
        <f t="shared" si="24"/>
        <v>1964 q2</v>
      </c>
    </row>
    <row r="1237" spans="1:3">
      <c r="A1237" s="62">
        <v>23510</v>
      </c>
      <c r="B1237">
        <v>0.36990000000000001</v>
      </c>
      <c r="C1237" t="str">
        <f t="shared" si="24"/>
        <v>1964 q2</v>
      </c>
    </row>
    <row r="1238" spans="1:3">
      <c r="A1238" s="62">
        <v>23511</v>
      </c>
      <c r="B1238">
        <v>0.36870000000000003</v>
      </c>
      <c r="C1238" t="str">
        <f t="shared" si="24"/>
        <v>1964 q2</v>
      </c>
    </row>
    <row r="1239" spans="1:3">
      <c r="A1239" s="62">
        <v>23512</v>
      </c>
      <c r="B1239">
        <v>0.3715</v>
      </c>
      <c r="C1239" t="str">
        <f t="shared" si="24"/>
        <v>1964 q2</v>
      </c>
    </row>
    <row r="1240" spans="1:3">
      <c r="A1240" s="62">
        <v>23515</v>
      </c>
      <c r="B1240">
        <v>0.3745</v>
      </c>
      <c r="C1240" t="str">
        <f t="shared" si="24"/>
        <v>1964 q2</v>
      </c>
    </row>
    <row r="1241" spans="1:3">
      <c r="A1241" s="62">
        <v>23516</v>
      </c>
      <c r="B1241">
        <v>0.37230000000000002</v>
      </c>
      <c r="C1241" t="str">
        <f t="shared" si="24"/>
        <v>1964 q2</v>
      </c>
    </row>
    <row r="1242" spans="1:3">
      <c r="A1242" s="62">
        <v>23517</v>
      </c>
      <c r="B1242">
        <v>0.36749999999999999</v>
      </c>
      <c r="C1242" t="str">
        <f t="shared" si="24"/>
        <v>1964 q2</v>
      </c>
    </row>
    <row r="1243" spans="1:3">
      <c r="A1243" s="62">
        <v>23518</v>
      </c>
      <c r="B1243">
        <v>0.37190000000000001</v>
      </c>
      <c r="C1243" t="str">
        <f t="shared" si="24"/>
        <v>1964 q2</v>
      </c>
    </row>
    <row r="1244" spans="1:3">
      <c r="A1244" s="62">
        <v>23519</v>
      </c>
      <c r="B1244">
        <v>0.3705</v>
      </c>
      <c r="C1244" t="str">
        <f t="shared" si="24"/>
        <v>1964 q2</v>
      </c>
    </row>
    <row r="1245" spans="1:3">
      <c r="A1245" s="62">
        <v>23522</v>
      </c>
      <c r="B1245">
        <v>0.36409999999999998</v>
      </c>
      <c r="C1245" t="str">
        <f t="shared" si="24"/>
        <v>1964 q2</v>
      </c>
    </row>
    <row r="1246" spans="1:3">
      <c r="A1246" s="62">
        <v>23523</v>
      </c>
      <c r="B1246">
        <v>0.35749999999999998</v>
      </c>
      <c r="C1246" t="str">
        <f t="shared" si="24"/>
        <v>1964 q2</v>
      </c>
    </row>
    <row r="1247" spans="1:3">
      <c r="A1247" s="62">
        <v>23524</v>
      </c>
      <c r="B1247">
        <v>0.35949999999999999</v>
      </c>
      <c r="C1247" t="str">
        <f t="shared" si="24"/>
        <v>1964 q2</v>
      </c>
    </row>
    <row r="1248" spans="1:3">
      <c r="A1248" s="62">
        <v>23525</v>
      </c>
      <c r="B1248">
        <v>0.36180000000000001</v>
      </c>
      <c r="C1248" t="str">
        <f t="shared" si="24"/>
        <v>1964 q2</v>
      </c>
    </row>
    <row r="1249" spans="1:3">
      <c r="A1249" s="62">
        <v>23529</v>
      </c>
      <c r="B1249">
        <v>0.35499999999999998</v>
      </c>
      <c r="C1249" t="str">
        <f t="shared" si="24"/>
        <v>1964 q2</v>
      </c>
    </row>
    <row r="1250" spans="1:3">
      <c r="A1250" s="62">
        <v>23530</v>
      </c>
      <c r="B1250">
        <v>0.35630000000000001</v>
      </c>
      <c r="C1250" t="str">
        <f t="shared" si="24"/>
        <v>1964 q2</v>
      </c>
    </row>
    <row r="1251" spans="1:3">
      <c r="A1251" s="62">
        <v>23531</v>
      </c>
      <c r="B1251">
        <v>0.36020000000000002</v>
      </c>
      <c r="C1251" t="str">
        <f t="shared" si="24"/>
        <v>1964 q2</v>
      </c>
    </row>
    <row r="1252" spans="1:3">
      <c r="A1252" s="62">
        <v>23532</v>
      </c>
      <c r="B1252">
        <v>0.37180000000000002</v>
      </c>
      <c r="C1252" t="str">
        <f t="shared" si="24"/>
        <v>1964 q2</v>
      </c>
    </row>
    <row r="1253" spans="1:3">
      <c r="A1253" s="62">
        <v>23533</v>
      </c>
      <c r="B1253">
        <v>0.3735</v>
      </c>
      <c r="C1253" t="str">
        <f t="shared" si="24"/>
        <v>1964 q2</v>
      </c>
    </row>
    <row r="1254" spans="1:3">
      <c r="A1254" s="62">
        <v>23536</v>
      </c>
      <c r="B1254">
        <v>0.374</v>
      </c>
      <c r="C1254" t="str">
        <f t="shared" si="24"/>
        <v>1964 q2</v>
      </c>
    </row>
    <row r="1255" spans="1:3">
      <c r="A1255" s="62">
        <v>23537</v>
      </c>
      <c r="B1255">
        <v>0.371</v>
      </c>
      <c r="C1255" t="str">
        <f t="shared" si="24"/>
        <v>1964 q2</v>
      </c>
    </row>
    <row r="1256" spans="1:3">
      <c r="A1256" s="62">
        <v>23538</v>
      </c>
      <c r="B1256">
        <v>0.374</v>
      </c>
      <c r="C1256" t="str">
        <f t="shared" si="24"/>
        <v>1964 q2</v>
      </c>
    </row>
    <row r="1257" spans="1:3">
      <c r="A1257" s="62">
        <v>23539</v>
      </c>
      <c r="B1257">
        <v>0.37980000000000003</v>
      </c>
      <c r="C1257" t="str">
        <f t="shared" si="24"/>
        <v>1964 q2</v>
      </c>
    </row>
    <row r="1258" spans="1:3">
      <c r="A1258" s="62">
        <v>23540</v>
      </c>
      <c r="B1258">
        <v>0.38579999999999998</v>
      </c>
      <c r="C1258" t="str">
        <f t="shared" si="24"/>
        <v>1964 q2</v>
      </c>
    </row>
    <row r="1259" spans="1:3">
      <c r="A1259" s="62">
        <v>23543</v>
      </c>
      <c r="B1259">
        <v>0.37580000000000002</v>
      </c>
      <c r="C1259" t="str">
        <f t="shared" si="24"/>
        <v>1964 q2</v>
      </c>
    </row>
    <row r="1260" spans="1:3">
      <c r="A1260" s="62">
        <v>23544</v>
      </c>
      <c r="B1260">
        <v>0.376</v>
      </c>
      <c r="C1260" t="str">
        <f t="shared" si="24"/>
        <v>1964 q2</v>
      </c>
    </row>
    <row r="1261" spans="1:3">
      <c r="A1261" s="62">
        <v>23545</v>
      </c>
      <c r="B1261">
        <v>0.37380000000000002</v>
      </c>
      <c r="C1261" t="str">
        <f t="shared" si="24"/>
        <v>1964 q2</v>
      </c>
    </row>
    <row r="1262" spans="1:3">
      <c r="A1262" s="62">
        <v>23546</v>
      </c>
      <c r="B1262">
        <v>0.37019999999999997</v>
      </c>
      <c r="C1262" t="str">
        <f t="shared" si="24"/>
        <v>1964 q2</v>
      </c>
    </row>
    <row r="1263" spans="1:3">
      <c r="A1263" s="62">
        <v>23547</v>
      </c>
      <c r="B1263">
        <v>0.371</v>
      </c>
      <c r="C1263" t="str">
        <f t="shared" si="24"/>
        <v>1964 q2</v>
      </c>
    </row>
    <row r="1264" spans="1:3">
      <c r="A1264" s="62">
        <v>23550</v>
      </c>
      <c r="B1264">
        <v>0.37319999999999998</v>
      </c>
      <c r="C1264" t="str">
        <f t="shared" si="24"/>
        <v>1964 q2</v>
      </c>
    </row>
    <row r="1265" spans="1:3">
      <c r="A1265" s="62">
        <v>23551</v>
      </c>
      <c r="B1265">
        <v>0.37169999999999997</v>
      </c>
      <c r="C1265" t="str">
        <f t="shared" si="24"/>
        <v>1964 q2</v>
      </c>
    </row>
    <row r="1266" spans="1:3">
      <c r="A1266" s="62">
        <v>23552</v>
      </c>
      <c r="B1266">
        <v>0.3745</v>
      </c>
      <c r="C1266" t="str">
        <f t="shared" si="24"/>
        <v>1964 q2</v>
      </c>
    </row>
    <row r="1267" spans="1:3">
      <c r="A1267" s="62">
        <v>23553</v>
      </c>
      <c r="B1267">
        <v>0.36659999999999998</v>
      </c>
      <c r="C1267" t="str">
        <f t="shared" si="24"/>
        <v>1964 q2</v>
      </c>
    </row>
    <row r="1268" spans="1:3">
      <c r="A1268" s="62">
        <v>23554</v>
      </c>
      <c r="B1268">
        <v>0.36299999999999999</v>
      </c>
      <c r="C1268" t="str">
        <f t="shared" si="24"/>
        <v>1964 q2</v>
      </c>
    </row>
    <row r="1269" spans="1:3">
      <c r="A1269" s="62">
        <v>23557</v>
      </c>
      <c r="B1269">
        <v>0.35849999999999999</v>
      </c>
      <c r="C1269" t="str">
        <f t="shared" si="24"/>
        <v>1964 q2</v>
      </c>
    </row>
    <row r="1270" spans="1:3">
      <c r="A1270" s="62">
        <v>23558</v>
      </c>
      <c r="B1270">
        <v>0.35370000000000001</v>
      </c>
      <c r="C1270" t="str">
        <f t="shared" si="24"/>
        <v>1964 q2</v>
      </c>
    </row>
    <row r="1271" spans="1:3">
      <c r="A1271" s="62">
        <v>23559</v>
      </c>
      <c r="B1271">
        <v>0.35620000000000002</v>
      </c>
      <c r="C1271" t="str">
        <f t="shared" si="24"/>
        <v>1964 q3</v>
      </c>
    </row>
    <row r="1272" spans="1:3">
      <c r="A1272" s="62">
        <v>23560</v>
      </c>
      <c r="B1272">
        <v>0.35799999999999998</v>
      </c>
      <c r="C1272" t="str">
        <f t="shared" si="24"/>
        <v>1964 q3</v>
      </c>
    </row>
    <row r="1273" spans="1:3">
      <c r="A1273" s="62">
        <v>23564</v>
      </c>
      <c r="B1273">
        <v>0.36580000000000001</v>
      </c>
      <c r="C1273" t="str">
        <f t="shared" si="24"/>
        <v>1964 q3</v>
      </c>
    </row>
    <row r="1274" spans="1:3">
      <c r="A1274" s="62">
        <v>23565</v>
      </c>
      <c r="B1274">
        <v>0.36430000000000001</v>
      </c>
      <c r="C1274" t="str">
        <f t="shared" si="24"/>
        <v>1964 q3</v>
      </c>
    </row>
    <row r="1275" spans="1:3">
      <c r="A1275" s="62">
        <v>23566</v>
      </c>
      <c r="B1275">
        <v>0.36899999999999999</v>
      </c>
      <c r="C1275" t="str">
        <f t="shared" si="24"/>
        <v>1964 q3</v>
      </c>
    </row>
    <row r="1276" spans="1:3">
      <c r="A1276" s="62">
        <v>23567</v>
      </c>
      <c r="B1276">
        <v>0.37090000000000001</v>
      </c>
      <c r="C1276" t="str">
        <f t="shared" si="24"/>
        <v>1964 q3</v>
      </c>
    </row>
    <row r="1277" spans="1:3">
      <c r="A1277" s="62">
        <v>23568</v>
      </c>
      <c r="B1277">
        <v>0.37369999999999998</v>
      </c>
      <c r="C1277" t="str">
        <f t="shared" si="24"/>
        <v>1964 q3</v>
      </c>
    </row>
    <row r="1278" spans="1:3">
      <c r="A1278" s="62">
        <v>23571</v>
      </c>
      <c r="B1278">
        <v>0.3725</v>
      </c>
      <c r="C1278" t="str">
        <f t="shared" si="24"/>
        <v>1964 q3</v>
      </c>
    </row>
    <row r="1279" spans="1:3">
      <c r="A1279" s="62">
        <v>23572</v>
      </c>
      <c r="B1279">
        <v>0.36620000000000003</v>
      </c>
      <c r="C1279" t="str">
        <f t="shared" si="24"/>
        <v>1964 q3</v>
      </c>
    </row>
    <row r="1280" spans="1:3">
      <c r="A1280" s="62">
        <v>23573</v>
      </c>
      <c r="B1280">
        <v>0.36830000000000002</v>
      </c>
      <c r="C1280" t="str">
        <f t="shared" si="24"/>
        <v>1964 q3</v>
      </c>
    </row>
    <row r="1281" spans="1:3">
      <c r="A1281" s="62">
        <v>23574</v>
      </c>
      <c r="B1281">
        <v>0.36499999999999999</v>
      </c>
      <c r="C1281" t="str">
        <f t="shared" si="24"/>
        <v>1964 q3</v>
      </c>
    </row>
    <row r="1282" spans="1:3">
      <c r="A1282" s="62">
        <v>23575</v>
      </c>
      <c r="B1282">
        <v>0.36930000000000002</v>
      </c>
      <c r="C1282" t="str">
        <f t="shared" si="24"/>
        <v>1964 q3</v>
      </c>
    </row>
    <row r="1283" spans="1:3">
      <c r="A1283" s="62">
        <v>23578</v>
      </c>
      <c r="B1283">
        <v>0.377</v>
      </c>
      <c r="C1283" t="str">
        <f t="shared" si="24"/>
        <v>1964 q3</v>
      </c>
    </row>
    <row r="1284" spans="1:3">
      <c r="A1284" s="62">
        <v>23579</v>
      </c>
      <c r="B1284">
        <v>0.37769999999999998</v>
      </c>
      <c r="C1284" t="str">
        <f t="shared" si="24"/>
        <v>1964 q3</v>
      </c>
    </row>
    <row r="1285" spans="1:3">
      <c r="A1285" s="62">
        <v>23580</v>
      </c>
      <c r="B1285">
        <v>0.38119999999999998</v>
      </c>
      <c r="C1285" t="str">
        <f t="shared" si="24"/>
        <v>1964 q3</v>
      </c>
    </row>
    <row r="1286" spans="1:3">
      <c r="A1286" s="62">
        <v>23581</v>
      </c>
      <c r="B1286">
        <v>0.37259999999999999</v>
      </c>
      <c r="C1286" t="str">
        <f t="shared" si="24"/>
        <v>1964 q3</v>
      </c>
    </row>
    <row r="1287" spans="1:3">
      <c r="A1287" s="62">
        <v>23582</v>
      </c>
      <c r="B1287">
        <v>0.37280000000000002</v>
      </c>
      <c r="C1287" t="str">
        <f t="shared" si="24"/>
        <v>1964 q3</v>
      </c>
    </row>
    <row r="1288" spans="1:3">
      <c r="A1288" s="62">
        <v>23585</v>
      </c>
      <c r="B1288">
        <v>0.3745</v>
      </c>
      <c r="C1288" t="str">
        <f t="shared" si="24"/>
        <v>1964 q3</v>
      </c>
    </row>
    <row r="1289" spans="1:3">
      <c r="A1289" s="62">
        <v>23586</v>
      </c>
      <c r="B1289">
        <v>0.3775</v>
      </c>
      <c r="C1289" t="str">
        <f t="shared" si="24"/>
        <v>1964 q3</v>
      </c>
    </row>
    <row r="1290" spans="1:3">
      <c r="A1290" s="62">
        <v>23587</v>
      </c>
      <c r="B1290">
        <v>0.37819999999999998</v>
      </c>
      <c r="C1290" t="str">
        <f t="shared" si="24"/>
        <v>1964 q3</v>
      </c>
    </row>
    <row r="1291" spans="1:3">
      <c r="A1291" s="62">
        <v>23588</v>
      </c>
      <c r="B1291">
        <v>0.38490000000000002</v>
      </c>
      <c r="C1291" t="str">
        <f t="shared" si="24"/>
        <v>1964 q3</v>
      </c>
    </row>
    <row r="1292" spans="1:3">
      <c r="A1292" s="62">
        <v>23589</v>
      </c>
      <c r="B1292">
        <v>0.38800000000000001</v>
      </c>
      <c r="C1292" t="str">
        <f t="shared" si="24"/>
        <v>1964 q3</v>
      </c>
    </row>
    <row r="1293" spans="1:3">
      <c r="A1293" s="62">
        <v>23592</v>
      </c>
      <c r="B1293">
        <v>0.38840000000000002</v>
      </c>
      <c r="C1293" t="str">
        <f t="shared" si="24"/>
        <v>1964 q3</v>
      </c>
    </row>
    <row r="1294" spans="1:3">
      <c r="A1294" s="62">
        <v>23593</v>
      </c>
      <c r="B1294">
        <v>0.39410000000000001</v>
      </c>
      <c r="C1294" t="str">
        <f t="shared" si="24"/>
        <v>1964 q3</v>
      </c>
    </row>
    <row r="1295" spans="1:3">
      <c r="A1295" s="62">
        <v>23594</v>
      </c>
      <c r="B1295">
        <v>0.40350000000000003</v>
      </c>
      <c r="C1295" t="str">
        <f t="shared" si="24"/>
        <v>1964 q3</v>
      </c>
    </row>
    <row r="1296" spans="1:3">
      <c r="A1296" s="62">
        <v>23595</v>
      </c>
      <c r="B1296">
        <v>0.4012</v>
      </c>
      <c r="C1296" t="str">
        <f t="shared" si="24"/>
        <v>1964 q3</v>
      </c>
    </row>
    <row r="1297" spans="1:3">
      <c r="A1297" s="62">
        <v>23596</v>
      </c>
      <c r="B1297">
        <v>0.40720000000000001</v>
      </c>
      <c r="C1297" t="str">
        <f t="shared" si="24"/>
        <v>1964 q3</v>
      </c>
    </row>
    <row r="1298" spans="1:3">
      <c r="A1298" s="62">
        <v>23599</v>
      </c>
      <c r="B1298">
        <v>0.4118</v>
      </c>
      <c r="C1298" t="str">
        <f t="shared" ref="C1298:C1361" si="25">YEAR(A1298)&amp;" q"&amp;ROUNDUP(MONTH(A1298)/3,0)</f>
        <v>1964 q3</v>
      </c>
    </row>
    <row r="1299" spans="1:3">
      <c r="A1299" s="62">
        <v>23600</v>
      </c>
      <c r="B1299">
        <v>0.41670000000000001</v>
      </c>
      <c r="C1299" t="str">
        <f t="shared" si="25"/>
        <v>1964 q3</v>
      </c>
    </row>
    <row r="1300" spans="1:3">
      <c r="A1300" s="62">
        <v>23601</v>
      </c>
      <c r="B1300">
        <v>0.42499999999999999</v>
      </c>
      <c r="C1300" t="str">
        <f t="shared" si="25"/>
        <v>1964 q3</v>
      </c>
    </row>
    <row r="1301" spans="1:3">
      <c r="A1301" s="62">
        <v>23602</v>
      </c>
      <c r="B1301">
        <v>0.40500000000000003</v>
      </c>
      <c r="C1301" t="str">
        <f t="shared" si="25"/>
        <v>1964 q3</v>
      </c>
    </row>
    <row r="1302" spans="1:3">
      <c r="A1302" s="62">
        <v>23603</v>
      </c>
      <c r="B1302">
        <v>0.40300000000000002</v>
      </c>
      <c r="C1302" t="str">
        <f t="shared" si="25"/>
        <v>1964 q3</v>
      </c>
    </row>
    <row r="1303" spans="1:3">
      <c r="A1303" s="62">
        <v>23606</v>
      </c>
      <c r="B1303">
        <v>0.40150000000000002</v>
      </c>
      <c r="C1303" t="str">
        <f t="shared" si="25"/>
        <v>1964 q3</v>
      </c>
    </row>
    <row r="1304" spans="1:3">
      <c r="A1304" s="62">
        <v>23607</v>
      </c>
      <c r="B1304">
        <v>0.39600000000000002</v>
      </c>
      <c r="C1304" t="str">
        <f t="shared" si="25"/>
        <v>1964 q3</v>
      </c>
    </row>
    <row r="1305" spans="1:3">
      <c r="A1305" s="62">
        <v>23608</v>
      </c>
      <c r="B1305">
        <v>0.39700000000000002</v>
      </c>
      <c r="C1305" t="str">
        <f t="shared" si="25"/>
        <v>1964 q3</v>
      </c>
    </row>
    <row r="1306" spans="1:3">
      <c r="A1306" s="62">
        <v>23609</v>
      </c>
      <c r="B1306">
        <v>0.40460000000000002</v>
      </c>
      <c r="C1306" t="str">
        <f t="shared" si="25"/>
        <v>1964 q3</v>
      </c>
    </row>
    <row r="1307" spans="1:3">
      <c r="A1307" s="62">
        <v>23610</v>
      </c>
      <c r="B1307">
        <v>0.40649999999999997</v>
      </c>
      <c r="C1307" t="str">
        <f t="shared" si="25"/>
        <v>1964 q3</v>
      </c>
    </row>
    <row r="1308" spans="1:3">
      <c r="A1308" s="62">
        <v>23613</v>
      </c>
      <c r="B1308">
        <v>0.40110000000000001</v>
      </c>
      <c r="C1308" t="str">
        <f t="shared" si="25"/>
        <v>1964 q3</v>
      </c>
    </row>
    <row r="1309" spans="1:3">
      <c r="A1309" s="62">
        <v>23614</v>
      </c>
      <c r="B1309">
        <v>0.40400000000000003</v>
      </c>
      <c r="C1309" t="str">
        <f t="shared" si="25"/>
        <v>1964 q3</v>
      </c>
    </row>
    <row r="1310" spans="1:3">
      <c r="A1310" s="62">
        <v>23615</v>
      </c>
      <c r="B1310">
        <v>0.4007</v>
      </c>
      <c r="C1310" t="str">
        <f t="shared" si="25"/>
        <v>1964 q3</v>
      </c>
    </row>
    <row r="1311" spans="1:3">
      <c r="A1311" s="62">
        <v>23616</v>
      </c>
      <c r="B1311">
        <v>0.39150000000000001</v>
      </c>
      <c r="C1311" t="str">
        <f t="shared" si="25"/>
        <v>1964 q3</v>
      </c>
    </row>
    <row r="1312" spans="1:3">
      <c r="A1312" s="62">
        <v>23617</v>
      </c>
      <c r="B1312">
        <v>0.3861</v>
      </c>
      <c r="C1312" t="str">
        <f t="shared" si="25"/>
        <v>1964 q3</v>
      </c>
    </row>
    <row r="1313" spans="1:3">
      <c r="A1313" s="62">
        <v>23620</v>
      </c>
      <c r="B1313">
        <v>0.377</v>
      </c>
      <c r="C1313" t="str">
        <f t="shared" si="25"/>
        <v>1964 q3</v>
      </c>
    </row>
    <row r="1314" spans="1:3">
      <c r="A1314" s="62">
        <v>23621</v>
      </c>
      <c r="B1314">
        <v>0.37509999999999999</v>
      </c>
      <c r="C1314" t="str">
        <f t="shared" si="25"/>
        <v>1964 q3</v>
      </c>
    </row>
    <row r="1315" spans="1:3">
      <c r="A1315" s="62">
        <v>23622</v>
      </c>
      <c r="B1315">
        <v>0.38329999999999997</v>
      </c>
      <c r="C1315" t="str">
        <f t="shared" si="25"/>
        <v>1964 q3</v>
      </c>
    </row>
    <row r="1316" spans="1:3">
      <c r="A1316" s="62">
        <v>23623</v>
      </c>
      <c r="B1316">
        <v>0.39340000000000003</v>
      </c>
      <c r="C1316" t="str">
        <f t="shared" si="25"/>
        <v>1964 q3</v>
      </c>
    </row>
    <row r="1317" spans="1:3">
      <c r="A1317" s="62">
        <v>23624</v>
      </c>
      <c r="B1317">
        <v>0.38700000000000001</v>
      </c>
      <c r="C1317" t="str">
        <f t="shared" si="25"/>
        <v>1964 q3</v>
      </c>
    </row>
    <row r="1318" spans="1:3">
      <c r="A1318" s="62">
        <v>23628</v>
      </c>
      <c r="B1318">
        <v>0.37719999999999998</v>
      </c>
      <c r="C1318" t="str">
        <f t="shared" si="25"/>
        <v>1964 q3</v>
      </c>
    </row>
    <row r="1319" spans="1:3">
      <c r="A1319" s="62">
        <v>23629</v>
      </c>
      <c r="B1319">
        <v>0.39650000000000002</v>
      </c>
      <c r="C1319" t="str">
        <f t="shared" si="25"/>
        <v>1964 q3</v>
      </c>
    </row>
    <row r="1320" spans="1:3">
      <c r="A1320" s="62">
        <v>23630</v>
      </c>
      <c r="B1320">
        <v>0.39479999999999998</v>
      </c>
      <c r="C1320" t="str">
        <f t="shared" si="25"/>
        <v>1964 q3</v>
      </c>
    </row>
    <row r="1321" spans="1:3">
      <c r="A1321" s="62">
        <v>23631</v>
      </c>
      <c r="B1321">
        <v>0.39800000000000002</v>
      </c>
      <c r="C1321" t="str">
        <f t="shared" si="25"/>
        <v>1964 q3</v>
      </c>
    </row>
    <row r="1322" spans="1:3">
      <c r="A1322" s="62">
        <v>23634</v>
      </c>
      <c r="B1322">
        <v>0.39829999999999999</v>
      </c>
      <c r="C1322" t="str">
        <f t="shared" si="25"/>
        <v>1964 q3</v>
      </c>
    </row>
    <row r="1323" spans="1:3">
      <c r="A1323" s="62">
        <v>23635</v>
      </c>
      <c r="B1323">
        <v>0.40500000000000003</v>
      </c>
      <c r="C1323" t="str">
        <f t="shared" si="25"/>
        <v>1964 q3</v>
      </c>
    </row>
    <row r="1324" spans="1:3">
      <c r="A1324" s="62">
        <v>23636</v>
      </c>
      <c r="B1324">
        <v>0.41399999999999998</v>
      </c>
      <c r="C1324" t="str">
        <f t="shared" si="25"/>
        <v>1964 q3</v>
      </c>
    </row>
    <row r="1325" spans="1:3">
      <c r="A1325" s="62">
        <v>23637</v>
      </c>
      <c r="B1325">
        <v>0.42299999999999999</v>
      </c>
      <c r="C1325" t="str">
        <f t="shared" si="25"/>
        <v>1964 q3</v>
      </c>
    </row>
    <row r="1326" spans="1:3">
      <c r="A1326" s="62">
        <v>23638</v>
      </c>
      <c r="B1326">
        <v>0.42499999999999999</v>
      </c>
      <c r="C1326" t="str">
        <f t="shared" si="25"/>
        <v>1964 q3</v>
      </c>
    </row>
    <row r="1327" spans="1:3">
      <c r="A1327" s="62">
        <v>23641</v>
      </c>
      <c r="B1327">
        <v>0.41049999999999998</v>
      </c>
      <c r="C1327" t="str">
        <f t="shared" si="25"/>
        <v>1964 q3</v>
      </c>
    </row>
    <row r="1328" spans="1:3">
      <c r="A1328" s="62">
        <v>23642</v>
      </c>
      <c r="B1328">
        <v>0.41160000000000002</v>
      </c>
      <c r="C1328" t="str">
        <f t="shared" si="25"/>
        <v>1964 q3</v>
      </c>
    </row>
    <row r="1329" spans="1:3">
      <c r="A1329" s="62">
        <v>23643</v>
      </c>
      <c r="B1329">
        <v>0.42680000000000001</v>
      </c>
      <c r="C1329" t="str">
        <f t="shared" si="25"/>
        <v>1964 q3</v>
      </c>
    </row>
    <row r="1330" spans="1:3">
      <c r="A1330" s="62">
        <v>23644</v>
      </c>
      <c r="B1330">
        <v>0.43120000000000003</v>
      </c>
      <c r="C1330" t="str">
        <f t="shared" si="25"/>
        <v>1964 q3</v>
      </c>
    </row>
    <row r="1331" spans="1:3">
      <c r="A1331" s="62">
        <v>23645</v>
      </c>
      <c r="B1331">
        <v>0.4385</v>
      </c>
      <c r="C1331" t="str">
        <f t="shared" si="25"/>
        <v>1964 q3</v>
      </c>
    </row>
    <row r="1332" spans="1:3">
      <c r="A1332" s="62">
        <v>23648</v>
      </c>
      <c r="B1332">
        <v>0.44600000000000001</v>
      </c>
      <c r="C1332" t="str">
        <f t="shared" si="25"/>
        <v>1964 q3</v>
      </c>
    </row>
    <row r="1333" spans="1:3">
      <c r="A1333" s="62">
        <v>23649</v>
      </c>
      <c r="B1333">
        <v>0.433</v>
      </c>
      <c r="C1333" t="str">
        <f t="shared" si="25"/>
        <v>1964 q3</v>
      </c>
    </row>
    <row r="1334" spans="1:3">
      <c r="A1334" s="62">
        <v>23650</v>
      </c>
      <c r="B1334">
        <v>0.44450000000000001</v>
      </c>
      <c r="C1334" t="str">
        <f t="shared" si="25"/>
        <v>1964 q3</v>
      </c>
    </row>
    <row r="1335" spans="1:3">
      <c r="A1335" s="62">
        <v>23651</v>
      </c>
      <c r="B1335">
        <v>0.43680000000000002</v>
      </c>
      <c r="C1335" t="str">
        <f t="shared" si="25"/>
        <v>1964 q4</v>
      </c>
    </row>
    <row r="1336" spans="1:3">
      <c r="A1336" s="62">
        <v>23652</v>
      </c>
      <c r="B1336">
        <v>0.45679999999999998</v>
      </c>
      <c r="C1336" t="str">
        <f t="shared" si="25"/>
        <v>1964 q4</v>
      </c>
    </row>
    <row r="1337" spans="1:3">
      <c r="A1337" s="62">
        <v>23655</v>
      </c>
      <c r="B1337">
        <v>0.45500000000000002</v>
      </c>
      <c r="C1337" t="str">
        <f t="shared" si="25"/>
        <v>1964 q4</v>
      </c>
    </row>
    <row r="1338" spans="1:3">
      <c r="A1338" s="62">
        <v>23656</v>
      </c>
      <c r="B1338">
        <v>0.46279999999999999</v>
      </c>
      <c r="C1338" t="str">
        <f t="shared" si="25"/>
        <v>1964 q4</v>
      </c>
    </row>
    <row r="1339" spans="1:3">
      <c r="A1339" s="62">
        <v>23657</v>
      </c>
      <c r="B1339">
        <v>0.47049999999999997</v>
      </c>
      <c r="C1339" t="str">
        <f t="shared" si="25"/>
        <v>1964 q4</v>
      </c>
    </row>
    <row r="1340" spans="1:3">
      <c r="A1340" s="62">
        <v>23658</v>
      </c>
      <c r="B1340">
        <v>0.46550000000000002</v>
      </c>
      <c r="C1340" t="str">
        <f t="shared" si="25"/>
        <v>1964 q4</v>
      </c>
    </row>
    <row r="1341" spans="1:3">
      <c r="A1341" s="62">
        <v>23659</v>
      </c>
      <c r="B1341">
        <v>0.47949999999999998</v>
      </c>
      <c r="C1341" t="str">
        <f t="shared" si="25"/>
        <v>1964 q4</v>
      </c>
    </row>
    <row r="1342" spans="1:3">
      <c r="A1342" s="62">
        <v>23662</v>
      </c>
      <c r="B1342">
        <v>0.4995</v>
      </c>
      <c r="C1342" t="str">
        <f t="shared" si="25"/>
        <v>1964 q4</v>
      </c>
    </row>
    <row r="1343" spans="1:3">
      <c r="A1343" s="62">
        <v>23663</v>
      </c>
      <c r="B1343">
        <v>0.5</v>
      </c>
      <c r="C1343" t="str">
        <f t="shared" si="25"/>
        <v>1964 q4</v>
      </c>
    </row>
    <row r="1344" spans="1:3">
      <c r="A1344" s="62">
        <v>23664</v>
      </c>
      <c r="B1344">
        <v>0.51600000000000001</v>
      </c>
      <c r="C1344" t="str">
        <f t="shared" si="25"/>
        <v>1964 q4</v>
      </c>
    </row>
    <row r="1345" spans="1:3">
      <c r="A1345" s="62">
        <v>23665</v>
      </c>
      <c r="B1345">
        <v>0.51700000000000002</v>
      </c>
      <c r="C1345" t="str">
        <f t="shared" si="25"/>
        <v>1964 q4</v>
      </c>
    </row>
    <row r="1346" spans="1:3">
      <c r="A1346" s="62">
        <v>23666</v>
      </c>
      <c r="B1346">
        <v>0.52749999999999997</v>
      </c>
      <c r="C1346" t="str">
        <f t="shared" si="25"/>
        <v>1964 q4</v>
      </c>
    </row>
    <row r="1347" spans="1:3">
      <c r="A1347" s="62">
        <v>23669</v>
      </c>
      <c r="B1347">
        <v>0.54300000000000004</v>
      </c>
      <c r="C1347" t="str">
        <f t="shared" si="25"/>
        <v>1964 q4</v>
      </c>
    </row>
    <row r="1348" spans="1:3">
      <c r="A1348" s="62">
        <v>23670</v>
      </c>
      <c r="B1348">
        <v>0.54800000000000004</v>
      </c>
      <c r="C1348" t="str">
        <f t="shared" si="25"/>
        <v>1964 q4</v>
      </c>
    </row>
    <row r="1349" spans="1:3">
      <c r="A1349" s="62">
        <v>23671</v>
      </c>
      <c r="B1349">
        <v>0.54500000000000004</v>
      </c>
      <c r="C1349" t="str">
        <f t="shared" si="25"/>
        <v>1964 q4</v>
      </c>
    </row>
    <row r="1350" spans="1:3">
      <c r="A1350" s="62">
        <v>23672</v>
      </c>
      <c r="B1350">
        <v>0.52500000000000002</v>
      </c>
      <c r="C1350" t="str">
        <f t="shared" si="25"/>
        <v>1964 q4</v>
      </c>
    </row>
    <row r="1351" spans="1:3">
      <c r="A1351" s="62">
        <v>23673</v>
      </c>
      <c r="B1351">
        <v>0.52700000000000002</v>
      </c>
      <c r="C1351" t="str">
        <f t="shared" si="25"/>
        <v>1964 q4</v>
      </c>
    </row>
    <row r="1352" spans="1:3">
      <c r="A1352" s="62">
        <v>23676</v>
      </c>
      <c r="B1352">
        <v>0.53700000000000003</v>
      </c>
      <c r="C1352" t="str">
        <f t="shared" si="25"/>
        <v>1964 q4</v>
      </c>
    </row>
    <row r="1353" spans="1:3">
      <c r="A1353" s="62">
        <v>23677</v>
      </c>
      <c r="B1353">
        <v>0.51700000000000002</v>
      </c>
      <c r="C1353" t="str">
        <f t="shared" si="25"/>
        <v>1964 q4</v>
      </c>
    </row>
    <row r="1354" spans="1:3">
      <c r="A1354" s="62">
        <v>23678</v>
      </c>
      <c r="B1354">
        <v>0.497</v>
      </c>
      <c r="C1354" t="str">
        <f t="shared" si="25"/>
        <v>1964 q4</v>
      </c>
    </row>
    <row r="1355" spans="1:3">
      <c r="A1355" s="62">
        <v>23679</v>
      </c>
      <c r="B1355">
        <v>0.51700000000000002</v>
      </c>
      <c r="C1355" t="str">
        <f t="shared" si="25"/>
        <v>1964 q4</v>
      </c>
    </row>
    <row r="1356" spans="1:3">
      <c r="A1356" s="62">
        <v>23680</v>
      </c>
      <c r="B1356">
        <v>0.53700000000000003</v>
      </c>
      <c r="C1356" t="str">
        <f t="shared" si="25"/>
        <v>1964 q4</v>
      </c>
    </row>
    <row r="1357" spans="1:3">
      <c r="A1357" s="62">
        <v>23683</v>
      </c>
      <c r="B1357">
        <v>0.52749999999999997</v>
      </c>
      <c r="C1357" t="str">
        <f t="shared" si="25"/>
        <v>1964 q4</v>
      </c>
    </row>
    <row r="1358" spans="1:3">
      <c r="A1358" s="62">
        <v>23685</v>
      </c>
      <c r="B1358">
        <v>0.54649999999999999</v>
      </c>
      <c r="C1358" t="str">
        <f t="shared" si="25"/>
        <v>1964 q4</v>
      </c>
    </row>
    <row r="1359" spans="1:3">
      <c r="A1359" s="62">
        <v>23686</v>
      </c>
      <c r="B1359">
        <v>0.5665</v>
      </c>
      <c r="C1359" t="str">
        <f t="shared" si="25"/>
        <v>1964 q4</v>
      </c>
    </row>
    <row r="1360" spans="1:3">
      <c r="A1360" s="62">
        <v>23687</v>
      </c>
      <c r="B1360">
        <v>0.55049999999999999</v>
      </c>
      <c r="C1360" t="str">
        <f t="shared" si="25"/>
        <v>1964 q4</v>
      </c>
    </row>
    <row r="1361" spans="1:3">
      <c r="A1361" s="62">
        <v>23690</v>
      </c>
      <c r="B1361">
        <v>0.57050000000000001</v>
      </c>
      <c r="C1361" t="str">
        <f t="shared" si="25"/>
        <v>1964 q4</v>
      </c>
    </row>
    <row r="1362" spans="1:3">
      <c r="A1362" s="62">
        <v>23691</v>
      </c>
      <c r="B1362">
        <v>0.57499999999999996</v>
      </c>
      <c r="C1362" t="str">
        <f t="shared" ref="C1362:C1425" si="26">YEAR(A1362)&amp;" q"&amp;ROUNDUP(MONTH(A1362)/3,0)</f>
        <v>1964 q4</v>
      </c>
    </row>
    <row r="1363" spans="1:3">
      <c r="A1363" s="62">
        <v>23693</v>
      </c>
      <c r="B1363">
        <v>0.55500000000000005</v>
      </c>
      <c r="C1363" t="str">
        <f t="shared" si="26"/>
        <v>1964 q4</v>
      </c>
    </row>
    <row r="1364" spans="1:3">
      <c r="A1364" s="62">
        <v>23694</v>
      </c>
      <c r="B1364">
        <v>0.54</v>
      </c>
      <c r="C1364" t="str">
        <f t="shared" si="26"/>
        <v>1964 q4</v>
      </c>
    </row>
    <row r="1365" spans="1:3">
      <c r="A1365" s="62">
        <v>23697</v>
      </c>
      <c r="B1365">
        <v>0.55300000000000005</v>
      </c>
      <c r="C1365" t="str">
        <f t="shared" si="26"/>
        <v>1964 q4</v>
      </c>
    </row>
    <row r="1366" spans="1:3">
      <c r="A1366" s="62">
        <v>23698</v>
      </c>
      <c r="B1366">
        <v>0.55200000000000005</v>
      </c>
      <c r="C1366" t="str">
        <f t="shared" si="26"/>
        <v>1964 q4</v>
      </c>
    </row>
    <row r="1367" spans="1:3">
      <c r="A1367" s="62">
        <v>23699</v>
      </c>
      <c r="B1367">
        <v>0.56320000000000003</v>
      </c>
      <c r="C1367" t="str">
        <f t="shared" si="26"/>
        <v>1964 q4</v>
      </c>
    </row>
    <row r="1368" spans="1:3">
      <c r="A1368" s="62">
        <v>23700</v>
      </c>
      <c r="B1368">
        <v>0.58320000000000005</v>
      </c>
      <c r="C1368" t="str">
        <f t="shared" si="26"/>
        <v>1964 q4</v>
      </c>
    </row>
    <row r="1369" spans="1:3">
      <c r="A1369" s="62">
        <v>23701</v>
      </c>
      <c r="B1369">
        <v>0.58950000000000002</v>
      </c>
      <c r="C1369" t="str">
        <f t="shared" si="26"/>
        <v>1964 q4</v>
      </c>
    </row>
    <row r="1370" spans="1:3">
      <c r="A1370" s="62">
        <v>23704</v>
      </c>
      <c r="B1370">
        <v>0.58750000000000002</v>
      </c>
      <c r="C1370" t="str">
        <f t="shared" si="26"/>
        <v>1964 q4</v>
      </c>
    </row>
    <row r="1371" spans="1:3">
      <c r="A1371" s="62">
        <v>23705</v>
      </c>
      <c r="B1371">
        <v>0.58530000000000004</v>
      </c>
      <c r="C1371" t="str">
        <f t="shared" si="26"/>
        <v>1964 q4</v>
      </c>
    </row>
    <row r="1372" spans="1:3">
      <c r="A1372" s="62">
        <v>23706</v>
      </c>
      <c r="B1372">
        <v>0.57340000000000002</v>
      </c>
      <c r="C1372" t="str">
        <f t="shared" si="26"/>
        <v>1964 q4</v>
      </c>
    </row>
    <row r="1373" spans="1:3">
      <c r="A1373" s="62">
        <v>23708</v>
      </c>
      <c r="B1373">
        <v>0.55349999999999999</v>
      </c>
      <c r="C1373" t="str">
        <f t="shared" si="26"/>
        <v>1964 q4</v>
      </c>
    </row>
    <row r="1374" spans="1:3">
      <c r="A1374" s="62">
        <v>23711</v>
      </c>
      <c r="B1374">
        <v>0.54269999999999996</v>
      </c>
      <c r="C1374" t="str">
        <f t="shared" si="26"/>
        <v>1964 q4</v>
      </c>
    </row>
    <row r="1375" spans="1:3">
      <c r="A1375" s="62">
        <v>23712</v>
      </c>
      <c r="B1375">
        <v>0.52629999999999999</v>
      </c>
      <c r="C1375" t="str">
        <f t="shared" si="26"/>
        <v>1964 q4</v>
      </c>
    </row>
    <row r="1376" spans="1:3">
      <c r="A1376" s="62">
        <v>23713</v>
      </c>
      <c r="B1376">
        <v>0.53400000000000003</v>
      </c>
      <c r="C1376" t="str">
        <f t="shared" si="26"/>
        <v>1964 q4</v>
      </c>
    </row>
    <row r="1377" spans="1:3">
      <c r="A1377" s="62">
        <v>23714</v>
      </c>
      <c r="B1377">
        <v>0.53800000000000003</v>
      </c>
      <c r="C1377" t="str">
        <f t="shared" si="26"/>
        <v>1964 q4</v>
      </c>
    </row>
    <row r="1378" spans="1:3">
      <c r="A1378" s="62">
        <v>23715</v>
      </c>
      <c r="B1378">
        <v>0.53700000000000003</v>
      </c>
      <c r="C1378" t="str">
        <f t="shared" si="26"/>
        <v>1964 q4</v>
      </c>
    </row>
    <row r="1379" spans="1:3">
      <c r="A1379" s="62">
        <v>23718</v>
      </c>
      <c r="B1379">
        <v>0.54449999999999998</v>
      </c>
      <c r="C1379" t="str">
        <f t="shared" si="26"/>
        <v>1964 q4</v>
      </c>
    </row>
    <row r="1380" spans="1:3">
      <c r="A1380" s="62">
        <v>23719</v>
      </c>
      <c r="B1380">
        <v>0.55400000000000005</v>
      </c>
      <c r="C1380" t="str">
        <f t="shared" si="26"/>
        <v>1964 q4</v>
      </c>
    </row>
    <row r="1381" spans="1:3">
      <c r="A1381" s="62">
        <v>23720</v>
      </c>
      <c r="B1381">
        <v>0.5585</v>
      </c>
      <c r="C1381" t="str">
        <f t="shared" si="26"/>
        <v>1964 q4</v>
      </c>
    </row>
    <row r="1382" spans="1:3">
      <c r="A1382" s="62">
        <v>23721</v>
      </c>
      <c r="B1382">
        <v>0.54400000000000004</v>
      </c>
      <c r="C1382" t="str">
        <f t="shared" si="26"/>
        <v>1964 q4</v>
      </c>
    </row>
    <row r="1383" spans="1:3">
      <c r="A1383" s="62">
        <v>23722</v>
      </c>
      <c r="B1383">
        <v>0.55049999999999999</v>
      </c>
      <c r="C1383" t="str">
        <f t="shared" si="26"/>
        <v>1964 q4</v>
      </c>
    </row>
    <row r="1384" spans="1:3">
      <c r="A1384" s="62">
        <v>23725</v>
      </c>
      <c r="B1384">
        <v>0.52949999999999997</v>
      </c>
      <c r="C1384" t="str">
        <f t="shared" si="26"/>
        <v>1964 q4</v>
      </c>
    </row>
    <row r="1385" spans="1:3">
      <c r="A1385" s="62">
        <v>23726</v>
      </c>
      <c r="B1385">
        <v>0.52449999999999997</v>
      </c>
      <c r="C1385" t="str">
        <f t="shared" si="26"/>
        <v>1964 q4</v>
      </c>
    </row>
    <row r="1386" spans="1:3">
      <c r="A1386" s="62">
        <v>23727</v>
      </c>
      <c r="B1386">
        <v>0.498</v>
      </c>
      <c r="C1386" t="str">
        <f t="shared" si="26"/>
        <v>1964 q4</v>
      </c>
    </row>
    <row r="1387" spans="1:3">
      <c r="A1387" s="62">
        <v>23728</v>
      </c>
      <c r="B1387">
        <v>0.47799999999999998</v>
      </c>
      <c r="C1387" t="str">
        <f t="shared" si="26"/>
        <v>1964 q4</v>
      </c>
    </row>
    <row r="1388" spans="1:3">
      <c r="A1388" s="62">
        <v>23729</v>
      </c>
      <c r="B1388">
        <v>0.46700000000000003</v>
      </c>
      <c r="C1388" t="str">
        <f t="shared" si="26"/>
        <v>1964 q4</v>
      </c>
    </row>
    <row r="1389" spans="1:3">
      <c r="A1389" s="62">
        <v>23732</v>
      </c>
      <c r="B1389">
        <v>0.44700000000000001</v>
      </c>
      <c r="C1389" t="str">
        <f t="shared" si="26"/>
        <v>1964 q4</v>
      </c>
    </row>
    <row r="1390" spans="1:3">
      <c r="A1390" s="62">
        <v>23733</v>
      </c>
      <c r="B1390">
        <v>0.42699999999999999</v>
      </c>
      <c r="C1390" t="str">
        <f t="shared" si="26"/>
        <v>1964 q4</v>
      </c>
    </row>
    <row r="1391" spans="1:3">
      <c r="A1391" s="62">
        <v>23734</v>
      </c>
      <c r="B1391">
        <v>0.41549999999999998</v>
      </c>
      <c r="C1391" t="str">
        <f t="shared" si="26"/>
        <v>1964 q4</v>
      </c>
    </row>
    <row r="1392" spans="1:3">
      <c r="A1392" s="62">
        <v>23739</v>
      </c>
      <c r="B1392">
        <v>0.39810000000000001</v>
      </c>
      <c r="C1392" t="str">
        <f t="shared" si="26"/>
        <v>1964 q4</v>
      </c>
    </row>
    <row r="1393" spans="1:3">
      <c r="A1393" s="62">
        <v>23740</v>
      </c>
      <c r="B1393">
        <v>0.40939999999999999</v>
      </c>
      <c r="C1393" t="str">
        <f t="shared" si="26"/>
        <v>1964 q4</v>
      </c>
    </row>
    <row r="1394" spans="1:3">
      <c r="A1394" s="62">
        <v>23741</v>
      </c>
      <c r="B1394">
        <v>0.38179999999999997</v>
      </c>
      <c r="C1394" t="str">
        <f t="shared" si="26"/>
        <v>1964 q4</v>
      </c>
    </row>
    <row r="1395" spans="1:3">
      <c r="A1395" s="62">
        <v>23742</v>
      </c>
      <c r="B1395">
        <v>0.3715</v>
      </c>
      <c r="C1395" t="str">
        <f t="shared" si="26"/>
        <v>1964 q4</v>
      </c>
    </row>
    <row r="1396" spans="1:3">
      <c r="A1396" s="62">
        <v>23746</v>
      </c>
      <c r="B1396">
        <v>0.378</v>
      </c>
      <c r="C1396" t="str">
        <f t="shared" si="26"/>
        <v>1965 q1</v>
      </c>
    </row>
    <row r="1397" spans="1:3">
      <c r="A1397" s="62">
        <v>23747</v>
      </c>
      <c r="B1397">
        <v>0.38059999999999999</v>
      </c>
      <c r="C1397" t="str">
        <f t="shared" si="26"/>
        <v>1965 q1</v>
      </c>
    </row>
    <row r="1398" spans="1:3">
      <c r="A1398" s="62">
        <v>23748</v>
      </c>
      <c r="B1398">
        <v>0.39100000000000001</v>
      </c>
      <c r="C1398" t="str">
        <f t="shared" si="26"/>
        <v>1965 q1</v>
      </c>
    </row>
    <row r="1399" spans="1:3">
      <c r="A1399" s="62">
        <v>23749</v>
      </c>
      <c r="B1399">
        <v>0.3805</v>
      </c>
      <c r="C1399" t="str">
        <f t="shared" si="26"/>
        <v>1965 q1</v>
      </c>
    </row>
    <row r="1400" spans="1:3">
      <c r="A1400" s="62">
        <v>23750</v>
      </c>
      <c r="B1400">
        <v>0.38450000000000001</v>
      </c>
      <c r="C1400" t="str">
        <f t="shared" si="26"/>
        <v>1965 q1</v>
      </c>
    </row>
    <row r="1401" spans="1:3">
      <c r="A1401" s="62">
        <v>23753</v>
      </c>
      <c r="B1401">
        <v>0.38750000000000001</v>
      </c>
      <c r="C1401" t="str">
        <f t="shared" si="26"/>
        <v>1965 q1</v>
      </c>
    </row>
    <row r="1402" spans="1:3">
      <c r="A1402" s="62">
        <v>23754</v>
      </c>
      <c r="B1402">
        <v>0.38250000000000001</v>
      </c>
      <c r="C1402" t="str">
        <f t="shared" si="26"/>
        <v>1965 q1</v>
      </c>
    </row>
    <row r="1403" spans="1:3">
      <c r="A1403" s="62">
        <v>23755</v>
      </c>
      <c r="B1403">
        <v>0.3765</v>
      </c>
      <c r="C1403" t="str">
        <f t="shared" si="26"/>
        <v>1965 q1</v>
      </c>
    </row>
    <row r="1404" spans="1:3">
      <c r="A1404" s="62">
        <v>23756</v>
      </c>
      <c r="B1404">
        <v>0.36899999999999999</v>
      </c>
      <c r="C1404" t="str">
        <f t="shared" si="26"/>
        <v>1965 q1</v>
      </c>
    </row>
    <row r="1405" spans="1:3">
      <c r="A1405" s="62">
        <v>23757</v>
      </c>
      <c r="B1405">
        <v>0.373</v>
      </c>
      <c r="C1405" t="str">
        <f t="shared" si="26"/>
        <v>1965 q1</v>
      </c>
    </row>
    <row r="1406" spans="1:3">
      <c r="A1406" s="62">
        <v>23760</v>
      </c>
      <c r="B1406">
        <v>0.37</v>
      </c>
      <c r="C1406" t="str">
        <f t="shared" si="26"/>
        <v>1965 q1</v>
      </c>
    </row>
    <row r="1407" spans="1:3">
      <c r="A1407" s="62">
        <v>23761</v>
      </c>
      <c r="B1407">
        <v>0.36549999999999999</v>
      </c>
      <c r="C1407" t="str">
        <f t="shared" si="26"/>
        <v>1965 q1</v>
      </c>
    </row>
    <row r="1408" spans="1:3">
      <c r="A1408" s="62">
        <v>23762</v>
      </c>
      <c r="B1408">
        <v>0.3705</v>
      </c>
      <c r="C1408" t="str">
        <f t="shared" si="26"/>
        <v>1965 q1</v>
      </c>
    </row>
    <row r="1409" spans="1:3">
      <c r="A1409" s="62">
        <v>23763</v>
      </c>
      <c r="B1409">
        <v>0.3735</v>
      </c>
      <c r="C1409" t="str">
        <f t="shared" si="26"/>
        <v>1965 q1</v>
      </c>
    </row>
    <row r="1410" spans="1:3">
      <c r="A1410" s="62">
        <v>23764</v>
      </c>
      <c r="B1410">
        <v>0.372</v>
      </c>
      <c r="C1410" t="str">
        <f t="shared" si="26"/>
        <v>1965 q1</v>
      </c>
    </row>
    <row r="1411" spans="1:3">
      <c r="A1411" s="62">
        <v>23767</v>
      </c>
      <c r="B1411">
        <v>0.37730000000000002</v>
      </c>
      <c r="C1411" t="str">
        <f t="shared" si="26"/>
        <v>1965 q1</v>
      </c>
    </row>
    <row r="1412" spans="1:3">
      <c r="A1412" s="62">
        <v>23768</v>
      </c>
      <c r="B1412">
        <v>0.371</v>
      </c>
      <c r="C1412" t="str">
        <f t="shared" si="26"/>
        <v>1965 q1</v>
      </c>
    </row>
    <row r="1413" spans="1:3">
      <c r="A1413" s="62">
        <v>23769</v>
      </c>
      <c r="B1413">
        <v>0.3755</v>
      </c>
      <c r="C1413" t="str">
        <f t="shared" si="26"/>
        <v>1965 q1</v>
      </c>
    </row>
    <row r="1414" spans="1:3">
      <c r="A1414" s="62">
        <v>23770</v>
      </c>
      <c r="B1414">
        <v>0.38200000000000001</v>
      </c>
      <c r="C1414" t="str">
        <f t="shared" si="26"/>
        <v>1965 q1</v>
      </c>
    </row>
    <row r="1415" spans="1:3">
      <c r="A1415" s="62">
        <v>23771</v>
      </c>
      <c r="B1415">
        <v>0.38150000000000001</v>
      </c>
      <c r="C1415" t="str">
        <f t="shared" si="26"/>
        <v>1965 q1</v>
      </c>
    </row>
    <row r="1416" spans="1:3">
      <c r="A1416" s="62">
        <v>23774</v>
      </c>
      <c r="B1416">
        <v>0.38500000000000001</v>
      </c>
      <c r="C1416" t="str">
        <f t="shared" si="26"/>
        <v>1965 q1</v>
      </c>
    </row>
    <row r="1417" spans="1:3">
      <c r="A1417" s="62">
        <v>23775</v>
      </c>
      <c r="B1417">
        <v>0.38740000000000002</v>
      </c>
      <c r="C1417" t="str">
        <f t="shared" si="26"/>
        <v>1965 q1</v>
      </c>
    </row>
    <row r="1418" spans="1:3">
      <c r="A1418" s="62">
        <v>23776</v>
      </c>
      <c r="B1418">
        <v>0.39650000000000002</v>
      </c>
      <c r="C1418" t="str">
        <f t="shared" si="26"/>
        <v>1965 q1</v>
      </c>
    </row>
    <row r="1419" spans="1:3">
      <c r="A1419" s="62">
        <v>23777</v>
      </c>
      <c r="B1419">
        <v>0.39850000000000002</v>
      </c>
      <c r="C1419" t="str">
        <f t="shared" si="26"/>
        <v>1965 q1</v>
      </c>
    </row>
    <row r="1420" spans="1:3">
      <c r="A1420" s="62">
        <v>23778</v>
      </c>
      <c r="B1420">
        <v>0.39219999999999999</v>
      </c>
      <c r="C1420" t="str">
        <f t="shared" si="26"/>
        <v>1965 q1</v>
      </c>
    </row>
    <row r="1421" spans="1:3">
      <c r="A1421" s="62">
        <v>23781</v>
      </c>
      <c r="B1421">
        <v>0.4032</v>
      </c>
      <c r="C1421" t="str">
        <f t="shared" si="26"/>
        <v>1965 q1</v>
      </c>
    </row>
    <row r="1422" spans="1:3">
      <c r="A1422" s="62">
        <v>23782</v>
      </c>
      <c r="B1422">
        <v>0.41049999999999998</v>
      </c>
      <c r="C1422" t="str">
        <f t="shared" si="26"/>
        <v>1965 q1</v>
      </c>
    </row>
    <row r="1423" spans="1:3">
      <c r="A1423" s="62">
        <v>23783</v>
      </c>
      <c r="B1423">
        <v>0.42349999999999999</v>
      </c>
      <c r="C1423" t="str">
        <f t="shared" si="26"/>
        <v>1965 q1</v>
      </c>
    </row>
    <row r="1424" spans="1:3">
      <c r="A1424" s="62">
        <v>23784</v>
      </c>
      <c r="B1424">
        <v>0.43099999999999999</v>
      </c>
      <c r="C1424" t="str">
        <f t="shared" si="26"/>
        <v>1965 q1</v>
      </c>
    </row>
    <row r="1425" spans="1:3">
      <c r="A1425" s="62">
        <v>23788</v>
      </c>
      <c r="B1425">
        <v>0.436</v>
      </c>
      <c r="C1425" t="str">
        <f t="shared" si="26"/>
        <v>1965 q1</v>
      </c>
    </row>
    <row r="1426" spans="1:3">
      <c r="A1426" s="62">
        <v>23789</v>
      </c>
      <c r="B1426">
        <v>0.4405</v>
      </c>
      <c r="C1426" t="str">
        <f t="shared" ref="C1426:C1489" si="27">YEAR(A1426)&amp;" q"&amp;ROUNDUP(MONTH(A1426)/3,0)</f>
        <v>1965 q1</v>
      </c>
    </row>
    <row r="1427" spans="1:3">
      <c r="A1427" s="62">
        <v>23790</v>
      </c>
      <c r="B1427">
        <v>0.43049999999999999</v>
      </c>
      <c r="C1427" t="str">
        <f t="shared" si="27"/>
        <v>1965 q1</v>
      </c>
    </row>
    <row r="1428" spans="1:3">
      <c r="A1428" s="62">
        <v>23791</v>
      </c>
      <c r="B1428">
        <v>0.44350000000000001</v>
      </c>
      <c r="C1428" t="str">
        <f t="shared" si="27"/>
        <v>1965 q1</v>
      </c>
    </row>
    <row r="1429" spans="1:3">
      <c r="A1429" s="62">
        <v>23792</v>
      </c>
      <c r="B1429">
        <v>0.45050000000000001</v>
      </c>
      <c r="C1429" t="str">
        <f t="shared" si="27"/>
        <v>1965 q1</v>
      </c>
    </row>
    <row r="1430" spans="1:3">
      <c r="A1430" s="62">
        <v>23796</v>
      </c>
      <c r="B1430">
        <v>0.43020000000000003</v>
      </c>
      <c r="C1430" t="str">
        <f t="shared" si="27"/>
        <v>1965 q1</v>
      </c>
    </row>
    <row r="1431" spans="1:3">
      <c r="A1431" s="62">
        <v>23797</v>
      </c>
      <c r="B1431">
        <v>0.42599999999999999</v>
      </c>
      <c r="C1431" t="str">
        <f t="shared" si="27"/>
        <v>1965 q1</v>
      </c>
    </row>
    <row r="1432" spans="1:3">
      <c r="A1432" s="62">
        <v>23798</v>
      </c>
      <c r="B1432">
        <v>0.42309999999999998</v>
      </c>
      <c r="C1432" t="str">
        <f t="shared" si="27"/>
        <v>1965 q1</v>
      </c>
    </row>
    <row r="1433" spans="1:3">
      <c r="A1433" s="62">
        <v>23799</v>
      </c>
      <c r="B1433">
        <v>0.40139999999999998</v>
      </c>
      <c r="C1433" t="str">
        <f t="shared" si="27"/>
        <v>1965 q1</v>
      </c>
    </row>
    <row r="1434" spans="1:3">
      <c r="A1434" s="62">
        <v>23802</v>
      </c>
      <c r="B1434">
        <v>0.38150000000000001</v>
      </c>
      <c r="C1434" t="str">
        <f t="shared" si="27"/>
        <v>1965 q1</v>
      </c>
    </row>
    <row r="1435" spans="1:3">
      <c r="A1435" s="62">
        <v>23803</v>
      </c>
      <c r="B1435">
        <v>0.38719999999999999</v>
      </c>
      <c r="C1435" t="str">
        <f t="shared" si="27"/>
        <v>1965 q1</v>
      </c>
    </row>
    <row r="1436" spans="1:3">
      <c r="A1436" s="62">
        <v>23804</v>
      </c>
      <c r="B1436">
        <v>0.38450000000000001</v>
      </c>
      <c r="C1436" t="str">
        <f t="shared" si="27"/>
        <v>1965 q1</v>
      </c>
    </row>
    <row r="1437" spans="1:3">
      <c r="A1437" s="62">
        <v>23805</v>
      </c>
      <c r="B1437">
        <v>0.39450000000000002</v>
      </c>
      <c r="C1437" t="str">
        <f t="shared" si="27"/>
        <v>1965 q1</v>
      </c>
    </row>
    <row r="1438" spans="1:3">
      <c r="A1438" s="62">
        <v>23806</v>
      </c>
      <c r="B1438">
        <v>0.40579999999999999</v>
      </c>
      <c r="C1438" t="str">
        <f t="shared" si="27"/>
        <v>1965 q1</v>
      </c>
    </row>
    <row r="1439" spans="1:3">
      <c r="A1439" s="62">
        <v>23809</v>
      </c>
      <c r="B1439">
        <v>0.41799999999999998</v>
      </c>
      <c r="C1439" t="str">
        <f t="shared" si="27"/>
        <v>1965 q1</v>
      </c>
    </row>
    <row r="1440" spans="1:3">
      <c r="A1440" s="62">
        <v>23810</v>
      </c>
      <c r="B1440">
        <v>0.42899999999999999</v>
      </c>
      <c r="C1440" t="str">
        <f t="shared" si="27"/>
        <v>1965 q1</v>
      </c>
    </row>
    <row r="1441" spans="1:3">
      <c r="A1441" s="62">
        <v>23811</v>
      </c>
      <c r="B1441">
        <v>0.4365</v>
      </c>
      <c r="C1441" t="str">
        <f t="shared" si="27"/>
        <v>1965 q1</v>
      </c>
    </row>
    <row r="1442" spans="1:3">
      <c r="A1442" s="62">
        <v>23812</v>
      </c>
      <c r="B1442">
        <v>0.42949999999999999</v>
      </c>
      <c r="C1442" t="str">
        <f t="shared" si="27"/>
        <v>1965 q1</v>
      </c>
    </row>
    <row r="1443" spans="1:3">
      <c r="A1443" s="62">
        <v>23813</v>
      </c>
      <c r="B1443">
        <v>0.4325</v>
      </c>
      <c r="C1443" t="str">
        <f t="shared" si="27"/>
        <v>1965 q1</v>
      </c>
    </row>
    <row r="1444" spans="1:3">
      <c r="A1444" s="62">
        <v>23816</v>
      </c>
      <c r="B1444">
        <v>0.42470000000000002</v>
      </c>
      <c r="C1444" t="str">
        <f t="shared" si="27"/>
        <v>1965 q1</v>
      </c>
    </row>
    <row r="1445" spans="1:3">
      <c r="A1445" s="62">
        <v>23817</v>
      </c>
      <c r="B1445">
        <v>0.42899999999999999</v>
      </c>
      <c r="C1445" t="str">
        <f t="shared" si="27"/>
        <v>1965 q1</v>
      </c>
    </row>
    <row r="1446" spans="1:3">
      <c r="A1446" s="62">
        <v>23818</v>
      </c>
      <c r="B1446">
        <v>0.44779999999999998</v>
      </c>
      <c r="C1446" t="str">
        <f t="shared" si="27"/>
        <v>1965 q1</v>
      </c>
    </row>
    <row r="1447" spans="1:3">
      <c r="A1447" s="62">
        <v>23819</v>
      </c>
      <c r="B1447">
        <v>0.45200000000000001</v>
      </c>
      <c r="C1447" t="str">
        <f t="shared" si="27"/>
        <v>1965 q1</v>
      </c>
    </row>
    <row r="1448" spans="1:3">
      <c r="A1448" s="62">
        <v>23820</v>
      </c>
      <c r="B1448">
        <v>0.45900000000000002</v>
      </c>
      <c r="C1448" t="str">
        <f t="shared" si="27"/>
        <v>1965 q1</v>
      </c>
    </row>
    <row r="1449" spans="1:3">
      <c r="A1449" s="62">
        <v>23823</v>
      </c>
      <c r="B1449">
        <v>0.46350000000000002</v>
      </c>
      <c r="C1449" t="str">
        <f t="shared" si="27"/>
        <v>1965 q1</v>
      </c>
    </row>
    <row r="1450" spans="1:3">
      <c r="A1450" s="62">
        <v>23824</v>
      </c>
      <c r="B1450">
        <v>0.45579999999999998</v>
      </c>
      <c r="C1450" t="str">
        <f t="shared" si="27"/>
        <v>1965 q1</v>
      </c>
    </row>
    <row r="1451" spans="1:3">
      <c r="A1451" s="62">
        <v>23825</v>
      </c>
      <c r="B1451">
        <v>0.44400000000000001</v>
      </c>
      <c r="C1451" t="str">
        <f t="shared" si="27"/>
        <v>1965 q1</v>
      </c>
    </row>
    <row r="1452" spans="1:3">
      <c r="A1452" s="62">
        <v>23826</v>
      </c>
      <c r="B1452">
        <v>0.45650000000000002</v>
      </c>
      <c r="C1452" t="str">
        <f t="shared" si="27"/>
        <v>1965 q1</v>
      </c>
    </row>
    <row r="1453" spans="1:3">
      <c r="A1453" s="62">
        <v>23827</v>
      </c>
      <c r="B1453">
        <v>0.47049999999999997</v>
      </c>
      <c r="C1453" t="str">
        <f t="shared" si="27"/>
        <v>1965 q1</v>
      </c>
    </row>
    <row r="1454" spans="1:3">
      <c r="A1454" s="62">
        <v>23830</v>
      </c>
      <c r="B1454">
        <v>0.46400000000000002</v>
      </c>
      <c r="C1454" t="str">
        <f t="shared" si="27"/>
        <v>1965 q1</v>
      </c>
    </row>
    <row r="1455" spans="1:3">
      <c r="A1455" s="62">
        <v>23831</v>
      </c>
      <c r="B1455">
        <v>0.47349999999999998</v>
      </c>
      <c r="C1455" t="str">
        <f t="shared" si="27"/>
        <v>1965 q1</v>
      </c>
    </row>
    <row r="1456" spans="1:3">
      <c r="A1456" s="62">
        <v>23832</v>
      </c>
      <c r="B1456">
        <v>0.47499999999999998</v>
      </c>
      <c r="C1456" t="str">
        <f t="shared" si="27"/>
        <v>1965 q1</v>
      </c>
    </row>
    <row r="1457" spans="1:3">
      <c r="A1457" s="62">
        <v>23833</v>
      </c>
      <c r="B1457">
        <v>0.46800000000000003</v>
      </c>
      <c r="C1457" t="str">
        <f t="shared" si="27"/>
        <v>1965 q2</v>
      </c>
    </row>
    <row r="1458" spans="1:3">
      <c r="A1458" s="62">
        <v>23834</v>
      </c>
      <c r="B1458">
        <v>0.48399999999999999</v>
      </c>
      <c r="C1458" t="str">
        <f t="shared" si="27"/>
        <v>1965 q2</v>
      </c>
    </row>
    <row r="1459" spans="1:3">
      <c r="A1459" s="62">
        <v>23837</v>
      </c>
      <c r="B1459">
        <v>0.4985</v>
      </c>
      <c r="C1459" t="str">
        <f t="shared" si="27"/>
        <v>1965 q2</v>
      </c>
    </row>
    <row r="1460" spans="1:3">
      <c r="A1460" s="62">
        <v>23838</v>
      </c>
      <c r="B1460">
        <v>0.498</v>
      </c>
      <c r="C1460" t="str">
        <f t="shared" si="27"/>
        <v>1965 q2</v>
      </c>
    </row>
    <row r="1461" spans="1:3">
      <c r="A1461" s="62">
        <v>23839</v>
      </c>
      <c r="B1461">
        <v>0.51100000000000001</v>
      </c>
      <c r="C1461" t="str">
        <f t="shared" si="27"/>
        <v>1965 q2</v>
      </c>
    </row>
    <row r="1462" spans="1:3">
      <c r="A1462" s="62">
        <v>23840</v>
      </c>
      <c r="B1462">
        <v>0.50649999999999995</v>
      </c>
      <c r="C1462" t="str">
        <f t="shared" si="27"/>
        <v>1965 q2</v>
      </c>
    </row>
    <row r="1463" spans="1:3">
      <c r="A1463" s="62">
        <v>23841</v>
      </c>
      <c r="B1463">
        <v>0.52</v>
      </c>
      <c r="C1463" t="str">
        <f t="shared" si="27"/>
        <v>1965 q2</v>
      </c>
    </row>
    <row r="1464" spans="1:3">
      <c r="A1464" s="62">
        <v>23844</v>
      </c>
      <c r="B1464">
        <v>0.52149999999999996</v>
      </c>
      <c r="C1464" t="str">
        <f t="shared" si="27"/>
        <v>1965 q2</v>
      </c>
    </row>
    <row r="1465" spans="1:3">
      <c r="A1465" s="62">
        <v>23845</v>
      </c>
      <c r="B1465">
        <v>0.52749999999999997</v>
      </c>
      <c r="C1465" t="str">
        <f t="shared" si="27"/>
        <v>1965 q2</v>
      </c>
    </row>
    <row r="1466" spans="1:3">
      <c r="A1466" s="62">
        <v>23846</v>
      </c>
      <c r="B1466">
        <v>0.53549999999999998</v>
      </c>
      <c r="C1466" t="str">
        <f t="shared" si="27"/>
        <v>1965 q2</v>
      </c>
    </row>
    <row r="1467" spans="1:3">
      <c r="A1467" s="62">
        <v>23847</v>
      </c>
      <c r="B1467">
        <v>0.54500000000000004</v>
      </c>
      <c r="C1467" t="str">
        <f t="shared" si="27"/>
        <v>1965 q2</v>
      </c>
    </row>
    <row r="1468" spans="1:3">
      <c r="A1468" s="62">
        <v>23851</v>
      </c>
      <c r="B1468">
        <v>0.56399999999999995</v>
      </c>
      <c r="C1468" t="str">
        <f t="shared" si="27"/>
        <v>1965 q2</v>
      </c>
    </row>
    <row r="1469" spans="1:3">
      <c r="A1469" s="62">
        <v>23852</v>
      </c>
      <c r="B1469">
        <v>0.58399999999999996</v>
      </c>
      <c r="C1469" t="str">
        <f t="shared" si="27"/>
        <v>1965 q2</v>
      </c>
    </row>
    <row r="1470" spans="1:3">
      <c r="A1470" s="62">
        <v>23853</v>
      </c>
      <c r="B1470">
        <v>0.56399999999999995</v>
      </c>
      <c r="C1470" t="str">
        <f t="shared" si="27"/>
        <v>1965 q2</v>
      </c>
    </row>
    <row r="1471" spans="1:3">
      <c r="A1471" s="62">
        <v>23854</v>
      </c>
      <c r="B1471">
        <v>0.57999999999999996</v>
      </c>
      <c r="C1471" t="str">
        <f t="shared" si="27"/>
        <v>1965 q2</v>
      </c>
    </row>
    <row r="1472" spans="1:3">
      <c r="A1472" s="62">
        <v>23855</v>
      </c>
      <c r="B1472">
        <v>0.57650000000000001</v>
      </c>
      <c r="C1472" t="str">
        <f t="shared" si="27"/>
        <v>1965 q2</v>
      </c>
    </row>
    <row r="1473" spans="1:3">
      <c r="A1473" s="62">
        <v>23858</v>
      </c>
      <c r="B1473">
        <v>0.55649999999999999</v>
      </c>
      <c r="C1473" t="str">
        <f t="shared" si="27"/>
        <v>1965 q2</v>
      </c>
    </row>
    <row r="1474" spans="1:3">
      <c r="A1474" s="62">
        <v>23859</v>
      </c>
      <c r="B1474">
        <v>0.52739999999999998</v>
      </c>
      <c r="C1474" t="str">
        <f t="shared" si="27"/>
        <v>1965 q2</v>
      </c>
    </row>
    <row r="1475" spans="1:3">
      <c r="A1475" s="62">
        <v>23860</v>
      </c>
      <c r="B1475">
        <v>0.50580000000000003</v>
      </c>
      <c r="C1475" t="str">
        <f t="shared" si="27"/>
        <v>1965 q2</v>
      </c>
    </row>
    <row r="1476" spans="1:3">
      <c r="A1476" s="62">
        <v>23861</v>
      </c>
      <c r="B1476">
        <v>0.47720000000000001</v>
      </c>
      <c r="C1476" t="str">
        <f t="shared" si="27"/>
        <v>1965 q2</v>
      </c>
    </row>
    <row r="1477" spans="1:3">
      <c r="A1477" s="62">
        <v>23862</v>
      </c>
      <c r="B1477">
        <v>0.49480000000000002</v>
      </c>
      <c r="C1477" t="str">
        <f t="shared" si="27"/>
        <v>1965 q2</v>
      </c>
    </row>
    <row r="1478" spans="1:3">
      <c r="A1478" s="62">
        <v>23865</v>
      </c>
      <c r="B1478">
        <v>0.48949999999999999</v>
      </c>
      <c r="C1478" t="str">
        <f t="shared" si="27"/>
        <v>1965 q2</v>
      </c>
    </row>
    <row r="1479" spans="1:3">
      <c r="A1479" s="62">
        <v>23866</v>
      </c>
      <c r="B1479">
        <v>0.50449999999999995</v>
      </c>
      <c r="C1479" t="str">
        <f t="shared" si="27"/>
        <v>1965 q2</v>
      </c>
    </row>
    <row r="1480" spans="1:3">
      <c r="A1480" s="62">
        <v>23867</v>
      </c>
      <c r="B1480">
        <v>0.503</v>
      </c>
      <c r="C1480" t="str">
        <f t="shared" si="27"/>
        <v>1965 q2</v>
      </c>
    </row>
    <row r="1481" spans="1:3">
      <c r="A1481" s="62">
        <v>23868</v>
      </c>
      <c r="B1481">
        <v>0.48099999999999998</v>
      </c>
      <c r="C1481" t="str">
        <f t="shared" si="27"/>
        <v>1965 q2</v>
      </c>
    </row>
    <row r="1482" spans="1:3">
      <c r="A1482" s="62">
        <v>23869</v>
      </c>
      <c r="B1482">
        <v>0.48749999999999999</v>
      </c>
      <c r="C1482" t="str">
        <f t="shared" si="27"/>
        <v>1965 q2</v>
      </c>
    </row>
    <row r="1483" spans="1:3">
      <c r="A1483" s="62">
        <v>23872</v>
      </c>
      <c r="B1483">
        <v>0.47849999999999998</v>
      </c>
      <c r="C1483" t="str">
        <f t="shared" si="27"/>
        <v>1965 q2</v>
      </c>
    </row>
    <row r="1484" spans="1:3">
      <c r="A1484" s="62">
        <v>23873</v>
      </c>
      <c r="B1484">
        <v>0.4975</v>
      </c>
      <c r="C1484" t="str">
        <f t="shared" si="27"/>
        <v>1965 q2</v>
      </c>
    </row>
    <row r="1485" spans="1:3">
      <c r="A1485" s="62">
        <v>23874</v>
      </c>
      <c r="B1485">
        <v>0.48499999999999999</v>
      </c>
      <c r="C1485" t="str">
        <f t="shared" si="27"/>
        <v>1965 q2</v>
      </c>
    </row>
    <row r="1486" spans="1:3">
      <c r="A1486" s="62">
        <v>23875</v>
      </c>
      <c r="B1486">
        <v>0.48799999999999999</v>
      </c>
      <c r="C1486" t="str">
        <f t="shared" si="27"/>
        <v>1965 q2</v>
      </c>
    </row>
    <row r="1487" spans="1:3">
      <c r="A1487" s="62">
        <v>23876</v>
      </c>
      <c r="B1487">
        <v>0.48649999999999999</v>
      </c>
      <c r="C1487" t="str">
        <f t="shared" si="27"/>
        <v>1965 q2</v>
      </c>
    </row>
    <row r="1488" spans="1:3">
      <c r="A1488" s="62">
        <v>23879</v>
      </c>
      <c r="B1488">
        <v>0.497</v>
      </c>
      <c r="C1488" t="str">
        <f t="shared" si="27"/>
        <v>1965 q2</v>
      </c>
    </row>
    <row r="1489" spans="1:3">
      <c r="A1489" s="62">
        <v>23880</v>
      </c>
      <c r="B1489">
        <v>0.503</v>
      </c>
      <c r="C1489" t="str">
        <f t="shared" si="27"/>
        <v>1965 q2</v>
      </c>
    </row>
    <row r="1490" spans="1:3">
      <c r="A1490" s="62">
        <v>23881</v>
      </c>
      <c r="B1490">
        <v>0.50249999999999995</v>
      </c>
      <c r="C1490" t="str">
        <f t="shared" ref="C1490:C1553" si="28">YEAR(A1490)&amp;" q"&amp;ROUNDUP(MONTH(A1490)/3,0)</f>
        <v>1965 q2</v>
      </c>
    </row>
    <row r="1491" spans="1:3">
      <c r="A1491" s="62">
        <v>23882</v>
      </c>
      <c r="B1491">
        <v>0.496</v>
      </c>
      <c r="C1491" t="str">
        <f t="shared" si="28"/>
        <v>1965 q2</v>
      </c>
    </row>
    <row r="1492" spans="1:3">
      <c r="A1492" s="62">
        <v>23883</v>
      </c>
      <c r="B1492">
        <v>0.48249999999999998</v>
      </c>
      <c r="C1492" t="str">
        <f t="shared" si="28"/>
        <v>1965 q2</v>
      </c>
    </row>
    <row r="1493" spans="1:3">
      <c r="A1493" s="62">
        <v>23886</v>
      </c>
      <c r="B1493">
        <v>0.48</v>
      </c>
      <c r="C1493" t="str">
        <f t="shared" si="28"/>
        <v>1965 q2</v>
      </c>
    </row>
    <row r="1494" spans="1:3">
      <c r="A1494" s="62">
        <v>23887</v>
      </c>
      <c r="B1494">
        <v>0.48099999999999998</v>
      </c>
      <c r="C1494" t="str">
        <f t="shared" si="28"/>
        <v>1965 q2</v>
      </c>
    </row>
    <row r="1495" spans="1:3">
      <c r="A1495" s="62">
        <v>23888</v>
      </c>
      <c r="B1495">
        <v>0.46100000000000002</v>
      </c>
      <c r="C1495" t="str">
        <f t="shared" si="28"/>
        <v>1965 q2</v>
      </c>
    </row>
    <row r="1496" spans="1:3">
      <c r="A1496" s="62">
        <v>23889</v>
      </c>
      <c r="B1496">
        <v>0.45700000000000002</v>
      </c>
      <c r="C1496" t="str">
        <f t="shared" si="28"/>
        <v>1965 q2</v>
      </c>
    </row>
    <row r="1497" spans="1:3">
      <c r="A1497" s="62">
        <v>23890</v>
      </c>
      <c r="B1497">
        <v>0.46329999999999999</v>
      </c>
      <c r="C1497" t="str">
        <f t="shared" si="28"/>
        <v>1965 q2</v>
      </c>
    </row>
    <row r="1498" spans="1:3">
      <c r="A1498" s="62">
        <v>23894</v>
      </c>
      <c r="B1498">
        <v>0.48249999999999998</v>
      </c>
      <c r="C1498" t="str">
        <f t="shared" si="28"/>
        <v>1965 q2</v>
      </c>
    </row>
    <row r="1499" spans="1:3">
      <c r="A1499" s="62">
        <v>23895</v>
      </c>
      <c r="B1499">
        <v>0.47649999999999998</v>
      </c>
      <c r="C1499" t="str">
        <f t="shared" si="28"/>
        <v>1965 q2</v>
      </c>
    </row>
    <row r="1500" spans="1:3">
      <c r="A1500" s="62">
        <v>23896</v>
      </c>
      <c r="B1500">
        <v>0.48049999999999998</v>
      </c>
      <c r="C1500" t="str">
        <f t="shared" si="28"/>
        <v>1965 q2</v>
      </c>
    </row>
    <row r="1501" spans="1:3">
      <c r="A1501" s="62">
        <v>23897</v>
      </c>
      <c r="B1501">
        <v>0.4955</v>
      </c>
      <c r="C1501" t="str">
        <f t="shared" si="28"/>
        <v>1965 q2</v>
      </c>
    </row>
    <row r="1502" spans="1:3">
      <c r="A1502" s="62">
        <v>23900</v>
      </c>
      <c r="B1502">
        <v>0.49249999999999999</v>
      </c>
      <c r="C1502" t="str">
        <f t="shared" si="28"/>
        <v>1965 q2</v>
      </c>
    </row>
    <row r="1503" spans="1:3">
      <c r="A1503" s="62">
        <v>23901</v>
      </c>
      <c r="B1503">
        <v>0.48399999999999999</v>
      </c>
      <c r="C1503" t="str">
        <f t="shared" si="28"/>
        <v>1965 q2</v>
      </c>
    </row>
    <row r="1504" spans="1:3">
      <c r="A1504" s="62">
        <v>23902</v>
      </c>
      <c r="B1504">
        <v>0.49199999999999999</v>
      </c>
      <c r="C1504" t="str">
        <f t="shared" si="28"/>
        <v>1965 q2</v>
      </c>
    </row>
    <row r="1505" spans="1:3">
      <c r="A1505" s="62">
        <v>23903</v>
      </c>
      <c r="B1505">
        <v>0.505</v>
      </c>
      <c r="C1505" t="str">
        <f t="shared" si="28"/>
        <v>1965 q2</v>
      </c>
    </row>
    <row r="1506" spans="1:3">
      <c r="A1506" s="62">
        <v>23904</v>
      </c>
      <c r="B1506">
        <v>0.4995</v>
      </c>
      <c r="C1506" t="str">
        <f t="shared" si="28"/>
        <v>1965 q2</v>
      </c>
    </row>
    <row r="1507" spans="1:3">
      <c r="A1507" s="62">
        <v>23907</v>
      </c>
      <c r="B1507">
        <v>0.48849999999999999</v>
      </c>
      <c r="C1507" t="str">
        <f t="shared" si="28"/>
        <v>1965 q2</v>
      </c>
    </row>
    <row r="1508" spans="1:3">
      <c r="A1508" s="62">
        <v>23908</v>
      </c>
      <c r="B1508">
        <v>0.48349999999999999</v>
      </c>
      <c r="C1508" t="str">
        <f t="shared" si="28"/>
        <v>1965 q2</v>
      </c>
    </row>
    <row r="1509" spans="1:3">
      <c r="A1509" s="62">
        <v>23909</v>
      </c>
      <c r="B1509">
        <v>0.48399999999999999</v>
      </c>
      <c r="C1509" t="str">
        <f t="shared" si="28"/>
        <v>1965 q2</v>
      </c>
    </row>
    <row r="1510" spans="1:3">
      <c r="A1510" s="62">
        <v>23910</v>
      </c>
      <c r="B1510">
        <v>0.48349999999999999</v>
      </c>
      <c r="C1510" t="str">
        <f t="shared" si="28"/>
        <v>1965 q2</v>
      </c>
    </row>
    <row r="1511" spans="1:3">
      <c r="A1511" s="62">
        <v>23911</v>
      </c>
      <c r="B1511">
        <v>0.49149999999999999</v>
      </c>
      <c r="C1511" t="str">
        <f t="shared" si="28"/>
        <v>1965 q2</v>
      </c>
    </row>
    <row r="1512" spans="1:3">
      <c r="A1512" s="62">
        <v>23914</v>
      </c>
      <c r="B1512">
        <v>0.48199999999999998</v>
      </c>
      <c r="C1512" t="str">
        <f t="shared" si="28"/>
        <v>1965 q2</v>
      </c>
    </row>
    <row r="1513" spans="1:3">
      <c r="A1513" s="62">
        <v>23915</v>
      </c>
      <c r="B1513">
        <v>0.48549999999999999</v>
      </c>
      <c r="C1513" t="str">
        <f t="shared" si="28"/>
        <v>1965 q2</v>
      </c>
    </row>
    <row r="1514" spans="1:3">
      <c r="A1514" s="62">
        <v>23916</v>
      </c>
      <c r="B1514">
        <v>0.48499999999999999</v>
      </c>
      <c r="C1514" t="str">
        <f t="shared" si="28"/>
        <v>1965 q2</v>
      </c>
    </row>
    <row r="1515" spans="1:3">
      <c r="A1515" s="62">
        <v>23917</v>
      </c>
      <c r="B1515">
        <v>0.46500000000000002</v>
      </c>
      <c r="C1515" t="str">
        <f t="shared" si="28"/>
        <v>1965 q2</v>
      </c>
    </row>
    <row r="1516" spans="1:3">
      <c r="A1516" s="62">
        <v>23918</v>
      </c>
      <c r="B1516">
        <v>0.4612</v>
      </c>
      <c r="C1516" t="str">
        <f t="shared" si="28"/>
        <v>1965 q2</v>
      </c>
    </row>
    <row r="1517" spans="1:3">
      <c r="A1517" s="62">
        <v>23921</v>
      </c>
      <c r="B1517">
        <v>0.44750000000000001</v>
      </c>
      <c r="C1517" t="str">
        <f t="shared" si="28"/>
        <v>1965 q2</v>
      </c>
    </row>
    <row r="1518" spans="1:3">
      <c r="A1518" s="62">
        <v>23922</v>
      </c>
      <c r="B1518">
        <v>0.44979999999999998</v>
      </c>
      <c r="C1518" t="str">
        <f t="shared" si="28"/>
        <v>1965 q2</v>
      </c>
    </row>
    <row r="1519" spans="1:3">
      <c r="A1519" s="62">
        <v>23923</v>
      </c>
      <c r="B1519">
        <v>0.43840000000000001</v>
      </c>
      <c r="C1519" t="str">
        <f t="shared" si="28"/>
        <v>1965 q2</v>
      </c>
    </row>
    <row r="1520" spans="1:3">
      <c r="A1520" s="62">
        <v>23924</v>
      </c>
      <c r="B1520">
        <v>0.42799999999999999</v>
      </c>
      <c r="C1520" t="str">
        <f t="shared" si="28"/>
        <v>1965 q3</v>
      </c>
    </row>
    <row r="1521" spans="1:3">
      <c r="A1521" s="62">
        <v>23925</v>
      </c>
      <c r="B1521">
        <v>0.42649999999999999</v>
      </c>
      <c r="C1521" t="str">
        <f t="shared" si="28"/>
        <v>1965 q3</v>
      </c>
    </row>
    <row r="1522" spans="1:3">
      <c r="A1522" s="62">
        <v>23929</v>
      </c>
      <c r="B1522">
        <v>0.41799999999999998</v>
      </c>
      <c r="C1522" t="str">
        <f t="shared" si="28"/>
        <v>1965 q3</v>
      </c>
    </row>
    <row r="1523" spans="1:3">
      <c r="A1523" s="62">
        <v>23930</v>
      </c>
      <c r="B1523">
        <v>0.42399999999999999</v>
      </c>
      <c r="C1523" t="str">
        <f t="shared" si="28"/>
        <v>1965 q3</v>
      </c>
    </row>
    <row r="1524" spans="1:3">
      <c r="A1524" s="62">
        <v>23931</v>
      </c>
      <c r="B1524">
        <v>0.432</v>
      </c>
      <c r="C1524" t="str">
        <f t="shared" si="28"/>
        <v>1965 q3</v>
      </c>
    </row>
    <row r="1525" spans="1:3">
      <c r="A1525" s="62">
        <v>23932</v>
      </c>
      <c r="B1525">
        <v>0.43099999999999999</v>
      </c>
      <c r="C1525" t="str">
        <f t="shared" si="28"/>
        <v>1965 q3</v>
      </c>
    </row>
    <row r="1526" spans="1:3">
      <c r="A1526" s="62">
        <v>23935</v>
      </c>
      <c r="B1526">
        <v>0.42549999999999999</v>
      </c>
      <c r="C1526" t="str">
        <f t="shared" si="28"/>
        <v>1965 q3</v>
      </c>
    </row>
    <row r="1527" spans="1:3">
      <c r="A1527" s="62">
        <v>23936</v>
      </c>
      <c r="B1527">
        <v>0.42749999999999999</v>
      </c>
      <c r="C1527" t="str">
        <f t="shared" si="28"/>
        <v>1965 q3</v>
      </c>
    </row>
    <row r="1528" spans="1:3">
      <c r="A1528" s="62">
        <v>23937</v>
      </c>
      <c r="B1528">
        <v>0.434</v>
      </c>
      <c r="C1528" t="str">
        <f t="shared" si="28"/>
        <v>1965 q3</v>
      </c>
    </row>
    <row r="1529" spans="1:3">
      <c r="A1529" s="62">
        <v>23938</v>
      </c>
      <c r="B1529">
        <v>0.443</v>
      </c>
      <c r="C1529" t="str">
        <f t="shared" si="28"/>
        <v>1965 q3</v>
      </c>
    </row>
    <row r="1530" spans="1:3">
      <c r="A1530" s="62">
        <v>23939</v>
      </c>
      <c r="B1530">
        <v>0.44350000000000001</v>
      </c>
      <c r="C1530" t="str">
        <f t="shared" si="28"/>
        <v>1965 q3</v>
      </c>
    </row>
    <row r="1531" spans="1:3">
      <c r="A1531" s="62">
        <v>23942</v>
      </c>
      <c r="B1531">
        <v>0.442</v>
      </c>
      <c r="C1531" t="str">
        <f t="shared" si="28"/>
        <v>1965 q3</v>
      </c>
    </row>
    <row r="1532" spans="1:3">
      <c r="A1532" s="62">
        <v>23943</v>
      </c>
      <c r="B1532">
        <v>0.46200000000000002</v>
      </c>
      <c r="C1532" t="str">
        <f t="shared" si="28"/>
        <v>1965 q3</v>
      </c>
    </row>
    <row r="1533" spans="1:3">
      <c r="A1533" s="62">
        <v>23944</v>
      </c>
      <c r="B1533">
        <v>0.45050000000000001</v>
      </c>
      <c r="C1533" t="str">
        <f t="shared" si="28"/>
        <v>1965 q3</v>
      </c>
    </row>
    <row r="1534" spans="1:3">
      <c r="A1534" s="62">
        <v>23945</v>
      </c>
      <c r="B1534">
        <v>0.47049999999999997</v>
      </c>
      <c r="C1534" t="str">
        <f t="shared" si="28"/>
        <v>1965 q3</v>
      </c>
    </row>
    <row r="1535" spans="1:3">
      <c r="A1535" s="62">
        <v>23946</v>
      </c>
      <c r="B1535">
        <v>0.47</v>
      </c>
      <c r="C1535" t="str">
        <f t="shared" si="28"/>
        <v>1965 q3</v>
      </c>
    </row>
    <row r="1536" spans="1:3">
      <c r="A1536" s="62">
        <v>23949</v>
      </c>
      <c r="B1536">
        <v>0.49</v>
      </c>
      <c r="C1536" t="str">
        <f t="shared" si="28"/>
        <v>1965 q3</v>
      </c>
    </row>
    <row r="1537" spans="1:3">
      <c r="A1537" s="62">
        <v>23950</v>
      </c>
      <c r="B1537">
        <v>0.50349999999999995</v>
      </c>
      <c r="C1537" t="str">
        <f t="shared" si="28"/>
        <v>1965 q3</v>
      </c>
    </row>
    <row r="1538" spans="1:3">
      <c r="A1538" s="62">
        <v>23951</v>
      </c>
      <c r="B1538">
        <v>0.48299999999999998</v>
      </c>
      <c r="C1538" t="str">
        <f t="shared" si="28"/>
        <v>1965 q3</v>
      </c>
    </row>
    <row r="1539" spans="1:3">
      <c r="A1539" s="62">
        <v>23952</v>
      </c>
      <c r="B1539">
        <v>0.48499999999999999</v>
      </c>
      <c r="C1539" t="str">
        <f t="shared" si="28"/>
        <v>1965 q3</v>
      </c>
    </row>
    <row r="1540" spans="1:3">
      <c r="A1540" s="62">
        <v>23953</v>
      </c>
      <c r="B1540">
        <v>0.4945</v>
      </c>
      <c r="C1540" t="str">
        <f t="shared" si="28"/>
        <v>1965 q3</v>
      </c>
    </row>
    <row r="1541" spans="1:3">
      <c r="A1541" s="62">
        <v>23956</v>
      </c>
      <c r="B1541">
        <v>0.502</v>
      </c>
      <c r="C1541" t="str">
        <f t="shared" si="28"/>
        <v>1965 q3</v>
      </c>
    </row>
    <row r="1542" spans="1:3">
      <c r="A1542" s="62">
        <v>23957</v>
      </c>
      <c r="B1542">
        <v>0.497</v>
      </c>
      <c r="C1542" t="str">
        <f t="shared" si="28"/>
        <v>1965 q3</v>
      </c>
    </row>
    <row r="1543" spans="1:3">
      <c r="A1543" s="62">
        <v>23958</v>
      </c>
      <c r="B1543">
        <v>0.51500000000000001</v>
      </c>
      <c r="C1543" t="str">
        <f t="shared" si="28"/>
        <v>1965 q3</v>
      </c>
    </row>
    <row r="1544" spans="1:3">
      <c r="A1544" s="62">
        <v>23959</v>
      </c>
      <c r="B1544">
        <v>0.50600000000000001</v>
      </c>
      <c r="C1544" t="str">
        <f t="shared" si="28"/>
        <v>1965 q3</v>
      </c>
    </row>
    <row r="1545" spans="1:3">
      <c r="A1545" s="62">
        <v>23960</v>
      </c>
      <c r="B1545">
        <v>0.51149999999999995</v>
      </c>
      <c r="C1545" t="str">
        <f t="shared" si="28"/>
        <v>1965 q3</v>
      </c>
    </row>
    <row r="1546" spans="1:3">
      <c r="A1546" s="62">
        <v>23963</v>
      </c>
      <c r="B1546">
        <v>0.50849999999999995</v>
      </c>
      <c r="C1546" t="str">
        <f t="shared" si="28"/>
        <v>1965 q3</v>
      </c>
    </row>
    <row r="1547" spans="1:3">
      <c r="A1547" s="62">
        <v>23964</v>
      </c>
      <c r="B1547">
        <v>0.51249999999999996</v>
      </c>
      <c r="C1547" t="str">
        <f t="shared" si="28"/>
        <v>1965 q3</v>
      </c>
    </row>
    <row r="1548" spans="1:3">
      <c r="A1548" s="62">
        <v>23965</v>
      </c>
      <c r="B1548">
        <v>0.52300000000000002</v>
      </c>
      <c r="C1548" t="str">
        <f t="shared" si="28"/>
        <v>1965 q3</v>
      </c>
    </row>
    <row r="1549" spans="1:3">
      <c r="A1549" s="62">
        <v>23966</v>
      </c>
      <c r="B1549">
        <v>0.52500000000000002</v>
      </c>
      <c r="C1549" t="str">
        <f t="shared" si="28"/>
        <v>1965 q3</v>
      </c>
    </row>
    <row r="1550" spans="1:3">
      <c r="A1550" s="62">
        <v>23967</v>
      </c>
      <c r="B1550">
        <v>0.51849999999999996</v>
      </c>
      <c r="C1550" t="str">
        <f t="shared" si="28"/>
        <v>1965 q3</v>
      </c>
    </row>
    <row r="1551" spans="1:3">
      <c r="A1551" s="62">
        <v>23970</v>
      </c>
      <c r="B1551">
        <v>0.52700000000000002</v>
      </c>
      <c r="C1551" t="str">
        <f t="shared" si="28"/>
        <v>1965 q3</v>
      </c>
    </row>
    <row r="1552" spans="1:3">
      <c r="A1552" s="62">
        <v>23971</v>
      </c>
      <c r="B1552">
        <v>0.52200000000000002</v>
      </c>
      <c r="C1552" t="str">
        <f t="shared" si="28"/>
        <v>1965 q3</v>
      </c>
    </row>
    <row r="1553" spans="1:3">
      <c r="A1553" s="62">
        <v>23972</v>
      </c>
      <c r="B1553">
        <v>0.52100000000000002</v>
      </c>
      <c r="C1553" t="str">
        <f t="shared" si="28"/>
        <v>1965 q3</v>
      </c>
    </row>
    <row r="1554" spans="1:3">
      <c r="A1554" s="62">
        <v>23973</v>
      </c>
      <c r="B1554">
        <v>0.52449999999999997</v>
      </c>
      <c r="C1554" t="str">
        <f t="shared" ref="C1554:C1617" si="29">YEAR(A1554)&amp;" q"&amp;ROUNDUP(MONTH(A1554)/3,0)</f>
        <v>1965 q3</v>
      </c>
    </row>
    <row r="1555" spans="1:3">
      <c r="A1555" s="62">
        <v>23974</v>
      </c>
      <c r="B1555">
        <v>0.52200000000000002</v>
      </c>
      <c r="C1555" t="str">
        <f t="shared" si="29"/>
        <v>1965 q3</v>
      </c>
    </row>
    <row r="1556" spans="1:3">
      <c r="A1556" s="62">
        <v>23977</v>
      </c>
      <c r="B1556">
        <v>0.52600000000000002</v>
      </c>
      <c r="C1556" t="str">
        <f t="shared" si="29"/>
        <v>1965 q3</v>
      </c>
    </row>
    <row r="1557" spans="1:3">
      <c r="A1557" s="62">
        <v>23978</v>
      </c>
      <c r="B1557">
        <v>0.53749999999999998</v>
      </c>
      <c r="C1557" t="str">
        <f t="shared" si="29"/>
        <v>1965 q3</v>
      </c>
    </row>
    <row r="1558" spans="1:3">
      <c r="A1558" s="62">
        <v>23979</v>
      </c>
      <c r="B1558">
        <v>0.53449999999999998</v>
      </c>
      <c r="C1558" t="str">
        <f t="shared" si="29"/>
        <v>1965 q3</v>
      </c>
    </row>
    <row r="1559" spans="1:3">
      <c r="A1559" s="62">
        <v>23980</v>
      </c>
      <c r="B1559">
        <v>0.51719999999999999</v>
      </c>
      <c r="C1559" t="str">
        <f t="shared" si="29"/>
        <v>1965 q3</v>
      </c>
    </row>
    <row r="1560" spans="1:3">
      <c r="A1560" s="62">
        <v>23981</v>
      </c>
      <c r="B1560">
        <v>0.50260000000000005</v>
      </c>
      <c r="C1560" t="str">
        <f t="shared" si="29"/>
        <v>1965 q3</v>
      </c>
    </row>
    <row r="1561" spans="1:3">
      <c r="A1561" s="62">
        <v>23984</v>
      </c>
      <c r="B1561">
        <v>0.48709999999999998</v>
      </c>
      <c r="C1561" t="str">
        <f t="shared" si="29"/>
        <v>1965 q3</v>
      </c>
    </row>
    <row r="1562" spans="1:3">
      <c r="A1562" s="62">
        <v>23985</v>
      </c>
      <c r="B1562">
        <v>0.49230000000000002</v>
      </c>
      <c r="C1562" t="str">
        <f t="shared" si="29"/>
        <v>1965 q3</v>
      </c>
    </row>
    <row r="1563" spans="1:3">
      <c r="A1563" s="62">
        <v>23986</v>
      </c>
      <c r="B1563">
        <v>0.48549999999999999</v>
      </c>
      <c r="C1563" t="str">
        <f t="shared" si="29"/>
        <v>1965 q3</v>
      </c>
    </row>
    <row r="1564" spans="1:3">
      <c r="A1564" s="62">
        <v>23987</v>
      </c>
      <c r="B1564">
        <v>0.48699999999999999</v>
      </c>
      <c r="C1564" t="str">
        <f t="shared" si="29"/>
        <v>1965 q3</v>
      </c>
    </row>
    <row r="1565" spans="1:3">
      <c r="A1565" s="62">
        <v>23988</v>
      </c>
      <c r="B1565">
        <v>0.49149999999999999</v>
      </c>
      <c r="C1565" t="str">
        <f t="shared" si="29"/>
        <v>1965 q3</v>
      </c>
    </row>
    <row r="1566" spans="1:3">
      <c r="A1566" s="62">
        <v>23992</v>
      </c>
      <c r="B1566">
        <v>0.50349999999999995</v>
      </c>
      <c r="C1566" t="str">
        <f t="shared" si="29"/>
        <v>1965 q3</v>
      </c>
    </row>
    <row r="1567" spans="1:3">
      <c r="A1567" s="62">
        <v>23993</v>
      </c>
      <c r="B1567">
        <v>0.504</v>
      </c>
      <c r="C1567" t="str">
        <f t="shared" si="29"/>
        <v>1965 q3</v>
      </c>
    </row>
    <row r="1568" spans="1:3">
      <c r="A1568" s="62">
        <v>23994</v>
      </c>
      <c r="B1568">
        <v>0.505</v>
      </c>
      <c r="C1568" t="str">
        <f t="shared" si="29"/>
        <v>1965 q3</v>
      </c>
    </row>
    <row r="1569" spans="1:3">
      <c r="A1569" s="62">
        <v>23995</v>
      </c>
      <c r="B1569">
        <v>0.50700000000000001</v>
      </c>
      <c r="C1569" t="str">
        <f t="shared" si="29"/>
        <v>1965 q3</v>
      </c>
    </row>
    <row r="1570" spans="1:3">
      <c r="A1570" s="62">
        <v>23998</v>
      </c>
      <c r="B1570">
        <v>0.51500000000000001</v>
      </c>
      <c r="C1570" t="str">
        <f t="shared" si="29"/>
        <v>1965 q3</v>
      </c>
    </row>
    <row r="1571" spans="1:3">
      <c r="A1571" s="62">
        <v>23999</v>
      </c>
      <c r="B1571">
        <v>0.50649999999999995</v>
      </c>
      <c r="C1571" t="str">
        <f t="shared" si="29"/>
        <v>1965 q3</v>
      </c>
    </row>
    <row r="1572" spans="1:3">
      <c r="A1572" s="62">
        <v>24000</v>
      </c>
      <c r="B1572">
        <v>0.51590000000000003</v>
      </c>
      <c r="C1572" t="str">
        <f t="shared" si="29"/>
        <v>1965 q3</v>
      </c>
    </row>
    <row r="1573" spans="1:3">
      <c r="A1573" s="62">
        <v>24001</v>
      </c>
      <c r="B1573">
        <v>0.51400000000000001</v>
      </c>
      <c r="C1573" t="str">
        <f t="shared" si="29"/>
        <v>1965 q3</v>
      </c>
    </row>
    <row r="1574" spans="1:3">
      <c r="A1574" s="62">
        <v>24002</v>
      </c>
      <c r="B1574">
        <v>0.52149999999999996</v>
      </c>
      <c r="C1574" t="str">
        <f t="shared" si="29"/>
        <v>1965 q3</v>
      </c>
    </row>
    <row r="1575" spans="1:3">
      <c r="A1575" s="62">
        <v>24005</v>
      </c>
      <c r="B1575">
        <v>0.52349999999999997</v>
      </c>
      <c r="C1575" t="str">
        <f t="shared" si="29"/>
        <v>1965 q3</v>
      </c>
    </row>
    <row r="1576" spans="1:3">
      <c r="A1576" s="62">
        <v>24006</v>
      </c>
      <c r="B1576">
        <v>0.52149999999999996</v>
      </c>
      <c r="C1576" t="str">
        <f t="shared" si="29"/>
        <v>1965 q3</v>
      </c>
    </row>
    <row r="1577" spans="1:3">
      <c r="A1577" s="62">
        <v>24007</v>
      </c>
      <c r="B1577">
        <v>0.52780000000000005</v>
      </c>
      <c r="C1577" t="str">
        <f t="shared" si="29"/>
        <v>1965 q3</v>
      </c>
    </row>
    <row r="1578" spans="1:3">
      <c r="A1578" s="62">
        <v>24008</v>
      </c>
      <c r="B1578">
        <v>0.53200000000000003</v>
      </c>
      <c r="C1578" t="str">
        <f t="shared" si="29"/>
        <v>1965 q3</v>
      </c>
    </row>
    <row r="1579" spans="1:3">
      <c r="A1579" s="62">
        <v>24009</v>
      </c>
      <c r="B1579">
        <v>0.53700000000000003</v>
      </c>
      <c r="C1579" t="str">
        <f t="shared" si="29"/>
        <v>1965 q3</v>
      </c>
    </row>
    <row r="1580" spans="1:3">
      <c r="A1580" s="62">
        <v>24012</v>
      </c>
      <c r="B1580">
        <v>0.55500000000000005</v>
      </c>
      <c r="C1580" t="str">
        <f t="shared" si="29"/>
        <v>1965 q3</v>
      </c>
    </row>
    <row r="1581" spans="1:3">
      <c r="A1581" s="62">
        <v>24013</v>
      </c>
      <c r="B1581">
        <v>0.54849999999999999</v>
      </c>
      <c r="C1581" t="str">
        <f t="shared" si="29"/>
        <v>1965 q3</v>
      </c>
    </row>
    <row r="1582" spans="1:3">
      <c r="A1582" s="62">
        <v>24014</v>
      </c>
      <c r="B1582">
        <v>0.54800000000000004</v>
      </c>
      <c r="C1582" t="str">
        <f t="shared" si="29"/>
        <v>1965 q3</v>
      </c>
    </row>
    <row r="1583" spans="1:3">
      <c r="A1583" s="62">
        <v>24015</v>
      </c>
      <c r="B1583">
        <v>0.55349999999999999</v>
      </c>
      <c r="C1583" t="str">
        <f t="shared" si="29"/>
        <v>1965 q3</v>
      </c>
    </row>
    <row r="1584" spans="1:3">
      <c r="A1584" s="62">
        <v>24016</v>
      </c>
      <c r="B1584">
        <v>0.55649999999999999</v>
      </c>
      <c r="C1584" t="str">
        <f t="shared" si="29"/>
        <v>1965 q4</v>
      </c>
    </row>
    <row r="1585" spans="1:3">
      <c r="A1585" s="62">
        <v>24019</v>
      </c>
      <c r="B1585">
        <v>0.5615</v>
      </c>
      <c r="C1585" t="str">
        <f t="shared" si="29"/>
        <v>1965 q4</v>
      </c>
    </row>
    <row r="1586" spans="1:3">
      <c r="A1586" s="62">
        <v>24020</v>
      </c>
      <c r="B1586">
        <v>0.54249999999999998</v>
      </c>
      <c r="C1586" t="str">
        <f t="shared" si="29"/>
        <v>1965 q4</v>
      </c>
    </row>
    <row r="1587" spans="1:3">
      <c r="A1587" s="62">
        <v>24021</v>
      </c>
      <c r="B1587">
        <v>0.54349999999999998</v>
      </c>
      <c r="C1587" t="str">
        <f t="shared" si="29"/>
        <v>1965 q4</v>
      </c>
    </row>
    <row r="1588" spans="1:3">
      <c r="A1588" s="62">
        <v>24022</v>
      </c>
      <c r="B1588">
        <v>0.5534</v>
      </c>
      <c r="C1588" t="str">
        <f t="shared" si="29"/>
        <v>1965 q4</v>
      </c>
    </row>
    <row r="1589" spans="1:3">
      <c r="A1589" s="62">
        <v>24023</v>
      </c>
      <c r="B1589">
        <v>0.56000000000000005</v>
      </c>
      <c r="C1589" t="str">
        <f t="shared" si="29"/>
        <v>1965 q4</v>
      </c>
    </row>
    <row r="1590" spans="1:3">
      <c r="A1590" s="62">
        <v>24026</v>
      </c>
      <c r="B1590">
        <v>0.55549999999999999</v>
      </c>
      <c r="C1590" t="str">
        <f t="shared" si="29"/>
        <v>1965 q4</v>
      </c>
    </row>
    <row r="1591" spans="1:3">
      <c r="A1591" s="62">
        <v>24028</v>
      </c>
      <c r="B1591">
        <v>0.55549999999999999</v>
      </c>
      <c r="C1591" t="str">
        <f t="shared" si="29"/>
        <v>1965 q4</v>
      </c>
    </row>
    <row r="1592" spans="1:3">
      <c r="A1592" s="62">
        <v>24029</v>
      </c>
      <c r="B1592">
        <v>0.54800000000000004</v>
      </c>
      <c r="C1592" t="str">
        <f t="shared" si="29"/>
        <v>1965 q4</v>
      </c>
    </row>
    <row r="1593" spans="1:3">
      <c r="A1593" s="62">
        <v>24030</v>
      </c>
      <c r="B1593">
        <v>0.55549999999999999</v>
      </c>
      <c r="C1593" t="str">
        <f t="shared" si="29"/>
        <v>1965 q4</v>
      </c>
    </row>
    <row r="1594" spans="1:3">
      <c r="A1594" s="62">
        <v>24033</v>
      </c>
      <c r="B1594">
        <v>0.56299999999999994</v>
      </c>
      <c r="C1594" t="str">
        <f t="shared" si="29"/>
        <v>1965 q4</v>
      </c>
    </row>
    <row r="1595" spans="1:3">
      <c r="A1595" s="62">
        <v>24034</v>
      </c>
      <c r="B1595">
        <v>0.57099999999999995</v>
      </c>
      <c r="C1595" t="str">
        <f t="shared" si="29"/>
        <v>1965 q4</v>
      </c>
    </row>
    <row r="1596" spans="1:3">
      <c r="A1596" s="62">
        <v>24035</v>
      </c>
      <c r="B1596">
        <v>0.5675</v>
      </c>
      <c r="C1596" t="str">
        <f t="shared" si="29"/>
        <v>1965 q4</v>
      </c>
    </row>
    <row r="1597" spans="1:3">
      <c r="A1597" s="62">
        <v>24036</v>
      </c>
      <c r="B1597">
        <v>0.5595</v>
      </c>
      <c r="C1597" t="str">
        <f t="shared" si="29"/>
        <v>1965 q4</v>
      </c>
    </row>
    <row r="1598" spans="1:3">
      <c r="A1598" s="62">
        <v>24037</v>
      </c>
      <c r="B1598">
        <v>0.56000000000000005</v>
      </c>
      <c r="C1598" t="str">
        <f t="shared" si="29"/>
        <v>1965 q4</v>
      </c>
    </row>
    <row r="1599" spans="1:3">
      <c r="A1599" s="62">
        <v>24040</v>
      </c>
      <c r="B1599">
        <v>0.5675</v>
      </c>
      <c r="C1599" t="str">
        <f t="shared" si="29"/>
        <v>1965 q4</v>
      </c>
    </row>
    <row r="1600" spans="1:3">
      <c r="A1600" s="62">
        <v>24041</v>
      </c>
      <c r="B1600">
        <v>0.5655</v>
      </c>
      <c r="C1600" t="str">
        <f t="shared" si="29"/>
        <v>1965 q4</v>
      </c>
    </row>
    <row r="1601" spans="1:3">
      <c r="A1601" s="62">
        <v>24042</v>
      </c>
      <c r="B1601">
        <v>0.5615</v>
      </c>
      <c r="C1601" t="str">
        <f t="shared" si="29"/>
        <v>1965 q4</v>
      </c>
    </row>
    <row r="1602" spans="1:3">
      <c r="A1602" s="62">
        <v>24043</v>
      </c>
      <c r="B1602">
        <v>0.56440000000000001</v>
      </c>
      <c r="C1602" t="str">
        <f t="shared" si="29"/>
        <v>1965 q4</v>
      </c>
    </row>
    <row r="1603" spans="1:3">
      <c r="A1603" s="62">
        <v>24044</v>
      </c>
      <c r="B1603">
        <v>0.57350000000000001</v>
      </c>
      <c r="C1603" t="str">
        <f t="shared" si="29"/>
        <v>1965 q4</v>
      </c>
    </row>
    <row r="1604" spans="1:3">
      <c r="A1604" s="62">
        <v>24047</v>
      </c>
      <c r="B1604">
        <v>0.56599999999999995</v>
      </c>
      <c r="C1604" t="str">
        <f t="shared" si="29"/>
        <v>1965 q4</v>
      </c>
    </row>
    <row r="1605" spans="1:3">
      <c r="A1605" s="62">
        <v>24049</v>
      </c>
      <c r="B1605">
        <v>0.57850000000000001</v>
      </c>
      <c r="C1605" t="str">
        <f t="shared" si="29"/>
        <v>1965 q4</v>
      </c>
    </row>
    <row r="1606" spans="1:3">
      <c r="A1606" s="62">
        <v>24050</v>
      </c>
      <c r="B1606">
        <v>0.57899999999999996</v>
      </c>
      <c r="C1606" t="str">
        <f t="shared" si="29"/>
        <v>1965 q4</v>
      </c>
    </row>
    <row r="1607" spans="1:3">
      <c r="A1607" s="62">
        <v>24051</v>
      </c>
      <c r="B1607">
        <v>0.59750000000000003</v>
      </c>
      <c r="C1607" t="str">
        <f t="shared" si="29"/>
        <v>1965 q4</v>
      </c>
    </row>
    <row r="1608" spans="1:3">
      <c r="A1608" s="62">
        <v>24054</v>
      </c>
      <c r="B1608">
        <v>0.59699999999999998</v>
      </c>
      <c r="C1608" t="str">
        <f t="shared" si="29"/>
        <v>1965 q4</v>
      </c>
    </row>
    <row r="1609" spans="1:3">
      <c r="A1609" s="62">
        <v>24055</v>
      </c>
      <c r="B1609">
        <v>0.57699999999999996</v>
      </c>
      <c r="C1609" t="str">
        <f t="shared" si="29"/>
        <v>1965 q4</v>
      </c>
    </row>
    <row r="1610" spans="1:3">
      <c r="A1610" s="62">
        <v>24058</v>
      </c>
      <c r="B1610">
        <v>0.59699999999999998</v>
      </c>
      <c r="C1610" t="str">
        <f t="shared" si="29"/>
        <v>1965 q4</v>
      </c>
    </row>
    <row r="1611" spans="1:3">
      <c r="A1611" s="62">
        <v>24061</v>
      </c>
      <c r="B1611">
        <v>0.60450000000000004</v>
      </c>
      <c r="C1611" t="str">
        <f t="shared" si="29"/>
        <v>1965 q4</v>
      </c>
    </row>
    <row r="1612" spans="1:3">
      <c r="A1612" s="62">
        <v>24062</v>
      </c>
      <c r="B1612">
        <v>0.59899999999999998</v>
      </c>
      <c r="C1612" t="str">
        <f t="shared" si="29"/>
        <v>1965 q4</v>
      </c>
    </row>
    <row r="1613" spans="1:3">
      <c r="A1613" s="62">
        <v>24063</v>
      </c>
      <c r="B1613">
        <v>0.57899999999999996</v>
      </c>
      <c r="C1613" t="str">
        <f t="shared" si="29"/>
        <v>1965 q4</v>
      </c>
    </row>
    <row r="1614" spans="1:3">
      <c r="A1614" s="62">
        <v>24064</v>
      </c>
      <c r="B1614">
        <v>0.55900000000000005</v>
      </c>
      <c r="C1614" t="str">
        <f t="shared" si="29"/>
        <v>1965 q4</v>
      </c>
    </row>
    <row r="1615" spans="1:3">
      <c r="A1615" s="62">
        <v>24065</v>
      </c>
      <c r="B1615">
        <v>0.53900000000000003</v>
      </c>
      <c r="C1615" t="str">
        <f t="shared" si="29"/>
        <v>1965 q4</v>
      </c>
    </row>
    <row r="1616" spans="1:3">
      <c r="A1616" s="62">
        <v>24068</v>
      </c>
      <c r="B1616">
        <v>0.51900000000000002</v>
      </c>
      <c r="C1616" t="str">
        <f t="shared" si="29"/>
        <v>1965 q4</v>
      </c>
    </row>
    <row r="1617" spans="1:3">
      <c r="A1617" s="62">
        <v>24069</v>
      </c>
      <c r="B1617">
        <v>0.5</v>
      </c>
      <c r="C1617" t="str">
        <f t="shared" si="29"/>
        <v>1965 q4</v>
      </c>
    </row>
    <row r="1618" spans="1:3">
      <c r="A1618" s="62">
        <v>24070</v>
      </c>
      <c r="B1618">
        <v>0.5131</v>
      </c>
      <c r="C1618" t="str">
        <f t="shared" ref="C1618:C1681" si="30">YEAR(A1618)&amp;" q"&amp;ROUNDUP(MONTH(A1618)/3,0)</f>
        <v>1965 q4</v>
      </c>
    </row>
    <row r="1619" spans="1:3">
      <c r="A1619" s="62">
        <v>24072</v>
      </c>
      <c r="B1619">
        <v>0.53039999999999998</v>
      </c>
      <c r="C1619" t="str">
        <f t="shared" si="30"/>
        <v>1965 q4</v>
      </c>
    </row>
    <row r="1620" spans="1:3">
      <c r="A1620" s="62">
        <v>24075</v>
      </c>
      <c r="B1620">
        <v>0.54320000000000002</v>
      </c>
      <c r="C1620" t="str">
        <f t="shared" si="30"/>
        <v>1965 q4</v>
      </c>
    </row>
    <row r="1621" spans="1:3">
      <c r="A1621" s="62">
        <v>24076</v>
      </c>
      <c r="B1621">
        <v>0.52839999999999998</v>
      </c>
      <c r="C1621" t="str">
        <f t="shared" si="30"/>
        <v>1965 q4</v>
      </c>
    </row>
    <row r="1622" spans="1:3">
      <c r="A1622" s="62">
        <v>24077</v>
      </c>
      <c r="B1622">
        <v>0.53100000000000003</v>
      </c>
      <c r="C1622" t="str">
        <f t="shared" si="30"/>
        <v>1965 q4</v>
      </c>
    </row>
    <row r="1623" spans="1:3">
      <c r="A1623" s="62">
        <v>24078</v>
      </c>
      <c r="B1623">
        <v>0.53600000000000003</v>
      </c>
      <c r="C1623" t="str">
        <f t="shared" si="30"/>
        <v>1965 q4</v>
      </c>
    </row>
    <row r="1624" spans="1:3">
      <c r="A1624" s="62">
        <v>24079</v>
      </c>
      <c r="B1624">
        <v>0.53949999999999998</v>
      </c>
      <c r="C1624" t="str">
        <f t="shared" si="30"/>
        <v>1965 q4</v>
      </c>
    </row>
    <row r="1625" spans="1:3">
      <c r="A1625" s="62">
        <v>24082</v>
      </c>
      <c r="B1625">
        <v>0.54300000000000004</v>
      </c>
      <c r="C1625" t="str">
        <f t="shared" si="30"/>
        <v>1965 q4</v>
      </c>
    </row>
    <row r="1626" spans="1:3">
      <c r="A1626" s="62">
        <v>24083</v>
      </c>
      <c r="B1626">
        <v>0.54649999999999999</v>
      </c>
      <c r="C1626" t="str">
        <f t="shared" si="30"/>
        <v>1965 q4</v>
      </c>
    </row>
    <row r="1627" spans="1:3">
      <c r="A1627" s="62">
        <v>24084</v>
      </c>
      <c r="B1627">
        <v>0.52549999999999997</v>
      </c>
      <c r="C1627" t="str">
        <f t="shared" si="30"/>
        <v>1965 q4</v>
      </c>
    </row>
    <row r="1628" spans="1:3">
      <c r="A1628" s="62">
        <v>24085</v>
      </c>
      <c r="B1628">
        <v>0.53400000000000003</v>
      </c>
      <c r="C1628" t="str">
        <f t="shared" si="30"/>
        <v>1965 q4</v>
      </c>
    </row>
    <row r="1629" spans="1:3">
      <c r="A1629" s="62">
        <v>24086</v>
      </c>
      <c r="B1629">
        <v>0.52300000000000002</v>
      </c>
      <c r="C1629" t="str">
        <f t="shared" si="30"/>
        <v>1965 q4</v>
      </c>
    </row>
    <row r="1630" spans="1:3">
      <c r="A1630" s="62">
        <v>24089</v>
      </c>
      <c r="B1630">
        <v>0.51549999999999996</v>
      </c>
      <c r="C1630" t="str">
        <f t="shared" si="30"/>
        <v>1965 q4</v>
      </c>
    </row>
    <row r="1631" spans="1:3">
      <c r="A1631" s="62">
        <v>24090</v>
      </c>
      <c r="B1631">
        <v>0.52849999999999997</v>
      </c>
      <c r="C1631" t="str">
        <f t="shared" si="30"/>
        <v>1965 q4</v>
      </c>
    </row>
    <row r="1632" spans="1:3">
      <c r="A1632" s="62">
        <v>24091</v>
      </c>
      <c r="B1632">
        <v>0.53049999999999997</v>
      </c>
      <c r="C1632" t="str">
        <f t="shared" si="30"/>
        <v>1965 q4</v>
      </c>
    </row>
    <row r="1633" spans="1:3">
      <c r="A1633" s="62">
        <v>24092</v>
      </c>
      <c r="B1633">
        <v>0.54300000000000004</v>
      </c>
      <c r="C1633" t="str">
        <f t="shared" si="30"/>
        <v>1965 q4</v>
      </c>
    </row>
    <row r="1634" spans="1:3">
      <c r="A1634" s="62">
        <v>24093</v>
      </c>
      <c r="B1634">
        <v>0.54849999999999999</v>
      </c>
      <c r="C1634" t="str">
        <f t="shared" si="30"/>
        <v>1965 q4</v>
      </c>
    </row>
    <row r="1635" spans="1:3">
      <c r="A1635" s="62">
        <v>24096</v>
      </c>
      <c r="B1635">
        <v>0.54500000000000004</v>
      </c>
      <c r="C1635" t="str">
        <f t="shared" si="30"/>
        <v>1965 q4</v>
      </c>
    </row>
    <row r="1636" spans="1:3">
      <c r="A1636" s="62">
        <v>24097</v>
      </c>
      <c r="B1636">
        <v>0.55449999999999999</v>
      </c>
      <c r="C1636" t="str">
        <f t="shared" si="30"/>
        <v>1965 q4</v>
      </c>
    </row>
    <row r="1637" spans="1:3">
      <c r="A1637" s="62">
        <v>24098</v>
      </c>
      <c r="B1637">
        <v>0.56699999999999995</v>
      </c>
      <c r="C1637" t="str">
        <f t="shared" si="30"/>
        <v>1965 q4</v>
      </c>
    </row>
    <row r="1638" spans="1:3">
      <c r="A1638" s="62">
        <v>24099</v>
      </c>
      <c r="B1638">
        <v>0.5585</v>
      </c>
      <c r="C1638" t="str">
        <f t="shared" si="30"/>
        <v>1965 q4</v>
      </c>
    </row>
    <row r="1639" spans="1:3">
      <c r="A1639" s="62">
        <v>24103</v>
      </c>
      <c r="B1639">
        <v>0.5665</v>
      </c>
      <c r="C1639" t="str">
        <f t="shared" si="30"/>
        <v>1965 q4</v>
      </c>
    </row>
    <row r="1640" spans="1:3">
      <c r="A1640" s="62">
        <v>24104</v>
      </c>
      <c r="B1640">
        <v>0.56710000000000005</v>
      </c>
      <c r="C1640" t="str">
        <f t="shared" si="30"/>
        <v>1965 q4</v>
      </c>
    </row>
    <row r="1641" spans="1:3">
      <c r="A1641" s="62">
        <v>24105</v>
      </c>
      <c r="B1641">
        <v>0.56530000000000002</v>
      </c>
      <c r="C1641" t="str">
        <f t="shared" si="30"/>
        <v>1965 q4</v>
      </c>
    </row>
    <row r="1642" spans="1:3">
      <c r="A1642" s="62">
        <v>24106</v>
      </c>
      <c r="B1642">
        <v>0.57569999999999999</v>
      </c>
      <c r="C1642" t="str">
        <f t="shared" si="30"/>
        <v>1965 q4</v>
      </c>
    </row>
    <row r="1643" spans="1:3">
      <c r="A1643" s="62">
        <v>24110</v>
      </c>
      <c r="B1643">
        <v>0.58699999999999997</v>
      </c>
      <c r="C1643" t="str">
        <f t="shared" si="30"/>
        <v>1966 q1</v>
      </c>
    </row>
    <row r="1644" spans="1:3">
      <c r="A1644" s="62">
        <v>24111</v>
      </c>
      <c r="B1644">
        <v>0.57450000000000001</v>
      </c>
      <c r="C1644" t="str">
        <f t="shared" si="30"/>
        <v>1966 q1</v>
      </c>
    </row>
    <row r="1645" spans="1:3">
      <c r="A1645" s="62">
        <v>24112</v>
      </c>
      <c r="B1645">
        <v>0.57999999999999996</v>
      </c>
      <c r="C1645" t="str">
        <f t="shared" si="30"/>
        <v>1966 q1</v>
      </c>
    </row>
    <row r="1646" spans="1:3">
      <c r="A1646" s="62">
        <v>24113</v>
      </c>
      <c r="B1646">
        <v>0.56410000000000005</v>
      </c>
      <c r="C1646" t="str">
        <f t="shared" si="30"/>
        <v>1966 q1</v>
      </c>
    </row>
    <row r="1647" spans="1:3">
      <c r="A1647" s="62">
        <v>24114</v>
      </c>
      <c r="B1647">
        <v>0.57599999999999996</v>
      </c>
      <c r="C1647" t="str">
        <f t="shared" si="30"/>
        <v>1966 q1</v>
      </c>
    </row>
    <row r="1648" spans="1:3">
      <c r="A1648" s="62">
        <v>24117</v>
      </c>
      <c r="B1648">
        <v>0.58399999999999996</v>
      </c>
      <c r="C1648" t="str">
        <f t="shared" si="30"/>
        <v>1966 q1</v>
      </c>
    </row>
    <row r="1649" spans="1:3">
      <c r="A1649" s="62">
        <v>24118</v>
      </c>
      <c r="B1649">
        <v>0.58099999999999996</v>
      </c>
      <c r="C1649" t="str">
        <f t="shared" si="30"/>
        <v>1966 q1</v>
      </c>
    </row>
    <row r="1650" spans="1:3">
      <c r="A1650" s="62">
        <v>24119</v>
      </c>
      <c r="B1650">
        <v>0.58050000000000002</v>
      </c>
      <c r="C1650" t="str">
        <f t="shared" si="30"/>
        <v>1966 q1</v>
      </c>
    </row>
    <row r="1651" spans="1:3">
      <c r="A1651" s="62">
        <v>24120</v>
      </c>
      <c r="B1651">
        <v>0.59</v>
      </c>
      <c r="C1651" t="str">
        <f t="shared" si="30"/>
        <v>1966 q1</v>
      </c>
    </row>
    <row r="1652" spans="1:3">
      <c r="A1652" s="62">
        <v>24121</v>
      </c>
      <c r="B1652">
        <v>0.59499999999999997</v>
      </c>
      <c r="C1652" t="str">
        <f t="shared" si="30"/>
        <v>1966 q1</v>
      </c>
    </row>
    <row r="1653" spans="1:3">
      <c r="A1653" s="62">
        <v>24124</v>
      </c>
      <c r="B1653">
        <v>0.59750000000000003</v>
      </c>
      <c r="C1653" t="str">
        <f t="shared" si="30"/>
        <v>1966 q1</v>
      </c>
    </row>
    <row r="1654" spans="1:3">
      <c r="A1654" s="62">
        <v>24125</v>
      </c>
      <c r="B1654">
        <v>0.59199999999999997</v>
      </c>
      <c r="C1654" t="str">
        <f t="shared" si="30"/>
        <v>1966 q1</v>
      </c>
    </row>
    <row r="1655" spans="1:3">
      <c r="A1655" s="62">
        <v>24126</v>
      </c>
      <c r="B1655">
        <v>0.59150000000000003</v>
      </c>
      <c r="C1655" t="str">
        <f t="shared" si="30"/>
        <v>1966 q1</v>
      </c>
    </row>
    <row r="1656" spans="1:3">
      <c r="A1656" s="62">
        <v>24127</v>
      </c>
      <c r="B1656">
        <v>0.57999999999999996</v>
      </c>
      <c r="C1656" t="str">
        <f t="shared" si="30"/>
        <v>1966 q1</v>
      </c>
    </row>
    <row r="1657" spans="1:3">
      <c r="A1657" s="62">
        <v>24128</v>
      </c>
      <c r="B1657">
        <v>0.58799999999999997</v>
      </c>
      <c r="C1657" t="str">
        <f t="shared" si="30"/>
        <v>1966 q1</v>
      </c>
    </row>
    <row r="1658" spans="1:3">
      <c r="A1658" s="62">
        <v>24131</v>
      </c>
      <c r="B1658">
        <v>0.58299999999999996</v>
      </c>
      <c r="C1658" t="str">
        <f t="shared" si="30"/>
        <v>1966 q1</v>
      </c>
    </row>
    <row r="1659" spans="1:3">
      <c r="A1659" s="62">
        <v>24132</v>
      </c>
      <c r="B1659">
        <v>0.59250000000000003</v>
      </c>
      <c r="C1659" t="str">
        <f t="shared" si="30"/>
        <v>1966 q1</v>
      </c>
    </row>
    <row r="1660" spans="1:3">
      <c r="A1660" s="62">
        <v>24133</v>
      </c>
      <c r="B1660">
        <v>0.59599999999999997</v>
      </c>
      <c r="C1660" t="str">
        <f t="shared" si="30"/>
        <v>1966 q1</v>
      </c>
    </row>
    <row r="1661" spans="1:3">
      <c r="A1661" s="62">
        <v>24134</v>
      </c>
      <c r="B1661">
        <v>0.59350000000000003</v>
      </c>
      <c r="C1661" t="str">
        <f t="shared" si="30"/>
        <v>1966 q1</v>
      </c>
    </row>
    <row r="1662" spans="1:3">
      <c r="A1662" s="62">
        <v>24135</v>
      </c>
      <c r="B1662">
        <v>0.59150000000000003</v>
      </c>
      <c r="C1662" t="str">
        <f t="shared" si="30"/>
        <v>1966 q1</v>
      </c>
    </row>
    <row r="1663" spans="1:3">
      <c r="A1663" s="62">
        <v>24138</v>
      </c>
      <c r="B1663">
        <v>0.59750000000000003</v>
      </c>
      <c r="C1663" t="str">
        <f t="shared" si="30"/>
        <v>1966 q1</v>
      </c>
    </row>
    <row r="1664" spans="1:3">
      <c r="A1664" s="62">
        <v>24139</v>
      </c>
      <c r="B1664">
        <v>0.61599999999999999</v>
      </c>
      <c r="C1664" t="str">
        <f t="shared" si="30"/>
        <v>1966 q1</v>
      </c>
    </row>
    <row r="1665" spans="1:3">
      <c r="A1665" s="62">
        <v>24140</v>
      </c>
      <c r="B1665">
        <v>0.63549999999999995</v>
      </c>
      <c r="C1665" t="str">
        <f t="shared" si="30"/>
        <v>1966 q1</v>
      </c>
    </row>
    <row r="1666" spans="1:3">
      <c r="A1666" s="62">
        <v>24141</v>
      </c>
      <c r="B1666">
        <v>0.63200000000000001</v>
      </c>
      <c r="C1666" t="str">
        <f t="shared" si="30"/>
        <v>1966 q1</v>
      </c>
    </row>
    <row r="1667" spans="1:3">
      <c r="A1667" s="62">
        <v>24142</v>
      </c>
      <c r="B1667">
        <v>0.65200000000000002</v>
      </c>
      <c r="C1667" t="str">
        <f t="shared" si="30"/>
        <v>1966 q1</v>
      </c>
    </row>
    <row r="1668" spans="1:3">
      <c r="A1668" s="62">
        <v>24145</v>
      </c>
      <c r="B1668">
        <v>0.67200000000000004</v>
      </c>
      <c r="C1668" t="str">
        <f t="shared" si="30"/>
        <v>1966 q1</v>
      </c>
    </row>
    <row r="1669" spans="1:3">
      <c r="A1669" s="62">
        <v>24146</v>
      </c>
      <c r="B1669">
        <v>0.69099999999999995</v>
      </c>
      <c r="C1669" t="str">
        <f t="shared" si="30"/>
        <v>1966 q1</v>
      </c>
    </row>
    <row r="1670" spans="1:3">
      <c r="A1670" s="62">
        <v>24147</v>
      </c>
      <c r="B1670">
        <v>0.70799999999999996</v>
      </c>
      <c r="C1670" t="str">
        <f t="shared" si="30"/>
        <v>1966 q1</v>
      </c>
    </row>
    <row r="1671" spans="1:3">
      <c r="A1671" s="62">
        <v>24148</v>
      </c>
      <c r="B1671">
        <v>0.70099999999999996</v>
      </c>
      <c r="C1671" t="str">
        <f t="shared" si="30"/>
        <v>1966 q1</v>
      </c>
    </row>
    <row r="1672" spans="1:3">
      <c r="A1672" s="62">
        <v>24149</v>
      </c>
      <c r="B1672">
        <v>0.69199999999999995</v>
      </c>
      <c r="C1672" t="str">
        <f t="shared" si="30"/>
        <v>1966 q1</v>
      </c>
    </row>
    <row r="1673" spans="1:3">
      <c r="A1673" s="62">
        <v>24152</v>
      </c>
      <c r="B1673">
        <v>0.71</v>
      </c>
      <c r="C1673" t="str">
        <f t="shared" si="30"/>
        <v>1966 q1</v>
      </c>
    </row>
    <row r="1674" spans="1:3">
      <c r="A1674" s="62">
        <v>24153</v>
      </c>
      <c r="B1674">
        <v>0.72850000000000004</v>
      </c>
      <c r="C1674" t="str">
        <f t="shared" si="30"/>
        <v>1966 q1</v>
      </c>
    </row>
    <row r="1675" spans="1:3">
      <c r="A1675" s="62">
        <v>24154</v>
      </c>
      <c r="B1675">
        <v>0.72799999999999998</v>
      </c>
      <c r="C1675" t="str">
        <f t="shared" si="30"/>
        <v>1966 q1</v>
      </c>
    </row>
    <row r="1676" spans="1:3">
      <c r="A1676" s="62">
        <v>24155</v>
      </c>
      <c r="B1676">
        <v>0.71499999999999997</v>
      </c>
      <c r="C1676" t="str">
        <f t="shared" si="30"/>
        <v>1966 q1</v>
      </c>
    </row>
    <row r="1677" spans="1:3">
      <c r="A1677" s="62">
        <v>24156</v>
      </c>
      <c r="B1677">
        <v>0.71599999999999997</v>
      </c>
      <c r="C1677" t="str">
        <f t="shared" si="30"/>
        <v>1966 q1</v>
      </c>
    </row>
    <row r="1678" spans="1:3">
      <c r="A1678" s="62">
        <v>24159</v>
      </c>
      <c r="B1678">
        <v>0.71099999999999997</v>
      </c>
      <c r="C1678" t="str">
        <f t="shared" si="30"/>
        <v>1966 q1</v>
      </c>
    </row>
    <row r="1679" spans="1:3">
      <c r="A1679" s="62">
        <v>24161</v>
      </c>
      <c r="B1679">
        <v>0.69020000000000004</v>
      </c>
      <c r="C1679" t="str">
        <f t="shared" si="30"/>
        <v>1966 q1</v>
      </c>
    </row>
    <row r="1680" spans="1:3">
      <c r="A1680" s="62">
        <v>24162</v>
      </c>
      <c r="B1680">
        <v>0.68410000000000004</v>
      </c>
      <c r="C1680" t="str">
        <f t="shared" si="30"/>
        <v>1966 q1</v>
      </c>
    </row>
    <row r="1681" spans="1:3">
      <c r="A1681" s="62">
        <v>24163</v>
      </c>
      <c r="B1681">
        <v>0.6754</v>
      </c>
      <c r="C1681" t="str">
        <f t="shared" si="30"/>
        <v>1966 q1</v>
      </c>
    </row>
    <row r="1682" spans="1:3">
      <c r="A1682" s="62">
        <v>24166</v>
      </c>
      <c r="B1682">
        <v>0.68530000000000002</v>
      </c>
      <c r="C1682" t="str">
        <f t="shared" ref="C1682:C1745" si="31">YEAR(A1682)&amp;" q"&amp;ROUNDUP(MONTH(A1682)/3,0)</f>
        <v>1966 q1</v>
      </c>
    </row>
    <row r="1683" spans="1:3">
      <c r="A1683" s="62">
        <v>24167</v>
      </c>
      <c r="B1683">
        <v>0.7</v>
      </c>
      <c r="C1683" t="str">
        <f t="shared" si="31"/>
        <v>1966 q1</v>
      </c>
    </row>
    <row r="1684" spans="1:3">
      <c r="A1684" s="62">
        <v>24168</v>
      </c>
      <c r="B1684">
        <v>0.70950000000000002</v>
      </c>
      <c r="C1684" t="str">
        <f t="shared" si="31"/>
        <v>1966 q1</v>
      </c>
    </row>
    <row r="1685" spans="1:3">
      <c r="A1685" s="62">
        <v>24169</v>
      </c>
      <c r="B1685">
        <v>0.72</v>
      </c>
      <c r="C1685" t="str">
        <f t="shared" si="31"/>
        <v>1966 q1</v>
      </c>
    </row>
    <row r="1686" spans="1:3">
      <c r="A1686" s="62">
        <v>24170</v>
      </c>
      <c r="B1686">
        <v>0.72750000000000004</v>
      </c>
      <c r="C1686" t="str">
        <f t="shared" si="31"/>
        <v>1966 q1</v>
      </c>
    </row>
    <row r="1687" spans="1:3">
      <c r="A1687" s="62">
        <v>24173</v>
      </c>
      <c r="B1687">
        <v>0.73499999999999999</v>
      </c>
      <c r="C1687" t="str">
        <f t="shared" si="31"/>
        <v>1966 q1</v>
      </c>
    </row>
    <row r="1688" spans="1:3">
      <c r="A1688" s="62">
        <v>24174</v>
      </c>
      <c r="B1688">
        <v>0.73150000000000004</v>
      </c>
      <c r="C1688" t="str">
        <f t="shared" si="31"/>
        <v>1966 q1</v>
      </c>
    </row>
    <row r="1689" spans="1:3">
      <c r="A1689" s="62">
        <v>24175</v>
      </c>
      <c r="B1689">
        <v>0.73350000000000004</v>
      </c>
      <c r="C1689" t="str">
        <f t="shared" si="31"/>
        <v>1966 q1</v>
      </c>
    </row>
    <row r="1690" spans="1:3">
      <c r="A1690" s="62">
        <v>24176</v>
      </c>
      <c r="B1690">
        <v>0.75</v>
      </c>
      <c r="C1690" t="str">
        <f t="shared" si="31"/>
        <v>1966 q1</v>
      </c>
    </row>
    <row r="1691" spans="1:3">
      <c r="A1691" s="62">
        <v>24177</v>
      </c>
      <c r="B1691">
        <v>0.75800000000000001</v>
      </c>
      <c r="C1691" t="str">
        <f t="shared" si="31"/>
        <v>1966 q1</v>
      </c>
    </row>
    <row r="1692" spans="1:3">
      <c r="A1692" s="62">
        <v>24180</v>
      </c>
      <c r="B1692">
        <v>0.76</v>
      </c>
      <c r="C1692" t="str">
        <f t="shared" si="31"/>
        <v>1966 q1</v>
      </c>
    </row>
    <row r="1693" spans="1:3">
      <c r="A1693" s="62">
        <v>24181</v>
      </c>
      <c r="B1693">
        <v>0.76249999999999996</v>
      </c>
      <c r="C1693" t="str">
        <f t="shared" si="31"/>
        <v>1966 q1</v>
      </c>
    </row>
    <row r="1694" spans="1:3">
      <c r="A1694" s="62">
        <v>24182</v>
      </c>
      <c r="B1694">
        <v>0.752</v>
      </c>
      <c r="C1694" t="str">
        <f t="shared" si="31"/>
        <v>1966 q1</v>
      </c>
    </row>
    <row r="1695" spans="1:3">
      <c r="A1695" s="62">
        <v>24183</v>
      </c>
      <c r="B1695">
        <v>0.73799999999999999</v>
      </c>
      <c r="C1695" t="str">
        <f t="shared" si="31"/>
        <v>1966 q1</v>
      </c>
    </row>
    <row r="1696" spans="1:3">
      <c r="A1696" s="62">
        <v>24184</v>
      </c>
      <c r="B1696">
        <v>0.73050000000000004</v>
      </c>
      <c r="C1696" t="str">
        <f t="shared" si="31"/>
        <v>1966 q1</v>
      </c>
    </row>
    <row r="1697" spans="1:3">
      <c r="A1697" s="62">
        <v>24187</v>
      </c>
      <c r="B1697">
        <v>0.71050000000000002</v>
      </c>
      <c r="C1697" t="str">
        <f t="shared" si="31"/>
        <v>1966 q1</v>
      </c>
    </row>
    <row r="1698" spans="1:3">
      <c r="A1698" s="62">
        <v>24188</v>
      </c>
      <c r="B1698">
        <v>0.6905</v>
      </c>
      <c r="C1698" t="str">
        <f t="shared" si="31"/>
        <v>1966 q1</v>
      </c>
    </row>
    <row r="1699" spans="1:3">
      <c r="A1699" s="62">
        <v>24189</v>
      </c>
      <c r="B1699">
        <v>0.71050000000000002</v>
      </c>
      <c r="C1699" t="str">
        <f t="shared" si="31"/>
        <v>1966 q1</v>
      </c>
    </row>
    <row r="1700" spans="1:3">
      <c r="A1700" s="62">
        <v>24190</v>
      </c>
      <c r="B1700">
        <v>0.73050000000000004</v>
      </c>
      <c r="C1700" t="str">
        <f t="shared" si="31"/>
        <v>1966 q1</v>
      </c>
    </row>
    <row r="1701" spans="1:3">
      <c r="A1701" s="62">
        <v>24191</v>
      </c>
      <c r="B1701">
        <v>0.74739999999999995</v>
      </c>
      <c r="C1701" t="str">
        <f t="shared" si="31"/>
        <v>1966 q1</v>
      </c>
    </row>
    <row r="1702" spans="1:3">
      <c r="A1702" s="62">
        <v>24194</v>
      </c>
      <c r="B1702">
        <v>0.76739999999999997</v>
      </c>
      <c r="C1702" t="str">
        <f t="shared" si="31"/>
        <v>1966 q1</v>
      </c>
    </row>
    <row r="1703" spans="1:3">
      <c r="A1703" s="62">
        <v>24195</v>
      </c>
      <c r="B1703">
        <v>0.76849999999999996</v>
      </c>
      <c r="C1703" t="str">
        <f t="shared" si="31"/>
        <v>1966 q1</v>
      </c>
    </row>
    <row r="1704" spans="1:3">
      <c r="A1704" s="62">
        <v>24196</v>
      </c>
      <c r="B1704">
        <v>0.76500000000000001</v>
      </c>
      <c r="C1704" t="str">
        <f t="shared" si="31"/>
        <v>1966 q1</v>
      </c>
    </row>
    <row r="1705" spans="1:3">
      <c r="A1705" s="62">
        <v>24197</v>
      </c>
      <c r="B1705">
        <v>0.78149999999999997</v>
      </c>
      <c r="C1705" t="str">
        <f t="shared" si="31"/>
        <v>1966 q1</v>
      </c>
    </row>
    <row r="1706" spans="1:3">
      <c r="A1706" s="62">
        <v>24198</v>
      </c>
      <c r="B1706">
        <v>0.79249999999999998</v>
      </c>
      <c r="C1706" t="str">
        <f t="shared" si="31"/>
        <v>1966 q2</v>
      </c>
    </row>
    <row r="1707" spans="1:3">
      <c r="A1707" s="62">
        <v>24201</v>
      </c>
      <c r="B1707">
        <v>0.80600000000000005</v>
      </c>
      <c r="C1707" t="str">
        <f t="shared" si="31"/>
        <v>1966 q2</v>
      </c>
    </row>
    <row r="1708" spans="1:3">
      <c r="A1708" s="62">
        <v>24202</v>
      </c>
      <c r="B1708">
        <v>0.82699999999999996</v>
      </c>
      <c r="C1708" t="str">
        <f t="shared" si="31"/>
        <v>1966 q2</v>
      </c>
    </row>
    <row r="1709" spans="1:3">
      <c r="A1709" s="62">
        <v>24203</v>
      </c>
      <c r="B1709">
        <v>0.82399999999999995</v>
      </c>
      <c r="C1709" t="str">
        <f t="shared" si="31"/>
        <v>1966 q2</v>
      </c>
    </row>
    <row r="1710" spans="1:3">
      <c r="A1710" s="62">
        <v>24204</v>
      </c>
      <c r="B1710">
        <v>0.81599999999999995</v>
      </c>
      <c r="C1710" t="str">
        <f t="shared" si="31"/>
        <v>1966 q2</v>
      </c>
    </row>
    <row r="1711" spans="1:3">
      <c r="A1711" s="62">
        <v>24208</v>
      </c>
      <c r="B1711">
        <v>0.79600000000000004</v>
      </c>
      <c r="C1711" t="str">
        <f t="shared" si="31"/>
        <v>1966 q2</v>
      </c>
    </row>
    <row r="1712" spans="1:3">
      <c r="A1712" s="62">
        <v>24209</v>
      </c>
      <c r="B1712">
        <v>0.80400000000000005</v>
      </c>
      <c r="C1712" t="str">
        <f t="shared" si="31"/>
        <v>1966 q2</v>
      </c>
    </row>
    <row r="1713" spans="1:3">
      <c r="A1713" s="62">
        <v>24210</v>
      </c>
      <c r="B1713">
        <v>0.79900000000000004</v>
      </c>
      <c r="C1713" t="str">
        <f t="shared" si="31"/>
        <v>1966 q2</v>
      </c>
    </row>
    <row r="1714" spans="1:3">
      <c r="A1714" s="62">
        <v>24211</v>
      </c>
      <c r="B1714">
        <v>0.80800000000000005</v>
      </c>
      <c r="C1714" t="str">
        <f t="shared" si="31"/>
        <v>1966 q2</v>
      </c>
    </row>
    <row r="1715" spans="1:3">
      <c r="A1715" s="62">
        <v>24212</v>
      </c>
      <c r="B1715">
        <v>0.79700000000000004</v>
      </c>
      <c r="C1715" t="str">
        <f t="shared" si="31"/>
        <v>1966 q2</v>
      </c>
    </row>
    <row r="1716" spans="1:3">
      <c r="A1716" s="62">
        <v>24215</v>
      </c>
      <c r="B1716">
        <v>0.77600000000000002</v>
      </c>
      <c r="C1716" t="str">
        <f t="shared" si="31"/>
        <v>1966 q2</v>
      </c>
    </row>
    <row r="1717" spans="1:3">
      <c r="A1717" s="62">
        <v>24216</v>
      </c>
      <c r="B1717">
        <v>0.75600000000000001</v>
      </c>
      <c r="C1717" t="str">
        <f t="shared" si="31"/>
        <v>1966 q2</v>
      </c>
    </row>
    <row r="1718" spans="1:3">
      <c r="A1718" s="62">
        <v>24217</v>
      </c>
      <c r="B1718">
        <v>0.74</v>
      </c>
      <c r="C1718" t="str">
        <f t="shared" si="31"/>
        <v>1966 q2</v>
      </c>
    </row>
    <row r="1719" spans="1:3">
      <c r="A1719" s="62">
        <v>24218</v>
      </c>
      <c r="B1719">
        <v>0.73250000000000004</v>
      </c>
      <c r="C1719" t="str">
        <f t="shared" si="31"/>
        <v>1966 q2</v>
      </c>
    </row>
    <row r="1720" spans="1:3">
      <c r="A1720" s="62">
        <v>24219</v>
      </c>
      <c r="B1720">
        <v>0.73650000000000004</v>
      </c>
      <c r="C1720" t="str">
        <f t="shared" si="31"/>
        <v>1966 q2</v>
      </c>
    </row>
    <row r="1721" spans="1:3">
      <c r="A1721" s="62">
        <v>24222</v>
      </c>
      <c r="B1721">
        <v>0.71650000000000003</v>
      </c>
      <c r="C1721" t="str">
        <f t="shared" si="31"/>
        <v>1966 q2</v>
      </c>
    </row>
    <row r="1722" spans="1:3">
      <c r="A1722" s="62">
        <v>24223</v>
      </c>
      <c r="B1722">
        <v>0.6915</v>
      </c>
      <c r="C1722" t="str">
        <f t="shared" si="31"/>
        <v>1966 q2</v>
      </c>
    </row>
    <row r="1723" spans="1:3">
      <c r="A1723" s="62">
        <v>24224</v>
      </c>
      <c r="B1723">
        <v>0.66649999999999998</v>
      </c>
      <c r="C1723" t="str">
        <f t="shared" si="31"/>
        <v>1966 q2</v>
      </c>
    </row>
    <row r="1724" spans="1:3">
      <c r="A1724" s="62">
        <v>24225</v>
      </c>
      <c r="B1724">
        <v>0.64349999999999996</v>
      </c>
      <c r="C1724" t="str">
        <f t="shared" si="31"/>
        <v>1966 q2</v>
      </c>
    </row>
    <row r="1725" spans="1:3">
      <c r="A1725" s="62">
        <v>24226</v>
      </c>
      <c r="B1725">
        <v>0.66200000000000003</v>
      </c>
      <c r="C1725" t="str">
        <f t="shared" si="31"/>
        <v>1966 q2</v>
      </c>
    </row>
    <row r="1726" spans="1:3">
      <c r="A1726" s="62">
        <v>24229</v>
      </c>
      <c r="B1726">
        <v>0.67749999999999999</v>
      </c>
      <c r="C1726" t="str">
        <f t="shared" si="31"/>
        <v>1966 q2</v>
      </c>
    </row>
    <row r="1727" spans="1:3">
      <c r="A1727" s="62">
        <v>24230</v>
      </c>
      <c r="B1727">
        <v>0.67</v>
      </c>
      <c r="C1727" t="str">
        <f t="shared" si="31"/>
        <v>1966 q2</v>
      </c>
    </row>
    <row r="1728" spans="1:3">
      <c r="A1728" s="62">
        <v>24231</v>
      </c>
      <c r="B1728">
        <v>0.67500000000000004</v>
      </c>
      <c r="C1728" t="str">
        <f t="shared" si="31"/>
        <v>1966 q2</v>
      </c>
    </row>
    <row r="1729" spans="1:3">
      <c r="A1729" s="62">
        <v>24232</v>
      </c>
      <c r="B1729">
        <v>0.65949999999999998</v>
      </c>
      <c r="C1729" t="str">
        <f t="shared" si="31"/>
        <v>1966 q2</v>
      </c>
    </row>
    <row r="1730" spans="1:3">
      <c r="A1730" s="62">
        <v>24233</v>
      </c>
      <c r="B1730">
        <v>0.64649999999999996</v>
      </c>
      <c r="C1730" t="str">
        <f t="shared" si="31"/>
        <v>1966 q2</v>
      </c>
    </row>
    <row r="1731" spans="1:3">
      <c r="A1731" s="62">
        <v>24236</v>
      </c>
      <c r="B1731">
        <v>0.65100000000000002</v>
      </c>
      <c r="C1731" t="str">
        <f t="shared" si="31"/>
        <v>1966 q2</v>
      </c>
    </row>
    <row r="1732" spans="1:3">
      <c r="A1732" s="62">
        <v>24237</v>
      </c>
      <c r="B1732">
        <v>0.64849999999999997</v>
      </c>
      <c r="C1732" t="str">
        <f t="shared" si="31"/>
        <v>1966 q2</v>
      </c>
    </row>
    <row r="1733" spans="1:3">
      <c r="A1733" s="62">
        <v>24238</v>
      </c>
      <c r="B1733">
        <v>0.65749999999999997</v>
      </c>
      <c r="C1733" t="str">
        <f t="shared" si="31"/>
        <v>1966 q2</v>
      </c>
    </row>
    <row r="1734" spans="1:3">
      <c r="A1734" s="62">
        <v>24239</v>
      </c>
      <c r="B1734">
        <v>0.64849999999999997</v>
      </c>
      <c r="C1734" t="str">
        <f t="shared" si="31"/>
        <v>1966 q2</v>
      </c>
    </row>
    <row r="1735" spans="1:3">
      <c r="A1735" s="62">
        <v>24240</v>
      </c>
      <c r="B1735">
        <v>0.65500000000000003</v>
      </c>
      <c r="C1735" t="str">
        <f t="shared" si="31"/>
        <v>1966 q2</v>
      </c>
    </row>
    <row r="1736" spans="1:3">
      <c r="A1736" s="62">
        <v>24243</v>
      </c>
      <c r="B1736">
        <v>0.66149999999999998</v>
      </c>
      <c r="C1736" t="str">
        <f t="shared" si="31"/>
        <v>1966 q2</v>
      </c>
    </row>
    <row r="1737" spans="1:3">
      <c r="A1737" s="62">
        <v>24244</v>
      </c>
      <c r="B1737">
        <v>0.66</v>
      </c>
      <c r="C1737" t="str">
        <f t="shared" si="31"/>
        <v>1966 q2</v>
      </c>
    </row>
    <row r="1738" spans="1:3">
      <c r="A1738" s="62">
        <v>24245</v>
      </c>
      <c r="B1738">
        <v>0.67500000000000004</v>
      </c>
      <c r="C1738" t="str">
        <f t="shared" si="31"/>
        <v>1966 q2</v>
      </c>
    </row>
    <row r="1739" spans="1:3">
      <c r="A1739" s="62">
        <v>24246</v>
      </c>
      <c r="B1739">
        <v>0.69399999999999995</v>
      </c>
      <c r="C1739" t="str">
        <f t="shared" si="31"/>
        <v>1966 q2</v>
      </c>
    </row>
    <row r="1740" spans="1:3">
      <c r="A1740" s="62">
        <v>24247</v>
      </c>
      <c r="B1740">
        <v>0.70850000000000002</v>
      </c>
      <c r="C1740" t="str">
        <f t="shared" si="31"/>
        <v>1966 q2</v>
      </c>
    </row>
    <row r="1741" spans="1:3">
      <c r="A1741" s="62">
        <v>24250</v>
      </c>
      <c r="B1741">
        <v>0.72699999999999998</v>
      </c>
      <c r="C1741" t="str">
        <f t="shared" si="31"/>
        <v>1966 q2</v>
      </c>
    </row>
    <row r="1742" spans="1:3">
      <c r="A1742" s="62">
        <v>24251</v>
      </c>
      <c r="B1742">
        <v>0.71550000000000002</v>
      </c>
      <c r="C1742" t="str">
        <f t="shared" si="31"/>
        <v>1966 q2</v>
      </c>
    </row>
    <row r="1743" spans="1:3">
      <c r="A1743" s="62">
        <v>24252</v>
      </c>
      <c r="B1743">
        <v>0.70299999999999996</v>
      </c>
      <c r="C1743" t="str">
        <f t="shared" si="31"/>
        <v>1966 q2</v>
      </c>
    </row>
    <row r="1744" spans="1:3">
      <c r="A1744" s="62">
        <v>24253</v>
      </c>
      <c r="B1744">
        <v>0.72299999999999998</v>
      </c>
      <c r="C1744" t="str">
        <f t="shared" si="31"/>
        <v>1966 q2</v>
      </c>
    </row>
    <row r="1745" spans="1:3">
      <c r="A1745" s="62">
        <v>24254</v>
      </c>
      <c r="B1745">
        <v>0.72699999999999998</v>
      </c>
      <c r="C1745" t="str">
        <f t="shared" si="31"/>
        <v>1966 q2</v>
      </c>
    </row>
    <row r="1746" spans="1:3">
      <c r="A1746" s="62">
        <v>24258</v>
      </c>
      <c r="B1746">
        <v>0.70699999999999996</v>
      </c>
      <c r="C1746" t="str">
        <f t="shared" ref="C1746:C1809" si="32">YEAR(A1746)&amp;" q"&amp;ROUNDUP(MONTH(A1746)/3,0)</f>
        <v>1966 q2</v>
      </c>
    </row>
    <row r="1747" spans="1:3">
      <c r="A1747" s="62">
        <v>24259</v>
      </c>
      <c r="B1747">
        <v>0.70499999999999996</v>
      </c>
      <c r="C1747" t="str">
        <f t="shared" si="32"/>
        <v>1966 q2</v>
      </c>
    </row>
    <row r="1748" spans="1:3">
      <c r="A1748" s="62">
        <v>24260</v>
      </c>
      <c r="B1748">
        <v>0.70550000000000002</v>
      </c>
      <c r="C1748" t="str">
        <f t="shared" si="32"/>
        <v>1966 q2</v>
      </c>
    </row>
    <row r="1749" spans="1:3">
      <c r="A1749" s="62">
        <v>24261</v>
      </c>
      <c r="B1749">
        <v>0.70750000000000002</v>
      </c>
      <c r="C1749" t="str">
        <f t="shared" si="32"/>
        <v>1966 q2</v>
      </c>
    </row>
    <row r="1750" spans="1:3">
      <c r="A1750" s="62">
        <v>24264</v>
      </c>
      <c r="B1750">
        <v>0.70350000000000001</v>
      </c>
      <c r="C1750" t="str">
        <f t="shared" si="32"/>
        <v>1966 q2</v>
      </c>
    </row>
    <row r="1751" spans="1:3">
      <c r="A1751" s="62">
        <v>24265</v>
      </c>
      <c r="B1751">
        <v>0.71350000000000002</v>
      </c>
      <c r="C1751" t="str">
        <f t="shared" si="32"/>
        <v>1966 q2</v>
      </c>
    </row>
    <row r="1752" spans="1:3">
      <c r="A1752" s="62">
        <v>24266</v>
      </c>
      <c r="B1752">
        <v>0.72350000000000003</v>
      </c>
      <c r="C1752" t="str">
        <f t="shared" si="32"/>
        <v>1966 q2</v>
      </c>
    </row>
    <row r="1753" spans="1:3">
      <c r="A1753" s="62">
        <v>24267</v>
      </c>
      <c r="B1753">
        <v>0.73350000000000004</v>
      </c>
      <c r="C1753" t="str">
        <f t="shared" si="32"/>
        <v>1966 q2</v>
      </c>
    </row>
    <row r="1754" spans="1:3">
      <c r="A1754" s="62">
        <v>24268</v>
      </c>
      <c r="B1754">
        <v>0.73050000000000004</v>
      </c>
      <c r="C1754" t="str">
        <f t="shared" si="32"/>
        <v>1966 q2</v>
      </c>
    </row>
    <row r="1755" spans="1:3">
      <c r="A1755" s="62">
        <v>24271</v>
      </c>
      <c r="B1755">
        <v>0.74250000000000005</v>
      </c>
      <c r="C1755" t="str">
        <f t="shared" si="32"/>
        <v>1966 q2</v>
      </c>
    </row>
    <row r="1756" spans="1:3">
      <c r="A1756" s="62">
        <v>24272</v>
      </c>
      <c r="B1756">
        <v>0.755</v>
      </c>
      <c r="C1756" t="str">
        <f t="shared" si="32"/>
        <v>1966 q2</v>
      </c>
    </row>
    <row r="1757" spans="1:3">
      <c r="A1757" s="62">
        <v>24273</v>
      </c>
      <c r="B1757">
        <v>0.74650000000000005</v>
      </c>
      <c r="C1757" t="str">
        <f t="shared" si="32"/>
        <v>1966 q2</v>
      </c>
    </row>
    <row r="1758" spans="1:3">
      <c r="A1758" s="62">
        <v>24274</v>
      </c>
      <c r="B1758">
        <v>0.72899999999999998</v>
      </c>
      <c r="C1758" t="str">
        <f t="shared" si="32"/>
        <v>1966 q2</v>
      </c>
    </row>
    <row r="1759" spans="1:3">
      <c r="A1759" s="62">
        <v>24275</v>
      </c>
      <c r="B1759">
        <v>0.73899999999999999</v>
      </c>
      <c r="C1759" t="str">
        <f t="shared" si="32"/>
        <v>1966 q2</v>
      </c>
    </row>
    <row r="1760" spans="1:3">
      <c r="A1760" s="62">
        <v>24278</v>
      </c>
      <c r="B1760">
        <v>0.73899999999999999</v>
      </c>
      <c r="C1760" t="str">
        <f t="shared" si="32"/>
        <v>1966 q2</v>
      </c>
    </row>
    <row r="1761" spans="1:3">
      <c r="A1761" s="62">
        <v>24279</v>
      </c>
      <c r="B1761">
        <v>0.72899999999999998</v>
      </c>
      <c r="C1761" t="str">
        <f t="shared" si="32"/>
        <v>1966 q2</v>
      </c>
    </row>
    <row r="1762" spans="1:3">
      <c r="A1762" s="62">
        <v>24280</v>
      </c>
      <c r="B1762">
        <v>0.72499999999999998</v>
      </c>
      <c r="C1762" t="str">
        <f t="shared" si="32"/>
        <v>1966 q2</v>
      </c>
    </row>
    <row r="1763" spans="1:3">
      <c r="A1763" s="62">
        <v>24281</v>
      </c>
      <c r="B1763">
        <v>0.71650000000000003</v>
      </c>
      <c r="C1763" t="str">
        <f t="shared" si="32"/>
        <v>1966 q2</v>
      </c>
    </row>
    <row r="1764" spans="1:3">
      <c r="A1764" s="62">
        <v>24282</v>
      </c>
      <c r="B1764">
        <v>0.71699999999999997</v>
      </c>
      <c r="C1764" t="str">
        <f t="shared" si="32"/>
        <v>1966 q2</v>
      </c>
    </row>
    <row r="1765" spans="1:3">
      <c r="A1765" s="62">
        <v>24285</v>
      </c>
      <c r="B1765">
        <v>0.71660000000000001</v>
      </c>
      <c r="C1765" t="str">
        <f t="shared" si="32"/>
        <v>1966 q2</v>
      </c>
    </row>
    <row r="1766" spans="1:3">
      <c r="A1766" s="62">
        <v>24286</v>
      </c>
      <c r="B1766">
        <v>0.7228</v>
      </c>
      <c r="C1766" t="str">
        <f t="shared" si="32"/>
        <v>1966 q2</v>
      </c>
    </row>
    <row r="1767" spans="1:3">
      <c r="A1767" s="62">
        <v>24287</v>
      </c>
      <c r="B1767">
        <v>0.71799999999999997</v>
      </c>
      <c r="C1767" t="str">
        <f t="shared" si="32"/>
        <v>1966 q2</v>
      </c>
    </row>
    <row r="1768" spans="1:3">
      <c r="A1768" s="62">
        <v>24288</v>
      </c>
      <c r="B1768">
        <v>0.70850000000000002</v>
      </c>
      <c r="C1768" t="str">
        <f t="shared" si="32"/>
        <v>1966 q2</v>
      </c>
    </row>
    <row r="1769" spans="1:3">
      <c r="A1769" s="62">
        <v>24289</v>
      </c>
      <c r="B1769">
        <v>0.69950000000000001</v>
      </c>
      <c r="C1769" t="str">
        <f t="shared" si="32"/>
        <v>1966 q3</v>
      </c>
    </row>
    <row r="1770" spans="1:3">
      <c r="A1770" s="62">
        <v>24293</v>
      </c>
      <c r="B1770">
        <v>0.69799999999999995</v>
      </c>
      <c r="C1770" t="str">
        <f t="shared" si="32"/>
        <v>1966 q3</v>
      </c>
    </row>
    <row r="1771" spans="1:3">
      <c r="A1771" s="62">
        <v>24294</v>
      </c>
      <c r="B1771">
        <v>0.71399999999999997</v>
      </c>
      <c r="C1771" t="str">
        <f t="shared" si="32"/>
        <v>1966 q3</v>
      </c>
    </row>
    <row r="1772" spans="1:3">
      <c r="A1772" s="62">
        <v>24295</v>
      </c>
      <c r="B1772">
        <v>0.70899999999999996</v>
      </c>
      <c r="C1772" t="str">
        <f t="shared" si="32"/>
        <v>1966 q3</v>
      </c>
    </row>
    <row r="1773" spans="1:3">
      <c r="A1773" s="62">
        <v>24296</v>
      </c>
      <c r="B1773">
        <v>0.71350000000000002</v>
      </c>
      <c r="C1773" t="str">
        <f t="shared" si="32"/>
        <v>1966 q3</v>
      </c>
    </row>
    <row r="1774" spans="1:3">
      <c r="A1774" s="62">
        <v>24299</v>
      </c>
      <c r="B1774">
        <v>0.71799999999999997</v>
      </c>
      <c r="C1774" t="str">
        <f t="shared" si="32"/>
        <v>1966 q3</v>
      </c>
    </row>
    <row r="1775" spans="1:3">
      <c r="A1775" s="62">
        <v>24300</v>
      </c>
      <c r="B1775">
        <v>0.71399999999999997</v>
      </c>
      <c r="C1775" t="str">
        <f t="shared" si="32"/>
        <v>1966 q3</v>
      </c>
    </row>
    <row r="1776" spans="1:3">
      <c r="A1776" s="62">
        <v>24301</v>
      </c>
      <c r="B1776">
        <v>0.71099999999999997</v>
      </c>
      <c r="C1776" t="str">
        <f t="shared" si="32"/>
        <v>1966 q3</v>
      </c>
    </row>
    <row r="1777" spans="1:3">
      <c r="A1777" s="62">
        <v>24302</v>
      </c>
      <c r="B1777">
        <v>0.69550000000000001</v>
      </c>
      <c r="C1777" t="str">
        <f t="shared" si="32"/>
        <v>1966 q3</v>
      </c>
    </row>
    <row r="1778" spans="1:3">
      <c r="A1778" s="62">
        <v>24303</v>
      </c>
      <c r="B1778">
        <v>0.70899999999999996</v>
      </c>
      <c r="C1778" t="str">
        <f t="shared" si="32"/>
        <v>1966 q3</v>
      </c>
    </row>
    <row r="1779" spans="1:3">
      <c r="A1779" s="62">
        <v>24306</v>
      </c>
      <c r="B1779">
        <v>0.71099999999999997</v>
      </c>
      <c r="C1779" t="str">
        <f t="shared" si="32"/>
        <v>1966 q3</v>
      </c>
    </row>
    <row r="1780" spans="1:3">
      <c r="A1780" s="62">
        <v>24307</v>
      </c>
      <c r="B1780">
        <v>0.71850000000000003</v>
      </c>
      <c r="C1780" t="str">
        <f t="shared" si="32"/>
        <v>1966 q3</v>
      </c>
    </row>
    <row r="1781" spans="1:3">
      <c r="A1781" s="62">
        <v>24308</v>
      </c>
      <c r="B1781">
        <v>0.70899999999999996</v>
      </c>
      <c r="C1781" t="str">
        <f t="shared" si="32"/>
        <v>1966 q3</v>
      </c>
    </row>
    <row r="1782" spans="1:3">
      <c r="A1782" s="62">
        <v>24309</v>
      </c>
      <c r="B1782">
        <v>0.69399999999999995</v>
      </c>
      <c r="C1782" t="str">
        <f t="shared" si="32"/>
        <v>1966 q3</v>
      </c>
    </row>
    <row r="1783" spans="1:3">
      <c r="A1783" s="62">
        <v>24310</v>
      </c>
      <c r="B1783">
        <v>0.67500000000000004</v>
      </c>
      <c r="C1783" t="str">
        <f t="shared" si="32"/>
        <v>1966 q3</v>
      </c>
    </row>
    <row r="1784" spans="1:3">
      <c r="A1784" s="62">
        <v>24313</v>
      </c>
      <c r="B1784">
        <v>0.65400000000000003</v>
      </c>
      <c r="C1784" t="str">
        <f t="shared" si="32"/>
        <v>1966 q3</v>
      </c>
    </row>
    <row r="1785" spans="1:3">
      <c r="A1785" s="62">
        <v>24314</v>
      </c>
      <c r="B1785">
        <v>0.66</v>
      </c>
      <c r="C1785" t="str">
        <f t="shared" si="32"/>
        <v>1966 q3</v>
      </c>
    </row>
    <row r="1786" spans="1:3">
      <c r="A1786" s="62">
        <v>24315</v>
      </c>
      <c r="B1786">
        <v>0.66449999999999998</v>
      </c>
      <c r="C1786" t="str">
        <f t="shared" si="32"/>
        <v>1966 q3</v>
      </c>
    </row>
    <row r="1787" spans="1:3">
      <c r="A1787" s="62">
        <v>24316</v>
      </c>
      <c r="B1787">
        <v>0.66400000000000003</v>
      </c>
      <c r="C1787" t="str">
        <f t="shared" si="32"/>
        <v>1966 q3</v>
      </c>
    </row>
    <row r="1788" spans="1:3">
      <c r="A1788" s="62">
        <v>24317</v>
      </c>
      <c r="B1788">
        <v>0.64400000000000002</v>
      </c>
      <c r="C1788" t="str">
        <f t="shared" si="32"/>
        <v>1966 q3</v>
      </c>
    </row>
    <row r="1789" spans="1:3">
      <c r="A1789" s="62">
        <v>24320</v>
      </c>
      <c r="B1789">
        <v>0.624</v>
      </c>
      <c r="C1789" t="str">
        <f t="shared" si="32"/>
        <v>1966 q3</v>
      </c>
    </row>
    <row r="1790" spans="1:3">
      <c r="A1790" s="62">
        <v>24321</v>
      </c>
      <c r="B1790">
        <v>0.62050000000000005</v>
      </c>
      <c r="C1790" t="str">
        <f t="shared" si="32"/>
        <v>1966 q3</v>
      </c>
    </row>
    <row r="1791" spans="1:3">
      <c r="A1791" s="62">
        <v>24322</v>
      </c>
      <c r="B1791">
        <v>0.61150000000000004</v>
      </c>
      <c r="C1791" t="str">
        <f t="shared" si="32"/>
        <v>1966 q3</v>
      </c>
    </row>
    <row r="1792" spans="1:3">
      <c r="A1792" s="62">
        <v>24323</v>
      </c>
      <c r="B1792">
        <v>0.60350000000000004</v>
      </c>
      <c r="C1792" t="str">
        <f t="shared" si="32"/>
        <v>1966 q3</v>
      </c>
    </row>
    <row r="1793" spans="1:3">
      <c r="A1793" s="62">
        <v>24324</v>
      </c>
      <c r="B1793">
        <v>0.59799999999999998</v>
      </c>
      <c r="C1793" t="str">
        <f t="shared" si="32"/>
        <v>1966 q3</v>
      </c>
    </row>
    <row r="1794" spans="1:3">
      <c r="A1794" s="62">
        <v>24327</v>
      </c>
      <c r="B1794">
        <v>0.59750000000000003</v>
      </c>
      <c r="C1794" t="str">
        <f t="shared" si="32"/>
        <v>1966 q3</v>
      </c>
    </row>
    <row r="1795" spans="1:3">
      <c r="A1795" s="62">
        <v>24328</v>
      </c>
      <c r="B1795">
        <v>0.59350000000000003</v>
      </c>
      <c r="C1795" t="str">
        <f t="shared" si="32"/>
        <v>1966 q3</v>
      </c>
    </row>
    <row r="1796" spans="1:3">
      <c r="A1796" s="62">
        <v>24329</v>
      </c>
      <c r="B1796">
        <v>0.58150000000000002</v>
      </c>
      <c r="C1796" t="str">
        <f t="shared" si="32"/>
        <v>1966 q3</v>
      </c>
    </row>
    <row r="1797" spans="1:3">
      <c r="A1797" s="62">
        <v>24330</v>
      </c>
      <c r="B1797">
        <v>0.5615</v>
      </c>
      <c r="C1797" t="str">
        <f t="shared" si="32"/>
        <v>1966 q3</v>
      </c>
    </row>
    <row r="1798" spans="1:3">
      <c r="A1798" s="62">
        <v>24331</v>
      </c>
      <c r="B1798">
        <v>0.5645</v>
      </c>
      <c r="C1798" t="str">
        <f t="shared" si="32"/>
        <v>1966 q3</v>
      </c>
    </row>
    <row r="1799" spans="1:3">
      <c r="A1799" s="62">
        <v>24334</v>
      </c>
      <c r="B1799">
        <v>0.54149999999999998</v>
      </c>
      <c r="C1799" t="str">
        <f t="shared" si="32"/>
        <v>1966 q3</v>
      </c>
    </row>
    <row r="1800" spans="1:3">
      <c r="A1800" s="62">
        <v>24335</v>
      </c>
      <c r="B1800">
        <v>0.53449999999999998</v>
      </c>
      <c r="C1800" t="str">
        <f t="shared" si="32"/>
        <v>1966 q3</v>
      </c>
    </row>
    <row r="1801" spans="1:3">
      <c r="A1801" s="62">
        <v>24336</v>
      </c>
      <c r="B1801">
        <v>0.53249999999999997</v>
      </c>
      <c r="C1801" t="str">
        <f t="shared" si="32"/>
        <v>1966 q3</v>
      </c>
    </row>
    <row r="1802" spans="1:3">
      <c r="A1802" s="62">
        <v>24337</v>
      </c>
      <c r="B1802">
        <v>0.51249999999999996</v>
      </c>
      <c r="C1802" t="str">
        <f t="shared" si="32"/>
        <v>1966 q3</v>
      </c>
    </row>
    <row r="1803" spans="1:3">
      <c r="A1803" s="62">
        <v>24338</v>
      </c>
      <c r="B1803">
        <v>0.504</v>
      </c>
      <c r="C1803" t="str">
        <f t="shared" si="32"/>
        <v>1966 q3</v>
      </c>
    </row>
    <row r="1804" spans="1:3">
      <c r="A1804" s="62">
        <v>24341</v>
      </c>
      <c r="B1804">
        <v>0.48399999999999999</v>
      </c>
      <c r="C1804" t="str">
        <f t="shared" si="32"/>
        <v>1966 q3</v>
      </c>
    </row>
    <row r="1805" spans="1:3">
      <c r="A1805" s="62">
        <v>24342</v>
      </c>
      <c r="B1805">
        <v>0.46400000000000002</v>
      </c>
      <c r="C1805" t="str">
        <f t="shared" si="32"/>
        <v>1966 q3</v>
      </c>
    </row>
    <row r="1806" spans="1:3">
      <c r="A1806" s="62">
        <v>24343</v>
      </c>
      <c r="B1806">
        <v>0.48349999999999999</v>
      </c>
      <c r="C1806" t="str">
        <f t="shared" si="32"/>
        <v>1966 q3</v>
      </c>
    </row>
    <row r="1807" spans="1:3">
      <c r="A1807" s="62">
        <v>24344</v>
      </c>
      <c r="B1807">
        <v>0.48949999999999999</v>
      </c>
      <c r="C1807" t="str">
        <f t="shared" si="32"/>
        <v>1966 q3</v>
      </c>
    </row>
    <row r="1808" spans="1:3">
      <c r="A1808" s="62">
        <v>24345</v>
      </c>
      <c r="B1808">
        <v>0.47770000000000001</v>
      </c>
      <c r="C1808" t="str">
        <f t="shared" si="32"/>
        <v>1966 q3</v>
      </c>
    </row>
    <row r="1809" spans="1:3">
      <c r="A1809" s="62">
        <v>24348</v>
      </c>
      <c r="B1809">
        <v>0.497</v>
      </c>
      <c r="C1809" t="str">
        <f t="shared" si="32"/>
        <v>1966 q3</v>
      </c>
    </row>
    <row r="1810" spans="1:3">
      <c r="A1810" s="62">
        <v>24349</v>
      </c>
      <c r="B1810">
        <v>0.51590000000000003</v>
      </c>
      <c r="C1810" t="str">
        <f t="shared" ref="C1810:C1873" si="33">YEAR(A1810)&amp;" q"&amp;ROUNDUP(MONTH(A1810)/3,0)</f>
        <v>1966 q3</v>
      </c>
    </row>
    <row r="1811" spans="1:3">
      <c r="A1811" s="62">
        <v>24350</v>
      </c>
      <c r="B1811">
        <v>0.4945</v>
      </c>
      <c r="C1811" t="str">
        <f t="shared" si="33"/>
        <v>1966 q3</v>
      </c>
    </row>
    <row r="1812" spans="1:3">
      <c r="A1812" s="62">
        <v>24351</v>
      </c>
      <c r="B1812">
        <v>0.50849999999999995</v>
      </c>
      <c r="C1812" t="str">
        <f t="shared" si="33"/>
        <v>1966 q3</v>
      </c>
    </row>
    <row r="1813" spans="1:3">
      <c r="A1813" s="62">
        <v>24352</v>
      </c>
      <c r="B1813">
        <v>0.50349999999999995</v>
      </c>
      <c r="C1813" t="str">
        <f t="shared" si="33"/>
        <v>1966 q3</v>
      </c>
    </row>
    <row r="1814" spans="1:3">
      <c r="A1814" s="62">
        <v>24356</v>
      </c>
      <c r="B1814">
        <v>0.48549999999999999</v>
      </c>
      <c r="C1814" t="str">
        <f t="shared" si="33"/>
        <v>1966 q3</v>
      </c>
    </row>
    <row r="1815" spans="1:3">
      <c r="A1815" s="62">
        <v>24357</v>
      </c>
      <c r="B1815">
        <v>0.495</v>
      </c>
      <c r="C1815" t="str">
        <f t="shared" si="33"/>
        <v>1966 q3</v>
      </c>
    </row>
    <row r="1816" spans="1:3">
      <c r="A1816" s="62">
        <v>24358</v>
      </c>
      <c r="B1816">
        <v>0.48349999999999999</v>
      </c>
      <c r="C1816" t="str">
        <f t="shared" si="33"/>
        <v>1966 q3</v>
      </c>
    </row>
    <row r="1817" spans="1:3">
      <c r="A1817" s="62">
        <v>24359</v>
      </c>
      <c r="B1817">
        <v>0.49049999999999999</v>
      </c>
      <c r="C1817" t="str">
        <f t="shared" si="33"/>
        <v>1966 q3</v>
      </c>
    </row>
    <row r="1818" spans="1:3">
      <c r="A1818" s="62">
        <v>24362</v>
      </c>
      <c r="B1818">
        <v>0.50270000000000004</v>
      </c>
      <c r="C1818" t="str">
        <f t="shared" si="33"/>
        <v>1966 q3</v>
      </c>
    </row>
    <row r="1819" spans="1:3">
      <c r="A1819" s="62">
        <v>24363</v>
      </c>
      <c r="B1819">
        <v>0.504</v>
      </c>
      <c r="C1819" t="str">
        <f t="shared" si="33"/>
        <v>1966 q3</v>
      </c>
    </row>
    <row r="1820" spans="1:3">
      <c r="A1820" s="62">
        <v>24364</v>
      </c>
      <c r="B1820">
        <v>0.505</v>
      </c>
      <c r="C1820" t="str">
        <f t="shared" si="33"/>
        <v>1966 q3</v>
      </c>
    </row>
    <row r="1821" spans="1:3">
      <c r="A1821" s="62">
        <v>24365</v>
      </c>
      <c r="B1821">
        <v>0.50949999999999995</v>
      </c>
      <c r="C1821" t="str">
        <f t="shared" si="33"/>
        <v>1966 q3</v>
      </c>
    </row>
    <row r="1822" spans="1:3">
      <c r="A1822" s="62">
        <v>24366</v>
      </c>
      <c r="B1822">
        <v>0.51690000000000003</v>
      </c>
      <c r="C1822" t="str">
        <f t="shared" si="33"/>
        <v>1966 q3</v>
      </c>
    </row>
    <row r="1823" spans="1:3">
      <c r="A1823" s="62">
        <v>24369</v>
      </c>
      <c r="B1823">
        <v>0.52249999999999996</v>
      </c>
      <c r="C1823" t="str">
        <f t="shared" si="33"/>
        <v>1966 q3</v>
      </c>
    </row>
    <row r="1824" spans="1:3">
      <c r="A1824" s="62">
        <v>24370</v>
      </c>
      <c r="B1824">
        <v>0.51419999999999999</v>
      </c>
      <c r="C1824" t="str">
        <f t="shared" si="33"/>
        <v>1966 q3</v>
      </c>
    </row>
    <row r="1825" spans="1:3">
      <c r="A1825" s="62">
        <v>24371</v>
      </c>
      <c r="B1825">
        <v>0.52400000000000002</v>
      </c>
      <c r="C1825" t="str">
        <f t="shared" si="33"/>
        <v>1966 q3</v>
      </c>
    </row>
    <row r="1826" spans="1:3">
      <c r="A1826" s="62">
        <v>24372</v>
      </c>
      <c r="B1826">
        <v>0.51749999999999996</v>
      </c>
      <c r="C1826" t="str">
        <f t="shared" si="33"/>
        <v>1966 q3</v>
      </c>
    </row>
    <row r="1827" spans="1:3">
      <c r="A1827" s="62">
        <v>24373</v>
      </c>
      <c r="B1827">
        <v>0.52490000000000003</v>
      </c>
      <c r="C1827" t="str">
        <f t="shared" si="33"/>
        <v>1966 q3</v>
      </c>
    </row>
    <row r="1828" spans="1:3">
      <c r="A1828" s="62">
        <v>24376</v>
      </c>
      <c r="B1828">
        <v>0.53500000000000003</v>
      </c>
      <c r="C1828" t="str">
        <f t="shared" si="33"/>
        <v>1966 q3</v>
      </c>
    </row>
    <row r="1829" spans="1:3">
      <c r="A1829" s="62">
        <v>24377</v>
      </c>
      <c r="B1829">
        <v>0.53900000000000003</v>
      </c>
      <c r="C1829" t="str">
        <f t="shared" si="33"/>
        <v>1966 q3</v>
      </c>
    </row>
    <row r="1830" spans="1:3">
      <c r="A1830" s="62">
        <v>24378</v>
      </c>
      <c r="B1830">
        <v>0.55249999999999999</v>
      </c>
      <c r="C1830" t="str">
        <f t="shared" si="33"/>
        <v>1966 q3</v>
      </c>
    </row>
    <row r="1831" spans="1:3">
      <c r="A1831" s="62">
        <v>24379</v>
      </c>
      <c r="B1831">
        <v>0.56799999999999995</v>
      </c>
      <c r="C1831" t="str">
        <f t="shared" si="33"/>
        <v>1966 q3</v>
      </c>
    </row>
    <row r="1832" spans="1:3">
      <c r="A1832" s="62">
        <v>24380</v>
      </c>
      <c r="B1832">
        <v>0.57199999999999995</v>
      </c>
      <c r="C1832" t="str">
        <f t="shared" si="33"/>
        <v>1966 q3</v>
      </c>
    </row>
    <row r="1833" spans="1:3">
      <c r="A1833" s="62">
        <v>24383</v>
      </c>
      <c r="B1833">
        <v>0.58599999999999997</v>
      </c>
      <c r="C1833" t="str">
        <f t="shared" si="33"/>
        <v>1966 q4</v>
      </c>
    </row>
    <row r="1834" spans="1:3">
      <c r="A1834" s="62">
        <v>24384</v>
      </c>
      <c r="B1834">
        <v>0.59</v>
      </c>
      <c r="C1834" t="str">
        <f t="shared" si="33"/>
        <v>1966 q4</v>
      </c>
    </row>
    <row r="1835" spans="1:3">
      <c r="A1835" s="62">
        <v>24385</v>
      </c>
      <c r="B1835">
        <v>0.58099999999999996</v>
      </c>
      <c r="C1835" t="str">
        <f t="shared" si="33"/>
        <v>1966 q4</v>
      </c>
    </row>
    <row r="1836" spans="1:3">
      <c r="A1836" s="62">
        <v>24386</v>
      </c>
      <c r="B1836">
        <v>0.56100000000000005</v>
      </c>
      <c r="C1836" t="str">
        <f t="shared" si="33"/>
        <v>1966 q4</v>
      </c>
    </row>
    <row r="1837" spans="1:3">
      <c r="A1837" s="62">
        <v>24387</v>
      </c>
      <c r="B1837">
        <v>0.5605</v>
      </c>
      <c r="C1837" t="str">
        <f t="shared" si="33"/>
        <v>1966 q4</v>
      </c>
    </row>
    <row r="1838" spans="1:3">
      <c r="A1838" s="62">
        <v>24390</v>
      </c>
      <c r="B1838">
        <v>0.54700000000000004</v>
      </c>
      <c r="C1838" t="str">
        <f t="shared" si="33"/>
        <v>1966 q4</v>
      </c>
    </row>
    <row r="1839" spans="1:3">
      <c r="A1839" s="62">
        <v>24391</v>
      </c>
      <c r="B1839">
        <v>0.55100000000000005</v>
      </c>
      <c r="C1839" t="str">
        <f t="shared" si="33"/>
        <v>1966 q4</v>
      </c>
    </row>
    <row r="1840" spans="1:3">
      <c r="A1840" s="62">
        <v>24393</v>
      </c>
      <c r="B1840">
        <v>0.56999999999999995</v>
      </c>
      <c r="C1840" t="str">
        <f t="shared" si="33"/>
        <v>1966 q4</v>
      </c>
    </row>
    <row r="1841" spans="1:3">
      <c r="A1841" s="62">
        <v>24394</v>
      </c>
      <c r="B1841">
        <v>0.56699999999999995</v>
      </c>
      <c r="C1841" t="str">
        <f t="shared" si="33"/>
        <v>1966 q4</v>
      </c>
    </row>
    <row r="1842" spans="1:3">
      <c r="A1842" s="62">
        <v>24397</v>
      </c>
      <c r="B1842">
        <v>0.57950000000000002</v>
      </c>
      <c r="C1842" t="str">
        <f t="shared" si="33"/>
        <v>1966 q4</v>
      </c>
    </row>
    <row r="1843" spans="1:3">
      <c r="A1843" s="62">
        <v>24398</v>
      </c>
      <c r="B1843">
        <v>0.57199999999999995</v>
      </c>
      <c r="C1843" t="str">
        <f t="shared" si="33"/>
        <v>1966 q4</v>
      </c>
    </row>
    <row r="1844" spans="1:3">
      <c r="A1844" s="62">
        <v>24399</v>
      </c>
      <c r="B1844">
        <v>0.56499999999999995</v>
      </c>
      <c r="C1844" t="str">
        <f t="shared" si="33"/>
        <v>1966 q4</v>
      </c>
    </row>
    <row r="1845" spans="1:3">
      <c r="A1845" s="62">
        <v>24400</v>
      </c>
      <c r="B1845">
        <v>0.57099999999999995</v>
      </c>
      <c r="C1845" t="str">
        <f t="shared" si="33"/>
        <v>1966 q4</v>
      </c>
    </row>
    <row r="1846" spans="1:3">
      <c r="A1846" s="62">
        <v>24401</v>
      </c>
      <c r="B1846">
        <v>0.56799999999999995</v>
      </c>
      <c r="C1846" t="str">
        <f t="shared" si="33"/>
        <v>1966 q4</v>
      </c>
    </row>
    <row r="1847" spans="1:3">
      <c r="A1847" s="62">
        <v>24404</v>
      </c>
      <c r="B1847">
        <v>0.57099999999999995</v>
      </c>
      <c r="C1847" t="str">
        <f t="shared" si="33"/>
        <v>1966 q4</v>
      </c>
    </row>
    <row r="1848" spans="1:3">
      <c r="A1848" s="62">
        <v>24405</v>
      </c>
      <c r="B1848">
        <v>0.57350000000000001</v>
      </c>
      <c r="C1848" t="str">
        <f t="shared" si="33"/>
        <v>1966 q4</v>
      </c>
    </row>
    <row r="1849" spans="1:3">
      <c r="A1849" s="62">
        <v>24406</v>
      </c>
      <c r="B1849">
        <v>0.5655</v>
      </c>
      <c r="C1849" t="str">
        <f t="shared" si="33"/>
        <v>1966 q4</v>
      </c>
    </row>
    <row r="1850" spans="1:3">
      <c r="A1850" s="62">
        <v>24407</v>
      </c>
      <c r="B1850">
        <v>0.57099999999999995</v>
      </c>
      <c r="C1850" t="str">
        <f t="shared" si="33"/>
        <v>1966 q4</v>
      </c>
    </row>
    <row r="1851" spans="1:3">
      <c r="A1851" s="62">
        <v>24408</v>
      </c>
      <c r="B1851">
        <v>0.57399999999999995</v>
      </c>
      <c r="C1851" t="str">
        <f t="shared" si="33"/>
        <v>1966 q4</v>
      </c>
    </row>
    <row r="1852" spans="1:3">
      <c r="A1852" s="62">
        <v>24411</v>
      </c>
      <c r="B1852">
        <v>0.58350000000000002</v>
      </c>
      <c r="C1852" t="str">
        <f t="shared" si="33"/>
        <v>1966 q4</v>
      </c>
    </row>
    <row r="1853" spans="1:3">
      <c r="A1853" s="62">
        <v>24412</v>
      </c>
      <c r="B1853">
        <v>0.58350000000000002</v>
      </c>
      <c r="C1853" t="str">
        <f t="shared" si="33"/>
        <v>1966 q4</v>
      </c>
    </row>
    <row r="1854" spans="1:3">
      <c r="A1854" s="62">
        <v>24413</v>
      </c>
      <c r="B1854">
        <v>0.59199999999999997</v>
      </c>
      <c r="C1854" t="str">
        <f t="shared" si="33"/>
        <v>1966 q4</v>
      </c>
    </row>
    <row r="1855" spans="1:3">
      <c r="A1855" s="62">
        <v>24414</v>
      </c>
      <c r="B1855">
        <v>0.59599999999999997</v>
      </c>
      <c r="C1855" t="str">
        <f t="shared" si="33"/>
        <v>1966 q4</v>
      </c>
    </row>
    <row r="1856" spans="1:3">
      <c r="A1856" s="62">
        <v>24415</v>
      </c>
      <c r="B1856">
        <v>0.59499999999999997</v>
      </c>
      <c r="C1856" t="str">
        <f t="shared" si="33"/>
        <v>1966 q4</v>
      </c>
    </row>
    <row r="1857" spans="1:3">
      <c r="A1857" s="62">
        <v>24418</v>
      </c>
      <c r="B1857">
        <v>0.59689999999999999</v>
      </c>
      <c r="C1857" t="str">
        <f t="shared" si="33"/>
        <v>1966 q4</v>
      </c>
    </row>
    <row r="1858" spans="1:3">
      <c r="A1858" s="62">
        <v>24420</v>
      </c>
      <c r="B1858">
        <v>0.6</v>
      </c>
      <c r="C1858" t="str">
        <f t="shared" si="33"/>
        <v>1966 q4</v>
      </c>
    </row>
    <row r="1859" spans="1:3">
      <c r="A1859" s="62">
        <v>24421</v>
      </c>
      <c r="B1859">
        <v>0.59399999999999997</v>
      </c>
      <c r="C1859" t="str">
        <f t="shared" si="33"/>
        <v>1966 q4</v>
      </c>
    </row>
    <row r="1860" spans="1:3">
      <c r="A1860" s="62">
        <v>24425</v>
      </c>
      <c r="B1860">
        <v>0.58350000000000002</v>
      </c>
      <c r="C1860" t="str">
        <f t="shared" si="33"/>
        <v>1966 q4</v>
      </c>
    </row>
    <row r="1861" spans="1:3">
      <c r="A1861" s="62">
        <v>24426</v>
      </c>
      <c r="B1861">
        <v>0.5645</v>
      </c>
      <c r="C1861" t="str">
        <f t="shared" si="33"/>
        <v>1966 q4</v>
      </c>
    </row>
    <row r="1862" spans="1:3">
      <c r="A1862" s="62">
        <v>24427</v>
      </c>
      <c r="B1862">
        <v>0.56599999999999995</v>
      </c>
      <c r="C1862" t="str">
        <f t="shared" si="33"/>
        <v>1966 q4</v>
      </c>
    </row>
    <row r="1863" spans="1:3">
      <c r="A1863" s="62">
        <v>24428</v>
      </c>
      <c r="B1863">
        <v>0.56799999999999995</v>
      </c>
      <c r="C1863" t="str">
        <f t="shared" si="33"/>
        <v>1966 q4</v>
      </c>
    </row>
    <row r="1864" spans="1:3">
      <c r="A1864" s="62">
        <v>24429</v>
      </c>
      <c r="B1864">
        <v>0.55100000000000005</v>
      </c>
      <c r="C1864" t="str">
        <f t="shared" si="33"/>
        <v>1966 q4</v>
      </c>
    </row>
    <row r="1865" spans="1:3">
      <c r="A1865" s="62">
        <v>24432</v>
      </c>
      <c r="B1865">
        <v>0.55000000000000004</v>
      </c>
      <c r="C1865" t="str">
        <f t="shared" si="33"/>
        <v>1966 q4</v>
      </c>
    </row>
    <row r="1866" spans="1:3">
      <c r="A1866" s="62">
        <v>24433</v>
      </c>
      <c r="B1866">
        <v>0.55500000000000005</v>
      </c>
      <c r="C1866" t="str">
        <f t="shared" si="33"/>
        <v>1966 q4</v>
      </c>
    </row>
    <row r="1867" spans="1:3">
      <c r="A1867" s="62">
        <v>24434</v>
      </c>
      <c r="B1867">
        <v>0.55610000000000004</v>
      </c>
      <c r="C1867" t="str">
        <f t="shared" si="33"/>
        <v>1966 q4</v>
      </c>
    </row>
    <row r="1868" spans="1:3">
      <c r="A1868" s="62">
        <v>24436</v>
      </c>
      <c r="B1868">
        <v>0.54579999999999995</v>
      </c>
      <c r="C1868" t="str">
        <f t="shared" si="33"/>
        <v>1966 q4</v>
      </c>
    </row>
    <row r="1869" spans="1:3">
      <c r="A1869" s="62">
        <v>24439</v>
      </c>
      <c r="B1869">
        <v>0.55120000000000002</v>
      </c>
      <c r="C1869" t="str">
        <f t="shared" si="33"/>
        <v>1966 q4</v>
      </c>
    </row>
    <row r="1870" spans="1:3">
      <c r="A1870" s="62">
        <v>24440</v>
      </c>
      <c r="B1870">
        <v>0.53239999999999998</v>
      </c>
      <c r="C1870" t="str">
        <f t="shared" si="33"/>
        <v>1966 q4</v>
      </c>
    </row>
    <row r="1871" spans="1:3">
      <c r="A1871" s="62">
        <v>24441</v>
      </c>
      <c r="B1871">
        <v>0.53459999999999996</v>
      </c>
      <c r="C1871" t="str">
        <f t="shared" si="33"/>
        <v>1966 q4</v>
      </c>
    </row>
    <row r="1872" spans="1:3">
      <c r="A1872" s="62">
        <v>24442</v>
      </c>
      <c r="B1872">
        <v>0.51800000000000002</v>
      </c>
      <c r="C1872" t="str">
        <f t="shared" si="33"/>
        <v>1966 q4</v>
      </c>
    </row>
    <row r="1873" spans="1:3">
      <c r="A1873" s="62">
        <v>24443</v>
      </c>
      <c r="B1873">
        <v>0.504</v>
      </c>
      <c r="C1873" t="str">
        <f t="shared" si="33"/>
        <v>1966 q4</v>
      </c>
    </row>
    <row r="1874" spans="1:3">
      <c r="A1874" s="62">
        <v>24446</v>
      </c>
      <c r="B1874">
        <v>0.52400000000000002</v>
      </c>
      <c r="C1874" t="str">
        <f t="shared" ref="C1874:C1937" si="34">YEAR(A1874)&amp;" q"&amp;ROUNDUP(MONTH(A1874)/3,0)</f>
        <v>1966 q4</v>
      </c>
    </row>
    <row r="1875" spans="1:3">
      <c r="A1875" s="62">
        <v>24447</v>
      </c>
      <c r="B1875">
        <v>0.54</v>
      </c>
      <c r="C1875" t="str">
        <f t="shared" si="34"/>
        <v>1966 q4</v>
      </c>
    </row>
    <row r="1876" spans="1:3">
      <c r="A1876" s="62">
        <v>24448</v>
      </c>
      <c r="B1876">
        <v>0.55249999999999999</v>
      </c>
      <c r="C1876" t="str">
        <f t="shared" si="34"/>
        <v>1966 q4</v>
      </c>
    </row>
    <row r="1877" spans="1:3">
      <c r="A1877" s="62">
        <v>24449</v>
      </c>
      <c r="B1877">
        <v>0.53900000000000003</v>
      </c>
      <c r="C1877" t="str">
        <f t="shared" si="34"/>
        <v>1966 q4</v>
      </c>
    </row>
    <row r="1878" spans="1:3">
      <c r="A1878" s="62">
        <v>24450</v>
      </c>
      <c r="B1878">
        <v>0.54449999999999998</v>
      </c>
      <c r="C1878" t="str">
        <f t="shared" si="34"/>
        <v>1966 q4</v>
      </c>
    </row>
    <row r="1879" spans="1:3">
      <c r="A1879" s="62">
        <v>24453</v>
      </c>
      <c r="B1879">
        <v>0.53</v>
      </c>
      <c r="C1879" t="str">
        <f t="shared" si="34"/>
        <v>1966 q4</v>
      </c>
    </row>
    <row r="1880" spans="1:3">
      <c r="A1880" s="62">
        <v>24454</v>
      </c>
      <c r="B1880">
        <v>0.53100000000000003</v>
      </c>
      <c r="C1880" t="str">
        <f t="shared" si="34"/>
        <v>1966 q4</v>
      </c>
    </row>
    <row r="1881" spans="1:3">
      <c r="A1881" s="62">
        <v>24455</v>
      </c>
      <c r="B1881">
        <v>0.52449999999999997</v>
      </c>
      <c r="C1881" t="str">
        <f t="shared" si="34"/>
        <v>1966 q4</v>
      </c>
    </row>
    <row r="1882" spans="1:3">
      <c r="A1882" s="62">
        <v>24456</v>
      </c>
      <c r="B1882">
        <v>0.51449999999999996</v>
      </c>
      <c r="C1882" t="str">
        <f t="shared" si="34"/>
        <v>1966 q4</v>
      </c>
    </row>
    <row r="1883" spans="1:3">
      <c r="A1883" s="62">
        <v>24457</v>
      </c>
      <c r="B1883">
        <v>0.52</v>
      </c>
      <c r="C1883" t="str">
        <f t="shared" si="34"/>
        <v>1966 q4</v>
      </c>
    </row>
    <row r="1884" spans="1:3">
      <c r="A1884" s="62">
        <v>24460</v>
      </c>
      <c r="B1884">
        <v>0.52100000000000002</v>
      </c>
      <c r="C1884" t="str">
        <f t="shared" si="34"/>
        <v>1966 q4</v>
      </c>
    </row>
    <row r="1885" spans="1:3">
      <c r="A1885" s="62">
        <v>24461</v>
      </c>
      <c r="B1885">
        <v>0.52600000000000002</v>
      </c>
      <c r="C1885" t="str">
        <f t="shared" si="34"/>
        <v>1966 q4</v>
      </c>
    </row>
    <row r="1886" spans="1:3">
      <c r="A1886" s="62">
        <v>24462</v>
      </c>
      <c r="B1886">
        <v>0.54400000000000004</v>
      </c>
      <c r="C1886" t="str">
        <f t="shared" si="34"/>
        <v>1966 q4</v>
      </c>
    </row>
    <row r="1887" spans="1:3">
      <c r="A1887" s="62">
        <v>24463</v>
      </c>
      <c r="B1887">
        <v>0.54100000000000004</v>
      </c>
      <c r="C1887" t="str">
        <f t="shared" si="34"/>
        <v>1966 q4</v>
      </c>
    </row>
    <row r="1888" spans="1:3">
      <c r="A1888" s="62">
        <v>24464</v>
      </c>
      <c r="B1888">
        <v>0.55400000000000005</v>
      </c>
      <c r="C1888" t="str">
        <f t="shared" si="34"/>
        <v>1966 q4</v>
      </c>
    </row>
    <row r="1889" spans="1:3">
      <c r="A1889" s="62">
        <v>24468</v>
      </c>
      <c r="B1889">
        <v>0.57050000000000001</v>
      </c>
      <c r="C1889" t="str">
        <f t="shared" si="34"/>
        <v>1966 q4</v>
      </c>
    </row>
    <row r="1890" spans="1:3">
      <c r="A1890" s="62">
        <v>24469</v>
      </c>
      <c r="B1890">
        <v>0.55869999999999997</v>
      </c>
      <c r="C1890" t="str">
        <f t="shared" si="34"/>
        <v>1966 q4</v>
      </c>
    </row>
    <row r="1891" spans="1:3">
      <c r="A1891" s="62">
        <v>24470</v>
      </c>
      <c r="B1891">
        <v>0.55220000000000002</v>
      </c>
      <c r="C1891" t="str">
        <f t="shared" si="34"/>
        <v>1966 q4</v>
      </c>
    </row>
    <row r="1892" spans="1:3">
      <c r="A1892" s="62">
        <v>24471</v>
      </c>
      <c r="B1892">
        <v>0.5403</v>
      </c>
      <c r="C1892" t="str">
        <f t="shared" si="34"/>
        <v>1966 q4</v>
      </c>
    </row>
    <row r="1893" spans="1:3">
      <c r="A1893" s="62">
        <v>24475</v>
      </c>
      <c r="B1893">
        <v>0.55200000000000005</v>
      </c>
      <c r="C1893" t="str">
        <f t="shared" si="34"/>
        <v>1967 q1</v>
      </c>
    </row>
    <row r="1894" spans="1:3">
      <c r="A1894" s="62">
        <v>24476</v>
      </c>
      <c r="B1894">
        <v>0.55549999999999999</v>
      </c>
      <c r="C1894" t="str">
        <f t="shared" si="34"/>
        <v>1967 q1</v>
      </c>
    </row>
    <row r="1895" spans="1:3">
      <c r="A1895" s="62">
        <v>24477</v>
      </c>
      <c r="B1895">
        <v>0.53849999999999998</v>
      </c>
      <c r="C1895" t="str">
        <f t="shared" si="34"/>
        <v>1967 q1</v>
      </c>
    </row>
    <row r="1896" spans="1:3">
      <c r="A1896" s="62">
        <v>24478</v>
      </c>
      <c r="B1896">
        <v>0.51900000000000002</v>
      </c>
      <c r="C1896" t="str">
        <f t="shared" si="34"/>
        <v>1967 q1</v>
      </c>
    </row>
    <row r="1897" spans="1:3">
      <c r="A1897" s="62">
        <v>24481</v>
      </c>
      <c r="B1897">
        <v>0.53049999999999997</v>
      </c>
      <c r="C1897" t="str">
        <f t="shared" si="34"/>
        <v>1967 q1</v>
      </c>
    </row>
    <row r="1898" spans="1:3">
      <c r="A1898" s="62">
        <v>24482</v>
      </c>
      <c r="B1898">
        <v>0.53</v>
      </c>
      <c r="C1898" t="str">
        <f t="shared" si="34"/>
        <v>1967 q1</v>
      </c>
    </row>
    <row r="1899" spans="1:3">
      <c r="A1899" s="62">
        <v>24483</v>
      </c>
      <c r="B1899">
        <v>0.53</v>
      </c>
      <c r="C1899" t="str">
        <f t="shared" si="34"/>
        <v>1967 q1</v>
      </c>
    </row>
    <row r="1900" spans="1:3">
      <c r="A1900" s="62">
        <v>24484</v>
      </c>
      <c r="B1900">
        <v>0.53200000000000003</v>
      </c>
      <c r="C1900" t="str">
        <f t="shared" si="34"/>
        <v>1967 q1</v>
      </c>
    </row>
    <row r="1901" spans="1:3">
      <c r="A1901" s="62">
        <v>24485</v>
      </c>
      <c r="B1901">
        <v>0.52800000000000002</v>
      </c>
      <c r="C1901" t="str">
        <f t="shared" si="34"/>
        <v>1967 q1</v>
      </c>
    </row>
    <row r="1902" spans="1:3">
      <c r="A1902" s="62">
        <v>24488</v>
      </c>
      <c r="B1902">
        <v>0.52700000000000002</v>
      </c>
      <c r="C1902" t="str">
        <f t="shared" si="34"/>
        <v>1967 q1</v>
      </c>
    </row>
    <row r="1903" spans="1:3">
      <c r="A1903" s="62">
        <v>24489</v>
      </c>
      <c r="B1903">
        <v>0.54300000000000004</v>
      </c>
      <c r="C1903" t="str">
        <f t="shared" si="34"/>
        <v>1967 q1</v>
      </c>
    </row>
    <row r="1904" spans="1:3">
      <c r="A1904" s="62">
        <v>24490</v>
      </c>
      <c r="B1904">
        <v>0.53849999999999998</v>
      </c>
      <c r="C1904" t="str">
        <f t="shared" si="34"/>
        <v>1967 q1</v>
      </c>
    </row>
    <row r="1905" spans="1:3">
      <c r="A1905" s="62">
        <v>24491</v>
      </c>
      <c r="B1905">
        <v>0.52700000000000002</v>
      </c>
      <c r="C1905" t="str">
        <f t="shared" si="34"/>
        <v>1967 q1</v>
      </c>
    </row>
    <row r="1906" spans="1:3">
      <c r="A1906" s="62">
        <v>24492</v>
      </c>
      <c r="B1906">
        <v>0.53349999999999997</v>
      </c>
      <c r="C1906" t="str">
        <f t="shared" si="34"/>
        <v>1967 q1</v>
      </c>
    </row>
    <row r="1907" spans="1:3">
      <c r="A1907" s="62">
        <v>24495</v>
      </c>
      <c r="B1907">
        <v>0.52900000000000003</v>
      </c>
      <c r="C1907" t="str">
        <f t="shared" si="34"/>
        <v>1967 q1</v>
      </c>
    </row>
    <row r="1908" spans="1:3">
      <c r="A1908" s="62">
        <v>24496</v>
      </c>
      <c r="B1908">
        <v>0.53300000000000003</v>
      </c>
      <c r="C1908" t="str">
        <f t="shared" si="34"/>
        <v>1967 q1</v>
      </c>
    </row>
    <row r="1909" spans="1:3">
      <c r="A1909" s="62">
        <v>24497</v>
      </c>
      <c r="B1909">
        <v>0.54349999999999998</v>
      </c>
      <c r="C1909" t="str">
        <f t="shared" si="34"/>
        <v>1967 q1</v>
      </c>
    </row>
    <row r="1910" spans="1:3">
      <c r="A1910" s="62">
        <v>24498</v>
      </c>
      <c r="B1910">
        <v>0.53600000000000003</v>
      </c>
      <c r="C1910" t="str">
        <f t="shared" si="34"/>
        <v>1967 q1</v>
      </c>
    </row>
    <row r="1911" spans="1:3">
      <c r="A1911" s="62">
        <v>24499</v>
      </c>
      <c r="B1911">
        <v>0.53849999999999998</v>
      </c>
      <c r="C1911" t="str">
        <f t="shared" si="34"/>
        <v>1967 q1</v>
      </c>
    </row>
    <row r="1912" spans="1:3">
      <c r="A1912" s="62">
        <v>24502</v>
      </c>
      <c r="B1912">
        <v>0.54300000000000004</v>
      </c>
      <c r="C1912" t="str">
        <f t="shared" si="34"/>
        <v>1967 q1</v>
      </c>
    </row>
    <row r="1913" spans="1:3">
      <c r="A1913" s="62">
        <v>24503</v>
      </c>
      <c r="B1913">
        <v>0.54100000000000004</v>
      </c>
      <c r="C1913" t="str">
        <f t="shared" si="34"/>
        <v>1967 q1</v>
      </c>
    </row>
    <row r="1914" spans="1:3">
      <c r="A1914" s="62">
        <v>24504</v>
      </c>
      <c r="B1914">
        <v>0.53900000000000003</v>
      </c>
      <c r="C1914" t="str">
        <f t="shared" si="34"/>
        <v>1967 q1</v>
      </c>
    </row>
    <row r="1915" spans="1:3">
      <c r="A1915" s="62">
        <v>24505</v>
      </c>
      <c r="B1915">
        <v>0.53500000000000003</v>
      </c>
      <c r="C1915" t="str">
        <f t="shared" si="34"/>
        <v>1967 q1</v>
      </c>
    </row>
    <row r="1916" spans="1:3">
      <c r="A1916" s="62">
        <v>24506</v>
      </c>
      <c r="B1916">
        <v>0.53349999999999997</v>
      </c>
      <c r="C1916" t="str">
        <f t="shared" si="34"/>
        <v>1967 q1</v>
      </c>
    </row>
    <row r="1917" spans="1:3">
      <c r="A1917" s="62">
        <v>24509</v>
      </c>
      <c r="B1917">
        <v>0.52849999999999997</v>
      </c>
      <c r="C1917" t="str">
        <f t="shared" si="34"/>
        <v>1967 q1</v>
      </c>
    </row>
    <row r="1918" spans="1:3">
      <c r="A1918" s="62">
        <v>24510</v>
      </c>
      <c r="B1918">
        <v>0.53149999999999997</v>
      </c>
      <c r="C1918" t="str">
        <f t="shared" si="34"/>
        <v>1967 q1</v>
      </c>
    </row>
    <row r="1919" spans="1:3">
      <c r="A1919" s="62">
        <v>24511</v>
      </c>
      <c r="B1919">
        <v>0.5353</v>
      </c>
      <c r="C1919" t="str">
        <f t="shared" si="34"/>
        <v>1967 q1</v>
      </c>
    </row>
    <row r="1920" spans="1:3">
      <c r="A1920" s="62">
        <v>24512</v>
      </c>
      <c r="B1920">
        <v>0.52700000000000002</v>
      </c>
      <c r="C1920" t="str">
        <f t="shared" si="34"/>
        <v>1967 q1</v>
      </c>
    </row>
    <row r="1921" spans="1:3">
      <c r="A1921" s="62">
        <v>24513</v>
      </c>
      <c r="B1921">
        <v>0.53</v>
      </c>
      <c r="C1921" t="str">
        <f t="shared" si="34"/>
        <v>1967 q1</v>
      </c>
    </row>
    <row r="1922" spans="1:3">
      <c r="A1922" s="62">
        <v>24517</v>
      </c>
      <c r="B1922">
        <v>0.52349999999999997</v>
      </c>
      <c r="C1922" t="str">
        <f t="shared" si="34"/>
        <v>1967 q1</v>
      </c>
    </row>
    <row r="1923" spans="1:3">
      <c r="A1923" s="62">
        <v>24518</v>
      </c>
      <c r="B1923">
        <v>0.51149999999999995</v>
      </c>
      <c r="C1923" t="str">
        <f t="shared" si="34"/>
        <v>1967 q1</v>
      </c>
    </row>
    <row r="1924" spans="1:3">
      <c r="A1924" s="62">
        <v>24519</v>
      </c>
      <c r="B1924">
        <v>0.50800000000000001</v>
      </c>
      <c r="C1924" t="str">
        <f t="shared" si="34"/>
        <v>1967 q1</v>
      </c>
    </row>
    <row r="1925" spans="1:3">
      <c r="A1925" s="62">
        <v>24520</v>
      </c>
      <c r="B1925">
        <v>0.50900000000000001</v>
      </c>
      <c r="C1925" t="str">
        <f t="shared" si="34"/>
        <v>1967 q1</v>
      </c>
    </row>
    <row r="1926" spans="1:3">
      <c r="A1926" s="62">
        <v>24523</v>
      </c>
      <c r="B1926">
        <v>0.501</v>
      </c>
      <c r="C1926" t="str">
        <f t="shared" si="34"/>
        <v>1967 q1</v>
      </c>
    </row>
    <row r="1927" spans="1:3">
      <c r="A1927" s="62">
        <v>24524</v>
      </c>
      <c r="B1927">
        <v>0.504</v>
      </c>
      <c r="C1927" t="str">
        <f t="shared" si="34"/>
        <v>1967 q1</v>
      </c>
    </row>
    <row r="1928" spans="1:3">
      <c r="A1928" s="62">
        <v>24526</v>
      </c>
      <c r="B1928">
        <v>0.50819999999999999</v>
      </c>
      <c r="C1928" t="str">
        <f t="shared" si="34"/>
        <v>1967 q1</v>
      </c>
    </row>
    <row r="1929" spans="1:3">
      <c r="A1929" s="62">
        <v>24527</v>
      </c>
      <c r="B1929">
        <v>0.50049999999999994</v>
      </c>
      <c r="C1929" t="str">
        <f t="shared" si="34"/>
        <v>1967 q1</v>
      </c>
    </row>
    <row r="1930" spans="1:3">
      <c r="A1930" s="62">
        <v>24530</v>
      </c>
      <c r="B1930">
        <v>0.49299999999999999</v>
      </c>
      <c r="C1930" t="str">
        <f t="shared" si="34"/>
        <v>1967 q1</v>
      </c>
    </row>
    <row r="1931" spans="1:3">
      <c r="A1931" s="62">
        <v>24531</v>
      </c>
      <c r="B1931">
        <v>0.48759999999999998</v>
      </c>
      <c r="C1931" t="str">
        <f t="shared" si="34"/>
        <v>1967 q1</v>
      </c>
    </row>
    <row r="1932" spans="1:3">
      <c r="A1932" s="62">
        <v>24532</v>
      </c>
      <c r="B1932">
        <v>0.48370000000000002</v>
      </c>
      <c r="C1932" t="str">
        <f t="shared" si="34"/>
        <v>1967 q1</v>
      </c>
    </row>
    <row r="1933" spans="1:3">
      <c r="A1933" s="62">
        <v>24533</v>
      </c>
      <c r="B1933">
        <v>0.47899999999999998</v>
      </c>
      <c r="C1933" t="str">
        <f t="shared" si="34"/>
        <v>1967 q1</v>
      </c>
    </row>
    <row r="1934" spans="1:3">
      <c r="A1934" s="62">
        <v>24534</v>
      </c>
      <c r="B1934">
        <v>0.47599999999999998</v>
      </c>
      <c r="C1934" t="str">
        <f t="shared" si="34"/>
        <v>1967 q1</v>
      </c>
    </row>
    <row r="1935" spans="1:3">
      <c r="A1935" s="62">
        <v>24537</v>
      </c>
      <c r="B1935">
        <v>0.48099999999999998</v>
      </c>
      <c r="C1935" t="str">
        <f t="shared" si="34"/>
        <v>1967 q1</v>
      </c>
    </row>
    <row r="1936" spans="1:3">
      <c r="A1936" s="62">
        <v>24538</v>
      </c>
      <c r="B1936">
        <v>0.48499999999999999</v>
      </c>
      <c r="C1936" t="str">
        <f t="shared" si="34"/>
        <v>1967 q1</v>
      </c>
    </row>
    <row r="1937" spans="1:3">
      <c r="A1937" s="62">
        <v>24539</v>
      </c>
      <c r="B1937">
        <v>0.48349999999999999</v>
      </c>
      <c r="C1937" t="str">
        <f t="shared" si="34"/>
        <v>1967 q1</v>
      </c>
    </row>
    <row r="1938" spans="1:3">
      <c r="A1938" s="62">
        <v>24540</v>
      </c>
      <c r="B1938">
        <v>0.47099999999999997</v>
      </c>
      <c r="C1938" t="str">
        <f t="shared" ref="C1938:C2001" si="35">YEAR(A1938)&amp;" q"&amp;ROUNDUP(MONTH(A1938)/3,0)</f>
        <v>1967 q1</v>
      </c>
    </row>
    <row r="1939" spans="1:3">
      <c r="A1939" s="62">
        <v>24541</v>
      </c>
      <c r="B1939">
        <v>0.47649999999999998</v>
      </c>
      <c r="C1939" t="str">
        <f t="shared" si="35"/>
        <v>1967 q1</v>
      </c>
    </row>
    <row r="1940" spans="1:3">
      <c r="A1940" s="62">
        <v>24544</v>
      </c>
      <c r="B1940">
        <v>0.46650000000000003</v>
      </c>
      <c r="C1940" t="str">
        <f t="shared" si="35"/>
        <v>1967 q1</v>
      </c>
    </row>
    <row r="1941" spans="1:3">
      <c r="A1941" s="62">
        <v>24545</v>
      </c>
      <c r="B1941">
        <v>0.46600000000000003</v>
      </c>
      <c r="C1941" t="str">
        <f t="shared" si="35"/>
        <v>1967 q1</v>
      </c>
    </row>
    <row r="1942" spans="1:3">
      <c r="A1942" s="62">
        <v>24546</v>
      </c>
      <c r="B1942">
        <v>0.46050000000000002</v>
      </c>
      <c r="C1942" t="str">
        <f t="shared" si="35"/>
        <v>1967 q1</v>
      </c>
    </row>
    <row r="1943" spans="1:3">
      <c r="A1943" s="62">
        <v>24547</v>
      </c>
      <c r="B1943">
        <v>0.4718</v>
      </c>
      <c r="C1943" t="str">
        <f t="shared" si="35"/>
        <v>1967 q1</v>
      </c>
    </row>
    <row r="1944" spans="1:3">
      <c r="A1944" s="62">
        <v>24548</v>
      </c>
      <c r="B1944">
        <v>0.46500000000000002</v>
      </c>
      <c r="C1944" t="str">
        <f t="shared" si="35"/>
        <v>1967 q1</v>
      </c>
    </row>
    <row r="1945" spans="1:3">
      <c r="A1945" s="62">
        <v>24551</v>
      </c>
      <c r="B1945">
        <v>0.47399999999999998</v>
      </c>
      <c r="C1945" t="str">
        <f t="shared" si="35"/>
        <v>1967 q1</v>
      </c>
    </row>
    <row r="1946" spans="1:3">
      <c r="A1946" s="62">
        <v>24552</v>
      </c>
      <c r="B1946">
        <v>0.46250000000000002</v>
      </c>
      <c r="C1946" t="str">
        <f t="shared" si="35"/>
        <v>1967 q1</v>
      </c>
    </row>
    <row r="1947" spans="1:3">
      <c r="A1947" s="62">
        <v>24553</v>
      </c>
      <c r="B1947">
        <v>0.46650000000000003</v>
      </c>
      <c r="C1947" t="str">
        <f t="shared" si="35"/>
        <v>1967 q1</v>
      </c>
    </row>
    <row r="1948" spans="1:3">
      <c r="A1948" s="62">
        <v>24554</v>
      </c>
      <c r="B1948">
        <v>0.46300000000000002</v>
      </c>
      <c r="C1948" t="str">
        <f t="shared" si="35"/>
        <v>1967 q1</v>
      </c>
    </row>
    <row r="1949" spans="1:3">
      <c r="A1949" s="62">
        <v>24558</v>
      </c>
      <c r="B1949">
        <v>0.46450000000000002</v>
      </c>
      <c r="C1949" t="str">
        <f t="shared" si="35"/>
        <v>1967 q1</v>
      </c>
    </row>
    <row r="1950" spans="1:3">
      <c r="A1950" s="62">
        <v>24559</v>
      </c>
      <c r="B1950">
        <v>0.45600000000000002</v>
      </c>
      <c r="C1950" t="str">
        <f t="shared" si="35"/>
        <v>1967 q1</v>
      </c>
    </row>
    <row r="1951" spans="1:3">
      <c r="A1951" s="62">
        <v>24560</v>
      </c>
      <c r="B1951">
        <v>0.45650000000000002</v>
      </c>
      <c r="C1951" t="str">
        <f t="shared" si="35"/>
        <v>1967 q1</v>
      </c>
    </row>
    <row r="1952" spans="1:3">
      <c r="A1952" s="62">
        <v>24561</v>
      </c>
      <c r="B1952">
        <v>0.45400000000000001</v>
      </c>
      <c r="C1952" t="str">
        <f t="shared" si="35"/>
        <v>1967 q1</v>
      </c>
    </row>
    <row r="1953" spans="1:3">
      <c r="A1953" s="62">
        <v>24562</v>
      </c>
      <c r="B1953">
        <v>0.45250000000000001</v>
      </c>
      <c r="C1953" t="str">
        <f t="shared" si="35"/>
        <v>1967 q1</v>
      </c>
    </row>
    <row r="1954" spans="1:3">
      <c r="A1954" s="62">
        <v>24565</v>
      </c>
      <c r="B1954">
        <v>0.44850000000000001</v>
      </c>
      <c r="C1954" t="str">
        <f t="shared" si="35"/>
        <v>1967 q2</v>
      </c>
    </row>
    <row r="1955" spans="1:3">
      <c r="A1955" s="62">
        <v>24566</v>
      </c>
      <c r="B1955">
        <v>0.44400000000000001</v>
      </c>
      <c r="C1955" t="str">
        <f t="shared" si="35"/>
        <v>1967 q2</v>
      </c>
    </row>
    <row r="1956" spans="1:3">
      <c r="A1956" s="62">
        <v>24567</v>
      </c>
      <c r="B1956">
        <v>0.4425</v>
      </c>
      <c r="C1956" t="str">
        <f t="shared" si="35"/>
        <v>1967 q2</v>
      </c>
    </row>
    <row r="1957" spans="1:3">
      <c r="A1957" s="62">
        <v>24568</v>
      </c>
      <c r="B1957">
        <v>0.434</v>
      </c>
      <c r="C1957" t="str">
        <f t="shared" si="35"/>
        <v>1967 q2</v>
      </c>
    </row>
    <row r="1958" spans="1:3">
      <c r="A1958" s="62">
        <v>24569</v>
      </c>
      <c r="B1958">
        <v>0.43</v>
      </c>
      <c r="C1958" t="str">
        <f t="shared" si="35"/>
        <v>1967 q2</v>
      </c>
    </row>
    <row r="1959" spans="1:3">
      <c r="A1959" s="62">
        <v>24572</v>
      </c>
      <c r="B1959">
        <v>0.42599999999999999</v>
      </c>
      <c r="C1959" t="str">
        <f t="shared" si="35"/>
        <v>1967 q2</v>
      </c>
    </row>
    <row r="1960" spans="1:3">
      <c r="A1960" s="62">
        <v>24573</v>
      </c>
      <c r="B1960">
        <v>0.42299999999999999</v>
      </c>
      <c r="C1960" t="str">
        <f t="shared" si="35"/>
        <v>1967 q2</v>
      </c>
    </row>
    <row r="1961" spans="1:3">
      <c r="A1961" s="62">
        <v>24574</v>
      </c>
      <c r="B1961">
        <v>0.42899999999999999</v>
      </c>
      <c r="C1961" t="str">
        <f t="shared" si="35"/>
        <v>1967 q2</v>
      </c>
    </row>
    <row r="1962" spans="1:3">
      <c r="A1962" s="62">
        <v>24575</v>
      </c>
      <c r="B1962">
        <v>0.433</v>
      </c>
      <c r="C1962" t="str">
        <f t="shared" si="35"/>
        <v>1967 q2</v>
      </c>
    </row>
    <row r="1963" spans="1:3">
      <c r="A1963" s="62">
        <v>24576</v>
      </c>
      <c r="B1963">
        <v>0.42699999999999999</v>
      </c>
      <c r="C1963" t="str">
        <f t="shared" si="35"/>
        <v>1967 q2</v>
      </c>
    </row>
    <row r="1964" spans="1:3">
      <c r="A1964" s="62">
        <v>24579</v>
      </c>
      <c r="B1964">
        <v>0.4335</v>
      </c>
      <c r="C1964" t="str">
        <f t="shared" si="35"/>
        <v>1967 q2</v>
      </c>
    </row>
    <row r="1965" spans="1:3">
      <c r="A1965" s="62">
        <v>24580</v>
      </c>
      <c r="B1965">
        <v>0.42349999999999999</v>
      </c>
      <c r="C1965" t="str">
        <f t="shared" si="35"/>
        <v>1967 q2</v>
      </c>
    </row>
    <row r="1966" spans="1:3">
      <c r="A1966" s="62">
        <v>24581</v>
      </c>
      <c r="B1966">
        <v>0.42199999999999999</v>
      </c>
      <c r="C1966" t="str">
        <f t="shared" si="35"/>
        <v>1967 q2</v>
      </c>
    </row>
    <row r="1967" spans="1:3">
      <c r="A1967" s="62">
        <v>24582</v>
      </c>
      <c r="B1967">
        <v>0.42199999999999999</v>
      </c>
      <c r="C1967" t="str">
        <f t="shared" si="35"/>
        <v>1967 q2</v>
      </c>
    </row>
    <row r="1968" spans="1:3">
      <c r="A1968" s="62">
        <v>24583</v>
      </c>
      <c r="B1968">
        <v>0.42049999999999998</v>
      </c>
      <c r="C1968" t="str">
        <f t="shared" si="35"/>
        <v>1967 q2</v>
      </c>
    </row>
    <row r="1969" spans="1:3">
      <c r="A1969" s="62">
        <v>24586</v>
      </c>
      <c r="B1969">
        <v>0.41649999999999998</v>
      </c>
      <c r="C1969" t="str">
        <f t="shared" si="35"/>
        <v>1967 q2</v>
      </c>
    </row>
    <row r="1970" spans="1:3">
      <c r="A1970" s="62">
        <v>24587</v>
      </c>
      <c r="B1970">
        <v>0.42070000000000002</v>
      </c>
      <c r="C1970" t="str">
        <f t="shared" si="35"/>
        <v>1967 q2</v>
      </c>
    </row>
    <row r="1971" spans="1:3">
      <c r="A1971" s="62">
        <v>24588</v>
      </c>
      <c r="B1971">
        <v>0.4249</v>
      </c>
      <c r="C1971" t="str">
        <f t="shared" si="35"/>
        <v>1967 q2</v>
      </c>
    </row>
    <row r="1972" spans="1:3">
      <c r="A1972" s="62">
        <v>24589</v>
      </c>
      <c r="B1972">
        <v>0.42930000000000001</v>
      </c>
      <c r="C1972" t="str">
        <f t="shared" si="35"/>
        <v>1967 q2</v>
      </c>
    </row>
    <row r="1973" spans="1:3">
      <c r="A1973" s="62">
        <v>24590</v>
      </c>
      <c r="B1973">
        <v>0.42799999999999999</v>
      </c>
      <c r="C1973" t="str">
        <f t="shared" si="35"/>
        <v>1967 q2</v>
      </c>
    </row>
    <row r="1974" spans="1:3">
      <c r="A1974" s="62">
        <v>24593</v>
      </c>
      <c r="B1974">
        <v>0.42749999999999999</v>
      </c>
      <c r="C1974" t="str">
        <f t="shared" si="35"/>
        <v>1967 q2</v>
      </c>
    </row>
    <row r="1975" spans="1:3">
      <c r="A1975" s="62">
        <v>24594</v>
      </c>
      <c r="B1975">
        <v>0.42399999999999999</v>
      </c>
      <c r="C1975" t="str">
        <f t="shared" si="35"/>
        <v>1967 q2</v>
      </c>
    </row>
    <row r="1976" spans="1:3">
      <c r="A1976" s="62">
        <v>24595</v>
      </c>
      <c r="B1976">
        <v>0.42599999999999999</v>
      </c>
      <c r="C1976" t="str">
        <f t="shared" si="35"/>
        <v>1967 q2</v>
      </c>
    </row>
    <row r="1977" spans="1:3">
      <c r="A1977" s="62">
        <v>24596</v>
      </c>
      <c r="B1977">
        <v>0.42949999999999999</v>
      </c>
      <c r="C1977" t="str">
        <f t="shared" si="35"/>
        <v>1967 q2</v>
      </c>
    </row>
    <row r="1978" spans="1:3">
      <c r="A1978" s="62">
        <v>24597</v>
      </c>
      <c r="B1978">
        <v>0.4365</v>
      </c>
      <c r="C1978" t="str">
        <f t="shared" si="35"/>
        <v>1967 q2</v>
      </c>
    </row>
    <row r="1979" spans="1:3">
      <c r="A1979" s="62">
        <v>24600</v>
      </c>
      <c r="B1979">
        <v>0.432</v>
      </c>
      <c r="C1979" t="str">
        <f t="shared" si="35"/>
        <v>1967 q2</v>
      </c>
    </row>
    <row r="1980" spans="1:3">
      <c r="A1980" s="62">
        <v>24601</v>
      </c>
      <c r="B1980">
        <v>0.42499999999999999</v>
      </c>
      <c r="C1980" t="str">
        <f t="shared" si="35"/>
        <v>1967 q2</v>
      </c>
    </row>
    <row r="1981" spans="1:3">
      <c r="A1981" s="62">
        <v>24602</v>
      </c>
      <c r="B1981">
        <v>0.42749999999999999</v>
      </c>
      <c r="C1981" t="str">
        <f t="shared" si="35"/>
        <v>1967 q2</v>
      </c>
    </row>
    <row r="1982" spans="1:3">
      <c r="A1982" s="62">
        <v>24603</v>
      </c>
      <c r="B1982">
        <v>0.42849999999999999</v>
      </c>
      <c r="C1982" t="str">
        <f t="shared" si="35"/>
        <v>1967 q2</v>
      </c>
    </row>
    <row r="1983" spans="1:3">
      <c r="A1983" s="62">
        <v>24604</v>
      </c>
      <c r="B1983">
        <v>0.43</v>
      </c>
      <c r="C1983" t="str">
        <f t="shared" si="35"/>
        <v>1967 q2</v>
      </c>
    </row>
    <row r="1984" spans="1:3">
      <c r="A1984" s="62">
        <v>24607</v>
      </c>
      <c r="B1984">
        <v>0.42849999999999999</v>
      </c>
      <c r="C1984" t="str">
        <f t="shared" si="35"/>
        <v>1967 q2</v>
      </c>
    </row>
    <row r="1985" spans="1:3">
      <c r="A1985" s="62">
        <v>24608</v>
      </c>
      <c r="B1985">
        <v>0.43</v>
      </c>
      <c r="C1985" t="str">
        <f t="shared" si="35"/>
        <v>1967 q2</v>
      </c>
    </row>
    <row r="1986" spans="1:3">
      <c r="A1986" s="62">
        <v>24609</v>
      </c>
      <c r="B1986">
        <v>0.42249999999999999</v>
      </c>
      <c r="C1986" t="str">
        <f t="shared" si="35"/>
        <v>1967 q2</v>
      </c>
    </row>
    <row r="1987" spans="1:3">
      <c r="A1987" s="62">
        <v>24610</v>
      </c>
      <c r="B1987">
        <v>0.42499999999999999</v>
      </c>
      <c r="C1987" t="str">
        <f t="shared" si="35"/>
        <v>1967 q2</v>
      </c>
    </row>
    <row r="1988" spans="1:3">
      <c r="A1988" s="62">
        <v>24611</v>
      </c>
      <c r="B1988">
        <v>0.439</v>
      </c>
      <c r="C1988" t="str">
        <f t="shared" si="35"/>
        <v>1967 q2</v>
      </c>
    </row>
    <row r="1989" spans="1:3">
      <c r="A1989" s="62">
        <v>24614</v>
      </c>
      <c r="B1989">
        <v>0.441</v>
      </c>
      <c r="C1989" t="str">
        <f t="shared" si="35"/>
        <v>1967 q2</v>
      </c>
    </row>
    <row r="1990" spans="1:3">
      <c r="A1990" s="62">
        <v>24615</v>
      </c>
      <c r="B1990">
        <v>0.44950000000000001</v>
      </c>
      <c r="C1990" t="str">
        <f t="shared" si="35"/>
        <v>1967 q2</v>
      </c>
    </row>
    <row r="1991" spans="1:3">
      <c r="A1991" s="62">
        <v>24616</v>
      </c>
      <c r="B1991">
        <v>0.45250000000000001</v>
      </c>
      <c r="C1991" t="str">
        <f t="shared" si="35"/>
        <v>1967 q2</v>
      </c>
    </row>
    <row r="1992" spans="1:3">
      <c r="A1992" s="62">
        <v>24617</v>
      </c>
      <c r="B1992">
        <v>0.4415</v>
      </c>
      <c r="C1992" t="str">
        <f t="shared" si="35"/>
        <v>1967 q2</v>
      </c>
    </row>
    <row r="1993" spans="1:3">
      <c r="A1993" s="62">
        <v>24618</v>
      </c>
      <c r="B1993">
        <v>0.44350000000000001</v>
      </c>
      <c r="C1993" t="str">
        <f t="shared" si="35"/>
        <v>1967 q2</v>
      </c>
    </row>
    <row r="1994" spans="1:3">
      <c r="A1994" s="62">
        <v>24621</v>
      </c>
      <c r="B1994">
        <v>0.44700000000000001</v>
      </c>
      <c r="C1994" t="str">
        <f t="shared" si="35"/>
        <v>1967 q2</v>
      </c>
    </row>
    <row r="1995" spans="1:3">
      <c r="A1995" s="62">
        <v>24623</v>
      </c>
      <c r="B1995">
        <v>0.45350000000000001</v>
      </c>
      <c r="C1995" t="str">
        <f t="shared" si="35"/>
        <v>1967 q2</v>
      </c>
    </row>
    <row r="1996" spans="1:3">
      <c r="A1996" s="62">
        <v>24624</v>
      </c>
      <c r="B1996">
        <v>0.45100000000000001</v>
      </c>
      <c r="C1996" t="str">
        <f t="shared" si="35"/>
        <v>1967 q2</v>
      </c>
    </row>
    <row r="1997" spans="1:3">
      <c r="A1997" s="62">
        <v>24625</v>
      </c>
      <c r="B1997">
        <v>0.45</v>
      </c>
      <c r="C1997" t="str">
        <f t="shared" si="35"/>
        <v>1967 q2</v>
      </c>
    </row>
    <row r="1998" spans="1:3">
      <c r="A1998" s="62">
        <v>24628</v>
      </c>
      <c r="B1998">
        <v>0.46700000000000003</v>
      </c>
      <c r="C1998" t="str">
        <f t="shared" si="35"/>
        <v>1967 q2</v>
      </c>
    </row>
    <row r="1999" spans="1:3">
      <c r="A1999" s="62">
        <v>24629</v>
      </c>
      <c r="B1999">
        <v>0.44950000000000001</v>
      </c>
      <c r="C1999" t="str">
        <f t="shared" si="35"/>
        <v>1967 q2</v>
      </c>
    </row>
    <row r="2000" spans="1:3">
      <c r="A2000" s="62">
        <v>24630</v>
      </c>
      <c r="B2000">
        <v>0.4405</v>
      </c>
      <c r="C2000" t="str">
        <f t="shared" si="35"/>
        <v>1967 q2</v>
      </c>
    </row>
    <row r="2001" spans="1:3">
      <c r="A2001" s="62">
        <v>24631</v>
      </c>
      <c r="B2001">
        <v>0.4405</v>
      </c>
      <c r="C2001" t="str">
        <f t="shared" si="35"/>
        <v>1967 q2</v>
      </c>
    </row>
    <row r="2002" spans="1:3">
      <c r="A2002" s="62">
        <v>24632</v>
      </c>
      <c r="B2002">
        <v>0.43</v>
      </c>
      <c r="C2002" t="str">
        <f t="shared" ref="C2002:C2065" si="36">YEAR(A2002)&amp;" q"&amp;ROUNDUP(MONTH(A2002)/3,0)</f>
        <v>1967 q2</v>
      </c>
    </row>
    <row r="2003" spans="1:3">
      <c r="A2003" s="62">
        <v>24635</v>
      </c>
      <c r="B2003">
        <v>0.42299999999999999</v>
      </c>
      <c r="C2003" t="str">
        <f t="shared" si="36"/>
        <v>1967 q2</v>
      </c>
    </row>
    <row r="2004" spans="1:3">
      <c r="A2004" s="62">
        <v>24636</v>
      </c>
      <c r="B2004">
        <v>0.42049999999999998</v>
      </c>
      <c r="C2004" t="str">
        <f t="shared" si="36"/>
        <v>1967 q2</v>
      </c>
    </row>
    <row r="2005" spans="1:3">
      <c r="A2005" s="62">
        <v>24637</v>
      </c>
      <c r="B2005">
        <v>0.42399999999999999</v>
      </c>
      <c r="C2005" t="str">
        <f t="shared" si="36"/>
        <v>1967 q2</v>
      </c>
    </row>
    <row r="2006" spans="1:3">
      <c r="A2006" s="62">
        <v>24638</v>
      </c>
      <c r="B2006">
        <v>0.42499999999999999</v>
      </c>
      <c r="C2006" t="str">
        <f t="shared" si="36"/>
        <v>1967 q2</v>
      </c>
    </row>
    <row r="2007" spans="1:3">
      <c r="A2007" s="62">
        <v>24639</v>
      </c>
      <c r="B2007">
        <v>0.42549999999999999</v>
      </c>
      <c r="C2007" t="str">
        <f t="shared" si="36"/>
        <v>1967 q2</v>
      </c>
    </row>
    <row r="2008" spans="1:3">
      <c r="A2008" s="62">
        <v>24642</v>
      </c>
      <c r="B2008">
        <v>0.42</v>
      </c>
      <c r="C2008" t="str">
        <f t="shared" si="36"/>
        <v>1967 q2</v>
      </c>
    </row>
    <row r="2009" spans="1:3">
      <c r="A2009" s="62">
        <v>24643</v>
      </c>
      <c r="B2009">
        <v>0.42</v>
      </c>
      <c r="C2009" t="str">
        <f t="shared" si="36"/>
        <v>1967 q2</v>
      </c>
    </row>
    <row r="2010" spans="1:3">
      <c r="A2010" s="62">
        <v>24644</v>
      </c>
      <c r="B2010">
        <v>0.42499999999999999</v>
      </c>
      <c r="C2010" t="str">
        <f t="shared" si="36"/>
        <v>1967 q2</v>
      </c>
    </row>
    <row r="2011" spans="1:3">
      <c r="A2011" s="62">
        <v>24645</v>
      </c>
      <c r="B2011">
        <v>0.42099999999999999</v>
      </c>
      <c r="C2011" t="str">
        <f t="shared" si="36"/>
        <v>1967 q2</v>
      </c>
    </row>
    <row r="2012" spans="1:3">
      <c r="A2012" s="62">
        <v>24646</v>
      </c>
      <c r="B2012">
        <v>0.41649999999999998</v>
      </c>
      <c r="C2012" t="str">
        <f t="shared" si="36"/>
        <v>1967 q2</v>
      </c>
    </row>
    <row r="2013" spans="1:3">
      <c r="A2013" s="62">
        <v>24649</v>
      </c>
      <c r="B2013">
        <v>0.41499999999999998</v>
      </c>
      <c r="C2013" t="str">
        <f t="shared" si="36"/>
        <v>1967 q2</v>
      </c>
    </row>
    <row r="2014" spans="1:3">
      <c r="A2014" s="62">
        <v>24650</v>
      </c>
      <c r="B2014">
        <v>0.41839999999999999</v>
      </c>
      <c r="C2014" t="str">
        <f t="shared" si="36"/>
        <v>1967 q2</v>
      </c>
    </row>
    <row r="2015" spans="1:3">
      <c r="A2015" s="62">
        <v>24651</v>
      </c>
      <c r="B2015">
        <v>0.42280000000000001</v>
      </c>
      <c r="C2015" t="str">
        <f t="shared" si="36"/>
        <v>1967 q2</v>
      </c>
    </row>
    <row r="2016" spans="1:3">
      <c r="A2016" s="62">
        <v>24652</v>
      </c>
      <c r="B2016">
        <v>0.41839999999999999</v>
      </c>
      <c r="C2016" t="str">
        <f t="shared" si="36"/>
        <v>1967 q2</v>
      </c>
    </row>
    <row r="2017" spans="1:3">
      <c r="A2017" s="62">
        <v>24653</v>
      </c>
      <c r="B2017">
        <v>0.4204</v>
      </c>
      <c r="C2017" t="str">
        <f t="shared" si="36"/>
        <v>1967 q2</v>
      </c>
    </row>
    <row r="2018" spans="1:3">
      <c r="A2018" s="62">
        <v>24658</v>
      </c>
      <c r="B2018">
        <v>0.42349999999999999</v>
      </c>
      <c r="C2018" t="str">
        <f t="shared" si="36"/>
        <v>1967 q3</v>
      </c>
    </row>
    <row r="2019" spans="1:3">
      <c r="A2019" s="62">
        <v>24659</v>
      </c>
      <c r="B2019">
        <v>0.42099999999999999</v>
      </c>
      <c r="C2019" t="str">
        <f t="shared" si="36"/>
        <v>1967 q3</v>
      </c>
    </row>
    <row r="2020" spans="1:3">
      <c r="A2020" s="62">
        <v>24660</v>
      </c>
      <c r="B2020">
        <v>0.41699999999999998</v>
      </c>
      <c r="C2020" t="str">
        <f t="shared" si="36"/>
        <v>1967 q3</v>
      </c>
    </row>
    <row r="2021" spans="1:3">
      <c r="A2021" s="62">
        <v>24663</v>
      </c>
      <c r="B2021">
        <v>0.42</v>
      </c>
      <c r="C2021" t="str">
        <f t="shared" si="36"/>
        <v>1967 q3</v>
      </c>
    </row>
    <row r="2022" spans="1:3">
      <c r="A2022" s="62">
        <v>24664</v>
      </c>
      <c r="B2022">
        <v>0.42199999999999999</v>
      </c>
      <c r="C2022" t="str">
        <f t="shared" si="36"/>
        <v>1967 q3</v>
      </c>
    </row>
    <row r="2023" spans="1:3">
      <c r="A2023" s="62">
        <v>24665</v>
      </c>
      <c r="B2023">
        <v>0.435</v>
      </c>
      <c r="C2023" t="str">
        <f t="shared" si="36"/>
        <v>1967 q3</v>
      </c>
    </row>
    <row r="2024" spans="1:3">
      <c r="A2024" s="62">
        <v>24666</v>
      </c>
      <c r="B2024">
        <v>0.4325</v>
      </c>
      <c r="C2024" t="str">
        <f t="shared" si="36"/>
        <v>1967 q3</v>
      </c>
    </row>
    <row r="2025" spans="1:3">
      <c r="A2025" s="62">
        <v>24667</v>
      </c>
      <c r="B2025">
        <v>0.4335</v>
      </c>
      <c r="C2025" t="str">
        <f t="shared" si="36"/>
        <v>1967 q3</v>
      </c>
    </row>
    <row r="2026" spans="1:3">
      <c r="A2026" s="62">
        <v>24670</v>
      </c>
      <c r="B2026">
        <v>0.439</v>
      </c>
      <c r="C2026" t="str">
        <f t="shared" si="36"/>
        <v>1967 q3</v>
      </c>
    </row>
    <row r="2027" spans="1:3">
      <c r="A2027" s="62">
        <v>24671</v>
      </c>
      <c r="B2027">
        <v>0.44</v>
      </c>
      <c r="C2027" t="str">
        <f t="shared" si="36"/>
        <v>1967 q3</v>
      </c>
    </row>
    <row r="2028" spans="1:3">
      <c r="A2028" s="62">
        <v>24672</v>
      </c>
      <c r="B2028">
        <v>0.44</v>
      </c>
      <c r="C2028" t="str">
        <f t="shared" si="36"/>
        <v>1967 q3</v>
      </c>
    </row>
    <row r="2029" spans="1:3">
      <c r="A2029" s="62">
        <v>24673</v>
      </c>
      <c r="B2029">
        <v>0.44450000000000001</v>
      </c>
      <c r="C2029" t="str">
        <f t="shared" si="36"/>
        <v>1967 q3</v>
      </c>
    </row>
    <row r="2030" spans="1:3">
      <c r="A2030" s="62">
        <v>24674</v>
      </c>
      <c r="B2030">
        <v>0.44750000000000001</v>
      </c>
      <c r="C2030" t="str">
        <f t="shared" si="36"/>
        <v>1967 q3</v>
      </c>
    </row>
    <row r="2031" spans="1:3">
      <c r="A2031" s="62">
        <v>24677</v>
      </c>
      <c r="B2031">
        <v>0.45150000000000001</v>
      </c>
      <c r="C2031" t="str">
        <f t="shared" si="36"/>
        <v>1967 q3</v>
      </c>
    </row>
    <row r="2032" spans="1:3">
      <c r="A2032" s="62">
        <v>24678</v>
      </c>
      <c r="B2032">
        <v>0.44750000000000001</v>
      </c>
      <c r="C2032" t="str">
        <f t="shared" si="36"/>
        <v>1967 q3</v>
      </c>
    </row>
    <row r="2033" spans="1:3">
      <c r="A2033" s="62">
        <v>24679</v>
      </c>
      <c r="B2033">
        <v>0.44600000000000001</v>
      </c>
      <c r="C2033" t="str">
        <f t="shared" si="36"/>
        <v>1967 q3</v>
      </c>
    </row>
    <row r="2034" spans="1:3">
      <c r="A2034" s="62">
        <v>24680</v>
      </c>
      <c r="B2034">
        <v>0.44850000000000001</v>
      </c>
      <c r="C2034" t="str">
        <f t="shared" si="36"/>
        <v>1967 q3</v>
      </c>
    </row>
    <row r="2035" spans="1:3">
      <c r="A2035" s="62">
        <v>24681</v>
      </c>
      <c r="B2035">
        <v>0.45400000000000001</v>
      </c>
      <c r="C2035" t="str">
        <f t="shared" si="36"/>
        <v>1967 q3</v>
      </c>
    </row>
    <row r="2036" spans="1:3">
      <c r="A2036" s="62">
        <v>24684</v>
      </c>
      <c r="B2036">
        <v>0.46250000000000002</v>
      </c>
      <c r="C2036" t="str">
        <f t="shared" si="36"/>
        <v>1967 q3</v>
      </c>
    </row>
    <row r="2037" spans="1:3">
      <c r="A2037" s="62">
        <v>24685</v>
      </c>
      <c r="B2037">
        <v>0.46750000000000003</v>
      </c>
      <c r="C2037" t="str">
        <f t="shared" si="36"/>
        <v>1967 q3</v>
      </c>
    </row>
    <row r="2038" spans="1:3">
      <c r="A2038" s="62">
        <v>24686</v>
      </c>
      <c r="B2038">
        <v>0.47399999999999998</v>
      </c>
      <c r="C2038" t="str">
        <f t="shared" si="36"/>
        <v>1967 q3</v>
      </c>
    </row>
    <row r="2039" spans="1:3">
      <c r="A2039" s="62">
        <v>24687</v>
      </c>
      <c r="B2039">
        <v>0.46400000000000002</v>
      </c>
      <c r="C2039" t="str">
        <f t="shared" si="36"/>
        <v>1967 q3</v>
      </c>
    </row>
    <row r="2040" spans="1:3">
      <c r="A2040" s="62">
        <v>24688</v>
      </c>
      <c r="B2040">
        <v>0.45900000000000002</v>
      </c>
      <c r="C2040" t="str">
        <f t="shared" si="36"/>
        <v>1967 q3</v>
      </c>
    </row>
    <row r="2041" spans="1:3">
      <c r="A2041" s="62">
        <v>24691</v>
      </c>
      <c r="B2041">
        <v>0.46050000000000002</v>
      </c>
      <c r="C2041" t="str">
        <f t="shared" si="36"/>
        <v>1967 q3</v>
      </c>
    </row>
    <row r="2042" spans="1:3">
      <c r="A2042" s="62">
        <v>24692</v>
      </c>
      <c r="B2042">
        <v>0.45700000000000002</v>
      </c>
      <c r="C2042" t="str">
        <f t="shared" si="36"/>
        <v>1967 q3</v>
      </c>
    </row>
    <row r="2043" spans="1:3">
      <c r="A2043" s="62">
        <v>24693</v>
      </c>
      <c r="B2043">
        <v>0.45</v>
      </c>
      <c r="C2043" t="str">
        <f t="shared" si="36"/>
        <v>1967 q3</v>
      </c>
    </row>
    <row r="2044" spans="1:3">
      <c r="A2044" s="62">
        <v>24694</v>
      </c>
      <c r="B2044">
        <v>0.45300000000000001</v>
      </c>
      <c r="C2044" t="str">
        <f t="shared" si="36"/>
        <v>1967 q3</v>
      </c>
    </row>
    <row r="2045" spans="1:3">
      <c r="A2045" s="62">
        <v>24695</v>
      </c>
      <c r="B2045">
        <v>0.45350000000000001</v>
      </c>
      <c r="C2045" t="str">
        <f t="shared" si="36"/>
        <v>1967 q3</v>
      </c>
    </row>
    <row r="2046" spans="1:3">
      <c r="A2046" s="62">
        <v>24698</v>
      </c>
      <c r="B2046">
        <v>0.45950000000000002</v>
      </c>
      <c r="C2046" t="str">
        <f t="shared" si="36"/>
        <v>1967 q3</v>
      </c>
    </row>
    <row r="2047" spans="1:3">
      <c r="A2047" s="62">
        <v>24699</v>
      </c>
      <c r="B2047">
        <v>0.46600000000000003</v>
      </c>
      <c r="C2047" t="str">
        <f t="shared" si="36"/>
        <v>1967 q3</v>
      </c>
    </row>
    <row r="2048" spans="1:3">
      <c r="A2048" s="62">
        <v>24700</v>
      </c>
      <c r="B2048">
        <v>0.47249999999999998</v>
      </c>
      <c r="C2048" t="str">
        <f t="shared" si="36"/>
        <v>1967 q3</v>
      </c>
    </row>
    <row r="2049" spans="1:3">
      <c r="A2049" s="62">
        <v>24701</v>
      </c>
      <c r="B2049">
        <v>0.47949999999999998</v>
      </c>
      <c r="C2049" t="str">
        <f t="shared" si="36"/>
        <v>1967 q3</v>
      </c>
    </row>
    <row r="2050" spans="1:3">
      <c r="A2050" s="62">
        <v>24702</v>
      </c>
      <c r="B2050">
        <v>0.48149999999999998</v>
      </c>
      <c r="C2050" t="str">
        <f t="shared" si="36"/>
        <v>1967 q3</v>
      </c>
    </row>
    <row r="2051" spans="1:3">
      <c r="A2051" s="62">
        <v>24705</v>
      </c>
      <c r="B2051">
        <v>0.48249999999999998</v>
      </c>
      <c r="C2051" t="str">
        <f t="shared" si="36"/>
        <v>1967 q3</v>
      </c>
    </row>
    <row r="2052" spans="1:3">
      <c r="A2052" s="62">
        <v>24706</v>
      </c>
      <c r="B2052">
        <v>0.47899999999999998</v>
      </c>
      <c r="C2052" t="str">
        <f t="shared" si="36"/>
        <v>1967 q3</v>
      </c>
    </row>
    <row r="2053" spans="1:3">
      <c r="A2053" s="62">
        <v>24707</v>
      </c>
      <c r="B2053">
        <v>0.48249999999999998</v>
      </c>
      <c r="C2053" t="str">
        <f t="shared" si="36"/>
        <v>1967 q3</v>
      </c>
    </row>
    <row r="2054" spans="1:3">
      <c r="A2054" s="62">
        <v>24708</v>
      </c>
      <c r="B2054">
        <v>0.48049999999999998</v>
      </c>
      <c r="C2054" t="str">
        <f t="shared" si="36"/>
        <v>1967 q3</v>
      </c>
    </row>
    <row r="2055" spans="1:3">
      <c r="A2055" s="62">
        <v>24709</v>
      </c>
      <c r="B2055">
        <v>0.46500000000000002</v>
      </c>
      <c r="C2055" t="str">
        <f t="shared" si="36"/>
        <v>1967 q3</v>
      </c>
    </row>
    <row r="2056" spans="1:3">
      <c r="A2056" s="62">
        <v>24712</v>
      </c>
      <c r="B2056">
        <v>0.46820000000000001</v>
      </c>
      <c r="C2056" t="str">
        <f t="shared" si="36"/>
        <v>1967 q3</v>
      </c>
    </row>
    <row r="2057" spans="1:3">
      <c r="A2057" s="62">
        <v>24713</v>
      </c>
      <c r="B2057">
        <v>0.46339999999999998</v>
      </c>
      <c r="C2057" t="str">
        <f t="shared" si="36"/>
        <v>1967 q3</v>
      </c>
    </row>
    <row r="2058" spans="1:3">
      <c r="A2058" s="62">
        <v>24714</v>
      </c>
      <c r="B2058">
        <v>0.46379999999999999</v>
      </c>
      <c r="C2058" t="str">
        <f t="shared" si="36"/>
        <v>1967 q3</v>
      </c>
    </row>
    <row r="2059" spans="1:3">
      <c r="A2059" s="62">
        <v>24715</v>
      </c>
      <c r="B2059">
        <v>0.4597</v>
      </c>
      <c r="C2059" t="str">
        <f t="shared" si="36"/>
        <v>1967 q3</v>
      </c>
    </row>
    <row r="2060" spans="1:3">
      <c r="A2060" s="62">
        <v>24716</v>
      </c>
      <c r="B2060">
        <v>0.46200000000000002</v>
      </c>
      <c r="C2060" t="str">
        <f t="shared" si="36"/>
        <v>1967 q3</v>
      </c>
    </row>
    <row r="2061" spans="1:3">
      <c r="A2061" s="62">
        <v>24720</v>
      </c>
      <c r="B2061">
        <v>0.45300000000000001</v>
      </c>
      <c r="C2061" t="str">
        <f t="shared" si="36"/>
        <v>1967 q3</v>
      </c>
    </row>
    <row r="2062" spans="1:3">
      <c r="A2062" s="62">
        <v>24721</v>
      </c>
      <c r="B2062">
        <v>0.45440000000000003</v>
      </c>
      <c r="C2062" t="str">
        <f t="shared" si="36"/>
        <v>1967 q3</v>
      </c>
    </row>
    <row r="2063" spans="1:3">
      <c r="A2063" s="62">
        <v>24722</v>
      </c>
      <c r="B2063">
        <v>0.45450000000000002</v>
      </c>
      <c r="C2063" t="str">
        <f t="shared" si="36"/>
        <v>1967 q3</v>
      </c>
    </row>
    <row r="2064" spans="1:3">
      <c r="A2064" s="62">
        <v>24723</v>
      </c>
      <c r="B2064">
        <v>0.45650000000000002</v>
      </c>
      <c r="C2064" t="str">
        <f t="shared" si="36"/>
        <v>1967 q3</v>
      </c>
    </row>
    <row r="2065" spans="1:3">
      <c r="A2065" s="62">
        <v>24726</v>
      </c>
      <c r="B2065">
        <v>0.45600000000000002</v>
      </c>
      <c r="C2065" t="str">
        <f t="shared" si="36"/>
        <v>1967 q3</v>
      </c>
    </row>
    <row r="2066" spans="1:3">
      <c r="A2066" s="62">
        <v>24727</v>
      </c>
      <c r="B2066">
        <v>0.45650000000000002</v>
      </c>
      <c r="C2066" t="str">
        <f t="shared" ref="C2066:C2129" si="37">YEAR(A2066)&amp;" q"&amp;ROUNDUP(MONTH(A2066)/3,0)</f>
        <v>1967 q3</v>
      </c>
    </row>
    <row r="2067" spans="1:3">
      <c r="A2067" s="62">
        <v>24728</v>
      </c>
      <c r="B2067">
        <v>0.46400000000000002</v>
      </c>
      <c r="C2067" t="str">
        <f t="shared" si="37"/>
        <v>1967 q3</v>
      </c>
    </row>
    <row r="2068" spans="1:3">
      <c r="A2068" s="62">
        <v>24729</v>
      </c>
      <c r="B2068">
        <v>0.46350000000000002</v>
      </c>
      <c r="C2068" t="str">
        <f t="shared" si="37"/>
        <v>1967 q3</v>
      </c>
    </row>
    <row r="2069" spans="1:3">
      <c r="A2069" s="62">
        <v>24730</v>
      </c>
      <c r="B2069">
        <v>0.46700000000000003</v>
      </c>
      <c r="C2069" t="str">
        <f t="shared" si="37"/>
        <v>1967 q3</v>
      </c>
    </row>
    <row r="2070" spans="1:3">
      <c r="A2070" s="62">
        <v>24733</v>
      </c>
      <c r="B2070">
        <v>0.47239999999999999</v>
      </c>
      <c r="C2070" t="str">
        <f t="shared" si="37"/>
        <v>1967 q3</v>
      </c>
    </row>
    <row r="2071" spans="1:3">
      <c r="A2071" s="62">
        <v>24734</v>
      </c>
      <c r="B2071">
        <v>0.48099999999999998</v>
      </c>
      <c r="C2071" t="str">
        <f t="shared" si="37"/>
        <v>1967 q3</v>
      </c>
    </row>
    <row r="2072" spans="1:3">
      <c r="A2072" s="62">
        <v>24735</v>
      </c>
      <c r="B2072">
        <v>0.47949999999999998</v>
      </c>
      <c r="C2072" t="str">
        <f t="shared" si="37"/>
        <v>1967 q3</v>
      </c>
    </row>
    <row r="2073" spans="1:3">
      <c r="A2073" s="62">
        <v>24736</v>
      </c>
      <c r="B2073">
        <v>0.47949999999999998</v>
      </c>
      <c r="C2073" t="str">
        <f t="shared" si="37"/>
        <v>1967 q3</v>
      </c>
    </row>
    <row r="2074" spans="1:3">
      <c r="A2074" s="62">
        <v>24737</v>
      </c>
      <c r="B2074">
        <v>0.48299999999999998</v>
      </c>
      <c r="C2074" t="str">
        <f t="shared" si="37"/>
        <v>1967 q3</v>
      </c>
    </row>
    <row r="2075" spans="1:3">
      <c r="A2075" s="62">
        <v>24740</v>
      </c>
      <c r="B2075">
        <v>0.48949999999999999</v>
      </c>
      <c r="C2075" t="str">
        <f t="shared" si="37"/>
        <v>1967 q3</v>
      </c>
    </row>
    <row r="2076" spans="1:3">
      <c r="A2076" s="62">
        <v>24741</v>
      </c>
      <c r="B2076">
        <v>0.49399999999999999</v>
      </c>
      <c r="C2076" t="str">
        <f t="shared" si="37"/>
        <v>1967 q3</v>
      </c>
    </row>
    <row r="2077" spans="1:3">
      <c r="A2077" s="62">
        <v>24742</v>
      </c>
      <c r="B2077">
        <v>0.49099999999999999</v>
      </c>
      <c r="C2077" t="str">
        <f t="shared" si="37"/>
        <v>1967 q3</v>
      </c>
    </row>
    <row r="2078" spans="1:3">
      <c r="A2078" s="62">
        <v>24743</v>
      </c>
      <c r="B2078">
        <v>0.49349999999999999</v>
      </c>
      <c r="C2078" t="str">
        <f t="shared" si="37"/>
        <v>1967 q3</v>
      </c>
    </row>
    <row r="2079" spans="1:3">
      <c r="A2079" s="62">
        <v>24744</v>
      </c>
      <c r="B2079">
        <v>0.495</v>
      </c>
      <c r="C2079" t="str">
        <f t="shared" si="37"/>
        <v>1967 q3</v>
      </c>
    </row>
    <row r="2080" spans="1:3">
      <c r="A2080" s="62">
        <v>24747</v>
      </c>
      <c r="B2080">
        <v>0.48699999999999999</v>
      </c>
      <c r="C2080" t="str">
        <f t="shared" si="37"/>
        <v>1967 q4</v>
      </c>
    </row>
    <row r="2081" spans="1:3">
      <c r="A2081" s="62">
        <v>24748</v>
      </c>
      <c r="B2081">
        <v>0.48349999999999999</v>
      </c>
      <c r="C2081" t="str">
        <f t="shared" si="37"/>
        <v>1967 q4</v>
      </c>
    </row>
    <row r="2082" spans="1:3">
      <c r="A2082" s="62">
        <v>24749</v>
      </c>
      <c r="B2082">
        <v>0.48049999999999998</v>
      </c>
      <c r="C2082" t="str">
        <f t="shared" si="37"/>
        <v>1967 q4</v>
      </c>
    </row>
    <row r="2083" spans="1:3">
      <c r="A2083" s="62">
        <v>24750</v>
      </c>
      <c r="B2083">
        <v>0.48099999999999998</v>
      </c>
      <c r="C2083" t="str">
        <f t="shared" si="37"/>
        <v>1967 q4</v>
      </c>
    </row>
    <row r="2084" spans="1:3">
      <c r="A2084" s="62">
        <v>24751</v>
      </c>
      <c r="B2084">
        <v>0.48099999999999998</v>
      </c>
      <c r="C2084" t="str">
        <f t="shared" si="37"/>
        <v>1967 q4</v>
      </c>
    </row>
    <row r="2085" spans="1:3">
      <c r="A2085" s="62">
        <v>24754</v>
      </c>
      <c r="B2085">
        <v>0.48399999999999999</v>
      </c>
      <c r="C2085" t="str">
        <f t="shared" si="37"/>
        <v>1967 q4</v>
      </c>
    </row>
    <row r="2086" spans="1:3">
      <c r="A2086" s="62">
        <v>24755</v>
      </c>
      <c r="B2086">
        <v>0.48149999999999998</v>
      </c>
      <c r="C2086" t="str">
        <f t="shared" si="37"/>
        <v>1967 q4</v>
      </c>
    </row>
    <row r="2087" spans="1:3">
      <c r="A2087" s="62">
        <v>24756</v>
      </c>
      <c r="B2087">
        <v>0.48299999999999998</v>
      </c>
      <c r="C2087" t="str">
        <f t="shared" si="37"/>
        <v>1967 q4</v>
      </c>
    </row>
    <row r="2088" spans="1:3">
      <c r="A2088" s="62">
        <v>24758</v>
      </c>
      <c r="B2088">
        <v>0.48399999999999999</v>
      </c>
      <c r="C2088" t="str">
        <f t="shared" si="37"/>
        <v>1967 q4</v>
      </c>
    </row>
    <row r="2089" spans="1:3">
      <c r="A2089" s="62">
        <v>24761</v>
      </c>
      <c r="B2089">
        <v>0.48749999999999999</v>
      </c>
      <c r="C2089" t="str">
        <f t="shared" si="37"/>
        <v>1967 q4</v>
      </c>
    </row>
    <row r="2090" spans="1:3">
      <c r="A2090" s="62">
        <v>24762</v>
      </c>
      <c r="B2090">
        <v>0.48749999999999999</v>
      </c>
      <c r="C2090" t="str">
        <f t="shared" si="37"/>
        <v>1967 q4</v>
      </c>
    </row>
    <row r="2091" spans="1:3">
      <c r="A2091" s="62">
        <v>24763</v>
      </c>
      <c r="B2091">
        <v>0.48899999999999999</v>
      </c>
      <c r="C2091" t="str">
        <f t="shared" si="37"/>
        <v>1967 q4</v>
      </c>
    </row>
    <row r="2092" spans="1:3">
      <c r="A2092" s="62">
        <v>24764</v>
      </c>
      <c r="B2092">
        <v>0.4945</v>
      </c>
      <c r="C2092" t="str">
        <f t="shared" si="37"/>
        <v>1967 q4</v>
      </c>
    </row>
    <row r="2093" spans="1:3">
      <c r="A2093" s="62">
        <v>24765</v>
      </c>
      <c r="B2093">
        <v>0.51049999999999995</v>
      </c>
      <c r="C2093" t="str">
        <f t="shared" si="37"/>
        <v>1967 q4</v>
      </c>
    </row>
    <row r="2094" spans="1:3">
      <c r="A2094" s="62">
        <v>24768</v>
      </c>
      <c r="B2094">
        <v>0.53</v>
      </c>
      <c r="C2094" t="str">
        <f t="shared" si="37"/>
        <v>1967 q4</v>
      </c>
    </row>
    <row r="2095" spans="1:3">
      <c r="A2095" s="62">
        <v>24769</v>
      </c>
      <c r="B2095">
        <v>0.53400000000000003</v>
      </c>
      <c r="C2095" t="str">
        <f t="shared" si="37"/>
        <v>1967 q4</v>
      </c>
    </row>
    <row r="2096" spans="1:3">
      <c r="A2096" s="62">
        <v>24770</v>
      </c>
      <c r="B2096">
        <v>0.55000000000000004</v>
      </c>
      <c r="C2096" t="str">
        <f t="shared" si="37"/>
        <v>1967 q4</v>
      </c>
    </row>
    <row r="2097" spans="1:3">
      <c r="A2097" s="62">
        <v>24771</v>
      </c>
      <c r="B2097">
        <v>0.56950000000000001</v>
      </c>
      <c r="C2097" t="str">
        <f t="shared" si="37"/>
        <v>1967 q4</v>
      </c>
    </row>
    <row r="2098" spans="1:3">
      <c r="A2098" s="62">
        <v>24772</v>
      </c>
      <c r="B2098">
        <v>0.57899999999999996</v>
      </c>
      <c r="C2098" t="str">
        <f t="shared" si="37"/>
        <v>1967 q4</v>
      </c>
    </row>
    <row r="2099" spans="1:3">
      <c r="A2099" s="62">
        <v>24775</v>
      </c>
      <c r="B2099">
        <v>0.59850000000000003</v>
      </c>
      <c r="C2099" t="str">
        <f t="shared" si="37"/>
        <v>1967 q4</v>
      </c>
    </row>
    <row r="2100" spans="1:3">
      <c r="A2100" s="62">
        <v>24776</v>
      </c>
      <c r="B2100">
        <v>0.61650000000000005</v>
      </c>
      <c r="C2100" t="str">
        <f t="shared" si="37"/>
        <v>1967 q4</v>
      </c>
    </row>
    <row r="2101" spans="1:3">
      <c r="A2101" s="62">
        <v>24777</v>
      </c>
      <c r="B2101">
        <v>0.61499999999999999</v>
      </c>
      <c r="C2101" t="str">
        <f t="shared" si="37"/>
        <v>1967 q4</v>
      </c>
    </row>
    <row r="2102" spans="1:3">
      <c r="A2102" s="62">
        <v>24778</v>
      </c>
      <c r="B2102">
        <v>0.60550000000000004</v>
      </c>
      <c r="C2102" t="str">
        <f t="shared" si="37"/>
        <v>1967 q4</v>
      </c>
    </row>
    <row r="2103" spans="1:3">
      <c r="A2103" s="62">
        <v>24779</v>
      </c>
      <c r="B2103">
        <v>0.59650000000000003</v>
      </c>
      <c r="C2103" t="str">
        <f t="shared" si="37"/>
        <v>1967 q4</v>
      </c>
    </row>
    <row r="2104" spans="1:3">
      <c r="A2104" s="62">
        <v>24782</v>
      </c>
      <c r="B2104">
        <v>0.61550000000000005</v>
      </c>
      <c r="C2104" t="str">
        <f t="shared" si="37"/>
        <v>1967 q4</v>
      </c>
    </row>
    <row r="2105" spans="1:3">
      <c r="A2105" s="62">
        <v>24784</v>
      </c>
      <c r="B2105">
        <v>0.61499999999999999</v>
      </c>
      <c r="C2105" t="str">
        <f t="shared" si="37"/>
        <v>1967 q4</v>
      </c>
    </row>
    <row r="2106" spans="1:3">
      <c r="A2106" s="62">
        <v>24785</v>
      </c>
      <c r="B2106">
        <v>0.624</v>
      </c>
      <c r="C2106" t="str">
        <f t="shared" si="37"/>
        <v>1967 q4</v>
      </c>
    </row>
    <row r="2107" spans="1:3">
      <c r="A2107" s="62">
        <v>24786</v>
      </c>
      <c r="B2107">
        <v>0.623</v>
      </c>
      <c r="C2107" t="str">
        <f t="shared" si="37"/>
        <v>1967 q4</v>
      </c>
    </row>
    <row r="2108" spans="1:3">
      <c r="A2108" s="62">
        <v>24789</v>
      </c>
      <c r="B2108">
        <v>0.61899999999999999</v>
      </c>
      <c r="C2108" t="str">
        <f t="shared" si="37"/>
        <v>1967 q4</v>
      </c>
    </row>
    <row r="2109" spans="1:3">
      <c r="A2109" s="62">
        <v>24790</v>
      </c>
      <c r="B2109">
        <v>0.60250000000000004</v>
      </c>
      <c r="C2109" t="str">
        <f t="shared" si="37"/>
        <v>1967 q4</v>
      </c>
    </row>
    <row r="2110" spans="1:3">
      <c r="A2110" s="62">
        <v>24791</v>
      </c>
      <c r="B2110">
        <v>0.61</v>
      </c>
      <c r="C2110" t="str">
        <f t="shared" si="37"/>
        <v>1967 q4</v>
      </c>
    </row>
    <row r="2111" spans="1:3">
      <c r="A2111" s="62">
        <v>24792</v>
      </c>
      <c r="B2111">
        <v>0.62</v>
      </c>
      <c r="C2111" t="str">
        <f t="shared" si="37"/>
        <v>1967 q4</v>
      </c>
    </row>
    <row r="2112" spans="1:3">
      <c r="A2112" s="62">
        <v>24793</v>
      </c>
      <c r="B2112">
        <v>0.62</v>
      </c>
      <c r="C2112" t="str">
        <f t="shared" si="37"/>
        <v>1967 q4</v>
      </c>
    </row>
    <row r="2113" spans="1:3">
      <c r="A2113" s="62">
        <v>24796</v>
      </c>
      <c r="B2113">
        <v>0.62</v>
      </c>
      <c r="C2113" t="str">
        <f t="shared" si="37"/>
        <v>1967 q4</v>
      </c>
    </row>
    <row r="2114" spans="1:3">
      <c r="A2114" s="62">
        <v>24797</v>
      </c>
      <c r="B2114">
        <v>0.61599999999999999</v>
      </c>
      <c r="C2114" t="str">
        <f t="shared" si="37"/>
        <v>1967 q4</v>
      </c>
    </row>
    <row r="2115" spans="1:3">
      <c r="A2115" s="62">
        <v>24798</v>
      </c>
      <c r="B2115">
        <v>0.61750000000000005</v>
      </c>
      <c r="C2115" t="str">
        <f t="shared" si="37"/>
        <v>1967 q4</v>
      </c>
    </row>
    <row r="2116" spans="1:3">
      <c r="A2116" s="62">
        <v>24800</v>
      </c>
      <c r="B2116">
        <v>0.63449999999999995</v>
      </c>
      <c r="C2116" t="str">
        <f t="shared" si="37"/>
        <v>1967 q4</v>
      </c>
    </row>
    <row r="2117" spans="1:3">
      <c r="A2117" s="62">
        <v>24803</v>
      </c>
      <c r="B2117">
        <v>0.64529999999999998</v>
      </c>
      <c r="C2117" t="str">
        <f t="shared" si="37"/>
        <v>1967 q4</v>
      </c>
    </row>
    <row r="2118" spans="1:3">
      <c r="A2118" s="62">
        <v>24804</v>
      </c>
      <c r="B2118">
        <v>0.63019999999999998</v>
      </c>
      <c r="C2118" t="str">
        <f t="shared" si="37"/>
        <v>1967 q4</v>
      </c>
    </row>
    <row r="2119" spans="1:3">
      <c r="A2119" s="62">
        <v>24805</v>
      </c>
      <c r="B2119">
        <v>0.61399999999999999</v>
      </c>
      <c r="C2119" t="str">
        <f t="shared" si="37"/>
        <v>1967 q4</v>
      </c>
    </row>
    <row r="2120" spans="1:3">
      <c r="A2120" s="62">
        <v>24806</v>
      </c>
      <c r="B2120">
        <v>0.59250000000000003</v>
      </c>
      <c r="C2120" t="str">
        <f t="shared" si="37"/>
        <v>1967 q4</v>
      </c>
    </row>
    <row r="2121" spans="1:3">
      <c r="A2121" s="62">
        <v>24807</v>
      </c>
      <c r="B2121">
        <v>0.6</v>
      </c>
      <c r="C2121" t="str">
        <f t="shared" si="37"/>
        <v>1967 q4</v>
      </c>
    </row>
    <row r="2122" spans="1:3">
      <c r="A2122" s="62">
        <v>24810</v>
      </c>
      <c r="B2122">
        <v>0.57999999999999996</v>
      </c>
      <c r="C2122" t="str">
        <f t="shared" si="37"/>
        <v>1967 q4</v>
      </c>
    </row>
    <row r="2123" spans="1:3">
      <c r="A2123" s="62">
        <v>24811</v>
      </c>
      <c r="B2123">
        <v>0.58599999999999997</v>
      </c>
      <c r="C2123" t="str">
        <f t="shared" si="37"/>
        <v>1967 q4</v>
      </c>
    </row>
    <row r="2124" spans="1:3">
      <c r="A2124" s="62">
        <v>24812</v>
      </c>
      <c r="B2124">
        <v>0.5665</v>
      </c>
      <c r="C2124" t="str">
        <f t="shared" si="37"/>
        <v>1967 q4</v>
      </c>
    </row>
    <row r="2125" spans="1:3">
      <c r="A2125" s="62">
        <v>24813</v>
      </c>
      <c r="B2125">
        <v>0.57450000000000001</v>
      </c>
      <c r="C2125" t="str">
        <f t="shared" si="37"/>
        <v>1967 q4</v>
      </c>
    </row>
    <row r="2126" spans="1:3">
      <c r="A2126" s="62">
        <v>24814</v>
      </c>
      <c r="B2126">
        <v>0.58650000000000002</v>
      </c>
      <c r="C2126" t="str">
        <f t="shared" si="37"/>
        <v>1967 q4</v>
      </c>
    </row>
    <row r="2127" spans="1:3">
      <c r="A2127" s="62">
        <v>24817</v>
      </c>
      <c r="B2127">
        <v>0.60399999999999998</v>
      </c>
      <c r="C2127" t="str">
        <f t="shared" si="37"/>
        <v>1967 q4</v>
      </c>
    </row>
    <row r="2128" spans="1:3">
      <c r="A2128" s="62">
        <v>24818</v>
      </c>
      <c r="B2128">
        <v>0.60899999999999999</v>
      </c>
      <c r="C2128" t="str">
        <f t="shared" si="37"/>
        <v>1967 q4</v>
      </c>
    </row>
    <row r="2129" spans="1:3">
      <c r="A2129" s="62">
        <v>24819</v>
      </c>
      <c r="B2129">
        <v>0.59599999999999997</v>
      </c>
      <c r="C2129" t="str">
        <f t="shared" si="37"/>
        <v>1967 q4</v>
      </c>
    </row>
    <row r="2130" spans="1:3">
      <c r="A2130" s="62">
        <v>24820</v>
      </c>
      <c r="B2130">
        <v>0.58850000000000002</v>
      </c>
      <c r="C2130" t="str">
        <f t="shared" ref="C2130:C2193" si="38">YEAR(A2130)&amp;" q"&amp;ROUNDUP(MONTH(A2130)/3,0)</f>
        <v>1967 q4</v>
      </c>
    </row>
    <row r="2131" spans="1:3">
      <c r="A2131" s="62">
        <v>24821</v>
      </c>
      <c r="B2131">
        <v>0.60350000000000004</v>
      </c>
      <c r="C2131" t="str">
        <f t="shared" si="38"/>
        <v>1967 q4</v>
      </c>
    </row>
    <row r="2132" spans="1:3">
      <c r="A2132" s="62">
        <v>24824</v>
      </c>
      <c r="B2132">
        <v>0.61699999999999999</v>
      </c>
      <c r="C2132" t="str">
        <f t="shared" si="38"/>
        <v>1967 q4</v>
      </c>
    </row>
    <row r="2133" spans="1:3">
      <c r="A2133" s="62">
        <v>24825</v>
      </c>
      <c r="B2133">
        <v>0.60650000000000004</v>
      </c>
      <c r="C2133" t="str">
        <f t="shared" si="38"/>
        <v>1967 q4</v>
      </c>
    </row>
    <row r="2134" spans="1:3">
      <c r="A2134" s="62">
        <v>24826</v>
      </c>
      <c r="B2134">
        <v>0.61350000000000005</v>
      </c>
      <c r="C2134" t="str">
        <f t="shared" si="38"/>
        <v>1967 q4</v>
      </c>
    </row>
    <row r="2135" spans="1:3">
      <c r="A2135" s="62">
        <v>24827</v>
      </c>
      <c r="B2135">
        <v>0.60750000000000004</v>
      </c>
      <c r="C2135" t="str">
        <f t="shared" si="38"/>
        <v>1967 q4</v>
      </c>
    </row>
    <row r="2136" spans="1:3">
      <c r="A2136" s="62">
        <v>24828</v>
      </c>
      <c r="B2136">
        <v>0.60499999999999998</v>
      </c>
      <c r="C2136" t="str">
        <f t="shared" si="38"/>
        <v>1967 q4</v>
      </c>
    </row>
    <row r="2137" spans="1:3">
      <c r="A2137" s="62">
        <v>24832</v>
      </c>
      <c r="B2137">
        <v>0.59709999999999996</v>
      </c>
      <c r="C2137" t="str">
        <f t="shared" si="38"/>
        <v>1967 q4</v>
      </c>
    </row>
    <row r="2138" spans="1:3">
      <c r="A2138" s="62">
        <v>24833</v>
      </c>
      <c r="B2138">
        <v>0.58579999999999999</v>
      </c>
      <c r="C2138" t="str">
        <f t="shared" si="38"/>
        <v>1967 q4</v>
      </c>
    </row>
    <row r="2139" spans="1:3">
      <c r="A2139" s="62">
        <v>24834</v>
      </c>
      <c r="B2139">
        <v>0.5806</v>
      </c>
      <c r="C2139" t="str">
        <f t="shared" si="38"/>
        <v>1967 q4</v>
      </c>
    </row>
    <row r="2140" spans="1:3">
      <c r="A2140" s="62">
        <v>24835</v>
      </c>
      <c r="B2140">
        <v>0.57579999999999998</v>
      </c>
      <c r="C2140" t="str">
        <f t="shared" si="38"/>
        <v>1967 q4</v>
      </c>
    </row>
    <row r="2141" spans="1:3">
      <c r="A2141" s="62">
        <v>24839</v>
      </c>
      <c r="B2141">
        <v>0.57999999999999996</v>
      </c>
      <c r="C2141" t="str">
        <f t="shared" si="38"/>
        <v>1968 q1</v>
      </c>
    </row>
    <row r="2142" spans="1:3">
      <c r="A2142" s="62">
        <v>24840</v>
      </c>
      <c r="B2142">
        <v>0.57050000000000001</v>
      </c>
      <c r="C2142" t="str">
        <f t="shared" si="38"/>
        <v>1968 q1</v>
      </c>
    </row>
    <row r="2143" spans="1:3">
      <c r="A2143" s="62">
        <v>24841</v>
      </c>
      <c r="B2143">
        <v>0.57250000000000001</v>
      </c>
      <c r="C2143" t="str">
        <f t="shared" si="38"/>
        <v>1968 q1</v>
      </c>
    </row>
    <row r="2144" spans="1:3">
      <c r="A2144" s="62">
        <v>24842</v>
      </c>
      <c r="B2144">
        <v>0.56950000000000001</v>
      </c>
      <c r="C2144" t="str">
        <f t="shared" si="38"/>
        <v>1968 q1</v>
      </c>
    </row>
    <row r="2145" spans="1:3">
      <c r="A2145" s="62">
        <v>24845</v>
      </c>
      <c r="B2145">
        <v>0.56799999999999995</v>
      </c>
      <c r="C2145" t="str">
        <f t="shared" si="38"/>
        <v>1968 q1</v>
      </c>
    </row>
    <row r="2146" spans="1:3">
      <c r="A2146" s="62">
        <v>24846</v>
      </c>
      <c r="B2146">
        <v>0.5595</v>
      </c>
      <c r="C2146" t="str">
        <f t="shared" si="38"/>
        <v>1968 q1</v>
      </c>
    </row>
    <row r="2147" spans="1:3">
      <c r="A2147" s="62">
        <v>24847</v>
      </c>
      <c r="B2147">
        <v>0.5675</v>
      </c>
      <c r="C2147" t="str">
        <f t="shared" si="38"/>
        <v>1968 q1</v>
      </c>
    </row>
    <row r="2148" spans="1:3">
      <c r="A2148" s="62">
        <v>24848</v>
      </c>
      <c r="B2148">
        <v>0.58299999999999996</v>
      </c>
      <c r="C2148" t="str">
        <f t="shared" si="38"/>
        <v>1968 q1</v>
      </c>
    </row>
    <row r="2149" spans="1:3">
      <c r="A2149" s="62">
        <v>24849</v>
      </c>
      <c r="B2149">
        <v>0.57499999999999996</v>
      </c>
      <c r="C2149" t="str">
        <f t="shared" si="38"/>
        <v>1968 q1</v>
      </c>
    </row>
    <row r="2150" spans="1:3">
      <c r="A2150" s="62">
        <v>24852</v>
      </c>
      <c r="B2150">
        <v>0.58799999999999997</v>
      </c>
      <c r="C2150" t="str">
        <f t="shared" si="38"/>
        <v>1968 q1</v>
      </c>
    </row>
    <row r="2151" spans="1:3">
      <c r="A2151" s="62">
        <v>24853</v>
      </c>
      <c r="B2151">
        <v>0.6</v>
      </c>
      <c r="C2151" t="str">
        <f t="shared" si="38"/>
        <v>1968 q1</v>
      </c>
    </row>
    <row r="2152" spans="1:3">
      <c r="A2152" s="62">
        <v>24854</v>
      </c>
      <c r="B2152">
        <v>0.60499999999999998</v>
      </c>
      <c r="C2152" t="str">
        <f t="shared" si="38"/>
        <v>1968 q1</v>
      </c>
    </row>
    <row r="2153" spans="1:3">
      <c r="A2153" s="62">
        <v>24855</v>
      </c>
      <c r="B2153">
        <v>0.61350000000000005</v>
      </c>
      <c r="C2153" t="str">
        <f t="shared" si="38"/>
        <v>1968 q1</v>
      </c>
    </row>
    <row r="2154" spans="1:3">
      <c r="A2154" s="62">
        <v>24856</v>
      </c>
      <c r="B2154">
        <v>0.62050000000000005</v>
      </c>
      <c r="C2154" t="str">
        <f t="shared" si="38"/>
        <v>1968 q1</v>
      </c>
    </row>
    <row r="2155" spans="1:3">
      <c r="A2155" s="62">
        <v>24859</v>
      </c>
      <c r="B2155">
        <v>0.62</v>
      </c>
      <c r="C2155" t="str">
        <f t="shared" si="38"/>
        <v>1968 q1</v>
      </c>
    </row>
    <row r="2156" spans="1:3">
      <c r="A2156" s="62">
        <v>24860</v>
      </c>
      <c r="B2156">
        <v>0.60499999999999998</v>
      </c>
      <c r="C2156" t="str">
        <f t="shared" si="38"/>
        <v>1968 q1</v>
      </c>
    </row>
    <row r="2157" spans="1:3">
      <c r="A2157" s="62">
        <v>24861</v>
      </c>
      <c r="B2157">
        <v>0.58499999999999996</v>
      </c>
      <c r="C2157" t="str">
        <f t="shared" si="38"/>
        <v>1968 q1</v>
      </c>
    </row>
    <row r="2158" spans="1:3">
      <c r="A2158" s="62">
        <v>24862</v>
      </c>
      <c r="B2158">
        <v>0.59299999999999997</v>
      </c>
      <c r="C2158" t="str">
        <f t="shared" si="38"/>
        <v>1968 q1</v>
      </c>
    </row>
    <row r="2159" spans="1:3">
      <c r="A2159" s="62">
        <v>24863</v>
      </c>
      <c r="B2159">
        <v>0.60250000000000004</v>
      </c>
      <c r="C2159" t="str">
        <f t="shared" si="38"/>
        <v>1968 q1</v>
      </c>
    </row>
    <row r="2160" spans="1:3">
      <c r="A2160" s="62">
        <v>24866</v>
      </c>
      <c r="B2160">
        <v>0.622</v>
      </c>
      <c r="C2160" t="str">
        <f t="shared" si="38"/>
        <v>1968 q1</v>
      </c>
    </row>
    <row r="2161" spans="1:3">
      <c r="A2161" s="62">
        <v>24867</v>
      </c>
      <c r="B2161">
        <v>0.62250000000000005</v>
      </c>
      <c r="C2161" t="str">
        <f t="shared" si="38"/>
        <v>1968 q1</v>
      </c>
    </row>
    <row r="2162" spans="1:3">
      <c r="A2162" s="62">
        <v>24868</v>
      </c>
      <c r="B2162">
        <v>0.64249999999999996</v>
      </c>
      <c r="C2162" t="str">
        <f t="shared" si="38"/>
        <v>1968 q1</v>
      </c>
    </row>
    <row r="2163" spans="1:3">
      <c r="A2163" s="62">
        <v>24869</v>
      </c>
      <c r="B2163">
        <v>0.66</v>
      </c>
      <c r="C2163" t="str">
        <f t="shared" si="38"/>
        <v>1968 q1</v>
      </c>
    </row>
    <row r="2164" spans="1:3">
      <c r="A2164" s="62">
        <v>24870</v>
      </c>
      <c r="B2164">
        <v>0.66100000000000003</v>
      </c>
      <c r="C2164" t="str">
        <f t="shared" si="38"/>
        <v>1968 q1</v>
      </c>
    </row>
    <row r="2165" spans="1:3">
      <c r="A2165" s="62">
        <v>24873</v>
      </c>
      <c r="B2165">
        <v>0.66500000000000004</v>
      </c>
      <c r="C2165" t="str">
        <f t="shared" si="38"/>
        <v>1968 q1</v>
      </c>
    </row>
    <row r="2166" spans="1:3">
      <c r="A2166" s="62">
        <v>24874</v>
      </c>
      <c r="B2166">
        <v>0.65400000000000003</v>
      </c>
      <c r="C2166" t="str">
        <f t="shared" si="38"/>
        <v>1968 q1</v>
      </c>
    </row>
    <row r="2167" spans="1:3">
      <c r="A2167" s="62">
        <v>24875</v>
      </c>
      <c r="B2167">
        <v>0.66249999999999998</v>
      </c>
      <c r="C2167" t="str">
        <f t="shared" si="38"/>
        <v>1968 q1</v>
      </c>
    </row>
    <row r="2168" spans="1:3">
      <c r="A2168" s="62">
        <v>24876</v>
      </c>
      <c r="B2168">
        <v>0.66</v>
      </c>
      <c r="C2168" t="str">
        <f t="shared" si="38"/>
        <v>1968 q1</v>
      </c>
    </row>
    <row r="2169" spans="1:3">
      <c r="A2169" s="62">
        <v>24877</v>
      </c>
      <c r="B2169">
        <v>0.65749999999999997</v>
      </c>
      <c r="C2169" t="str">
        <f t="shared" si="38"/>
        <v>1968 q1</v>
      </c>
    </row>
    <row r="2170" spans="1:3">
      <c r="A2170" s="62">
        <v>24881</v>
      </c>
      <c r="B2170">
        <v>0.67700000000000005</v>
      </c>
      <c r="C2170" t="str">
        <f t="shared" si="38"/>
        <v>1968 q1</v>
      </c>
    </row>
    <row r="2171" spans="1:3">
      <c r="A2171" s="62">
        <v>24882</v>
      </c>
      <c r="B2171">
        <v>0.68100000000000005</v>
      </c>
      <c r="C2171" t="str">
        <f t="shared" si="38"/>
        <v>1968 q1</v>
      </c>
    </row>
    <row r="2172" spans="1:3">
      <c r="A2172" s="62">
        <v>24883</v>
      </c>
      <c r="B2172">
        <v>0.68600000000000005</v>
      </c>
      <c r="C2172" t="str">
        <f t="shared" si="38"/>
        <v>1968 q1</v>
      </c>
    </row>
    <row r="2173" spans="1:3">
      <c r="A2173" s="62">
        <v>24884</v>
      </c>
      <c r="B2173">
        <v>0.69699999999999995</v>
      </c>
      <c r="C2173" t="str">
        <f t="shared" si="38"/>
        <v>1968 q1</v>
      </c>
    </row>
    <row r="2174" spans="1:3">
      <c r="A2174" s="62">
        <v>24887</v>
      </c>
      <c r="B2174">
        <v>0.70850000000000002</v>
      </c>
      <c r="C2174" t="str">
        <f t="shared" si="38"/>
        <v>1968 q1</v>
      </c>
    </row>
    <row r="2175" spans="1:3">
      <c r="A2175" s="62">
        <v>24888</v>
      </c>
      <c r="B2175">
        <v>0.72</v>
      </c>
      <c r="C2175" t="str">
        <f t="shared" si="38"/>
        <v>1968 q1</v>
      </c>
    </row>
    <row r="2176" spans="1:3">
      <c r="A2176" s="62">
        <v>24889</v>
      </c>
      <c r="B2176">
        <v>0.74</v>
      </c>
      <c r="C2176" t="str">
        <f t="shared" si="38"/>
        <v>1968 q1</v>
      </c>
    </row>
    <row r="2177" spans="1:3">
      <c r="A2177" s="62">
        <v>24891</v>
      </c>
      <c r="B2177">
        <v>0.72</v>
      </c>
      <c r="C2177" t="str">
        <f t="shared" si="38"/>
        <v>1968 q1</v>
      </c>
    </row>
    <row r="2178" spans="1:3">
      <c r="A2178" s="62">
        <v>24894</v>
      </c>
      <c r="B2178">
        <v>0.72119999999999995</v>
      </c>
      <c r="C2178" t="str">
        <f t="shared" si="38"/>
        <v>1968 q1</v>
      </c>
    </row>
    <row r="2179" spans="1:3">
      <c r="A2179" s="62">
        <v>24895</v>
      </c>
      <c r="B2179">
        <v>0.69550000000000001</v>
      </c>
      <c r="C2179" t="str">
        <f t="shared" si="38"/>
        <v>1968 q1</v>
      </c>
    </row>
    <row r="2180" spans="1:3">
      <c r="A2180" s="62">
        <v>24896</v>
      </c>
      <c r="B2180">
        <v>0.67849999999999999</v>
      </c>
      <c r="C2180" t="str">
        <f t="shared" si="38"/>
        <v>1968 q1</v>
      </c>
    </row>
    <row r="2181" spans="1:3">
      <c r="A2181" s="62">
        <v>24897</v>
      </c>
      <c r="B2181">
        <v>0.64949999999999997</v>
      </c>
      <c r="C2181" t="str">
        <f t="shared" si="38"/>
        <v>1968 q1</v>
      </c>
    </row>
    <row r="2182" spans="1:3">
      <c r="A2182" s="62">
        <v>24898</v>
      </c>
      <c r="B2182">
        <v>0.61350000000000005</v>
      </c>
      <c r="C2182" t="str">
        <f t="shared" si="38"/>
        <v>1968 q1</v>
      </c>
    </row>
    <row r="2183" spans="1:3">
      <c r="A2183" s="62">
        <v>24901</v>
      </c>
      <c r="B2183">
        <v>0.63349999999999995</v>
      </c>
      <c r="C2183" t="str">
        <f t="shared" si="38"/>
        <v>1968 q1</v>
      </c>
    </row>
    <row r="2184" spans="1:3">
      <c r="A2184" s="62">
        <v>24902</v>
      </c>
      <c r="B2184">
        <v>0.64349999999999996</v>
      </c>
      <c r="C2184" t="str">
        <f t="shared" si="38"/>
        <v>1968 q1</v>
      </c>
    </row>
    <row r="2185" spans="1:3">
      <c r="A2185" s="62">
        <v>24903</v>
      </c>
      <c r="B2185">
        <v>0.63349999999999995</v>
      </c>
      <c r="C2185" t="str">
        <f t="shared" si="38"/>
        <v>1968 q1</v>
      </c>
    </row>
    <row r="2186" spans="1:3">
      <c r="A2186" s="62">
        <v>24904</v>
      </c>
      <c r="B2186">
        <v>0.62849999999999995</v>
      </c>
      <c r="C2186" t="str">
        <f t="shared" si="38"/>
        <v>1968 q1</v>
      </c>
    </row>
    <row r="2187" spans="1:3">
      <c r="A2187" s="62">
        <v>24905</v>
      </c>
      <c r="B2187">
        <v>0.63249999999999995</v>
      </c>
      <c r="C2187" t="str">
        <f t="shared" si="38"/>
        <v>1968 q1</v>
      </c>
    </row>
    <row r="2188" spans="1:3">
      <c r="A2188" s="62">
        <v>24908</v>
      </c>
      <c r="B2188">
        <v>0.62</v>
      </c>
      <c r="C2188" t="str">
        <f t="shared" si="38"/>
        <v>1968 q1</v>
      </c>
    </row>
    <row r="2189" spans="1:3">
      <c r="A2189" s="62">
        <v>24909</v>
      </c>
      <c r="B2189">
        <v>0.61199999999999999</v>
      </c>
      <c r="C2189" t="str">
        <f t="shared" si="38"/>
        <v>1968 q1</v>
      </c>
    </row>
    <row r="2190" spans="1:3">
      <c r="A2190" s="62">
        <v>24910</v>
      </c>
      <c r="B2190">
        <v>0.61250000000000004</v>
      </c>
      <c r="C2190" t="str">
        <f t="shared" si="38"/>
        <v>1968 q1</v>
      </c>
    </row>
    <row r="2191" spans="1:3">
      <c r="A2191" s="62">
        <v>24911</v>
      </c>
      <c r="B2191">
        <v>0.61499999999999999</v>
      </c>
      <c r="C2191" t="str">
        <f t="shared" si="38"/>
        <v>1968 q1</v>
      </c>
    </row>
    <row r="2192" spans="1:3">
      <c r="A2192" s="62">
        <v>24915</v>
      </c>
      <c r="B2192">
        <v>0.61</v>
      </c>
      <c r="C2192" t="str">
        <f t="shared" si="38"/>
        <v>1968 q1</v>
      </c>
    </row>
    <row r="2193" spans="1:3">
      <c r="A2193" s="62">
        <v>24916</v>
      </c>
      <c r="B2193">
        <v>0.62</v>
      </c>
      <c r="C2193" t="str">
        <f t="shared" si="38"/>
        <v>1968 q1</v>
      </c>
    </row>
    <row r="2194" spans="1:3">
      <c r="A2194" s="62">
        <v>24917</v>
      </c>
      <c r="B2194">
        <v>0.61350000000000005</v>
      </c>
      <c r="C2194" t="str">
        <f t="shared" ref="C2194:C2257" si="39">YEAR(A2194)&amp;" q"&amp;ROUNDUP(MONTH(A2194)/3,0)</f>
        <v>1968 q1</v>
      </c>
    </row>
    <row r="2195" spans="1:3">
      <c r="A2195" s="62">
        <v>24918</v>
      </c>
      <c r="B2195">
        <v>0.60750000000000004</v>
      </c>
      <c r="C2195" t="str">
        <f t="shared" si="39"/>
        <v>1968 q1</v>
      </c>
    </row>
    <row r="2196" spans="1:3">
      <c r="A2196" s="62">
        <v>24919</v>
      </c>
      <c r="B2196">
        <v>0.60399999999999998</v>
      </c>
      <c r="C2196" t="str">
        <f t="shared" si="39"/>
        <v>1968 q1</v>
      </c>
    </row>
    <row r="2197" spans="1:3">
      <c r="A2197" s="62">
        <v>24922</v>
      </c>
      <c r="B2197">
        <v>0.59950000000000003</v>
      </c>
      <c r="C2197" t="str">
        <f t="shared" si="39"/>
        <v>1968 q1</v>
      </c>
    </row>
    <row r="2198" spans="1:3">
      <c r="A2198" s="62">
        <v>24923</v>
      </c>
      <c r="B2198">
        <v>0.58550000000000002</v>
      </c>
      <c r="C2198" t="str">
        <f t="shared" si="39"/>
        <v>1968 q1</v>
      </c>
    </row>
    <row r="2199" spans="1:3">
      <c r="A2199" s="62">
        <v>24924</v>
      </c>
      <c r="B2199">
        <v>0.59499999999999997</v>
      </c>
      <c r="C2199" t="str">
        <f t="shared" si="39"/>
        <v>1968 q1</v>
      </c>
    </row>
    <row r="2200" spans="1:3">
      <c r="A2200" s="62">
        <v>24925</v>
      </c>
      <c r="B2200">
        <v>0.61499999999999999</v>
      </c>
      <c r="C2200" t="str">
        <f t="shared" si="39"/>
        <v>1968 q1</v>
      </c>
    </row>
    <row r="2201" spans="1:3">
      <c r="A2201" s="62">
        <v>24926</v>
      </c>
      <c r="B2201">
        <v>0.61</v>
      </c>
      <c r="C2201" t="str">
        <f t="shared" si="39"/>
        <v>1968 q1</v>
      </c>
    </row>
    <row r="2202" spans="1:3">
      <c r="A2202" s="62">
        <v>24929</v>
      </c>
      <c r="B2202">
        <v>0.59</v>
      </c>
      <c r="C2202" t="str">
        <f t="shared" si="39"/>
        <v>1968 q2</v>
      </c>
    </row>
    <row r="2203" spans="1:3">
      <c r="A2203" s="62">
        <v>24930</v>
      </c>
      <c r="B2203">
        <v>0.56999999999999995</v>
      </c>
      <c r="C2203" t="str">
        <f t="shared" si="39"/>
        <v>1968 q2</v>
      </c>
    </row>
    <row r="2204" spans="1:3">
      <c r="A2204" s="62">
        <v>24931</v>
      </c>
      <c r="B2204">
        <v>0.55000000000000004</v>
      </c>
      <c r="C2204" t="str">
        <f t="shared" si="39"/>
        <v>1968 q2</v>
      </c>
    </row>
    <row r="2205" spans="1:3">
      <c r="A2205" s="62">
        <v>24932</v>
      </c>
      <c r="B2205">
        <v>0.54949999999999999</v>
      </c>
      <c r="C2205" t="str">
        <f t="shared" si="39"/>
        <v>1968 q2</v>
      </c>
    </row>
    <row r="2206" spans="1:3">
      <c r="A2206" s="62">
        <v>24933</v>
      </c>
      <c r="B2206">
        <v>0.56000000000000005</v>
      </c>
      <c r="C2206" t="str">
        <f t="shared" si="39"/>
        <v>1968 q2</v>
      </c>
    </row>
    <row r="2207" spans="1:3">
      <c r="A2207" s="62">
        <v>24936</v>
      </c>
      <c r="B2207">
        <v>0.55300000000000005</v>
      </c>
      <c r="C2207" t="str">
        <f t="shared" si="39"/>
        <v>1968 q2</v>
      </c>
    </row>
    <row r="2208" spans="1:3">
      <c r="A2208" s="62">
        <v>24938</v>
      </c>
      <c r="B2208">
        <v>0.55249999999999999</v>
      </c>
      <c r="C2208" t="str">
        <f t="shared" si="39"/>
        <v>1968 q2</v>
      </c>
    </row>
    <row r="2209" spans="1:3">
      <c r="A2209" s="62">
        <v>24939</v>
      </c>
      <c r="B2209">
        <v>0.55000000000000004</v>
      </c>
      <c r="C2209" t="str">
        <f t="shared" si="39"/>
        <v>1968 q2</v>
      </c>
    </row>
    <row r="2210" spans="1:3">
      <c r="A2210" s="62">
        <v>24943</v>
      </c>
      <c r="B2210">
        <v>0.56000000000000005</v>
      </c>
      <c r="C2210" t="str">
        <f t="shared" si="39"/>
        <v>1968 q2</v>
      </c>
    </row>
    <row r="2211" spans="1:3">
      <c r="A2211" s="62">
        <v>24944</v>
      </c>
      <c r="B2211">
        <v>0.55100000000000005</v>
      </c>
      <c r="C2211" t="str">
        <f t="shared" si="39"/>
        <v>1968 q2</v>
      </c>
    </row>
    <row r="2212" spans="1:3">
      <c r="A2212" s="62">
        <v>24945</v>
      </c>
      <c r="B2212">
        <v>0.53100000000000003</v>
      </c>
      <c r="C2212" t="str">
        <f t="shared" si="39"/>
        <v>1968 q2</v>
      </c>
    </row>
    <row r="2213" spans="1:3">
      <c r="A2213" s="62">
        <v>24946</v>
      </c>
      <c r="B2213">
        <v>0.51100000000000001</v>
      </c>
      <c r="C2213" t="str">
        <f t="shared" si="39"/>
        <v>1968 q2</v>
      </c>
    </row>
    <row r="2214" spans="1:3">
      <c r="A2214" s="62">
        <v>24947</v>
      </c>
      <c r="B2214">
        <v>0.50249999999999995</v>
      </c>
      <c r="C2214" t="str">
        <f t="shared" si="39"/>
        <v>1968 q2</v>
      </c>
    </row>
    <row r="2215" spans="1:3">
      <c r="A2215" s="62">
        <v>24950</v>
      </c>
      <c r="B2215">
        <v>0.51249999999999996</v>
      </c>
      <c r="C2215" t="str">
        <f t="shared" si="39"/>
        <v>1968 q2</v>
      </c>
    </row>
    <row r="2216" spans="1:3">
      <c r="A2216" s="62">
        <v>24951</v>
      </c>
      <c r="B2216">
        <v>0.502</v>
      </c>
      <c r="C2216" t="str">
        <f t="shared" si="39"/>
        <v>1968 q2</v>
      </c>
    </row>
    <row r="2217" spans="1:3">
      <c r="A2217" s="62">
        <v>24952</v>
      </c>
      <c r="B2217">
        <v>0.496</v>
      </c>
      <c r="C2217" t="str">
        <f t="shared" si="39"/>
        <v>1968 q2</v>
      </c>
    </row>
    <row r="2218" spans="1:3">
      <c r="A2218" s="62">
        <v>24953</v>
      </c>
      <c r="B2218">
        <v>0.48149999999999998</v>
      </c>
      <c r="C2218" t="str">
        <f t="shared" si="39"/>
        <v>1968 q2</v>
      </c>
    </row>
    <row r="2219" spans="1:3">
      <c r="A2219" s="62">
        <v>24954</v>
      </c>
      <c r="B2219">
        <v>0.45960000000000001</v>
      </c>
      <c r="C2219" t="str">
        <f t="shared" si="39"/>
        <v>1968 q2</v>
      </c>
    </row>
    <row r="2220" spans="1:3">
      <c r="A2220" s="62">
        <v>24957</v>
      </c>
      <c r="B2220">
        <v>0.44519999999999998</v>
      </c>
      <c r="C2220" t="str">
        <f t="shared" si="39"/>
        <v>1968 q2</v>
      </c>
    </row>
    <row r="2221" spans="1:3">
      <c r="A2221" s="62">
        <v>24958</v>
      </c>
      <c r="B2221">
        <v>0.44590000000000002</v>
      </c>
      <c r="C2221" t="str">
        <f t="shared" si="39"/>
        <v>1968 q2</v>
      </c>
    </row>
    <row r="2222" spans="1:3">
      <c r="A2222" s="62">
        <v>24959</v>
      </c>
      <c r="B2222">
        <v>0.4395</v>
      </c>
      <c r="C2222" t="str">
        <f t="shared" si="39"/>
        <v>1968 q2</v>
      </c>
    </row>
    <row r="2223" spans="1:3">
      <c r="A2223" s="62">
        <v>24960</v>
      </c>
      <c r="B2223">
        <v>0.433</v>
      </c>
      <c r="C2223" t="str">
        <f t="shared" si="39"/>
        <v>1968 q2</v>
      </c>
    </row>
    <row r="2224" spans="1:3">
      <c r="A2224" s="62">
        <v>24961</v>
      </c>
      <c r="B2224">
        <v>0.434</v>
      </c>
      <c r="C2224" t="str">
        <f t="shared" si="39"/>
        <v>1968 q2</v>
      </c>
    </row>
    <row r="2225" spans="1:3">
      <c r="A2225" s="62">
        <v>24964</v>
      </c>
      <c r="B2225">
        <v>0.433</v>
      </c>
      <c r="C2225" t="str">
        <f t="shared" si="39"/>
        <v>1968 q2</v>
      </c>
    </row>
    <row r="2226" spans="1:3">
      <c r="A2226" s="62">
        <v>24965</v>
      </c>
      <c r="B2226">
        <v>0.4395</v>
      </c>
      <c r="C2226" t="str">
        <f t="shared" si="39"/>
        <v>1968 q2</v>
      </c>
    </row>
    <row r="2227" spans="1:3">
      <c r="A2227" s="62">
        <v>24966</v>
      </c>
      <c r="B2227">
        <v>0.439</v>
      </c>
      <c r="C2227" t="str">
        <f t="shared" si="39"/>
        <v>1968 q2</v>
      </c>
    </row>
    <row r="2228" spans="1:3">
      <c r="A2228" s="62">
        <v>24967</v>
      </c>
      <c r="B2228">
        <v>0.439</v>
      </c>
      <c r="C2228" t="str">
        <f t="shared" si="39"/>
        <v>1968 q2</v>
      </c>
    </row>
    <row r="2229" spans="1:3">
      <c r="A2229" s="62">
        <v>24968</v>
      </c>
      <c r="B2229">
        <v>0.4425</v>
      </c>
      <c r="C2229" t="str">
        <f t="shared" si="39"/>
        <v>1968 q2</v>
      </c>
    </row>
    <row r="2230" spans="1:3">
      <c r="A2230" s="62">
        <v>24971</v>
      </c>
      <c r="B2230">
        <v>0.44450000000000001</v>
      </c>
      <c r="C2230" t="str">
        <f t="shared" si="39"/>
        <v>1968 q2</v>
      </c>
    </row>
    <row r="2231" spans="1:3">
      <c r="A2231" s="62">
        <v>24972</v>
      </c>
      <c r="B2231">
        <v>0.442</v>
      </c>
      <c r="C2231" t="str">
        <f t="shared" si="39"/>
        <v>1968 q2</v>
      </c>
    </row>
    <row r="2232" spans="1:3">
      <c r="A2232" s="62">
        <v>24973</v>
      </c>
      <c r="B2232">
        <v>0.44</v>
      </c>
      <c r="C2232" t="str">
        <f t="shared" si="39"/>
        <v>1968 q2</v>
      </c>
    </row>
    <row r="2233" spans="1:3">
      <c r="A2233" s="62">
        <v>24974</v>
      </c>
      <c r="B2233">
        <v>0.44550000000000001</v>
      </c>
      <c r="C2233" t="str">
        <f t="shared" si="39"/>
        <v>1968 q2</v>
      </c>
    </row>
    <row r="2234" spans="1:3">
      <c r="A2234" s="62">
        <v>24975</v>
      </c>
      <c r="B2234">
        <v>0.44750000000000001</v>
      </c>
      <c r="C2234" t="str">
        <f t="shared" si="39"/>
        <v>1968 q2</v>
      </c>
    </row>
    <row r="2235" spans="1:3">
      <c r="A2235" s="62">
        <v>24978</v>
      </c>
      <c r="B2235">
        <v>0.45100000000000001</v>
      </c>
      <c r="C2235" t="str">
        <f t="shared" si="39"/>
        <v>1968 q2</v>
      </c>
    </row>
    <row r="2236" spans="1:3">
      <c r="A2236" s="62">
        <v>24979</v>
      </c>
      <c r="B2236">
        <v>0.44750000000000001</v>
      </c>
      <c r="C2236" t="str">
        <f t="shared" si="39"/>
        <v>1968 q2</v>
      </c>
    </row>
    <row r="2237" spans="1:3">
      <c r="A2237" s="62">
        <v>24980</v>
      </c>
      <c r="B2237">
        <v>0.44900000000000001</v>
      </c>
      <c r="C2237" t="str">
        <f t="shared" si="39"/>
        <v>1968 q2</v>
      </c>
    </row>
    <row r="2238" spans="1:3">
      <c r="A2238" s="62">
        <v>24981</v>
      </c>
      <c r="B2238">
        <v>0.44929999999999998</v>
      </c>
      <c r="C2238" t="str">
        <f t="shared" si="39"/>
        <v>1968 q2</v>
      </c>
    </row>
    <row r="2239" spans="1:3">
      <c r="A2239" s="62">
        <v>24982</v>
      </c>
      <c r="B2239">
        <v>0.46</v>
      </c>
      <c r="C2239" t="str">
        <f t="shared" si="39"/>
        <v>1968 q2</v>
      </c>
    </row>
    <row r="2240" spans="1:3">
      <c r="A2240" s="62">
        <v>24985</v>
      </c>
      <c r="B2240">
        <v>0.45750000000000002</v>
      </c>
      <c r="C2240" t="str">
        <f t="shared" si="39"/>
        <v>1968 q2</v>
      </c>
    </row>
    <row r="2241" spans="1:3">
      <c r="A2241" s="62">
        <v>24986</v>
      </c>
      <c r="B2241">
        <v>0.45350000000000001</v>
      </c>
      <c r="C2241" t="str">
        <f t="shared" si="39"/>
        <v>1968 q2</v>
      </c>
    </row>
    <row r="2242" spans="1:3">
      <c r="A2242" s="62">
        <v>24987</v>
      </c>
      <c r="B2242">
        <v>0.44800000000000001</v>
      </c>
      <c r="C2242" t="str">
        <f t="shared" si="39"/>
        <v>1968 q2</v>
      </c>
    </row>
    <row r="2243" spans="1:3">
      <c r="A2243" s="62">
        <v>24992</v>
      </c>
      <c r="B2243">
        <v>0.436</v>
      </c>
      <c r="C2243" t="str">
        <f t="shared" si="39"/>
        <v>1968 q2</v>
      </c>
    </row>
    <row r="2244" spans="1:3">
      <c r="A2244" s="62">
        <v>24993</v>
      </c>
      <c r="B2244">
        <v>0.4425</v>
      </c>
      <c r="C2244" t="str">
        <f t="shared" si="39"/>
        <v>1968 q2</v>
      </c>
    </row>
    <row r="2245" spans="1:3">
      <c r="A2245" s="62">
        <v>24994</v>
      </c>
      <c r="B2245">
        <v>0.442</v>
      </c>
      <c r="C2245" t="str">
        <f t="shared" si="39"/>
        <v>1968 q2</v>
      </c>
    </row>
    <row r="2246" spans="1:3">
      <c r="A2246" s="62">
        <v>24995</v>
      </c>
      <c r="B2246">
        <v>0.4425</v>
      </c>
      <c r="C2246" t="str">
        <f t="shared" si="39"/>
        <v>1968 q2</v>
      </c>
    </row>
    <row r="2247" spans="1:3">
      <c r="A2247" s="62">
        <v>24996</v>
      </c>
      <c r="B2247">
        <v>0.44350000000000001</v>
      </c>
      <c r="C2247" t="str">
        <f t="shared" si="39"/>
        <v>1968 q2</v>
      </c>
    </row>
    <row r="2248" spans="1:3">
      <c r="A2248" s="62">
        <v>24999</v>
      </c>
      <c r="B2248">
        <v>0.44600000000000001</v>
      </c>
      <c r="C2248" t="str">
        <f t="shared" si="39"/>
        <v>1968 q2</v>
      </c>
    </row>
    <row r="2249" spans="1:3">
      <c r="A2249" s="62">
        <v>25000</v>
      </c>
      <c r="B2249">
        <v>0.45</v>
      </c>
      <c r="C2249" t="str">
        <f t="shared" si="39"/>
        <v>1968 q2</v>
      </c>
    </row>
    <row r="2250" spans="1:3">
      <c r="A2250" s="62">
        <v>25001</v>
      </c>
      <c r="B2250">
        <v>0.46150000000000002</v>
      </c>
      <c r="C2250" t="str">
        <f t="shared" si="39"/>
        <v>1968 q2</v>
      </c>
    </row>
    <row r="2251" spans="1:3">
      <c r="A2251" s="62">
        <v>25002</v>
      </c>
      <c r="B2251">
        <v>0.45700000000000002</v>
      </c>
      <c r="C2251" t="str">
        <f t="shared" si="39"/>
        <v>1968 q2</v>
      </c>
    </row>
    <row r="2252" spans="1:3">
      <c r="A2252" s="62">
        <v>25003</v>
      </c>
      <c r="B2252">
        <v>0.45200000000000001</v>
      </c>
      <c r="C2252" t="str">
        <f t="shared" si="39"/>
        <v>1968 q2</v>
      </c>
    </row>
    <row r="2253" spans="1:3">
      <c r="A2253" s="62">
        <v>25006</v>
      </c>
      <c r="B2253">
        <v>0.46300000000000002</v>
      </c>
      <c r="C2253" t="str">
        <f t="shared" si="39"/>
        <v>1968 q2</v>
      </c>
    </row>
    <row r="2254" spans="1:3">
      <c r="A2254" s="62">
        <v>25007</v>
      </c>
      <c r="B2254">
        <v>0.45800000000000002</v>
      </c>
      <c r="C2254" t="str">
        <f t="shared" si="39"/>
        <v>1968 q2</v>
      </c>
    </row>
    <row r="2255" spans="1:3">
      <c r="A2255" s="62">
        <v>25008</v>
      </c>
      <c r="B2255">
        <v>0.45700000000000002</v>
      </c>
      <c r="C2255" t="str">
        <f t="shared" si="39"/>
        <v>1968 q2</v>
      </c>
    </row>
    <row r="2256" spans="1:3">
      <c r="A2256" s="62">
        <v>25009</v>
      </c>
      <c r="B2256">
        <v>0.45500000000000002</v>
      </c>
      <c r="C2256" t="str">
        <f t="shared" si="39"/>
        <v>1968 q2</v>
      </c>
    </row>
    <row r="2257" spans="1:3">
      <c r="A2257" s="62">
        <v>25010</v>
      </c>
      <c r="B2257">
        <v>0.45500000000000002</v>
      </c>
      <c r="C2257" t="str">
        <f t="shared" si="39"/>
        <v>1968 q2</v>
      </c>
    </row>
    <row r="2258" spans="1:3">
      <c r="A2258" s="62">
        <v>25013</v>
      </c>
      <c r="B2258">
        <v>0.45350000000000001</v>
      </c>
      <c r="C2258" t="str">
        <f t="shared" ref="C2258:C2321" si="40">YEAR(A2258)&amp;" q"&amp;ROUNDUP(MONTH(A2258)/3,0)</f>
        <v>1968 q2</v>
      </c>
    </row>
    <row r="2259" spans="1:3">
      <c r="A2259" s="62">
        <v>25014</v>
      </c>
      <c r="B2259">
        <v>0.44900000000000001</v>
      </c>
      <c r="C2259" t="str">
        <f t="shared" si="40"/>
        <v>1968 q2</v>
      </c>
    </row>
    <row r="2260" spans="1:3">
      <c r="A2260" s="62">
        <v>25015</v>
      </c>
      <c r="B2260">
        <v>0.4471</v>
      </c>
      <c r="C2260" t="str">
        <f t="shared" si="40"/>
        <v>1968 q2</v>
      </c>
    </row>
    <row r="2261" spans="1:3">
      <c r="A2261" s="62">
        <v>25016</v>
      </c>
      <c r="B2261">
        <v>0.4501</v>
      </c>
      <c r="C2261" t="str">
        <f t="shared" si="40"/>
        <v>1968 q2</v>
      </c>
    </row>
    <row r="2262" spans="1:3">
      <c r="A2262" s="62">
        <v>25017</v>
      </c>
      <c r="B2262">
        <v>0.44990000000000002</v>
      </c>
      <c r="C2262" t="str">
        <f t="shared" si="40"/>
        <v>1968 q2</v>
      </c>
    </row>
    <row r="2263" spans="1:3">
      <c r="A2263" s="62">
        <v>25020</v>
      </c>
      <c r="B2263">
        <v>0.44500000000000001</v>
      </c>
      <c r="C2263" t="str">
        <f t="shared" si="40"/>
        <v>1968 q3</v>
      </c>
    </row>
    <row r="2264" spans="1:3">
      <c r="A2264" s="62">
        <v>25021</v>
      </c>
      <c r="B2264">
        <v>0.4425</v>
      </c>
      <c r="C2264" t="str">
        <f t="shared" si="40"/>
        <v>1968 q3</v>
      </c>
    </row>
    <row r="2265" spans="1:3">
      <c r="A2265" s="62">
        <v>25022</v>
      </c>
      <c r="B2265">
        <v>0.4425</v>
      </c>
      <c r="C2265" t="str">
        <f t="shared" si="40"/>
        <v>1968 q3</v>
      </c>
    </row>
    <row r="2266" spans="1:3">
      <c r="A2266" s="62">
        <v>25027</v>
      </c>
      <c r="B2266">
        <v>0.438</v>
      </c>
      <c r="C2266" t="str">
        <f t="shared" si="40"/>
        <v>1968 q3</v>
      </c>
    </row>
    <row r="2267" spans="1:3">
      <c r="A2267" s="62">
        <v>25028</v>
      </c>
      <c r="B2267">
        <v>0.4425</v>
      </c>
      <c r="C2267" t="str">
        <f t="shared" si="40"/>
        <v>1968 q3</v>
      </c>
    </row>
    <row r="2268" spans="1:3">
      <c r="A2268" s="62">
        <v>25029</v>
      </c>
      <c r="B2268">
        <v>0.439</v>
      </c>
      <c r="C2268" t="str">
        <f t="shared" si="40"/>
        <v>1968 q3</v>
      </c>
    </row>
    <row r="2269" spans="1:3">
      <c r="A2269" s="62">
        <v>25030</v>
      </c>
      <c r="B2269">
        <v>0.4425</v>
      </c>
      <c r="C2269" t="str">
        <f t="shared" si="40"/>
        <v>1968 q3</v>
      </c>
    </row>
    <row r="2270" spans="1:3">
      <c r="A2270" s="62">
        <v>25031</v>
      </c>
      <c r="B2270">
        <v>0.44</v>
      </c>
      <c r="C2270" t="str">
        <f t="shared" si="40"/>
        <v>1968 q3</v>
      </c>
    </row>
    <row r="2271" spans="1:3">
      <c r="A2271" s="62">
        <v>25034</v>
      </c>
      <c r="B2271">
        <v>0.439</v>
      </c>
      <c r="C2271" t="str">
        <f t="shared" si="40"/>
        <v>1968 q3</v>
      </c>
    </row>
    <row r="2272" spans="1:3">
      <c r="A2272" s="62">
        <v>25035</v>
      </c>
      <c r="B2272">
        <v>0.44069999999999998</v>
      </c>
      <c r="C2272" t="str">
        <f t="shared" si="40"/>
        <v>1968 q3</v>
      </c>
    </row>
    <row r="2273" spans="1:3">
      <c r="A2273" s="62">
        <v>25036</v>
      </c>
      <c r="B2273">
        <v>0.4415</v>
      </c>
      <c r="C2273" t="str">
        <f t="shared" si="40"/>
        <v>1968 q3</v>
      </c>
    </row>
    <row r="2274" spans="1:3">
      <c r="A2274" s="62">
        <v>25037</v>
      </c>
      <c r="B2274">
        <v>0.442</v>
      </c>
      <c r="C2274" t="str">
        <f t="shared" si="40"/>
        <v>1968 q3</v>
      </c>
    </row>
    <row r="2275" spans="1:3">
      <c r="A2275" s="62">
        <v>25038</v>
      </c>
      <c r="B2275">
        <v>0.441</v>
      </c>
      <c r="C2275" t="str">
        <f t="shared" si="40"/>
        <v>1968 q3</v>
      </c>
    </row>
    <row r="2276" spans="1:3">
      <c r="A2276" s="62">
        <v>25041</v>
      </c>
      <c r="B2276">
        <v>0.439</v>
      </c>
      <c r="C2276" t="str">
        <f t="shared" si="40"/>
        <v>1968 q3</v>
      </c>
    </row>
    <row r="2277" spans="1:3">
      <c r="A2277" s="62">
        <v>25042</v>
      </c>
      <c r="B2277">
        <v>0.4405</v>
      </c>
      <c r="C2277" t="str">
        <f t="shared" si="40"/>
        <v>1968 q3</v>
      </c>
    </row>
    <row r="2278" spans="1:3">
      <c r="A2278" s="62">
        <v>25043</v>
      </c>
      <c r="B2278">
        <v>0.44650000000000001</v>
      </c>
      <c r="C2278" t="str">
        <f t="shared" si="40"/>
        <v>1968 q3</v>
      </c>
    </row>
    <row r="2279" spans="1:3">
      <c r="A2279" s="62">
        <v>25044</v>
      </c>
      <c r="B2279">
        <v>0.4415</v>
      </c>
      <c r="C2279" t="str">
        <f t="shared" si="40"/>
        <v>1968 q3</v>
      </c>
    </row>
    <row r="2280" spans="1:3">
      <c r="A2280" s="62">
        <v>25045</v>
      </c>
      <c r="B2280">
        <v>0.4415</v>
      </c>
      <c r="C2280" t="str">
        <f t="shared" si="40"/>
        <v>1968 q3</v>
      </c>
    </row>
    <row r="2281" spans="1:3">
      <c r="A2281" s="62">
        <v>25048</v>
      </c>
      <c r="B2281">
        <v>0.44400000000000001</v>
      </c>
      <c r="C2281" t="str">
        <f t="shared" si="40"/>
        <v>1968 q3</v>
      </c>
    </row>
    <row r="2282" spans="1:3">
      <c r="A2282" s="62">
        <v>25049</v>
      </c>
      <c r="B2282">
        <v>0.442</v>
      </c>
      <c r="C2282" t="str">
        <f t="shared" si="40"/>
        <v>1968 q3</v>
      </c>
    </row>
    <row r="2283" spans="1:3">
      <c r="A2283" s="62">
        <v>25050</v>
      </c>
      <c r="B2283">
        <v>0.442</v>
      </c>
      <c r="C2283" t="str">
        <f t="shared" si="40"/>
        <v>1968 q3</v>
      </c>
    </row>
    <row r="2284" spans="1:3">
      <c r="A2284" s="62">
        <v>25051</v>
      </c>
      <c r="B2284">
        <v>0.439</v>
      </c>
      <c r="C2284" t="str">
        <f t="shared" si="40"/>
        <v>1968 q3</v>
      </c>
    </row>
    <row r="2285" spans="1:3">
      <c r="A2285" s="62">
        <v>25052</v>
      </c>
      <c r="B2285">
        <v>0.441</v>
      </c>
      <c r="C2285" t="str">
        <f t="shared" si="40"/>
        <v>1968 q3</v>
      </c>
    </row>
    <row r="2286" spans="1:3">
      <c r="A2286" s="62">
        <v>25055</v>
      </c>
      <c r="B2286">
        <v>0.439</v>
      </c>
      <c r="C2286" t="str">
        <f t="shared" si="40"/>
        <v>1968 q3</v>
      </c>
    </row>
    <row r="2287" spans="1:3">
      <c r="A2287" s="62">
        <v>25056</v>
      </c>
      <c r="B2287">
        <v>0.441</v>
      </c>
      <c r="C2287" t="str">
        <f t="shared" si="40"/>
        <v>1968 q3</v>
      </c>
    </row>
    <row r="2288" spans="1:3">
      <c r="A2288" s="62">
        <v>25057</v>
      </c>
      <c r="B2288">
        <v>0.44</v>
      </c>
      <c r="C2288" t="str">
        <f t="shared" si="40"/>
        <v>1968 q3</v>
      </c>
    </row>
    <row r="2289" spans="1:3">
      <c r="A2289" s="62">
        <v>25058</v>
      </c>
      <c r="B2289">
        <v>0.44</v>
      </c>
      <c r="C2289" t="str">
        <f t="shared" si="40"/>
        <v>1968 q3</v>
      </c>
    </row>
    <row r="2290" spans="1:3">
      <c r="A2290" s="62">
        <v>25059</v>
      </c>
      <c r="B2290">
        <v>0.4425</v>
      </c>
      <c r="C2290" t="str">
        <f t="shared" si="40"/>
        <v>1968 q3</v>
      </c>
    </row>
    <row r="2291" spans="1:3">
      <c r="A2291" s="62">
        <v>25062</v>
      </c>
      <c r="B2291">
        <v>0.443</v>
      </c>
      <c r="C2291" t="str">
        <f t="shared" si="40"/>
        <v>1968 q3</v>
      </c>
    </row>
    <row r="2292" spans="1:3">
      <c r="A2292" s="62">
        <v>25063</v>
      </c>
      <c r="B2292">
        <v>0.44400000000000001</v>
      </c>
      <c r="C2292" t="str">
        <f t="shared" si="40"/>
        <v>1968 q3</v>
      </c>
    </row>
    <row r="2293" spans="1:3">
      <c r="A2293" s="62">
        <v>25064</v>
      </c>
      <c r="B2293">
        <v>0.44800000000000001</v>
      </c>
      <c r="C2293" t="str">
        <f t="shared" si="40"/>
        <v>1968 q3</v>
      </c>
    </row>
    <row r="2294" spans="1:3">
      <c r="A2294" s="62">
        <v>25065</v>
      </c>
      <c r="B2294">
        <v>0.44750000000000001</v>
      </c>
      <c r="C2294" t="str">
        <f t="shared" si="40"/>
        <v>1968 q3</v>
      </c>
    </row>
    <row r="2295" spans="1:3">
      <c r="A2295" s="62">
        <v>25066</v>
      </c>
      <c r="B2295">
        <v>0.44800000000000001</v>
      </c>
      <c r="C2295" t="str">
        <f t="shared" si="40"/>
        <v>1968 q3</v>
      </c>
    </row>
    <row r="2296" spans="1:3">
      <c r="A2296" s="62">
        <v>25069</v>
      </c>
      <c r="B2296">
        <v>0.44900000000000001</v>
      </c>
      <c r="C2296" t="str">
        <f t="shared" si="40"/>
        <v>1968 q3</v>
      </c>
    </row>
    <row r="2297" spans="1:3">
      <c r="A2297" s="62">
        <v>25070</v>
      </c>
      <c r="B2297">
        <v>0.45450000000000002</v>
      </c>
      <c r="C2297" t="str">
        <f t="shared" si="40"/>
        <v>1968 q3</v>
      </c>
    </row>
    <row r="2298" spans="1:3">
      <c r="A2298" s="62">
        <v>25071</v>
      </c>
      <c r="B2298">
        <v>0.45650000000000002</v>
      </c>
      <c r="C2298" t="str">
        <f t="shared" si="40"/>
        <v>1968 q3</v>
      </c>
    </row>
    <row r="2299" spans="1:3">
      <c r="A2299" s="62">
        <v>25072</v>
      </c>
      <c r="B2299">
        <v>0.45700000000000002</v>
      </c>
      <c r="C2299" t="str">
        <f t="shared" si="40"/>
        <v>1968 q3</v>
      </c>
    </row>
    <row r="2300" spans="1:3">
      <c r="A2300" s="62">
        <v>25073</v>
      </c>
      <c r="B2300">
        <v>0.45800000000000002</v>
      </c>
      <c r="C2300" t="str">
        <f t="shared" si="40"/>
        <v>1968 q3</v>
      </c>
    </row>
    <row r="2301" spans="1:3">
      <c r="A2301" s="62">
        <v>25076</v>
      </c>
      <c r="B2301">
        <v>0.45900000000000002</v>
      </c>
      <c r="C2301" t="str">
        <f t="shared" si="40"/>
        <v>1968 q3</v>
      </c>
    </row>
    <row r="2302" spans="1:3">
      <c r="A2302" s="62">
        <v>25077</v>
      </c>
      <c r="B2302">
        <v>0.4456</v>
      </c>
      <c r="C2302" t="str">
        <f t="shared" si="40"/>
        <v>1968 q3</v>
      </c>
    </row>
    <row r="2303" spans="1:3">
      <c r="A2303" s="62">
        <v>25078</v>
      </c>
      <c r="B2303">
        <v>0.44800000000000001</v>
      </c>
      <c r="C2303" t="str">
        <f t="shared" si="40"/>
        <v>1968 q3</v>
      </c>
    </row>
    <row r="2304" spans="1:3">
      <c r="A2304" s="62">
        <v>25079</v>
      </c>
      <c r="B2304">
        <v>0.44590000000000002</v>
      </c>
      <c r="C2304" t="str">
        <f t="shared" si="40"/>
        <v>1968 q3</v>
      </c>
    </row>
    <row r="2305" spans="1:3">
      <c r="A2305" s="62">
        <v>25080</v>
      </c>
      <c r="B2305">
        <v>0.44400000000000001</v>
      </c>
      <c r="C2305" t="str">
        <f t="shared" si="40"/>
        <v>1968 q3</v>
      </c>
    </row>
    <row r="2306" spans="1:3">
      <c r="A2306" s="62">
        <v>25084</v>
      </c>
      <c r="B2306">
        <v>0.442</v>
      </c>
      <c r="C2306" t="str">
        <f t="shared" si="40"/>
        <v>1968 q3</v>
      </c>
    </row>
    <row r="2307" spans="1:3">
      <c r="A2307" s="62">
        <v>25085</v>
      </c>
      <c r="B2307">
        <v>0.44800000000000001</v>
      </c>
      <c r="C2307" t="str">
        <f t="shared" si="40"/>
        <v>1968 q3</v>
      </c>
    </row>
    <row r="2308" spans="1:3">
      <c r="A2308" s="62">
        <v>25086</v>
      </c>
      <c r="B2308">
        <v>0.45250000000000001</v>
      </c>
      <c r="C2308" t="str">
        <f t="shared" si="40"/>
        <v>1968 q3</v>
      </c>
    </row>
    <row r="2309" spans="1:3">
      <c r="A2309" s="62">
        <v>25087</v>
      </c>
      <c r="B2309">
        <v>0.45100000000000001</v>
      </c>
      <c r="C2309" t="str">
        <f t="shared" si="40"/>
        <v>1968 q3</v>
      </c>
    </row>
    <row r="2310" spans="1:3">
      <c r="A2310" s="62">
        <v>25090</v>
      </c>
      <c r="B2310">
        <v>0.45200000000000001</v>
      </c>
      <c r="C2310" t="str">
        <f t="shared" si="40"/>
        <v>1968 q3</v>
      </c>
    </row>
    <row r="2311" spans="1:3">
      <c r="A2311" s="62">
        <v>25091</v>
      </c>
      <c r="B2311">
        <v>0.45400000000000001</v>
      </c>
      <c r="C2311" t="str">
        <f t="shared" si="40"/>
        <v>1968 q3</v>
      </c>
    </row>
    <row r="2312" spans="1:3">
      <c r="A2312" s="62">
        <v>25092</v>
      </c>
      <c r="B2312">
        <v>0.45600000000000002</v>
      </c>
      <c r="C2312" t="str">
        <f t="shared" si="40"/>
        <v>1968 q3</v>
      </c>
    </row>
    <row r="2313" spans="1:3">
      <c r="A2313" s="62">
        <v>25093</v>
      </c>
      <c r="B2313">
        <v>0.46</v>
      </c>
      <c r="C2313" t="str">
        <f t="shared" si="40"/>
        <v>1968 q3</v>
      </c>
    </row>
    <row r="2314" spans="1:3">
      <c r="A2314" s="62">
        <v>25094</v>
      </c>
      <c r="B2314">
        <v>0.46450000000000002</v>
      </c>
      <c r="C2314" t="str">
        <f t="shared" si="40"/>
        <v>1968 q3</v>
      </c>
    </row>
    <row r="2315" spans="1:3">
      <c r="A2315" s="62">
        <v>25097</v>
      </c>
      <c r="B2315">
        <v>0.47049999999999997</v>
      </c>
      <c r="C2315" t="str">
        <f t="shared" si="40"/>
        <v>1968 q3</v>
      </c>
    </row>
    <row r="2316" spans="1:3">
      <c r="A2316" s="62">
        <v>25098</v>
      </c>
      <c r="B2316">
        <v>0.47849999999999998</v>
      </c>
      <c r="C2316" t="str">
        <f t="shared" si="40"/>
        <v>1968 q3</v>
      </c>
    </row>
    <row r="2317" spans="1:3">
      <c r="A2317" s="62">
        <v>25099</v>
      </c>
      <c r="B2317">
        <v>0.47499999999999998</v>
      </c>
      <c r="C2317" t="str">
        <f t="shared" si="40"/>
        <v>1968 q3</v>
      </c>
    </row>
    <row r="2318" spans="1:3">
      <c r="A2318" s="62">
        <v>25100</v>
      </c>
      <c r="B2318">
        <v>0.46949999999999997</v>
      </c>
      <c r="C2318" t="str">
        <f t="shared" si="40"/>
        <v>1968 q3</v>
      </c>
    </row>
    <row r="2319" spans="1:3">
      <c r="A2319" s="62">
        <v>25101</v>
      </c>
      <c r="B2319">
        <v>0.47649999999999998</v>
      </c>
      <c r="C2319" t="str">
        <f t="shared" si="40"/>
        <v>1968 q3</v>
      </c>
    </row>
    <row r="2320" spans="1:3">
      <c r="A2320" s="62">
        <v>25104</v>
      </c>
      <c r="B2320">
        <v>0.47699999999999998</v>
      </c>
      <c r="C2320" t="str">
        <f t="shared" si="40"/>
        <v>1968 q3</v>
      </c>
    </row>
    <row r="2321" spans="1:3">
      <c r="A2321" s="62">
        <v>25105</v>
      </c>
      <c r="B2321">
        <v>0.47799999999999998</v>
      </c>
      <c r="C2321" t="str">
        <f t="shared" si="40"/>
        <v>1968 q3</v>
      </c>
    </row>
    <row r="2322" spans="1:3">
      <c r="A2322" s="62">
        <v>25106</v>
      </c>
      <c r="B2322">
        <v>0.47549999999999998</v>
      </c>
      <c r="C2322" t="str">
        <f t="shared" ref="C2322:C2385" si="41">YEAR(A2322)&amp;" q"&amp;ROUNDUP(MONTH(A2322)/3,0)</f>
        <v>1968 q3</v>
      </c>
    </row>
    <row r="2323" spans="1:3">
      <c r="A2323" s="62">
        <v>25107</v>
      </c>
      <c r="B2323">
        <v>0.47199999999999998</v>
      </c>
      <c r="C2323" t="str">
        <f t="shared" si="41"/>
        <v>1968 q3</v>
      </c>
    </row>
    <row r="2324" spans="1:3">
      <c r="A2324" s="62">
        <v>25108</v>
      </c>
      <c r="B2324">
        <v>0.47199999999999998</v>
      </c>
      <c r="C2324" t="str">
        <f t="shared" si="41"/>
        <v>1968 q3</v>
      </c>
    </row>
    <row r="2325" spans="1:3">
      <c r="A2325" s="62">
        <v>25111</v>
      </c>
      <c r="B2325">
        <v>0.46800000000000003</v>
      </c>
      <c r="C2325" t="str">
        <f t="shared" si="41"/>
        <v>1968 q3</v>
      </c>
    </row>
    <row r="2326" spans="1:3">
      <c r="A2326" s="62">
        <v>25112</v>
      </c>
      <c r="B2326">
        <v>0.46500000000000002</v>
      </c>
      <c r="C2326" t="str">
        <f t="shared" si="41"/>
        <v>1968 q4</v>
      </c>
    </row>
    <row r="2327" spans="1:3">
      <c r="A2327" s="62">
        <v>25113</v>
      </c>
      <c r="B2327">
        <v>0.46050000000000002</v>
      </c>
      <c r="C2327" t="str">
        <f t="shared" si="41"/>
        <v>1968 q4</v>
      </c>
    </row>
    <row r="2328" spans="1:3">
      <c r="A2328" s="62">
        <v>25114</v>
      </c>
      <c r="B2328">
        <v>0.46700000000000003</v>
      </c>
      <c r="C2328" t="str">
        <f t="shared" si="41"/>
        <v>1968 q4</v>
      </c>
    </row>
    <row r="2329" spans="1:3">
      <c r="A2329" s="62">
        <v>25115</v>
      </c>
      <c r="B2329">
        <v>0.46949999999999997</v>
      </c>
      <c r="C2329" t="str">
        <f t="shared" si="41"/>
        <v>1968 q4</v>
      </c>
    </row>
    <row r="2330" spans="1:3">
      <c r="A2330" s="62">
        <v>25118</v>
      </c>
      <c r="B2330">
        <v>0.47299999999999998</v>
      </c>
      <c r="C2330" t="str">
        <f t="shared" si="41"/>
        <v>1968 q4</v>
      </c>
    </row>
    <row r="2331" spans="1:3">
      <c r="A2331" s="62">
        <v>25119</v>
      </c>
      <c r="B2331">
        <v>0.46800000000000003</v>
      </c>
      <c r="C2331" t="str">
        <f t="shared" si="41"/>
        <v>1968 q4</v>
      </c>
    </row>
    <row r="2332" spans="1:3">
      <c r="A2332" s="62">
        <v>25120</v>
      </c>
      <c r="B2332">
        <v>0.46500000000000002</v>
      </c>
      <c r="C2332" t="str">
        <f t="shared" si="41"/>
        <v>1968 q4</v>
      </c>
    </row>
    <row r="2333" spans="1:3">
      <c r="A2333" s="62">
        <v>25121</v>
      </c>
      <c r="B2333">
        <v>0.46750000000000003</v>
      </c>
      <c r="C2333" t="str">
        <f t="shared" si="41"/>
        <v>1968 q4</v>
      </c>
    </row>
    <row r="2334" spans="1:3">
      <c r="A2334" s="62">
        <v>25122</v>
      </c>
      <c r="B2334">
        <v>0.47</v>
      </c>
      <c r="C2334" t="str">
        <f t="shared" si="41"/>
        <v>1968 q4</v>
      </c>
    </row>
    <row r="2335" spans="1:3">
      <c r="A2335" s="62">
        <v>25125</v>
      </c>
      <c r="B2335">
        <v>0.46949999999999997</v>
      </c>
      <c r="C2335" t="str">
        <f t="shared" si="41"/>
        <v>1968 q4</v>
      </c>
    </row>
    <row r="2336" spans="1:3">
      <c r="A2336" s="62">
        <v>25126</v>
      </c>
      <c r="B2336">
        <v>0.46600000000000003</v>
      </c>
      <c r="C2336" t="str">
        <f t="shared" si="41"/>
        <v>1968 q4</v>
      </c>
    </row>
    <row r="2337" spans="1:3">
      <c r="A2337" s="62">
        <v>25127</v>
      </c>
      <c r="B2337">
        <v>0.46300000000000002</v>
      </c>
      <c r="C2337" t="str">
        <f t="shared" si="41"/>
        <v>1968 q4</v>
      </c>
    </row>
    <row r="2338" spans="1:3">
      <c r="A2338" s="62">
        <v>25128</v>
      </c>
      <c r="B2338">
        <v>0.46110000000000001</v>
      </c>
      <c r="C2338" t="str">
        <f t="shared" si="41"/>
        <v>1968 q4</v>
      </c>
    </row>
    <row r="2339" spans="1:3">
      <c r="A2339" s="62">
        <v>25129</v>
      </c>
      <c r="B2339">
        <v>0.46250000000000002</v>
      </c>
      <c r="C2339" t="str">
        <f t="shared" si="41"/>
        <v>1968 q4</v>
      </c>
    </row>
    <row r="2340" spans="1:3">
      <c r="A2340" s="62">
        <v>25132</v>
      </c>
      <c r="B2340">
        <v>0.46150000000000002</v>
      </c>
      <c r="C2340" t="str">
        <f t="shared" si="41"/>
        <v>1968 q4</v>
      </c>
    </row>
    <row r="2341" spans="1:3">
      <c r="A2341" s="62">
        <v>25133</v>
      </c>
      <c r="B2341">
        <v>0.45550000000000002</v>
      </c>
      <c r="C2341" t="str">
        <f t="shared" si="41"/>
        <v>1968 q4</v>
      </c>
    </row>
    <row r="2342" spans="1:3">
      <c r="A2342" s="62">
        <v>25134</v>
      </c>
      <c r="B2342">
        <v>0.46100000000000002</v>
      </c>
      <c r="C2342" t="str">
        <f t="shared" si="41"/>
        <v>1968 q4</v>
      </c>
    </row>
    <row r="2343" spans="1:3">
      <c r="A2343" s="62">
        <v>25135</v>
      </c>
      <c r="B2343">
        <v>0.45950000000000002</v>
      </c>
      <c r="C2343" t="str">
        <f t="shared" si="41"/>
        <v>1968 q4</v>
      </c>
    </row>
    <row r="2344" spans="1:3">
      <c r="A2344" s="62">
        <v>25136</v>
      </c>
      <c r="B2344">
        <v>0.46100000000000002</v>
      </c>
      <c r="C2344" t="str">
        <f t="shared" si="41"/>
        <v>1968 q4</v>
      </c>
    </row>
    <row r="2345" spans="1:3">
      <c r="A2345" s="62">
        <v>25139</v>
      </c>
      <c r="B2345">
        <v>0.46</v>
      </c>
      <c r="C2345" t="str">
        <f t="shared" si="41"/>
        <v>1968 q4</v>
      </c>
    </row>
    <row r="2346" spans="1:3">
      <c r="A2346" s="62">
        <v>25140</v>
      </c>
      <c r="B2346">
        <v>0.46350000000000002</v>
      </c>
      <c r="C2346" t="str">
        <f t="shared" si="41"/>
        <v>1968 q4</v>
      </c>
    </row>
    <row r="2347" spans="1:3">
      <c r="A2347" s="62">
        <v>25141</v>
      </c>
      <c r="B2347">
        <v>0.46100000000000002</v>
      </c>
      <c r="C2347" t="str">
        <f t="shared" si="41"/>
        <v>1968 q4</v>
      </c>
    </row>
    <row r="2348" spans="1:3">
      <c r="A2348" s="62">
        <v>25142</v>
      </c>
      <c r="B2348">
        <v>0.46250000000000002</v>
      </c>
      <c r="C2348" t="str">
        <f t="shared" si="41"/>
        <v>1968 q4</v>
      </c>
    </row>
    <row r="2349" spans="1:3">
      <c r="A2349" s="62">
        <v>25143</v>
      </c>
      <c r="B2349">
        <v>0.46500000000000002</v>
      </c>
      <c r="C2349" t="str">
        <f t="shared" si="41"/>
        <v>1968 q4</v>
      </c>
    </row>
    <row r="2350" spans="1:3">
      <c r="A2350" s="62">
        <v>25146</v>
      </c>
      <c r="B2350">
        <v>0.47</v>
      </c>
      <c r="C2350" t="str">
        <f t="shared" si="41"/>
        <v>1968 q4</v>
      </c>
    </row>
    <row r="2351" spans="1:3">
      <c r="A2351" s="62">
        <v>25148</v>
      </c>
      <c r="B2351">
        <v>0.47599999999999998</v>
      </c>
      <c r="C2351" t="str">
        <f t="shared" si="41"/>
        <v>1968 q4</v>
      </c>
    </row>
    <row r="2352" spans="1:3">
      <c r="A2352" s="62">
        <v>25149</v>
      </c>
      <c r="B2352">
        <v>0.47249999999999998</v>
      </c>
      <c r="C2352" t="str">
        <f t="shared" si="41"/>
        <v>1968 q4</v>
      </c>
    </row>
    <row r="2353" spans="1:3">
      <c r="A2353" s="62">
        <v>25150</v>
      </c>
      <c r="B2353">
        <v>0.47499999999999998</v>
      </c>
      <c r="C2353" t="str">
        <f t="shared" si="41"/>
        <v>1968 q4</v>
      </c>
    </row>
    <row r="2354" spans="1:3">
      <c r="A2354" s="62">
        <v>25154</v>
      </c>
      <c r="B2354">
        <v>0.47749999999999998</v>
      </c>
      <c r="C2354" t="str">
        <f t="shared" si="41"/>
        <v>1968 q4</v>
      </c>
    </row>
    <row r="2355" spans="1:3">
      <c r="A2355" s="62">
        <v>25155</v>
      </c>
      <c r="B2355">
        <v>0.47599999999999998</v>
      </c>
      <c r="C2355" t="str">
        <f t="shared" si="41"/>
        <v>1968 q4</v>
      </c>
    </row>
    <row r="2356" spans="1:3">
      <c r="A2356" s="62">
        <v>25156</v>
      </c>
      <c r="B2356">
        <v>0.47199999999999998</v>
      </c>
      <c r="C2356" t="str">
        <f t="shared" si="41"/>
        <v>1968 q4</v>
      </c>
    </row>
    <row r="2357" spans="1:3">
      <c r="A2357" s="62">
        <v>25157</v>
      </c>
      <c r="B2357">
        <v>0.47599999999999998</v>
      </c>
      <c r="C2357" t="str">
        <f t="shared" si="41"/>
        <v>1968 q4</v>
      </c>
    </row>
    <row r="2358" spans="1:3">
      <c r="A2358" s="62">
        <v>25160</v>
      </c>
      <c r="B2358">
        <v>0.47549999999999998</v>
      </c>
      <c r="C2358" t="str">
        <f t="shared" si="41"/>
        <v>1968 q4</v>
      </c>
    </row>
    <row r="2359" spans="1:3">
      <c r="A2359" s="62">
        <v>25161</v>
      </c>
      <c r="B2359">
        <v>0.47499999999999998</v>
      </c>
      <c r="C2359" t="str">
        <f t="shared" si="41"/>
        <v>1968 q4</v>
      </c>
    </row>
    <row r="2360" spans="1:3">
      <c r="A2360" s="62">
        <v>25162</v>
      </c>
      <c r="B2360">
        <v>0.47499999999999998</v>
      </c>
      <c r="C2360" t="str">
        <f t="shared" si="41"/>
        <v>1968 q4</v>
      </c>
    </row>
    <row r="2361" spans="1:3">
      <c r="A2361" s="62">
        <v>25163</v>
      </c>
      <c r="B2361">
        <v>0.47449999999999998</v>
      </c>
      <c r="C2361" t="str">
        <f t="shared" si="41"/>
        <v>1968 q4</v>
      </c>
    </row>
    <row r="2362" spans="1:3">
      <c r="A2362" s="62">
        <v>25164</v>
      </c>
      <c r="B2362">
        <v>0.47349999999999998</v>
      </c>
      <c r="C2362" t="str">
        <f t="shared" si="41"/>
        <v>1968 q4</v>
      </c>
    </row>
    <row r="2363" spans="1:3">
      <c r="A2363" s="62">
        <v>25167</v>
      </c>
      <c r="B2363">
        <v>0.47089999999999999</v>
      </c>
      <c r="C2363" t="str">
        <f t="shared" si="41"/>
        <v>1968 q4</v>
      </c>
    </row>
    <row r="2364" spans="1:3">
      <c r="A2364" s="62">
        <v>25168</v>
      </c>
      <c r="B2364">
        <v>0.4728</v>
      </c>
      <c r="C2364" t="str">
        <f t="shared" si="41"/>
        <v>1968 q4</v>
      </c>
    </row>
    <row r="2365" spans="1:3">
      <c r="A2365" s="62">
        <v>25169</v>
      </c>
      <c r="B2365">
        <v>0.4758</v>
      </c>
      <c r="C2365" t="str">
        <f t="shared" si="41"/>
        <v>1968 q4</v>
      </c>
    </row>
    <row r="2366" spans="1:3">
      <c r="A2366" s="62">
        <v>25171</v>
      </c>
      <c r="B2366">
        <v>0.47689999999999999</v>
      </c>
      <c r="C2366" t="str">
        <f t="shared" si="41"/>
        <v>1968 q4</v>
      </c>
    </row>
    <row r="2367" spans="1:3">
      <c r="A2367" s="62">
        <v>25174</v>
      </c>
      <c r="B2367">
        <v>0.48099999999999998</v>
      </c>
      <c r="C2367" t="str">
        <f t="shared" si="41"/>
        <v>1968 q4</v>
      </c>
    </row>
    <row r="2368" spans="1:3">
      <c r="A2368" s="62">
        <v>25175</v>
      </c>
      <c r="B2368">
        <v>0.49099999999999999</v>
      </c>
      <c r="C2368" t="str">
        <f t="shared" si="41"/>
        <v>1968 q4</v>
      </c>
    </row>
    <row r="2369" spans="1:3">
      <c r="A2369" s="62">
        <v>25176</v>
      </c>
      <c r="B2369">
        <v>0.50449999999999995</v>
      </c>
      <c r="C2369" t="str">
        <f t="shared" si="41"/>
        <v>1968 q4</v>
      </c>
    </row>
    <row r="2370" spans="1:3">
      <c r="A2370" s="62">
        <v>25177</v>
      </c>
      <c r="B2370">
        <v>0.505</v>
      </c>
      <c r="C2370" t="str">
        <f t="shared" si="41"/>
        <v>1968 q4</v>
      </c>
    </row>
    <row r="2371" spans="1:3">
      <c r="A2371" s="62">
        <v>25178</v>
      </c>
      <c r="B2371">
        <v>0.51149999999999995</v>
      </c>
      <c r="C2371" t="str">
        <f t="shared" si="41"/>
        <v>1968 q4</v>
      </c>
    </row>
    <row r="2372" spans="1:3">
      <c r="A2372" s="62">
        <v>25181</v>
      </c>
      <c r="B2372">
        <v>0.51</v>
      </c>
      <c r="C2372" t="str">
        <f t="shared" si="41"/>
        <v>1968 q4</v>
      </c>
    </row>
    <row r="2373" spans="1:3">
      <c r="A2373" s="62">
        <v>25182</v>
      </c>
      <c r="B2373">
        <v>0.51249999999999996</v>
      </c>
      <c r="C2373" t="str">
        <f t="shared" si="41"/>
        <v>1968 q4</v>
      </c>
    </row>
    <row r="2374" spans="1:3">
      <c r="A2374" s="62">
        <v>25183</v>
      </c>
      <c r="B2374">
        <v>0.52349999999999997</v>
      </c>
      <c r="C2374" t="str">
        <f t="shared" si="41"/>
        <v>1968 q4</v>
      </c>
    </row>
    <row r="2375" spans="1:3">
      <c r="A2375" s="62">
        <v>25184</v>
      </c>
      <c r="B2375">
        <v>0.52249999999999996</v>
      </c>
      <c r="C2375" t="str">
        <f t="shared" si="41"/>
        <v>1968 q4</v>
      </c>
    </row>
    <row r="2376" spans="1:3">
      <c r="A2376" s="62">
        <v>25185</v>
      </c>
      <c r="B2376">
        <v>0.52449999999999997</v>
      </c>
      <c r="C2376" t="str">
        <f t="shared" si="41"/>
        <v>1968 q4</v>
      </c>
    </row>
    <row r="2377" spans="1:3">
      <c r="A2377" s="62">
        <v>25188</v>
      </c>
      <c r="B2377">
        <v>0.52049999999999996</v>
      </c>
      <c r="C2377" t="str">
        <f t="shared" si="41"/>
        <v>1968 q4</v>
      </c>
    </row>
    <row r="2378" spans="1:3">
      <c r="A2378" s="62">
        <v>25189</v>
      </c>
      <c r="B2378">
        <v>0.50749999999999995</v>
      </c>
      <c r="C2378" t="str">
        <f t="shared" si="41"/>
        <v>1968 q4</v>
      </c>
    </row>
    <row r="2379" spans="1:3">
      <c r="A2379" s="62">
        <v>25190</v>
      </c>
      <c r="B2379">
        <v>0.51500000000000001</v>
      </c>
      <c r="C2379" t="str">
        <f t="shared" si="41"/>
        <v>1968 q4</v>
      </c>
    </row>
    <row r="2380" spans="1:3">
      <c r="A2380" s="62">
        <v>25191</v>
      </c>
      <c r="B2380">
        <v>0.51049999999999995</v>
      </c>
      <c r="C2380" t="str">
        <f t="shared" si="41"/>
        <v>1968 q4</v>
      </c>
    </row>
    <row r="2381" spans="1:3">
      <c r="A2381" s="62">
        <v>25192</v>
      </c>
      <c r="B2381">
        <v>0.51200000000000001</v>
      </c>
      <c r="C2381" t="str">
        <f t="shared" si="41"/>
        <v>1968 q4</v>
      </c>
    </row>
    <row r="2382" spans="1:3">
      <c r="A2382" s="62">
        <v>25195</v>
      </c>
      <c r="B2382">
        <v>0.50900000000000001</v>
      </c>
      <c r="C2382" t="str">
        <f t="shared" si="41"/>
        <v>1968 q4</v>
      </c>
    </row>
    <row r="2383" spans="1:3">
      <c r="A2383" s="62">
        <v>25198</v>
      </c>
      <c r="B2383">
        <v>0.50819999999999999</v>
      </c>
      <c r="C2383" t="str">
        <f t="shared" si="41"/>
        <v>1968 q4</v>
      </c>
    </row>
    <row r="2384" spans="1:3">
      <c r="A2384" s="62">
        <v>25199</v>
      </c>
      <c r="B2384">
        <v>0.50180000000000002</v>
      </c>
      <c r="C2384" t="str">
        <f t="shared" si="41"/>
        <v>1968 q4</v>
      </c>
    </row>
    <row r="2385" spans="1:3">
      <c r="A2385" s="62">
        <v>25202</v>
      </c>
      <c r="B2385">
        <v>0.50290000000000001</v>
      </c>
      <c r="C2385" t="str">
        <f t="shared" si="41"/>
        <v>1968 q4</v>
      </c>
    </row>
    <row r="2386" spans="1:3">
      <c r="A2386" s="62">
        <v>25203</v>
      </c>
      <c r="B2386">
        <v>0.50829999999999997</v>
      </c>
      <c r="C2386" t="str">
        <f t="shared" ref="C2386:C2449" si="42">YEAR(A2386)&amp;" q"&amp;ROUNDUP(MONTH(A2386)/3,0)</f>
        <v>1968 q4</v>
      </c>
    </row>
    <row r="2387" spans="1:3">
      <c r="A2387" s="62">
        <v>25205</v>
      </c>
      <c r="B2387">
        <v>0.51449999999999996</v>
      </c>
      <c r="C2387" t="str">
        <f t="shared" si="42"/>
        <v>1969 q1</v>
      </c>
    </row>
    <row r="2388" spans="1:3">
      <c r="A2388" s="62">
        <v>25206</v>
      </c>
      <c r="B2388">
        <v>0.51700000000000002</v>
      </c>
      <c r="C2388" t="str">
        <f t="shared" si="42"/>
        <v>1969 q1</v>
      </c>
    </row>
    <row r="2389" spans="1:3">
      <c r="A2389" s="62">
        <v>25209</v>
      </c>
      <c r="B2389">
        <v>0.52400000000000002</v>
      </c>
      <c r="C2389" t="str">
        <f t="shared" si="42"/>
        <v>1969 q1</v>
      </c>
    </row>
    <row r="2390" spans="1:3">
      <c r="A2390" s="62">
        <v>25210</v>
      </c>
      <c r="B2390">
        <v>0.51549999999999996</v>
      </c>
      <c r="C2390" t="str">
        <f t="shared" si="42"/>
        <v>1969 q1</v>
      </c>
    </row>
    <row r="2391" spans="1:3">
      <c r="A2391" s="62">
        <v>25211</v>
      </c>
      <c r="B2391">
        <v>0.51900000000000002</v>
      </c>
      <c r="C2391" t="str">
        <f t="shared" si="42"/>
        <v>1969 q1</v>
      </c>
    </row>
    <row r="2392" spans="1:3">
      <c r="A2392" s="62">
        <v>25212</v>
      </c>
      <c r="B2392">
        <v>0.51600000000000001</v>
      </c>
      <c r="C2392" t="str">
        <f t="shared" si="42"/>
        <v>1969 q1</v>
      </c>
    </row>
    <row r="2393" spans="1:3">
      <c r="A2393" s="62">
        <v>25213</v>
      </c>
      <c r="B2393">
        <v>0.51149999999999995</v>
      </c>
      <c r="C2393" t="str">
        <f t="shared" si="42"/>
        <v>1969 q1</v>
      </c>
    </row>
    <row r="2394" spans="1:3">
      <c r="A2394" s="62">
        <v>25216</v>
      </c>
      <c r="B2394">
        <v>0.51849999999999996</v>
      </c>
      <c r="C2394" t="str">
        <f t="shared" si="42"/>
        <v>1969 q1</v>
      </c>
    </row>
    <row r="2395" spans="1:3">
      <c r="A2395" s="62">
        <v>25217</v>
      </c>
      <c r="B2395">
        <v>0.52900000000000003</v>
      </c>
      <c r="C2395" t="str">
        <f t="shared" si="42"/>
        <v>1969 q1</v>
      </c>
    </row>
    <row r="2396" spans="1:3">
      <c r="A2396" s="62">
        <v>25218</v>
      </c>
      <c r="B2396">
        <v>0.52649999999999997</v>
      </c>
      <c r="C2396" t="str">
        <f t="shared" si="42"/>
        <v>1969 q1</v>
      </c>
    </row>
    <row r="2397" spans="1:3">
      <c r="A2397" s="62">
        <v>25219</v>
      </c>
      <c r="B2397">
        <v>0.52149999999999996</v>
      </c>
      <c r="C2397" t="str">
        <f t="shared" si="42"/>
        <v>1969 q1</v>
      </c>
    </row>
    <row r="2398" spans="1:3">
      <c r="A2398" s="62">
        <v>25220</v>
      </c>
      <c r="B2398">
        <v>0.52700000000000002</v>
      </c>
      <c r="C2398" t="str">
        <f t="shared" si="42"/>
        <v>1969 q1</v>
      </c>
    </row>
    <row r="2399" spans="1:3">
      <c r="A2399" s="62">
        <v>25223</v>
      </c>
      <c r="B2399">
        <v>0.52900000000000003</v>
      </c>
      <c r="C2399" t="str">
        <f t="shared" si="42"/>
        <v>1969 q1</v>
      </c>
    </row>
    <row r="2400" spans="1:3">
      <c r="A2400" s="62">
        <v>25224</v>
      </c>
      <c r="B2400">
        <v>0.53549999999999998</v>
      </c>
      <c r="C2400" t="str">
        <f t="shared" si="42"/>
        <v>1969 q1</v>
      </c>
    </row>
    <row r="2401" spans="1:3">
      <c r="A2401" s="62">
        <v>25225</v>
      </c>
      <c r="B2401">
        <v>0.53349999999999997</v>
      </c>
      <c r="C2401" t="str">
        <f t="shared" si="42"/>
        <v>1969 q1</v>
      </c>
    </row>
    <row r="2402" spans="1:3">
      <c r="A2402" s="62">
        <v>25226</v>
      </c>
      <c r="B2402">
        <v>0.53649999999999998</v>
      </c>
      <c r="C2402" t="str">
        <f t="shared" si="42"/>
        <v>1969 q1</v>
      </c>
    </row>
    <row r="2403" spans="1:3">
      <c r="A2403" s="62">
        <v>25227</v>
      </c>
      <c r="B2403">
        <v>0.54200000000000004</v>
      </c>
      <c r="C2403" t="str">
        <f t="shared" si="42"/>
        <v>1969 q1</v>
      </c>
    </row>
    <row r="2404" spans="1:3">
      <c r="A2404" s="62">
        <v>25230</v>
      </c>
      <c r="B2404">
        <v>0.54549999999999998</v>
      </c>
      <c r="C2404" t="str">
        <f t="shared" si="42"/>
        <v>1969 q1</v>
      </c>
    </row>
    <row r="2405" spans="1:3">
      <c r="A2405" s="62">
        <v>25231</v>
      </c>
      <c r="B2405">
        <v>0.54249999999999998</v>
      </c>
      <c r="C2405" t="str">
        <f t="shared" si="42"/>
        <v>1969 q1</v>
      </c>
    </row>
    <row r="2406" spans="1:3">
      <c r="A2406" s="62">
        <v>25232</v>
      </c>
      <c r="B2406">
        <v>0.53249999999999997</v>
      </c>
      <c r="C2406" t="str">
        <f t="shared" si="42"/>
        <v>1969 q1</v>
      </c>
    </row>
    <row r="2407" spans="1:3">
      <c r="A2407" s="62">
        <v>25233</v>
      </c>
      <c r="B2407">
        <v>0.53300000000000003</v>
      </c>
      <c r="C2407" t="str">
        <f t="shared" si="42"/>
        <v>1969 q1</v>
      </c>
    </row>
    <row r="2408" spans="1:3">
      <c r="A2408" s="62">
        <v>25234</v>
      </c>
      <c r="B2408">
        <v>0.54400000000000004</v>
      </c>
      <c r="C2408" t="str">
        <f t="shared" si="42"/>
        <v>1969 q1</v>
      </c>
    </row>
    <row r="2409" spans="1:3">
      <c r="A2409" s="62">
        <v>25237</v>
      </c>
      <c r="B2409">
        <v>0.53800000000000003</v>
      </c>
      <c r="C2409" t="str">
        <f t="shared" si="42"/>
        <v>1969 q1</v>
      </c>
    </row>
    <row r="2410" spans="1:3">
      <c r="A2410" s="62">
        <v>25238</v>
      </c>
      <c r="B2410">
        <v>0.53300000000000003</v>
      </c>
      <c r="C2410" t="str">
        <f t="shared" si="42"/>
        <v>1969 q1</v>
      </c>
    </row>
    <row r="2411" spans="1:3">
      <c r="A2411" s="62">
        <v>25239</v>
      </c>
      <c r="B2411">
        <v>0.51649999999999996</v>
      </c>
      <c r="C2411" t="str">
        <f t="shared" si="42"/>
        <v>1969 q1</v>
      </c>
    </row>
    <row r="2412" spans="1:3">
      <c r="A2412" s="62">
        <v>25240</v>
      </c>
      <c r="B2412">
        <v>0.52149999999999996</v>
      </c>
      <c r="C2412" t="str">
        <f t="shared" si="42"/>
        <v>1969 q1</v>
      </c>
    </row>
    <row r="2413" spans="1:3">
      <c r="A2413" s="62">
        <v>25241</v>
      </c>
      <c r="B2413">
        <v>0.51100000000000001</v>
      </c>
      <c r="C2413" t="str">
        <f t="shared" si="42"/>
        <v>1969 q1</v>
      </c>
    </row>
    <row r="2414" spans="1:3">
      <c r="A2414" s="62">
        <v>25245</v>
      </c>
      <c r="B2414">
        <v>0.51800000000000002</v>
      </c>
      <c r="C2414" t="str">
        <f t="shared" si="42"/>
        <v>1969 q1</v>
      </c>
    </row>
    <row r="2415" spans="1:3">
      <c r="A2415" s="62">
        <v>25247</v>
      </c>
      <c r="B2415">
        <v>0.51749999999999996</v>
      </c>
      <c r="C2415" t="str">
        <f t="shared" si="42"/>
        <v>1969 q1</v>
      </c>
    </row>
    <row r="2416" spans="1:3">
      <c r="A2416" s="62">
        <v>25248</v>
      </c>
      <c r="B2416">
        <v>0.51800000000000002</v>
      </c>
      <c r="C2416" t="str">
        <f t="shared" si="42"/>
        <v>1969 q1</v>
      </c>
    </row>
    <row r="2417" spans="1:3">
      <c r="A2417" s="62">
        <v>25251</v>
      </c>
      <c r="B2417">
        <v>0.52800000000000002</v>
      </c>
      <c r="C2417" t="str">
        <f t="shared" si="42"/>
        <v>1969 q1</v>
      </c>
    </row>
    <row r="2418" spans="1:3">
      <c r="A2418" s="62">
        <v>25252</v>
      </c>
      <c r="B2418">
        <v>0.53849999999999998</v>
      </c>
      <c r="C2418" t="str">
        <f t="shared" si="42"/>
        <v>1969 q1</v>
      </c>
    </row>
    <row r="2419" spans="1:3">
      <c r="A2419" s="62">
        <v>25253</v>
      </c>
      <c r="B2419">
        <v>0.53600000000000003</v>
      </c>
      <c r="C2419" t="str">
        <f t="shared" si="42"/>
        <v>1969 q1</v>
      </c>
    </row>
    <row r="2420" spans="1:3">
      <c r="A2420" s="62">
        <v>25254</v>
      </c>
      <c r="B2420">
        <v>0.53349999999999997</v>
      </c>
      <c r="C2420" t="str">
        <f t="shared" si="42"/>
        <v>1969 q1</v>
      </c>
    </row>
    <row r="2421" spans="1:3">
      <c r="A2421" s="62">
        <v>25258</v>
      </c>
      <c r="B2421">
        <v>0.52649999999999997</v>
      </c>
      <c r="C2421" t="str">
        <f t="shared" si="42"/>
        <v>1969 q1</v>
      </c>
    </row>
    <row r="2422" spans="1:3">
      <c r="A2422" s="62">
        <v>25259</v>
      </c>
      <c r="B2422">
        <v>0.51380000000000003</v>
      </c>
      <c r="C2422" t="str">
        <f t="shared" si="42"/>
        <v>1969 q1</v>
      </c>
    </row>
    <row r="2423" spans="1:3">
      <c r="A2423" s="62">
        <v>25260</v>
      </c>
      <c r="B2423">
        <v>0.51719999999999999</v>
      </c>
      <c r="C2423" t="str">
        <f t="shared" si="42"/>
        <v>1969 q1</v>
      </c>
    </row>
    <row r="2424" spans="1:3">
      <c r="A2424" s="62">
        <v>25261</v>
      </c>
      <c r="B2424">
        <v>0.51449999999999996</v>
      </c>
      <c r="C2424" t="str">
        <f t="shared" si="42"/>
        <v>1969 q1</v>
      </c>
    </row>
    <row r="2425" spans="1:3">
      <c r="A2425" s="62">
        <v>25262</v>
      </c>
      <c r="B2425">
        <v>0.50819999999999999</v>
      </c>
      <c r="C2425" t="str">
        <f t="shared" si="42"/>
        <v>1969 q1</v>
      </c>
    </row>
    <row r="2426" spans="1:3">
      <c r="A2426" s="62">
        <v>25265</v>
      </c>
      <c r="B2426">
        <v>0.504</v>
      </c>
      <c r="C2426" t="str">
        <f t="shared" si="42"/>
        <v>1969 q1</v>
      </c>
    </row>
    <row r="2427" spans="1:3">
      <c r="A2427" s="62">
        <v>25266</v>
      </c>
      <c r="B2427">
        <v>0.51049999999999995</v>
      </c>
      <c r="C2427" t="str">
        <f t="shared" si="42"/>
        <v>1969 q1</v>
      </c>
    </row>
    <row r="2428" spans="1:3">
      <c r="A2428" s="62">
        <v>25267</v>
      </c>
      <c r="B2428">
        <v>0.51500000000000001</v>
      </c>
      <c r="C2428" t="str">
        <f t="shared" si="42"/>
        <v>1969 q1</v>
      </c>
    </row>
    <row r="2429" spans="1:3">
      <c r="A2429" s="62">
        <v>25268</v>
      </c>
      <c r="B2429">
        <v>0.51600000000000001</v>
      </c>
      <c r="C2429" t="str">
        <f t="shared" si="42"/>
        <v>1969 q1</v>
      </c>
    </row>
    <row r="2430" spans="1:3">
      <c r="A2430" s="62">
        <v>25269</v>
      </c>
      <c r="B2430">
        <v>0.51849999999999996</v>
      </c>
      <c r="C2430" t="str">
        <f t="shared" si="42"/>
        <v>1969 q1</v>
      </c>
    </row>
    <row r="2431" spans="1:3">
      <c r="A2431" s="62">
        <v>25272</v>
      </c>
      <c r="B2431">
        <v>0.52600000000000002</v>
      </c>
      <c r="C2431" t="str">
        <f t="shared" si="42"/>
        <v>1969 q1</v>
      </c>
    </row>
    <row r="2432" spans="1:3">
      <c r="A2432" s="62">
        <v>25273</v>
      </c>
      <c r="B2432">
        <v>0.52500000000000002</v>
      </c>
      <c r="C2432" t="str">
        <f t="shared" si="42"/>
        <v>1969 q1</v>
      </c>
    </row>
    <row r="2433" spans="1:3">
      <c r="A2433" s="62">
        <v>25274</v>
      </c>
      <c r="B2433">
        <v>0.53</v>
      </c>
      <c r="C2433" t="str">
        <f t="shared" si="42"/>
        <v>1969 q1</v>
      </c>
    </row>
    <row r="2434" spans="1:3">
      <c r="A2434" s="62">
        <v>25275</v>
      </c>
      <c r="B2434">
        <v>0.53249999999999997</v>
      </c>
      <c r="C2434" t="str">
        <f t="shared" si="42"/>
        <v>1969 q1</v>
      </c>
    </row>
    <row r="2435" spans="1:3">
      <c r="A2435" s="62">
        <v>25276</v>
      </c>
      <c r="B2435">
        <v>0.53900000000000003</v>
      </c>
      <c r="C2435" t="str">
        <f t="shared" si="42"/>
        <v>1969 q1</v>
      </c>
    </row>
    <row r="2436" spans="1:3">
      <c r="A2436" s="62">
        <v>25279</v>
      </c>
      <c r="B2436">
        <v>0.54749999999999999</v>
      </c>
      <c r="C2436" t="str">
        <f t="shared" si="42"/>
        <v>1969 q1</v>
      </c>
    </row>
    <row r="2437" spans="1:3">
      <c r="A2437" s="62">
        <v>25280</v>
      </c>
      <c r="B2437">
        <v>0.54300000000000004</v>
      </c>
      <c r="C2437" t="str">
        <f t="shared" si="42"/>
        <v>1969 q1</v>
      </c>
    </row>
    <row r="2438" spans="1:3">
      <c r="A2438" s="62">
        <v>25281</v>
      </c>
      <c r="B2438">
        <v>0.54249999999999998</v>
      </c>
      <c r="C2438" t="str">
        <f t="shared" si="42"/>
        <v>1969 q1</v>
      </c>
    </row>
    <row r="2439" spans="1:3">
      <c r="A2439" s="62">
        <v>25282</v>
      </c>
      <c r="B2439">
        <v>0.54800000000000004</v>
      </c>
      <c r="C2439" t="str">
        <f t="shared" si="42"/>
        <v>1969 q1</v>
      </c>
    </row>
    <row r="2440" spans="1:3">
      <c r="A2440" s="62">
        <v>25283</v>
      </c>
      <c r="B2440">
        <v>0.54800000000000004</v>
      </c>
      <c r="C2440" t="str">
        <f t="shared" si="42"/>
        <v>1969 q1</v>
      </c>
    </row>
    <row r="2441" spans="1:3">
      <c r="A2441" s="62">
        <v>25286</v>
      </c>
      <c r="B2441">
        <v>0.55000000000000004</v>
      </c>
      <c r="C2441" t="str">
        <f t="shared" si="42"/>
        <v>1969 q1</v>
      </c>
    </row>
    <row r="2442" spans="1:3">
      <c r="A2442" s="62">
        <v>25287</v>
      </c>
      <c r="B2442">
        <v>0.56000000000000005</v>
      </c>
      <c r="C2442" t="str">
        <f t="shared" si="42"/>
        <v>1969 q1</v>
      </c>
    </row>
    <row r="2443" spans="1:3">
      <c r="A2443" s="62">
        <v>25288</v>
      </c>
      <c r="B2443">
        <v>0.5675</v>
      </c>
      <c r="C2443" t="str">
        <f t="shared" si="42"/>
        <v>1969 q1</v>
      </c>
    </row>
    <row r="2444" spans="1:3">
      <c r="A2444" s="62">
        <v>25289</v>
      </c>
      <c r="B2444">
        <v>0.57050000000000001</v>
      </c>
      <c r="C2444" t="str">
        <f t="shared" si="42"/>
        <v>1969 q1</v>
      </c>
    </row>
    <row r="2445" spans="1:3">
      <c r="A2445" s="62">
        <v>25290</v>
      </c>
      <c r="B2445">
        <v>0.56899999999999995</v>
      </c>
      <c r="C2445" t="str">
        <f t="shared" si="42"/>
        <v>1969 q1</v>
      </c>
    </row>
    <row r="2446" spans="1:3">
      <c r="A2446" s="62">
        <v>25294</v>
      </c>
      <c r="B2446">
        <v>0.56100000000000005</v>
      </c>
      <c r="C2446" t="str">
        <f t="shared" si="42"/>
        <v>1969 q2</v>
      </c>
    </row>
    <row r="2447" spans="1:3">
      <c r="A2447" s="62">
        <v>25295</v>
      </c>
      <c r="B2447">
        <v>0.56599999999999995</v>
      </c>
      <c r="C2447" t="str">
        <f t="shared" si="42"/>
        <v>1969 q2</v>
      </c>
    </row>
    <row r="2448" spans="1:3">
      <c r="A2448" s="62">
        <v>25296</v>
      </c>
      <c r="B2448">
        <v>0.57250000000000001</v>
      </c>
      <c r="C2448" t="str">
        <f t="shared" si="42"/>
        <v>1969 q2</v>
      </c>
    </row>
    <row r="2449" spans="1:3">
      <c r="A2449" s="62">
        <v>25300</v>
      </c>
      <c r="B2449">
        <v>0.57250000000000001</v>
      </c>
      <c r="C2449" t="str">
        <f t="shared" si="42"/>
        <v>1969 q2</v>
      </c>
    </row>
    <row r="2450" spans="1:3">
      <c r="A2450" s="62">
        <v>25301</v>
      </c>
      <c r="B2450">
        <v>0.57350000000000001</v>
      </c>
      <c r="C2450" t="str">
        <f t="shared" ref="C2450:C2513" si="43">YEAR(A2450)&amp;" q"&amp;ROUNDUP(MONTH(A2450)/3,0)</f>
        <v>1969 q2</v>
      </c>
    </row>
    <row r="2451" spans="1:3">
      <c r="A2451" s="62">
        <v>25302</v>
      </c>
      <c r="B2451">
        <v>0.58599999999999997</v>
      </c>
      <c r="C2451" t="str">
        <f t="shared" si="43"/>
        <v>1969 q2</v>
      </c>
    </row>
    <row r="2452" spans="1:3">
      <c r="A2452" s="62">
        <v>25303</v>
      </c>
      <c r="B2452">
        <v>0.59450000000000003</v>
      </c>
      <c r="C2452" t="str">
        <f t="shared" si="43"/>
        <v>1969 q2</v>
      </c>
    </row>
    <row r="2453" spans="1:3">
      <c r="A2453" s="62">
        <v>25304</v>
      </c>
      <c r="B2453">
        <v>0.6</v>
      </c>
      <c r="C2453" t="str">
        <f t="shared" si="43"/>
        <v>1969 q2</v>
      </c>
    </row>
    <row r="2454" spans="1:3">
      <c r="A2454" s="62">
        <v>25307</v>
      </c>
      <c r="B2454">
        <v>0.59250000000000003</v>
      </c>
      <c r="C2454" t="str">
        <f t="shared" si="43"/>
        <v>1969 q2</v>
      </c>
    </row>
    <row r="2455" spans="1:3">
      <c r="A2455" s="62">
        <v>25308</v>
      </c>
      <c r="B2455">
        <v>0.59450000000000003</v>
      </c>
      <c r="C2455" t="str">
        <f t="shared" si="43"/>
        <v>1969 q2</v>
      </c>
    </row>
    <row r="2456" spans="1:3">
      <c r="A2456" s="62">
        <v>25309</v>
      </c>
      <c r="B2456">
        <v>0.61450000000000005</v>
      </c>
      <c r="C2456" t="str">
        <f t="shared" si="43"/>
        <v>1969 q2</v>
      </c>
    </row>
    <row r="2457" spans="1:3">
      <c r="A2457" s="62">
        <v>25310</v>
      </c>
      <c r="B2457">
        <v>0.61499999999999999</v>
      </c>
      <c r="C2457" t="str">
        <f t="shared" si="43"/>
        <v>1969 q2</v>
      </c>
    </row>
    <row r="2458" spans="1:3">
      <c r="A2458" s="62">
        <v>25311</v>
      </c>
      <c r="B2458">
        <v>0.627</v>
      </c>
      <c r="C2458" t="str">
        <f t="shared" si="43"/>
        <v>1969 q2</v>
      </c>
    </row>
    <row r="2459" spans="1:3">
      <c r="A2459" s="62">
        <v>25314</v>
      </c>
      <c r="B2459">
        <v>0.63</v>
      </c>
      <c r="C2459" t="str">
        <f t="shared" si="43"/>
        <v>1969 q2</v>
      </c>
    </row>
    <row r="2460" spans="1:3">
      <c r="A2460" s="62">
        <v>25315</v>
      </c>
      <c r="B2460">
        <v>0.63749999999999996</v>
      </c>
      <c r="C2460" t="str">
        <f t="shared" si="43"/>
        <v>1969 q2</v>
      </c>
    </row>
    <row r="2461" spans="1:3">
      <c r="A2461" s="62">
        <v>25316</v>
      </c>
      <c r="B2461">
        <v>0.64700000000000002</v>
      </c>
      <c r="C2461" t="str">
        <f t="shared" si="43"/>
        <v>1969 q2</v>
      </c>
    </row>
    <row r="2462" spans="1:3">
      <c r="A2462" s="62">
        <v>25317</v>
      </c>
      <c r="B2462">
        <v>0.63900000000000001</v>
      </c>
      <c r="C2462" t="str">
        <f t="shared" si="43"/>
        <v>1969 q2</v>
      </c>
    </row>
    <row r="2463" spans="1:3">
      <c r="A2463" s="62">
        <v>25318</v>
      </c>
      <c r="B2463">
        <v>0.6321</v>
      </c>
      <c r="C2463" t="str">
        <f t="shared" si="43"/>
        <v>1969 q2</v>
      </c>
    </row>
    <row r="2464" spans="1:3">
      <c r="A2464" s="62">
        <v>25321</v>
      </c>
      <c r="B2464">
        <v>0.62919999999999998</v>
      </c>
      <c r="C2464" t="str">
        <f t="shared" si="43"/>
        <v>1969 q2</v>
      </c>
    </row>
    <row r="2465" spans="1:3">
      <c r="A2465" s="62">
        <v>25322</v>
      </c>
      <c r="B2465">
        <v>0.60629999999999995</v>
      </c>
      <c r="C2465" t="str">
        <f t="shared" si="43"/>
        <v>1969 q2</v>
      </c>
    </row>
    <row r="2466" spans="1:3">
      <c r="A2466" s="62">
        <v>25323</v>
      </c>
      <c r="B2466">
        <v>0.57840000000000003</v>
      </c>
      <c r="C2466" t="str">
        <f t="shared" si="43"/>
        <v>1969 q2</v>
      </c>
    </row>
    <row r="2467" spans="1:3">
      <c r="A2467" s="62">
        <v>25324</v>
      </c>
      <c r="B2467">
        <v>0.57499999999999996</v>
      </c>
      <c r="C2467" t="str">
        <f t="shared" si="43"/>
        <v>1969 q2</v>
      </c>
    </row>
    <row r="2468" spans="1:3">
      <c r="A2468" s="62">
        <v>25325</v>
      </c>
      <c r="B2468">
        <v>0.57850000000000001</v>
      </c>
      <c r="C2468" t="str">
        <f t="shared" si="43"/>
        <v>1969 q2</v>
      </c>
    </row>
    <row r="2469" spans="1:3">
      <c r="A2469" s="62">
        <v>25328</v>
      </c>
      <c r="B2469">
        <v>0.56499999999999995</v>
      </c>
      <c r="C2469" t="str">
        <f t="shared" si="43"/>
        <v>1969 q2</v>
      </c>
    </row>
    <row r="2470" spans="1:3">
      <c r="A2470" s="62">
        <v>25329</v>
      </c>
      <c r="B2470">
        <v>0.5625</v>
      </c>
      <c r="C2470" t="str">
        <f t="shared" si="43"/>
        <v>1969 q2</v>
      </c>
    </row>
    <row r="2471" spans="1:3">
      <c r="A2471" s="62">
        <v>25330</v>
      </c>
      <c r="B2471">
        <v>0.57199999999999995</v>
      </c>
      <c r="C2471" t="str">
        <f t="shared" si="43"/>
        <v>1969 q2</v>
      </c>
    </row>
    <row r="2472" spans="1:3">
      <c r="A2472" s="62">
        <v>25331</v>
      </c>
      <c r="B2472">
        <v>0.56799999999999995</v>
      </c>
      <c r="C2472" t="str">
        <f t="shared" si="43"/>
        <v>1969 q2</v>
      </c>
    </row>
    <row r="2473" spans="1:3">
      <c r="A2473" s="62">
        <v>25332</v>
      </c>
      <c r="B2473">
        <v>0.56499999999999995</v>
      </c>
      <c r="C2473" t="str">
        <f t="shared" si="43"/>
        <v>1969 q2</v>
      </c>
    </row>
    <row r="2474" spans="1:3">
      <c r="A2474" s="62">
        <v>25335</v>
      </c>
      <c r="B2474">
        <v>0.56000000000000005</v>
      </c>
      <c r="C2474" t="str">
        <f t="shared" si="43"/>
        <v>1969 q2</v>
      </c>
    </row>
    <row r="2475" spans="1:3">
      <c r="A2475" s="62">
        <v>25336</v>
      </c>
      <c r="B2475">
        <v>0.5665</v>
      </c>
      <c r="C2475" t="str">
        <f t="shared" si="43"/>
        <v>1969 q2</v>
      </c>
    </row>
    <row r="2476" spans="1:3">
      <c r="A2476" s="62">
        <v>25337</v>
      </c>
      <c r="B2476">
        <v>0.56100000000000005</v>
      </c>
      <c r="C2476" t="str">
        <f t="shared" si="43"/>
        <v>1969 q2</v>
      </c>
    </row>
    <row r="2477" spans="1:3">
      <c r="A2477" s="62">
        <v>25338</v>
      </c>
      <c r="B2477">
        <v>0.57099999999999995</v>
      </c>
      <c r="C2477" t="str">
        <f t="shared" si="43"/>
        <v>1969 q2</v>
      </c>
    </row>
    <row r="2478" spans="1:3">
      <c r="A2478" s="62">
        <v>25339</v>
      </c>
      <c r="B2478">
        <v>0.57850000000000001</v>
      </c>
      <c r="C2478" t="str">
        <f t="shared" si="43"/>
        <v>1969 q2</v>
      </c>
    </row>
    <row r="2479" spans="1:3">
      <c r="A2479" s="62">
        <v>25342</v>
      </c>
      <c r="B2479">
        <v>0.57450000000000001</v>
      </c>
      <c r="C2479" t="str">
        <f t="shared" si="43"/>
        <v>1969 q2</v>
      </c>
    </row>
    <row r="2480" spans="1:3">
      <c r="A2480" s="62">
        <v>25343</v>
      </c>
      <c r="B2480">
        <v>0.57999999999999996</v>
      </c>
      <c r="C2480" t="str">
        <f t="shared" si="43"/>
        <v>1969 q2</v>
      </c>
    </row>
    <row r="2481" spans="1:3">
      <c r="A2481" s="62">
        <v>25344</v>
      </c>
      <c r="B2481">
        <v>0.5786</v>
      </c>
      <c r="C2481" t="str">
        <f t="shared" si="43"/>
        <v>1969 q2</v>
      </c>
    </row>
    <row r="2482" spans="1:3">
      <c r="A2482" s="62">
        <v>25345</v>
      </c>
      <c r="B2482">
        <v>0.57699999999999996</v>
      </c>
      <c r="C2482" t="str">
        <f t="shared" si="43"/>
        <v>1969 q2</v>
      </c>
    </row>
    <row r="2483" spans="1:3">
      <c r="A2483" s="62">
        <v>25346</v>
      </c>
      <c r="B2483">
        <v>0.58089999999999997</v>
      </c>
      <c r="C2483" t="str">
        <f t="shared" si="43"/>
        <v>1969 q2</v>
      </c>
    </row>
    <row r="2484" spans="1:3">
      <c r="A2484" s="62">
        <v>25349</v>
      </c>
      <c r="B2484">
        <v>0.58650000000000002</v>
      </c>
      <c r="C2484" t="str">
        <f t="shared" si="43"/>
        <v>1969 q2</v>
      </c>
    </row>
    <row r="2485" spans="1:3">
      <c r="A2485" s="62">
        <v>25350</v>
      </c>
      <c r="B2485">
        <v>0.59050000000000002</v>
      </c>
      <c r="C2485" t="str">
        <f t="shared" si="43"/>
        <v>1969 q2</v>
      </c>
    </row>
    <row r="2486" spans="1:3">
      <c r="A2486" s="62">
        <v>25351</v>
      </c>
      <c r="B2486">
        <v>0.59950000000000003</v>
      </c>
      <c r="C2486" t="str">
        <f t="shared" si="43"/>
        <v>1969 q2</v>
      </c>
    </row>
    <row r="2487" spans="1:3">
      <c r="A2487" s="62">
        <v>25352</v>
      </c>
      <c r="B2487">
        <v>0.59450000000000003</v>
      </c>
      <c r="C2487" t="str">
        <f t="shared" si="43"/>
        <v>1969 q2</v>
      </c>
    </row>
    <row r="2488" spans="1:3">
      <c r="A2488" s="62">
        <v>25356</v>
      </c>
      <c r="B2488">
        <v>0.61199999999999999</v>
      </c>
      <c r="C2488" t="str">
        <f t="shared" si="43"/>
        <v>1969 q2</v>
      </c>
    </row>
    <row r="2489" spans="1:3">
      <c r="A2489" s="62">
        <v>25357</v>
      </c>
      <c r="B2489">
        <v>0.61750000000000005</v>
      </c>
      <c r="C2489" t="str">
        <f t="shared" si="43"/>
        <v>1969 q2</v>
      </c>
    </row>
    <row r="2490" spans="1:3">
      <c r="A2490" s="62">
        <v>25358</v>
      </c>
      <c r="B2490">
        <v>0.60599999999999998</v>
      </c>
      <c r="C2490" t="str">
        <f t="shared" si="43"/>
        <v>1969 q2</v>
      </c>
    </row>
    <row r="2491" spans="1:3">
      <c r="A2491" s="62">
        <v>25359</v>
      </c>
      <c r="B2491">
        <v>0.59299999999999997</v>
      </c>
      <c r="C2491" t="str">
        <f t="shared" si="43"/>
        <v>1969 q2</v>
      </c>
    </row>
    <row r="2492" spans="1:3">
      <c r="A2492" s="62">
        <v>25360</v>
      </c>
      <c r="B2492">
        <v>0.59899999999999998</v>
      </c>
      <c r="C2492" t="str">
        <f t="shared" si="43"/>
        <v>1969 q2</v>
      </c>
    </row>
    <row r="2493" spans="1:3">
      <c r="A2493" s="62">
        <v>25363</v>
      </c>
      <c r="B2493">
        <v>0.60899999999999999</v>
      </c>
      <c r="C2493" t="str">
        <f t="shared" si="43"/>
        <v>1969 q2</v>
      </c>
    </row>
    <row r="2494" spans="1:3">
      <c r="A2494" s="62">
        <v>25364</v>
      </c>
      <c r="B2494">
        <v>0.60150000000000003</v>
      </c>
      <c r="C2494" t="str">
        <f t="shared" si="43"/>
        <v>1969 q2</v>
      </c>
    </row>
    <row r="2495" spans="1:3">
      <c r="A2495" s="62">
        <v>25365</v>
      </c>
      <c r="B2495">
        <v>0.61599999999999999</v>
      </c>
      <c r="C2495" t="str">
        <f t="shared" si="43"/>
        <v>1969 q2</v>
      </c>
    </row>
    <row r="2496" spans="1:3">
      <c r="A2496" s="62">
        <v>25366</v>
      </c>
      <c r="B2496">
        <v>0.61250000000000004</v>
      </c>
      <c r="C2496" t="str">
        <f t="shared" si="43"/>
        <v>1969 q2</v>
      </c>
    </row>
    <row r="2497" spans="1:3">
      <c r="A2497" s="62">
        <v>25367</v>
      </c>
      <c r="B2497">
        <v>0.60799999999999998</v>
      </c>
      <c r="C2497" t="str">
        <f t="shared" si="43"/>
        <v>1969 q2</v>
      </c>
    </row>
    <row r="2498" spans="1:3">
      <c r="A2498" s="62">
        <v>25370</v>
      </c>
      <c r="B2498">
        <v>0.61529999999999996</v>
      </c>
      <c r="C2498" t="str">
        <f t="shared" si="43"/>
        <v>1969 q2</v>
      </c>
    </row>
    <row r="2499" spans="1:3">
      <c r="A2499" s="62">
        <v>25371</v>
      </c>
      <c r="B2499">
        <v>0.61150000000000004</v>
      </c>
      <c r="C2499" t="str">
        <f t="shared" si="43"/>
        <v>1969 q2</v>
      </c>
    </row>
    <row r="2500" spans="1:3">
      <c r="A2500" s="62">
        <v>25372</v>
      </c>
      <c r="B2500">
        <v>0.61299999999999999</v>
      </c>
      <c r="C2500" t="str">
        <f t="shared" si="43"/>
        <v>1969 q2</v>
      </c>
    </row>
    <row r="2501" spans="1:3">
      <c r="A2501" s="62">
        <v>25373</v>
      </c>
      <c r="B2501">
        <v>0.60950000000000004</v>
      </c>
      <c r="C2501" t="str">
        <f t="shared" si="43"/>
        <v>1969 q2</v>
      </c>
    </row>
    <row r="2502" spans="1:3">
      <c r="A2502" s="62">
        <v>25374</v>
      </c>
      <c r="B2502">
        <v>0.60699999999999998</v>
      </c>
      <c r="C2502" t="str">
        <f t="shared" si="43"/>
        <v>1969 q2</v>
      </c>
    </row>
    <row r="2503" spans="1:3">
      <c r="A2503" s="62">
        <v>25377</v>
      </c>
      <c r="B2503">
        <v>0.60750000000000004</v>
      </c>
      <c r="C2503" t="str">
        <f t="shared" si="43"/>
        <v>1969 q2</v>
      </c>
    </row>
    <row r="2504" spans="1:3">
      <c r="A2504" s="62">
        <v>25378</v>
      </c>
      <c r="B2504">
        <v>0.60099999999999998</v>
      </c>
      <c r="C2504" t="str">
        <f t="shared" si="43"/>
        <v>1969 q2</v>
      </c>
    </row>
    <row r="2505" spans="1:3">
      <c r="A2505" s="62">
        <v>25379</v>
      </c>
      <c r="B2505">
        <v>0.5867</v>
      </c>
      <c r="C2505" t="str">
        <f t="shared" si="43"/>
        <v>1969 q2</v>
      </c>
    </row>
    <row r="2506" spans="1:3">
      <c r="A2506" s="62">
        <v>25380</v>
      </c>
      <c r="B2506">
        <v>0.57679999999999998</v>
      </c>
      <c r="C2506" t="str">
        <f t="shared" si="43"/>
        <v>1969 q2</v>
      </c>
    </row>
    <row r="2507" spans="1:3">
      <c r="A2507" s="62">
        <v>25381</v>
      </c>
      <c r="B2507">
        <v>0.57440000000000002</v>
      </c>
      <c r="C2507" t="str">
        <f t="shared" si="43"/>
        <v>1969 q2</v>
      </c>
    </row>
    <row r="2508" spans="1:3">
      <c r="A2508" s="62">
        <v>25384</v>
      </c>
      <c r="B2508">
        <v>0.5927</v>
      </c>
      <c r="C2508" t="str">
        <f t="shared" si="43"/>
        <v>1969 q2</v>
      </c>
    </row>
    <row r="2509" spans="1:3">
      <c r="A2509" s="62">
        <v>25385</v>
      </c>
      <c r="B2509">
        <v>0.57850000000000001</v>
      </c>
      <c r="C2509" t="str">
        <f t="shared" si="43"/>
        <v>1969 q3</v>
      </c>
    </row>
    <row r="2510" spans="1:3">
      <c r="A2510" s="62">
        <v>25386</v>
      </c>
      <c r="B2510">
        <v>0.58399999999999996</v>
      </c>
      <c r="C2510" t="str">
        <f t="shared" si="43"/>
        <v>1969 q3</v>
      </c>
    </row>
    <row r="2511" spans="1:3">
      <c r="A2511" s="62">
        <v>25387</v>
      </c>
      <c r="B2511">
        <v>0.59599999999999997</v>
      </c>
      <c r="C2511" t="str">
        <f t="shared" si="43"/>
        <v>1969 q3</v>
      </c>
    </row>
    <row r="2512" spans="1:3">
      <c r="A2512" s="62">
        <v>25391</v>
      </c>
      <c r="B2512">
        <v>0.59050000000000002</v>
      </c>
      <c r="C2512" t="str">
        <f t="shared" si="43"/>
        <v>1969 q3</v>
      </c>
    </row>
    <row r="2513" spans="1:3">
      <c r="A2513" s="62">
        <v>25392</v>
      </c>
      <c r="B2513">
        <v>0.59</v>
      </c>
      <c r="C2513" t="str">
        <f t="shared" si="43"/>
        <v>1969 q3</v>
      </c>
    </row>
    <row r="2514" spans="1:3">
      <c r="A2514" s="62">
        <v>25393</v>
      </c>
      <c r="B2514">
        <v>0.59550000000000003</v>
      </c>
      <c r="C2514" t="str">
        <f t="shared" ref="C2514:C2577" si="44">YEAR(A2514)&amp;" q"&amp;ROUNDUP(MONTH(A2514)/3,0)</f>
        <v>1969 q3</v>
      </c>
    </row>
    <row r="2515" spans="1:3">
      <c r="A2515" s="62">
        <v>25394</v>
      </c>
      <c r="B2515">
        <v>0.59050000000000002</v>
      </c>
      <c r="C2515" t="str">
        <f t="shared" si="44"/>
        <v>1969 q3</v>
      </c>
    </row>
    <row r="2516" spans="1:3">
      <c r="A2516" s="62">
        <v>25395</v>
      </c>
      <c r="B2516">
        <v>0.59</v>
      </c>
      <c r="C2516" t="str">
        <f t="shared" si="44"/>
        <v>1969 q3</v>
      </c>
    </row>
    <row r="2517" spans="1:3">
      <c r="A2517" s="62">
        <v>25398</v>
      </c>
      <c r="B2517">
        <v>0.58599999999999997</v>
      </c>
      <c r="C2517" t="str">
        <f t="shared" si="44"/>
        <v>1969 q3</v>
      </c>
    </row>
    <row r="2518" spans="1:3">
      <c r="A2518" s="62">
        <v>25399</v>
      </c>
      <c r="B2518">
        <v>0.59350000000000003</v>
      </c>
      <c r="C2518" t="str">
        <f t="shared" si="44"/>
        <v>1969 q3</v>
      </c>
    </row>
    <row r="2519" spans="1:3">
      <c r="A2519" s="62">
        <v>25400</v>
      </c>
      <c r="B2519">
        <v>0.60950000000000004</v>
      </c>
      <c r="C2519" t="str">
        <f t="shared" si="44"/>
        <v>1969 q3</v>
      </c>
    </row>
    <row r="2520" spans="1:3">
      <c r="A2520" s="62">
        <v>25401</v>
      </c>
      <c r="B2520">
        <v>0.61050000000000004</v>
      </c>
      <c r="C2520" t="str">
        <f t="shared" si="44"/>
        <v>1969 q3</v>
      </c>
    </row>
    <row r="2521" spans="1:3">
      <c r="A2521" s="62">
        <v>25402</v>
      </c>
      <c r="B2521">
        <v>0.61750000000000005</v>
      </c>
      <c r="C2521" t="str">
        <f t="shared" si="44"/>
        <v>1969 q3</v>
      </c>
    </row>
    <row r="2522" spans="1:3">
      <c r="A2522" s="62">
        <v>25406</v>
      </c>
      <c r="B2522">
        <v>0.61699999999999999</v>
      </c>
      <c r="C2522" t="str">
        <f t="shared" si="44"/>
        <v>1969 q3</v>
      </c>
    </row>
    <row r="2523" spans="1:3">
      <c r="A2523" s="62">
        <v>25407</v>
      </c>
      <c r="B2523">
        <v>0.61050000000000004</v>
      </c>
      <c r="C2523" t="str">
        <f t="shared" si="44"/>
        <v>1969 q3</v>
      </c>
    </row>
    <row r="2524" spans="1:3">
      <c r="A2524" s="62">
        <v>25408</v>
      </c>
      <c r="B2524">
        <v>0.622</v>
      </c>
      <c r="C2524" t="str">
        <f t="shared" si="44"/>
        <v>1969 q3</v>
      </c>
    </row>
    <row r="2525" spans="1:3">
      <c r="A2525" s="62">
        <v>25409</v>
      </c>
      <c r="B2525">
        <v>0.61899999999999999</v>
      </c>
      <c r="C2525" t="str">
        <f t="shared" si="44"/>
        <v>1969 q3</v>
      </c>
    </row>
    <row r="2526" spans="1:3">
      <c r="A2526" s="62">
        <v>25412</v>
      </c>
      <c r="B2526">
        <v>0.63400000000000001</v>
      </c>
      <c r="C2526" t="str">
        <f t="shared" si="44"/>
        <v>1969 q3</v>
      </c>
    </row>
    <row r="2527" spans="1:3">
      <c r="A2527" s="62">
        <v>25413</v>
      </c>
      <c r="B2527">
        <v>0.65</v>
      </c>
      <c r="C2527" t="str">
        <f t="shared" si="44"/>
        <v>1969 q3</v>
      </c>
    </row>
    <row r="2528" spans="1:3">
      <c r="A2528" s="62">
        <v>25414</v>
      </c>
      <c r="B2528">
        <v>0.63949999999999996</v>
      </c>
      <c r="C2528" t="str">
        <f t="shared" si="44"/>
        <v>1969 q3</v>
      </c>
    </row>
    <row r="2529" spans="1:3">
      <c r="A2529" s="62">
        <v>25415</v>
      </c>
      <c r="B2529">
        <v>0.64100000000000001</v>
      </c>
      <c r="C2529" t="str">
        <f t="shared" si="44"/>
        <v>1969 q3</v>
      </c>
    </row>
    <row r="2530" spans="1:3">
      <c r="A2530" s="62">
        <v>25416</v>
      </c>
      <c r="B2530">
        <v>0.63549999999999995</v>
      </c>
      <c r="C2530" t="str">
        <f t="shared" si="44"/>
        <v>1969 q3</v>
      </c>
    </row>
    <row r="2531" spans="1:3">
      <c r="A2531" s="62">
        <v>25419</v>
      </c>
      <c r="B2531">
        <v>0.65349999999999997</v>
      </c>
      <c r="C2531" t="str">
        <f t="shared" si="44"/>
        <v>1969 q3</v>
      </c>
    </row>
    <row r="2532" spans="1:3">
      <c r="A2532" s="62">
        <v>25420</v>
      </c>
      <c r="B2532">
        <v>0.64600000000000002</v>
      </c>
      <c r="C2532" t="str">
        <f t="shared" si="44"/>
        <v>1969 q3</v>
      </c>
    </row>
    <row r="2533" spans="1:3">
      <c r="A2533" s="62">
        <v>25421</v>
      </c>
      <c r="B2533">
        <v>0.65249999999999997</v>
      </c>
      <c r="C2533" t="str">
        <f t="shared" si="44"/>
        <v>1969 q3</v>
      </c>
    </row>
    <row r="2534" spans="1:3">
      <c r="A2534" s="62">
        <v>25422</v>
      </c>
      <c r="B2534">
        <v>0.64549999999999996</v>
      </c>
      <c r="C2534" t="str">
        <f t="shared" si="44"/>
        <v>1969 q3</v>
      </c>
    </row>
    <row r="2535" spans="1:3">
      <c r="A2535" s="62">
        <v>25423</v>
      </c>
      <c r="B2535">
        <v>0.65349999999999997</v>
      </c>
      <c r="C2535" t="str">
        <f t="shared" si="44"/>
        <v>1969 q3</v>
      </c>
    </row>
    <row r="2536" spans="1:3">
      <c r="A2536" s="62">
        <v>25426</v>
      </c>
      <c r="B2536">
        <v>0.66149999999999998</v>
      </c>
      <c r="C2536" t="str">
        <f t="shared" si="44"/>
        <v>1969 q3</v>
      </c>
    </row>
    <row r="2537" spans="1:3">
      <c r="A2537" s="62">
        <v>25427</v>
      </c>
      <c r="B2537">
        <v>0.67700000000000005</v>
      </c>
      <c r="C2537" t="str">
        <f t="shared" si="44"/>
        <v>1969 q3</v>
      </c>
    </row>
    <row r="2538" spans="1:3">
      <c r="A2538" s="62">
        <v>25428</v>
      </c>
      <c r="B2538">
        <v>0.68149999999999999</v>
      </c>
      <c r="C2538" t="str">
        <f t="shared" si="44"/>
        <v>1969 q3</v>
      </c>
    </row>
    <row r="2539" spans="1:3">
      <c r="A2539" s="62">
        <v>25429</v>
      </c>
      <c r="B2539">
        <v>0.67400000000000004</v>
      </c>
      <c r="C2539" t="str">
        <f t="shared" si="44"/>
        <v>1969 q3</v>
      </c>
    </row>
    <row r="2540" spans="1:3">
      <c r="A2540" s="62">
        <v>25430</v>
      </c>
      <c r="B2540">
        <v>0.68300000000000005</v>
      </c>
      <c r="C2540" t="str">
        <f t="shared" si="44"/>
        <v>1969 q3</v>
      </c>
    </row>
    <row r="2541" spans="1:3">
      <c r="A2541" s="62">
        <v>25433</v>
      </c>
      <c r="B2541">
        <v>0.67100000000000004</v>
      </c>
      <c r="C2541" t="str">
        <f t="shared" si="44"/>
        <v>1969 q3</v>
      </c>
    </row>
    <row r="2542" spans="1:3">
      <c r="A2542" s="62">
        <v>25434</v>
      </c>
      <c r="B2542">
        <v>0.66100000000000003</v>
      </c>
      <c r="C2542" t="str">
        <f t="shared" si="44"/>
        <v>1969 q3</v>
      </c>
    </row>
    <row r="2543" spans="1:3">
      <c r="A2543" s="62">
        <v>25435</v>
      </c>
      <c r="B2543">
        <v>0.66949999999999998</v>
      </c>
      <c r="C2543" t="str">
        <f t="shared" si="44"/>
        <v>1969 q3</v>
      </c>
    </row>
    <row r="2544" spans="1:3">
      <c r="A2544" s="62">
        <v>25436</v>
      </c>
      <c r="B2544">
        <v>0.68400000000000005</v>
      </c>
      <c r="C2544" t="str">
        <f t="shared" si="44"/>
        <v>1969 q3</v>
      </c>
    </row>
    <row r="2545" spans="1:3">
      <c r="A2545" s="62">
        <v>25437</v>
      </c>
      <c r="B2545">
        <v>0.67849999999999999</v>
      </c>
      <c r="C2545" t="str">
        <f t="shared" si="44"/>
        <v>1969 q3</v>
      </c>
    </row>
    <row r="2546" spans="1:3">
      <c r="A2546" s="62">
        <v>25440</v>
      </c>
      <c r="B2546">
        <v>0.67900000000000005</v>
      </c>
      <c r="C2546" t="str">
        <f t="shared" si="44"/>
        <v>1969 q3</v>
      </c>
    </row>
    <row r="2547" spans="1:3">
      <c r="A2547" s="62">
        <v>25441</v>
      </c>
      <c r="B2547">
        <v>0.67110000000000003</v>
      </c>
      <c r="C2547" t="str">
        <f t="shared" si="44"/>
        <v>1969 q3</v>
      </c>
    </row>
    <row r="2548" spans="1:3">
      <c r="A2548" s="62">
        <v>25442</v>
      </c>
      <c r="B2548">
        <v>0.66900000000000004</v>
      </c>
      <c r="C2548" t="str">
        <f t="shared" si="44"/>
        <v>1969 q3</v>
      </c>
    </row>
    <row r="2549" spans="1:3">
      <c r="A2549" s="62">
        <v>25443</v>
      </c>
      <c r="B2549">
        <v>0.6744</v>
      </c>
      <c r="C2549" t="str">
        <f t="shared" si="44"/>
        <v>1969 q3</v>
      </c>
    </row>
    <row r="2550" spans="1:3">
      <c r="A2550" s="62">
        <v>25444</v>
      </c>
      <c r="B2550">
        <v>0.6784</v>
      </c>
      <c r="C2550" t="str">
        <f t="shared" si="44"/>
        <v>1969 q3</v>
      </c>
    </row>
    <row r="2551" spans="1:3">
      <c r="A2551" s="62">
        <v>25448</v>
      </c>
      <c r="B2551">
        <v>0.68</v>
      </c>
      <c r="C2551" t="str">
        <f t="shared" si="44"/>
        <v>1969 q3</v>
      </c>
    </row>
    <row r="2552" spans="1:3">
      <c r="A2552" s="62">
        <v>25449</v>
      </c>
      <c r="B2552">
        <v>0.67700000000000005</v>
      </c>
      <c r="C2552" t="str">
        <f t="shared" si="44"/>
        <v>1969 q3</v>
      </c>
    </row>
    <row r="2553" spans="1:3">
      <c r="A2553" s="62">
        <v>25450</v>
      </c>
      <c r="B2553">
        <v>0.68200000000000005</v>
      </c>
      <c r="C2553" t="str">
        <f t="shared" si="44"/>
        <v>1969 q3</v>
      </c>
    </row>
    <row r="2554" spans="1:3">
      <c r="A2554" s="62">
        <v>25451</v>
      </c>
      <c r="B2554">
        <v>0.6865</v>
      </c>
      <c r="C2554" t="str">
        <f t="shared" si="44"/>
        <v>1969 q3</v>
      </c>
    </row>
    <row r="2555" spans="1:3">
      <c r="A2555" s="62">
        <v>25454</v>
      </c>
      <c r="B2555">
        <v>0.68600000000000005</v>
      </c>
      <c r="C2555" t="str">
        <f t="shared" si="44"/>
        <v>1969 q3</v>
      </c>
    </row>
    <row r="2556" spans="1:3">
      <c r="A2556" s="62">
        <v>25455</v>
      </c>
      <c r="B2556">
        <v>0.6845</v>
      </c>
      <c r="C2556" t="str">
        <f t="shared" si="44"/>
        <v>1969 q3</v>
      </c>
    </row>
    <row r="2557" spans="1:3">
      <c r="A2557" s="62">
        <v>25456</v>
      </c>
      <c r="B2557">
        <v>0.67600000000000005</v>
      </c>
      <c r="C2557" t="str">
        <f t="shared" si="44"/>
        <v>1969 q3</v>
      </c>
    </row>
    <row r="2558" spans="1:3">
      <c r="A2558" s="62">
        <v>25457</v>
      </c>
      <c r="B2558">
        <v>0.65600000000000003</v>
      </c>
      <c r="C2558" t="str">
        <f t="shared" si="44"/>
        <v>1969 q3</v>
      </c>
    </row>
    <row r="2559" spans="1:3">
      <c r="A2559" s="62">
        <v>25458</v>
      </c>
      <c r="B2559">
        <v>0.66249999999999998</v>
      </c>
      <c r="C2559" t="str">
        <f t="shared" si="44"/>
        <v>1969 q3</v>
      </c>
    </row>
    <row r="2560" spans="1:3">
      <c r="A2560" s="62">
        <v>25461</v>
      </c>
      <c r="B2560">
        <v>0.66149999999999998</v>
      </c>
      <c r="C2560" t="str">
        <f t="shared" si="44"/>
        <v>1969 q3</v>
      </c>
    </row>
    <row r="2561" spans="1:3">
      <c r="A2561" s="62">
        <v>25462</v>
      </c>
      <c r="B2561">
        <v>0.65149999999999997</v>
      </c>
      <c r="C2561" t="str">
        <f t="shared" si="44"/>
        <v>1969 q3</v>
      </c>
    </row>
    <row r="2562" spans="1:3">
      <c r="A2562" s="62">
        <v>25463</v>
      </c>
      <c r="B2562">
        <v>0.63900000000000001</v>
      </c>
      <c r="C2562" t="str">
        <f t="shared" si="44"/>
        <v>1969 q3</v>
      </c>
    </row>
    <row r="2563" spans="1:3">
      <c r="A2563" s="62">
        <v>25464</v>
      </c>
      <c r="B2563">
        <v>0.64600000000000002</v>
      </c>
      <c r="C2563" t="str">
        <f t="shared" si="44"/>
        <v>1969 q3</v>
      </c>
    </row>
    <row r="2564" spans="1:3">
      <c r="A2564" s="62">
        <v>25465</v>
      </c>
      <c r="B2564">
        <v>0.64700000000000002</v>
      </c>
      <c r="C2564" t="str">
        <f t="shared" si="44"/>
        <v>1969 q3</v>
      </c>
    </row>
    <row r="2565" spans="1:3">
      <c r="A2565" s="62">
        <v>25468</v>
      </c>
      <c r="B2565">
        <v>0.64100000000000001</v>
      </c>
      <c r="C2565" t="str">
        <f t="shared" si="44"/>
        <v>1969 q3</v>
      </c>
    </row>
    <row r="2566" spans="1:3">
      <c r="A2566" s="62">
        <v>25469</v>
      </c>
      <c r="B2566">
        <v>0.64900000000000002</v>
      </c>
      <c r="C2566" t="str">
        <f t="shared" si="44"/>
        <v>1969 q3</v>
      </c>
    </row>
    <row r="2567" spans="1:3">
      <c r="A2567" s="62">
        <v>25470</v>
      </c>
      <c r="B2567">
        <v>0.65349999999999997</v>
      </c>
      <c r="C2567" t="str">
        <f t="shared" si="44"/>
        <v>1969 q3</v>
      </c>
    </row>
    <row r="2568" spans="1:3">
      <c r="A2568" s="62">
        <v>25471</v>
      </c>
      <c r="B2568">
        <v>0.66100000000000003</v>
      </c>
      <c r="C2568" t="str">
        <f t="shared" si="44"/>
        <v>1969 q3</v>
      </c>
    </row>
    <row r="2569" spans="1:3">
      <c r="A2569" s="62">
        <v>25472</v>
      </c>
      <c r="B2569">
        <v>0.65949999999999998</v>
      </c>
      <c r="C2569" t="str">
        <f t="shared" si="44"/>
        <v>1969 q3</v>
      </c>
    </row>
    <row r="2570" spans="1:3">
      <c r="A2570" s="62">
        <v>25475</v>
      </c>
      <c r="B2570">
        <v>0.65800000000000003</v>
      </c>
      <c r="C2570" t="str">
        <f t="shared" si="44"/>
        <v>1969 q3</v>
      </c>
    </row>
    <row r="2571" spans="1:3">
      <c r="A2571" s="62">
        <v>25476</v>
      </c>
      <c r="B2571">
        <v>0.67600000000000005</v>
      </c>
      <c r="C2571" t="str">
        <f t="shared" si="44"/>
        <v>1969 q3</v>
      </c>
    </row>
    <row r="2572" spans="1:3">
      <c r="A2572" s="62">
        <v>25477</v>
      </c>
      <c r="B2572">
        <v>0.68300000000000005</v>
      </c>
      <c r="C2572" t="str">
        <f t="shared" si="44"/>
        <v>1969 q4</v>
      </c>
    </row>
    <row r="2573" spans="1:3">
      <c r="A2573" s="62">
        <v>25478</v>
      </c>
      <c r="B2573">
        <v>0.67</v>
      </c>
      <c r="C2573" t="str">
        <f t="shared" si="44"/>
        <v>1969 q4</v>
      </c>
    </row>
    <row r="2574" spans="1:3">
      <c r="A2574" s="62">
        <v>25479</v>
      </c>
      <c r="B2574">
        <v>0.67400000000000004</v>
      </c>
      <c r="C2574" t="str">
        <f t="shared" si="44"/>
        <v>1969 q4</v>
      </c>
    </row>
    <row r="2575" spans="1:3">
      <c r="A2575" s="62">
        <v>25482</v>
      </c>
      <c r="B2575">
        <v>0.67849999999999999</v>
      </c>
      <c r="C2575" t="str">
        <f t="shared" si="44"/>
        <v>1969 q4</v>
      </c>
    </row>
    <row r="2576" spans="1:3">
      <c r="A2576" s="62">
        <v>25483</v>
      </c>
      <c r="B2576">
        <v>0.67</v>
      </c>
      <c r="C2576" t="str">
        <f t="shared" si="44"/>
        <v>1969 q4</v>
      </c>
    </row>
    <row r="2577" spans="1:3">
      <c r="A2577" s="62">
        <v>25484</v>
      </c>
      <c r="B2577">
        <v>0.66810000000000003</v>
      </c>
      <c r="C2577" t="str">
        <f t="shared" si="44"/>
        <v>1969 q4</v>
      </c>
    </row>
    <row r="2578" spans="1:3">
      <c r="A2578" s="62">
        <v>25485</v>
      </c>
      <c r="B2578">
        <v>0.67200000000000004</v>
      </c>
      <c r="C2578" t="str">
        <f t="shared" ref="C2578:C2641" si="45">YEAR(A2578)&amp;" q"&amp;ROUNDUP(MONTH(A2578)/3,0)</f>
        <v>1969 q4</v>
      </c>
    </row>
    <row r="2579" spans="1:3">
      <c r="A2579" s="62">
        <v>25486</v>
      </c>
      <c r="B2579">
        <v>0.67649999999999999</v>
      </c>
      <c r="C2579" t="str">
        <f t="shared" si="45"/>
        <v>1969 q4</v>
      </c>
    </row>
    <row r="2580" spans="1:3">
      <c r="A2580" s="62">
        <v>25490</v>
      </c>
      <c r="B2580">
        <v>0.66900000000000004</v>
      </c>
      <c r="C2580" t="str">
        <f t="shared" si="45"/>
        <v>1969 q4</v>
      </c>
    </row>
    <row r="2581" spans="1:3">
      <c r="A2581" s="62">
        <v>25491</v>
      </c>
      <c r="B2581">
        <v>0.65749999999999997</v>
      </c>
      <c r="C2581" t="str">
        <f t="shared" si="45"/>
        <v>1969 q4</v>
      </c>
    </row>
    <row r="2582" spans="1:3">
      <c r="A2582" s="62">
        <v>25492</v>
      </c>
      <c r="B2582">
        <v>0.65500000000000003</v>
      </c>
      <c r="C2582" t="str">
        <f t="shared" si="45"/>
        <v>1969 q4</v>
      </c>
    </row>
    <row r="2583" spans="1:3">
      <c r="A2583" s="62">
        <v>25493</v>
      </c>
      <c r="B2583">
        <v>0.66449999999999998</v>
      </c>
      <c r="C2583" t="str">
        <f t="shared" si="45"/>
        <v>1969 q4</v>
      </c>
    </row>
    <row r="2584" spans="1:3">
      <c r="A2584" s="62">
        <v>25496</v>
      </c>
      <c r="B2584">
        <v>0.66100000000000003</v>
      </c>
      <c r="C2584" t="str">
        <f t="shared" si="45"/>
        <v>1969 q4</v>
      </c>
    </row>
    <row r="2585" spans="1:3">
      <c r="A2585" s="62">
        <v>25497</v>
      </c>
      <c r="B2585">
        <v>0.67249999999999999</v>
      </c>
      <c r="C2585" t="str">
        <f t="shared" si="45"/>
        <v>1969 q4</v>
      </c>
    </row>
    <row r="2586" spans="1:3">
      <c r="A2586" s="62">
        <v>25498</v>
      </c>
      <c r="B2586">
        <v>0.6825</v>
      </c>
      <c r="C2586" t="str">
        <f t="shared" si="45"/>
        <v>1969 q4</v>
      </c>
    </row>
    <row r="2587" spans="1:3">
      <c r="A2587" s="62">
        <v>25499</v>
      </c>
      <c r="B2587">
        <v>0.70099999999999996</v>
      </c>
      <c r="C2587" t="str">
        <f t="shared" si="45"/>
        <v>1969 q4</v>
      </c>
    </row>
    <row r="2588" spans="1:3">
      <c r="A2588" s="62">
        <v>25500</v>
      </c>
      <c r="B2588">
        <v>0.69499999999999995</v>
      </c>
      <c r="C2588" t="str">
        <f t="shared" si="45"/>
        <v>1969 q4</v>
      </c>
    </row>
    <row r="2589" spans="1:3">
      <c r="A2589" s="62">
        <v>25503</v>
      </c>
      <c r="B2589">
        <v>0.69650000000000001</v>
      </c>
      <c r="C2589" t="str">
        <f t="shared" si="45"/>
        <v>1969 q4</v>
      </c>
    </row>
    <row r="2590" spans="1:3">
      <c r="A2590" s="62">
        <v>25504</v>
      </c>
      <c r="B2590">
        <v>0.6925</v>
      </c>
      <c r="C2590" t="str">
        <f t="shared" si="45"/>
        <v>1969 q4</v>
      </c>
    </row>
    <row r="2591" spans="1:3">
      <c r="A2591" s="62">
        <v>25505</v>
      </c>
      <c r="B2591">
        <v>0.69299999999999995</v>
      </c>
      <c r="C2591" t="str">
        <f t="shared" si="45"/>
        <v>1969 q4</v>
      </c>
    </row>
    <row r="2592" spans="1:3">
      <c r="A2592" s="62">
        <v>25506</v>
      </c>
      <c r="B2592">
        <v>0.69199999999999995</v>
      </c>
      <c r="C2592" t="str">
        <f t="shared" si="45"/>
        <v>1969 q4</v>
      </c>
    </row>
    <row r="2593" spans="1:3">
      <c r="A2593" s="62">
        <v>25507</v>
      </c>
      <c r="B2593">
        <v>0.69850000000000001</v>
      </c>
      <c r="C2593" t="str">
        <f t="shared" si="45"/>
        <v>1969 q4</v>
      </c>
    </row>
    <row r="2594" spans="1:3">
      <c r="A2594" s="62">
        <v>25510</v>
      </c>
      <c r="B2594">
        <v>0.70799999999999996</v>
      </c>
      <c r="C2594" t="str">
        <f t="shared" si="45"/>
        <v>1969 q4</v>
      </c>
    </row>
    <row r="2595" spans="1:3">
      <c r="A2595" s="62">
        <v>25512</v>
      </c>
      <c r="B2595">
        <v>0.71599999999999997</v>
      </c>
      <c r="C2595" t="str">
        <f t="shared" si="45"/>
        <v>1969 q4</v>
      </c>
    </row>
    <row r="2596" spans="1:3">
      <c r="A2596" s="62">
        <v>25513</v>
      </c>
      <c r="B2596">
        <v>0.71450000000000002</v>
      </c>
      <c r="C2596" t="str">
        <f t="shared" si="45"/>
        <v>1969 q4</v>
      </c>
    </row>
    <row r="2597" spans="1:3">
      <c r="A2597" s="62">
        <v>25514</v>
      </c>
      <c r="B2597">
        <v>0.71</v>
      </c>
      <c r="C2597" t="str">
        <f t="shared" si="45"/>
        <v>1969 q4</v>
      </c>
    </row>
    <row r="2598" spans="1:3">
      <c r="A2598" s="62">
        <v>25517</v>
      </c>
      <c r="B2598">
        <v>0.71299999999999997</v>
      </c>
      <c r="C2598" t="str">
        <f t="shared" si="45"/>
        <v>1969 q4</v>
      </c>
    </row>
    <row r="2599" spans="1:3">
      <c r="A2599" s="62">
        <v>25519</v>
      </c>
      <c r="B2599">
        <v>0.73199999999999998</v>
      </c>
      <c r="C2599" t="str">
        <f t="shared" si="45"/>
        <v>1969 q4</v>
      </c>
    </row>
    <row r="2600" spans="1:3">
      <c r="A2600" s="62">
        <v>25520</v>
      </c>
      <c r="B2600">
        <v>0.72599999999999998</v>
      </c>
      <c r="C2600" t="str">
        <f t="shared" si="45"/>
        <v>1969 q4</v>
      </c>
    </row>
    <row r="2601" spans="1:3">
      <c r="A2601" s="62">
        <v>25521</v>
      </c>
      <c r="B2601">
        <v>0.71499999999999997</v>
      </c>
      <c r="C2601" t="str">
        <f t="shared" si="45"/>
        <v>1969 q4</v>
      </c>
    </row>
    <row r="2602" spans="1:3">
      <c r="A2602" s="62">
        <v>25524</v>
      </c>
      <c r="B2602">
        <v>0.72399999999999998</v>
      </c>
      <c r="C2602" t="str">
        <f t="shared" si="45"/>
        <v>1969 q4</v>
      </c>
    </row>
    <row r="2603" spans="1:3">
      <c r="A2603" s="62">
        <v>25525</v>
      </c>
      <c r="B2603">
        <v>0.71150000000000002</v>
      </c>
      <c r="C2603" t="str">
        <f t="shared" si="45"/>
        <v>1969 q4</v>
      </c>
    </row>
    <row r="2604" spans="1:3">
      <c r="A2604" s="62">
        <v>25526</v>
      </c>
      <c r="B2604">
        <v>0.71350000000000002</v>
      </c>
      <c r="C2604" t="str">
        <f t="shared" si="45"/>
        <v>1969 q4</v>
      </c>
    </row>
    <row r="2605" spans="1:3">
      <c r="A2605" s="62">
        <v>25527</v>
      </c>
      <c r="B2605">
        <v>0.72399999999999998</v>
      </c>
      <c r="C2605" t="str">
        <f t="shared" si="45"/>
        <v>1969 q4</v>
      </c>
    </row>
    <row r="2606" spans="1:3">
      <c r="A2606" s="62">
        <v>25528</v>
      </c>
      <c r="B2606">
        <v>0.73699999999999999</v>
      </c>
      <c r="C2606" t="str">
        <f t="shared" si="45"/>
        <v>1969 q4</v>
      </c>
    </row>
    <row r="2607" spans="1:3">
      <c r="A2607" s="62">
        <v>25531</v>
      </c>
      <c r="B2607">
        <v>0.73360000000000003</v>
      </c>
      <c r="C2607" t="str">
        <f t="shared" si="45"/>
        <v>1969 q4</v>
      </c>
    </row>
    <row r="2608" spans="1:3">
      <c r="A2608" s="62">
        <v>25532</v>
      </c>
      <c r="B2608">
        <v>0.72399999999999998</v>
      </c>
      <c r="C2608" t="str">
        <f t="shared" si="45"/>
        <v>1969 q4</v>
      </c>
    </row>
    <row r="2609" spans="1:3">
      <c r="A2609" s="62">
        <v>25533</v>
      </c>
      <c r="B2609">
        <v>0.72640000000000005</v>
      </c>
      <c r="C2609" t="str">
        <f t="shared" si="45"/>
        <v>1969 q4</v>
      </c>
    </row>
    <row r="2610" spans="1:3">
      <c r="A2610" s="62">
        <v>25535</v>
      </c>
      <c r="B2610">
        <v>0.73219999999999996</v>
      </c>
      <c r="C2610" t="str">
        <f t="shared" si="45"/>
        <v>1969 q4</v>
      </c>
    </row>
    <row r="2611" spans="1:3">
      <c r="A2611" s="62">
        <v>25538</v>
      </c>
      <c r="B2611">
        <v>0.73699999999999999</v>
      </c>
      <c r="C2611" t="str">
        <f t="shared" si="45"/>
        <v>1969 q4</v>
      </c>
    </row>
    <row r="2612" spans="1:3">
      <c r="A2612" s="62">
        <v>25539</v>
      </c>
      <c r="B2612">
        <v>0.72950000000000004</v>
      </c>
      <c r="C2612" t="str">
        <f t="shared" si="45"/>
        <v>1969 q4</v>
      </c>
    </row>
    <row r="2613" spans="1:3">
      <c r="A2613" s="62">
        <v>25540</v>
      </c>
      <c r="B2613">
        <v>0.73899999999999999</v>
      </c>
      <c r="C2613" t="str">
        <f t="shared" si="45"/>
        <v>1969 q4</v>
      </c>
    </row>
    <row r="2614" spans="1:3">
      <c r="A2614" s="62">
        <v>25541</v>
      </c>
      <c r="B2614">
        <v>0.73750000000000004</v>
      </c>
      <c r="C2614" t="str">
        <f t="shared" si="45"/>
        <v>1969 q4</v>
      </c>
    </row>
    <row r="2615" spans="1:3">
      <c r="A2615" s="62">
        <v>25542</v>
      </c>
      <c r="B2615">
        <v>0.74399999999999999</v>
      </c>
      <c r="C2615" t="str">
        <f t="shared" si="45"/>
        <v>1969 q4</v>
      </c>
    </row>
    <row r="2616" spans="1:3">
      <c r="A2616" s="62">
        <v>25545</v>
      </c>
      <c r="B2616">
        <v>0.74399999999999999</v>
      </c>
      <c r="C2616" t="str">
        <f t="shared" si="45"/>
        <v>1969 q4</v>
      </c>
    </row>
    <row r="2617" spans="1:3">
      <c r="A2617" s="62">
        <v>25546</v>
      </c>
      <c r="B2617">
        <v>0.72399999999999998</v>
      </c>
      <c r="C2617" t="str">
        <f t="shared" si="45"/>
        <v>1969 q4</v>
      </c>
    </row>
    <row r="2618" spans="1:3">
      <c r="A2618" s="62">
        <v>25547</v>
      </c>
      <c r="B2618">
        <v>0.70399999999999996</v>
      </c>
      <c r="C2618" t="str">
        <f t="shared" si="45"/>
        <v>1969 q4</v>
      </c>
    </row>
    <row r="2619" spans="1:3">
      <c r="A2619" s="62">
        <v>25548</v>
      </c>
      <c r="B2619">
        <v>0.71050000000000002</v>
      </c>
      <c r="C2619" t="str">
        <f t="shared" si="45"/>
        <v>1969 q4</v>
      </c>
    </row>
    <row r="2620" spans="1:3">
      <c r="A2620" s="62">
        <v>25549</v>
      </c>
      <c r="B2620">
        <v>0.70350000000000001</v>
      </c>
      <c r="C2620" t="str">
        <f t="shared" si="45"/>
        <v>1969 q4</v>
      </c>
    </row>
    <row r="2621" spans="1:3">
      <c r="A2621" s="62">
        <v>25552</v>
      </c>
      <c r="B2621">
        <v>0.70699999999999996</v>
      </c>
      <c r="C2621" t="str">
        <f t="shared" si="45"/>
        <v>1969 q4</v>
      </c>
    </row>
    <row r="2622" spans="1:3">
      <c r="A2622" s="62">
        <v>25553</v>
      </c>
      <c r="B2622">
        <v>0.72050000000000003</v>
      </c>
      <c r="C2622" t="str">
        <f t="shared" si="45"/>
        <v>1969 q4</v>
      </c>
    </row>
    <row r="2623" spans="1:3">
      <c r="A2623" s="62">
        <v>25554</v>
      </c>
      <c r="B2623">
        <v>0.71399999999999997</v>
      </c>
      <c r="C2623" t="str">
        <f t="shared" si="45"/>
        <v>1969 q4</v>
      </c>
    </row>
    <row r="2624" spans="1:3">
      <c r="A2624" s="62">
        <v>25555</v>
      </c>
      <c r="B2624">
        <v>0.71299999999999997</v>
      </c>
      <c r="C2624" t="str">
        <f t="shared" si="45"/>
        <v>1969 q4</v>
      </c>
    </row>
    <row r="2625" spans="1:3">
      <c r="A2625" s="62">
        <v>25556</v>
      </c>
      <c r="B2625">
        <v>0.71</v>
      </c>
      <c r="C2625" t="str">
        <f t="shared" si="45"/>
        <v>1969 q4</v>
      </c>
    </row>
    <row r="2626" spans="1:3">
      <c r="A2626" s="62">
        <v>25559</v>
      </c>
      <c r="B2626">
        <v>0.71950000000000003</v>
      </c>
      <c r="C2626" t="str">
        <f t="shared" si="45"/>
        <v>1969 q4</v>
      </c>
    </row>
    <row r="2627" spans="1:3">
      <c r="A2627" s="62">
        <v>25560</v>
      </c>
      <c r="B2627">
        <v>0.72750000000000004</v>
      </c>
      <c r="C2627" t="str">
        <f t="shared" si="45"/>
        <v>1969 q4</v>
      </c>
    </row>
    <row r="2628" spans="1:3">
      <c r="A2628" s="62">
        <v>25561</v>
      </c>
      <c r="B2628">
        <v>0.7298</v>
      </c>
      <c r="C2628" t="str">
        <f t="shared" si="45"/>
        <v>1969 q4</v>
      </c>
    </row>
    <row r="2629" spans="1:3">
      <c r="A2629" s="62">
        <v>25566</v>
      </c>
      <c r="B2629">
        <v>0.7238</v>
      </c>
      <c r="C2629" t="str">
        <f t="shared" si="45"/>
        <v>1969 q4</v>
      </c>
    </row>
    <row r="2630" spans="1:3">
      <c r="A2630" s="62">
        <v>25567</v>
      </c>
      <c r="B2630">
        <v>0.73060000000000003</v>
      </c>
      <c r="C2630" t="str">
        <f t="shared" si="45"/>
        <v>1969 q4</v>
      </c>
    </row>
    <row r="2631" spans="1:3">
      <c r="A2631" s="62">
        <v>25568</v>
      </c>
      <c r="B2631">
        <v>0.73029999999999995</v>
      </c>
      <c r="C2631" t="str">
        <f t="shared" si="45"/>
        <v>1969 q4</v>
      </c>
    </row>
    <row r="2632" spans="1:3">
      <c r="A2632" s="62">
        <v>25573</v>
      </c>
      <c r="B2632">
        <v>0.71799999999999997</v>
      </c>
      <c r="C2632" t="str">
        <f t="shared" si="45"/>
        <v>1970 q1</v>
      </c>
    </row>
    <row r="2633" spans="1:3">
      <c r="A2633" s="62">
        <v>25574</v>
      </c>
      <c r="B2633">
        <v>0.71399999999999997</v>
      </c>
      <c r="C2633" t="str">
        <f t="shared" si="45"/>
        <v>1970 q1</v>
      </c>
    </row>
    <row r="2634" spans="1:3">
      <c r="A2634" s="62">
        <v>25575</v>
      </c>
      <c r="B2634">
        <v>0.71150000000000002</v>
      </c>
      <c r="C2634" t="str">
        <f t="shared" si="45"/>
        <v>1970 q1</v>
      </c>
    </row>
    <row r="2635" spans="1:3">
      <c r="A2635" s="62">
        <v>25576</v>
      </c>
      <c r="B2635">
        <v>0.70950000000000002</v>
      </c>
      <c r="C2635" t="str">
        <f t="shared" si="45"/>
        <v>1970 q1</v>
      </c>
    </row>
    <row r="2636" spans="1:3">
      <c r="A2636" s="62">
        <v>25577</v>
      </c>
      <c r="B2636">
        <v>0.71750000000000003</v>
      </c>
      <c r="C2636" t="str">
        <f t="shared" si="45"/>
        <v>1970 q1</v>
      </c>
    </row>
    <row r="2637" spans="1:3">
      <c r="A2637" s="62">
        <v>25580</v>
      </c>
      <c r="B2637">
        <v>0.69550000000000001</v>
      </c>
      <c r="C2637" t="str">
        <f t="shared" si="45"/>
        <v>1970 q1</v>
      </c>
    </row>
    <row r="2638" spans="1:3">
      <c r="A2638" s="62">
        <v>25581</v>
      </c>
      <c r="B2638">
        <v>0.70499999999999996</v>
      </c>
      <c r="C2638" t="str">
        <f t="shared" si="45"/>
        <v>1970 q1</v>
      </c>
    </row>
    <row r="2639" spans="1:3">
      <c r="A2639" s="62">
        <v>25582</v>
      </c>
      <c r="B2639">
        <v>0.6855</v>
      </c>
      <c r="C2639" t="str">
        <f t="shared" si="45"/>
        <v>1970 q1</v>
      </c>
    </row>
    <row r="2640" spans="1:3">
      <c r="A2640" s="62">
        <v>25583</v>
      </c>
      <c r="B2640">
        <v>0.67300000000000004</v>
      </c>
      <c r="C2640" t="str">
        <f t="shared" si="45"/>
        <v>1970 q1</v>
      </c>
    </row>
    <row r="2641" spans="1:3">
      <c r="A2641" s="62">
        <v>25584</v>
      </c>
      <c r="B2641">
        <v>0.67500000000000004</v>
      </c>
      <c r="C2641" t="str">
        <f t="shared" si="45"/>
        <v>1970 q1</v>
      </c>
    </row>
    <row r="2642" spans="1:3">
      <c r="A2642" s="62">
        <v>25587</v>
      </c>
      <c r="B2642">
        <v>0.67100000000000004</v>
      </c>
      <c r="C2642" t="str">
        <f t="shared" ref="C2642:C2705" si="46">YEAR(A2642)&amp;" q"&amp;ROUNDUP(MONTH(A2642)/3,0)</f>
        <v>1970 q1</v>
      </c>
    </row>
    <row r="2643" spans="1:3">
      <c r="A2643" s="62">
        <v>25588</v>
      </c>
      <c r="B2643">
        <v>0.67349999999999999</v>
      </c>
      <c r="C2643" t="str">
        <f t="shared" si="46"/>
        <v>1970 q1</v>
      </c>
    </row>
    <row r="2644" spans="1:3">
      <c r="A2644" s="62">
        <v>25589</v>
      </c>
      <c r="B2644">
        <v>0.6845</v>
      </c>
      <c r="C2644" t="str">
        <f t="shared" si="46"/>
        <v>1970 q1</v>
      </c>
    </row>
    <row r="2645" spans="1:3">
      <c r="A2645" s="62">
        <v>25590</v>
      </c>
      <c r="B2645">
        <v>0.67700000000000005</v>
      </c>
      <c r="C2645" t="str">
        <f t="shared" si="46"/>
        <v>1970 q1</v>
      </c>
    </row>
    <row r="2646" spans="1:3">
      <c r="A2646" s="62">
        <v>25591</v>
      </c>
      <c r="B2646">
        <v>0.67600000000000005</v>
      </c>
      <c r="C2646" t="str">
        <f t="shared" si="46"/>
        <v>1970 q1</v>
      </c>
    </row>
    <row r="2647" spans="1:3">
      <c r="A2647" s="62">
        <v>25594</v>
      </c>
      <c r="B2647">
        <v>0.67149999999999999</v>
      </c>
      <c r="C2647" t="str">
        <f t="shared" si="46"/>
        <v>1970 q1</v>
      </c>
    </row>
    <row r="2648" spans="1:3">
      <c r="A2648" s="62">
        <v>25595</v>
      </c>
      <c r="B2648">
        <v>0.67700000000000005</v>
      </c>
      <c r="C2648" t="str">
        <f t="shared" si="46"/>
        <v>1970 q1</v>
      </c>
    </row>
    <row r="2649" spans="1:3">
      <c r="A2649" s="62">
        <v>25596</v>
      </c>
      <c r="B2649">
        <v>0.6925</v>
      </c>
      <c r="C2649" t="str">
        <f t="shared" si="46"/>
        <v>1970 q1</v>
      </c>
    </row>
    <row r="2650" spans="1:3">
      <c r="A2650" s="62">
        <v>25597</v>
      </c>
      <c r="B2650">
        <v>0.6865</v>
      </c>
      <c r="C2650" t="str">
        <f t="shared" si="46"/>
        <v>1970 q1</v>
      </c>
    </row>
    <row r="2651" spans="1:3">
      <c r="A2651" s="62">
        <v>25598</v>
      </c>
      <c r="B2651">
        <v>0.6925</v>
      </c>
      <c r="C2651" t="str">
        <f t="shared" si="46"/>
        <v>1970 q1</v>
      </c>
    </row>
    <row r="2652" spans="1:3">
      <c r="A2652" s="62">
        <v>25601</v>
      </c>
      <c r="B2652">
        <v>0.6915</v>
      </c>
      <c r="C2652" t="str">
        <f t="shared" si="46"/>
        <v>1970 q1</v>
      </c>
    </row>
    <row r="2653" spans="1:3">
      <c r="A2653" s="62">
        <v>25602</v>
      </c>
      <c r="B2653">
        <v>0.70450000000000002</v>
      </c>
      <c r="C2653" t="str">
        <f t="shared" si="46"/>
        <v>1970 q1</v>
      </c>
    </row>
    <row r="2654" spans="1:3">
      <c r="A2654" s="62">
        <v>25603</v>
      </c>
      <c r="B2654">
        <v>0.70199999999999996</v>
      </c>
      <c r="C2654" t="str">
        <f t="shared" si="46"/>
        <v>1970 q1</v>
      </c>
    </row>
    <row r="2655" spans="1:3">
      <c r="A2655" s="62">
        <v>25604</v>
      </c>
      <c r="B2655">
        <v>0.70350000000000001</v>
      </c>
      <c r="C2655" t="str">
        <f t="shared" si="46"/>
        <v>1970 q1</v>
      </c>
    </row>
    <row r="2656" spans="1:3">
      <c r="A2656" s="62">
        <v>25605</v>
      </c>
      <c r="B2656">
        <v>0.72</v>
      </c>
      <c r="C2656" t="str">
        <f t="shared" si="46"/>
        <v>1970 q1</v>
      </c>
    </row>
    <row r="2657" spans="1:3">
      <c r="A2657" s="62">
        <v>25608</v>
      </c>
      <c r="B2657">
        <v>0.71550000000000002</v>
      </c>
      <c r="C2657" t="str">
        <f t="shared" si="46"/>
        <v>1970 q1</v>
      </c>
    </row>
    <row r="2658" spans="1:3">
      <c r="A2658" s="62">
        <v>25609</v>
      </c>
      <c r="B2658">
        <v>0.70899999999999996</v>
      </c>
      <c r="C2658" t="str">
        <f t="shared" si="46"/>
        <v>1970 q1</v>
      </c>
    </row>
    <row r="2659" spans="1:3">
      <c r="A2659" s="62">
        <v>25610</v>
      </c>
      <c r="B2659">
        <v>0.72050000000000003</v>
      </c>
      <c r="C2659" t="str">
        <f t="shared" si="46"/>
        <v>1970 q1</v>
      </c>
    </row>
    <row r="2660" spans="1:3">
      <c r="A2660" s="62">
        <v>25612</v>
      </c>
      <c r="B2660">
        <v>0.72950000000000004</v>
      </c>
      <c r="C2660" t="str">
        <f t="shared" si="46"/>
        <v>1970 q1</v>
      </c>
    </row>
    <row r="2661" spans="1:3">
      <c r="A2661" s="62">
        <v>25615</v>
      </c>
      <c r="B2661">
        <v>0.72499999999999998</v>
      </c>
      <c r="C2661" t="str">
        <f t="shared" si="46"/>
        <v>1970 q1</v>
      </c>
    </row>
    <row r="2662" spans="1:3">
      <c r="A2662" s="62">
        <v>25616</v>
      </c>
      <c r="B2662">
        <v>0.71050000000000002</v>
      </c>
      <c r="C2662" t="str">
        <f t="shared" si="46"/>
        <v>1970 q1</v>
      </c>
    </row>
    <row r="2663" spans="1:3">
      <c r="A2663" s="62">
        <v>25617</v>
      </c>
      <c r="B2663">
        <v>0.70350000000000001</v>
      </c>
      <c r="C2663" t="str">
        <f t="shared" si="46"/>
        <v>1970 q1</v>
      </c>
    </row>
    <row r="2664" spans="1:3">
      <c r="A2664" s="62">
        <v>25618</v>
      </c>
      <c r="B2664">
        <v>0.71</v>
      </c>
      <c r="C2664" t="str">
        <f t="shared" si="46"/>
        <v>1970 q1</v>
      </c>
    </row>
    <row r="2665" spans="1:3">
      <c r="A2665" s="62">
        <v>25619</v>
      </c>
      <c r="B2665">
        <v>0.70899999999999996</v>
      </c>
      <c r="C2665" t="str">
        <f t="shared" si="46"/>
        <v>1970 q1</v>
      </c>
    </row>
    <row r="2666" spans="1:3">
      <c r="A2666" s="62">
        <v>25623</v>
      </c>
      <c r="B2666">
        <v>0.70240000000000002</v>
      </c>
      <c r="C2666" t="str">
        <f t="shared" si="46"/>
        <v>1970 q1</v>
      </c>
    </row>
    <row r="2667" spans="1:3">
      <c r="A2667" s="62">
        <v>25624</v>
      </c>
      <c r="B2667">
        <v>0.70840000000000003</v>
      </c>
      <c r="C2667" t="str">
        <f t="shared" si="46"/>
        <v>1970 q1</v>
      </c>
    </row>
    <row r="2668" spans="1:3">
      <c r="A2668" s="62">
        <v>25625</v>
      </c>
      <c r="B2668">
        <v>0.72389999999999999</v>
      </c>
      <c r="C2668" t="str">
        <f t="shared" si="46"/>
        <v>1970 q1</v>
      </c>
    </row>
    <row r="2669" spans="1:3">
      <c r="A2669" s="62">
        <v>25626</v>
      </c>
      <c r="B2669">
        <v>0.73480000000000001</v>
      </c>
      <c r="C2669" t="str">
        <f t="shared" si="46"/>
        <v>1970 q1</v>
      </c>
    </row>
    <row r="2670" spans="1:3">
      <c r="A2670" s="62">
        <v>25629</v>
      </c>
      <c r="B2670">
        <v>0.72850000000000004</v>
      </c>
      <c r="C2670" t="str">
        <f t="shared" si="46"/>
        <v>1970 q1</v>
      </c>
    </row>
    <row r="2671" spans="1:3">
      <c r="A2671" s="62">
        <v>25630</v>
      </c>
      <c r="B2671">
        <v>0.72399999999999998</v>
      </c>
      <c r="C2671" t="str">
        <f t="shared" si="46"/>
        <v>1970 q1</v>
      </c>
    </row>
    <row r="2672" spans="1:3">
      <c r="A2672" s="62">
        <v>25631</v>
      </c>
      <c r="B2672">
        <v>0.72650000000000003</v>
      </c>
      <c r="C2672" t="str">
        <f t="shared" si="46"/>
        <v>1970 q1</v>
      </c>
    </row>
    <row r="2673" spans="1:3">
      <c r="A2673" s="62">
        <v>25632</v>
      </c>
      <c r="B2673">
        <v>0.72899999999999998</v>
      </c>
      <c r="C2673" t="str">
        <f t="shared" si="46"/>
        <v>1970 q1</v>
      </c>
    </row>
    <row r="2674" spans="1:3">
      <c r="A2674" s="62">
        <v>25633</v>
      </c>
      <c r="B2674">
        <v>0.72399999999999998</v>
      </c>
      <c r="C2674" t="str">
        <f t="shared" si="46"/>
        <v>1970 q1</v>
      </c>
    </row>
    <row r="2675" spans="1:3">
      <c r="A2675" s="62">
        <v>25636</v>
      </c>
      <c r="B2675">
        <v>0.71</v>
      </c>
      <c r="C2675" t="str">
        <f t="shared" si="46"/>
        <v>1970 q1</v>
      </c>
    </row>
    <row r="2676" spans="1:3">
      <c r="A2676" s="62">
        <v>25637</v>
      </c>
      <c r="B2676">
        <v>0.71599999999999997</v>
      </c>
      <c r="C2676" t="str">
        <f t="shared" si="46"/>
        <v>1970 q1</v>
      </c>
    </row>
    <row r="2677" spans="1:3">
      <c r="A2677" s="62">
        <v>25638</v>
      </c>
      <c r="B2677">
        <v>0.73550000000000004</v>
      </c>
      <c r="C2677" t="str">
        <f t="shared" si="46"/>
        <v>1970 q1</v>
      </c>
    </row>
    <row r="2678" spans="1:3">
      <c r="A2678" s="62">
        <v>25639</v>
      </c>
      <c r="B2678">
        <v>0.73150000000000004</v>
      </c>
      <c r="C2678" t="str">
        <f t="shared" si="46"/>
        <v>1970 q1</v>
      </c>
    </row>
    <row r="2679" spans="1:3">
      <c r="A2679" s="62">
        <v>25640</v>
      </c>
      <c r="B2679">
        <v>0.74150000000000005</v>
      </c>
      <c r="C2679" t="str">
        <f t="shared" si="46"/>
        <v>1970 q1</v>
      </c>
    </row>
    <row r="2680" spans="1:3">
      <c r="A2680" s="62">
        <v>25643</v>
      </c>
      <c r="B2680">
        <v>0.73850000000000005</v>
      </c>
      <c r="C2680" t="str">
        <f t="shared" si="46"/>
        <v>1970 q1</v>
      </c>
    </row>
    <row r="2681" spans="1:3">
      <c r="A2681" s="62">
        <v>25644</v>
      </c>
      <c r="B2681">
        <v>0.74150000000000005</v>
      </c>
      <c r="C2681" t="str">
        <f t="shared" si="46"/>
        <v>1970 q1</v>
      </c>
    </row>
    <row r="2682" spans="1:3">
      <c r="A2682" s="62">
        <v>25645</v>
      </c>
      <c r="B2682">
        <v>0.73550000000000004</v>
      </c>
      <c r="C2682" t="str">
        <f t="shared" si="46"/>
        <v>1970 q1</v>
      </c>
    </row>
    <row r="2683" spans="1:3">
      <c r="A2683" s="62">
        <v>25646</v>
      </c>
      <c r="B2683">
        <v>0.74</v>
      </c>
      <c r="C2683" t="str">
        <f t="shared" si="46"/>
        <v>1970 q1</v>
      </c>
    </row>
    <row r="2684" spans="1:3">
      <c r="A2684" s="62">
        <v>25647</v>
      </c>
      <c r="B2684">
        <v>0.73699999999999999</v>
      </c>
      <c r="C2684" t="str">
        <f t="shared" si="46"/>
        <v>1970 q1</v>
      </c>
    </row>
    <row r="2685" spans="1:3">
      <c r="A2685" s="62">
        <v>25650</v>
      </c>
      <c r="B2685">
        <v>0.73550000000000004</v>
      </c>
      <c r="C2685" t="str">
        <f t="shared" si="46"/>
        <v>1970 q1</v>
      </c>
    </row>
    <row r="2686" spans="1:3">
      <c r="A2686" s="62">
        <v>25651</v>
      </c>
      <c r="B2686">
        <v>0.72650000000000003</v>
      </c>
      <c r="C2686" t="str">
        <f t="shared" si="46"/>
        <v>1970 q1</v>
      </c>
    </row>
    <row r="2687" spans="1:3">
      <c r="A2687" s="62">
        <v>25652</v>
      </c>
      <c r="B2687">
        <v>0.746</v>
      </c>
      <c r="C2687" t="str">
        <f t="shared" si="46"/>
        <v>1970 q1</v>
      </c>
    </row>
    <row r="2688" spans="1:3">
      <c r="A2688" s="62">
        <v>25653</v>
      </c>
      <c r="B2688">
        <v>0.74299999999999999</v>
      </c>
      <c r="C2688" t="str">
        <f t="shared" si="46"/>
        <v>1970 q1</v>
      </c>
    </row>
    <row r="2689" spans="1:3">
      <c r="A2689" s="62">
        <v>25657</v>
      </c>
      <c r="B2689">
        <v>0.73950000000000005</v>
      </c>
      <c r="C2689" t="str">
        <f t="shared" si="46"/>
        <v>1970 q1</v>
      </c>
    </row>
    <row r="2690" spans="1:3">
      <c r="A2690" s="62">
        <v>25658</v>
      </c>
      <c r="B2690">
        <v>0.73450000000000004</v>
      </c>
      <c r="C2690" t="str">
        <f t="shared" si="46"/>
        <v>1970 q1</v>
      </c>
    </row>
    <row r="2691" spans="1:3">
      <c r="A2691" s="62">
        <v>25659</v>
      </c>
      <c r="B2691">
        <v>0.749</v>
      </c>
      <c r="C2691" t="str">
        <f t="shared" si="46"/>
        <v>1970 q2</v>
      </c>
    </row>
    <row r="2692" spans="1:3">
      <c r="A2692" s="62">
        <v>25660</v>
      </c>
      <c r="B2692">
        <v>0.74399999999999999</v>
      </c>
      <c r="C2692" t="str">
        <f t="shared" si="46"/>
        <v>1970 q2</v>
      </c>
    </row>
    <row r="2693" spans="1:3">
      <c r="A2693" s="62">
        <v>25661</v>
      </c>
      <c r="B2693">
        <v>0.752</v>
      </c>
      <c r="C2693" t="str">
        <f t="shared" si="46"/>
        <v>1970 q2</v>
      </c>
    </row>
    <row r="2694" spans="1:3">
      <c r="A2694" s="62">
        <v>25664</v>
      </c>
      <c r="B2694">
        <v>0.76049999999999995</v>
      </c>
      <c r="C2694" t="str">
        <f t="shared" si="46"/>
        <v>1970 q2</v>
      </c>
    </row>
    <row r="2695" spans="1:3">
      <c r="A2695" s="62">
        <v>25665</v>
      </c>
      <c r="B2695">
        <v>0.76649999999999996</v>
      </c>
      <c r="C2695" t="str">
        <f t="shared" si="46"/>
        <v>1970 q2</v>
      </c>
    </row>
    <row r="2696" spans="1:3">
      <c r="A2696" s="62">
        <v>25666</v>
      </c>
      <c r="B2696">
        <v>0.76500000000000001</v>
      </c>
      <c r="C2696" t="str">
        <f t="shared" si="46"/>
        <v>1970 q2</v>
      </c>
    </row>
    <row r="2697" spans="1:3">
      <c r="A2697" s="62">
        <v>25667</v>
      </c>
      <c r="B2697">
        <v>0.76049999999999995</v>
      </c>
      <c r="C2697" t="str">
        <f t="shared" si="46"/>
        <v>1970 q2</v>
      </c>
    </row>
    <row r="2698" spans="1:3">
      <c r="A2698" s="62">
        <v>25668</v>
      </c>
      <c r="B2698">
        <v>0.76500000000000001</v>
      </c>
      <c r="C2698" t="str">
        <f t="shared" si="46"/>
        <v>1970 q2</v>
      </c>
    </row>
    <row r="2699" spans="1:3">
      <c r="A2699" s="62">
        <v>25671</v>
      </c>
      <c r="B2699">
        <v>0.76500000000000001</v>
      </c>
      <c r="C2699" t="str">
        <f t="shared" si="46"/>
        <v>1970 q2</v>
      </c>
    </row>
    <row r="2700" spans="1:3">
      <c r="A2700" s="62">
        <v>25672</v>
      </c>
      <c r="B2700">
        <v>0.77</v>
      </c>
      <c r="C2700" t="str">
        <f t="shared" si="46"/>
        <v>1970 q2</v>
      </c>
    </row>
    <row r="2701" spans="1:3">
      <c r="A2701" s="62">
        <v>25673</v>
      </c>
      <c r="B2701">
        <v>0.77100000000000002</v>
      </c>
      <c r="C2701" t="str">
        <f t="shared" si="46"/>
        <v>1970 q2</v>
      </c>
    </row>
    <row r="2702" spans="1:3">
      <c r="A2702" s="62">
        <v>25674</v>
      </c>
      <c r="B2702">
        <v>0.76600000000000001</v>
      </c>
      <c r="C2702" t="str">
        <f t="shared" si="46"/>
        <v>1970 q2</v>
      </c>
    </row>
    <row r="2703" spans="1:3">
      <c r="A2703" s="62">
        <v>25675</v>
      </c>
      <c r="B2703">
        <v>0.75900000000000001</v>
      </c>
      <c r="C2703" t="str">
        <f t="shared" si="46"/>
        <v>1970 q2</v>
      </c>
    </row>
    <row r="2704" spans="1:3">
      <c r="A2704" s="62">
        <v>25678</v>
      </c>
      <c r="B2704">
        <v>0.76100000000000001</v>
      </c>
      <c r="C2704" t="str">
        <f t="shared" si="46"/>
        <v>1970 q2</v>
      </c>
    </row>
    <row r="2705" spans="1:3">
      <c r="A2705" s="62">
        <v>25679</v>
      </c>
      <c r="B2705">
        <v>0.75649999999999995</v>
      </c>
      <c r="C2705" t="str">
        <f t="shared" si="46"/>
        <v>1970 q2</v>
      </c>
    </row>
    <row r="2706" spans="1:3">
      <c r="A2706" s="62">
        <v>25680</v>
      </c>
      <c r="B2706">
        <v>0.753</v>
      </c>
      <c r="C2706" t="str">
        <f t="shared" ref="C2706:C2769" si="47">YEAR(A2706)&amp;" q"&amp;ROUNDUP(MONTH(A2706)/3,0)</f>
        <v>1970 q2</v>
      </c>
    </row>
    <row r="2707" spans="1:3">
      <c r="A2707" s="62">
        <v>25681</v>
      </c>
      <c r="B2707">
        <v>0.75600000000000001</v>
      </c>
      <c r="C2707" t="str">
        <f t="shared" si="47"/>
        <v>1970 q2</v>
      </c>
    </row>
    <row r="2708" spans="1:3">
      <c r="A2708" s="62">
        <v>25682</v>
      </c>
      <c r="B2708">
        <v>0.75900000000000001</v>
      </c>
      <c r="C2708" t="str">
        <f t="shared" si="47"/>
        <v>1970 q2</v>
      </c>
    </row>
    <row r="2709" spans="1:3">
      <c r="A2709" s="62">
        <v>25685</v>
      </c>
      <c r="B2709">
        <v>0.73529999999999995</v>
      </c>
      <c r="C2709" t="str">
        <f t="shared" si="47"/>
        <v>1970 q2</v>
      </c>
    </row>
    <row r="2710" spans="1:3">
      <c r="A2710" s="62">
        <v>25686</v>
      </c>
      <c r="B2710">
        <v>0.73270000000000002</v>
      </c>
      <c r="C2710" t="str">
        <f t="shared" si="47"/>
        <v>1970 q2</v>
      </c>
    </row>
    <row r="2711" spans="1:3">
      <c r="A2711" s="62">
        <v>25687</v>
      </c>
      <c r="B2711">
        <v>0.72750000000000004</v>
      </c>
      <c r="C2711" t="str">
        <f t="shared" si="47"/>
        <v>1970 q2</v>
      </c>
    </row>
    <row r="2712" spans="1:3">
      <c r="A2712" s="62">
        <v>25688</v>
      </c>
      <c r="B2712">
        <v>0.73499999999999999</v>
      </c>
      <c r="C2712" t="str">
        <f t="shared" si="47"/>
        <v>1970 q2</v>
      </c>
    </row>
    <row r="2713" spans="1:3">
      <c r="A2713" s="62">
        <v>25689</v>
      </c>
      <c r="B2713">
        <v>0.72699999999999998</v>
      </c>
      <c r="C2713" t="str">
        <f t="shared" si="47"/>
        <v>1970 q2</v>
      </c>
    </row>
    <row r="2714" spans="1:3">
      <c r="A2714" s="62">
        <v>25692</v>
      </c>
      <c r="B2714">
        <v>0.72050000000000003</v>
      </c>
      <c r="C2714" t="str">
        <f t="shared" si="47"/>
        <v>1970 q2</v>
      </c>
    </row>
    <row r="2715" spans="1:3">
      <c r="A2715" s="62">
        <v>25693</v>
      </c>
      <c r="B2715">
        <v>0.71450000000000002</v>
      </c>
      <c r="C2715" t="str">
        <f t="shared" si="47"/>
        <v>1970 q2</v>
      </c>
    </row>
    <row r="2716" spans="1:3">
      <c r="A2716" s="62">
        <v>25694</v>
      </c>
      <c r="B2716">
        <v>0.72050000000000003</v>
      </c>
      <c r="C2716" t="str">
        <f t="shared" si="47"/>
        <v>1970 q2</v>
      </c>
    </row>
    <row r="2717" spans="1:3">
      <c r="A2717" s="62">
        <v>25695</v>
      </c>
      <c r="B2717">
        <v>0.71899999999999997</v>
      </c>
      <c r="C2717" t="str">
        <f t="shared" si="47"/>
        <v>1970 q2</v>
      </c>
    </row>
    <row r="2718" spans="1:3">
      <c r="A2718" s="62">
        <v>25696</v>
      </c>
      <c r="B2718">
        <v>0.72050000000000003</v>
      </c>
      <c r="C2718" t="str">
        <f t="shared" si="47"/>
        <v>1970 q2</v>
      </c>
    </row>
    <row r="2719" spans="1:3">
      <c r="A2719" s="62">
        <v>25699</v>
      </c>
      <c r="B2719">
        <v>0.70750000000000002</v>
      </c>
      <c r="C2719" t="str">
        <f t="shared" si="47"/>
        <v>1970 q2</v>
      </c>
    </row>
    <row r="2720" spans="1:3">
      <c r="A2720" s="62">
        <v>25700</v>
      </c>
      <c r="B2720">
        <v>0.71050000000000002</v>
      </c>
      <c r="C2720" t="str">
        <f t="shared" si="47"/>
        <v>1970 q2</v>
      </c>
    </row>
    <row r="2721" spans="1:3">
      <c r="A2721" s="62">
        <v>25701</v>
      </c>
      <c r="B2721">
        <v>0.69750000000000001</v>
      </c>
      <c r="C2721" t="str">
        <f t="shared" si="47"/>
        <v>1970 q2</v>
      </c>
    </row>
    <row r="2722" spans="1:3">
      <c r="A2722" s="62">
        <v>25702</v>
      </c>
      <c r="B2722">
        <v>0.69799999999999995</v>
      </c>
      <c r="C2722" t="str">
        <f t="shared" si="47"/>
        <v>1970 q2</v>
      </c>
    </row>
    <row r="2723" spans="1:3">
      <c r="A2723" s="62">
        <v>25703</v>
      </c>
      <c r="B2723">
        <v>0.70099999999999996</v>
      </c>
      <c r="C2723" t="str">
        <f t="shared" si="47"/>
        <v>1970 q2</v>
      </c>
    </row>
    <row r="2724" spans="1:3">
      <c r="A2724" s="62">
        <v>25706</v>
      </c>
      <c r="B2724">
        <v>0.6895</v>
      </c>
      <c r="C2724" t="str">
        <f t="shared" si="47"/>
        <v>1970 q2</v>
      </c>
    </row>
    <row r="2725" spans="1:3">
      <c r="A2725" s="62">
        <v>25707</v>
      </c>
      <c r="B2725">
        <v>0.69199999999999995</v>
      </c>
      <c r="C2725" t="str">
        <f t="shared" si="47"/>
        <v>1970 q2</v>
      </c>
    </row>
    <row r="2726" spans="1:3">
      <c r="A2726" s="62">
        <v>25708</v>
      </c>
      <c r="B2726">
        <v>0.67949999999999999</v>
      </c>
      <c r="C2726" t="str">
        <f t="shared" si="47"/>
        <v>1970 q2</v>
      </c>
    </row>
    <row r="2727" spans="1:3">
      <c r="A2727" s="62">
        <v>25709</v>
      </c>
      <c r="B2727">
        <v>0.67</v>
      </c>
      <c r="C2727" t="str">
        <f t="shared" si="47"/>
        <v>1970 q2</v>
      </c>
    </row>
    <row r="2728" spans="1:3">
      <c r="A2728" s="62">
        <v>25710</v>
      </c>
      <c r="B2728">
        <v>0.67249999999999999</v>
      </c>
      <c r="C2728" t="str">
        <f t="shared" si="47"/>
        <v>1970 q2</v>
      </c>
    </row>
    <row r="2729" spans="1:3">
      <c r="A2729" s="62">
        <v>25713</v>
      </c>
      <c r="B2729">
        <v>0.65800000000000003</v>
      </c>
      <c r="C2729" t="str">
        <f t="shared" si="47"/>
        <v>1970 q2</v>
      </c>
    </row>
    <row r="2730" spans="1:3">
      <c r="A2730" s="62">
        <v>25714</v>
      </c>
      <c r="B2730">
        <v>0.65400000000000003</v>
      </c>
      <c r="C2730" t="str">
        <f t="shared" si="47"/>
        <v>1970 q2</v>
      </c>
    </row>
    <row r="2731" spans="1:3">
      <c r="A2731" s="62">
        <v>25715</v>
      </c>
      <c r="B2731">
        <v>0.67</v>
      </c>
      <c r="C2731" t="str">
        <f t="shared" si="47"/>
        <v>1970 q2</v>
      </c>
    </row>
    <row r="2732" spans="1:3">
      <c r="A2732" s="62">
        <v>25716</v>
      </c>
      <c r="B2732">
        <v>0.66449999999999998</v>
      </c>
      <c r="C2732" t="str">
        <f t="shared" si="47"/>
        <v>1970 q2</v>
      </c>
    </row>
    <row r="2733" spans="1:3">
      <c r="A2733" s="62">
        <v>25720</v>
      </c>
      <c r="B2733">
        <v>0.65800000000000003</v>
      </c>
      <c r="C2733" t="str">
        <f t="shared" si="47"/>
        <v>1970 q2</v>
      </c>
    </row>
    <row r="2734" spans="1:3">
      <c r="A2734" s="62">
        <v>25721</v>
      </c>
      <c r="B2734">
        <v>0.65649999999999997</v>
      </c>
      <c r="C2734" t="str">
        <f t="shared" si="47"/>
        <v>1970 q2</v>
      </c>
    </row>
    <row r="2735" spans="1:3">
      <c r="A2735" s="62">
        <v>25722</v>
      </c>
      <c r="B2735">
        <v>0.67349999999999999</v>
      </c>
      <c r="C2735" t="str">
        <f t="shared" si="47"/>
        <v>1970 q2</v>
      </c>
    </row>
    <row r="2736" spans="1:3">
      <c r="A2736" s="62">
        <v>25723</v>
      </c>
      <c r="B2736">
        <v>0.66549999999999998</v>
      </c>
      <c r="C2736" t="str">
        <f t="shared" si="47"/>
        <v>1970 q2</v>
      </c>
    </row>
    <row r="2737" spans="1:3">
      <c r="A2737" s="62">
        <v>25724</v>
      </c>
      <c r="B2737">
        <v>0.66</v>
      </c>
      <c r="C2737" t="str">
        <f t="shared" si="47"/>
        <v>1970 q2</v>
      </c>
    </row>
    <row r="2738" spans="1:3">
      <c r="A2738" s="62">
        <v>25727</v>
      </c>
      <c r="B2738">
        <v>0.65600000000000003</v>
      </c>
      <c r="C2738" t="str">
        <f t="shared" si="47"/>
        <v>1970 q2</v>
      </c>
    </row>
    <row r="2739" spans="1:3">
      <c r="A2739" s="62">
        <v>25728</v>
      </c>
      <c r="B2739">
        <v>0.66249999999999998</v>
      </c>
      <c r="C2739" t="str">
        <f t="shared" si="47"/>
        <v>1970 q2</v>
      </c>
    </row>
    <row r="2740" spans="1:3">
      <c r="A2740" s="62">
        <v>25729</v>
      </c>
      <c r="B2740">
        <v>0.64600000000000002</v>
      </c>
      <c r="C2740" t="str">
        <f t="shared" si="47"/>
        <v>1970 q2</v>
      </c>
    </row>
    <row r="2741" spans="1:3">
      <c r="A2741" s="62">
        <v>25730</v>
      </c>
      <c r="B2741">
        <v>0.63900000000000001</v>
      </c>
      <c r="C2741" t="str">
        <f t="shared" si="47"/>
        <v>1970 q2</v>
      </c>
    </row>
    <row r="2742" spans="1:3">
      <c r="A2742" s="62">
        <v>25731</v>
      </c>
      <c r="B2742">
        <v>0.64949999999999997</v>
      </c>
      <c r="C2742" t="str">
        <f t="shared" si="47"/>
        <v>1970 q2</v>
      </c>
    </row>
    <row r="2743" spans="1:3">
      <c r="A2743" s="62">
        <v>25734</v>
      </c>
      <c r="B2743">
        <v>0.64700000000000002</v>
      </c>
      <c r="C2743" t="str">
        <f t="shared" si="47"/>
        <v>1970 q2</v>
      </c>
    </row>
    <row r="2744" spans="1:3">
      <c r="A2744" s="62">
        <v>25735</v>
      </c>
      <c r="B2744">
        <v>0.66049999999999998</v>
      </c>
      <c r="C2744" t="str">
        <f t="shared" si="47"/>
        <v>1970 q2</v>
      </c>
    </row>
    <row r="2745" spans="1:3">
      <c r="A2745" s="62">
        <v>25736</v>
      </c>
      <c r="B2745">
        <v>0.66600000000000004</v>
      </c>
      <c r="C2745" t="str">
        <f t="shared" si="47"/>
        <v>1970 q2</v>
      </c>
    </row>
    <row r="2746" spans="1:3">
      <c r="A2746" s="62">
        <v>25737</v>
      </c>
      <c r="B2746">
        <v>0.66349999999999998</v>
      </c>
      <c r="C2746" t="str">
        <f t="shared" si="47"/>
        <v>1970 q2</v>
      </c>
    </row>
    <row r="2747" spans="1:3">
      <c r="A2747" s="62">
        <v>25738</v>
      </c>
      <c r="B2747">
        <v>0.66149999999999998</v>
      </c>
      <c r="C2747" t="str">
        <f t="shared" si="47"/>
        <v>1970 q2</v>
      </c>
    </row>
    <row r="2748" spans="1:3">
      <c r="A2748" s="62">
        <v>25741</v>
      </c>
      <c r="B2748">
        <v>0.65249999999999997</v>
      </c>
      <c r="C2748" t="str">
        <f t="shared" si="47"/>
        <v>1970 q2</v>
      </c>
    </row>
    <row r="2749" spans="1:3">
      <c r="A2749" s="62">
        <v>25742</v>
      </c>
      <c r="B2749">
        <v>0.64749999999999996</v>
      </c>
      <c r="C2749" t="str">
        <f t="shared" si="47"/>
        <v>1970 q2</v>
      </c>
    </row>
    <row r="2750" spans="1:3">
      <c r="A2750" s="62">
        <v>25743</v>
      </c>
      <c r="B2750">
        <v>0.64549999999999996</v>
      </c>
      <c r="C2750" t="str">
        <f t="shared" si="47"/>
        <v>1970 q2</v>
      </c>
    </row>
    <row r="2751" spans="1:3">
      <c r="A2751" s="62">
        <v>25744</v>
      </c>
      <c r="B2751">
        <v>0.63870000000000005</v>
      </c>
      <c r="C2751" t="str">
        <f t="shared" si="47"/>
        <v>1970 q2</v>
      </c>
    </row>
    <row r="2752" spans="1:3">
      <c r="A2752" s="62">
        <v>25745</v>
      </c>
      <c r="B2752">
        <v>0.63619999999999999</v>
      </c>
      <c r="C2752" t="str">
        <f t="shared" si="47"/>
        <v>1970 q2</v>
      </c>
    </row>
    <row r="2753" spans="1:3">
      <c r="A2753" s="62">
        <v>25748</v>
      </c>
      <c r="B2753">
        <v>0.62260000000000004</v>
      </c>
      <c r="C2753" t="str">
        <f t="shared" si="47"/>
        <v>1970 q2</v>
      </c>
    </row>
    <row r="2754" spans="1:3">
      <c r="A2754" s="62">
        <v>25749</v>
      </c>
      <c r="B2754">
        <v>0.61570000000000003</v>
      </c>
      <c r="C2754" t="str">
        <f t="shared" si="47"/>
        <v>1970 q2</v>
      </c>
    </row>
    <row r="2755" spans="1:3">
      <c r="A2755" s="62">
        <v>25750</v>
      </c>
      <c r="B2755">
        <v>0.62</v>
      </c>
      <c r="C2755" t="str">
        <f t="shared" si="47"/>
        <v>1970 q3</v>
      </c>
    </row>
    <row r="2756" spans="1:3">
      <c r="A2756" s="62">
        <v>25751</v>
      </c>
      <c r="B2756">
        <v>0.61499999999999999</v>
      </c>
      <c r="C2756" t="str">
        <f t="shared" si="47"/>
        <v>1970 q3</v>
      </c>
    </row>
    <row r="2757" spans="1:3">
      <c r="A2757" s="62">
        <v>25755</v>
      </c>
      <c r="B2757">
        <v>0.60899999999999999</v>
      </c>
      <c r="C2757" t="str">
        <f t="shared" si="47"/>
        <v>1970 q3</v>
      </c>
    </row>
    <row r="2758" spans="1:3">
      <c r="A2758" s="62">
        <v>25756</v>
      </c>
      <c r="B2758">
        <v>0.61199999999999999</v>
      </c>
      <c r="C2758" t="str">
        <f t="shared" si="47"/>
        <v>1970 q3</v>
      </c>
    </row>
    <row r="2759" spans="1:3">
      <c r="A2759" s="62">
        <v>25757</v>
      </c>
      <c r="B2759">
        <v>0.60850000000000004</v>
      </c>
      <c r="C2759" t="str">
        <f t="shared" si="47"/>
        <v>1970 q3</v>
      </c>
    </row>
    <row r="2760" spans="1:3">
      <c r="A2760" s="62">
        <v>25758</v>
      </c>
      <c r="B2760">
        <v>0.61350000000000005</v>
      </c>
      <c r="C2760" t="str">
        <f t="shared" si="47"/>
        <v>1970 q3</v>
      </c>
    </row>
    <row r="2761" spans="1:3">
      <c r="A2761" s="62">
        <v>25759</v>
      </c>
      <c r="B2761">
        <v>0.61750000000000005</v>
      </c>
      <c r="C2761" t="str">
        <f t="shared" si="47"/>
        <v>1970 q3</v>
      </c>
    </row>
    <row r="2762" spans="1:3">
      <c r="A2762" s="62">
        <v>25762</v>
      </c>
      <c r="B2762">
        <v>0.624</v>
      </c>
      <c r="C2762" t="str">
        <f t="shared" si="47"/>
        <v>1970 q3</v>
      </c>
    </row>
    <row r="2763" spans="1:3">
      <c r="A2763" s="62">
        <v>25763</v>
      </c>
      <c r="B2763">
        <v>0.61050000000000004</v>
      </c>
      <c r="C2763" t="str">
        <f t="shared" si="47"/>
        <v>1970 q3</v>
      </c>
    </row>
    <row r="2764" spans="1:3">
      <c r="A2764" s="62">
        <v>25764</v>
      </c>
      <c r="B2764">
        <v>0.60850000000000004</v>
      </c>
      <c r="C2764" t="str">
        <f t="shared" si="47"/>
        <v>1970 q3</v>
      </c>
    </row>
    <row r="2765" spans="1:3">
      <c r="A2765" s="62">
        <v>25765</v>
      </c>
      <c r="B2765">
        <v>0.61250000000000004</v>
      </c>
      <c r="C2765" t="str">
        <f t="shared" si="47"/>
        <v>1970 q3</v>
      </c>
    </row>
    <row r="2766" spans="1:3">
      <c r="A2766" s="62">
        <v>25766</v>
      </c>
      <c r="B2766">
        <v>0.61299999999999999</v>
      </c>
      <c r="C2766" t="str">
        <f t="shared" si="47"/>
        <v>1970 q3</v>
      </c>
    </row>
    <row r="2767" spans="1:3">
      <c r="A2767" s="62">
        <v>25769</v>
      </c>
      <c r="B2767">
        <v>0.61650000000000005</v>
      </c>
      <c r="C2767" t="str">
        <f t="shared" si="47"/>
        <v>1970 q3</v>
      </c>
    </row>
    <row r="2768" spans="1:3">
      <c r="A2768" s="62">
        <v>25770</v>
      </c>
      <c r="B2768">
        <v>0.62549999999999994</v>
      </c>
      <c r="C2768" t="str">
        <f t="shared" si="47"/>
        <v>1970 q3</v>
      </c>
    </row>
    <row r="2769" spans="1:3">
      <c r="A2769" s="62">
        <v>25771</v>
      </c>
      <c r="B2769">
        <v>0.627</v>
      </c>
      <c r="C2769" t="str">
        <f t="shared" si="47"/>
        <v>1970 q3</v>
      </c>
    </row>
    <row r="2770" spans="1:3">
      <c r="A2770" s="62">
        <v>25772</v>
      </c>
      <c r="B2770">
        <v>0.624</v>
      </c>
      <c r="C2770" t="str">
        <f t="shared" ref="C2770:C2833" si="48">YEAR(A2770)&amp;" q"&amp;ROUNDUP(MONTH(A2770)/3,0)</f>
        <v>1970 q3</v>
      </c>
    </row>
    <row r="2771" spans="1:3">
      <c r="A2771" s="62">
        <v>25773</v>
      </c>
      <c r="B2771">
        <v>0.61250000000000004</v>
      </c>
      <c r="C2771" t="str">
        <f t="shared" si="48"/>
        <v>1970 q3</v>
      </c>
    </row>
    <row r="2772" spans="1:3">
      <c r="A2772" s="62">
        <v>25776</v>
      </c>
      <c r="B2772">
        <v>0.60950000000000004</v>
      </c>
      <c r="C2772" t="str">
        <f t="shared" si="48"/>
        <v>1970 q3</v>
      </c>
    </row>
    <row r="2773" spans="1:3">
      <c r="A2773" s="62">
        <v>25777</v>
      </c>
      <c r="B2773">
        <v>0.62050000000000005</v>
      </c>
      <c r="C2773" t="str">
        <f t="shared" si="48"/>
        <v>1970 q3</v>
      </c>
    </row>
    <row r="2774" spans="1:3">
      <c r="A2774" s="62">
        <v>25778</v>
      </c>
      <c r="B2774">
        <v>0.61350000000000005</v>
      </c>
      <c r="C2774" t="str">
        <f t="shared" si="48"/>
        <v>1970 q3</v>
      </c>
    </row>
    <row r="2775" spans="1:3">
      <c r="A2775" s="62">
        <v>25779</v>
      </c>
      <c r="B2775">
        <v>0.60150000000000003</v>
      </c>
      <c r="C2775" t="str">
        <f t="shared" si="48"/>
        <v>1970 q3</v>
      </c>
    </row>
    <row r="2776" spans="1:3">
      <c r="A2776" s="62">
        <v>25780</v>
      </c>
      <c r="B2776">
        <v>0.59550000000000003</v>
      </c>
      <c r="C2776" t="str">
        <f t="shared" si="48"/>
        <v>1970 q3</v>
      </c>
    </row>
    <row r="2777" spans="1:3">
      <c r="A2777" s="62">
        <v>25783</v>
      </c>
      <c r="B2777">
        <v>0.59299999999999997</v>
      </c>
      <c r="C2777" t="str">
        <f t="shared" si="48"/>
        <v>1970 q3</v>
      </c>
    </row>
    <row r="2778" spans="1:3">
      <c r="A2778" s="62">
        <v>25784</v>
      </c>
      <c r="B2778">
        <v>0.59099999999999997</v>
      </c>
      <c r="C2778" t="str">
        <f t="shared" si="48"/>
        <v>1970 q3</v>
      </c>
    </row>
    <row r="2779" spans="1:3">
      <c r="A2779" s="62">
        <v>25785</v>
      </c>
      <c r="B2779">
        <v>0.58299999999999996</v>
      </c>
      <c r="C2779" t="str">
        <f t="shared" si="48"/>
        <v>1970 q3</v>
      </c>
    </row>
    <row r="2780" spans="1:3">
      <c r="A2780" s="62">
        <v>25786</v>
      </c>
      <c r="B2780">
        <v>0.58750000000000002</v>
      </c>
      <c r="C2780" t="str">
        <f t="shared" si="48"/>
        <v>1970 q3</v>
      </c>
    </row>
    <row r="2781" spans="1:3">
      <c r="A2781" s="62">
        <v>25787</v>
      </c>
      <c r="B2781">
        <v>0.58850000000000002</v>
      </c>
      <c r="C2781" t="str">
        <f t="shared" si="48"/>
        <v>1970 q3</v>
      </c>
    </row>
    <row r="2782" spans="1:3">
      <c r="A2782" s="62">
        <v>25790</v>
      </c>
      <c r="B2782">
        <v>0.57499999999999996</v>
      </c>
      <c r="C2782" t="str">
        <f t="shared" si="48"/>
        <v>1970 q3</v>
      </c>
    </row>
    <row r="2783" spans="1:3">
      <c r="A2783" s="62">
        <v>25791</v>
      </c>
      <c r="B2783">
        <v>0.57750000000000001</v>
      </c>
      <c r="C2783" t="str">
        <f t="shared" si="48"/>
        <v>1970 q3</v>
      </c>
    </row>
    <row r="2784" spans="1:3">
      <c r="A2784" s="62">
        <v>25792</v>
      </c>
      <c r="B2784">
        <v>0.56299999999999994</v>
      </c>
      <c r="C2784" t="str">
        <f t="shared" si="48"/>
        <v>1970 q3</v>
      </c>
    </row>
    <row r="2785" spans="1:3">
      <c r="A2785" s="62">
        <v>25793</v>
      </c>
      <c r="B2785">
        <v>0.56799999999999995</v>
      </c>
      <c r="C2785" t="str">
        <f t="shared" si="48"/>
        <v>1970 q3</v>
      </c>
    </row>
    <row r="2786" spans="1:3">
      <c r="A2786" s="62">
        <v>25794</v>
      </c>
      <c r="B2786">
        <v>0.57050000000000001</v>
      </c>
      <c r="C2786" t="str">
        <f t="shared" si="48"/>
        <v>1970 q3</v>
      </c>
    </row>
    <row r="2787" spans="1:3">
      <c r="A2787" s="62">
        <v>25797</v>
      </c>
      <c r="B2787">
        <v>0.57899999999999996</v>
      </c>
      <c r="C2787" t="str">
        <f t="shared" si="48"/>
        <v>1970 q3</v>
      </c>
    </row>
    <row r="2788" spans="1:3">
      <c r="A2788" s="62">
        <v>25798</v>
      </c>
      <c r="B2788">
        <v>0.5665</v>
      </c>
      <c r="C2788" t="str">
        <f t="shared" si="48"/>
        <v>1970 q3</v>
      </c>
    </row>
    <row r="2789" spans="1:3">
      <c r="A2789" s="62">
        <v>25799</v>
      </c>
      <c r="B2789">
        <v>0.56000000000000005</v>
      </c>
      <c r="C2789" t="str">
        <f t="shared" si="48"/>
        <v>1970 q3</v>
      </c>
    </row>
    <row r="2790" spans="1:3">
      <c r="A2790" s="62">
        <v>25800</v>
      </c>
      <c r="B2790">
        <v>0.56000000000000005</v>
      </c>
      <c r="C2790" t="str">
        <f t="shared" si="48"/>
        <v>1970 q3</v>
      </c>
    </row>
    <row r="2791" spans="1:3">
      <c r="A2791" s="62">
        <v>25801</v>
      </c>
      <c r="B2791">
        <v>0.55500000000000005</v>
      </c>
      <c r="C2791" t="str">
        <f t="shared" si="48"/>
        <v>1970 q3</v>
      </c>
    </row>
    <row r="2792" spans="1:3">
      <c r="A2792" s="62">
        <v>25804</v>
      </c>
      <c r="B2792">
        <v>0.55200000000000005</v>
      </c>
      <c r="C2792" t="str">
        <f t="shared" si="48"/>
        <v>1970 q3</v>
      </c>
    </row>
    <row r="2793" spans="1:3">
      <c r="A2793" s="62">
        <v>25805</v>
      </c>
      <c r="B2793">
        <v>0.56200000000000006</v>
      </c>
      <c r="C2793" t="str">
        <f t="shared" si="48"/>
        <v>1970 q3</v>
      </c>
    </row>
    <row r="2794" spans="1:3">
      <c r="A2794" s="62">
        <v>25806</v>
      </c>
      <c r="B2794">
        <v>0.56259999999999999</v>
      </c>
      <c r="C2794" t="str">
        <f t="shared" si="48"/>
        <v>1970 q3</v>
      </c>
    </row>
    <row r="2795" spans="1:3">
      <c r="A2795" s="62">
        <v>25807</v>
      </c>
      <c r="B2795">
        <v>0.56499999999999995</v>
      </c>
      <c r="C2795" t="str">
        <f t="shared" si="48"/>
        <v>1970 q3</v>
      </c>
    </row>
    <row r="2796" spans="1:3">
      <c r="A2796" s="62">
        <v>25808</v>
      </c>
      <c r="B2796">
        <v>0.56720000000000004</v>
      </c>
      <c r="C2796" t="str">
        <f t="shared" si="48"/>
        <v>1970 q3</v>
      </c>
    </row>
    <row r="2797" spans="1:3">
      <c r="A2797" s="62">
        <v>25811</v>
      </c>
      <c r="B2797">
        <v>0.56979999999999997</v>
      </c>
      <c r="C2797" t="str">
        <f t="shared" si="48"/>
        <v>1970 q3</v>
      </c>
    </row>
    <row r="2798" spans="1:3">
      <c r="A2798" s="62">
        <v>25812</v>
      </c>
      <c r="B2798">
        <v>0.56999999999999995</v>
      </c>
      <c r="C2798" t="str">
        <f t="shared" si="48"/>
        <v>1970 q3</v>
      </c>
    </row>
    <row r="2799" spans="1:3">
      <c r="A2799" s="62">
        <v>25813</v>
      </c>
      <c r="B2799">
        <v>0.57199999999999995</v>
      </c>
      <c r="C2799" t="str">
        <f t="shared" si="48"/>
        <v>1970 q3</v>
      </c>
    </row>
    <row r="2800" spans="1:3">
      <c r="A2800" s="62">
        <v>25814</v>
      </c>
      <c r="B2800">
        <v>0.57450000000000001</v>
      </c>
      <c r="C2800" t="str">
        <f t="shared" si="48"/>
        <v>1970 q3</v>
      </c>
    </row>
    <row r="2801" spans="1:3">
      <c r="A2801" s="62">
        <v>25815</v>
      </c>
      <c r="B2801">
        <v>0.5585</v>
      </c>
      <c r="C2801" t="str">
        <f t="shared" si="48"/>
        <v>1970 q3</v>
      </c>
    </row>
    <row r="2802" spans="1:3">
      <c r="A2802" s="62">
        <v>25819</v>
      </c>
      <c r="B2802">
        <v>0.57099999999999995</v>
      </c>
      <c r="C2802" t="str">
        <f t="shared" si="48"/>
        <v>1970 q3</v>
      </c>
    </row>
    <row r="2803" spans="1:3">
      <c r="A2803" s="62">
        <v>25820</v>
      </c>
      <c r="B2803">
        <v>0.57150000000000001</v>
      </c>
      <c r="C2803" t="str">
        <f t="shared" si="48"/>
        <v>1970 q3</v>
      </c>
    </row>
    <row r="2804" spans="1:3">
      <c r="A2804" s="62">
        <v>25821</v>
      </c>
      <c r="B2804">
        <v>0.57050000000000001</v>
      </c>
      <c r="C2804" t="str">
        <f t="shared" si="48"/>
        <v>1970 q3</v>
      </c>
    </row>
    <row r="2805" spans="1:3">
      <c r="A2805" s="62">
        <v>25822</v>
      </c>
      <c r="B2805">
        <v>0.57050000000000001</v>
      </c>
      <c r="C2805" t="str">
        <f t="shared" si="48"/>
        <v>1970 q3</v>
      </c>
    </row>
    <row r="2806" spans="1:3">
      <c r="A2806" s="62">
        <v>25825</v>
      </c>
      <c r="B2806">
        <v>0.56499999999999995</v>
      </c>
      <c r="C2806" t="str">
        <f t="shared" si="48"/>
        <v>1970 q3</v>
      </c>
    </row>
    <row r="2807" spans="1:3">
      <c r="A2807" s="62">
        <v>25826</v>
      </c>
      <c r="B2807">
        <v>0.56899999999999995</v>
      </c>
      <c r="C2807" t="str">
        <f t="shared" si="48"/>
        <v>1970 q3</v>
      </c>
    </row>
    <row r="2808" spans="1:3">
      <c r="A2808" s="62">
        <v>25827</v>
      </c>
      <c r="B2808">
        <v>0.57299999999999995</v>
      </c>
      <c r="C2808" t="str">
        <f t="shared" si="48"/>
        <v>1970 q3</v>
      </c>
    </row>
    <row r="2809" spans="1:3">
      <c r="A2809" s="62">
        <v>25828</v>
      </c>
      <c r="B2809">
        <v>0.57299999999999995</v>
      </c>
      <c r="C2809" t="str">
        <f t="shared" si="48"/>
        <v>1970 q3</v>
      </c>
    </row>
    <row r="2810" spans="1:3">
      <c r="A2810" s="62">
        <v>25829</v>
      </c>
      <c r="B2810">
        <v>0.57499999999999996</v>
      </c>
      <c r="C2810" t="str">
        <f t="shared" si="48"/>
        <v>1970 q3</v>
      </c>
    </row>
    <row r="2811" spans="1:3">
      <c r="A2811" s="62">
        <v>25832</v>
      </c>
      <c r="B2811">
        <v>0.58250000000000002</v>
      </c>
      <c r="C2811" t="str">
        <f t="shared" si="48"/>
        <v>1970 q3</v>
      </c>
    </row>
    <row r="2812" spans="1:3">
      <c r="A2812" s="62">
        <v>25833</v>
      </c>
      <c r="B2812">
        <v>0.56999999999999995</v>
      </c>
      <c r="C2812" t="str">
        <f t="shared" si="48"/>
        <v>1970 q3</v>
      </c>
    </row>
    <row r="2813" spans="1:3">
      <c r="A2813" s="62">
        <v>25834</v>
      </c>
      <c r="B2813">
        <v>0.57199999999999995</v>
      </c>
      <c r="C2813" t="str">
        <f t="shared" si="48"/>
        <v>1970 q3</v>
      </c>
    </row>
    <row r="2814" spans="1:3">
      <c r="A2814" s="62">
        <v>25835</v>
      </c>
      <c r="B2814">
        <v>0.55500000000000005</v>
      </c>
      <c r="C2814" t="str">
        <f t="shared" si="48"/>
        <v>1970 q3</v>
      </c>
    </row>
    <row r="2815" spans="1:3">
      <c r="A2815" s="62">
        <v>25836</v>
      </c>
      <c r="B2815">
        <v>0.55600000000000005</v>
      </c>
      <c r="C2815" t="str">
        <f t="shared" si="48"/>
        <v>1970 q3</v>
      </c>
    </row>
    <row r="2816" spans="1:3">
      <c r="A2816" s="62">
        <v>25839</v>
      </c>
      <c r="B2816">
        <v>0.56799999999999995</v>
      </c>
      <c r="C2816" t="str">
        <f t="shared" si="48"/>
        <v>1970 q3</v>
      </c>
    </row>
    <row r="2817" spans="1:3">
      <c r="A2817" s="62">
        <v>25840</v>
      </c>
      <c r="B2817">
        <v>0.56399999999999995</v>
      </c>
      <c r="C2817" t="str">
        <f t="shared" si="48"/>
        <v>1970 q3</v>
      </c>
    </row>
    <row r="2818" spans="1:3">
      <c r="A2818" s="62">
        <v>25841</v>
      </c>
      <c r="B2818">
        <v>0.55700000000000005</v>
      </c>
      <c r="C2818" t="str">
        <f t="shared" si="48"/>
        <v>1970 q3</v>
      </c>
    </row>
    <row r="2819" spans="1:3">
      <c r="A2819" s="62">
        <v>25842</v>
      </c>
      <c r="B2819">
        <v>0.5575</v>
      </c>
      <c r="C2819" t="str">
        <f t="shared" si="48"/>
        <v>1970 q4</v>
      </c>
    </row>
    <row r="2820" spans="1:3">
      <c r="A2820" s="62">
        <v>25843</v>
      </c>
      <c r="B2820">
        <v>0.54600000000000004</v>
      </c>
      <c r="C2820" t="str">
        <f t="shared" si="48"/>
        <v>1970 q4</v>
      </c>
    </row>
    <row r="2821" spans="1:3">
      <c r="A2821" s="62">
        <v>25846</v>
      </c>
      <c r="B2821">
        <v>0.53849999999999998</v>
      </c>
      <c r="C2821" t="str">
        <f t="shared" si="48"/>
        <v>1970 q4</v>
      </c>
    </row>
    <row r="2822" spans="1:3">
      <c r="A2822" s="62">
        <v>25847</v>
      </c>
      <c r="B2822">
        <v>0.53400000000000003</v>
      </c>
      <c r="C2822" t="str">
        <f t="shared" si="48"/>
        <v>1970 q4</v>
      </c>
    </row>
    <row r="2823" spans="1:3">
      <c r="A2823" s="62">
        <v>25848</v>
      </c>
      <c r="B2823">
        <v>0.53</v>
      </c>
      <c r="C2823" t="str">
        <f t="shared" si="48"/>
        <v>1970 q4</v>
      </c>
    </row>
    <row r="2824" spans="1:3">
      <c r="A2824" s="62">
        <v>25849</v>
      </c>
      <c r="B2824">
        <v>0.54</v>
      </c>
      <c r="C2824" t="str">
        <f t="shared" si="48"/>
        <v>1970 q4</v>
      </c>
    </row>
    <row r="2825" spans="1:3">
      <c r="A2825" s="62">
        <v>25850</v>
      </c>
      <c r="B2825">
        <v>0.53400000000000003</v>
      </c>
      <c r="C2825" t="str">
        <f t="shared" si="48"/>
        <v>1970 q4</v>
      </c>
    </row>
    <row r="2826" spans="1:3">
      <c r="A2826" s="62">
        <v>25854</v>
      </c>
      <c r="B2826">
        <v>0.52249999999999996</v>
      </c>
      <c r="C2826" t="str">
        <f t="shared" si="48"/>
        <v>1970 q4</v>
      </c>
    </row>
    <row r="2827" spans="1:3">
      <c r="A2827" s="62">
        <v>25855</v>
      </c>
      <c r="B2827">
        <v>0.51849999999999996</v>
      </c>
      <c r="C2827" t="str">
        <f t="shared" si="48"/>
        <v>1970 q4</v>
      </c>
    </row>
    <row r="2828" spans="1:3">
      <c r="A2828" s="62">
        <v>25856</v>
      </c>
      <c r="B2828">
        <v>0.51749999999999996</v>
      </c>
      <c r="C2828" t="str">
        <f t="shared" si="48"/>
        <v>1970 q4</v>
      </c>
    </row>
    <row r="2829" spans="1:3">
      <c r="A2829" s="62">
        <v>25857</v>
      </c>
      <c r="B2829">
        <v>0.50900000000000001</v>
      </c>
      <c r="C2829" t="str">
        <f t="shared" si="48"/>
        <v>1970 q4</v>
      </c>
    </row>
    <row r="2830" spans="1:3">
      <c r="A2830" s="62">
        <v>25860</v>
      </c>
      <c r="B2830">
        <v>0.498</v>
      </c>
      <c r="C2830" t="str">
        <f t="shared" si="48"/>
        <v>1970 q4</v>
      </c>
    </row>
    <row r="2831" spans="1:3">
      <c r="A2831" s="62">
        <v>25861</v>
      </c>
      <c r="B2831">
        <v>0.48399999999999999</v>
      </c>
      <c r="C2831" t="str">
        <f t="shared" si="48"/>
        <v>1970 q4</v>
      </c>
    </row>
    <row r="2832" spans="1:3">
      <c r="A2832" s="62">
        <v>25862</v>
      </c>
      <c r="B2832">
        <v>0.49049999999999999</v>
      </c>
      <c r="C2832" t="str">
        <f t="shared" si="48"/>
        <v>1970 q4</v>
      </c>
    </row>
    <row r="2833" spans="1:3">
      <c r="A2833" s="62">
        <v>25863</v>
      </c>
      <c r="B2833">
        <v>0.50849999999999995</v>
      </c>
      <c r="C2833" t="str">
        <f t="shared" si="48"/>
        <v>1970 q4</v>
      </c>
    </row>
    <row r="2834" spans="1:3">
      <c r="A2834" s="62">
        <v>25864</v>
      </c>
      <c r="B2834">
        <v>0.497</v>
      </c>
      <c r="C2834" t="str">
        <f t="shared" ref="C2834:C2897" si="49">YEAR(A2834)&amp;" q"&amp;ROUNDUP(MONTH(A2834)/3,0)</f>
        <v>1970 q4</v>
      </c>
    </row>
    <row r="2835" spans="1:3">
      <c r="A2835" s="62">
        <v>25867</v>
      </c>
      <c r="B2835">
        <v>0.48649999999999999</v>
      </c>
      <c r="C2835" t="str">
        <f t="shared" si="49"/>
        <v>1970 q4</v>
      </c>
    </row>
    <row r="2836" spans="1:3">
      <c r="A2836" s="62">
        <v>25868</v>
      </c>
      <c r="B2836">
        <v>0.48649999999999999</v>
      </c>
      <c r="C2836" t="str">
        <f t="shared" si="49"/>
        <v>1970 q4</v>
      </c>
    </row>
    <row r="2837" spans="1:3">
      <c r="A2837" s="62">
        <v>25869</v>
      </c>
      <c r="B2837">
        <v>0.48899999999999999</v>
      </c>
      <c r="C2837" t="str">
        <f t="shared" si="49"/>
        <v>1970 q4</v>
      </c>
    </row>
    <row r="2838" spans="1:3">
      <c r="A2838" s="62">
        <v>25870</v>
      </c>
      <c r="B2838">
        <v>0.49349999999999999</v>
      </c>
      <c r="C2838" t="str">
        <f t="shared" si="49"/>
        <v>1970 q4</v>
      </c>
    </row>
    <row r="2839" spans="1:3">
      <c r="A2839" s="62">
        <v>25871</v>
      </c>
      <c r="B2839">
        <v>0.496</v>
      </c>
      <c r="C2839" t="str">
        <f t="shared" si="49"/>
        <v>1970 q4</v>
      </c>
    </row>
    <row r="2840" spans="1:3">
      <c r="A2840" s="62">
        <v>25874</v>
      </c>
      <c r="B2840">
        <v>0.50849999999999995</v>
      </c>
      <c r="C2840" t="str">
        <f t="shared" si="49"/>
        <v>1970 q4</v>
      </c>
    </row>
    <row r="2841" spans="1:3">
      <c r="A2841" s="62">
        <v>25876</v>
      </c>
      <c r="B2841">
        <v>0.4965</v>
      </c>
      <c r="C2841" t="str">
        <f t="shared" si="49"/>
        <v>1970 q4</v>
      </c>
    </row>
    <row r="2842" spans="1:3">
      <c r="A2842" s="62">
        <v>25877</v>
      </c>
      <c r="B2842">
        <v>0.49049999999999999</v>
      </c>
      <c r="C2842" t="str">
        <f t="shared" si="49"/>
        <v>1970 q4</v>
      </c>
    </row>
    <row r="2843" spans="1:3">
      <c r="A2843" s="62">
        <v>25878</v>
      </c>
      <c r="B2843">
        <v>0.49349999999999999</v>
      </c>
      <c r="C2843" t="str">
        <f t="shared" si="49"/>
        <v>1970 q4</v>
      </c>
    </row>
    <row r="2844" spans="1:3">
      <c r="A2844" s="62">
        <v>25881</v>
      </c>
      <c r="B2844">
        <v>0.504</v>
      </c>
      <c r="C2844" t="str">
        <f t="shared" si="49"/>
        <v>1970 q4</v>
      </c>
    </row>
    <row r="2845" spans="1:3">
      <c r="A2845" s="62">
        <v>25882</v>
      </c>
      <c r="B2845">
        <v>0.4955</v>
      </c>
      <c r="C2845" t="str">
        <f t="shared" si="49"/>
        <v>1970 q4</v>
      </c>
    </row>
    <row r="2846" spans="1:3">
      <c r="A2846" s="62">
        <v>25884</v>
      </c>
      <c r="B2846">
        <v>0.48449999999999999</v>
      </c>
      <c r="C2846" t="str">
        <f t="shared" si="49"/>
        <v>1970 q4</v>
      </c>
    </row>
    <row r="2847" spans="1:3">
      <c r="A2847" s="62">
        <v>25885</v>
      </c>
      <c r="B2847">
        <v>0.48299999999999998</v>
      </c>
      <c r="C2847" t="str">
        <f t="shared" si="49"/>
        <v>1970 q4</v>
      </c>
    </row>
    <row r="2848" spans="1:3">
      <c r="A2848" s="62">
        <v>25888</v>
      </c>
      <c r="B2848">
        <v>0.47449999999999998</v>
      </c>
      <c r="C2848" t="str">
        <f t="shared" si="49"/>
        <v>1970 q4</v>
      </c>
    </row>
    <row r="2849" spans="1:3">
      <c r="A2849" s="62">
        <v>25889</v>
      </c>
      <c r="B2849">
        <v>0.46800000000000003</v>
      </c>
      <c r="C2849" t="str">
        <f t="shared" si="49"/>
        <v>1970 q4</v>
      </c>
    </row>
    <row r="2850" spans="1:3">
      <c r="A2850" s="62">
        <v>25890</v>
      </c>
      <c r="B2850">
        <v>0.47099999999999997</v>
      </c>
      <c r="C2850" t="str">
        <f t="shared" si="49"/>
        <v>1970 q4</v>
      </c>
    </row>
    <row r="2851" spans="1:3">
      <c r="A2851" s="62">
        <v>25891</v>
      </c>
      <c r="B2851">
        <v>0.47149999999999997</v>
      </c>
      <c r="C2851" t="str">
        <f t="shared" si="49"/>
        <v>1970 q4</v>
      </c>
    </row>
    <row r="2852" spans="1:3">
      <c r="A2852" s="62">
        <v>25892</v>
      </c>
      <c r="B2852">
        <v>0.47199999999999998</v>
      </c>
      <c r="C2852" t="str">
        <f t="shared" si="49"/>
        <v>1970 q4</v>
      </c>
    </row>
    <row r="2853" spans="1:3">
      <c r="A2853" s="62">
        <v>25895</v>
      </c>
      <c r="B2853">
        <v>0.48249999999999998</v>
      </c>
      <c r="C2853" t="str">
        <f t="shared" si="49"/>
        <v>1970 q4</v>
      </c>
    </row>
    <row r="2854" spans="1:3">
      <c r="A2854" s="62">
        <v>25896</v>
      </c>
      <c r="B2854">
        <v>0.46600000000000003</v>
      </c>
      <c r="C2854" t="str">
        <f t="shared" si="49"/>
        <v>1970 q4</v>
      </c>
    </row>
    <row r="2855" spans="1:3">
      <c r="A2855" s="62">
        <v>25897</v>
      </c>
      <c r="B2855">
        <v>0.47299999999999998</v>
      </c>
      <c r="C2855" t="str">
        <f t="shared" si="49"/>
        <v>1970 q4</v>
      </c>
    </row>
    <row r="2856" spans="1:3">
      <c r="A2856" s="62">
        <v>25899</v>
      </c>
      <c r="B2856">
        <v>0.47470000000000001</v>
      </c>
      <c r="C2856" t="str">
        <f t="shared" si="49"/>
        <v>1970 q4</v>
      </c>
    </row>
    <row r="2857" spans="1:3">
      <c r="A2857" s="62">
        <v>25902</v>
      </c>
      <c r="B2857">
        <v>0.47460000000000002</v>
      </c>
      <c r="C2857" t="str">
        <f t="shared" si="49"/>
        <v>1970 q4</v>
      </c>
    </row>
    <row r="2858" spans="1:3">
      <c r="A2858" s="62">
        <v>25903</v>
      </c>
      <c r="B2858">
        <v>0.46800000000000003</v>
      </c>
      <c r="C2858" t="str">
        <f t="shared" si="49"/>
        <v>1970 q4</v>
      </c>
    </row>
    <row r="2859" spans="1:3">
      <c r="A2859" s="62">
        <v>25904</v>
      </c>
      <c r="B2859">
        <v>0.45900000000000002</v>
      </c>
      <c r="C2859" t="str">
        <f t="shared" si="49"/>
        <v>1970 q4</v>
      </c>
    </row>
    <row r="2860" spans="1:3">
      <c r="A2860" s="62">
        <v>25905</v>
      </c>
      <c r="B2860">
        <v>0.46250000000000002</v>
      </c>
      <c r="C2860" t="str">
        <f t="shared" si="49"/>
        <v>1970 q4</v>
      </c>
    </row>
    <row r="2861" spans="1:3">
      <c r="A2861" s="62">
        <v>25906</v>
      </c>
      <c r="B2861">
        <v>0.45750000000000002</v>
      </c>
      <c r="C2861" t="str">
        <f t="shared" si="49"/>
        <v>1970 q4</v>
      </c>
    </row>
    <row r="2862" spans="1:3">
      <c r="A2862" s="62">
        <v>25909</v>
      </c>
      <c r="B2862">
        <v>0.45450000000000002</v>
      </c>
      <c r="C2862" t="str">
        <f t="shared" si="49"/>
        <v>1970 q4</v>
      </c>
    </row>
    <row r="2863" spans="1:3">
      <c r="A2863" s="62">
        <v>25910</v>
      </c>
      <c r="B2863">
        <v>0.45750000000000002</v>
      </c>
      <c r="C2863" t="str">
        <f t="shared" si="49"/>
        <v>1970 q4</v>
      </c>
    </row>
    <row r="2864" spans="1:3">
      <c r="A2864" s="62">
        <v>25911</v>
      </c>
      <c r="B2864">
        <v>0.45950000000000002</v>
      </c>
      <c r="C2864" t="str">
        <f t="shared" si="49"/>
        <v>1970 q4</v>
      </c>
    </row>
    <row r="2865" spans="1:3">
      <c r="A2865" s="62">
        <v>25912</v>
      </c>
      <c r="B2865">
        <v>0.46800000000000003</v>
      </c>
      <c r="C2865" t="str">
        <f t="shared" si="49"/>
        <v>1970 q4</v>
      </c>
    </row>
    <row r="2866" spans="1:3">
      <c r="A2866" s="62">
        <v>25913</v>
      </c>
      <c r="B2866">
        <v>0.47499999999999998</v>
      </c>
      <c r="C2866" t="str">
        <f t="shared" si="49"/>
        <v>1970 q4</v>
      </c>
    </row>
    <row r="2867" spans="1:3">
      <c r="A2867" s="62">
        <v>25916</v>
      </c>
      <c r="B2867">
        <v>0.47349999999999998</v>
      </c>
      <c r="C2867" t="str">
        <f t="shared" si="49"/>
        <v>1970 q4</v>
      </c>
    </row>
    <row r="2868" spans="1:3">
      <c r="A2868" s="62">
        <v>25917</v>
      </c>
      <c r="B2868">
        <v>0.47</v>
      </c>
      <c r="C2868" t="str">
        <f t="shared" si="49"/>
        <v>1970 q4</v>
      </c>
    </row>
    <row r="2869" spans="1:3">
      <c r="A2869" s="62">
        <v>25918</v>
      </c>
      <c r="B2869">
        <v>0.47749999999999998</v>
      </c>
      <c r="C2869" t="str">
        <f t="shared" si="49"/>
        <v>1970 q4</v>
      </c>
    </row>
    <row r="2870" spans="1:3">
      <c r="A2870" s="62">
        <v>25919</v>
      </c>
      <c r="B2870">
        <v>0.47199999999999998</v>
      </c>
      <c r="C2870" t="str">
        <f t="shared" si="49"/>
        <v>1970 q4</v>
      </c>
    </row>
    <row r="2871" spans="1:3">
      <c r="A2871" s="62">
        <v>25920</v>
      </c>
      <c r="B2871">
        <v>0.47449999999999998</v>
      </c>
      <c r="C2871" t="str">
        <f t="shared" si="49"/>
        <v>1970 q4</v>
      </c>
    </row>
    <row r="2872" spans="1:3">
      <c r="A2872" s="62">
        <v>25923</v>
      </c>
      <c r="B2872">
        <v>0.47</v>
      </c>
      <c r="C2872" t="str">
        <f t="shared" si="49"/>
        <v>1970 q4</v>
      </c>
    </row>
    <row r="2873" spans="1:3">
      <c r="A2873" s="62">
        <v>25924</v>
      </c>
      <c r="B2873">
        <v>0.46600000000000003</v>
      </c>
      <c r="C2873" t="str">
        <f t="shared" si="49"/>
        <v>1970 q4</v>
      </c>
    </row>
    <row r="2874" spans="1:3">
      <c r="A2874" s="62">
        <v>25925</v>
      </c>
      <c r="B2874">
        <v>0.47899999999999998</v>
      </c>
      <c r="C2874" t="str">
        <f t="shared" si="49"/>
        <v>1970 q4</v>
      </c>
    </row>
    <row r="2875" spans="1:3">
      <c r="A2875" s="62">
        <v>25926</v>
      </c>
      <c r="B2875">
        <v>0.47249999999999998</v>
      </c>
      <c r="C2875" t="str">
        <f t="shared" si="49"/>
        <v>1970 q4</v>
      </c>
    </row>
    <row r="2876" spans="1:3">
      <c r="A2876" s="62">
        <v>25930</v>
      </c>
      <c r="B2876">
        <v>0.4703</v>
      </c>
      <c r="C2876" t="str">
        <f t="shared" si="49"/>
        <v>1970 q4</v>
      </c>
    </row>
    <row r="2877" spans="1:3">
      <c r="A2877" s="62">
        <v>25931</v>
      </c>
      <c r="B2877">
        <v>0.46460000000000001</v>
      </c>
      <c r="C2877" t="str">
        <f t="shared" si="49"/>
        <v>1970 q4</v>
      </c>
    </row>
    <row r="2878" spans="1:3">
      <c r="A2878" s="62">
        <v>25932</v>
      </c>
      <c r="B2878">
        <v>0.4652</v>
      </c>
      <c r="C2878" t="str">
        <f t="shared" si="49"/>
        <v>1970 q4</v>
      </c>
    </row>
    <row r="2879" spans="1:3">
      <c r="A2879" s="62">
        <v>25933</v>
      </c>
      <c r="B2879">
        <v>0.46460000000000001</v>
      </c>
      <c r="C2879" t="str">
        <f t="shared" si="49"/>
        <v>1970 q4</v>
      </c>
    </row>
    <row r="2880" spans="1:3">
      <c r="A2880" s="62">
        <v>25937</v>
      </c>
      <c r="B2880">
        <v>0.46850000000000003</v>
      </c>
      <c r="C2880" t="str">
        <f t="shared" si="49"/>
        <v>1971 q1</v>
      </c>
    </row>
    <row r="2881" spans="1:3">
      <c r="A2881" s="62">
        <v>25938</v>
      </c>
      <c r="B2881">
        <v>0.46450000000000002</v>
      </c>
      <c r="C2881" t="str">
        <f t="shared" si="49"/>
        <v>1971 q1</v>
      </c>
    </row>
    <row r="2882" spans="1:3">
      <c r="A2882" s="62">
        <v>25939</v>
      </c>
      <c r="B2882">
        <v>0.45350000000000001</v>
      </c>
      <c r="C2882" t="str">
        <f t="shared" si="49"/>
        <v>1971 q1</v>
      </c>
    </row>
    <row r="2883" spans="1:3">
      <c r="A2883" s="62">
        <v>25940</v>
      </c>
      <c r="B2883">
        <v>0.45300000000000001</v>
      </c>
      <c r="C2883" t="str">
        <f t="shared" si="49"/>
        <v>1971 q1</v>
      </c>
    </row>
    <row r="2884" spans="1:3">
      <c r="A2884" s="62">
        <v>25941</v>
      </c>
      <c r="B2884">
        <v>0.45350000000000001</v>
      </c>
      <c r="C2884" t="str">
        <f t="shared" si="49"/>
        <v>1971 q1</v>
      </c>
    </row>
    <row r="2885" spans="1:3">
      <c r="A2885" s="62">
        <v>25944</v>
      </c>
      <c r="B2885">
        <v>0.44350000000000001</v>
      </c>
      <c r="C2885" t="str">
        <f t="shared" si="49"/>
        <v>1971 q1</v>
      </c>
    </row>
    <row r="2886" spans="1:3">
      <c r="A2886" s="62">
        <v>25945</v>
      </c>
      <c r="B2886">
        <v>0.45300000000000001</v>
      </c>
      <c r="C2886" t="str">
        <f t="shared" si="49"/>
        <v>1971 q1</v>
      </c>
    </row>
    <row r="2887" spans="1:3">
      <c r="A2887" s="62">
        <v>25946</v>
      </c>
      <c r="B2887">
        <v>0.45</v>
      </c>
      <c r="C2887" t="str">
        <f t="shared" si="49"/>
        <v>1971 q1</v>
      </c>
    </row>
    <row r="2888" spans="1:3">
      <c r="A2888" s="62">
        <v>25947</v>
      </c>
      <c r="B2888">
        <v>0.45250000000000001</v>
      </c>
      <c r="C2888" t="str">
        <f t="shared" si="49"/>
        <v>1971 q1</v>
      </c>
    </row>
    <row r="2889" spans="1:3">
      <c r="A2889" s="62">
        <v>25948</v>
      </c>
      <c r="B2889">
        <v>0.44600000000000001</v>
      </c>
      <c r="C2889" t="str">
        <f t="shared" si="49"/>
        <v>1971 q1</v>
      </c>
    </row>
    <row r="2890" spans="1:3">
      <c r="A2890" s="62">
        <v>25951</v>
      </c>
      <c r="B2890">
        <v>0.44700000000000001</v>
      </c>
      <c r="C2890" t="str">
        <f t="shared" si="49"/>
        <v>1971 q1</v>
      </c>
    </row>
    <row r="2891" spans="1:3">
      <c r="A2891" s="62">
        <v>25952</v>
      </c>
      <c r="B2891">
        <v>0.45100000000000001</v>
      </c>
      <c r="C2891" t="str">
        <f t="shared" si="49"/>
        <v>1971 q1</v>
      </c>
    </row>
    <row r="2892" spans="1:3">
      <c r="A2892" s="62">
        <v>25953</v>
      </c>
      <c r="B2892">
        <v>0.44750000000000001</v>
      </c>
      <c r="C2892" t="str">
        <f t="shared" si="49"/>
        <v>1971 q1</v>
      </c>
    </row>
    <row r="2893" spans="1:3">
      <c r="A2893" s="62">
        <v>25954</v>
      </c>
      <c r="B2893">
        <v>0.44450000000000001</v>
      </c>
      <c r="C2893" t="str">
        <f t="shared" si="49"/>
        <v>1971 q1</v>
      </c>
    </row>
    <row r="2894" spans="1:3">
      <c r="A2894" s="62">
        <v>25955</v>
      </c>
      <c r="B2894">
        <v>0.44750000000000001</v>
      </c>
      <c r="C2894" t="str">
        <f t="shared" si="49"/>
        <v>1971 q1</v>
      </c>
    </row>
    <row r="2895" spans="1:3">
      <c r="A2895" s="62">
        <v>25958</v>
      </c>
      <c r="B2895">
        <v>0.45550000000000002</v>
      </c>
      <c r="C2895" t="str">
        <f t="shared" si="49"/>
        <v>1971 q1</v>
      </c>
    </row>
    <row r="2896" spans="1:3">
      <c r="A2896" s="62">
        <v>25959</v>
      </c>
      <c r="B2896">
        <v>0.45200000000000001</v>
      </c>
      <c r="C2896" t="str">
        <f t="shared" si="49"/>
        <v>1971 q1</v>
      </c>
    </row>
    <row r="2897" spans="1:3">
      <c r="A2897" s="62">
        <v>25960</v>
      </c>
      <c r="B2897">
        <v>0.45700000000000002</v>
      </c>
      <c r="C2897" t="str">
        <f t="shared" si="49"/>
        <v>1971 q1</v>
      </c>
    </row>
    <row r="2898" spans="1:3">
      <c r="A2898" s="62">
        <v>25961</v>
      </c>
      <c r="B2898">
        <v>0.46700000000000003</v>
      </c>
      <c r="C2898" t="str">
        <f t="shared" ref="C2898:C2961" si="50">YEAR(A2898)&amp;" q"&amp;ROUNDUP(MONTH(A2898)/3,0)</f>
        <v>1971 q1</v>
      </c>
    </row>
    <row r="2899" spans="1:3">
      <c r="A2899" s="62">
        <v>25962</v>
      </c>
      <c r="B2899">
        <v>0.47249999999999998</v>
      </c>
      <c r="C2899" t="str">
        <f t="shared" si="50"/>
        <v>1971 q1</v>
      </c>
    </row>
    <row r="2900" spans="1:3">
      <c r="A2900" s="62">
        <v>25965</v>
      </c>
      <c r="B2900">
        <v>0.46750000000000003</v>
      </c>
      <c r="C2900" t="str">
        <f t="shared" si="50"/>
        <v>1971 q1</v>
      </c>
    </row>
    <row r="2901" spans="1:3">
      <c r="A2901" s="62">
        <v>25966</v>
      </c>
      <c r="B2901">
        <v>0.46450000000000002</v>
      </c>
      <c r="C2901" t="str">
        <f t="shared" si="50"/>
        <v>1971 q1</v>
      </c>
    </row>
    <row r="2902" spans="1:3">
      <c r="A2902" s="62">
        <v>25967</v>
      </c>
      <c r="B2902">
        <v>0.46</v>
      </c>
      <c r="C2902" t="str">
        <f t="shared" si="50"/>
        <v>1971 q1</v>
      </c>
    </row>
    <row r="2903" spans="1:3">
      <c r="A2903" s="62">
        <v>25968</v>
      </c>
      <c r="B2903">
        <v>0.46150000000000002</v>
      </c>
      <c r="C2903" t="str">
        <f t="shared" si="50"/>
        <v>1971 q1</v>
      </c>
    </row>
    <row r="2904" spans="1:3">
      <c r="A2904" s="62">
        <v>25969</v>
      </c>
      <c r="B2904">
        <v>0.46100000000000002</v>
      </c>
      <c r="C2904" t="str">
        <f t="shared" si="50"/>
        <v>1971 q1</v>
      </c>
    </row>
    <row r="2905" spans="1:3">
      <c r="A2905" s="62">
        <v>25972</v>
      </c>
      <c r="B2905">
        <v>0.45800000000000002</v>
      </c>
      <c r="C2905" t="str">
        <f t="shared" si="50"/>
        <v>1971 q1</v>
      </c>
    </row>
    <row r="2906" spans="1:3">
      <c r="A2906" s="62">
        <v>25973</v>
      </c>
      <c r="B2906">
        <v>0.46</v>
      </c>
      <c r="C2906" t="str">
        <f t="shared" si="50"/>
        <v>1971 q1</v>
      </c>
    </row>
    <row r="2907" spans="1:3">
      <c r="A2907" s="62">
        <v>25974</v>
      </c>
      <c r="B2907">
        <v>0.45950000000000002</v>
      </c>
      <c r="C2907" t="str">
        <f t="shared" si="50"/>
        <v>1971 q1</v>
      </c>
    </row>
    <row r="2908" spans="1:3">
      <c r="A2908" s="62">
        <v>25975</v>
      </c>
      <c r="B2908">
        <v>0.46050000000000002</v>
      </c>
      <c r="C2908" t="str">
        <f t="shared" si="50"/>
        <v>1971 q1</v>
      </c>
    </row>
    <row r="2909" spans="1:3">
      <c r="A2909" s="62">
        <v>25980</v>
      </c>
      <c r="B2909">
        <v>0.47599999999999998</v>
      </c>
      <c r="C2909" t="str">
        <f t="shared" si="50"/>
        <v>1971 q1</v>
      </c>
    </row>
    <row r="2910" spans="1:3">
      <c r="A2910" s="62">
        <v>25981</v>
      </c>
      <c r="B2910">
        <v>0.47499999999999998</v>
      </c>
      <c r="C2910" t="str">
        <f t="shared" si="50"/>
        <v>1971 q1</v>
      </c>
    </row>
    <row r="2911" spans="1:3">
      <c r="A2911" s="62">
        <v>25982</v>
      </c>
      <c r="B2911">
        <v>0.47499999999999998</v>
      </c>
      <c r="C2911" t="str">
        <f t="shared" si="50"/>
        <v>1971 q1</v>
      </c>
    </row>
    <row r="2912" spans="1:3">
      <c r="A2912" s="62">
        <v>25983</v>
      </c>
      <c r="B2912">
        <v>0.47349999999999998</v>
      </c>
      <c r="C2912" t="str">
        <f t="shared" si="50"/>
        <v>1971 q1</v>
      </c>
    </row>
    <row r="2913" spans="1:3">
      <c r="A2913" s="62">
        <v>25986</v>
      </c>
      <c r="B2913">
        <v>0.47849999999999998</v>
      </c>
      <c r="C2913" t="str">
        <f t="shared" si="50"/>
        <v>1971 q1</v>
      </c>
    </row>
    <row r="2914" spans="1:3">
      <c r="A2914" s="62">
        <v>25987</v>
      </c>
      <c r="B2914">
        <v>0.48120000000000002</v>
      </c>
      <c r="C2914" t="str">
        <f t="shared" si="50"/>
        <v>1971 q1</v>
      </c>
    </row>
    <row r="2915" spans="1:3">
      <c r="A2915" s="62">
        <v>25988</v>
      </c>
      <c r="B2915">
        <v>0.4773</v>
      </c>
      <c r="C2915" t="str">
        <f t="shared" si="50"/>
        <v>1971 q1</v>
      </c>
    </row>
    <row r="2916" spans="1:3">
      <c r="A2916" s="62">
        <v>25989</v>
      </c>
      <c r="B2916">
        <v>0.47770000000000001</v>
      </c>
      <c r="C2916" t="str">
        <f t="shared" si="50"/>
        <v>1971 q1</v>
      </c>
    </row>
    <row r="2917" spans="1:3">
      <c r="A2917" s="62">
        <v>25990</v>
      </c>
      <c r="B2917">
        <v>0.48159999999999997</v>
      </c>
      <c r="C2917" t="str">
        <f t="shared" si="50"/>
        <v>1971 q1</v>
      </c>
    </row>
    <row r="2918" spans="1:3">
      <c r="A2918" s="62">
        <v>25993</v>
      </c>
      <c r="B2918">
        <v>0.48949999999999999</v>
      </c>
      <c r="C2918" t="str">
        <f t="shared" si="50"/>
        <v>1971 q1</v>
      </c>
    </row>
    <row r="2919" spans="1:3">
      <c r="A2919" s="62">
        <v>25994</v>
      </c>
      <c r="B2919">
        <v>0.48899999999999999</v>
      </c>
      <c r="C2919" t="str">
        <f t="shared" si="50"/>
        <v>1971 q1</v>
      </c>
    </row>
    <row r="2920" spans="1:3">
      <c r="A2920" s="62">
        <v>25995</v>
      </c>
      <c r="B2920">
        <v>0.49149999999999999</v>
      </c>
      <c r="C2920" t="str">
        <f t="shared" si="50"/>
        <v>1971 q1</v>
      </c>
    </row>
    <row r="2921" spans="1:3">
      <c r="A2921" s="62">
        <v>25996</v>
      </c>
      <c r="B2921">
        <v>0.49299999999999999</v>
      </c>
      <c r="C2921" t="str">
        <f t="shared" si="50"/>
        <v>1971 q1</v>
      </c>
    </row>
    <row r="2922" spans="1:3">
      <c r="A2922" s="62">
        <v>25997</v>
      </c>
      <c r="B2922">
        <v>0.499</v>
      </c>
      <c r="C2922" t="str">
        <f t="shared" si="50"/>
        <v>1971 q1</v>
      </c>
    </row>
    <row r="2923" spans="1:3">
      <c r="A2923" s="62">
        <v>26000</v>
      </c>
      <c r="B2923">
        <v>0.51100000000000001</v>
      </c>
      <c r="C2923" t="str">
        <f t="shared" si="50"/>
        <v>1971 q1</v>
      </c>
    </row>
    <row r="2924" spans="1:3">
      <c r="A2924" s="62">
        <v>26001</v>
      </c>
      <c r="B2924">
        <v>0.51549999999999996</v>
      </c>
      <c r="C2924" t="str">
        <f t="shared" si="50"/>
        <v>1971 q1</v>
      </c>
    </row>
    <row r="2925" spans="1:3">
      <c r="A2925" s="62">
        <v>26002</v>
      </c>
      <c r="B2925">
        <v>0.50700000000000001</v>
      </c>
      <c r="C2925" t="str">
        <f t="shared" si="50"/>
        <v>1971 q1</v>
      </c>
    </row>
    <row r="2926" spans="1:3">
      <c r="A2926" s="62">
        <v>26003</v>
      </c>
      <c r="B2926">
        <v>0.50649999999999995</v>
      </c>
      <c r="C2926" t="str">
        <f t="shared" si="50"/>
        <v>1971 q1</v>
      </c>
    </row>
    <row r="2927" spans="1:3">
      <c r="A2927" s="62">
        <v>26004</v>
      </c>
      <c r="B2927">
        <v>0.51600000000000001</v>
      </c>
      <c r="C2927" t="str">
        <f t="shared" si="50"/>
        <v>1971 q1</v>
      </c>
    </row>
    <row r="2928" spans="1:3">
      <c r="A2928" s="62">
        <v>26007</v>
      </c>
      <c r="B2928">
        <v>0.52300000000000002</v>
      </c>
      <c r="C2928" t="str">
        <f t="shared" si="50"/>
        <v>1971 q1</v>
      </c>
    </row>
    <row r="2929" spans="1:3">
      <c r="A2929" s="62">
        <v>26008</v>
      </c>
      <c r="B2929">
        <v>0.54249999999999998</v>
      </c>
      <c r="C2929" t="str">
        <f t="shared" si="50"/>
        <v>1971 q1</v>
      </c>
    </row>
    <row r="2930" spans="1:3">
      <c r="A2930" s="62">
        <v>26009</v>
      </c>
      <c r="B2930">
        <v>0.53649999999999998</v>
      </c>
      <c r="C2930" t="str">
        <f t="shared" si="50"/>
        <v>1971 q1</v>
      </c>
    </row>
    <row r="2931" spans="1:3">
      <c r="A2931" s="62">
        <v>26010</v>
      </c>
      <c r="B2931">
        <v>0.54300000000000004</v>
      </c>
      <c r="C2931" t="str">
        <f t="shared" si="50"/>
        <v>1971 q1</v>
      </c>
    </row>
    <row r="2932" spans="1:3">
      <c r="A2932" s="62">
        <v>26011</v>
      </c>
      <c r="B2932">
        <v>0.54600000000000004</v>
      </c>
      <c r="C2932" t="str">
        <f t="shared" si="50"/>
        <v>1971 q1</v>
      </c>
    </row>
    <row r="2933" spans="1:3">
      <c r="A2933" s="62">
        <v>26014</v>
      </c>
      <c r="B2933">
        <v>0.53600000000000003</v>
      </c>
      <c r="C2933" t="str">
        <f t="shared" si="50"/>
        <v>1971 q1</v>
      </c>
    </row>
    <row r="2934" spans="1:3">
      <c r="A2934" s="62">
        <v>26015</v>
      </c>
      <c r="B2934">
        <v>0.54500000000000004</v>
      </c>
      <c r="C2934" t="str">
        <f t="shared" si="50"/>
        <v>1971 q1</v>
      </c>
    </row>
    <row r="2935" spans="1:3">
      <c r="A2935" s="62">
        <v>26016</v>
      </c>
      <c r="B2935">
        <v>0.53949999999999998</v>
      </c>
      <c r="C2935" t="str">
        <f t="shared" si="50"/>
        <v>1971 q1</v>
      </c>
    </row>
    <row r="2936" spans="1:3">
      <c r="A2936" s="62">
        <v>26017</v>
      </c>
      <c r="B2936">
        <v>0.53849999999999998</v>
      </c>
      <c r="C2936" t="str">
        <f t="shared" si="50"/>
        <v>1971 q1</v>
      </c>
    </row>
    <row r="2937" spans="1:3">
      <c r="A2937" s="62">
        <v>26018</v>
      </c>
      <c r="B2937">
        <v>0.54200000000000004</v>
      </c>
      <c r="C2937" t="str">
        <f t="shared" si="50"/>
        <v>1971 q1</v>
      </c>
    </row>
    <row r="2938" spans="1:3">
      <c r="A2938" s="62">
        <v>26021</v>
      </c>
      <c r="B2938">
        <v>0.56200000000000006</v>
      </c>
      <c r="C2938" t="str">
        <f t="shared" si="50"/>
        <v>1971 q1</v>
      </c>
    </row>
    <row r="2939" spans="1:3">
      <c r="A2939" s="62">
        <v>26022</v>
      </c>
      <c r="B2939">
        <v>0.56799999999999995</v>
      </c>
      <c r="C2939" t="str">
        <f t="shared" si="50"/>
        <v>1971 q1</v>
      </c>
    </row>
    <row r="2940" spans="1:3">
      <c r="A2940" s="62">
        <v>26023</v>
      </c>
      <c r="B2940">
        <v>0.57099999999999995</v>
      </c>
      <c r="C2940" t="str">
        <f t="shared" si="50"/>
        <v>1971 q1</v>
      </c>
    </row>
    <row r="2941" spans="1:3">
      <c r="A2941" s="62">
        <v>26024</v>
      </c>
      <c r="B2941">
        <v>0.56799999999999995</v>
      </c>
      <c r="C2941" t="str">
        <f t="shared" si="50"/>
        <v>1971 q2</v>
      </c>
    </row>
    <row r="2942" spans="1:3">
      <c r="A2942" s="62">
        <v>26025</v>
      </c>
      <c r="B2942">
        <v>0.58599999999999997</v>
      </c>
      <c r="C2942" t="str">
        <f t="shared" si="50"/>
        <v>1971 q2</v>
      </c>
    </row>
    <row r="2943" spans="1:3">
      <c r="A2943" s="62">
        <v>26028</v>
      </c>
      <c r="B2943">
        <v>0.57399999999999995</v>
      </c>
      <c r="C2943" t="str">
        <f t="shared" si="50"/>
        <v>1971 q2</v>
      </c>
    </row>
    <row r="2944" spans="1:3">
      <c r="A2944" s="62">
        <v>26029</v>
      </c>
      <c r="B2944">
        <v>0.57699999999999996</v>
      </c>
      <c r="C2944" t="str">
        <f t="shared" si="50"/>
        <v>1971 q2</v>
      </c>
    </row>
    <row r="2945" spans="1:3">
      <c r="A2945" s="62">
        <v>26030</v>
      </c>
      <c r="B2945">
        <v>0.57399999999999995</v>
      </c>
      <c r="C2945" t="str">
        <f t="shared" si="50"/>
        <v>1971 q2</v>
      </c>
    </row>
    <row r="2946" spans="1:3">
      <c r="A2946" s="62">
        <v>26031</v>
      </c>
      <c r="B2946">
        <v>0.57999999999999996</v>
      </c>
      <c r="C2946" t="str">
        <f t="shared" si="50"/>
        <v>1971 q2</v>
      </c>
    </row>
    <row r="2947" spans="1:3">
      <c r="A2947" s="62">
        <v>26035</v>
      </c>
      <c r="B2947">
        <v>0.57450000000000001</v>
      </c>
      <c r="C2947" t="str">
        <f t="shared" si="50"/>
        <v>1971 q2</v>
      </c>
    </row>
    <row r="2948" spans="1:3">
      <c r="A2948" s="62">
        <v>26036</v>
      </c>
      <c r="B2948">
        <v>0.55600000000000005</v>
      </c>
      <c r="C2948" t="str">
        <f t="shared" si="50"/>
        <v>1971 q2</v>
      </c>
    </row>
    <row r="2949" spans="1:3">
      <c r="A2949" s="62">
        <v>26037</v>
      </c>
      <c r="B2949">
        <v>0.55800000000000005</v>
      </c>
      <c r="C2949" t="str">
        <f t="shared" si="50"/>
        <v>1971 q2</v>
      </c>
    </row>
    <row r="2950" spans="1:3">
      <c r="A2950" s="62">
        <v>26038</v>
      </c>
      <c r="B2950">
        <v>0.55349999999999999</v>
      </c>
      <c r="C2950" t="str">
        <f t="shared" si="50"/>
        <v>1971 q2</v>
      </c>
    </row>
    <row r="2951" spans="1:3">
      <c r="A2951" s="62">
        <v>26039</v>
      </c>
      <c r="B2951">
        <v>0.5665</v>
      </c>
      <c r="C2951" t="str">
        <f t="shared" si="50"/>
        <v>1971 q2</v>
      </c>
    </row>
    <row r="2952" spans="1:3">
      <c r="A2952" s="62">
        <v>26042</v>
      </c>
      <c r="B2952">
        <v>0.5665</v>
      </c>
      <c r="C2952" t="str">
        <f t="shared" si="50"/>
        <v>1971 q2</v>
      </c>
    </row>
    <row r="2953" spans="1:3">
      <c r="A2953" s="62">
        <v>26043</v>
      </c>
      <c r="B2953">
        <v>0.56899999999999995</v>
      </c>
      <c r="C2953" t="str">
        <f t="shared" si="50"/>
        <v>1971 q2</v>
      </c>
    </row>
    <row r="2954" spans="1:3">
      <c r="A2954" s="62">
        <v>26044</v>
      </c>
      <c r="B2954">
        <v>0.57199999999999995</v>
      </c>
      <c r="C2954" t="str">
        <f t="shared" si="50"/>
        <v>1971 q2</v>
      </c>
    </row>
    <row r="2955" spans="1:3">
      <c r="A2955" s="62">
        <v>26045</v>
      </c>
      <c r="B2955">
        <v>0.57550000000000001</v>
      </c>
      <c r="C2955" t="str">
        <f t="shared" si="50"/>
        <v>1971 q2</v>
      </c>
    </row>
    <row r="2956" spans="1:3">
      <c r="A2956" s="62">
        <v>26046</v>
      </c>
      <c r="B2956">
        <v>0.56599999999999995</v>
      </c>
      <c r="C2956" t="str">
        <f t="shared" si="50"/>
        <v>1971 q2</v>
      </c>
    </row>
    <row r="2957" spans="1:3">
      <c r="A2957" s="62">
        <v>26049</v>
      </c>
      <c r="B2957">
        <v>0.55500000000000005</v>
      </c>
      <c r="C2957" t="str">
        <f t="shared" si="50"/>
        <v>1971 q2</v>
      </c>
    </row>
    <row r="2958" spans="1:3">
      <c r="A2958" s="62">
        <v>26050</v>
      </c>
      <c r="B2958">
        <v>0.53639999999999999</v>
      </c>
      <c r="C2958" t="str">
        <f t="shared" si="50"/>
        <v>1971 q2</v>
      </c>
    </row>
    <row r="2959" spans="1:3">
      <c r="A2959" s="62">
        <v>26051</v>
      </c>
      <c r="B2959">
        <v>0.54210000000000003</v>
      </c>
      <c r="C2959" t="str">
        <f t="shared" si="50"/>
        <v>1971 q2</v>
      </c>
    </row>
    <row r="2960" spans="1:3">
      <c r="A2960" s="62">
        <v>26052</v>
      </c>
      <c r="B2960">
        <v>0.53180000000000005</v>
      </c>
      <c r="C2960" t="str">
        <f t="shared" si="50"/>
        <v>1971 q2</v>
      </c>
    </row>
    <row r="2961" spans="1:3">
      <c r="A2961" s="62">
        <v>26053</v>
      </c>
      <c r="B2961">
        <v>0.53959999999999997</v>
      </c>
      <c r="C2961" t="str">
        <f t="shared" si="50"/>
        <v>1971 q2</v>
      </c>
    </row>
    <row r="2962" spans="1:3">
      <c r="A2962" s="62">
        <v>26056</v>
      </c>
      <c r="B2962">
        <v>0.53800000000000003</v>
      </c>
      <c r="C2962" t="str">
        <f t="shared" ref="C2962:C3025" si="51">YEAR(A2962)&amp;" q"&amp;ROUNDUP(MONTH(A2962)/3,0)</f>
        <v>1971 q2</v>
      </c>
    </row>
    <row r="2963" spans="1:3">
      <c r="A2963" s="62">
        <v>26057</v>
      </c>
      <c r="B2963">
        <v>0.52600000000000002</v>
      </c>
      <c r="C2963" t="str">
        <f t="shared" si="51"/>
        <v>1971 q2</v>
      </c>
    </row>
    <row r="2964" spans="1:3">
      <c r="A2964" s="62">
        <v>26058</v>
      </c>
      <c r="B2964">
        <v>0.53</v>
      </c>
      <c r="C2964" t="str">
        <f t="shared" si="51"/>
        <v>1971 q2</v>
      </c>
    </row>
    <row r="2965" spans="1:3">
      <c r="A2965" s="62">
        <v>26059</v>
      </c>
      <c r="B2965">
        <v>0.52649999999999997</v>
      </c>
      <c r="C2965" t="str">
        <f t="shared" si="51"/>
        <v>1971 q2</v>
      </c>
    </row>
    <row r="2966" spans="1:3">
      <c r="A2966" s="62">
        <v>26060</v>
      </c>
      <c r="B2966">
        <v>0.53049999999999997</v>
      </c>
      <c r="C2966" t="str">
        <f t="shared" si="51"/>
        <v>1971 q2</v>
      </c>
    </row>
    <row r="2967" spans="1:3">
      <c r="A2967" s="62">
        <v>26063</v>
      </c>
      <c r="B2967">
        <v>0.52149999999999996</v>
      </c>
      <c r="C2967" t="str">
        <f t="shared" si="51"/>
        <v>1971 q2</v>
      </c>
    </row>
    <row r="2968" spans="1:3">
      <c r="A2968" s="62">
        <v>26064</v>
      </c>
      <c r="B2968">
        <v>0.505</v>
      </c>
      <c r="C2968" t="str">
        <f t="shared" si="51"/>
        <v>1971 q2</v>
      </c>
    </row>
    <row r="2969" spans="1:3">
      <c r="A2969" s="62">
        <v>26065</v>
      </c>
      <c r="B2969">
        <v>0.50900000000000001</v>
      </c>
      <c r="C2969" t="str">
        <f t="shared" si="51"/>
        <v>1971 q2</v>
      </c>
    </row>
    <row r="2970" spans="1:3">
      <c r="A2970" s="62">
        <v>26066</v>
      </c>
      <c r="B2970">
        <v>0.505</v>
      </c>
      <c r="C2970" t="str">
        <f t="shared" si="51"/>
        <v>1971 q2</v>
      </c>
    </row>
    <row r="2971" spans="1:3">
      <c r="A2971" s="62">
        <v>26067</v>
      </c>
      <c r="B2971">
        <v>0.51049999999999995</v>
      </c>
      <c r="C2971" t="str">
        <f t="shared" si="51"/>
        <v>1971 q2</v>
      </c>
    </row>
    <row r="2972" spans="1:3">
      <c r="A2972" s="62">
        <v>26070</v>
      </c>
      <c r="B2972">
        <v>0.51849999999999996</v>
      </c>
      <c r="C2972" t="str">
        <f t="shared" si="51"/>
        <v>1971 q2</v>
      </c>
    </row>
    <row r="2973" spans="1:3">
      <c r="A2973" s="62">
        <v>26071</v>
      </c>
      <c r="B2973">
        <v>0.51549999999999996</v>
      </c>
      <c r="C2973" t="str">
        <f t="shared" si="51"/>
        <v>1971 q2</v>
      </c>
    </row>
    <row r="2974" spans="1:3">
      <c r="A2974" s="62">
        <v>26072</v>
      </c>
      <c r="B2974">
        <v>0.50800000000000001</v>
      </c>
      <c r="C2974" t="str">
        <f t="shared" si="51"/>
        <v>1971 q2</v>
      </c>
    </row>
    <row r="2975" spans="1:3">
      <c r="A2975" s="62">
        <v>26073</v>
      </c>
      <c r="B2975">
        <v>0.51400000000000001</v>
      </c>
      <c r="C2975" t="str">
        <f t="shared" si="51"/>
        <v>1971 q2</v>
      </c>
    </row>
    <row r="2976" spans="1:3">
      <c r="A2976" s="62">
        <v>26074</v>
      </c>
      <c r="B2976">
        <v>0.50649999999999995</v>
      </c>
      <c r="C2976" t="str">
        <f t="shared" si="51"/>
        <v>1971 q2</v>
      </c>
    </row>
    <row r="2977" spans="1:3">
      <c r="A2977" s="62">
        <v>26077</v>
      </c>
      <c r="B2977">
        <v>0.49199999999999999</v>
      </c>
      <c r="C2977" t="str">
        <f t="shared" si="51"/>
        <v>1971 q2</v>
      </c>
    </row>
    <row r="2978" spans="1:3">
      <c r="A2978" s="62">
        <v>26078</v>
      </c>
      <c r="B2978">
        <v>0.48799999999999999</v>
      </c>
      <c r="C2978" t="str">
        <f t="shared" si="51"/>
        <v>1971 q2</v>
      </c>
    </row>
    <row r="2979" spans="1:3">
      <c r="A2979" s="62">
        <v>26079</v>
      </c>
      <c r="B2979">
        <v>0.49249999999999999</v>
      </c>
      <c r="C2979" t="str">
        <f t="shared" si="51"/>
        <v>1971 q2</v>
      </c>
    </row>
    <row r="2980" spans="1:3">
      <c r="A2980" s="62">
        <v>26080</v>
      </c>
      <c r="B2980">
        <v>0.48499999999999999</v>
      </c>
      <c r="C2980" t="str">
        <f t="shared" si="51"/>
        <v>1971 q2</v>
      </c>
    </row>
    <row r="2981" spans="1:3">
      <c r="A2981" s="62">
        <v>26081</v>
      </c>
      <c r="B2981">
        <v>0.48149999999999998</v>
      </c>
      <c r="C2981" t="str">
        <f t="shared" si="51"/>
        <v>1971 q2</v>
      </c>
    </row>
    <row r="2982" spans="1:3">
      <c r="A2982" s="62">
        <v>26085</v>
      </c>
      <c r="B2982">
        <v>0.47599999999999998</v>
      </c>
      <c r="C2982" t="str">
        <f t="shared" si="51"/>
        <v>1971 q2</v>
      </c>
    </row>
    <row r="2983" spans="1:3">
      <c r="A2983" s="62">
        <v>26086</v>
      </c>
      <c r="B2983">
        <v>0.47149999999999997</v>
      </c>
      <c r="C2983" t="str">
        <f t="shared" si="51"/>
        <v>1971 q2</v>
      </c>
    </row>
    <row r="2984" spans="1:3">
      <c r="A2984" s="62">
        <v>26087</v>
      </c>
      <c r="B2984">
        <v>0.46650000000000003</v>
      </c>
      <c r="C2984" t="str">
        <f t="shared" si="51"/>
        <v>1971 q2</v>
      </c>
    </row>
    <row r="2985" spans="1:3">
      <c r="A2985" s="62">
        <v>26088</v>
      </c>
      <c r="B2985">
        <v>0.46550000000000002</v>
      </c>
      <c r="C2985" t="str">
        <f t="shared" si="51"/>
        <v>1971 q2</v>
      </c>
    </row>
    <row r="2986" spans="1:3">
      <c r="A2986" s="62">
        <v>26091</v>
      </c>
      <c r="B2986">
        <v>0.48349999999999999</v>
      </c>
      <c r="C2986" t="str">
        <f t="shared" si="51"/>
        <v>1971 q2</v>
      </c>
    </row>
    <row r="2987" spans="1:3">
      <c r="A2987" s="62">
        <v>26092</v>
      </c>
      <c r="B2987">
        <v>0.503</v>
      </c>
      <c r="C2987" t="str">
        <f t="shared" si="51"/>
        <v>1971 q2</v>
      </c>
    </row>
    <row r="2988" spans="1:3">
      <c r="A2988" s="62">
        <v>26093</v>
      </c>
      <c r="B2988">
        <v>0.51700000000000002</v>
      </c>
      <c r="C2988" t="str">
        <f t="shared" si="51"/>
        <v>1971 q2</v>
      </c>
    </row>
    <row r="2989" spans="1:3">
      <c r="A2989" s="62">
        <v>26094</v>
      </c>
      <c r="B2989">
        <v>0.51349999999999996</v>
      </c>
      <c r="C2989" t="str">
        <f t="shared" si="51"/>
        <v>1971 q2</v>
      </c>
    </row>
    <row r="2990" spans="1:3">
      <c r="A2990" s="62">
        <v>26095</v>
      </c>
      <c r="B2990">
        <v>0.52100000000000002</v>
      </c>
      <c r="C2990" t="str">
        <f t="shared" si="51"/>
        <v>1971 q2</v>
      </c>
    </row>
    <row r="2991" spans="1:3">
      <c r="A2991" s="62">
        <v>26098</v>
      </c>
      <c r="B2991">
        <v>0.52300000000000002</v>
      </c>
      <c r="C2991" t="str">
        <f t="shared" si="51"/>
        <v>1971 q2</v>
      </c>
    </row>
    <row r="2992" spans="1:3">
      <c r="A2992" s="62">
        <v>26099</v>
      </c>
      <c r="B2992">
        <v>0.50749999999999995</v>
      </c>
      <c r="C2992" t="str">
        <f t="shared" si="51"/>
        <v>1971 q2</v>
      </c>
    </row>
    <row r="2993" spans="1:3">
      <c r="A2993" s="62">
        <v>26100</v>
      </c>
      <c r="B2993">
        <v>0.51249999999999996</v>
      </c>
      <c r="C2993" t="str">
        <f t="shared" si="51"/>
        <v>1971 q2</v>
      </c>
    </row>
    <row r="2994" spans="1:3">
      <c r="A2994" s="62">
        <v>26101</v>
      </c>
      <c r="B2994">
        <v>0.51400000000000001</v>
      </c>
      <c r="C2994" t="str">
        <f t="shared" si="51"/>
        <v>1971 q2</v>
      </c>
    </row>
    <row r="2995" spans="1:3">
      <c r="A2995" s="62">
        <v>26102</v>
      </c>
      <c r="B2995">
        <v>0.497</v>
      </c>
      <c r="C2995" t="str">
        <f t="shared" si="51"/>
        <v>1971 q2</v>
      </c>
    </row>
    <row r="2996" spans="1:3">
      <c r="A2996" s="62">
        <v>26105</v>
      </c>
      <c r="B2996">
        <v>0.49299999999999999</v>
      </c>
      <c r="C2996" t="str">
        <f t="shared" si="51"/>
        <v>1971 q2</v>
      </c>
    </row>
    <row r="2997" spans="1:3">
      <c r="A2997" s="62">
        <v>26106</v>
      </c>
      <c r="B2997">
        <v>0.502</v>
      </c>
      <c r="C2997" t="str">
        <f t="shared" si="51"/>
        <v>1971 q2</v>
      </c>
    </row>
    <row r="2998" spans="1:3">
      <c r="A2998" s="62">
        <v>26107</v>
      </c>
      <c r="B2998">
        <v>0.505</v>
      </c>
      <c r="C2998" t="str">
        <f t="shared" si="51"/>
        <v>1971 q2</v>
      </c>
    </row>
    <row r="2999" spans="1:3">
      <c r="A2999" s="62">
        <v>26108</v>
      </c>
      <c r="B2999">
        <v>0.4955</v>
      </c>
      <c r="C2999" t="str">
        <f t="shared" si="51"/>
        <v>1971 q2</v>
      </c>
    </row>
    <row r="3000" spans="1:3">
      <c r="A3000" s="62">
        <v>26109</v>
      </c>
      <c r="B3000">
        <v>0.4995</v>
      </c>
      <c r="C3000" t="str">
        <f t="shared" si="51"/>
        <v>1971 q2</v>
      </c>
    </row>
    <row r="3001" spans="1:3">
      <c r="A3001" s="62">
        <v>26112</v>
      </c>
      <c r="B3001">
        <v>0.48120000000000002</v>
      </c>
      <c r="C3001" t="str">
        <f t="shared" si="51"/>
        <v>1971 q2</v>
      </c>
    </row>
    <row r="3002" spans="1:3">
      <c r="A3002" s="62">
        <v>26113</v>
      </c>
      <c r="B3002">
        <v>0.4728</v>
      </c>
      <c r="C3002" t="str">
        <f t="shared" si="51"/>
        <v>1971 q2</v>
      </c>
    </row>
    <row r="3003" spans="1:3">
      <c r="A3003" s="62">
        <v>26114</v>
      </c>
      <c r="B3003">
        <v>0.4793</v>
      </c>
      <c r="C3003" t="str">
        <f t="shared" si="51"/>
        <v>1971 q2</v>
      </c>
    </row>
    <row r="3004" spans="1:3">
      <c r="A3004" s="62">
        <v>26115</v>
      </c>
      <c r="B3004">
        <v>0.50049999999999994</v>
      </c>
      <c r="C3004" t="str">
        <f t="shared" si="51"/>
        <v>1971 q3</v>
      </c>
    </row>
    <row r="3005" spans="1:3">
      <c r="A3005" s="62">
        <v>26116</v>
      </c>
      <c r="B3005">
        <v>0.51849999999999996</v>
      </c>
      <c r="C3005" t="str">
        <f t="shared" si="51"/>
        <v>1971 q3</v>
      </c>
    </row>
    <row r="3006" spans="1:3">
      <c r="A3006" s="62">
        <v>26120</v>
      </c>
      <c r="B3006">
        <v>0.52300000000000002</v>
      </c>
      <c r="C3006" t="str">
        <f t="shared" si="51"/>
        <v>1971 q3</v>
      </c>
    </row>
    <row r="3007" spans="1:3">
      <c r="A3007" s="62">
        <v>26121</v>
      </c>
      <c r="B3007">
        <v>0.52700000000000002</v>
      </c>
      <c r="C3007" t="str">
        <f t="shared" si="51"/>
        <v>1971 q3</v>
      </c>
    </row>
    <row r="3008" spans="1:3">
      <c r="A3008" s="62">
        <v>26122</v>
      </c>
      <c r="B3008">
        <v>0.54200000000000004</v>
      </c>
      <c r="C3008" t="str">
        <f t="shared" si="51"/>
        <v>1971 q3</v>
      </c>
    </row>
    <row r="3009" spans="1:3">
      <c r="A3009" s="62">
        <v>26123</v>
      </c>
      <c r="B3009">
        <v>0.56000000000000005</v>
      </c>
      <c r="C3009" t="str">
        <f t="shared" si="51"/>
        <v>1971 q3</v>
      </c>
    </row>
    <row r="3010" spans="1:3">
      <c r="A3010" s="62">
        <v>26126</v>
      </c>
      <c r="B3010">
        <v>0.54649999999999999</v>
      </c>
      <c r="C3010" t="str">
        <f t="shared" si="51"/>
        <v>1971 q3</v>
      </c>
    </row>
    <row r="3011" spans="1:3">
      <c r="A3011" s="62">
        <v>26127</v>
      </c>
      <c r="B3011">
        <v>0.53900000000000003</v>
      </c>
      <c r="C3011" t="str">
        <f t="shared" si="51"/>
        <v>1971 q3</v>
      </c>
    </row>
    <row r="3012" spans="1:3">
      <c r="A3012" s="62">
        <v>26128</v>
      </c>
      <c r="B3012">
        <v>0.54100000000000004</v>
      </c>
      <c r="C3012" t="str">
        <f t="shared" si="51"/>
        <v>1971 q3</v>
      </c>
    </row>
    <row r="3013" spans="1:3">
      <c r="A3013" s="62">
        <v>26129</v>
      </c>
      <c r="B3013">
        <v>0.52200000000000002</v>
      </c>
      <c r="C3013" t="str">
        <f t="shared" si="51"/>
        <v>1971 q3</v>
      </c>
    </row>
    <row r="3014" spans="1:3">
      <c r="A3014" s="62">
        <v>26130</v>
      </c>
      <c r="B3014">
        <v>0.52849999999999997</v>
      </c>
      <c r="C3014" t="str">
        <f t="shared" si="51"/>
        <v>1971 q3</v>
      </c>
    </row>
    <row r="3015" spans="1:3">
      <c r="A3015" s="62">
        <v>26133</v>
      </c>
      <c r="B3015">
        <v>0.50849999999999995</v>
      </c>
      <c r="C3015" t="str">
        <f t="shared" si="51"/>
        <v>1971 q3</v>
      </c>
    </row>
    <row r="3016" spans="1:3">
      <c r="A3016" s="62">
        <v>26134</v>
      </c>
      <c r="B3016">
        <v>0.48849999999999999</v>
      </c>
      <c r="C3016" t="str">
        <f t="shared" si="51"/>
        <v>1971 q3</v>
      </c>
    </row>
    <row r="3017" spans="1:3">
      <c r="A3017" s="62">
        <v>26135</v>
      </c>
      <c r="B3017">
        <v>0.49349999999999999</v>
      </c>
      <c r="C3017" t="str">
        <f t="shared" si="51"/>
        <v>1971 q3</v>
      </c>
    </row>
    <row r="3018" spans="1:3">
      <c r="A3018" s="62">
        <v>26136</v>
      </c>
      <c r="B3018">
        <v>0.4965</v>
      </c>
      <c r="C3018" t="str">
        <f t="shared" si="51"/>
        <v>1971 q3</v>
      </c>
    </row>
    <row r="3019" spans="1:3">
      <c r="A3019" s="62">
        <v>26137</v>
      </c>
      <c r="B3019">
        <v>0.48799999999999999</v>
      </c>
      <c r="C3019" t="str">
        <f t="shared" si="51"/>
        <v>1971 q3</v>
      </c>
    </row>
    <row r="3020" spans="1:3">
      <c r="A3020" s="62">
        <v>26140</v>
      </c>
      <c r="B3020">
        <v>0.49249999999999999</v>
      </c>
      <c r="C3020" t="str">
        <f t="shared" si="51"/>
        <v>1971 q3</v>
      </c>
    </row>
    <row r="3021" spans="1:3">
      <c r="A3021" s="62">
        <v>26141</v>
      </c>
      <c r="B3021">
        <v>0.501</v>
      </c>
      <c r="C3021" t="str">
        <f t="shared" si="51"/>
        <v>1971 q3</v>
      </c>
    </row>
    <row r="3022" spans="1:3">
      <c r="A3022" s="62">
        <v>26142</v>
      </c>
      <c r="B3022">
        <v>0.501</v>
      </c>
      <c r="C3022" t="str">
        <f t="shared" si="51"/>
        <v>1971 q3</v>
      </c>
    </row>
    <row r="3023" spans="1:3">
      <c r="A3023" s="62">
        <v>26143</v>
      </c>
      <c r="B3023">
        <v>0.50749999999999995</v>
      </c>
      <c r="C3023" t="str">
        <f t="shared" si="51"/>
        <v>1971 q3</v>
      </c>
    </row>
    <row r="3024" spans="1:3">
      <c r="A3024" s="62">
        <v>26144</v>
      </c>
      <c r="B3024">
        <v>0.4945</v>
      </c>
      <c r="C3024" t="str">
        <f t="shared" si="51"/>
        <v>1971 q3</v>
      </c>
    </row>
    <row r="3025" spans="1:3">
      <c r="A3025" s="62">
        <v>26147</v>
      </c>
      <c r="B3025">
        <v>0.505</v>
      </c>
      <c r="C3025" t="str">
        <f t="shared" si="51"/>
        <v>1971 q3</v>
      </c>
    </row>
    <row r="3026" spans="1:3">
      <c r="A3026" s="62">
        <v>26148</v>
      </c>
      <c r="B3026">
        <v>0.5</v>
      </c>
      <c r="C3026" t="str">
        <f t="shared" ref="C3026:C3089" si="52">YEAR(A3026)&amp;" q"&amp;ROUNDUP(MONTH(A3026)/3,0)</f>
        <v>1971 q3</v>
      </c>
    </row>
    <row r="3027" spans="1:3">
      <c r="A3027" s="62">
        <v>26149</v>
      </c>
      <c r="B3027">
        <v>0.5</v>
      </c>
      <c r="C3027" t="str">
        <f t="shared" si="52"/>
        <v>1971 q3</v>
      </c>
    </row>
    <row r="3028" spans="1:3">
      <c r="A3028" s="62">
        <v>26150</v>
      </c>
      <c r="B3028">
        <v>0.498</v>
      </c>
      <c r="C3028" t="str">
        <f t="shared" si="52"/>
        <v>1971 q3</v>
      </c>
    </row>
    <row r="3029" spans="1:3">
      <c r="A3029" s="62">
        <v>26151</v>
      </c>
      <c r="B3029">
        <v>0.49199999999999999</v>
      </c>
      <c r="C3029" t="str">
        <f t="shared" si="52"/>
        <v>1971 q3</v>
      </c>
    </row>
    <row r="3030" spans="1:3">
      <c r="A3030" s="62">
        <v>26154</v>
      </c>
      <c r="B3030">
        <v>0.501</v>
      </c>
      <c r="C3030" t="str">
        <f t="shared" si="52"/>
        <v>1971 q3</v>
      </c>
    </row>
    <row r="3031" spans="1:3">
      <c r="A3031" s="62">
        <v>26155</v>
      </c>
      <c r="B3031">
        <v>0.4995</v>
      </c>
      <c r="C3031" t="str">
        <f t="shared" si="52"/>
        <v>1971 q3</v>
      </c>
    </row>
    <row r="3032" spans="1:3">
      <c r="A3032" s="62">
        <v>26156</v>
      </c>
      <c r="B3032">
        <v>0.4965</v>
      </c>
      <c r="C3032" t="str">
        <f t="shared" si="52"/>
        <v>1971 q3</v>
      </c>
    </row>
    <row r="3033" spans="1:3">
      <c r="A3033" s="62">
        <v>26157</v>
      </c>
      <c r="B3033">
        <v>0.497</v>
      </c>
      <c r="C3033" t="str">
        <f t="shared" si="52"/>
        <v>1971 q3</v>
      </c>
    </row>
    <row r="3034" spans="1:3">
      <c r="A3034" s="62">
        <v>26158</v>
      </c>
      <c r="B3034">
        <v>0.50600000000000001</v>
      </c>
      <c r="C3034" t="str">
        <f t="shared" si="52"/>
        <v>1971 q3</v>
      </c>
    </row>
    <row r="3035" spans="1:3">
      <c r="A3035" s="62">
        <v>26164</v>
      </c>
      <c r="B3035">
        <v>0.51900000000000002</v>
      </c>
      <c r="C3035" t="str">
        <f t="shared" si="52"/>
        <v>1971 q3</v>
      </c>
    </row>
    <row r="3036" spans="1:3">
      <c r="A3036" s="62">
        <v>26165</v>
      </c>
      <c r="B3036">
        <v>0.51800000000000002</v>
      </c>
      <c r="C3036" t="str">
        <f t="shared" si="52"/>
        <v>1971 q3</v>
      </c>
    </row>
    <row r="3037" spans="1:3">
      <c r="A3037" s="62">
        <v>26168</v>
      </c>
      <c r="B3037">
        <v>0.50849999999999995</v>
      </c>
      <c r="C3037" t="str">
        <f t="shared" si="52"/>
        <v>1971 q3</v>
      </c>
    </row>
    <row r="3038" spans="1:3">
      <c r="A3038" s="62">
        <v>26169</v>
      </c>
      <c r="B3038">
        <v>0.505</v>
      </c>
      <c r="C3038" t="str">
        <f t="shared" si="52"/>
        <v>1971 q3</v>
      </c>
    </row>
    <row r="3039" spans="1:3">
      <c r="A3039" s="62">
        <v>26170</v>
      </c>
      <c r="B3039">
        <v>0.504</v>
      </c>
      <c r="C3039" t="str">
        <f t="shared" si="52"/>
        <v>1971 q3</v>
      </c>
    </row>
    <row r="3040" spans="1:3">
      <c r="A3040" s="62">
        <v>26171</v>
      </c>
      <c r="B3040">
        <v>0.50819999999999999</v>
      </c>
      <c r="C3040" t="str">
        <f t="shared" si="52"/>
        <v>1971 q3</v>
      </c>
    </row>
    <row r="3041" spans="1:3">
      <c r="A3041" s="62">
        <v>26172</v>
      </c>
      <c r="B3041">
        <v>0.49380000000000002</v>
      </c>
      <c r="C3041" t="str">
        <f t="shared" si="52"/>
        <v>1971 q3</v>
      </c>
    </row>
    <row r="3042" spans="1:3">
      <c r="A3042" s="62">
        <v>26175</v>
      </c>
      <c r="B3042">
        <v>0.50170000000000003</v>
      </c>
      <c r="C3042" t="str">
        <f t="shared" si="52"/>
        <v>1971 q3</v>
      </c>
    </row>
    <row r="3043" spans="1:3">
      <c r="A3043" s="62">
        <v>26176</v>
      </c>
      <c r="B3043">
        <v>0.50660000000000005</v>
      </c>
      <c r="C3043" t="str">
        <f t="shared" si="52"/>
        <v>1971 q3</v>
      </c>
    </row>
    <row r="3044" spans="1:3">
      <c r="A3044" s="62">
        <v>26177</v>
      </c>
      <c r="B3044">
        <v>0.50700000000000001</v>
      </c>
      <c r="C3044" t="str">
        <f t="shared" si="52"/>
        <v>1971 q3</v>
      </c>
    </row>
    <row r="3045" spans="1:3">
      <c r="A3045" s="62">
        <v>26178</v>
      </c>
      <c r="B3045">
        <v>0.51249999999999996</v>
      </c>
      <c r="C3045" t="str">
        <f t="shared" si="52"/>
        <v>1971 q3</v>
      </c>
    </row>
    <row r="3046" spans="1:3">
      <c r="A3046" s="62">
        <v>26179</v>
      </c>
      <c r="B3046">
        <v>0.51200000000000001</v>
      </c>
      <c r="C3046" t="str">
        <f t="shared" si="52"/>
        <v>1971 q3</v>
      </c>
    </row>
    <row r="3047" spans="1:3">
      <c r="A3047" s="62">
        <v>26183</v>
      </c>
      <c r="B3047">
        <v>0.50600000000000001</v>
      </c>
      <c r="C3047" t="str">
        <f t="shared" si="52"/>
        <v>1971 q3</v>
      </c>
    </row>
    <row r="3048" spans="1:3">
      <c r="A3048" s="62">
        <v>26184</v>
      </c>
      <c r="B3048">
        <v>0.5</v>
      </c>
      <c r="C3048" t="str">
        <f t="shared" si="52"/>
        <v>1971 q3</v>
      </c>
    </row>
    <row r="3049" spans="1:3">
      <c r="A3049" s="62">
        <v>26185</v>
      </c>
      <c r="B3049">
        <v>0.50249999999999995</v>
      </c>
      <c r="C3049" t="str">
        <f t="shared" si="52"/>
        <v>1971 q3</v>
      </c>
    </row>
    <row r="3050" spans="1:3">
      <c r="A3050" s="62">
        <v>26186</v>
      </c>
      <c r="B3050">
        <v>0.49149999999999999</v>
      </c>
      <c r="C3050" t="str">
        <f t="shared" si="52"/>
        <v>1971 q3</v>
      </c>
    </row>
    <row r="3051" spans="1:3">
      <c r="A3051" s="62">
        <v>26189</v>
      </c>
      <c r="B3051">
        <v>0.47599999999999998</v>
      </c>
      <c r="C3051" t="str">
        <f t="shared" si="52"/>
        <v>1971 q3</v>
      </c>
    </row>
    <row r="3052" spans="1:3">
      <c r="A3052" s="62">
        <v>26190</v>
      </c>
      <c r="B3052">
        <v>0.48199999999999998</v>
      </c>
      <c r="C3052" t="str">
        <f t="shared" si="52"/>
        <v>1971 q3</v>
      </c>
    </row>
    <row r="3053" spans="1:3">
      <c r="A3053" s="62">
        <v>26191</v>
      </c>
      <c r="B3053">
        <v>0.49349999999999999</v>
      </c>
      <c r="C3053" t="str">
        <f t="shared" si="52"/>
        <v>1971 q3</v>
      </c>
    </row>
    <row r="3054" spans="1:3">
      <c r="A3054" s="62">
        <v>26192</v>
      </c>
      <c r="B3054">
        <v>0.48499999999999999</v>
      </c>
      <c r="C3054" t="str">
        <f t="shared" si="52"/>
        <v>1971 q3</v>
      </c>
    </row>
    <row r="3055" spans="1:3">
      <c r="A3055" s="62">
        <v>26193</v>
      </c>
      <c r="B3055">
        <v>0.48399999999999999</v>
      </c>
      <c r="C3055" t="str">
        <f t="shared" si="52"/>
        <v>1971 q3</v>
      </c>
    </row>
    <row r="3056" spans="1:3">
      <c r="A3056" s="62">
        <v>26196</v>
      </c>
      <c r="B3056">
        <v>0.48599999999999999</v>
      </c>
      <c r="C3056" t="str">
        <f t="shared" si="52"/>
        <v>1971 q3</v>
      </c>
    </row>
    <row r="3057" spans="1:3">
      <c r="A3057" s="62">
        <v>26197</v>
      </c>
      <c r="B3057">
        <v>0.48249999999999998</v>
      </c>
      <c r="C3057" t="str">
        <f t="shared" si="52"/>
        <v>1971 q3</v>
      </c>
    </row>
    <row r="3058" spans="1:3">
      <c r="A3058" s="62">
        <v>26198</v>
      </c>
      <c r="B3058">
        <v>0.47349999999999998</v>
      </c>
      <c r="C3058" t="str">
        <f t="shared" si="52"/>
        <v>1971 q3</v>
      </c>
    </row>
    <row r="3059" spans="1:3">
      <c r="A3059" s="62">
        <v>26199</v>
      </c>
      <c r="B3059">
        <v>0.48049999999999998</v>
      </c>
      <c r="C3059" t="str">
        <f t="shared" si="52"/>
        <v>1971 q3</v>
      </c>
    </row>
    <row r="3060" spans="1:3">
      <c r="A3060" s="62">
        <v>26200</v>
      </c>
      <c r="B3060">
        <v>0.48349999999999999</v>
      </c>
      <c r="C3060" t="str">
        <f t="shared" si="52"/>
        <v>1971 q3</v>
      </c>
    </row>
    <row r="3061" spans="1:3">
      <c r="A3061" s="62">
        <v>26203</v>
      </c>
      <c r="B3061">
        <v>0.47749999999999998</v>
      </c>
      <c r="C3061" t="str">
        <f t="shared" si="52"/>
        <v>1971 q3</v>
      </c>
    </row>
    <row r="3062" spans="1:3">
      <c r="A3062" s="62">
        <v>26204</v>
      </c>
      <c r="B3062">
        <v>0.47249999999999998</v>
      </c>
      <c r="C3062" t="str">
        <f t="shared" si="52"/>
        <v>1971 q3</v>
      </c>
    </row>
    <row r="3063" spans="1:3">
      <c r="A3063" s="62">
        <v>26205</v>
      </c>
      <c r="B3063">
        <v>0.47399999999999998</v>
      </c>
      <c r="C3063" t="str">
        <f t="shared" si="52"/>
        <v>1971 q3</v>
      </c>
    </row>
    <row r="3064" spans="1:3">
      <c r="A3064" s="62">
        <v>26206</v>
      </c>
      <c r="B3064">
        <v>0.47549999999999998</v>
      </c>
      <c r="C3064" t="str">
        <f t="shared" si="52"/>
        <v>1971 q3</v>
      </c>
    </row>
    <row r="3065" spans="1:3">
      <c r="A3065" s="62">
        <v>26207</v>
      </c>
      <c r="B3065">
        <v>0.47299999999999998</v>
      </c>
      <c r="C3065" t="str">
        <f t="shared" si="52"/>
        <v>1971 q4</v>
      </c>
    </row>
    <row r="3066" spans="1:3">
      <c r="A3066" s="62">
        <v>26210</v>
      </c>
      <c r="B3066">
        <v>0.46350000000000002</v>
      </c>
      <c r="C3066" t="str">
        <f t="shared" si="52"/>
        <v>1971 q4</v>
      </c>
    </row>
    <row r="3067" spans="1:3">
      <c r="A3067" s="62">
        <v>26211</v>
      </c>
      <c r="B3067">
        <v>0.46550000000000002</v>
      </c>
      <c r="C3067" t="str">
        <f t="shared" si="52"/>
        <v>1971 q4</v>
      </c>
    </row>
    <row r="3068" spans="1:3">
      <c r="A3068" s="62">
        <v>26212</v>
      </c>
      <c r="B3068">
        <v>0.47199999999999998</v>
      </c>
      <c r="C3068" t="str">
        <f t="shared" si="52"/>
        <v>1971 q4</v>
      </c>
    </row>
    <row r="3069" spans="1:3">
      <c r="A3069" s="62">
        <v>26213</v>
      </c>
      <c r="B3069">
        <v>0.48399999999999999</v>
      </c>
      <c r="C3069" t="str">
        <f t="shared" si="52"/>
        <v>1971 q4</v>
      </c>
    </row>
    <row r="3070" spans="1:3">
      <c r="A3070" s="62">
        <v>26214</v>
      </c>
      <c r="B3070">
        <v>0.48099999999999998</v>
      </c>
      <c r="C3070" t="str">
        <f t="shared" si="52"/>
        <v>1971 q4</v>
      </c>
    </row>
    <row r="3071" spans="1:3">
      <c r="A3071" s="62">
        <v>26218</v>
      </c>
      <c r="B3071">
        <v>0.49099999999999999</v>
      </c>
      <c r="C3071" t="str">
        <f t="shared" si="52"/>
        <v>1971 q4</v>
      </c>
    </row>
    <row r="3072" spans="1:3">
      <c r="A3072" s="62">
        <v>26219</v>
      </c>
      <c r="B3072">
        <v>0.48649999999999999</v>
      </c>
      <c r="C3072" t="str">
        <f t="shared" si="52"/>
        <v>1971 q4</v>
      </c>
    </row>
    <row r="3073" spans="1:3">
      <c r="A3073" s="62">
        <v>26220</v>
      </c>
      <c r="B3073">
        <v>0.48599999999999999</v>
      </c>
      <c r="C3073" t="str">
        <f t="shared" si="52"/>
        <v>1971 q4</v>
      </c>
    </row>
    <row r="3074" spans="1:3">
      <c r="A3074" s="62">
        <v>26221</v>
      </c>
      <c r="B3074">
        <v>0.49349999999999999</v>
      </c>
      <c r="C3074" t="str">
        <f t="shared" si="52"/>
        <v>1971 q4</v>
      </c>
    </row>
    <row r="3075" spans="1:3">
      <c r="A3075" s="62">
        <v>26224</v>
      </c>
      <c r="B3075">
        <v>0.49149999999999999</v>
      </c>
      <c r="C3075" t="str">
        <f t="shared" si="52"/>
        <v>1971 q4</v>
      </c>
    </row>
    <row r="3076" spans="1:3">
      <c r="A3076" s="62">
        <v>26225</v>
      </c>
      <c r="B3076">
        <v>0.48199999999999998</v>
      </c>
      <c r="C3076" t="str">
        <f t="shared" si="52"/>
        <v>1971 q4</v>
      </c>
    </row>
    <row r="3077" spans="1:3">
      <c r="A3077" s="62">
        <v>26226</v>
      </c>
      <c r="B3077">
        <v>0.47799999999999998</v>
      </c>
      <c r="C3077" t="str">
        <f t="shared" si="52"/>
        <v>1971 q4</v>
      </c>
    </row>
    <row r="3078" spans="1:3">
      <c r="A3078" s="62">
        <v>26227</v>
      </c>
      <c r="B3078">
        <v>0.48199999999999998</v>
      </c>
      <c r="C3078" t="str">
        <f t="shared" si="52"/>
        <v>1971 q4</v>
      </c>
    </row>
    <row r="3079" spans="1:3">
      <c r="A3079" s="62">
        <v>26228</v>
      </c>
      <c r="B3079">
        <v>0.48049999999999998</v>
      </c>
      <c r="C3079" t="str">
        <f t="shared" si="52"/>
        <v>1971 q4</v>
      </c>
    </row>
    <row r="3080" spans="1:3">
      <c r="A3080" s="62">
        <v>26232</v>
      </c>
      <c r="B3080">
        <v>0.48049999999999998</v>
      </c>
      <c r="C3080" t="str">
        <f t="shared" si="52"/>
        <v>1971 q4</v>
      </c>
    </row>
    <row r="3081" spans="1:3">
      <c r="A3081" s="62">
        <v>26233</v>
      </c>
      <c r="B3081">
        <v>0.47</v>
      </c>
      <c r="C3081" t="str">
        <f t="shared" si="52"/>
        <v>1971 q4</v>
      </c>
    </row>
    <row r="3082" spans="1:3">
      <c r="A3082" s="62">
        <v>26234</v>
      </c>
      <c r="B3082">
        <v>0.47549999999999998</v>
      </c>
      <c r="C3082" t="str">
        <f t="shared" si="52"/>
        <v>1971 q4</v>
      </c>
    </row>
    <row r="3083" spans="1:3">
      <c r="A3083" s="62">
        <v>26235</v>
      </c>
      <c r="B3083">
        <v>0.47549999999999998</v>
      </c>
      <c r="C3083" t="str">
        <f t="shared" si="52"/>
        <v>1971 q4</v>
      </c>
    </row>
    <row r="3084" spans="1:3">
      <c r="A3084" s="62">
        <v>26238</v>
      </c>
      <c r="B3084">
        <v>0.47299999999999998</v>
      </c>
      <c r="C3084" t="str">
        <f t="shared" si="52"/>
        <v>1971 q4</v>
      </c>
    </row>
    <row r="3085" spans="1:3">
      <c r="A3085" s="62">
        <v>26240</v>
      </c>
      <c r="B3085">
        <v>0.47949999999999998</v>
      </c>
      <c r="C3085" t="str">
        <f t="shared" si="52"/>
        <v>1971 q4</v>
      </c>
    </row>
    <row r="3086" spans="1:3">
      <c r="A3086" s="62">
        <v>26241</v>
      </c>
      <c r="B3086">
        <v>0.47649999999999998</v>
      </c>
      <c r="C3086" t="str">
        <f t="shared" si="52"/>
        <v>1971 q4</v>
      </c>
    </row>
    <row r="3087" spans="1:3">
      <c r="A3087" s="62">
        <v>26242</v>
      </c>
      <c r="B3087">
        <v>0.47849999999999998</v>
      </c>
      <c r="C3087" t="str">
        <f t="shared" si="52"/>
        <v>1971 q4</v>
      </c>
    </row>
    <row r="3088" spans="1:3">
      <c r="A3088" s="62">
        <v>26245</v>
      </c>
      <c r="B3088">
        <v>0.47549999999999998</v>
      </c>
      <c r="C3088" t="str">
        <f t="shared" si="52"/>
        <v>1971 q4</v>
      </c>
    </row>
    <row r="3089" spans="1:3">
      <c r="A3089" s="62">
        <v>26246</v>
      </c>
      <c r="B3089">
        <v>0.47299999999999998</v>
      </c>
      <c r="C3089" t="str">
        <f t="shared" si="52"/>
        <v>1971 q4</v>
      </c>
    </row>
    <row r="3090" spans="1:3">
      <c r="A3090" s="62">
        <v>26247</v>
      </c>
      <c r="B3090">
        <v>0.47149999999999997</v>
      </c>
      <c r="C3090" t="str">
        <f t="shared" ref="C3090:C3153" si="53">YEAR(A3090)&amp;" q"&amp;ROUNDUP(MONTH(A3090)/3,0)</f>
        <v>1971 q4</v>
      </c>
    </row>
    <row r="3091" spans="1:3">
      <c r="A3091" s="62">
        <v>26248</v>
      </c>
      <c r="B3091">
        <v>0.47349999999999998</v>
      </c>
      <c r="C3091" t="str">
        <f t="shared" si="53"/>
        <v>1971 q4</v>
      </c>
    </row>
    <row r="3092" spans="1:3">
      <c r="A3092" s="62">
        <v>26249</v>
      </c>
      <c r="B3092">
        <v>0.46600000000000003</v>
      </c>
      <c r="C3092" t="str">
        <f t="shared" si="53"/>
        <v>1971 q4</v>
      </c>
    </row>
    <row r="3093" spans="1:3">
      <c r="A3093" s="62">
        <v>26252</v>
      </c>
      <c r="B3093">
        <v>0.45750000000000002</v>
      </c>
      <c r="C3093" t="str">
        <f t="shared" si="53"/>
        <v>1971 q4</v>
      </c>
    </row>
    <row r="3094" spans="1:3">
      <c r="A3094" s="62">
        <v>26253</v>
      </c>
      <c r="B3094">
        <v>0.45200000000000001</v>
      </c>
      <c r="C3094" t="str">
        <f t="shared" si="53"/>
        <v>1971 q4</v>
      </c>
    </row>
    <row r="3095" spans="1:3">
      <c r="A3095" s="62">
        <v>26254</v>
      </c>
      <c r="B3095">
        <v>0.45550000000000002</v>
      </c>
      <c r="C3095" t="str">
        <f t="shared" si="53"/>
        <v>1971 q4</v>
      </c>
    </row>
    <row r="3096" spans="1:3">
      <c r="A3096" s="62">
        <v>26255</v>
      </c>
      <c r="B3096">
        <v>0.45500000000000002</v>
      </c>
      <c r="C3096" t="str">
        <f t="shared" si="53"/>
        <v>1971 q4</v>
      </c>
    </row>
    <row r="3097" spans="1:3">
      <c r="A3097" s="62">
        <v>26256</v>
      </c>
      <c r="B3097">
        <v>0.45250000000000001</v>
      </c>
      <c r="C3097" t="str">
        <f t="shared" si="53"/>
        <v>1971 q4</v>
      </c>
    </row>
    <row r="3098" spans="1:3">
      <c r="A3098" s="62">
        <v>26259</v>
      </c>
      <c r="B3098">
        <v>0.45350000000000001</v>
      </c>
      <c r="C3098" t="str">
        <f t="shared" si="53"/>
        <v>1971 q4</v>
      </c>
    </row>
    <row r="3099" spans="1:3">
      <c r="A3099" s="62">
        <v>26260</v>
      </c>
      <c r="B3099">
        <v>0.44750000000000001</v>
      </c>
      <c r="C3099" t="str">
        <f t="shared" si="53"/>
        <v>1971 q4</v>
      </c>
    </row>
    <row r="3100" spans="1:3">
      <c r="A3100" s="62">
        <v>26261</v>
      </c>
      <c r="B3100">
        <v>0.44900000000000001</v>
      </c>
      <c r="C3100" t="str">
        <f t="shared" si="53"/>
        <v>1971 q4</v>
      </c>
    </row>
    <row r="3101" spans="1:3">
      <c r="A3101" s="62">
        <v>26263</v>
      </c>
      <c r="B3101">
        <v>0.44519999999999998</v>
      </c>
      <c r="C3101" t="str">
        <f t="shared" si="53"/>
        <v>1971 q4</v>
      </c>
    </row>
    <row r="3102" spans="1:3">
      <c r="A3102" s="62">
        <v>26266</v>
      </c>
      <c r="B3102">
        <v>0.45379999999999998</v>
      </c>
      <c r="C3102" t="str">
        <f t="shared" si="53"/>
        <v>1971 q4</v>
      </c>
    </row>
    <row r="3103" spans="1:3">
      <c r="A3103" s="62">
        <v>26267</v>
      </c>
      <c r="B3103">
        <v>0.45490000000000003</v>
      </c>
      <c r="C3103" t="str">
        <f t="shared" si="53"/>
        <v>1971 q4</v>
      </c>
    </row>
    <row r="3104" spans="1:3">
      <c r="A3104" s="62">
        <v>26268</v>
      </c>
      <c r="B3104">
        <v>0.46050000000000002</v>
      </c>
      <c r="C3104" t="str">
        <f t="shared" si="53"/>
        <v>1971 q4</v>
      </c>
    </row>
    <row r="3105" spans="1:3">
      <c r="A3105" s="62">
        <v>26269</v>
      </c>
      <c r="B3105">
        <v>0.46450000000000002</v>
      </c>
      <c r="C3105" t="str">
        <f t="shared" si="53"/>
        <v>1971 q4</v>
      </c>
    </row>
    <row r="3106" spans="1:3">
      <c r="A3106" s="62">
        <v>26270</v>
      </c>
      <c r="B3106">
        <v>0.47199999999999998</v>
      </c>
      <c r="C3106" t="str">
        <f t="shared" si="53"/>
        <v>1971 q4</v>
      </c>
    </row>
    <row r="3107" spans="1:3">
      <c r="A3107" s="62">
        <v>26273</v>
      </c>
      <c r="B3107">
        <v>0.46600000000000003</v>
      </c>
      <c r="C3107" t="str">
        <f t="shared" si="53"/>
        <v>1971 q4</v>
      </c>
    </row>
    <row r="3108" spans="1:3">
      <c r="A3108" s="62">
        <v>26274</v>
      </c>
      <c r="B3108">
        <v>0.46700000000000003</v>
      </c>
      <c r="C3108" t="str">
        <f t="shared" si="53"/>
        <v>1971 q4</v>
      </c>
    </row>
    <row r="3109" spans="1:3">
      <c r="A3109" s="62">
        <v>26275</v>
      </c>
      <c r="B3109">
        <v>0.46899999999999997</v>
      </c>
      <c r="C3109" t="str">
        <f t="shared" si="53"/>
        <v>1971 q4</v>
      </c>
    </row>
    <row r="3110" spans="1:3">
      <c r="A3110" s="62">
        <v>26276</v>
      </c>
      <c r="B3110">
        <v>0.47349999999999998</v>
      </c>
      <c r="C3110" t="str">
        <f t="shared" si="53"/>
        <v>1971 q4</v>
      </c>
    </row>
    <row r="3111" spans="1:3">
      <c r="A3111" s="62">
        <v>26277</v>
      </c>
      <c r="B3111">
        <v>0.48099999999999998</v>
      </c>
      <c r="C3111" t="str">
        <f t="shared" si="53"/>
        <v>1971 q4</v>
      </c>
    </row>
    <row r="3112" spans="1:3">
      <c r="A3112" s="62">
        <v>26280</v>
      </c>
      <c r="B3112">
        <v>0.47699999999999998</v>
      </c>
      <c r="C3112" t="str">
        <f t="shared" si="53"/>
        <v>1971 q4</v>
      </c>
    </row>
    <row r="3113" spans="1:3">
      <c r="A3113" s="62">
        <v>26281</v>
      </c>
      <c r="B3113">
        <v>0.47649999999999998</v>
      </c>
      <c r="C3113" t="str">
        <f t="shared" si="53"/>
        <v>1971 q4</v>
      </c>
    </row>
    <row r="3114" spans="1:3">
      <c r="A3114" s="62">
        <v>26282</v>
      </c>
      <c r="B3114">
        <v>0.47499999999999998</v>
      </c>
      <c r="C3114" t="str">
        <f t="shared" si="53"/>
        <v>1971 q4</v>
      </c>
    </row>
    <row r="3115" spans="1:3">
      <c r="A3115" s="62">
        <v>26283</v>
      </c>
      <c r="B3115">
        <v>0.48299999999999998</v>
      </c>
      <c r="C3115" t="str">
        <f t="shared" si="53"/>
        <v>1971 q4</v>
      </c>
    </row>
    <row r="3116" spans="1:3">
      <c r="A3116" s="62">
        <v>26284</v>
      </c>
      <c r="B3116">
        <v>0.48099999999999998</v>
      </c>
      <c r="C3116" t="str">
        <f t="shared" si="53"/>
        <v>1971 q4</v>
      </c>
    </row>
    <row r="3117" spans="1:3">
      <c r="A3117" s="62">
        <v>26287</v>
      </c>
      <c r="B3117">
        <v>0.47849999999999998</v>
      </c>
      <c r="C3117" t="str">
        <f t="shared" si="53"/>
        <v>1971 q4</v>
      </c>
    </row>
    <row r="3118" spans="1:3">
      <c r="A3118" s="62">
        <v>26288</v>
      </c>
      <c r="B3118">
        <v>0.47699999999999998</v>
      </c>
      <c r="C3118" t="str">
        <f t="shared" si="53"/>
        <v>1971 q4</v>
      </c>
    </row>
    <row r="3119" spans="1:3">
      <c r="A3119" s="62">
        <v>26289</v>
      </c>
      <c r="B3119">
        <v>0.46850000000000003</v>
      </c>
      <c r="C3119" t="str">
        <f t="shared" si="53"/>
        <v>1971 q4</v>
      </c>
    </row>
    <row r="3120" spans="1:3">
      <c r="A3120" s="62">
        <v>26290</v>
      </c>
      <c r="B3120">
        <v>0.47199999999999998</v>
      </c>
      <c r="C3120" t="str">
        <f t="shared" si="53"/>
        <v>1971 q4</v>
      </c>
    </row>
    <row r="3121" spans="1:3">
      <c r="A3121" s="62">
        <v>26294</v>
      </c>
      <c r="B3121">
        <v>0.47499999999999998</v>
      </c>
      <c r="C3121" t="str">
        <f t="shared" si="53"/>
        <v>1971 q4</v>
      </c>
    </row>
    <row r="3122" spans="1:3">
      <c r="A3122" s="62">
        <v>26295</v>
      </c>
      <c r="B3122">
        <v>0.47149999999999997</v>
      </c>
      <c r="C3122" t="str">
        <f t="shared" si="53"/>
        <v>1971 q4</v>
      </c>
    </row>
    <row r="3123" spans="1:3">
      <c r="A3123" s="62">
        <v>26296</v>
      </c>
      <c r="B3123">
        <v>0.48359999999999997</v>
      </c>
      <c r="C3123" t="str">
        <f t="shared" si="53"/>
        <v>1971 q4</v>
      </c>
    </row>
    <row r="3124" spans="1:3">
      <c r="A3124" s="62">
        <v>26297</v>
      </c>
      <c r="B3124">
        <v>0.48609999999999998</v>
      </c>
      <c r="C3124" t="str">
        <f t="shared" si="53"/>
        <v>1971 q4</v>
      </c>
    </row>
    <row r="3125" spans="1:3">
      <c r="A3125" s="62">
        <v>26301</v>
      </c>
      <c r="B3125">
        <v>0.48649999999999999</v>
      </c>
      <c r="C3125" t="str">
        <f t="shared" si="53"/>
        <v>1972 q1</v>
      </c>
    </row>
    <row r="3126" spans="1:3">
      <c r="A3126" s="62">
        <v>26302</v>
      </c>
      <c r="B3126">
        <v>0.495</v>
      </c>
      <c r="C3126" t="str">
        <f t="shared" si="53"/>
        <v>1972 q1</v>
      </c>
    </row>
    <row r="3127" spans="1:3">
      <c r="A3127" s="62">
        <v>26303</v>
      </c>
      <c r="B3127">
        <v>0.49049999999999999</v>
      </c>
      <c r="C3127" t="str">
        <f t="shared" si="53"/>
        <v>1972 q1</v>
      </c>
    </row>
    <row r="3128" spans="1:3">
      <c r="A3128" s="62">
        <v>26304</v>
      </c>
      <c r="B3128">
        <v>0.48849999999999999</v>
      </c>
      <c r="C3128" t="str">
        <f t="shared" si="53"/>
        <v>1972 q1</v>
      </c>
    </row>
    <row r="3129" spans="1:3">
      <c r="A3129" s="62">
        <v>26305</v>
      </c>
      <c r="B3129">
        <v>0.48649999999999999</v>
      </c>
      <c r="C3129" t="str">
        <f t="shared" si="53"/>
        <v>1972 q1</v>
      </c>
    </row>
    <row r="3130" spans="1:3">
      <c r="A3130" s="62">
        <v>26308</v>
      </c>
      <c r="B3130">
        <v>0.5</v>
      </c>
      <c r="C3130" t="str">
        <f t="shared" si="53"/>
        <v>1972 q1</v>
      </c>
    </row>
    <row r="3131" spans="1:3">
      <c r="A3131" s="62">
        <v>26309</v>
      </c>
      <c r="B3131">
        <v>0.4965</v>
      </c>
      <c r="C3131" t="str">
        <f t="shared" si="53"/>
        <v>1972 q1</v>
      </c>
    </row>
    <row r="3132" spans="1:3">
      <c r="A3132" s="62">
        <v>26310</v>
      </c>
      <c r="B3132">
        <v>0.50249999999999995</v>
      </c>
      <c r="C3132" t="str">
        <f t="shared" si="53"/>
        <v>1972 q1</v>
      </c>
    </row>
    <row r="3133" spans="1:3">
      <c r="A3133" s="62">
        <v>26311</v>
      </c>
      <c r="B3133">
        <v>0.4965</v>
      </c>
      <c r="C3133" t="str">
        <f t="shared" si="53"/>
        <v>1972 q1</v>
      </c>
    </row>
    <row r="3134" spans="1:3">
      <c r="A3134" s="62">
        <v>26312</v>
      </c>
      <c r="B3134">
        <v>0.502</v>
      </c>
      <c r="C3134" t="str">
        <f t="shared" si="53"/>
        <v>1972 q1</v>
      </c>
    </row>
    <row r="3135" spans="1:3">
      <c r="A3135" s="62">
        <v>26315</v>
      </c>
      <c r="B3135">
        <v>0.51</v>
      </c>
      <c r="C3135" t="str">
        <f t="shared" si="53"/>
        <v>1972 q1</v>
      </c>
    </row>
    <row r="3136" spans="1:3">
      <c r="A3136" s="62">
        <v>26316</v>
      </c>
      <c r="B3136">
        <v>0.50449999999999995</v>
      </c>
      <c r="C3136" t="str">
        <f t="shared" si="53"/>
        <v>1972 q1</v>
      </c>
    </row>
    <row r="3137" spans="1:3">
      <c r="A3137" s="62">
        <v>26317</v>
      </c>
      <c r="B3137">
        <v>0.48449999999999999</v>
      </c>
      <c r="C3137" t="str">
        <f t="shared" si="53"/>
        <v>1972 q1</v>
      </c>
    </row>
    <row r="3138" spans="1:3">
      <c r="A3138" s="62">
        <v>26318</v>
      </c>
      <c r="B3138">
        <v>0.49099999999999999</v>
      </c>
      <c r="C3138" t="str">
        <f t="shared" si="53"/>
        <v>1972 q1</v>
      </c>
    </row>
    <row r="3139" spans="1:3">
      <c r="A3139" s="62">
        <v>26319</v>
      </c>
      <c r="B3139">
        <v>0.48199999999999998</v>
      </c>
      <c r="C3139" t="str">
        <f t="shared" si="53"/>
        <v>1972 q1</v>
      </c>
    </row>
    <row r="3140" spans="1:3">
      <c r="A3140" s="62">
        <v>26322</v>
      </c>
      <c r="B3140">
        <v>0.48249999999999998</v>
      </c>
      <c r="C3140" t="str">
        <f t="shared" si="53"/>
        <v>1972 q1</v>
      </c>
    </row>
    <row r="3141" spans="1:3">
      <c r="A3141" s="62">
        <v>26323</v>
      </c>
      <c r="B3141">
        <v>0.48199999999999998</v>
      </c>
      <c r="C3141" t="str">
        <f t="shared" si="53"/>
        <v>1972 q1</v>
      </c>
    </row>
    <row r="3142" spans="1:3">
      <c r="A3142" s="62">
        <v>26324</v>
      </c>
      <c r="B3142">
        <v>0.48449999999999999</v>
      </c>
      <c r="C3142" t="str">
        <f t="shared" si="53"/>
        <v>1972 q1</v>
      </c>
    </row>
    <row r="3143" spans="1:3">
      <c r="A3143" s="62">
        <v>26325</v>
      </c>
      <c r="B3143">
        <v>0.49299999999999999</v>
      </c>
      <c r="C3143" t="str">
        <f t="shared" si="53"/>
        <v>1972 q1</v>
      </c>
    </row>
    <row r="3144" spans="1:3">
      <c r="A3144" s="62">
        <v>26326</v>
      </c>
      <c r="B3144">
        <v>0.496</v>
      </c>
      <c r="C3144" t="str">
        <f t="shared" si="53"/>
        <v>1972 q1</v>
      </c>
    </row>
    <row r="3145" spans="1:3">
      <c r="A3145" s="62">
        <v>26329</v>
      </c>
      <c r="B3145">
        <v>0.4955</v>
      </c>
      <c r="C3145" t="str">
        <f t="shared" si="53"/>
        <v>1972 q1</v>
      </c>
    </row>
    <row r="3146" spans="1:3">
      <c r="A3146" s="62">
        <v>26330</v>
      </c>
      <c r="B3146">
        <v>0.4975</v>
      </c>
      <c r="C3146" t="str">
        <f t="shared" si="53"/>
        <v>1972 q1</v>
      </c>
    </row>
    <row r="3147" spans="1:3">
      <c r="A3147" s="62">
        <v>26331</v>
      </c>
      <c r="B3147">
        <v>0.49199999999999999</v>
      </c>
      <c r="C3147" t="str">
        <f t="shared" si="53"/>
        <v>1972 q1</v>
      </c>
    </row>
    <row r="3148" spans="1:3">
      <c r="A3148" s="62">
        <v>26332</v>
      </c>
      <c r="B3148">
        <v>0.495</v>
      </c>
      <c r="C3148" t="str">
        <f t="shared" si="53"/>
        <v>1972 q1</v>
      </c>
    </row>
    <row r="3149" spans="1:3">
      <c r="A3149" s="62">
        <v>26333</v>
      </c>
      <c r="B3149">
        <v>0.496</v>
      </c>
      <c r="C3149" t="str">
        <f t="shared" si="53"/>
        <v>1972 q1</v>
      </c>
    </row>
    <row r="3150" spans="1:3">
      <c r="A3150" s="62">
        <v>26336</v>
      </c>
      <c r="B3150">
        <v>0.497</v>
      </c>
      <c r="C3150" t="str">
        <f t="shared" si="53"/>
        <v>1972 q1</v>
      </c>
    </row>
    <row r="3151" spans="1:3">
      <c r="A3151" s="62">
        <v>26337</v>
      </c>
      <c r="B3151">
        <v>0.4965</v>
      </c>
      <c r="C3151" t="str">
        <f t="shared" si="53"/>
        <v>1972 q1</v>
      </c>
    </row>
    <row r="3152" spans="1:3">
      <c r="A3152" s="62">
        <v>26338</v>
      </c>
      <c r="B3152">
        <v>0.496</v>
      </c>
      <c r="C3152" t="str">
        <f t="shared" si="53"/>
        <v>1972 q1</v>
      </c>
    </row>
    <row r="3153" spans="1:3">
      <c r="A3153" s="62">
        <v>26339</v>
      </c>
      <c r="B3153">
        <v>0.50600000000000001</v>
      </c>
      <c r="C3153" t="str">
        <f t="shared" si="53"/>
        <v>1972 q1</v>
      </c>
    </row>
    <row r="3154" spans="1:3">
      <c r="A3154" s="62">
        <v>26340</v>
      </c>
      <c r="B3154">
        <v>0.50549999999999995</v>
      </c>
      <c r="C3154" t="str">
        <f t="shared" ref="C3154:C3217" si="54">YEAR(A3154)&amp;" q"&amp;ROUNDUP(MONTH(A3154)/3,0)</f>
        <v>1972 q1</v>
      </c>
    </row>
    <row r="3155" spans="1:3">
      <c r="A3155" s="62">
        <v>26343</v>
      </c>
      <c r="B3155">
        <v>0.50349999999999995</v>
      </c>
      <c r="C3155" t="str">
        <f t="shared" si="54"/>
        <v>1972 q1</v>
      </c>
    </row>
    <row r="3156" spans="1:3">
      <c r="A3156" s="62">
        <v>26344</v>
      </c>
      <c r="B3156">
        <v>0.499</v>
      </c>
      <c r="C3156" t="str">
        <f t="shared" si="54"/>
        <v>1972 q1</v>
      </c>
    </row>
    <row r="3157" spans="1:3">
      <c r="A3157" s="62">
        <v>26345</v>
      </c>
      <c r="B3157">
        <v>0.50449999999999995</v>
      </c>
      <c r="C3157" t="str">
        <f t="shared" si="54"/>
        <v>1972 q1</v>
      </c>
    </row>
    <row r="3158" spans="1:3">
      <c r="A3158" s="62">
        <v>26346</v>
      </c>
      <c r="B3158">
        <v>0.50849999999999995</v>
      </c>
      <c r="C3158" t="str">
        <f t="shared" si="54"/>
        <v>1972 q1</v>
      </c>
    </row>
    <row r="3159" spans="1:3">
      <c r="A3159" s="62">
        <v>26347</v>
      </c>
      <c r="B3159">
        <v>0.50700000000000001</v>
      </c>
      <c r="C3159" t="str">
        <f t="shared" si="54"/>
        <v>1972 q1</v>
      </c>
    </row>
    <row r="3160" spans="1:3">
      <c r="A3160" s="62">
        <v>26351</v>
      </c>
      <c r="B3160">
        <v>0.51100000000000001</v>
      </c>
      <c r="C3160" t="str">
        <f t="shared" si="54"/>
        <v>1972 q1</v>
      </c>
    </row>
    <row r="3161" spans="1:3">
      <c r="A3161" s="62">
        <v>26352</v>
      </c>
      <c r="B3161">
        <v>0.50800000000000001</v>
      </c>
      <c r="C3161" t="str">
        <f t="shared" si="54"/>
        <v>1972 q1</v>
      </c>
    </row>
    <row r="3162" spans="1:3">
      <c r="A3162" s="62">
        <v>26353</v>
      </c>
      <c r="B3162">
        <v>0.51749999999999996</v>
      </c>
      <c r="C3162" t="str">
        <f t="shared" si="54"/>
        <v>1972 q1</v>
      </c>
    </row>
    <row r="3163" spans="1:3">
      <c r="A3163" s="62">
        <v>26354</v>
      </c>
      <c r="B3163">
        <v>0.51759999999999995</v>
      </c>
      <c r="C3163" t="str">
        <f t="shared" si="54"/>
        <v>1972 q1</v>
      </c>
    </row>
    <row r="3164" spans="1:3">
      <c r="A3164" s="62">
        <v>26357</v>
      </c>
      <c r="B3164">
        <v>0.51539999999999997</v>
      </c>
      <c r="C3164" t="str">
        <f t="shared" si="54"/>
        <v>1972 q1</v>
      </c>
    </row>
    <row r="3165" spans="1:3">
      <c r="A3165" s="62">
        <v>26358</v>
      </c>
      <c r="B3165">
        <v>0.52429999999999999</v>
      </c>
      <c r="C3165" t="str">
        <f t="shared" si="54"/>
        <v>1972 q1</v>
      </c>
    </row>
    <row r="3166" spans="1:3">
      <c r="A3166" s="62">
        <v>26359</v>
      </c>
      <c r="B3166">
        <v>0.52649999999999997</v>
      </c>
      <c r="C3166" t="str">
        <f t="shared" si="54"/>
        <v>1972 q1</v>
      </c>
    </row>
    <row r="3167" spans="1:3">
      <c r="A3167" s="62">
        <v>26360</v>
      </c>
      <c r="B3167">
        <v>0.53</v>
      </c>
      <c r="C3167" t="str">
        <f t="shared" si="54"/>
        <v>1972 q1</v>
      </c>
    </row>
    <row r="3168" spans="1:3">
      <c r="A3168" s="62">
        <v>26361</v>
      </c>
      <c r="B3168">
        <v>0.53300000000000003</v>
      </c>
      <c r="C3168" t="str">
        <f t="shared" si="54"/>
        <v>1972 q1</v>
      </c>
    </row>
    <row r="3169" spans="1:3">
      <c r="A3169" s="62">
        <v>26364</v>
      </c>
      <c r="B3169">
        <v>0.53249999999999997</v>
      </c>
      <c r="C3169" t="str">
        <f t="shared" si="54"/>
        <v>1972 q1</v>
      </c>
    </row>
    <row r="3170" spans="1:3">
      <c r="A3170" s="62">
        <v>26365</v>
      </c>
      <c r="B3170">
        <v>0.52700000000000002</v>
      </c>
      <c r="C3170" t="str">
        <f t="shared" si="54"/>
        <v>1972 q1</v>
      </c>
    </row>
    <row r="3171" spans="1:3">
      <c r="A3171" s="62">
        <v>26366</v>
      </c>
      <c r="B3171">
        <v>0.53049999999999997</v>
      </c>
      <c r="C3171" t="str">
        <f t="shared" si="54"/>
        <v>1972 q1</v>
      </c>
    </row>
    <row r="3172" spans="1:3">
      <c r="A3172" s="62">
        <v>26367</v>
      </c>
      <c r="B3172">
        <v>0.52949999999999997</v>
      </c>
      <c r="C3172" t="str">
        <f t="shared" si="54"/>
        <v>1972 q1</v>
      </c>
    </row>
    <row r="3173" spans="1:3">
      <c r="A3173" s="62">
        <v>26368</v>
      </c>
      <c r="B3173">
        <v>0.52800000000000002</v>
      </c>
      <c r="C3173" t="str">
        <f t="shared" si="54"/>
        <v>1972 q1</v>
      </c>
    </row>
    <row r="3174" spans="1:3">
      <c r="A3174" s="62">
        <v>26371</v>
      </c>
      <c r="B3174">
        <v>0.52849999999999997</v>
      </c>
      <c r="C3174" t="str">
        <f t="shared" si="54"/>
        <v>1972 q1</v>
      </c>
    </row>
    <row r="3175" spans="1:3">
      <c r="A3175" s="62">
        <v>26372</v>
      </c>
      <c r="B3175">
        <v>0.52300000000000002</v>
      </c>
      <c r="C3175" t="str">
        <f t="shared" si="54"/>
        <v>1972 q1</v>
      </c>
    </row>
    <row r="3176" spans="1:3">
      <c r="A3176" s="62">
        <v>26373</v>
      </c>
      <c r="B3176">
        <v>0.52600000000000002</v>
      </c>
      <c r="C3176" t="str">
        <f t="shared" si="54"/>
        <v>1972 q1</v>
      </c>
    </row>
    <row r="3177" spans="1:3">
      <c r="A3177" s="62">
        <v>26374</v>
      </c>
      <c r="B3177">
        <v>0.53100000000000003</v>
      </c>
      <c r="C3177" t="str">
        <f t="shared" si="54"/>
        <v>1972 q1</v>
      </c>
    </row>
    <row r="3178" spans="1:3">
      <c r="A3178" s="62">
        <v>26375</v>
      </c>
      <c r="B3178">
        <v>0.53200000000000003</v>
      </c>
      <c r="C3178" t="str">
        <f t="shared" si="54"/>
        <v>1972 q1</v>
      </c>
    </row>
    <row r="3179" spans="1:3">
      <c r="A3179" s="62">
        <v>26378</v>
      </c>
      <c r="B3179">
        <v>0.53200000000000003</v>
      </c>
      <c r="C3179" t="str">
        <f t="shared" si="54"/>
        <v>1972 q1</v>
      </c>
    </row>
    <row r="3180" spans="1:3">
      <c r="A3180" s="62">
        <v>26379</v>
      </c>
      <c r="B3180">
        <v>0.52900000000000003</v>
      </c>
      <c r="C3180" t="str">
        <f t="shared" si="54"/>
        <v>1972 q1</v>
      </c>
    </row>
    <row r="3181" spans="1:3">
      <c r="A3181" s="62">
        <v>26380</v>
      </c>
      <c r="B3181">
        <v>0.52549999999999997</v>
      </c>
      <c r="C3181" t="str">
        <f t="shared" si="54"/>
        <v>1972 q1</v>
      </c>
    </row>
    <row r="3182" spans="1:3">
      <c r="A3182" s="62">
        <v>26381</v>
      </c>
      <c r="B3182">
        <v>0.52300000000000002</v>
      </c>
      <c r="C3182" t="str">
        <f t="shared" si="54"/>
        <v>1972 q1</v>
      </c>
    </row>
    <row r="3183" spans="1:3">
      <c r="A3183" s="62">
        <v>26382</v>
      </c>
      <c r="B3183">
        <v>0.51749999999999996</v>
      </c>
      <c r="C3183" t="str">
        <f t="shared" si="54"/>
        <v>1972 q1</v>
      </c>
    </row>
    <row r="3184" spans="1:3">
      <c r="A3184" s="62">
        <v>26385</v>
      </c>
      <c r="B3184">
        <v>0.52100000000000002</v>
      </c>
      <c r="C3184" t="str">
        <f t="shared" si="54"/>
        <v>1972 q1</v>
      </c>
    </row>
    <row r="3185" spans="1:3">
      <c r="A3185" s="62">
        <v>26386</v>
      </c>
      <c r="B3185">
        <v>0.52549999999999997</v>
      </c>
      <c r="C3185" t="str">
        <f t="shared" si="54"/>
        <v>1972 q1</v>
      </c>
    </row>
    <row r="3186" spans="1:3">
      <c r="A3186" s="62">
        <v>26387</v>
      </c>
      <c r="B3186">
        <v>0.52449999999999997</v>
      </c>
      <c r="C3186" t="str">
        <f t="shared" si="54"/>
        <v>1972 q1</v>
      </c>
    </row>
    <row r="3187" spans="1:3">
      <c r="A3187" s="62">
        <v>26392</v>
      </c>
      <c r="B3187">
        <v>0.52900000000000003</v>
      </c>
      <c r="C3187" t="str">
        <f t="shared" si="54"/>
        <v>1972 q2</v>
      </c>
    </row>
    <row r="3188" spans="1:3">
      <c r="A3188" s="62">
        <v>26393</v>
      </c>
      <c r="B3188">
        <v>0.52800000000000002</v>
      </c>
      <c r="C3188" t="str">
        <f t="shared" si="54"/>
        <v>1972 q2</v>
      </c>
    </row>
    <row r="3189" spans="1:3">
      <c r="A3189" s="62">
        <v>26394</v>
      </c>
      <c r="B3189">
        <v>0.52649999999999997</v>
      </c>
      <c r="C3189" t="str">
        <f t="shared" si="54"/>
        <v>1972 q2</v>
      </c>
    </row>
    <row r="3190" spans="1:3">
      <c r="A3190" s="62">
        <v>26395</v>
      </c>
      <c r="B3190">
        <v>0.52300000000000002</v>
      </c>
      <c r="C3190" t="str">
        <f t="shared" si="54"/>
        <v>1972 q2</v>
      </c>
    </row>
    <row r="3191" spans="1:3">
      <c r="A3191" s="62">
        <v>26396</v>
      </c>
      <c r="B3191">
        <v>0.52549999999999997</v>
      </c>
      <c r="C3191" t="str">
        <f t="shared" si="54"/>
        <v>1972 q2</v>
      </c>
    </row>
    <row r="3192" spans="1:3">
      <c r="A3192" s="62">
        <v>26399</v>
      </c>
      <c r="B3192">
        <v>0.52549999999999997</v>
      </c>
      <c r="C3192" t="str">
        <f t="shared" si="54"/>
        <v>1972 q2</v>
      </c>
    </row>
    <row r="3193" spans="1:3">
      <c r="A3193" s="62">
        <v>26400</v>
      </c>
      <c r="B3193">
        <v>0.52349999999999997</v>
      </c>
      <c r="C3193" t="str">
        <f t="shared" si="54"/>
        <v>1972 q2</v>
      </c>
    </row>
    <row r="3194" spans="1:3">
      <c r="A3194" s="62">
        <v>26401</v>
      </c>
      <c r="B3194">
        <v>0.52149999999999996</v>
      </c>
      <c r="C3194" t="str">
        <f t="shared" si="54"/>
        <v>1972 q2</v>
      </c>
    </row>
    <row r="3195" spans="1:3">
      <c r="A3195" s="62">
        <v>26402</v>
      </c>
      <c r="B3195">
        <v>0.51649999999999996</v>
      </c>
      <c r="C3195" t="str">
        <f t="shared" si="54"/>
        <v>1972 q2</v>
      </c>
    </row>
    <row r="3196" spans="1:3">
      <c r="A3196" s="62">
        <v>26403</v>
      </c>
      <c r="B3196">
        <v>0.51749999999999996</v>
      </c>
      <c r="C3196" t="str">
        <f t="shared" si="54"/>
        <v>1972 q2</v>
      </c>
    </row>
    <row r="3197" spans="1:3">
      <c r="A3197" s="62">
        <v>26406</v>
      </c>
      <c r="B3197">
        <v>0.50900000000000001</v>
      </c>
      <c r="C3197" t="str">
        <f t="shared" si="54"/>
        <v>1972 q2</v>
      </c>
    </row>
    <row r="3198" spans="1:3">
      <c r="A3198" s="62">
        <v>26407</v>
      </c>
      <c r="B3198">
        <v>0.50749999999999995</v>
      </c>
      <c r="C3198" t="str">
        <f t="shared" si="54"/>
        <v>1972 q2</v>
      </c>
    </row>
    <row r="3199" spans="1:3">
      <c r="A3199" s="62">
        <v>26408</v>
      </c>
      <c r="B3199">
        <v>0.50800000000000001</v>
      </c>
      <c r="C3199" t="str">
        <f t="shared" si="54"/>
        <v>1972 q2</v>
      </c>
    </row>
    <row r="3200" spans="1:3">
      <c r="A3200" s="62">
        <v>26409</v>
      </c>
      <c r="B3200">
        <v>0.505</v>
      </c>
      <c r="C3200" t="str">
        <f t="shared" si="54"/>
        <v>1972 q2</v>
      </c>
    </row>
    <row r="3201" spans="1:3">
      <c r="A3201" s="62">
        <v>26410</v>
      </c>
      <c r="B3201">
        <v>0.51100000000000001</v>
      </c>
      <c r="C3201" t="str">
        <f t="shared" si="54"/>
        <v>1972 q2</v>
      </c>
    </row>
    <row r="3202" spans="1:3">
      <c r="A3202" s="62">
        <v>26413</v>
      </c>
      <c r="B3202">
        <v>0.51049999999999995</v>
      </c>
      <c r="C3202" t="str">
        <f t="shared" si="54"/>
        <v>1972 q2</v>
      </c>
    </row>
    <row r="3203" spans="1:3">
      <c r="A3203" s="62">
        <v>26414</v>
      </c>
      <c r="B3203">
        <v>0.50619999999999998</v>
      </c>
      <c r="C3203" t="str">
        <f t="shared" si="54"/>
        <v>1972 q2</v>
      </c>
    </row>
    <row r="3204" spans="1:3">
      <c r="A3204" s="62">
        <v>26415</v>
      </c>
      <c r="B3204">
        <v>0.50690000000000002</v>
      </c>
      <c r="C3204" t="str">
        <f t="shared" si="54"/>
        <v>1972 q2</v>
      </c>
    </row>
    <row r="3205" spans="1:3">
      <c r="A3205" s="62">
        <v>26416</v>
      </c>
      <c r="B3205">
        <v>0.5101</v>
      </c>
      <c r="C3205" t="str">
        <f t="shared" si="54"/>
        <v>1972 q2</v>
      </c>
    </row>
    <row r="3206" spans="1:3">
      <c r="A3206" s="62">
        <v>26417</v>
      </c>
      <c r="B3206">
        <v>0.50849999999999995</v>
      </c>
      <c r="C3206" t="str">
        <f t="shared" si="54"/>
        <v>1972 q2</v>
      </c>
    </row>
    <row r="3207" spans="1:3">
      <c r="A3207" s="62">
        <v>26420</v>
      </c>
      <c r="B3207">
        <v>0.50600000000000001</v>
      </c>
      <c r="C3207" t="str">
        <f t="shared" si="54"/>
        <v>1972 q2</v>
      </c>
    </row>
    <row r="3208" spans="1:3">
      <c r="A3208" s="62">
        <v>26421</v>
      </c>
      <c r="B3208">
        <v>0.51</v>
      </c>
      <c r="C3208" t="str">
        <f t="shared" si="54"/>
        <v>1972 q2</v>
      </c>
    </row>
    <row r="3209" spans="1:3">
      <c r="A3209" s="62">
        <v>26422</v>
      </c>
      <c r="B3209">
        <v>0.50900000000000001</v>
      </c>
      <c r="C3209" t="str">
        <f t="shared" si="54"/>
        <v>1972 q2</v>
      </c>
    </row>
    <row r="3210" spans="1:3">
      <c r="A3210" s="62">
        <v>26423</v>
      </c>
      <c r="B3210">
        <v>0.50900000000000001</v>
      </c>
      <c r="C3210" t="str">
        <f t="shared" si="54"/>
        <v>1972 q2</v>
      </c>
    </row>
    <row r="3211" spans="1:3">
      <c r="A3211" s="62">
        <v>26424</v>
      </c>
      <c r="B3211">
        <v>0.50949999999999995</v>
      </c>
      <c r="C3211" t="str">
        <f t="shared" si="54"/>
        <v>1972 q2</v>
      </c>
    </row>
    <row r="3212" spans="1:3">
      <c r="A3212" s="62">
        <v>26427</v>
      </c>
      <c r="B3212">
        <v>0.50449999999999995</v>
      </c>
      <c r="C3212" t="str">
        <f t="shared" si="54"/>
        <v>1972 q2</v>
      </c>
    </row>
    <row r="3213" spans="1:3">
      <c r="A3213" s="62">
        <v>26428</v>
      </c>
      <c r="B3213">
        <v>0.50800000000000001</v>
      </c>
      <c r="C3213" t="str">
        <f t="shared" si="54"/>
        <v>1972 q2</v>
      </c>
    </row>
    <row r="3214" spans="1:3">
      <c r="A3214" s="62">
        <v>26429</v>
      </c>
      <c r="B3214">
        <v>0.50700000000000001</v>
      </c>
      <c r="C3214" t="str">
        <f t="shared" si="54"/>
        <v>1972 q2</v>
      </c>
    </row>
    <row r="3215" spans="1:3">
      <c r="A3215" s="62">
        <v>26430</v>
      </c>
      <c r="B3215">
        <v>0.50949999999999995</v>
      </c>
      <c r="C3215" t="str">
        <f t="shared" si="54"/>
        <v>1972 q2</v>
      </c>
    </row>
    <row r="3216" spans="1:3">
      <c r="A3216" s="62">
        <v>26431</v>
      </c>
      <c r="B3216">
        <v>0.51500000000000001</v>
      </c>
      <c r="C3216" t="str">
        <f t="shared" si="54"/>
        <v>1972 q2</v>
      </c>
    </row>
    <row r="3217" spans="1:3">
      <c r="A3217" s="62">
        <v>26434</v>
      </c>
      <c r="B3217">
        <v>0.51549999999999996</v>
      </c>
      <c r="C3217" t="str">
        <f t="shared" si="54"/>
        <v>1972 q2</v>
      </c>
    </row>
    <row r="3218" spans="1:3">
      <c r="A3218" s="62">
        <v>26435</v>
      </c>
      <c r="B3218">
        <v>0.51400000000000001</v>
      </c>
      <c r="C3218" t="str">
        <f t="shared" ref="C3218:C3281" si="55">YEAR(A3218)&amp;" q"&amp;ROUNDUP(MONTH(A3218)/3,0)</f>
        <v>1972 q2</v>
      </c>
    </row>
    <row r="3219" spans="1:3">
      <c r="A3219" s="62">
        <v>26436</v>
      </c>
      <c r="B3219">
        <v>0.51200000000000001</v>
      </c>
      <c r="C3219" t="str">
        <f t="shared" si="55"/>
        <v>1972 q2</v>
      </c>
    </row>
    <row r="3220" spans="1:3">
      <c r="A3220" s="62">
        <v>26437</v>
      </c>
      <c r="B3220">
        <v>0.503</v>
      </c>
      <c r="C3220" t="str">
        <f t="shared" si="55"/>
        <v>1972 q2</v>
      </c>
    </row>
    <row r="3221" spans="1:3">
      <c r="A3221" s="62">
        <v>26438</v>
      </c>
      <c r="B3221">
        <v>0.50449999999999995</v>
      </c>
      <c r="C3221" t="str">
        <f t="shared" si="55"/>
        <v>1972 q2</v>
      </c>
    </row>
    <row r="3222" spans="1:3">
      <c r="A3222" s="62">
        <v>26441</v>
      </c>
      <c r="B3222">
        <v>0.50049999999999994</v>
      </c>
      <c r="C3222" t="str">
        <f t="shared" si="55"/>
        <v>1972 q2</v>
      </c>
    </row>
    <row r="3223" spans="1:3">
      <c r="A3223" s="62">
        <v>26442</v>
      </c>
      <c r="B3223">
        <v>0.499</v>
      </c>
      <c r="C3223" t="str">
        <f t="shared" si="55"/>
        <v>1972 q2</v>
      </c>
    </row>
    <row r="3224" spans="1:3">
      <c r="A3224" s="62">
        <v>26443</v>
      </c>
      <c r="B3224">
        <v>0.4995</v>
      </c>
      <c r="C3224" t="str">
        <f t="shared" si="55"/>
        <v>1972 q2</v>
      </c>
    </row>
    <row r="3225" spans="1:3">
      <c r="A3225" s="62">
        <v>26444</v>
      </c>
      <c r="B3225">
        <v>0.495</v>
      </c>
      <c r="C3225" t="str">
        <f t="shared" si="55"/>
        <v>1972 q2</v>
      </c>
    </row>
    <row r="3226" spans="1:3">
      <c r="A3226" s="62">
        <v>26445</v>
      </c>
      <c r="B3226">
        <v>0.498</v>
      </c>
      <c r="C3226" t="str">
        <f t="shared" si="55"/>
        <v>1972 q2</v>
      </c>
    </row>
    <row r="3227" spans="1:3">
      <c r="A3227" s="62">
        <v>26449</v>
      </c>
      <c r="B3227">
        <v>0.49049999999999999</v>
      </c>
      <c r="C3227" t="str">
        <f t="shared" si="55"/>
        <v>1972 q2</v>
      </c>
    </row>
    <row r="3228" spans="1:3">
      <c r="A3228" s="62">
        <v>26450</v>
      </c>
      <c r="B3228">
        <v>0.49199999999999999</v>
      </c>
      <c r="C3228" t="str">
        <f t="shared" si="55"/>
        <v>1972 q2</v>
      </c>
    </row>
    <row r="3229" spans="1:3">
      <c r="A3229" s="62">
        <v>26451</v>
      </c>
      <c r="B3229">
        <v>0.4945</v>
      </c>
      <c r="C3229" t="str">
        <f t="shared" si="55"/>
        <v>1972 q2</v>
      </c>
    </row>
    <row r="3230" spans="1:3">
      <c r="A3230" s="62">
        <v>26452</v>
      </c>
      <c r="B3230">
        <v>0.49249999999999999</v>
      </c>
      <c r="C3230" t="str">
        <f t="shared" si="55"/>
        <v>1972 q2</v>
      </c>
    </row>
    <row r="3231" spans="1:3">
      <c r="A3231" s="62">
        <v>26455</v>
      </c>
      <c r="B3231">
        <v>0.48699999999999999</v>
      </c>
      <c r="C3231" t="str">
        <f t="shared" si="55"/>
        <v>1972 q2</v>
      </c>
    </row>
    <row r="3232" spans="1:3">
      <c r="A3232" s="62">
        <v>26456</v>
      </c>
      <c r="B3232">
        <v>0.48949999999999999</v>
      </c>
      <c r="C3232" t="str">
        <f t="shared" si="55"/>
        <v>1972 q2</v>
      </c>
    </row>
    <row r="3233" spans="1:3">
      <c r="A3233" s="62">
        <v>26457</v>
      </c>
      <c r="B3233">
        <v>0.49299999999999999</v>
      </c>
      <c r="C3233" t="str">
        <f t="shared" si="55"/>
        <v>1972 q2</v>
      </c>
    </row>
    <row r="3234" spans="1:3">
      <c r="A3234" s="62">
        <v>26458</v>
      </c>
      <c r="B3234">
        <v>0.48799999999999999</v>
      </c>
      <c r="C3234" t="str">
        <f t="shared" si="55"/>
        <v>1972 q2</v>
      </c>
    </row>
    <row r="3235" spans="1:3">
      <c r="A3235" s="62">
        <v>26459</v>
      </c>
      <c r="B3235">
        <v>0.48949999999999999</v>
      </c>
      <c r="C3235" t="str">
        <f t="shared" si="55"/>
        <v>1972 q2</v>
      </c>
    </row>
    <row r="3236" spans="1:3">
      <c r="A3236" s="62">
        <v>26462</v>
      </c>
      <c r="B3236">
        <v>0.48899999999999999</v>
      </c>
      <c r="C3236" t="str">
        <f t="shared" si="55"/>
        <v>1972 q2</v>
      </c>
    </row>
    <row r="3237" spans="1:3">
      <c r="A3237" s="62">
        <v>26463</v>
      </c>
      <c r="B3237">
        <v>0.49249999999999999</v>
      </c>
      <c r="C3237" t="str">
        <f t="shared" si="55"/>
        <v>1972 q2</v>
      </c>
    </row>
    <row r="3238" spans="1:3">
      <c r="A3238" s="62">
        <v>26464</v>
      </c>
      <c r="B3238">
        <v>0.4955</v>
      </c>
      <c r="C3238" t="str">
        <f t="shared" si="55"/>
        <v>1972 q2</v>
      </c>
    </row>
    <row r="3239" spans="1:3">
      <c r="A3239" s="62">
        <v>26465</v>
      </c>
      <c r="B3239">
        <v>0.49299999999999999</v>
      </c>
      <c r="C3239" t="str">
        <f t="shared" si="55"/>
        <v>1972 q2</v>
      </c>
    </row>
    <row r="3240" spans="1:3">
      <c r="A3240" s="62">
        <v>26466</v>
      </c>
      <c r="B3240">
        <v>0.49099999999999999</v>
      </c>
      <c r="C3240" t="str">
        <f t="shared" si="55"/>
        <v>1972 q2</v>
      </c>
    </row>
    <row r="3241" spans="1:3">
      <c r="A3241" s="62">
        <v>26469</v>
      </c>
      <c r="B3241">
        <v>0.49</v>
      </c>
      <c r="C3241" t="str">
        <f t="shared" si="55"/>
        <v>1972 q2</v>
      </c>
    </row>
    <row r="3242" spans="1:3">
      <c r="A3242" s="62">
        <v>26470</v>
      </c>
      <c r="B3242">
        <v>0.48649999999999999</v>
      </c>
      <c r="C3242" t="str">
        <f t="shared" si="55"/>
        <v>1972 q2</v>
      </c>
    </row>
    <row r="3243" spans="1:3">
      <c r="A3243" s="62">
        <v>26471</v>
      </c>
      <c r="B3243">
        <v>0.47849999999999998</v>
      </c>
      <c r="C3243" t="str">
        <f t="shared" si="55"/>
        <v>1972 q2</v>
      </c>
    </row>
    <row r="3244" spans="1:3">
      <c r="A3244" s="62">
        <v>26472</v>
      </c>
      <c r="B3244">
        <v>0.47549999999999998</v>
      </c>
      <c r="C3244" t="str">
        <f t="shared" si="55"/>
        <v>1972 q2</v>
      </c>
    </row>
    <row r="3245" spans="1:3">
      <c r="A3245" s="62">
        <v>26473</v>
      </c>
      <c r="B3245">
        <v>0.47699999999999998</v>
      </c>
      <c r="C3245" t="str">
        <f t="shared" si="55"/>
        <v>1972 q2</v>
      </c>
    </row>
    <row r="3246" spans="1:3">
      <c r="A3246" s="62">
        <v>26476</v>
      </c>
      <c r="B3246">
        <v>0.47449999999999998</v>
      </c>
      <c r="C3246" t="str">
        <f t="shared" si="55"/>
        <v>1972 q2</v>
      </c>
    </row>
    <row r="3247" spans="1:3">
      <c r="A3247" s="62">
        <v>26477</v>
      </c>
      <c r="B3247">
        <v>0.46829999999999999</v>
      </c>
      <c r="C3247" t="str">
        <f t="shared" si="55"/>
        <v>1972 q2</v>
      </c>
    </row>
    <row r="3248" spans="1:3">
      <c r="A3248" s="62">
        <v>26478</v>
      </c>
      <c r="B3248">
        <v>0.4672</v>
      </c>
      <c r="C3248" t="str">
        <f t="shared" si="55"/>
        <v>1972 q2</v>
      </c>
    </row>
    <row r="3249" spans="1:3">
      <c r="A3249" s="62">
        <v>26479</v>
      </c>
      <c r="B3249">
        <v>0.47420000000000001</v>
      </c>
      <c r="C3249" t="str">
        <f t="shared" si="55"/>
        <v>1972 q2</v>
      </c>
    </row>
    <row r="3250" spans="1:3">
      <c r="A3250" s="62">
        <v>26480</v>
      </c>
      <c r="B3250">
        <v>0.47560000000000002</v>
      </c>
      <c r="C3250" t="str">
        <f t="shared" si="55"/>
        <v>1972 q2</v>
      </c>
    </row>
    <row r="3251" spans="1:3">
      <c r="A3251" s="62">
        <v>26485</v>
      </c>
      <c r="B3251">
        <v>0.47549999999999998</v>
      </c>
      <c r="C3251" t="str">
        <f t="shared" si="55"/>
        <v>1972 q3</v>
      </c>
    </row>
    <row r="3252" spans="1:3">
      <c r="A3252" s="62">
        <v>26486</v>
      </c>
      <c r="B3252">
        <v>0.48249999999999998</v>
      </c>
      <c r="C3252" t="str">
        <f t="shared" si="55"/>
        <v>1972 q3</v>
      </c>
    </row>
    <row r="3253" spans="1:3">
      <c r="A3253" s="62">
        <v>26487</v>
      </c>
      <c r="B3253">
        <v>0.49</v>
      </c>
      <c r="C3253" t="str">
        <f t="shared" si="55"/>
        <v>1972 q3</v>
      </c>
    </row>
    <row r="3254" spans="1:3">
      <c r="A3254" s="62">
        <v>26490</v>
      </c>
      <c r="B3254">
        <v>0.48599999999999999</v>
      </c>
      <c r="C3254" t="str">
        <f t="shared" si="55"/>
        <v>1972 q3</v>
      </c>
    </row>
    <row r="3255" spans="1:3">
      <c r="A3255" s="62">
        <v>26491</v>
      </c>
      <c r="B3255">
        <v>0.48399999999999999</v>
      </c>
      <c r="C3255" t="str">
        <f t="shared" si="55"/>
        <v>1972 q3</v>
      </c>
    </row>
    <row r="3256" spans="1:3">
      <c r="A3256" s="62">
        <v>26492</v>
      </c>
      <c r="B3256">
        <v>0.48699999999999999</v>
      </c>
      <c r="C3256" t="str">
        <f t="shared" si="55"/>
        <v>1972 q3</v>
      </c>
    </row>
    <row r="3257" spans="1:3">
      <c r="A3257" s="62">
        <v>26493</v>
      </c>
      <c r="B3257">
        <v>0.48849999999999999</v>
      </c>
      <c r="C3257" t="str">
        <f t="shared" si="55"/>
        <v>1972 q3</v>
      </c>
    </row>
    <row r="3258" spans="1:3">
      <c r="A3258" s="62">
        <v>26494</v>
      </c>
      <c r="B3258">
        <v>0.48899999999999999</v>
      </c>
      <c r="C3258" t="str">
        <f t="shared" si="55"/>
        <v>1972 q3</v>
      </c>
    </row>
    <row r="3259" spans="1:3">
      <c r="A3259" s="62">
        <v>26497</v>
      </c>
      <c r="B3259">
        <v>0.48749999999999999</v>
      </c>
      <c r="C3259" t="str">
        <f t="shared" si="55"/>
        <v>1972 q3</v>
      </c>
    </row>
    <row r="3260" spans="1:3">
      <c r="A3260" s="62">
        <v>26498</v>
      </c>
      <c r="B3260">
        <v>0.47799999999999998</v>
      </c>
      <c r="C3260" t="str">
        <f t="shared" si="55"/>
        <v>1972 q3</v>
      </c>
    </row>
    <row r="3261" spans="1:3">
      <c r="A3261" s="62">
        <v>26499</v>
      </c>
      <c r="B3261">
        <v>0.48149999999999998</v>
      </c>
      <c r="C3261" t="str">
        <f t="shared" si="55"/>
        <v>1972 q3</v>
      </c>
    </row>
    <row r="3262" spans="1:3">
      <c r="A3262" s="62">
        <v>26500</v>
      </c>
      <c r="B3262">
        <v>0.48099999999999998</v>
      </c>
      <c r="C3262" t="str">
        <f t="shared" si="55"/>
        <v>1972 q3</v>
      </c>
    </row>
    <row r="3263" spans="1:3">
      <c r="A3263" s="62">
        <v>26501</v>
      </c>
      <c r="B3263">
        <v>0.47499999999999998</v>
      </c>
      <c r="C3263" t="str">
        <f t="shared" si="55"/>
        <v>1972 q3</v>
      </c>
    </row>
    <row r="3264" spans="1:3">
      <c r="A3264" s="62">
        <v>26504</v>
      </c>
      <c r="B3264">
        <v>0.47849999999999998</v>
      </c>
      <c r="C3264" t="str">
        <f t="shared" si="55"/>
        <v>1972 q3</v>
      </c>
    </row>
    <row r="3265" spans="1:3">
      <c r="A3265" s="62">
        <v>26505</v>
      </c>
      <c r="B3265">
        <v>0.48149999999999998</v>
      </c>
      <c r="C3265" t="str">
        <f t="shared" si="55"/>
        <v>1972 q3</v>
      </c>
    </row>
    <row r="3266" spans="1:3">
      <c r="A3266" s="62">
        <v>26506</v>
      </c>
      <c r="B3266">
        <v>0.47849999999999998</v>
      </c>
      <c r="C3266" t="str">
        <f t="shared" si="55"/>
        <v>1972 q3</v>
      </c>
    </row>
    <row r="3267" spans="1:3">
      <c r="A3267" s="62">
        <v>26507</v>
      </c>
      <c r="B3267">
        <v>0.47849999999999998</v>
      </c>
      <c r="C3267" t="str">
        <f t="shared" si="55"/>
        <v>1972 q3</v>
      </c>
    </row>
    <row r="3268" spans="1:3">
      <c r="A3268" s="62">
        <v>26508</v>
      </c>
      <c r="B3268">
        <v>0.48299999999999998</v>
      </c>
      <c r="C3268" t="str">
        <f t="shared" si="55"/>
        <v>1972 q3</v>
      </c>
    </row>
    <row r="3269" spans="1:3">
      <c r="A3269" s="62">
        <v>26511</v>
      </c>
      <c r="B3269">
        <v>0.48449999999999999</v>
      </c>
      <c r="C3269" t="str">
        <f t="shared" si="55"/>
        <v>1972 q3</v>
      </c>
    </row>
    <row r="3270" spans="1:3">
      <c r="A3270" s="62">
        <v>26512</v>
      </c>
      <c r="B3270">
        <v>0.48199999999999998</v>
      </c>
      <c r="C3270" t="str">
        <f t="shared" si="55"/>
        <v>1972 q3</v>
      </c>
    </row>
    <row r="3271" spans="1:3">
      <c r="A3271" s="62">
        <v>26513</v>
      </c>
      <c r="B3271">
        <v>0.47849999999999998</v>
      </c>
      <c r="C3271" t="str">
        <f t="shared" si="55"/>
        <v>1972 q3</v>
      </c>
    </row>
    <row r="3272" spans="1:3">
      <c r="A3272" s="62">
        <v>26514</v>
      </c>
      <c r="B3272">
        <v>0.47449999999999998</v>
      </c>
      <c r="C3272" t="str">
        <f t="shared" si="55"/>
        <v>1972 q3</v>
      </c>
    </row>
    <row r="3273" spans="1:3">
      <c r="A3273" s="62">
        <v>26515</v>
      </c>
      <c r="B3273">
        <v>0.47949999999999998</v>
      </c>
      <c r="C3273" t="str">
        <f t="shared" si="55"/>
        <v>1972 q3</v>
      </c>
    </row>
    <row r="3274" spans="1:3">
      <c r="A3274" s="62">
        <v>26518</v>
      </c>
      <c r="B3274">
        <v>0.48649999999999999</v>
      </c>
      <c r="C3274" t="str">
        <f t="shared" si="55"/>
        <v>1972 q3</v>
      </c>
    </row>
    <row r="3275" spans="1:3">
      <c r="A3275" s="62">
        <v>26519</v>
      </c>
      <c r="B3275">
        <v>0.48399999999999999</v>
      </c>
      <c r="C3275" t="str">
        <f t="shared" si="55"/>
        <v>1972 q3</v>
      </c>
    </row>
    <row r="3276" spans="1:3">
      <c r="A3276" s="62">
        <v>26520</v>
      </c>
      <c r="B3276">
        <v>0.48249999999999998</v>
      </c>
      <c r="C3276" t="str">
        <f t="shared" si="55"/>
        <v>1972 q3</v>
      </c>
    </row>
    <row r="3277" spans="1:3">
      <c r="A3277" s="62">
        <v>26521</v>
      </c>
      <c r="B3277">
        <v>0.48349999999999999</v>
      </c>
      <c r="C3277" t="str">
        <f t="shared" si="55"/>
        <v>1972 q3</v>
      </c>
    </row>
    <row r="3278" spans="1:3">
      <c r="A3278" s="62">
        <v>26522</v>
      </c>
      <c r="B3278">
        <v>0.47899999999999998</v>
      </c>
      <c r="C3278" t="str">
        <f t="shared" si="55"/>
        <v>1972 q3</v>
      </c>
    </row>
    <row r="3279" spans="1:3">
      <c r="A3279" s="62">
        <v>26525</v>
      </c>
      <c r="B3279">
        <v>0.48299999999999998</v>
      </c>
      <c r="C3279" t="str">
        <f t="shared" si="55"/>
        <v>1972 q3</v>
      </c>
    </row>
    <row r="3280" spans="1:3">
      <c r="A3280" s="62">
        <v>26526</v>
      </c>
      <c r="B3280">
        <v>0.48149999999999998</v>
      </c>
      <c r="C3280" t="str">
        <f t="shared" si="55"/>
        <v>1972 q3</v>
      </c>
    </row>
    <row r="3281" spans="1:3">
      <c r="A3281" s="62">
        <v>26527</v>
      </c>
      <c r="B3281">
        <v>0.47899999999999998</v>
      </c>
      <c r="C3281" t="str">
        <f t="shared" si="55"/>
        <v>1972 q3</v>
      </c>
    </row>
    <row r="3282" spans="1:3">
      <c r="A3282" s="62">
        <v>26528</v>
      </c>
      <c r="B3282">
        <v>0.48</v>
      </c>
      <c r="C3282" t="str">
        <f t="shared" ref="C3282:C3345" si="56">YEAR(A3282)&amp;" q"&amp;ROUNDUP(MONTH(A3282)/3,0)</f>
        <v>1972 q3</v>
      </c>
    </row>
    <row r="3283" spans="1:3">
      <c r="A3283" s="62">
        <v>26529</v>
      </c>
      <c r="B3283">
        <v>0.47949999999999998</v>
      </c>
      <c r="C3283" t="str">
        <f t="shared" si="56"/>
        <v>1972 q3</v>
      </c>
    </row>
    <row r="3284" spans="1:3">
      <c r="A3284" s="62">
        <v>26532</v>
      </c>
      <c r="B3284">
        <v>0.49299999999999999</v>
      </c>
      <c r="C3284" t="str">
        <f t="shared" si="56"/>
        <v>1972 q3</v>
      </c>
    </row>
    <row r="3285" spans="1:3">
      <c r="A3285" s="62">
        <v>26533</v>
      </c>
      <c r="B3285">
        <v>0.4965</v>
      </c>
      <c r="C3285" t="str">
        <f t="shared" si="56"/>
        <v>1972 q3</v>
      </c>
    </row>
    <row r="3286" spans="1:3">
      <c r="A3286" s="62">
        <v>26534</v>
      </c>
      <c r="B3286">
        <v>0.4945</v>
      </c>
      <c r="C3286" t="str">
        <f t="shared" si="56"/>
        <v>1972 q3</v>
      </c>
    </row>
    <row r="3287" spans="1:3">
      <c r="A3287" s="62">
        <v>26535</v>
      </c>
      <c r="B3287">
        <v>0.498</v>
      </c>
      <c r="C3287" t="str">
        <f t="shared" si="56"/>
        <v>1972 q3</v>
      </c>
    </row>
    <row r="3288" spans="1:3">
      <c r="A3288" s="62">
        <v>26536</v>
      </c>
      <c r="B3288">
        <v>0.50049999999999994</v>
      </c>
      <c r="C3288" t="str">
        <f t="shared" si="56"/>
        <v>1972 q3</v>
      </c>
    </row>
    <row r="3289" spans="1:3">
      <c r="A3289" s="62">
        <v>26539</v>
      </c>
      <c r="B3289">
        <v>0.50609999999999999</v>
      </c>
      <c r="C3289" t="str">
        <f t="shared" si="56"/>
        <v>1972 q3</v>
      </c>
    </row>
    <row r="3290" spans="1:3">
      <c r="A3290" s="62">
        <v>26540</v>
      </c>
      <c r="B3290">
        <v>0.50390000000000001</v>
      </c>
      <c r="C3290" t="str">
        <f t="shared" si="56"/>
        <v>1972 q3</v>
      </c>
    </row>
    <row r="3291" spans="1:3">
      <c r="A3291" s="62">
        <v>26541</v>
      </c>
      <c r="B3291">
        <v>0.51280000000000003</v>
      </c>
      <c r="C3291" t="str">
        <f t="shared" si="56"/>
        <v>1972 q3</v>
      </c>
    </row>
    <row r="3292" spans="1:3">
      <c r="A3292" s="62">
        <v>26542</v>
      </c>
      <c r="B3292">
        <v>0.51639999999999997</v>
      </c>
      <c r="C3292" t="str">
        <f t="shared" si="56"/>
        <v>1972 q3</v>
      </c>
    </row>
    <row r="3293" spans="1:3">
      <c r="A3293" s="62">
        <v>26543</v>
      </c>
      <c r="B3293">
        <v>0.51749999999999996</v>
      </c>
      <c r="C3293" t="str">
        <f t="shared" si="56"/>
        <v>1972 q3</v>
      </c>
    </row>
    <row r="3294" spans="1:3">
      <c r="A3294" s="62">
        <v>26547</v>
      </c>
      <c r="B3294">
        <v>0.52100000000000002</v>
      </c>
      <c r="C3294" t="str">
        <f t="shared" si="56"/>
        <v>1972 q3</v>
      </c>
    </row>
    <row r="3295" spans="1:3">
      <c r="A3295" s="62">
        <v>26548</v>
      </c>
      <c r="B3295">
        <v>0.51349999999999996</v>
      </c>
      <c r="C3295" t="str">
        <f t="shared" si="56"/>
        <v>1972 q3</v>
      </c>
    </row>
    <row r="3296" spans="1:3">
      <c r="A3296" s="62">
        <v>26549</v>
      </c>
      <c r="B3296">
        <v>0.51449999999999996</v>
      </c>
      <c r="C3296" t="str">
        <f t="shared" si="56"/>
        <v>1972 q3</v>
      </c>
    </row>
    <row r="3297" spans="1:3">
      <c r="A3297" s="62">
        <v>26550</v>
      </c>
      <c r="B3297">
        <v>0.505</v>
      </c>
      <c r="C3297" t="str">
        <f t="shared" si="56"/>
        <v>1972 q3</v>
      </c>
    </row>
    <row r="3298" spans="1:3">
      <c r="A3298" s="62">
        <v>26553</v>
      </c>
      <c r="B3298">
        <v>0.499</v>
      </c>
      <c r="C3298" t="str">
        <f t="shared" si="56"/>
        <v>1972 q3</v>
      </c>
    </row>
    <row r="3299" spans="1:3">
      <c r="A3299" s="62">
        <v>26554</v>
      </c>
      <c r="B3299">
        <v>0.49399999999999999</v>
      </c>
      <c r="C3299" t="str">
        <f t="shared" si="56"/>
        <v>1972 q3</v>
      </c>
    </row>
    <row r="3300" spans="1:3">
      <c r="A3300" s="62">
        <v>26555</v>
      </c>
      <c r="B3300">
        <v>0.4945</v>
      </c>
      <c r="C3300" t="str">
        <f t="shared" si="56"/>
        <v>1972 q3</v>
      </c>
    </row>
    <row r="3301" spans="1:3">
      <c r="A3301" s="62">
        <v>26556</v>
      </c>
      <c r="B3301">
        <v>0.497</v>
      </c>
      <c r="C3301" t="str">
        <f t="shared" si="56"/>
        <v>1972 q3</v>
      </c>
    </row>
    <row r="3302" spans="1:3">
      <c r="A3302" s="62">
        <v>26557</v>
      </c>
      <c r="B3302">
        <v>0.48849999999999999</v>
      </c>
      <c r="C3302" t="str">
        <f t="shared" si="56"/>
        <v>1972 q3</v>
      </c>
    </row>
    <row r="3303" spans="1:3">
      <c r="A3303" s="62">
        <v>26560</v>
      </c>
      <c r="B3303">
        <v>0.47799999999999998</v>
      </c>
      <c r="C3303" t="str">
        <f t="shared" si="56"/>
        <v>1972 q3</v>
      </c>
    </row>
    <row r="3304" spans="1:3">
      <c r="A3304" s="62">
        <v>26561</v>
      </c>
      <c r="B3304">
        <v>0.48199999999999998</v>
      </c>
      <c r="C3304" t="str">
        <f t="shared" si="56"/>
        <v>1972 q3</v>
      </c>
    </row>
    <row r="3305" spans="1:3">
      <c r="A3305" s="62">
        <v>26562</v>
      </c>
      <c r="B3305">
        <v>0.48649999999999999</v>
      </c>
      <c r="C3305" t="str">
        <f t="shared" si="56"/>
        <v>1972 q3</v>
      </c>
    </row>
    <row r="3306" spans="1:3">
      <c r="A3306" s="62">
        <v>26563</v>
      </c>
      <c r="B3306">
        <v>0.48499999999999999</v>
      </c>
      <c r="C3306" t="str">
        <f t="shared" si="56"/>
        <v>1972 q3</v>
      </c>
    </row>
    <row r="3307" spans="1:3">
      <c r="A3307" s="62">
        <v>26564</v>
      </c>
      <c r="B3307">
        <v>0.48749999999999999</v>
      </c>
      <c r="C3307" t="str">
        <f t="shared" si="56"/>
        <v>1972 q3</v>
      </c>
    </row>
    <row r="3308" spans="1:3">
      <c r="A3308" s="62">
        <v>26567</v>
      </c>
      <c r="B3308">
        <v>0.47949999999999998</v>
      </c>
      <c r="C3308" t="str">
        <f t="shared" si="56"/>
        <v>1972 q3</v>
      </c>
    </row>
    <row r="3309" spans="1:3">
      <c r="A3309" s="62">
        <v>26568</v>
      </c>
      <c r="B3309">
        <v>0.48499999999999999</v>
      </c>
      <c r="C3309" t="str">
        <f t="shared" si="56"/>
        <v>1972 q3</v>
      </c>
    </row>
    <row r="3310" spans="1:3">
      <c r="A3310" s="62">
        <v>26569</v>
      </c>
      <c r="B3310">
        <v>0.48399999999999999</v>
      </c>
      <c r="C3310" t="str">
        <f t="shared" si="56"/>
        <v>1972 q3</v>
      </c>
    </row>
    <row r="3311" spans="1:3">
      <c r="A3311" s="62">
        <v>26570</v>
      </c>
      <c r="B3311">
        <v>0.48699999999999999</v>
      </c>
      <c r="C3311" t="str">
        <f t="shared" si="56"/>
        <v>1972 q3</v>
      </c>
    </row>
    <row r="3312" spans="1:3">
      <c r="A3312" s="62">
        <v>26571</v>
      </c>
      <c r="B3312">
        <v>0.48099999999999998</v>
      </c>
      <c r="C3312" t="str">
        <f t="shared" si="56"/>
        <v>1972 q3</v>
      </c>
    </row>
    <row r="3313" spans="1:3">
      <c r="A3313" s="62">
        <v>26574</v>
      </c>
      <c r="B3313">
        <v>0.47549999999999998</v>
      </c>
      <c r="C3313" t="str">
        <f t="shared" si="56"/>
        <v>1972 q4</v>
      </c>
    </row>
    <row r="3314" spans="1:3">
      <c r="A3314" s="62">
        <v>26575</v>
      </c>
      <c r="B3314">
        <v>0.47899999999999998</v>
      </c>
      <c r="C3314" t="str">
        <f t="shared" si="56"/>
        <v>1972 q4</v>
      </c>
    </row>
    <row r="3315" spans="1:3">
      <c r="A3315" s="62">
        <v>26576</v>
      </c>
      <c r="B3315">
        <v>0.48149999999999998</v>
      </c>
      <c r="C3315" t="str">
        <f t="shared" si="56"/>
        <v>1972 q4</v>
      </c>
    </row>
    <row r="3316" spans="1:3">
      <c r="A3316" s="62">
        <v>26577</v>
      </c>
      <c r="B3316">
        <v>0.47799999999999998</v>
      </c>
      <c r="C3316" t="str">
        <f t="shared" si="56"/>
        <v>1972 q4</v>
      </c>
    </row>
    <row r="3317" spans="1:3">
      <c r="A3317" s="62">
        <v>26578</v>
      </c>
      <c r="B3317">
        <v>0.48199999999999998</v>
      </c>
      <c r="C3317" t="str">
        <f t="shared" si="56"/>
        <v>1972 q4</v>
      </c>
    </row>
    <row r="3318" spans="1:3">
      <c r="A3318" s="62">
        <v>26582</v>
      </c>
      <c r="B3318">
        <v>0.47899999999999998</v>
      </c>
      <c r="C3318" t="str">
        <f t="shared" si="56"/>
        <v>1972 q4</v>
      </c>
    </row>
    <row r="3319" spans="1:3">
      <c r="A3319" s="62">
        <v>26583</v>
      </c>
      <c r="B3319">
        <v>0.47349999999999998</v>
      </c>
      <c r="C3319" t="str">
        <f t="shared" si="56"/>
        <v>1972 q4</v>
      </c>
    </row>
    <row r="3320" spans="1:3">
      <c r="A3320" s="62">
        <v>26584</v>
      </c>
      <c r="B3320">
        <v>0.47199999999999998</v>
      </c>
      <c r="C3320" t="str">
        <f t="shared" si="56"/>
        <v>1972 q4</v>
      </c>
    </row>
    <row r="3321" spans="1:3">
      <c r="A3321" s="62">
        <v>26585</v>
      </c>
      <c r="B3321">
        <v>0.47549999999999998</v>
      </c>
      <c r="C3321" t="str">
        <f t="shared" si="56"/>
        <v>1972 q4</v>
      </c>
    </row>
    <row r="3322" spans="1:3">
      <c r="A3322" s="62">
        <v>26588</v>
      </c>
      <c r="B3322">
        <v>0.48249999999999998</v>
      </c>
      <c r="C3322" t="str">
        <f t="shared" si="56"/>
        <v>1972 q4</v>
      </c>
    </row>
    <row r="3323" spans="1:3">
      <c r="A3323" s="62">
        <v>26589</v>
      </c>
      <c r="B3323">
        <v>0.48549999999999999</v>
      </c>
      <c r="C3323" t="str">
        <f t="shared" si="56"/>
        <v>1972 q4</v>
      </c>
    </row>
    <row r="3324" spans="1:3">
      <c r="A3324" s="62">
        <v>26590</v>
      </c>
      <c r="B3324">
        <v>0.49399999999999999</v>
      </c>
      <c r="C3324" t="str">
        <f t="shared" si="56"/>
        <v>1972 q4</v>
      </c>
    </row>
    <row r="3325" spans="1:3">
      <c r="A3325" s="62">
        <v>26591</v>
      </c>
      <c r="B3325">
        <v>0.48699999999999999</v>
      </c>
      <c r="C3325" t="str">
        <f t="shared" si="56"/>
        <v>1972 q4</v>
      </c>
    </row>
    <row r="3326" spans="1:3">
      <c r="A3326" s="62">
        <v>26592</v>
      </c>
      <c r="B3326">
        <v>0.48799999999999999</v>
      </c>
      <c r="C3326" t="str">
        <f t="shared" si="56"/>
        <v>1972 q4</v>
      </c>
    </row>
    <row r="3327" spans="1:3">
      <c r="A3327" s="62">
        <v>26596</v>
      </c>
      <c r="B3327">
        <v>0.48099999999999998</v>
      </c>
      <c r="C3327" t="str">
        <f t="shared" si="56"/>
        <v>1972 q4</v>
      </c>
    </row>
    <row r="3328" spans="1:3">
      <c r="A3328" s="62">
        <v>26597</v>
      </c>
      <c r="B3328">
        <v>0.47649999999999998</v>
      </c>
      <c r="C3328" t="str">
        <f t="shared" si="56"/>
        <v>1972 q4</v>
      </c>
    </row>
    <row r="3329" spans="1:3">
      <c r="A3329" s="62">
        <v>26598</v>
      </c>
      <c r="B3329">
        <v>0.47949999999999998</v>
      </c>
      <c r="C3329" t="str">
        <f t="shared" si="56"/>
        <v>1972 q4</v>
      </c>
    </row>
    <row r="3330" spans="1:3">
      <c r="A3330" s="62">
        <v>26599</v>
      </c>
      <c r="B3330">
        <v>0.47599999999999998</v>
      </c>
      <c r="C3330" t="str">
        <f t="shared" si="56"/>
        <v>1972 q4</v>
      </c>
    </row>
    <row r="3331" spans="1:3">
      <c r="A3331" s="62">
        <v>26602</v>
      </c>
      <c r="B3331">
        <v>0.47649999999999998</v>
      </c>
      <c r="C3331" t="str">
        <f t="shared" si="56"/>
        <v>1972 q4</v>
      </c>
    </row>
    <row r="3332" spans="1:3">
      <c r="A3332" s="62">
        <v>26603</v>
      </c>
      <c r="B3332">
        <v>0.48</v>
      </c>
      <c r="C3332" t="str">
        <f t="shared" si="56"/>
        <v>1972 q4</v>
      </c>
    </row>
    <row r="3333" spans="1:3">
      <c r="A3333" s="62">
        <v>26604</v>
      </c>
      <c r="B3333">
        <v>0.47949999999999998</v>
      </c>
      <c r="C3333" t="str">
        <f t="shared" si="56"/>
        <v>1972 q4</v>
      </c>
    </row>
    <row r="3334" spans="1:3">
      <c r="A3334" s="62">
        <v>26605</v>
      </c>
      <c r="B3334">
        <v>0.47699999999999998</v>
      </c>
      <c r="C3334" t="str">
        <f t="shared" si="56"/>
        <v>1972 q4</v>
      </c>
    </row>
    <row r="3335" spans="1:3">
      <c r="A3335" s="62">
        <v>26606</v>
      </c>
      <c r="B3335">
        <v>0.47299999999999998</v>
      </c>
      <c r="C3335" t="str">
        <f t="shared" si="56"/>
        <v>1972 q4</v>
      </c>
    </row>
    <row r="3336" spans="1:3">
      <c r="A3336" s="62">
        <v>26609</v>
      </c>
      <c r="B3336">
        <v>0.47149999999999997</v>
      </c>
      <c r="C3336" t="str">
        <f t="shared" si="56"/>
        <v>1972 q4</v>
      </c>
    </row>
    <row r="3337" spans="1:3">
      <c r="A3337" s="62">
        <v>26611</v>
      </c>
      <c r="B3337">
        <v>0.46500000000000002</v>
      </c>
      <c r="C3337" t="str">
        <f t="shared" si="56"/>
        <v>1972 q4</v>
      </c>
    </row>
    <row r="3338" spans="1:3">
      <c r="A3338" s="62">
        <v>26612</v>
      </c>
      <c r="B3338">
        <v>0.46300000000000002</v>
      </c>
      <c r="C3338" t="str">
        <f t="shared" si="56"/>
        <v>1972 q4</v>
      </c>
    </row>
    <row r="3339" spans="1:3">
      <c r="A3339" s="62">
        <v>26613</v>
      </c>
      <c r="B3339">
        <v>0.46500000000000002</v>
      </c>
      <c r="C3339" t="str">
        <f t="shared" si="56"/>
        <v>1972 q4</v>
      </c>
    </row>
    <row r="3340" spans="1:3">
      <c r="A3340" s="62">
        <v>26616</v>
      </c>
      <c r="B3340">
        <v>0.46600000000000003</v>
      </c>
      <c r="C3340" t="str">
        <f t="shared" si="56"/>
        <v>1972 q4</v>
      </c>
    </row>
    <row r="3341" spans="1:3">
      <c r="A3341" s="62">
        <v>26617</v>
      </c>
      <c r="B3341">
        <v>0.46800000000000003</v>
      </c>
      <c r="C3341" t="str">
        <f t="shared" si="56"/>
        <v>1972 q4</v>
      </c>
    </row>
    <row r="3342" spans="1:3">
      <c r="A3342" s="62">
        <v>26618</v>
      </c>
      <c r="B3342">
        <v>0.47</v>
      </c>
      <c r="C3342" t="str">
        <f t="shared" si="56"/>
        <v>1972 q4</v>
      </c>
    </row>
    <row r="3343" spans="1:3">
      <c r="A3343" s="62">
        <v>26619</v>
      </c>
      <c r="B3343">
        <v>0.46450000000000002</v>
      </c>
      <c r="C3343" t="str">
        <f t="shared" si="56"/>
        <v>1972 q4</v>
      </c>
    </row>
    <row r="3344" spans="1:3">
      <c r="A3344" s="62">
        <v>26620</v>
      </c>
      <c r="B3344">
        <v>0.46250000000000002</v>
      </c>
      <c r="C3344" t="str">
        <f t="shared" si="56"/>
        <v>1972 q4</v>
      </c>
    </row>
    <row r="3345" spans="1:3">
      <c r="A3345" s="62">
        <v>26623</v>
      </c>
      <c r="B3345">
        <v>0.46100000000000002</v>
      </c>
      <c r="C3345" t="str">
        <f t="shared" si="56"/>
        <v>1972 q4</v>
      </c>
    </row>
    <row r="3346" spans="1:3">
      <c r="A3346" s="62">
        <v>26624</v>
      </c>
      <c r="B3346">
        <v>0.46350000000000002</v>
      </c>
      <c r="C3346" t="str">
        <f t="shared" ref="C3346:C3409" si="57">YEAR(A3346)&amp;" q"&amp;ROUNDUP(MONTH(A3346)/3,0)</f>
        <v>1972 q4</v>
      </c>
    </row>
    <row r="3347" spans="1:3">
      <c r="A3347" s="62">
        <v>26625</v>
      </c>
      <c r="B3347">
        <v>0.46700000000000003</v>
      </c>
      <c r="C3347" t="str">
        <f t="shared" si="57"/>
        <v>1972 q4</v>
      </c>
    </row>
    <row r="3348" spans="1:3">
      <c r="A3348" s="62">
        <v>26627</v>
      </c>
      <c r="B3348">
        <v>0.46800000000000003</v>
      </c>
      <c r="C3348" t="str">
        <f t="shared" si="57"/>
        <v>1972 q4</v>
      </c>
    </row>
    <row r="3349" spans="1:3">
      <c r="A3349" s="62">
        <v>26630</v>
      </c>
      <c r="B3349">
        <v>0.46489999999999998</v>
      </c>
      <c r="C3349" t="str">
        <f t="shared" si="57"/>
        <v>1972 q4</v>
      </c>
    </row>
    <row r="3350" spans="1:3">
      <c r="A3350" s="62">
        <v>26631</v>
      </c>
      <c r="B3350">
        <v>0.46479999999999999</v>
      </c>
      <c r="C3350" t="str">
        <f t="shared" si="57"/>
        <v>1972 q4</v>
      </c>
    </row>
    <row r="3351" spans="1:3">
      <c r="A3351" s="62">
        <v>26632</v>
      </c>
      <c r="B3351">
        <v>0.4672</v>
      </c>
      <c r="C3351" t="str">
        <f t="shared" si="57"/>
        <v>1972 q4</v>
      </c>
    </row>
    <row r="3352" spans="1:3">
      <c r="A3352" s="62">
        <v>26633</v>
      </c>
      <c r="B3352">
        <v>0.4783</v>
      </c>
      <c r="C3352" t="str">
        <f t="shared" si="57"/>
        <v>1972 q4</v>
      </c>
    </row>
    <row r="3353" spans="1:3">
      <c r="A3353" s="62">
        <v>26634</v>
      </c>
      <c r="B3353">
        <v>0.47899999999999998</v>
      </c>
      <c r="C3353" t="str">
        <f t="shared" si="57"/>
        <v>1972 q4</v>
      </c>
    </row>
    <row r="3354" spans="1:3">
      <c r="A3354" s="62">
        <v>26637</v>
      </c>
      <c r="B3354">
        <v>0.47449999999999998</v>
      </c>
      <c r="C3354" t="str">
        <f t="shared" si="57"/>
        <v>1972 q4</v>
      </c>
    </row>
    <row r="3355" spans="1:3">
      <c r="A3355" s="62">
        <v>26638</v>
      </c>
      <c r="B3355">
        <v>0.47599999999999998</v>
      </c>
      <c r="C3355" t="str">
        <f t="shared" si="57"/>
        <v>1972 q4</v>
      </c>
    </row>
    <row r="3356" spans="1:3">
      <c r="A3356" s="62">
        <v>26639</v>
      </c>
      <c r="B3356">
        <v>0.48349999999999999</v>
      </c>
      <c r="C3356" t="str">
        <f t="shared" si="57"/>
        <v>1972 q4</v>
      </c>
    </row>
    <row r="3357" spans="1:3">
      <c r="A3357" s="62">
        <v>26640</v>
      </c>
      <c r="B3357">
        <v>0.47399999999999998</v>
      </c>
      <c r="C3357" t="str">
        <f t="shared" si="57"/>
        <v>1972 q4</v>
      </c>
    </row>
    <row r="3358" spans="1:3">
      <c r="A3358" s="62">
        <v>26641</v>
      </c>
      <c r="B3358">
        <v>0.47899999999999998</v>
      </c>
      <c r="C3358" t="str">
        <f t="shared" si="57"/>
        <v>1972 q4</v>
      </c>
    </row>
    <row r="3359" spans="1:3">
      <c r="A3359" s="62">
        <v>26644</v>
      </c>
      <c r="B3359">
        <v>0.48649999999999999</v>
      </c>
      <c r="C3359" t="str">
        <f t="shared" si="57"/>
        <v>1972 q4</v>
      </c>
    </row>
    <row r="3360" spans="1:3">
      <c r="A3360" s="62">
        <v>26645</v>
      </c>
      <c r="B3360">
        <v>0.48399999999999999</v>
      </c>
      <c r="C3360" t="str">
        <f t="shared" si="57"/>
        <v>1972 q4</v>
      </c>
    </row>
    <row r="3361" spans="1:3">
      <c r="A3361" s="62">
        <v>26646</v>
      </c>
      <c r="B3361">
        <v>0.47949999999999998</v>
      </c>
      <c r="C3361" t="str">
        <f t="shared" si="57"/>
        <v>1972 q4</v>
      </c>
    </row>
    <row r="3362" spans="1:3">
      <c r="A3362" s="62">
        <v>26647</v>
      </c>
      <c r="B3362">
        <v>0.48149999999999998</v>
      </c>
      <c r="C3362" t="str">
        <f t="shared" si="57"/>
        <v>1972 q4</v>
      </c>
    </row>
    <row r="3363" spans="1:3">
      <c r="A3363" s="62">
        <v>26648</v>
      </c>
      <c r="B3363">
        <v>0.48199999999999998</v>
      </c>
      <c r="C3363" t="str">
        <f t="shared" si="57"/>
        <v>1972 q4</v>
      </c>
    </row>
    <row r="3364" spans="1:3">
      <c r="A3364" s="62">
        <v>26651</v>
      </c>
      <c r="B3364">
        <v>0.47599999999999998</v>
      </c>
      <c r="C3364" t="str">
        <f t="shared" si="57"/>
        <v>1972 q4</v>
      </c>
    </row>
    <row r="3365" spans="1:3">
      <c r="A3365" s="62">
        <v>26652</v>
      </c>
      <c r="B3365">
        <v>0.47899999999999998</v>
      </c>
      <c r="C3365" t="str">
        <f t="shared" si="57"/>
        <v>1972 q4</v>
      </c>
    </row>
    <row r="3366" spans="1:3">
      <c r="A3366" s="62">
        <v>26653</v>
      </c>
      <c r="B3366">
        <v>0.48</v>
      </c>
      <c r="C3366" t="str">
        <f t="shared" si="57"/>
        <v>1972 q4</v>
      </c>
    </row>
    <row r="3367" spans="1:3">
      <c r="A3367" s="62">
        <v>26654</v>
      </c>
      <c r="B3367">
        <v>0.48399999999999999</v>
      </c>
      <c r="C3367" t="str">
        <f t="shared" si="57"/>
        <v>1972 q4</v>
      </c>
    </row>
    <row r="3368" spans="1:3">
      <c r="A3368" s="62">
        <v>26655</v>
      </c>
      <c r="B3368">
        <v>0.49009999999999998</v>
      </c>
      <c r="C3368" t="str">
        <f t="shared" si="57"/>
        <v>1972 q4</v>
      </c>
    </row>
    <row r="3369" spans="1:3">
      <c r="A3369" s="62">
        <v>26659</v>
      </c>
      <c r="B3369">
        <v>0.49740000000000001</v>
      </c>
      <c r="C3369" t="str">
        <f t="shared" si="57"/>
        <v>1972 q4</v>
      </c>
    </row>
    <row r="3370" spans="1:3">
      <c r="A3370" s="62">
        <v>26660</v>
      </c>
      <c r="B3370">
        <v>0.49609999999999999</v>
      </c>
      <c r="C3370" t="str">
        <f t="shared" si="57"/>
        <v>1972 q4</v>
      </c>
    </row>
    <row r="3371" spans="1:3">
      <c r="A3371" s="62">
        <v>26662</v>
      </c>
      <c r="B3371">
        <v>0.50080000000000002</v>
      </c>
      <c r="C3371" t="str">
        <f t="shared" si="57"/>
        <v>1972 q4</v>
      </c>
    </row>
    <row r="3372" spans="1:3">
      <c r="A3372" s="62">
        <v>26666</v>
      </c>
      <c r="B3372">
        <v>0.502</v>
      </c>
      <c r="C3372" t="str">
        <f t="shared" si="57"/>
        <v>1973 q1</v>
      </c>
    </row>
    <row r="3373" spans="1:3">
      <c r="A3373" s="62">
        <v>26667</v>
      </c>
      <c r="B3373">
        <v>0.50349999999999995</v>
      </c>
      <c r="C3373" t="str">
        <f t="shared" si="57"/>
        <v>1973 q1</v>
      </c>
    </row>
    <row r="3374" spans="1:3">
      <c r="A3374" s="62">
        <v>26668</v>
      </c>
      <c r="B3374">
        <v>0.51</v>
      </c>
      <c r="C3374" t="str">
        <f t="shared" si="57"/>
        <v>1973 q1</v>
      </c>
    </row>
    <row r="3375" spans="1:3">
      <c r="A3375" s="62">
        <v>26669</v>
      </c>
      <c r="B3375">
        <v>0.50949999999999995</v>
      </c>
      <c r="C3375" t="str">
        <f t="shared" si="57"/>
        <v>1973 q1</v>
      </c>
    </row>
    <row r="3376" spans="1:3">
      <c r="A3376" s="62">
        <v>26672</v>
      </c>
      <c r="B3376">
        <v>0.51500000000000001</v>
      </c>
      <c r="C3376" t="str">
        <f t="shared" si="57"/>
        <v>1973 q1</v>
      </c>
    </row>
    <row r="3377" spans="1:3">
      <c r="A3377" s="62">
        <v>26673</v>
      </c>
      <c r="B3377">
        <v>0.51900000000000002</v>
      </c>
      <c r="C3377" t="str">
        <f t="shared" si="57"/>
        <v>1973 q1</v>
      </c>
    </row>
    <row r="3378" spans="1:3">
      <c r="A3378" s="62">
        <v>26674</v>
      </c>
      <c r="B3378">
        <v>0.52300000000000002</v>
      </c>
      <c r="C3378" t="str">
        <f t="shared" si="57"/>
        <v>1973 q1</v>
      </c>
    </row>
    <row r="3379" spans="1:3">
      <c r="A3379" s="62">
        <v>26675</v>
      </c>
      <c r="B3379">
        <v>0.52800000000000002</v>
      </c>
      <c r="C3379" t="str">
        <f t="shared" si="57"/>
        <v>1973 q1</v>
      </c>
    </row>
    <row r="3380" spans="1:3">
      <c r="A3380" s="62">
        <v>26676</v>
      </c>
      <c r="B3380">
        <v>0.52500000000000002</v>
      </c>
      <c r="C3380" t="str">
        <f t="shared" si="57"/>
        <v>1973 q1</v>
      </c>
    </row>
    <row r="3381" spans="1:3">
      <c r="A3381" s="62">
        <v>26679</v>
      </c>
      <c r="B3381">
        <v>0.52449999999999997</v>
      </c>
      <c r="C3381" t="str">
        <f t="shared" si="57"/>
        <v>1973 q1</v>
      </c>
    </row>
    <row r="3382" spans="1:3">
      <c r="A3382" s="62">
        <v>26680</v>
      </c>
      <c r="B3382">
        <v>0.52600000000000002</v>
      </c>
      <c r="C3382" t="str">
        <f t="shared" si="57"/>
        <v>1973 q1</v>
      </c>
    </row>
    <row r="3383" spans="1:3">
      <c r="A3383" s="62">
        <v>26681</v>
      </c>
      <c r="B3383">
        <v>0.52100000000000002</v>
      </c>
      <c r="C3383" t="str">
        <f t="shared" si="57"/>
        <v>1973 q1</v>
      </c>
    </row>
    <row r="3384" spans="1:3">
      <c r="A3384" s="62">
        <v>26682</v>
      </c>
      <c r="B3384">
        <v>0.52649999999999997</v>
      </c>
      <c r="C3384" t="str">
        <f t="shared" si="57"/>
        <v>1973 q1</v>
      </c>
    </row>
    <row r="3385" spans="1:3">
      <c r="A3385" s="62">
        <v>26683</v>
      </c>
      <c r="B3385">
        <v>0.53349999999999997</v>
      </c>
      <c r="C3385" t="str">
        <f t="shared" si="57"/>
        <v>1973 q1</v>
      </c>
    </row>
    <row r="3386" spans="1:3">
      <c r="A3386" s="62">
        <v>26686</v>
      </c>
      <c r="B3386">
        <v>0.53500000000000003</v>
      </c>
      <c r="C3386" t="str">
        <f t="shared" si="57"/>
        <v>1973 q1</v>
      </c>
    </row>
    <row r="3387" spans="1:3">
      <c r="A3387" s="62">
        <v>26687</v>
      </c>
      <c r="B3387">
        <v>0.53049999999999997</v>
      </c>
      <c r="C3387" t="str">
        <f t="shared" si="57"/>
        <v>1973 q1</v>
      </c>
    </row>
    <row r="3388" spans="1:3">
      <c r="A3388" s="62">
        <v>26688</v>
      </c>
      <c r="B3388">
        <v>0.53600000000000003</v>
      </c>
      <c r="C3388" t="str">
        <f t="shared" si="57"/>
        <v>1973 q1</v>
      </c>
    </row>
    <row r="3389" spans="1:3">
      <c r="A3389" s="62">
        <v>26690</v>
      </c>
      <c r="B3389">
        <v>0.54049999999999998</v>
      </c>
      <c r="C3389" t="str">
        <f t="shared" si="57"/>
        <v>1973 q1</v>
      </c>
    </row>
    <row r="3390" spans="1:3">
      <c r="A3390" s="62">
        <v>26693</v>
      </c>
      <c r="B3390">
        <v>0.53249999999999997</v>
      </c>
      <c r="C3390" t="str">
        <f t="shared" si="57"/>
        <v>1973 q1</v>
      </c>
    </row>
    <row r="3391" spans="1:3">
      <c r="A3391" s="62">
        <v>26694</v>
      </c>
      <c r="B3391">
        <v>0.53300000000000003</v>
      </c>
      <c r="C3391" t="str">
        <f t="shared" si="57"/>
        <v>1973 q1</v>
      </c>
    </row>
    <row r="3392" spans="1:3">
      <c r="A3392" s="62">
        <v>26695</v>
      </c>
      <c r="B3392">
        <v>0.54500000000000004</v>
      </c>
      <c r="C3392" t="str">
        <f t="shared" si="57"/>
        <v>1973 q1</v>
      </c>
    </row>
    <row r="3393" spans="1:3">
      <c r="A3393" s="62">
        <v>26696</v>
      </c>
      <c r="B3393">
        <v>0.54949999999999999</v>
      </c>
      <c r="C3393" t="str">
        <f t="shared" si="57"/>
        <v>1973 q1</v>
      </c>
    </row>
    <row r="3394" spans="1:3">
      <c r="A3394" s="62">
        <v>26697</v>
      </c>
      <c r="B3394">
        <v>0.54649999999999999</v>
      </c>
      <c r="C3394" t="str">
        <f t="shared" si="57"/>
        <v>1973 q1</v>
      </c>
    </row>
    <row r="3395" spans="1:3">
      <c r="A3395" s="62">
        <v>26700</v>
      </c>
      <c r="B3395">
        <v>0.55100000000000005</v>
      </c>
      <c r="C3395" t="str">
        <f t="shared" si="57"/>
        <v>1973 q1</v>
      </c>
    </row>
    <row r="3396" spans="1:3">
      <c r="A3396" s="62">
        <v>26701</v>
      </c>
      <c r="B3396">
        <v>0.55200000000000005</v>
      </c>
      <c r="C3396" t="str">
        <f t="shared" si="57"/>
        <v>1973 q1</v>
      </c>
    </row>
    <row r="3397" spans="1:3">
      <c r="A3397" s="62">
        <v>26702</v>
      </c>
      <c r="B3397">
        <v>0.54849999999999999</v>
      </c>
      <c r="C3397" t="str">
        <f t="shared" si="57"/>
        <v>1973 q1</v>
      </c>
    </row>
    <row r="3398" spans="1:3">
      <c r="A3398" s="62">
        <v>26703</v>
      </c>
      <c r="B3398">
        <v>0.55149999999999999</v>
      </c>
      <c r="C3398" t="str">
        <f t="shared" si="57"/>
        <v>1973 q1</v>
      </c>
    </row>
    <row r="3399" spans="1:3">
      <c r="A3399" s="62">
        <v>26704</v>
      </c>
      <c r="B3399">
        <v>0.54949999999999999</v>
      </c>
      <c r="C3399" t="str">
        <f t="shared" si="57"/>
        <v>1973 q1</v>
      </c>
    </row>
    <row r="3400" spans="1:3">
      <c r="A3400" s="62">
        <v>26708</v>
      </c>
      <c r="B3400">
        <v>0.5645</v>
      </c>
      <c r="C3400" t="str">
        <f t="shared" si="57"/>
        <v>1973 q1</v>
      </c>
    </row>
    <row r="3401" spans="1:3">
      <c r="A3401" s="62">
        <v>26709</v>
      </c>
      <c r="B3401">
        <v>0.57550000000000001</v>
      </c>
      <c r="C3401" t="str">
        <f t="shared" si="57"/>
        <v>1973 q1</v>
      </c>
    </row>
    <row r="3402" spans="1:3">
      <c r="A3402" s="62">
        <v>26710</v>
      </c>
      <c r="B3402">
        <v>0.56850000000000001</v>
      </c>
      <c r="C3402" t="str">
        <f t="shared" si="57"/>
        <v>1973 q1</v>
      </c>
    </row>
    <row r="3403" spans="1:3">
      <c r="A3403" s="62">
        <v>26711</v>
      </c>
      <c r="B3403">
        <v>0.57250000000000001</v>
      </c>
      <c r="C3403" t="str">
        <f t="shared" si="57"/>
        <v>1973 q1</v>
      </c>
    </row>
    <row r="3404" spans="1:3">
      <c r="A3404" s="62">
        <v>26715</v>
      </c>
      <c r="B3404">
        <v>0.57199999999999995</v>
      </c>
      <c r="C3404" t="str">
        <f t="shared" si="57"/>
        <v>1973 q1</v>
      </c>
    </row>
    <row r="3405" spans="1:3">
      <c r="A3405" s="62">
        <v>26716</v>
      </c>
      <c r="B3405">
        <v>0.57899999999999996</v>
      </c>
      <c r="C3405" t="str">
        <f t="shared" si="57"/>
        <v>1973 q1</v>
      </c>
    </row>
    <row r="3406" spans="1:3">
      <c r="A3406" s="62">
        <v>26717</v>
      </c>
      <c r="B3406">
        <v>0.59850000000000003</v>
      </c>
      <c r="C3406" t="str">
        <f t="shared" si="57"/>
        <v>1973 q1</v>
      </c>
    </row>
    <row r="3407" spans="1:3">
      <c r="A3407" s="62">
        <v>26718</v>
      </c>
      <c r="B3407">
        <v>0.59240000000000004</v>
      </c>
      <c r="C3407" t="str">
        <f t="shared" si="57"/>
        <v>1973 q1</v>
      </c>
    </row>
    <row r="3408" spans="1:3">
      <c r="A3408" s="62">
        <v>26721</v>
      </c>
      <c r="B3408">
        <v>0.60780000000000001</v>
      </c>
      <c r="C3408" t="str">
        <f t="shared" si="57"/>
        <v>1973 q1</v>
      </c>
    </row>
    <row r="3409" spans="1:3">
      <c r="A3409" s="62">
        <v>26722</v>
      </c>
      <c r="B3409">
        <v>0.61899999999999999</v>
      </c>
      <c r="C3409" t="str">
        <f t="shared" si="57"/>
        <v>1973 q1</v>
      </c>
    </row>
    <row r="3410" spans="1:3">
      <c r="A3410" s="62">
        <v>26723</v>
      </c>
      <c r="B3410">
        <v>0.64190000000000003</v>
      </c>
      <c r="C3410" t="str">
        <f t="shared" ref="C3410:C3473" si="58">YEAR(A3410)&amp;" q"&amp;ROUNDUP(MONTH(A3410)/3,0)</f>
        <v>1973 q1</v>
      </c>
    </row>
    <row r="3411" spans="1:3">
      <c r="A3411" s="62">
        <v>26724</v>
      </c>
      <c r="B3411">
        <v>0.66200000000000003</v>
      </c>
      <c r="C3411" t="str">
        <f t="shared" si="58"/>
        <v>1973 q1</v>
      </c>
    </row>
    <row r="3412" spans="1:3">
      <c r="A3412" s="62">
        <v>26725</v>
      </c>
      <c r="B3412">
        <v>0.64200000000000002</v>
      </c>
      <c r="C3412" t="str">
        <f t="shared" si="58"/>
        <v>1973 q1</v>
      </c>
    </row>
    <row r="3413" spans="1:3">
      <c r="A3413" s="62">
        <v>26728</v>
      </c>
      <c r="B3413">
        <v>0.63700000000000001</v>
      </c>
      <c r="C3413" t="str">
        <f t="shared" si="58"/>
        <v>1973 q1</v>
      </c>
    </row>
    <row r="3414" spans="1:3">
      <c r="A3414" s="62">
        <v>26729</v>
      </c>
      <c r="B3414">
        <v>0.65700000000000003</v>
      </c>
      <c r="C3414" t="str">
        <f t="shared" si="58"/>
        <v>1973 q1</v>
      </c>
    </row>
    <row r="3415" spans="1:3">
      <c r="A3415" s="62">
        <v>26730</v>
      </c>
      <c r="B3415">
        <v>0.67500000000000004</v>
      </c>
      <c r="C3415" t="str">
        <f t="shared" si="58"/>
        <v>1973 q1</v>
      </c>
    </row>
    <row r="3416" spans="1:3">
      <c r="A3416" s="62">
        <v>26731</v>
      </c>
      <c r="B3416">
        <v>0.67800000000000005</v>
      </c>
      <c r="C3416" t="str">
        <f t="shared" si="58"/>
        <v>1973 q1</v>
      </c>
    </row>
    <row r="3417" spans="1:3">
      <c r="A3417" s="62">
        <v>26732</v>
      </c>
      <c r="B3417">
        <v>0.66649999999999998</v>
      </c>
      <c r="C3417" t="str">
        <f t="shared" si="58"/>
        <v>1973 q1</v>
      </c>
    </row>
    <row r="3418" spans="1:3">
      <c r="A3418" s="62">
        <v>26735</v>
      </c>
      <c r="B3418">
        <v>0.65549999999999997</v>
      </c>
      <c r="C3418" t="str">
        <f t="shared" si="58"/>
        <v>1973 q1</v>
      </c>
    </row>
    <row r="3419" spans="1:3">
      <c r="A3419" s="62">
        <v>26736</v>
      </c>
      <c r="B3419">
        <v>0.64300000000000002</v>
      </c>
      <c r="C3419" t="str">
        <f t="shared" si="58"/>
        <v>1973 q1</v>
      </c>
    </row>
    <row r="3420" spans="1:3">
      <c r="A3420" s="62">
        <v>26737</v>
      </c>
      <c r="B3420">
        <v>0.65500000000000003</v>
      </c>
      <c r="C3420" t="str">
        <f t="shared" si="58"/>
        <v>1973 q1</v>
      </c>
    </row>
    <row r="3421" spans="1:3">
      <c r="A3421" s="62">
        <v>26738</v>
      </c>
      <c r="B3421">
        <v>0.64500000000000002</v>
      </c>
      <c r="C3421" t="str">
        <f t="shared" si="58"/>
        <v>1973 q1</v>
      </c>
    </row>
    <row r="3422" spans="1:3">
      <c r="A3422" s="62">
        <v>26739</v>
      </c>
      <c r="B3422">
        <v>0.65600000000000003</v>
      </c>
      <c r="C3422" t="str">
        <f t="shared" si="58"/>
        <v>1973 q1</v>
      </c>
    </row>
    <row r="3423" spans="1:3">
      <c r="A3423" s="62">
        <v>26742</v>
      </c>
      <c r="B3423">
        <v>0.66800000000000004</v>
      </c>
      <c r="C3423" t="str">
        <f t="shared" si="58"/>
        <v>1973 q1</v>
      </c>
    </row>
    <row r="3424" spans="1:3">
      <c r="A3424" s="62">
        <v>26743</v>
      </c>
      <c r="B3424">
        <v>0.67400000000000004</v>
      </c>
      <c r="C3424" t="str">
        <f t="shared" si="58"/>
        <v>1973 q1</v>
      </c>
    </row>
    <row r="3425" spans="1:3">
      <c r="A3425" s="62">
        <v>26744</v>
      </c>
      <c r="B3425">
        <v>0.6825</v>
      </c>
      <c r="C3425" t="str">
        <f t="shared" si="58"/>
        <v>1973 q1</v>
      </c>
    </row>
    <row r="3426" spans="1:3">
      <c r="A3426" s="62">
        <v>26745</v>
      </c>
      <c r="B3426">
        <v>0.67500000000000004</v>
      </c>
      <c r="C3426" t="str">
        <f t="shared" si="58"/>
        <v>1973 q1</v>
      </c>
    </row>
    <row r="3427" spans="1:3">
      <c r="A3427" s="62">
        <v>26746</v>
      </c>
      <c r="B3427">
        <v>0.67500000000000004</v>
      </c>
      <c r="C3427" t="str">
        <f t="shared" si="58"/>
        <v>1973 q1</v>
      </c>
    </row>
    <row r="3428" spans="1:3">
      <c r="A3428" s="62">
        <v>26749</v>
      </c>
      <c r="B3428">
        <v>0.66549999999999998</v>
      </c>
      <c r="C3428" t="str">
        <f t="shared" si="58"/>
        <v>1973 q1</v>
      </c>
    </row>
    <row r="3429" spans="1:3">
      <c r="A3429" s="62">
        <v>26750</v>
      </c>
      <c r="B3429">
        <v>0.65149999999999997</v>
      </c>
      <c r="C3429" t="str">
        <f t="shared" si="58"/>
        <v>1973 q1</v>
      </c>
    </row>
    <row r="3430" spans="1:3">
      <c r="A3430" s="62">
        <v>26751</v>
      </c>
      <c r="B3430">
        <v>0.66500000000000004</v>
      </c>
      <c r="C3430" t="str">
        <f t="shared" si="58"/>
        <v>1973 q1</v>
      </c>
    </row>
    <row r="3431" spans="1:3">
      <c r="A3431" s="62">
        <v>26752</v>
      </c>
      <c r="B3431">
        <v>0.66900000000000004</v>
      </c>
      <c r="C3431" t="str">
        <f t="shared" si="58"/>
        <v>1973 q1</v>
      </c>
    </row>
    <row r="3432" spans="1:3">
      <c r="A3432" s="62">
        <v>26753</v>
      </c>
      <c r="B3432">
        <v>0.67349999999999999</v>
      </c>
      <c r="C3432" t="str">
        <f t="shared" si="58"/>
        <v>1973 q1</v>
      </c>
    </row>
    <row r="3433" spans="1:3">
      <c r="A3433" s="62">
        <v>26756</v>
      </c>
      <c r="B3433">
        <v>0.69299999999999995</v>
      </c>
      <c r="C3433" t="str">
        <f t="shared" si="58"/>
        <v>1973 q2</v>
      </c>
    </row>
    <row r="3434" spans="1:3">
      <c r="A3434" s="62">
        <v>26757</v>
      </c>
      <c r="B3434">
        <v>0.6905</v>
      </c>
      <c r="C3434" t="str">
        <f t="shared" si="58"/>
        <v>1973 q2</v>
      </c>
    </row>
    <row r="3435" spans="1:3">
      <c r="A3435" s="62">
        <v>26758</v>
      </c>
      <c r="B3435">
        <v>0.70750000000000002</v>
      </c>
      <c r="C3435" t="str">
        <f t="shared" si="58"/>
        <v>1973 q2</v>
      </c>
    </row>
    <row r="3436" spans="1:3">
      <c r="A3436" s="62">
        <v>26759</v>
      </c>
      <c r="B3436">
        <v>0.71050000000000002</v>
      </c>
      <c r="C3436" t="str">
        <f t="shared" si="58"/>
        <v>1973 q2</v>
      </c>
    </row>
    <row r="3437" spans="1:3">
      <c r="A3437" s="62">
        <v>26760</v>
      </c>
      <c r="B3437">
        <v>0.71899999999999997</v>
      </c>
      <c r="C3437" t="str">
        <f t="shared" si="58"/>
        <v>1973 q2</v>
      </c>
    </row>
    <row r="3438" spans="1:3">
      <c r="A3438" s="62">
        <v>26763</v>
      </c>
      <c r="B3438">
        <v>0.71150000000000002</v>
      </c>
      <c r="C3438" t="str">
        <f t="shared" si="58"/>
        <v>1973 q2</v>
      </c>
    </row>
    <row r="3439" spans="1:3">
      <c r="A3439" s="62">
        <v>26764</v>
      </c>
      <c r="B3439">
        <v>0.70850000000000002</v>
      </c>
      <c r="C3439" t="str">
        <f t="shared" si="58"/>
        <v>1973 q2</v>
      </c>
    </row>
    <row r="3440" spans="1:3">
      <c r="A3440" s="62">
        <v>26765</v>
      </c>
      <c r="B3440">
        <v>0.70599999999999996</v>
      </c>
      <c r="C3440" t="str">
        <f t="shared" si="58"/>
        <v>1973 q2</v>
      </c>
    </row>
    <row r="3441" spans="1:3">
      <c r="A3441" s="62">
        <v>26766</v>
      </c>
      <c r="B3441">
        <v>0.70150000000000001</v>
      </c>
      <c r="C3441" t="str">
        <f t="shared" si="58"/>
        <v>1973 q2</v>
      </c>
    </row>
    <row r="3442" spans="1:3">
      <c r="A3442" s="62">
        <v>26767</v>
      </c>
      <c r="B3442">
        <v>0.69399999999999995</v>
      </c>
      <c r="C3442" t="str">
        <f t="shared" si="58"/>
        <v>1973 q2</v>
      </c>
    </row>
    <row r="3443" spans="1:3">
      <c r="A3443" s="62">
        <v>26770</v>
      </c>
      <c r="B3443">
        <v>0.6835</v>
      </c>
      <c r="C3443" t="str">
        <f t="shared" si="58"/>
        <v>1973 q2</v>
      </c>
    </row>
    <row r="3444" spans="1:3">
      <c r="A3444" s="62">
        <v>26771</v>
      </c>
      <c r="B3444">
        <v>0.69899999999999995</v>
      </c>
      <c r="C3444" t="str">
        <f t="shared" si="58"/>
        <v>1973 q2</v>
      </c>
    </row>
    <row r="3445" spans="1:3">
      <c r="A3445" s="62">
        <v>26772</v>
      </c>
      <c r="B3445">
        <v>0.71250000000000002</v>
      </c>
      <c r="C3445" t="str">
        <f t="shared" si="58"/>
        <v>1973 q2</v>
      </c>
    </row>
    <row r="3446" spans="1:3">
      <c r="A3446" s="62">
        <v>26773</v>
      </c>
      <c r="B3446">
        <v>0.71</v>
      </c>
      <c r="C3446" t="str">
        <f t="shared" si="58"/>
        <v>1973 q2</v>
      </c>
    </row>
    <row r="3447" spans="1:3">
      <c r="A3447" s="62">
        <v>26777</v>
      </c>
      <c r="B3447">
        <v>0.71550000000000002</v>
      </c>
      <c r="C3447" t="str">
        <f t="shared" si="58"/>
        <v>1973 q2</v>
      </c>
    </row>
    <row r="3448" spans="1:3">
      <c r="A3448" s="62">
        <v>26778</v>
      </c>
      <c r="B3448">
        <v>0.70499999999999996</v>
      </c>
      <c r="C3448" t="str">
        <f t="shared" si="58"/>
        <v>1973 q2</v>
      </c>
    </row>
    <row r="3449" spans="1:3">
      <c r="A3449" s="62">
        <v>26779</v>
      </c>
      <c r="B3449">
        <v>0.70530000000000004</v>
      </c>
      <c r="C3449" t="str">
        <f t="shared" si="58"/>
        <v>1973 q2</v>
      </c>
    </row>
    <row r="3450" spans="1:3">
      <c r="A3450" s="62">
        <v>26780</v>
      </c>
      <c r="B3450">
        <v>0.7016</v>
      </c>
      <c r="C3450" t="str">
        <f t="shared" si="58"/>
        <v>1973 q2</v>
      </c>
    </row>
    <row r="3451" spans="1:3">
      <c r="A3451" s="62">
        <v>26781</v>
      </c>
      <c r="B3451">
        <v>0.69799999999999995</v>
      </c>
      <c r="C3451" t="str">
        <f t="shared" si="58"/>
        <v>1973 q2</v>
      </c>
    </row>
    <row r="3452" spans="1:3">
      <c r="A3452" s="62">
        <v>26784</v>
      </c>
      <c r="B3452">
        <v>0.67700000000000005</v>
      </c>
      <c r="C3452" t="str">
        <f t="shared" si="58"/>
        <v>1973 q2</v>
      </c>
    </row>
    <row r="3453" spans="1:3">
      <c r="A3453" s="62">
        <v>26785</v>
      </c>
      <c r="B3453">
        <v>0.66549999999999998</v>
      </c>
      <c r="C3453" t="str">
        <f t="shared" si="58"/>
        <v>1973 q2</v>
      </c>
    </row>
    <row r="3454" spans="1:3">
      <c r="A3454" s="62">
        <v>26786</v>
      </c>
      <c r="B3454">
        <v>0.67249999999999999</v>
      </c>
      <c r="C3454" t="str">
        <f t="shared" si="58"/>
        <v>1973 q2</v>
      </c>
    </row>
    <row r="3455" spans="1:3">
      <c r="A3455" s="62">
        <v>26787</v>
      </c>
      <c r="B3455">
        <v>0.6875</v>
      </c>
      <c r="C3455" t="str">
        <f t="shared" si="58"/>
        <v>1973 q2</v>
      </c>
    </row>
    <row r="3456" spans="1:3">
      <c r="A3456" s="62">
        <v>26788</v>
      </c>
      <c r="B3456">
        <v>0.67500000000000004</v>
      </c>
      <c r="C3456" t="str">
        <f t="shared" si="58"/>
        <v>1973 q2</v>
      </c>
    </row>
    <row r="3457" spans="1:3">
      <c r="A3457" s="62">
        <v>26791</v>
      </c>
      <c r="B3457">
        <v>0.65500000000000003</v>
      </c>
      <c r="C3457" t="str">
        <f t="shared" si="58"/>
        <v>1973 q2</v>
      </c>
    </row>
    <row r="3458" spans="1:3">
      <c r="A3458" s="62">
        <v>26792</v>
      </c>
      <c r="B3458">
        <v>0.64549999999999996</v>
      </c>
      <c r="C3458" t="str">
        <f t="shared" si="58"/>
        <v>1973 q2</v>
      </c>
    </row>
    <row r="3459" spans="1:3">
      <c r="A3459" s="62">
        <v>26793</v>
      </c>
      <c r="B3459">
        <v>0.66500000000000004</v>
      </c>
      <c r="C3459" t="str">
        <f t="shared" si="58"/>
        <v>1973 q2</v>
      </c>
    </row>
    <row r="3460" spans="1:3">
      <c r="A3460" s="62">
        <v>26794</v>
      </c>
      <c r="B3460">
        <v>0.65900000000000003</v>
      </c>
      <c r="C3460" t="str">
        <f t="shared" si="58"/>
        <v>1973 q2</v>
      </c>
    </row>
    <row r="3461" spans="1:3">
      <c r="A3461" s="62">
        <v>26795</v>
      </c>
      <c r="B3461">
        <v>0.65300000000000002</v>
      </c>
      <c r="C3461" t="str">
        <f t="shared" si="58"/>
        <v>1973 q2</v>
      </c>
    </row>
    <row r="3462" spans="1:3">
      <c r="A3462" s="62">
        <v>26798</v>
      </c>
      <c r="B3462">
        <v>0.65700000000000003</v>
      </c>
      <c r="C3462" t="str">
        <f t="shared" si="58"/>
        <v>1973 q2</v>
      </c>
    </row>
    <row r="3463" spans="1:3">
      <c r="A3463" s="62">
        <v>26799</v>
      </c>
      <c r="B3463">
        <v>0.67700000000000005</v>
      </c>
      <c r="C3463" t="str">
        <f t="shared" si="58"/>
        <v>1973 q2</v>
      </c>
    </row>
    <row r="3464" spans="1:3">
      <c r="A3464" s="62">
        <v>26800</v>
      </c>
      <c r="B3464">
        <v>0.66700000000000004</v>
      </c>
      <c r="C3464" t="str">
        <f t="shared" si="58"/>
        <v>1973 q2</v>
      </c>
    </row>
    <row r="3465" spans="1:3">
      <c r="A3465" s="62">
        <v>26801</v>
      </c>
      <c r="B3465">
        <v>0.68</v>
      </c>
      <c r="C3465" t="str">
        <f t="shared" si="58"/>
        <v>1973 q2</v>
      </c>
    </row>
    <row r="3466" spans="1:3">
      <c r="A3466" s="62">
        <v>26802</v>
      </c>
      <c r="B3466">
        <v>0.6865</v>
      </c>
      <c r="C3466" t="str">
        <f t="shared" si="58"/>
        <v>1973 q2</v>
      </c>
    </row>
    <row r="3467" spans="1:3">
      <c r="A3467" s="62">
        <v>26805</v>
      </c>
      <c r="B3467">
        <v>0.70650000000000002</v>
      </c>
      <c r="C3467" t="str">
        <f t="shared" si="58"/>
        <v>1973 q2</v>
      </c>
    </row>
    <row r="3468" spans="1:3">
      <c r="A3468" s="62">
        <v>26806</v>
      </c>
      <c r="B3468">
        <v>0.72499999999999998</v>
      </c>
      <c r="C3468" t="str">
        <f t="shared" si="58"/>
        <v>1973 q2</v>
      </c>
    </row>
    <row r="3469" spans="1:3">
      <c r="A3469" s="62">
        <v>26807</v>
      </c>
      <c r="B3469">
        <v>0.71150000000000002</v>
      </c>
      <c r="C3469" t="str">
        <f t="shared" si="58"/>
        <v>1973 q2</v>
      </c>
    </row>
    <row r="3470" spans="1:3">
      <c r="A3470" s="62">
        <v>26808</v>
      </c>
      <c r="B3470">
        <v>0.69750000000000001</v>
      </c>
      <c r="C3470" t="str">
        <f t="shared" si="58"/>
        <v>1973 q2</v>
      </c>
    </row>
    <row r="3471" spans="1:3">
      <c r="A3471" s="62">
        <v>26809</v>
      </c>
      <c r="B3471">
        <v>0.71499999999999997</v>
      </c>
      <c r="C3471" t="str">
        <f t="shared" si="58"/>
        <v>1973 q2</v>
      </c>
    </row>
    <row r="3472" spans="1:3">
      <c r="A3472" s="62">
        <v>26813</v>
      </c>
      <c r="B3472">
        <v>0.70650000000000002</v>
      </c>
      <c r="C3472" t="str">
        <f t="shared" si="58"/>
        <v>1973 q2</v>
      </c>
    </row>
    <row r="3473" spans="1:3">
      <c r="A3473" s="62">
        <v>26814</v>
      </c>
      <c r="B3473">
        <v>0.71050000000000002</v>
      </c>
      <c r="C3473" t="str">
        <f t="shared" si="58"/>
        <v>1973 q2</v>
      </c>
    </row>
    <row r="3474" spans="1:3">
      <c r="A3474" s="62">
        <v>26815</v>
      </c>
      <c r="B3474">
        <v>0.71450000000000002</v>
      </c>
      <c r="C3474" t="str">
        <f t="shared" ref="C3474:C3537" si="59">YEAR(A3474)&amp;" q"&amp;ROUNDUP(MONTH(A3474)/3,0)</f>
        <v>1973 q2</v>
      </c>
    </row>
    <row r="3475" spans="1:3">
      <c r="A3475" s="62">
        <v>26816</v>
      </c>
      <c r="B3475">
        <v>0.71499999999999997</v>
      </c>
      <c r="C3475" t="str">
        <f t="shared" si="59"/>
        <v>1973 q2</v>
      </c>
    </row>
    <row r="3476" spans="1:3">
      <c r="A3476" s="62">
        <v>26819</v>
      </c>
      <c r="B3476">
        <v>0.73499999999999999</v>
      </c>
      <c r="C3476" t="str">
        <f t="shared" si="59"/>
        <v>1973 q2</v>
      </c>
    </row>
    <row r="3477" spans="1:3">
      <c r="A3477" s="62">
        <v>26820</v>
      </c>
      <c r="B3477">
        <v>0.75049999999999994</v>
      </c>
      <c r="C3477" t="str">
        <f t="shared" si="59"/>
        <v>1973 q2</v>
      </c>
    </row>
    <row r="3478" spans="1:3">
      <c r="A3478" s="62">
        <v>26821</v>
      </c>
      <c r="B3478">
        <v>0.73799999999999999</v>
      </c>
      <c r="C3478" t="str">
        <f t="shared" si="59"/>
        <v>1973 q2</v>
      </c>
    </row>
    <row r="3479" spans="1:3">
      <c r="A3479" s="62">
        <v>26822</v>
      </c>
      <c r="B3479">
        <v>0.751</v>
      </c>
      <c r="C3479" t="str">
        <f t="shared" si="59"/>
        <v>1973 q2</v>
      </c>
    </row>
    <row r="3480" spans="1:3">
      <c r="A3480" s="62">
        <v>26823</v>
      </c>
      <c r="B3480">
        <v>0.77100000000000002</v>
      </c>
      <c r="C3480" t="str">
        <f t="shared" si="59"/>
        <v>1973 q2</v>
      </c>
    </row>
    <row r="3481" spans="1:3">
      <c r="A3481" s="62">
        <v>26826</v>
      </c>
      <c r="B3481">
        <v>0.77200000000000002</v>
      </c>
      <c r="C3481" t="str">
        <f t="shared" si="59"/>
        <v>1973 q2</v>
      </c>
    </row>
    <row r="3482" spans="1:3">
      <c r="A3482" s="62">
        <v>26827</v>
      </c>
      <c r="B3482">
        <v>0.76549999999999996</v>
      </c>
      <c r="C3482" t="str">
        <f t="shared" si="59"/>
        <v>1973 q2</v>
      </c>
    </row>
    <row r="3483" spans="1:3">
      <c r="A3483" s="62">
        <v>26828</v>
      </c>
      <c r="B3483">
        <v>0.74550000000000005</v>
      </c>
      <c r="C3483" t="str">
        <f t="shared" si="59"/>
        <v>1973 q2</v>
      </c>
    </row>
    <row r="3484" spans="1:3">
      <c r="A3484" s="62">
        <v>26829</v>
      </c>
      <c r="B3484">
        <v>0.73399999999999999</v>
      </c>
      <c r="C3484" t="str">
        <f t="shared" si="59"/>
        <v>1973 q2</v>
      </c>
    </row>
    <row r="3485" spans="1:3">
      <c r="A3485" s="62">
        <v>26830</v>
      </c>
      <c r="B3485">
        <v>0.745</v>
      </c>
      <c r="C3485" t="str">
        <f t="shared" si="59"/>
        <v>1973 q2</v>
      </c>
    </row>
    <row r="3486" spans="1:3">
      <c r="A3486" s="62">
        <v>26833</v>
      </c>
      <c r="B3486">
        <v>0.74399999999999999</v>
      </c>
      <c r="C3486" t="str">
        <f t="shared" si="59"/>
        <v>1973 q2</v>
      </c>
    </row>
    <row r="3487" spans="1:3">
      <c r="A3487" s="62">
        <v>26834</v>
      </c>
      <c r="B3487">
        <v>0.73750000000000004</v>
      </c>
      <c r="C3487" t="str">
        <f t="shared" si="59"/>
        <v>1973 q2</v>
      </c>
    </row>
    <row r="3488" spans="1:3">
      <c r="A3488" s="62">
        <v>26835</v>
      </c>
      <c r="B3488">
        <v>0.74750000000000005</v>
      </c>
      <c r="C3488" t="str">
        <f t="shared" si="59"/>
        <v>1973 q2</v>
      </c>
    </row>
    <row r="3489" spans="1:3">
      <c r="A3489" s="62">
        <v>26836</v>
      </c>
      <c r="B3489">
        <v>0.76749999999999996</v>
      </c>
      <c r="C3489" t="str">
        <f t="shared" si="59"/>
        <v>1973 q2</v>
      </c>
    </row>
    <row r="3490" spans="1:3">
      <c r="A3490" s="62">
        <v>26837</v>
      </c>
      <c r="B3490">
        <v>0.76600000000000001</v>
      </c>
      <c r="C3490" t="str">
        <f t="shared" si="59"/>
        <v>1973 q2</v>
      </c>
    </row>
    <row r="3491" spans="1:3">
      <c r="A3491" s="62">
        <v>26840</v>
      </c>
      <c r="B3491">
        <v>0.78600000000000003</v>
      </c>
      <c r="C3491" t="str">
        <f t="shared" si="59"/>
        <v>1973 q2</v>
      </c>
    </row>
    <row r="3492" spans="1:3">
      <c r="A3492" s="62">
        <v>26841</v>
      </c>
      <c r="B3492">
        <v>0.79590000000000005</v>
      </c>
      <c r="C3492" t="str">
        <f t="shared" si="59"/>
        <v>1973 q2</v>
      </c>
    </row>
    <row r="3493" spans="1:3">
      <c r="A3493" s="62">
        <v>26842</v>
      </c>
      <c r="B3493">
        <v>0.79190000000000005</v>
      </c>
      <c r="C3493" t="str">
        <f t="shared" si="59"/>
        <v>1973 q2</v>
      </c>
    </row>
    <row r="3494" spans="1:3">
      <c r="A3494" s="62">
        <v>26843</v>
      </c>
      <c r="B3494">
        <v>0.77529999999999999</v>
      </c>
      <c r="C3494" t="str">
        <f t="shared" si="59"/>
        <v>1973 q2</v>
      </c>
    </row>
    <row r="3495" spans="1:3">
      <c r="A3495" s="62">
        <v>26844</v>
      </c>
      <c r="B3495">
        <v>0.78979999999999995</v>
      </c>
      <c r="C3495" t="str">
        <f t="shared" si="59"/>
        <v>1973 q2</v>
      </c>
    </row>
    <row r="3496" spans="1:3">
      <c r="A3496" s="62">
        <v>26847</v>
      </c>
      <c r="B3496">
        <v>0.78</v>
      </c>
      <c r="C3496" t="str">
        <f t="shared" si="59"/>
        <v>1973 q3</v>
      </c>
    </row>
    <row r="3497" spans="1:3">
      <c r="A3497" s="62">
        <v>26848</v>
      </c>
      <c r="B3497">
        <v>0.79349999999999998</v>
      </c>
      <c r="C3497" t="str">
        <f t="shared" si="59"/>
        <v>1973 q3</v>
      </c>
    </row>
    <row r="3498" spans="1:3">
      <c r="A3498" s="62">
        <v>26850</v>
      </c>
      <c r="B3498">
        <v>0.79500000000000004</v>
      </c>
      <c r="C3498" t="str">
        <f t="shared" si="59"/>
        <v>1973 q3</v>
      </c>
    </row>
    <row r="3499" spans="1:3">
      <c r="A3499" s="62">
        <v>26851</v>
      </c>
      <c r="B3499">
        <v>0.79600000000000004</v>
      </c>
      <c r="C3499" t="str">
        <f t="shared" si="59"/>
        <v>1973 q3</v>
      </c>
    </row>
    <row r="3500" spans="1:3">
      <c r="A3500" s="62">
        <v>26854</v>
      </c>
      <c r="B3500">
        <v>0.80449999999999999</v>
      </c>
      <c r="C3500" t="str">
        <f t="shared" si="59"/>
        <v>1973 q3</v>
      </c>
    </row>
    <row r="3501" spans="1:3">
      <c r="A3501" s="62">
        <v>26855</v>
      </c>
      <c r="B3501">
        <v>0.82450000000000001</v>
      </c>
      <c r="C3501" t="str">
        <f t="shared" si="59"/>
        <v>1973 q3</v>
      </c>
    </row>
    <row r="3502" spans="1:3">
      <c r="A3502" s="62">
        <v>26856</v>
      </c>
      <c r="B3502">
        <v>0.84450000000000003</v>
      </c>
      <c r="C3502" t="str">
        <f t="shared" si="59"/>
        <v>1973 q3</v>
      </c>
    </row>
    <row r="3503" spans="1:3">
      <c r="A3503" s="62">
        <v>26857</v>
      </c>
      <c r="B3503">
        <v>0.86450000000000005</v>
      </c>
      <c r="C3503" t="str">
        <f t="shared" si="59"/>
        <v>1973 q3</v>
      </c>
    </row>
    <row r="3504" spans="1:3">
      <c r="A3504" s="62">
        <v>26858</v>
      </c>
      <c r="B3504">
        <v>0.86599999999999999</v>
      </c>
      <c r="C3504" t="str">
        <f t="shared" si="59"/>
        <v>1973 q3</v>
      </c>
    </row>
    <row r="3505" spans="1:3">
      <c r="A3505" s="62">
        <v>26861</v>
      </c>
      <c r="B3505">
        <v>0.85899999999999999</v>
      </c>
      <c r="C3505" t="str">
        <f t="shared" si="59"/>
        <v>1973 q3</v>
      </c>
    </row>
    <row r="3506" spans="1:3">
      <c r="A3506" s="62">
        <v>26862</v>
      </c>
      <c r="B3506">
        <v>0.879</v>
      </c>
      <c r="C3506" t="str">
        <f t="shared" si="59"/>
        <v>1973 q3</v>
      </c>
    </row>
    <row r="3507" spans="1:3">
      <c r="A3507" s="62">
        <v>26863</v>
      </c>
      <c r="B3507">
        <v>0.89900000000000002</v>
      </c>
      <c r="C3507" t="str">
        <f t="shared" si="59"/>
        <v>1973 q3</v>
      </c>
    </row>
    <row r="3508" spans="1:3">
      <c r="A3508" s="62">
        <v>26864</v>
      </c>
      <c r="B3508">
        <v>0.89600000000000002</v>
      </c>
      <c r="C3508" t="str">
        <f t="shared" si="59"/>
        <v>1973 q3</v>
      </c>
    </row>
    <row r="3509" spans="1:3">
      <c r="A3509" s="62">
        <v>26865</v>
      </c>
      <c r="B3509">
        <v>0.91600000000000004</v>
      </c>
      <c r="C3509" t="str">
        <f t="shared" si="59"/>
        <v>1973 q3</v>
      </c>
    </row>
    <row r="3510" spans="1:3">
      <c r="A3510" s="62">
        <v>26868</v>
      </c>
      <c r="B3510">
        <v>0.93600000000000005</v>
      </c>
      <c r="C3510" t="str">
        <f t="shared" si="59"/>
        <v>1973 q3</v>
      </c>
    </row>
    <row r="3511" spans="1:3">
      <c r="A3511" s="62">
        <v>26869</v>
      </c>
      <c r="B3511">
        <v>0.93600000000000005</v>
      </c>
      <c r="C3511" t="str">
        <f t="shared" si="59"/>
        <v>1973 q3</v>
      </c>
    </row>
    <row r="3512" spans="1:3">
      <c r="A3512" s="62">
        <v>26870</v>
      </c>
      <c r="B3512">
        <v>0.91600000000000004</v>
      </c>
      <c r="C3512" t="str">
        <f t="shared" si="59"/>
        <v>1973 q3</v>
      </c>
    </row>
    <row r="3513" spans="1:3">
      <c r="A3513" s="62">
        <v>26871</v>
      </c>
      <c r="B3513">
        <v>0.89600000000000002</v>
      </c>
      <c r="C3513" t="str">
        <f t="shared" si="59"/>
        <v>1973 q3</v>
      </c>
    </row>
    <row r="3514" spans="1:3">
      <c r="A3514" s="62">
        <v>26872</v>
      </c>
      <c r="B3514">
        <v>0.876</v>
      </c>
      <c r="C3514" t="str">
        <f t="shared" si="59"/>
        <v>1973 q3</v>
      </c>
    </row>
    <row r="3515" spans="1:3">
      <c r="A3515" s="62">
        <v>26875</v>
      </c>
      <c r="B3515">
        <v>0.85599999999999998</v>
      </c>
      <c r="C3515" t="str">
        <f t="shared" si="59"/>
        <v>1973 q3</v>
      </c>
    </row>
    <row r="3516" spans="1:3">
      <c r="A3516" s="62">
        <v>26876</v>
      </c>
      <c r="B3516">
        <v>0.876</v>
      </c>
      <c r="C3516" t="str">
        <f t="shared" si="59"/>
        <v>1973 q3</v>
      </c>
    </row>
    <row r="3517" spans="1:3">
      <c r="A3517" s="62">
        <v>26877</v>
      </c>
      <c r="B3517">
        <v>0.89600000000000002</v>
      </c>
      <c r="C3517" t="str">
        <f t="shared" si="59"/>
        <v>1973 q3</v>
      </c>
    </row>
    <row r="3518" spans="1:3">
      <c r="A3518" s="62">
        <v>26878</v>
      </c>
      <c r="B3518">
        <v>0.91600000000000004</v>
      </c>
      <c r="C3518" t="str">
        <f t="shared" si="59"/>
        <v>1973 q3</v>
      </c>
    </row>
    <row r="3519" spans="1:3">
      <c r="A3519" s="62">
        <v>26879</v>
      </c>
      <c r="B3519">
        <v>0.9345</v>
      </c>
      <c r="C3519" t="str">
        <f t="shared" si="59"/>
        <v>1973 q3</v>
      </c>
    </row>
    <row r="3520" spans="1:3">
      <c r="A3520" s="62">
        <v>26882</v>
      </c>
      <c r="B3520">
        <v>0.9375</v>
      </c>
      <c r="C3520" t="str">
        <f t="shared" si="59"/>
        <v>1973 q3</v>
      </c>
    </row>
    <row r="3521" spans="1:3">
      <c r="A3521" s="62">
        <v>26883</v>
      </c>
      <c r="B3521">
        <v>0.91749999999999998</v>
      </c>
      <c r="C3521" t="str">
        <f t="shared" si="59"/>
        <v>1973 q3</v>
      </c>
    </row>
    <row r="3522" spans="1:3">
      <c r="A3522" s="62">
        <v>26884</v>
      </c>
      <c r="B3522">
        <v>0.9</v>
      </c>
      <c r="C3522" t="str">
        <f t="shared" si="59"/>
        <v>1973 q3</v>
      </c>
    </row>
    <row r="3523" spans="1:3">
      <c r="A3523" s="62">
        <v>26885</v>
      </c>
      <c r="B3523">
        <v>0.89400000000000002</v>
      </c>
      <c r="C3523" t="str">
        <f t="shared" si="59"/>
        <v>1973 q3</v>
      </c>
    </row>
    <row r="3524" spans="1:3">
      <c r="A3524" s="62">
        <v>26886</v>
      </c>
      <c r="B3524">
        <v>0.91400000000000003</v>
      </c>
      <c r="C3524" t="str">
        <f t="shared" si="59"/>
        <v>1973 q3</v>
      </c>
    </row>
    <row r="3525" spans="1:3">
      <c r="A3525" s="62">
        <v>26889</v>
      </c>
      <c r="B3525">
        <v>0.88700000000000001</v>
      </c>
      <c r="C3525" t="str">
        <f t="shared" si="59"/>
        <v>1973 q3</v>
      </c>
    </row>
    <row r="3526" spans="1:3">
      <c r="A3526" s="62">
        <v>26890</v>
      </c>
      <c r="B3526">
        <v>0.877</v>
      </c>
      <c r="C3526" t="str">
        <f t="shared" si="59"/>
        <v>1973 q3</v>
      </c>
    </row>
    <row r="3527" spans="1:3">
      <c r="A3527" s="62">
        <v>26891</v>
      </c>
      <c r="B3527">
        <v>0.90249999999999997</v>
      </c>
      <c r="C3527" t="str">
        <f t="shared" si="59"/>
        <v>1973 q3</v>
      </c>
    </row>
    <row r="3528" spans="1:3">
      <c r="A3528" s="62">
        <v>26892</v>
      </c>
      <c r="B3528">
        <v>0.88800000000000001</v>
      </c>
      <c r="C3528" t="str">
        <f t="shared" si="59"/>
        <v>1973 q3</v>
      </c>
    </row>
    <row r="3529" spans="1:3">
      <c r="A3529" s="62">
        <v>26893</v>
      </c>
      <c r="B3529">
        <v>0.88100000000000001</v>
      </c>
      <c r="C3529" t="str">
        <f t="shared" si="59"/>
        <v>1973 q3</v>
      </c>
    </row>
    <row r="3530" spans="1:3">
      <c r="A3530" s="62">
        <v>26896</v>
      </c>
      <c r="B3530">
        <v>0.90900000000000003</v>
      </c>
      <c r="C3530" t="str">
        <f t="shared" si="59"/>
        <v>1973 q3</v>
      </c>
    </row>
    <row r="3531" spans="1:3">
      <c r="A3531" s="62">
        <v>26897</v>
      </c>
      <c r="B3531">
        <v>0.88100000000000001</v>
      </c>
      <c r="C3531" t="str">
        <f t="shared" si="59"/>
        <v>1973 q3</v>
      </c>
    </row>
    <row r="3532" spans="1:3">
      <c r="A3532" s="62">
        <v>26898</v>
      </c>
      <c r="B3532">
        <v>0.85099999999999998</v>
      </c>
      <c r="C3532" t="str">
        <f t="shared" si="59"/>
        <v>1973 q3</v>
      </c>
    </row>
    <row r="3533" spans="1:3">
      <c r="A3533" s="62">
        <v>26899</v>
      </c>
      <c r="B3533">
        <v>0.82099999999999995</v>
      </c>
      <c r="C3533" t="str">
        <f t="shared" si="59"/>
        <v>1973 q3</v>
      </c>
    </row>
    <row r="3534" spans="1:3">
      <c r="A3534" s="62">
        <v>26900</v>
      </c>
      <c r="B3534">
        <v>0.83799999999999997</v>
      </c>
      <c r="C3534" t="str">
        <f t="shared" si="59"/>
        <v>1973 q3</v>
      </c>
    </row>
    <row r="3535" spans="1:3">
      <c r="A3535" s="62">
        <v>26903</v>
      </c>
      <c r="B3535">
        <v>0.84050000000000002</v>
      </c>
      <c r="C3535" t="str">
        <f t="shared" si="59"/>
        <v>1973 q3</v>
      </c>
    </row>
    <row r="3536" spans="1:3">
      <c r="A3536" s="62">
        <v>26904</v>
      </c>
      <c r="B3536">
        <v>0.81</v>
      </c>
      <c r="C3536" t="str">
        <f t="shared" si="59"/>
        <v>1973 q3</v>
      </c>
    </row>
    <row r="3537" spans="1:3">
      <c r="A3537" s="62">
        <v>26905</v>
      </c>
      <c r="B3537">
        <v>0.80620000000000003</v>
      </c>
      <c r="C3537" t="str">
        <f t="shared" si="59"/>
        <v>1973 q3</v>
      </c>
    </row>
    <row r="3538" spans="1:3">
      <c r="A3538" s="62">
        <v>26906</v>
      </c>
      <c r="B3538">
        <v>0.81410000000000005</v>
      </c>
      <c r="C3538" t="str">
        <f t="shared" ref="C3538:C3601" si="60">YEAR(A3538)&amp;" q"&amp;ROUNDUP(MONTH(A3538)/3,0)</f>
        <v>1973 q3</v>
      </c>
    </row>
    <row r="3539" spans="1:3">
      <c r="A3539" s="62">
        <v>26907</v>
      </c>
      <c r="B3539">
        <v>0.82699999999999996</v>
      </c>
      <c r="C3539" t="str">
        <f t="shared" si="60"/>
        <v>1973 q3</v>
      </c>
    </row>
    <row r="3540" spans="1:3">
      <c r="A3540" s="62">
        <v>26911</v>
      </c>
      <c r="B3540">
        <v>0.78400000000000003</v>
      </c>
      <c r="C3540" t="str">
        <f t="shared" si="60"/>
        <v>1973 q3</v>
      </c>
    </row>
    <row r="3541" spans="1:3">
      <c r="A3541" s="62">
        <v>26912</v>
      </c>
      <c r="B3541">
        <v>0.77</v>
      </c>
      <c r="C3541" t="str">
        <f t="shared" si="60"/>
        <v>1973 q3</v>
      </c>
    </row>
    <row r="3542" spans="1:3">
      <c r="A3542" s="62">
        <v>26913</v>
      </c>
      <c r="B3542">
        <v>0.76</v>
      </c>
      <c r="C3542" t="str">
        <f t="shared" si="60"/>
        <v>1973 q3</v>
      </c>
    </row>
    <row r="3543" spans="1:3">
      <c r="A3543" s="62">
        <v>26914</v>
      </c>
      <c r="B3543">
        <v>0.77400000000000002</v>
      </c>
      <c r="C3543" t="str">
        <f t="shared" si="60"/>
        <v>1973 q3</v>
      </c>
    </row>
    <row r="3544" spans="1:3">
      <c r="A3544" s="62">
        <v>26917</v>
      </c>
      <c r="B3544">
        <v>0.754</v>
      </c>
      <c r="C3544" t="str">
        <f t="shared" si="60"/>
        <v>1973 q3</v>
      </c>
    </row>
    <row r="3545" spans="1:3">
      <c r="A3545" s="62">
        <v>26918</v>
      </c>
      <c r="B3545">
        <v>0.78249999999999997</v>
      </c>
      <c r="C3545" t="str">
        <f t="shared" si="60"/>
        <v>1973 q3</v>
      </c>
    </row>
    <row r="3546" spans="1:3">
      <c r="A3546" s="62">
        <v>26919</v>
      </c>
      <c r="B3546">
        <v>0.76900000000000002</v>
      </c>
      <c r="C3546" t="str">
        <f t="shared" si="60"/>
        <v>1973 q3</v>
      </c>
    </row>
    <row r="3547" spans="1:3">
      <c r="A3547" s="62">
        <v>26920</v>
      </c>
      <c r="B3547">
        <v>0.79900000000000004</v>
      </c>
      <c r="C3547" t="str">
        <f t="shared" si="60"/>
        <v>1973 q3</v>
      </c>
    </row>
    <row r="3548" spans="1:3">
      <c r="A3548" s="62">
        <v>26921</v>
      </c>
      <c r="B3548">
        <v>0.82899999999999996</v>
      </c>
      <c r="C3548" t="str">
        <f t="shared" si="60"/>
        <v>1973 q3</v>
      </c>
    </row>
    <row r="3549" spans="1:3">
      <c r="A3549" s="62">
        <v>26924</v>
      </c>
      <c r="B3549">
        <v>0.82150000000000001</v>
      </c>
      <c r="C3549" t="str">
        <f t="shared" si="60"/>
        <v>1973 q3</v>
      </c>
    </row>
    <row r="3550" spans="1:3">
      <c r="A3550" s="62">
        <v>26925</v>
      </c>
      <c r="B3550">
        <v>0.80249999999999999</v>
      </c>
      <c r="C3550" t="str">
        <f t="shared" si="60"/>
        <v>1973 q3</v>
      </c>
    </row>
    <row r="3551" spans="1:3">
      <c r="A3551" s="62">
        <v>26926</v>
      </c>
      <c r="B3551">
        <v>0.79100000000000004</v>
      </c>
      <c r="C3551" t="str">
        <f t="shared" si="60"/>
        <v>1973 q3</v>
      </c>
    </row>
    <row r="3552" spans="1:3">
      <c r="A3552" s="62">
        <v>26927</v>
      </c>
      <c r="B3552">
        <v>0.80700000000000005</v>
      </c>
      <c r="C3552" t="str">
        <f t="shared" si="60"/>
        <v>1973 q3</v>
      </c>
    </row>
    <row r="3553" spans="1:3">
      <c r="A3553" s="62">
        <v>26928</v>
      </c>
      <c r="B3553">
        <v>0.81299999999999994</v>
      </c>
      <c r="C3553" t="str">
        <f t="shared" si="60"/>
        <v>1973 q3</v>
      </c>
    </row>
    <row r="3554" spans="1:3">
      <c r="A3554" s="62">
        <v>26931</v>
      </c>
      <c r="B3554">
        <v>0.78300000000000003</v>
      </c>
      <c r="C3554" t="str">
        <f t="shared" si="60"/>
        <v>1973 q3</v>
      </c>
    </row>
    <row r="3555" spans="1:3">
      <c r="A3555" s="62">
        <v>26932</v>
      </c>
      <c r="B3555">
        <v>0.78500000000000003</v>
      </c>
      <c r="C3555" t="str">
        <f t="shared" si="60"/>
        <v>1973 q3</v>
      </c>
    </row>
    <row r="3556" spans="1:3">
      <c r="A3556" s="62">
        <v>26933</v>
      </c>
      <c r="B3556">
        <v>0.78449999999999998</v>
      </c>
      <c r="C3556" t="str">
        <f t="shared" si="60"/>
        <v>1973 q3</v>
      </c>
    </row>
    <row r="3557" spans="1:3">
      <c r="A3557" s="62">
        <v>26934</v>
      </c>
      <c r="B3557">
        <v>0.79300000000000004</v>
      </c>
      <c r="C3557" t="str">
        <f t="shared" si="60"/>
        <v>1973 q3</v>
      </c>
    </row>
    <row r="3558" spans="1:3">
      <c r="A3558" s="62">
        <v>26935</v>
      </c>
      <c r="B3558">
        <v>0.80900000000000005</v>
      </c>
      <c r="C3558" t="str">
        <f t="shared" si="60"/>
        <v>1973 q3</v>
      </c>
    </row>
    <row r="3559" spans="1:3">
      <c r="A3559" s="62">
        <v>26938</v>
      </c>
      <c r="B3559">
        <v>0.79649999999999999</v>
      </c>
      <c r="C3559" t="str">
        <f t="shared" si="60"/>
        <v>1973 q4</v>
      </c>
    </row>
    <row r="3560" spans="1:3">
      <c r="A3560" s="62">
        <v>26939</v>
      </c>
      <c r="B3560">
        <v>0.82399999999999995</v>
      </c>
      <c r="C3560" t="str">
        <f t="shared" si="60"/>
        <v>1973 q4</v>
      </c>
    </row>
    <row r="3561" spans="1:3">
      <c r="A3561" s="62">
        <v>26940</v>
      </c>
      <c r="B3561">
        <v>0.83950000000000002</v>
      </c>
      <c r="C3561" t="str">
        <f t="shared" si="60"/>
        <v>1973 q4</v>
      </c>
    </row>
    <row r="3562" spans="1:3">
      <c r="A3562" s="62">
        <v>26941</v>
      </c>
      <c r="B3562">
        <v>0.83599999999999997</v>
      </c>
      <c r="C3562" t="str">
        <f t="shared" si="60"/>
        <v>1973 q4</v>
      </c>
    </row>
    <row r="3563" spans="1:3">
      <c r="A3563" s="62">
        <v>26942</v>
      </c>
      <c r="B3563">
        <v>0.85699999999999998</v>
      </c>
      <c r="C3563" t="str">
        <f t="shared" si="60"/>
        <v>1973 q4</v>
      </c>
    </row>
    <row r="3564" spans="1:3">
      <c r="A3564" s="62">
        <v>26946</v>
      </c>
      <c r="B3564">
        <v>0.88500000000000001</v>
      </c>
      <c r="C3564" t="str">
        <f t="shared" si="60"/>
        <v>1973 q4</v>
      </c>
    </row>
    <row r="3565" spans="1:3">
      <c r="A3565" s="62">
        <v>26947</v>
      </c>
      <c r="B3565">
        <v>0.86</v>
      </c>
      <c r="C3565" t="str">
        <f t="shared" si="60"/>
        <v>1973 q4</v>
      </c>
    </row>
    <row r="3566" spans="1:3">
      <c r="A3566" s="62">
        <v>26948</v>
      </c>
      <c r="B3566">
        <v>0.86699999999999999</v>
      </c>
      <c r="C3566" t="str">
        <f t="shared" si="60"/>
        <v>1973 q4</v>
      </c>
    </row>
    <row r="3567" spans="1:3">
      <c r="A3567" s="62">
        <v>26949</v>
      </c>
      <c r="B3567">
        <v>0.89100000000000001</v>
      </c>
      <c r="C3567" t="str">
        <f t="shared" si="60"/>
        <v>1973 q4</v>
      </c>
    </row>
    <row r="3568" spans="1:3">
      <c r="A3568" s="62">
        <v>26952</v>
      </c>
      <c r="B3568">
        <v>0.89100000000000001</v>
      </c>
      <c r="C3568" t="str">
        <f t="shared" si="60"/>
        <v>1973 q4</v>
      </c>
    </row>
    <row r="3569" spans="1:3">
      <c r="A3569" s="62">
        <v>26953</v>
      </c>
      <c r="B3569">
        <v>0.91749999999999998</v>
      </c>
      <c r="C3569" t="str">
        <f t="shared" si="60"/>
        <v>1973 q4</v>
      </c>
    </row>
    <row r="3570" spans="1:3">
      <c r="A3570" s="62">
        <v>26954</v>
      </c>
      <c r="B3570">
        <v>0.90300000000000002</v>
      </c>
      <c r="C3570" t="str">
        <f t="shared" si="60"/>
        <v>1973 q4</v>
      </c>
    </row>
    <row r="3571" spans="1:3">
      <c r="A3571" s="62">
        <v>26955</v>
      </c>
      <c r="B3571">
        <v>0.91300000000000003</v>
      </c>
      <c r="C3571" t="str">
        <f t="shared" si="60"/>
        <v>1973 q4</v>
      </c>
    </row>
    <row r="3572" spans="1:3">
      <c r="A3572" s="62">
        <v>26956</v>
      </c>
      <c r="B3572">
        <v>0.90300000000000002</v>
      </c>
      <c r="C3572" t="str">
        <f t="shared" si="60"/>
        <v>1973 q4</v>
      </c>
    </row>
    <row r="3573" spans="1:3">
      <c r="A3573" s="62">
        <v>26960</v>
      </c>
      <c r="B3573">
        <v>0.91549999999999998</v>
      </c>
      <c r="C3573" t="str">
        <f t="shared" si="60"/>
        <v>1973 q4</v>
      </c>
    </row>
    <row r="3574" spans="1:3">
      <c r="A3574" s="62">
        <v>26961</v>
      </c>
      <c r="B3574">
        <v>0.90700000000000003</v>
      </c>
      <c r="C3574" t="str">
        <f t="shared" si="60"/>
        <v>1973 q4</v>
      </c>
    </row>
    <row r="3575" spans="1:3">
      <c r="A3575" s="62">
        <v>26962</v>
      </c>
      <c r="B3575">
        <v>0.89649999999999996</v>
      </c>
      <c r="C3575" t="str">
        <f t="shared" si="60"/>
        <v>1973 q4</v>
      </c>
    </row>
    <row r="3576" spans="1:3">
      <c r="A3576" s="62">
        <v>26963</v>
      </c>
      <c r="B3576">
        <v>0.89900000000000002</v>
      </c>
      <c r="C3576" t="str">
        <f t="shared" si="60"/>
        <v>1973 q4</v>
      </c>
    </row>
    <row r="3577" spans="1:3">
      <c r="A3577" s="62">
        <v>26966</v>
      </c>
      <c r="B3577">
        <v>0.88549999999999995</v>
      </c>
      <c r="C3577" t="str">
        <f t="shared" si="60"/>
        <v>1973 q4</v>
      </c>
    </row>
    <row r="3578" spans="1:3">
      <c r="A3578" s="62">
        <v>26967</v>
      </c>
      <c r="B3578">
        <v>0.90149999999999997</v>
      </c>
      <c r="C3578" t="str">
        <f t="shared" si="60"/>
        <v>1973 q4</v>
      </c>
    </row>
    <row r="3579" spans="1:3">
      <c r="A3579" s="62">
        <v>26968</v>
      </c>
      <c r="B3579">
        <v>0.92500000000000004</v>
      </c>
      <c r="C3579" t="str">
        <f t="shared" si="60"/>
        <v>1973 q4</v>
      </c>
    </row>
    <row r="3580" spans="1:3">
      <c r="A3580" s="62">
        <v>26969</v>
      </c>
      <c r="B3580">
        <v>0.93400000000000005</v>
      </c>
      <c r="C3580" t="str">
        <f t="shared" si="60"/>
        <v>1973 q4</v>
      </c>
    </row>
    <row r="3581" spans="1:3">
      <c r="A3581" s="62">
        <v>26970</v>
      </c>
      <c r="B3581">
        <v>0.93300000000000005</v>
      </c>
      <c r="C3581" t="str">
        <f t="shared" si="60"/>
        <v>1973 q4</v>
      </c>
    </row>
    <row r="3582" spans="1:3">
      <c r="A3582" s="62">
        <v>26973</v>
      </c>
      <c r="B3582">
        <v>0.94099999999999995</v>
      </c>
      <c r="C3582" t="str">
        <f t="shared" si="60"/>
        <v>1973 q4</v>
      </c>
    </row>
    <row r="3583" spans="1:3">
      <c r="A3583" s="62">
        <v>26975</v>
      </c>
      <c r="B3583">
        <v>0.93600000000000005</v>
      </c>
      <c r="C3583" t="str">
        <f t="shared" si="60"/>
        <v>1973 q4</v>
      </c>
    </row>
    <row r="3584" spans="1:3">
      <c r="A3584" s="62">
        <v>26976</v>
      </c>
      <c r="B3584">
        <v>0.95599999999999996</v>
      </c>
      <c r="C3584" t="str">
        <f t="shared" si="60"/>
        <v>1973 q4</v>
      </c>
    </row>
    <row r="3585" spans="1:3">
      <c r="A3585" s="62">
        <v>26977</v>
      </c>
      <c r="B3585">
        <v>0.96499999999999997</v>
      </c>
      <c r="C3585" t="str">
        <f t="shared" si="60"/>
        <v>1973 q4</v>
      </c>
    </row>
    <row r="3586" spans="1:3">
      <c r="A3586" s="62">
        <v>26980</v>
      </c>
      <c r="B3586">
        <v>0.95350000000000001</v>
      </c>
      <c r="C3586" t="str">
        <f t="shared" si="60"/>
        <v>1973 q4</v>
      </c>
    </row>
    <row r="3587" spans="1:3">
      <c r="A3587" s="62">
        <v>26981</v>
      </c>
      <c r="B3587">
        <v>0.95899999999999996</v>
      </c>
      <c r="C3587" t="str">
        <f t="shared" si="60"/>
        <v>1973 q4</v>
      </c>
    </row>
    <row r="3588" spans="1:3">
      <c r="A3588" s="62">
        <v>26982</v>
      </c>
      <c r="B3588">
        <v>0.98899999999999999</v>
      </c>
      <c r="C3588" t="str">
        <f t="shared" si="60"/>
        <v>1973 q4</v>
      </c>
    </row>
    <row r="3589" spans="1:3">
      <c r="A3589" s="62">
        <v>26983</v>
      </c>
      <c r="B3589">
        <v>0.99250000000000005</v>
      </c>
      <c r="C3589" t="str">
        <f t="shared" si="60"/>
        <v>1973 q4</v>
      </c>
    </row>
    <row r="3590" spans="1:3">
      <c r="A3590" s="62">
        <v>26984</v>
      </c>
      <c r="B3590">
        <v>0.99850000000000005</v>
      </c>
      <c r="C3590" t="str">
        <f t="shared" si="60"/>
        <v>1973 q4</v>
      </c>
    </row>
    <row r="3591" spans="1:3">
      <c r="A3591" s="62">
        <v>26987</v>
      </c>
      <c r="B3591">
        <v>1.0285</v>
      </c>
      <c r="C3591" t="str">
        <f t="shared" si="60"/>
        <v>1973 q4</v>
      </c>
    </row>
    <row r="3592" spans="1:3">
      <c r="A3592" s="62">
        <v>26988</v>
      </c>
      <c r="B3592">
        <v>1.0585</v>
      </c>
      <c r="C3592" t="str">
        <f t="shared" si="60"/>
        <v>1973 q4</v>
      </c>
    </row>
    <row r="3593" spans="1:3">
      <c r="A3593" s="62">
        <v>26989</v>
      </c>
      <c r="B3593">
        <v>1.0285</v>
      </c>
      <c r="C3593" t="str">
        <f t="shared" si="60"/>
        <v>1973 q4</v>
      </c>
    </row>
    <row r="3594" spans="1:3">
      <c r="A3594" s="62">
        <v>26991</v>
      </c>
      <c r="B3594">
        <v>0.99850000000000005</v>
      </c>
      <c r="C3594" t="str">
        <f t="shared" si="60"/>
        <v>1973 q4</v>
      </c>
    </row>
    <row r="3595" spans="1:3">
      <c r="A3595" s="62">
        <v>26994</v>
      </c>
      <c r="B3595">
        <v>0.96850000000000003</v>
      </c>
      <c r="C3595" t="str">
        <f t="shared" si="60"/>
        <v>1973 q4</v>
      </c>
    </row>
    <row r="3596" spans="1:3">
      <c r="A3596" s="62">
        <v>26995</v>
      </c>
      <c r="B3596">
        <v>0.96660000000000001</v>
      </c>
      <c r="C3596" t="str">
        <f t="shared" si="60"/>
        <v>1973 q4</v>
      </c>
    </row>
    <row r="3597" spans="1:3">
      <c r="A3597" s="62">
        <v>26996</v>
      </c>
      <c r="B3597">
        <v>0.98319999999999996</v>
      </c>
      <c r="C3597" t="str">
        <f t="shared" si="60"/>
        <v>1973 q4</v>
      </c>
    </row>
    <row r="3598" spans="1:3">
      <c r="A3598" s="62">
        <v>26997</v>
      </c>
      <c r="B3598">
        <v>0.99760000000000004</v>
      </c>
      <c r="C3598" t="str">
        <f t="shared" si="60"/>
        <v>1973 q4</v>
      </c>
    </row>
    <row r="3599" spans="1:3">
      <c r="A3599" s="62">
        <v>26998</v>
      </c>
      <c r="B3599">
        <v>0.96599999999999997</v>
      </c>
      <c r="C3599" t="str">
        <f t="shared" si="60"/>
        <v>1973 q4</v>
      </c>
    </row>
    <row r="3600" spans="1:3">
      <c r="A3600" s="62">
        <v>27001</v>
      </c>
      <c r="B3600">
        <v>0.94</v>
      </c>
      <c r="C3600" t="str">
        <f t="shared" si="60"/>
        <v>1973 q4</v>
      </c>
    </row>
    <row r="3601" spans="1:3">
      <c r="A3601" s="62">
        <v>27002</v>
      </c>
      <c r="B3601">
        <v>0.96499999999999997</v>
      </c>
      <c r="C3601" t="str">
        <f t="shared" si="60"/>
        <v>1973 q4</v>
      </c>
    </row>
    <row r="3602" spans="1:3">
      <c r="A3602" s="62">
        <v>27003</v>
      </c>
      <c r="B3602">
        <v>0.95299999999999996</v>
      </c>
      <c r="C3602" t="str">
        <f t="shared" ref="C3602:C3665" si="61">YEAR(A3602)&amp;" q"&amp;ROUNDUP(MONTH(A3602)/3,0)</f>
        <v>1973 q4</v>
      </c>
    </row>
    <row r="3603" spans="1:3">
      <c r="A3603" s="62">
        <v>27004</v>
      </c>
      <c r="B3603">
        <v>0.95199999999999996</v>
      </c>
      <c r="C3603" t="str">
        <f t="shared" si="61"/>
        <v>1973 q4</v>
      </c>
    </row>
    <row r="3604" spans="1:3">
      <c r="A3604" s="62">
        <v>27005</v>
      </c>
      <c r="B3604">
        <v>0.94550000000000001</v>
      </c>
      <c r="C3604" t="str">
        <f t="shared" si="61"/>
        <v>1973 q4</v>
      </c>
    </row>
    <row r="3605" spans="1:3">
      <c r="A3605" s="62">
        <v>27008</v>
      </c>
      <c r="B3605">
        <v>0.97550000000000003</v>
      </c>
      <c r="C3605" t="str">
        <f t="shared" si="61"/>
        <v>1973 q4</v>
      </c>
    </row>
    <row r="3606" spans="1:3">
      <c r="A3606" s="62">
        <v>27009</v>
      </c>
      <c r="B3606">
        <v>0.97199999999999998</v>
      </c>
      <c r="C3606" t="str">
        <f t="shared" si="61"/>
        <v>1973 q4</v>
      </c>
    </row>
    <row r="3607" spans="1:3">
      <c r="A3607" s="62">
        <v>27010</v>
      </c>
      <c r="B3607">
        <v>0.95199999999999996</v>
      </c>
      <c r="C3607" t="str">
        <f t="shared" si="61"/>
        <v>1973 q4</v>
      </c>
    </row>
    <row r="3608" spans="1:3">
      <c r="A3608" s="62">
        <v>27011</v>
      </c>
      <c r="B3608">
        <v>0.92200000000000004</v>
      </c>
      <c r="C3608" t="str">
        <f t="shared" si="61"/>
        <v>1973 q4</v>
      </c>
    </row>
    <row r="3609" spans="1:3">
      <c r="A3609" s="62">
        <v>27012</v>
      </c>
      <c r="B3609">
        <v>0.89200000000000002</v>
      </c>
      <c r="C3609" t="str">
        <f t="shared" si="61"/>
        <v>1973 q4</v>
      </c>
    </row>
    <row r="3610" spans="1:3">
      <c r="A3610" s="62">
        <v>27015</v>
      </c>
      <c r="B3610">
        <v>0.90600000000000003</v>
      </c>
      <c r="C3610" t="str">
        <f t="shared" si="61"/>
        <v>1973 q4</v>
      </c>
    </row>
    <row r="3611" spans="1:3">
      <c r="A3611" s="62">
        <v>27016</v>
      </c>
      <c r="B3611">
        <v>0.88600000000000001</v>
      </c>
      <c r="C3611" t="str">
        <f t="shared" si="61"/>
        <v>1973 q4</v>
      </c>
    </row>
    <row r="3612" spans="1:3">
      <c r="A3612" s="62">
        <v>27017</v>
      </c>
      <c r="B3612">
        <v>0.88500000000000001</v>
      </c>
      <c r="C3612" t="str">
        <f t="shared" si="61"/>
        <v>1973 q4</v>
      </c>
    </row>
    <row r="3613" spans="1:3">
      <c r="A3613" s="62">
        <v>27018</v>
      </c>
      <c r="B3613">
        <v>0.89249999999999996</v>
      </c>
      <c r="C3613" t="str">
        <f t="shared" si="61"/>
        <v>1973 q4</v>
      </c>
    </row>
    <row r="3614" spans="1:3">
      <c r="A3614" s="62">
        <v>27019</v>
      </c>
      <c r="B3614">
        <v>0.90200000000000002</v>
      </c>
      <c r="C3614" t="str">
        <f t="shared" si="61"/>
        <v>1973 q4</v>
      </c>
    </row>
    <row r="3615" spans="1:3">
      <c r="A3615" s="62">
        <v>27024</v>
      </c>
      <c r="B3615">
        <v>0.91339999999999999</v>
      </c>
      <c r="C3615" t="str">
        <f t="shared" si="61"/>
        <v>1973 q4</v>
      </c>
    </row>
    <row r="3616" spans="1:3">
      <c r="A3616" s="62">
        <v>27025</v>
      </c>
      <c r="B3616">
        <v>0.89280000000000004</v>
      </c>
      <c r="C3616" t="str">
        <f t="shared" si="61"/>
        <v>1973 q4</v>
      </c>
    </row>
    <row r="3617" spans="1:3">
      <c r="A3617" s="62">
        <v>27026</v>
      </c>
      <c r="B3617">
        <v>0.875</v>
      </c>
      <c r="C3617" t="str">
        <f t="shared" si="61"/>
        <v>1973 q4</v>
      </c>
    </row>
    <row r="3618" spans="1:3">
      <c r="A3618" s="62">
        <v>27029</v>
      </c>
      <c r="B3618">
        <v>0.86719999999999997</v>
      </c>
      <c r="C3618" t="str">
        <f t="shared" si="61"/>
        <v>1973 q4</v>
      </c>
    </row>
    <row r="3619" spans="1:3">
      <c r="A3619" s="62">
        <v>27031</v>
      </c>
      <c r="B3619">
        <v>0.85599999999999998</v>
      </c>
      <c r="C3619" t="str">
        <f t="shared" si="61"/>
        <v>1974 q1</v>
      </c>
    </row>
    <row r="3620" spans="1:3">
      <c r="A3620" s="62">
        <v>27032</v>
      </c>
      <c r="B3620">
        <v>0.88400000000000001</v>
      </c>
      <c r="C3620" t="str">
        <f t="shared" si="61"/>
        <v>1974 q1</v>
      </c>
    </row>
    <row r="3621" spans="1:3">
      <c r="A3621" s="62">
        <v>27033</v>
      </c>
      <c r="B3621">
        <v>0.86699999999999999</v>
      </c>
      <c r="C3621" t="str">
        <f t="shared" si="61"/>
        <v>1974 q1</v>
      </c>
    </row>
    <row r="3622" spans="1:3">
      <c r="A3622" s="62">
        <v>27036</v>
      </c>
      <c r="B3622">
        <v>0.89349999999999996</v>
      </c>
      <c r="C3622" t="str">
        <f t="shared" si="61"/>
        <v>1974 q1</v>
      </c>
    </row>
    <row r="3623" spans="1:3">
      <c r="A3623" s="62">
        <v>27037</v>
      </c>
      <c r="B3623">
        <v>0.874</v>
      </c>
      <c r="C3623" t="str">
        <f t="shared" si="61"/>
        <v>1974 q1</v>
      </c>
    </row>
    <row r="3624" spans="1:3">
      <c r="A3624" s="62">
        <v>27038</v>
      </c>
      <c r="B3624">
        <v>0.86050000000000004</v>
      </c>
      <c r="C3624" t="str">
        <f t="shared" si="61"/>
        <v>1974 q1</v>
      </c>
    </row>
    <row r="3625" spans="1:3">
      <c r="A3625" s="62">
        <v>27039</v>
      </c>
      <c r="B3625">
        <v>0.87250000000000005</v>
      </c>
      <c r="C3625" t="str">
        <f t="shared" si="61"/>
        <v>1974 q1</v>
      </c>
    </row>
    <row r="3626" spans="1:3">
      <c r="A3626" s="62">
        <v>27040</v>
      </c>
      <c r="B3626">
        <v>0.86299999999999999</v>
      </c>
      <c r="C3626" t="str">
        <f t="shared" si="61"/>
        <v>1974 q1</v>
      </c>
    </row>
    <row r="3627" spans="1:3">
      <c r="A3627" s="62">
        <v>27043</v>
      </c>
      <c r="B3627">
        <v>0.87849999999999995</v>
      </c>
      <c r="C3627" t="str">
        <f t="shared" si="61"/>
        <v>1974 q1</v>
      </c>
    </row>
    <row r="3628" spans="1:3">
      <c r="A3628" s="62">
        <v>27044</v>
      </c>
      <c r="B3628">
        <v>0.85599999999999998</v>
      </c>
      <c r="C3628" t="str">
        <f t="shared" si="61"/>
        <v>1974 q1</v>
      </c>
    </row>
    <row r="3629" spans="1:3">
      <c r="A3629" s="62">
        <v>27045</v>
      </c>
      <c r="B3629">
        <v>0.84</v>
      </c>
      <c r="C3629" t="str">
        <f t="shared" si="61"/>
        <v>1974 q1</v>
      </c>
    </row>
    <row r="3630" spans="1:3">
      <c r="A3630" s="62">
        <v>27046</v>
      </c>
      <c r="B3630">
        <v>0.85699999999999998</v>
      </c>
      <c r="C3630" t="str">
        <f t="shared" si="61"/>
        <v>1974 q1</v>
      </c>
    </row>
    <row r="3631" spans="1:3">
      <c r="A3631" s="62">
        <v>27047</v>
      </c>
      <c r="B3631">
        <v>0.86750000000000005</v>
      </c>
      <c r="C3631" t="str">
        <f t="shared" si="61"/>
        <v>1974 q1</v>
      </c>
    </row>
    <row r="3632" spans="1:3">
      <c r="A3632" s="62">
        <v>27050</v>
      </c>
      <c r="B3632">
        <v>0.88600000000000001</v>
      </c>
      <c r="C3632" t="str">
        <f t="shared" si="61"/>
        <v>1974 q1</v>
      </c>
    </row>
    <row r="3633" spans="1:3">
      <c r="A3633" s="62">
        <v>27051</v>
      </c>
      <c r="B3633">
        <v>0.87450000000000006</v>
      </c>
      <c r="C3633" t="str">
        <f t="shared" si="61"/>
        <v>1974 q1</v>
      </c>
    </row>
    <row r="3634" spans="1:3">
      <c r="A3634" s="62">
        <v>27052</v>
      </c>
      <c r="B3634">
        <v>0.871</v>
      </c>
      <c r="C3634" t="str">
        <f t="shared" si="61"/>
        <v>1974 q1</v>
      </c>
    </row>
    <row r="3635" spans="1:3">
      <c r="A3635" s="62">
        <v>27053</v>
      </c>
      <c r="B3635">
        <v>0.90100000000000002</v>
      </c>
      <c r="C3635" t="str">
        <f t="shared" si="61"/>
        <v>1974 q1</v>
      </c>
    </row>
    <row r="3636" spans="1:3">
      <c r="A3636" s="62">
        <v>27054</v>
      </c>
      <c r="B3636">
        <v>0.93100000000000005</v>
      </c>
      <c r="C3636" t="str">
        <f t="shared" si="61"/>
        <v>1974 q1</v>
      </c>
    </row>
    <row r="3637" spans="1:3">
      <c r="A3637" s="62">
        <v>27057</v>
      </c>
      <c r="B3637">
        <v>0.96</v>
      </c>
      <c r="C3637" t="str">
        <f t="shared" si="61"/>
        <v>1974 q1</v>
      </c>
    </row>
    <row r="3638" spans="1:3">
      <c r="A3638" s="62">
        <v>27058</v>
      </c>
      <c r="B3638">
        <v>0.93400000000000005</v>
      </c>
      <c r="C3638" t="str">
        <f t="shared" si="61"/>
        <v>1974 q1</v>
      </c>
    </row>
    <row r="3639" spans="1:3">
      <c r="A3639" s="62">
        <v>27059</v>
      </c>
      <c r="B3639">
        <v>0.94699999999999995</v>
      </c>
      <c r="C3639" t="str">
        <f t="shared" si="61"/>
        <v>1974 q1</v>
      </c>
    </row>
    <row r="3640" spans="1:3">
      <c r="A3640" s="62">
        <v>27060</v>
      </c>
      <c r="B3640">
        <v>0.97599999999999998</v>
      </c>
      <c r="C3640" t="str">
        <f t="shared" si="61"/>
        <v>1974 q1</v>
      </c>
    </row>
    <row r="3641" spans="1:3">
      <c r="A3641" s="62">
        <v>27061</v>
      </c>
      <c r="B3641">
        <v>0.999</v>
      </c>
      <c r="C3641" t="str">
        <f t="shared" si="61"/>
        <v>1974 q1</v>
      </c>
    </row>
    <row r="3642" spans="1:3">
      <c r="A3642" s="62">
        <v>27064</v>
      </c>
      <c r="B3642">
        <v>0.96899999999999997</v>
      </c>
      <c r="C3642" t="str">
        <f t="shared" si="61"/>
        <v>1974 q1</v>
      </c>
    </row>
    <row r="3643" spans="1:3">
      <c r="A3643" s="62">
        <v>27065</v>
      </c>
      <c r="B3643">
        <v>0.999</v>
      </c>
      <c r="C3643" t="str">
        <f t="shared" si="61"/>
        <v>1974 q1</v>
      </c>
    </row>
    <row r="3644" spans="1:3">
      <c r="A3644" s="62">
        <v>27066</v>
      </c>
      <c r="B3644">
        <v>0.96899999999999997</v>
      </c>
      <c r="C3644" t="str">
        <f t="shared" si="61"/>
        <v>1974 q1</v>
      </c>
    </row>
    <row r="3645" spans="1:3">
      <c r="A3645" s="62">
        <v>27067</v>
      </c>
      <c r="B3645">
        <v>0.93899999999999995</v>
      </c>
      <c r="C3645" t="str">
        <f t="shared" si="61"/>
        <v>1974 q1</v>
      </c>
    </row>
    <row r="3646" spans="1:3">
      <c r="A3646" s="62">
        <v>27068</v>
      </c>
      <c r="B3646">
        <v>0.96899999999999997</v>
      </c>
      <c r="C3646" t="str">
        <f t="shared" si="61"/>
        <v>1974 q1</v>
      </c>
    </row>
    <row r="3647" spans="1:3">
      <c r="A3647" s="62">
        <v>27071</v>
      </c>
      <c r="B3647">
        <v>0.98799999999999999</v>
      </c>
      <c r="C3647" t="str">
        <f t="shared" si="61"/>
        <v>1974 q1</v>
      </c>
    </row>
    <row r="3648" spans="1:3">
      <c r="A3648" s="62">
        <v>27073</v>
      </c>
      <c r="B3648">
        <v>0.98099999999999998</v>
      </c>
      <c r="C3648" t="str">
        <f t="shared" si="61"/>
        <v>1974 q1</v>
      </c>
    </row>
    <row r="3649" spans="1:3">
      <c r="A3649" s="62">
        <v>27074</v>
      </c>
      <c r="B3649">
        <v>1.0109999999999999</v>
      </c>
      <c r="C3649" t="str">
        <f t="shared" si="61"/>
        <v>1974 q1</v>
      </c>
    </row>
    <row r="3650" spans="1:3">
      <c r="A3650" s="62">
        <v>27075</v>
      </c>
      <c r="B3650">
        <v>1.0409999999999999</v>
      </c>
      <c r="C3650" t="str">
        <f t="shared" si="61"/>
        <v>1974 q1</v>
      </c>
    </row>
    <row r="3651" spans="1:3">
      <c r="A3651" s="62">
        <v>27079</v>
      </c>
      <c r="B3651">
        <v>1.071</v>
      </c>
      <c r="C3651" t="str">
        <f t="shared" si="61"/>
        <v>1974 q1</v>
      </c>
    </row>
    <row r="3652" spans="1:3">
      <c r="A3652" s="62">
        <v>27080</v>
      </c>
      <c r="B3652">
        <v>1.101</v>
      </c>
      <c r="C3652" t="str">
        <f t="shared" si="61"/>
        <v>1974 q1</v>
      </c>
    </row>
    <row r="3653" spans="1:3">
      <c r="A3653" s="62">
        <v>27081</v>
      </c>
      <c r="B3653">
        <v>1.131</v>
      </c>
      <c r="C3653" t="str">
        <f t="shared" si="61"/>
        <v>1974 q1</v>
      </c>
    </row>
    <row r="3654" spans="1:3">
      <c r="A3654" s="62">
        <v>27082</v>
      </c>
      <c r="B3654">
        <v>1.161</v>
      </c>
      <c r="C3654" t="str">
        <f t="shared" si="61"/>
        <v>1974 q1</v>
      </c>
    </row>
    <row r="3655" spans="1:3">
      <c r="A3655" s="62">
        <v>27085</v>
      </c>
      <c r="B3655">
        <v>1.1766000000000001</v>
      </c>
      <c r="C3655" t="str">
        <f t="shared" si="61"/>
        <v>1974 q1</v>
      </c>
    </row>
    <row r="3656" spans="1:3">
      <c r="A3656" s="62">
        <v>27086</v>
      </c>
      <c r="B3656">
        <v>1.1921999999999999</v>
      </c>
      <c r="C3656" t="str">
        <f t="shared" si="61"/>
        <v>1974 q1</v>
      </c>
    </row>
    <row r="3657" spans="1:3">
      <c r="A3657" s="62">
        <v>27087</v>
      </c>
      <c r="B3657">
        <v>1.1639999999999999</v>
      </c>
      <c r="C3657" t="str">
        <f t="shared" si="61"/>
        <v>1974 q1</v>
      </c>
    </row>
    <row r="3658" spans="1:3">
      <c r="A3658" s="62">
        <v>27088</v>
      </c>
      <c r="B3658">
        <v>1.0944</v>
      </c>
      <c r="C3658" t="str">
        <f t="shared" si="61"/>
        <v>1974 q1</v>
      </c>
    </row>
    <row r="3659" spans="1:3">
      <c r="A3659" s="62">
        <v>27089</v>
      </c>
      <c r="B3659">
        <v>1.07</v>
      </c>
      <c r="C3659" t="str">
        <f t="shared" si="61"/>
        <v>1974 q1</v>
      </c>
    </row>
    <row r="3660" spans="1:3">
      <c r="A3660" s="62">
        <v>27092</v>
      </c>
      <c r="B3660">
        <v>1.075</v>
      </c>
      <c r="C3660" t="str">
        <f t="shared" si="61"/>
        <v>1974 q1</v>
      </c>
    </row>
    <row r="3661" spans="1:3">
      <c r="A3661" s="62">
        <v>27093</v>
      </c>
      <c r="B3661">
        <v>1.028</v>
      </c>
      <c r="C3661" t="str">
        <f t="shared" si="61"/>
        <v>1974 q1</v>
      </c>
    </row>
    <row r="3662" spans="1:3">
      <c r="A3662" s="62">
        <v>27094</v>
      </c>
      <c r="B3662">
        <v>1.07</v>
      </c>
      <c r="C3662" t="str">
        <f t="shared" si="61"/>
        <v>1974 q1</v>
      </c>
    </row>
    <row r="3663" spans="1:3">
      <c r="A3663" s="62">
        <v>27095</v>
      </c>
      <c r="B3663">
        <v>1.1200000000000001</v>
      </c>
      <c r="C3663" t="str">
        <f t="shared" si="61"/>
        <v>1974 q1</v>
      </c>
    </row>
    <row r="3664" spans="1:3">
      <c r="A3664" s="62">
        <v>27096</v>
      </c>
      <c r="B3664">
        <v>1.0960000000000001</v>
      </c>
      <c r="C3664" t="str">
        <f t="shared" si="61"/>
        <v>1974 q1</v>
      </c>
    </row>
    <row r="3665" spans="1:3">
      <c r="A3665" s="62">
        <v>27099</v>
      </c>
      <c r="B3665">
        <v>1.135</v>
      </c>
      <c r="C3665" t="str">
        <f t="shared" si="61"/>
        <v>1974 q1</v>
      </c>
    </row>
    <row r="3666" spans="1:3">
      <c r="A3666" s="62">
        <v>27100</v>
      </c>
      <c r="B3666">
        <v>1.135</v>
      </c>
      <c r="C3666" t="str">
        <f t="shared" ref="C3666:C3729" si="62">YEAR(A3666)&amp;" q"&amp;ROUNDUP(MONTH(A3666)/3,0)</f>
        <v>1974 q1</v>
      </c>
    </row>
    <row r="3667" spans="1:3">
      <c r="A3667" s="62">
        <v>27101</v>
      </c>
      <c r="B3667">
        <v>1.137</v>
      </c>
      <c r="C3667" t="str">
        <f t="shared" si="62"/>
        <v>1974 q1</v>
      </c>
    </row>
    <row r="3668" spans="1:3">
      <c r="A3668" s="62">
        <v>27102</v>
      </c>
      <c r="B3668">
        <v>1.119</v>
      </c>
      <c r="C3668" t="str">
        <f t="shared" si="62"/>
        <v>1974 q1</v>
      </c>
    </row>
    <row r="3669" spans="1:3">
      <c r="A3669" s="62">
        <v>27103</v>
      </c>
      <c r="B3669">
        <v>1.1319999999999999</v>
      </c>
      <c r="C3669" t="str">
        <f t="shared" si="62"/>
        <v>1974 q1</v>
      </c>
    </row>
    <row r="3670" spans="1:3">
      <c r="A3670" s="62">
        <v>27106</v>
      </c>
      <c r="B3670">
        <v>1.1719999999999999</v>
      </c>
      <c r="C3670" t="str">
        <f t="shared" si="62"/>
        <v>1974 q1</v>
      </c>
    </row>
    <row r="3671" spans="1:3">
      <c r="A3671" s="62">
        <v>27107</v>
      </c>
      <c r="B3671">
        <v>1.222</v>
      </c>
      <c r="C3671" t="str">
        <f t="shared" si="62"/>
        <v>1974 q1</v>
      </c>
    </row>
    <row r="3672" spans="1:3">
      <c r="A3672" s="62">
        <v>27108</v>
      </c>
      <c r="B3672">
        <v>1.212</v>
      </c>
      <c r="C3672" t="str">
        <f t="shared" si="62"/>
        <v>1974 q1</v>
      </c>
    </row>
    <row r="3673" spans="1:3">
      <c r="A3673" s="62">
        <v>27109</v>
      </c>
      <c r="B3673">
        <v>1.1859999999999999</v>
      </c>
      <c r="C3673" t="str">
        <f t="shared" si="62"/>
        <v>1974 q1</v>
      </c>
    </row>
    <row r="3674" spans="1:3">
      <c r="A3674" s="62">
        <v>27110</v>
      </c>
      <c r="B3674">
        <v>1.236</v>
      </c>
      <c r="C3674" t="str">
        <f t="shared" si="62"/>
        <v>1974 q1</v>
      </c>
    </row>
    <row r="3675" spans="1:3">
      <c r="A3675" s="62">
        <v>27113</v>
      </c>
      <c r="B3675">
        <v>1.2190000000000001</v>
      </c>
      <c r="C3675" t="str">
        <f t="shared" si="62"/>
        <v>1974 q1</v>
      </c>
    </row>
    <row r="3676" spans="1:3">
      <c r="A3676" s="62">
        <v>27114</v>
      </c>
      <c r="B3676">
        <v>1.175</v>
      </c>
      <c r="C3676" t="str">
        <f t="shared" si="62"/>
        <v>1974 q1</v>
      </c>
    </row>
    <row r="3677" spans="1:3">
      <c r="A3677" s="62">
        <v>27115</v>
      </c>
      <c r="B3677">
        <v>1.2250000000000001</v>
      </c>
      <c r="C3677" t="str">
        <f t="shared" si="62"/>
        <v>1974 q1</v>
      </c>
    </row>
    <row r="3678" spans="1:3">
      <c r="A3678" s="62">
        <v>27116</v>
      </c>
      <c r="B3678">
        <v>1.266</v>
      </c>
      <c r="C3678" t="str">
        <f t="shared" si="62"/>
        <v>1974 q1</v>
      </c>
    </row>
    <row r="3679" spans="1:3">
      <c r="A3679" s="62">
        <v>27117</v>
      </c>
      <c r="B3679">
        <v>1.296</v>
      </c>
      <c r="C3679" t="str">
        <f t="shared" si="62"/>
        <v>1974 q1</v>
      </c>
    </row>
    <row r="3680" spans="1:3">
      <c r="A3680" s="62">
        <v>27120</v>
      </c>
      <c r="B3680">
        <v>1.2629999999999999</v>
      </c>
      <c r="C3680" t="str">
        <f t="shared" si="62"/>
        <v>1974 q2</v>
      </c>
    </row>
    <row r="3681" spans="1:3">
      <c r="A3681" s="62">
        <v>27121</v>
      </c>
      <c r="B3681">
        <v>1.3069999999999999</v>
      </c>
      <c r="C3681" t="str">
        <f t="shared" si="62"/>
        <v>1974 q2</v>
      </c>
    </row>
    <row r="3682" spans="1:3">
      <c r="A3682" s="62">
        <v>27122</v>
      </c>
      <c r="B3682">
        <v>1.28</v>
      </c>
      <c r="C3682" t="str">
        <f t="shared" si="62"/>
        <v>1974 q2</v>
      </c>
    </row>
    <row r="3683" spans="1:3">
      <c r="A3683" s="62">
        <v>27123</v>
      </c>
      <c r="B3683">
        <v>1.298</v>
      </c>
      <c r="C3683" t="str">
        <f t="shared" si="62"/>
        <v>1974 q2</v>
      </c>
    </row>
    <row r="3684" spans="1:3">
      <c r="A3684" s="62">
        <v>27124</v>
      </c>
      <c r="B3684">
        <v>1.248</v>
      </c>
      <c r="C3684" t="str">
        <f t="shared" si="62"/>
        <v>1974 q2</v>
      </c>
    </row>
    <row r="3685" spans="1:3">
      <c r="A3685" s="62">
        <v>27127</v>
      </c>
      <c r="B3685">
        <v>1.198</v>
      </c>
      <c r="C3685" t="str">
        <f t="shared" si="62"/>
        <v>1974 q2</v>
      </c>
    </row>
    <row r="3686" spans="1:3">
      <c r="A3686" s="62">
        <v>27128</v>
      </c>
      <c r="B3686">
        <v>1.2370000000000001</v>
      </c>
      <c r="C3686" t="str">
        <f t="shared" si="62"/>
        <v>1974 q2</v>
      </c>
    </row>
    <row r="3687" spans="1:3">
      <c r="A3687" s="62">
        <v>27129</v>
      </c>
      <c r="B3687">
        <v>1.208</v>
      </c>
      <c r="C3687" t="str">
        <f t="shared" si="62"/>
        <v>1974 q2</v>
      </c>
    </row>
    <row r="3688" spans="1:3">
      <c r="A3688" s="62">
        <v>27130</v>
      </c>
      <c r="B3688">
        <v>1.21</v>
      </c>
      <c r="C3688" t="str">
        <f t="shared" si="62"/>
        <v>1974 q2</v>
      </c>
    </row>
    <row r="3689" spans="1:3">
      <c r="A3689" s="62">
        <v>27134</v>
      </c>
      <c r="B3689">
        <v>1.254</v>
      </c>
      <c r="C3689" t="str">
        <f t="shared" si="62"/>
        <v>1974 q2</v>
      </c>
    </row>
    <row r="3690" spans="1:3">
      <c r="A3690" s="62">
        <v>27135</v>
      </c>
      <c r="B3690">
        <v>1.2390000000000001</v>
      </c>
      <c r="C3690" t="str">
        <f t="shared" si="62"/>
        <v>1974 q2</v>
      </c>
    </row>
    <row r="3691" spans="1:3">
      <c r="A3691" s="62">
        <v>27136</v>
      </c>
      <c r="B3691">
        <v>1.242</v>
      </c>
      <c r="C3691" t="str">
        <f t="shared" si="62"/>
        <v>1974 q2</v>
      </c>
    </row>
    <row r="3692" spans="1:3">
      <c r="A3692" s="62">
        <v>27137</v>
      </c>
      <c r="B3692">
        <v>1.292</v>
      </c>
      <c r="C3692" t="str">
        <f t="shared" si="62"/>
        <v>1974 q2</v>
      </c>
    </row>
    <row r="3693" spans="1:3">
      <c r="A3693" s="62">
        <v>27138</v>
      </c>
      <c r="B3693">
        <v>1.3240000000000001</v>
      </c>
      <c r="C3693" t="str">
        <f t="shared" si="62"/>
        <v>1974 q2</v>
      </c>
    </row>
    <row r="3694" spans="1:3">
      <c r="A3694" s="62">
        <v>27141</v>
      </c>
      <c r="B3694">
        <v>1.335</v>
      </c>
      <c r="C3694" t="str">
        <f t="shared" si="62"/>
        <v>1974 q2</v>
      </c>
    </row>
    <row r="3695" spans="1:3">
      <c r="A3695" s="62">
        <v>27142</v>
      </c>
      <c r="B3695">
        <v>1.3440000000000001</v>
      </c>
      <c r="C3695" t="str">
        <f t="shared" si="62"/>
        <v>1974 q2</v>
      </c>
    </row>
    <row r="3696" spans="1:3">
      <c r="A3696" s="62">
        <v>27143</v>
      </c>
      <c r="B3696">
        <v>1.383</v>
      </c>
      <c r="C3696" t="str">
        <f t="shared" si="62"/>
        <v>1974 q2</v>
      </c>
    </row>
    <row r="3697" spans="1:3">
      <c r="A3697" s="62">
        <v>27144</v>
      </c>
      <c r="B3697">
        <v>1.331</v>
      </c>
      <c r="C3697" t="str">
        <f t="shared" si="62"/>
        <v>1974 q2</v>
      </c>
    </row>
    <row r="3698" spans="1:3">
      <c r="A3698" s="62">
        <v>27145</v>
      </c>
      <c r="B3698">
        <v>1.3335999999999999</v>
      </c>
      <c r="C3698" t="str">
        <f t="shared" si="62"/>
        <v>1974 q2</v>
      </c>
    </row>
    <row r="3699" spans="1:3">
      <c r="A3699" s="62">
        <v>27148</v>
      </c>
      <c r="B3699">
        <v>1.3633999999999999</v>
      </c>
      <c r="C3699" t="str">
        <f t="shared" si="62"/>
        <v>1974 q2</v>
      </c>
    </row>
    <row r="3700" spans="1:3">
      <c r="A3700" s="62">
        <v>27149</v>
      </c>
      <c r="B3700">
        <v>1.3572</v>
      </c>
      <c r="C3700" t="str">
        <f t="shared" si="62"/>
        <v>1974 q2</v>
      </c>
    </row>
    <row r="3701" spans="1:3">
      <c r="A3701" s="62">
        <v>27150</v>
      </c>
      <c r="B3701">
        <v>1.3240000000000001</v>
      </c>
      <c r="C3701" t="str">
        <f t="shared" si="62"/>
        <v>1974 q2</v>
      </c>
    </row>
    <row r="3702" spans="1:3">
      <c r="A3702" s="62">
        <v>27151</v>
      </c>
      <c r="B3702">
        <v>1.34</v>
      </c>
      <c r="C3702" t="str">
        <f t="shared" si="62"/>
        <v>1974 q2</v>
      </c>
    </row>
    <row r="3703" spans="1:3">
      <c r="A3703" s="62">
        <v>27152</v>
      </c>
      <c r="B3703">
        <v>1.361</v>
      </c>
      <c r="C3703" t="str">
        <f t="shared" si="62"/>
        <v>1974 q2</v>
      </c>
    </row>
    <row r="3704" spans="1:3">
      <c r="A3704" s="62">
        <v>27155</v>
      </c>
      <c r="B3704">
        <v>1.3149999999999999</v>
      </c>
      <c r="C3704" t="str">
        <f t="shared" si="62"/>
        <v>1974 q2</v>
      </c>
    </row>
    <row r="3705" spans="1:3">
      <c r="A3705" s="62">
        <v>27156</v>
      </c>
      <c r="B3705">
        <v>1.33</v>
      </c>
      <c r="C3705" t="str">
        <f t="shared" si="62"/>
        <v>1974 q2</v>
      </c>
    </row>
    <row r="3706" spans="1:3">
      <c r="A3706" s="62">
        <v>27157</v>
      </c>
      <c r="B3706">
        <v>1.3340000000000001</v>
      </c>
      <c r="C3706" t="str">
        <f t="shared" si="62"/>
        <v>1974 q2</v>
      </c>
    </row>
    <row r="3707" spans="1:3">
      <c r="A3707" s="62">
        <v>27158</v>
      </c>
      <c r="B3707">
        <v>1.3140000000000001</v>
      </c>
      <c r="C3707" t="str">
        <f t="shared" si="62"/>
        <v>1974 q2</v>
      </c>
    </row>
    <row r="3708" spans="1:3">
      <c r="A3708" s="62">
        <v>27159</v>
      </c>
      <c r="B3708">
        <v>1.298</v>
      </c>
      <c r="C3708" t="str">
        <f t="shared" si="62"/>
        <v>1974 q2</v>
      </c>
    </row>
    <row r="3709" spans="1:3">
      <c r="A3709" s="62">
        <v>27162</v>
      </c>
      <c r="B3709">
        <v>1.26</v>
      </c>
      <c r="C3709" t="str">
        <f t="shared" si="62"/>
        <v>1974 q2</v>
      </c>
    </row>
    <row r="3710" spans="1:3">
      <c r="A3710" s="62">
        <v>27163</v>
      </c>
      <c r="B3710">
        <v>1.2330000000000001</v>
      </c>
      <c r="C3710" t="str">
        <f t="shared" si="62"/>
        <v>1974 q2</v>
      </c>
    </row>
    <row r="3711" spans="1:3">
      <c r="A3711" s="62">
        <v>27164</v>
      </c>
      <c r="B3711">
        <v>1.23</v>
      </c>
      <c r="C3711" t="str">
        <f t="shared" si="62"/>
        <v>1974 q2</v>
      </c>
    </row>
    <row r="3712" spans="1:3">
      <c r="A3712" s="62">
        <v>27165</v>
      </c>
      <c r="B3712">
        <v>1.18</v>
      </c>
      <c r="C3712" t="str">
        <f t="shared" si="62"/>
        <v>1974 q2</v>
      </c>
    </row>
    <row r="3713" spans="1:3">
      <c r="A3713" s="62">
        <v>27166</v>
      </c>
      <c r="B3713">
        <v>1.1579999999999999</v>
      </c>
      <c r="C3713" t="str">
        <f t="shared" si="62"/>
        <v>1974 q2</v>
      </c>
    </row>
    <row r="3714" spans="1:3">
      <c r="A3714" s="62">
        <v>27169</v>
      </c>
      <c r="B3714">
        <v>1.1379999999999999</v>
      </c>
      <c r="C3714" t="str">
        <f t="shared" si="62"/>
        <v>1974 q2</v>
      </c>
    </row>
    <row r="3715" spans="1:3">
      <c r="A3715" s="62">
        <v>27170</v>
      </c>
      <c r="B3715">
        <v>1.1339999999999999</v>
      </c>
      <c r="C3715" t="str">
        <f t="shared" si="62"/>
        <v>1974 q2</v>
      </c>
    </row>
    <row r="3716" spans="1:3">
      <c r="A3716" s="62">
        <v>27171</v>
      </c>
      <c r="B3716">
        <v>1.0920000000000001</v>
      </c>
      <c r="C3716" t="str">
        <f t="shared" si="62"/>
        <v>1974 q2</v>
      </c>
    </row>
    <row r="3717" spans="1:3">
      <c r="A3717" s="62">
        <v>27172</v>
      </c>
      <c r="B3717">
        <v>1.097</v>
      </c>
      <c r="C3717" t="str">
        <f t="shared" si="62"/>
        <v>1974 q2</v>
      </c>
    </row>
    <row r="3718" spans="1:3">
      <c r="A3718" s="62">
        <v>27173</v>
      </c>
      <c r="B3718">
        <v>1.1020000000000001</v>
      </c>
      <c r="C3718" t="str">
        <f t="shared" si="62"/>
        <v>1974 q2</v>
      </c>
    </row>
    <row r="3719" spans="1:3">
      <c r="A3719" s="62">
        <v>27177</v>
      </c>
      <c r="B3719">
        <v>1.0549999999999999</v>
      </c>
      <c r="C3719" t="str">
        <f t="shared" si="62"/>
        <v>1974 q2</v>
      </c>
    </row>
    <row r="3720" spans="1:3">
      <c r="A3720" s="62">
        <v>27178</v>
      </c>
      <c r="B3720">
        <v>1.08</v>
      </c>
      <c r="C3720" t="str">
        <f t="shared" si="62"/>
        <v>1974 q2</v>
      </c>
    </row>
    <row r="3721" spans="1:3">
      <c r="A3721" s="62">
        <v>27179</v>
      </c>
      <c r="B3721">
        <v>1.075</v>
      </c>
      <c r="C3721" t="str">
        <f t="shared" si="62"/>
        <v>1974 q2</v>
      </c>
    </row>
    <row r="3722" spans="1:3">
      <c r="A3722" s="62">
        <v>27180</v>
      </c>
      <c r="B3722">
        <v>1.0740000000000001</v>
      </c>
      <c r="C3722" t="str">
        <f t="shared" si="62"/>
        <v>1974 q2</v>
      </c>
    </row>
    <row r="3723" spans="1:3">
      <c r="A3723" s="62">
        <v>27183</v>
      </c>
      <c r="B3723">
        <v>1.044</v>
      </c>
      <c r="C3723" t="str">
        <f t="shared" si="62"/>
        <v>1974 q2</v>
      </c>
    </row>
    <row r="3724" spans="1:3">
      <c r="A3724" s="62">
        <v>27184</v>
      </c>
      <c r="B3724">
        <v>1.0940000000000001</v>
      </c>
      <c r="C3724" t="str">
        <f t="shared" si="62"/>
        <v>1974 q2</v>
      </c>
    </row>
    <row r="3725" spans="1:3">
      <c r="A3725" s="62">
        <v>27185</v>
      </c>
      <c r="B3725">
        <v>1.1240000000000001</v>
      </c>
      <c r="C3725" t="str">
        <f t="shared" si="62"/>
        <v>1974 q2</v>
      </c>
    </row>
    <row r="3726" spans="1:3">
      <c r="A3726" s="62">
        <v>27186</v>
      </c>
      <c r="B3726">
        <v>1.1000000000000001</v>
      </c>
      <c r="C3726" t="str">
        <f t="shared" si="62"/>
        <v>1974 q2</v>
      </c>
    </row>
    <row r="3727" spans="1:3">
      <c r="A3727" s="62">
        <v>27187</v>
      </c>
      <c r="B3727">
        <v>1.1339999999999999</v>
      </c>
      <c r="C3727" t="str">
        <f t="shared" si="62"/>
        <v>1974 q2</v>
      </c>
    </row>
    <row r="3728" spans="1:3">
      <c r="A3728" s="62">
        <v>27190</v>
      </c>
      <c r="B3728">
        <v>1.1419999999999999</v>
      </c>
      <c r="C3728" t="str">
        <f t="shared" si="62"/>
        <v>1974 q2</v>
      </c>
    </row>
    <row r="3729" spans="1:3">
      <c r="A3729" s="62">
        <v>27191</v>
      </c>
      <c r="B3729">
        <v>1.0920000000000001</v>
      </c>
      <c r="C3729" t="str">
        <f t="shared" si="62"/>
        <v>1974 q2</v>
      </c>
    </row>
    <row r="3730" spans="1:3">
      <c r="A3730" s="62">
        <v>27192</v>
      </c>
      <c r="B3730">
        <v>1.085</v>
      </c>
      <c r="C3730" t="str">
        <f t="shared" ref="C3730:C3793" si="63">YEAR(A3730)&amp;" q"&amp;ROUNDUP(MONTH(A3730)/3,0)</f>
        <v>1974 q2</v>
      </c>
    </row>
    <row r="3731" spans="1:3">
      <c r="A3731" s="62">
        <v>27193</v>
      </c>
      <c r="B3731">
        <v>1.046</v>
      </c>
      <c r="C3731" t="str">
        <f t="shared" si="63"/>
        <v>1974 q2</v>
      </c>
    </row>
    <row r="3732" spans="1:3">
      <c r="A3732" s="62">
        <v>27194</v>
      </c>
      <c r="B3732">
        <v>1.0109999999999999</v>
      </c>
      <c r="C3732" t="str">
        <f t="shared" si="63"/>
        <v>1974 q2</v>
      </c>
    </row>
    <row r="3733" spans="1:3">
      <c r="A3733" s="62">
        <v>27197</v>
      </c>
      <c r="B3733">
        <v>1.028</v>
      </c>
      <c r="C3733" t="str">
        <f t="shared" si="63"/>
        <v>1974 q2</v>
      </c>
    </row>
    <row r="3734" spans="1:3">
      <c r="A3734" s="62">
        <v>27198</v>
      </c>
      <c r="B3734">
        <v>0.97799999999999998</v>
      </c>
      <c r="C3734" t="str">
        <f t="shared" si="63"/>
        <v>1974 q2</v>
      </c>
    </row>
    <row r="3735" spans="1:3">
      <c r="A3735" s="62">
        <v>27199</v>
      </c>
      <c r="B3735">
        <v>0.99</v>
      </c>
      <c r="C3735" t="str">
        <f t="shared" si="63"/>
        <v>1974 q2</v>
      </c>
    </row>
    <row r="3736" spans="1:3">
      <c r="A3736" s="62">
        <v>27200</v>
      </c>
      <c r="B3736">
        <v>1.004</v>
      </c>
      <c r="C3736" t="str">
        <f t="shared" si="63"/>
        <v>1974 q2</v>
      </c>
    </row>
    <row r="3737" spans="1:3">
      <c r="A3737" s="62">
        <v>27201</v>
      </c>
      <c r="B3737">
        <v>1.0129999999999999</v>
      </c>
      <c r="C3737" t="str">
        <f t="shared" si="63"/>
        <v>1974 q2</v>
      </c>
    </row>
    <row r="3738" spans="1:3">
      <c r="A3738" s="62">
        <v>27204</v>
      </c>
      <c r="B3738">
        <v>0.98099999999999998</v>
      </c>
      <c r="C3738" t="str">
        <f t="shared" si="63"/>
        <v>1974 q2</v>
      </c>
    </row>
    <row r="3739" spans="1:3">
      <c r="A3739" s="62">
        <v>27205</v>
      </c>
      <c r="B3739">
        <v>0.9284</v>
      </c>
      <c r="C3739" t="str">
        <f t="shared" si="63"/>
        <v>1974 q2</v>
      </c>
    </row>
    <row r="3740" spans="1:3">
      <c r="A3740" s="62">
        <v>27206</v>
      </c>
      <c r="B3740">
        <v>0.93179999999999996</v>
      </c>
      <c r="C3740" t="str">
        <f t="shared" si="63"/>
        <v>1974 q2</v>
      </c>
    </row>
    <row r="3741" spans="1:3">
      <c r="A3741" s="62">
        <v>27207</v>
      </c>
      <c r="B3741">
        <v>0.91959999999999997</v>
      </c>
      <c r="C3741" t="str">
        <f t="shared" si="63"/>
        <v>1974 q2</v>
      </c>
    </row>
    <row r="3742" spans="1:3">
      <c r="A3742" s="62">
        <v>27208</v>
      </c>
      <c r="B3742">
        <v>0.94079999999999997</v>
      </c>
      <c r="C3742" t="str">
        <f t="shared" si="63"/>
        <v>1974 q2</v>
      </c>
    </row>
    <row r="3743" spans="1:3">
      <c r="A3743" s="62">
        <v>27211</v>
      </c>
      <c r="B3743">
        <v>0.89400000000000002</v>
      </c>
      <c r="C3743" t="str">
        <f t="shared" si="63"/>
        <v>1974 q3</v>
      </c>
    </row>
    <row r="3744" spans="1:3">
      <c r="A3744" s="62">
        <v>27212</v>
      </c>
      <c r="B3744">
        <v>0.88600000000000001</v>
      </c>
      <c r="C3744" t="str">
        <f t="shared" si="63"/>
        <v>1974 q3</v>
      </c>
    </row>
    <row r="3745" spans="1:3">
      <c r="A3745" s="62">
        <v>27213</v>
      </c>
      <c r="B3745">
        <v>0.86099999999999999</v>
      </c>
      <c r="C3745" t="str">
        <f t="shared" si="63"/>
        <v>1974 q3</v>
      </c>
    </row>
    <row r="3746" spans="1:3">
      <c r="A3746" s="62">
        <v>27215</v>
      </c>
      <c r="B3746">
        <v>0.86799999999999999</v>
      </c>
      <c r="C3746" t="str">
        <f t="shared" si="63"/>
        <v>1974 q3</v>
      </c>
    </row>
    <row r="3747" spans="1:3">
      <c r="A3747" s="62">
        <v>27218</v>
      </c>
      <c r="B3747">
        <v>0.86299999999999999</v>
      </c>
      <c r="C3747" t="str">
        <f t="shared" si="63"/>
        <v>1974 q3</v>
      </c>
    </row>
    <row r="3748" spans="1:3">
      <c r="A3748" s="62">
        <v>27219</v>
      </c>
      <c r="B3748">
        <v>0.84599999999999997</v>
      </c>
      <c r="C3748" t="str">
        <f t="shared" si="63"/>
        <v>1974 q3</v>
      </c>
    </row>
    <row r="3749" spans="1:3">
      <c r="A3749" s="62">
        <v>27220</v>
      </c>
      <c r="B3749">
        <v>0.82499999999999996</v>
      </c>
      <c r="C3749" t="str">
        <f t="shared" si="63"/>
        <v>1974 q3</v>
      </c>
    </row>
    <row r="3750" spans="1:3">
      <c r="A3750" s="62">
        <v>27221</v>
      </c>
      <c r="B3750">
        <v>0.85399999999999998</v>
      </c>
      <c r="C3750" t="str">
        <f t="shared" si="63"/>
        <v>1974 q3</v>
      </c>
    </row>
    <row r="3751" spans="1:3">
      <c r="A3751" s="62">
        <v>27222</v>
      </c>
      <c r="B3751">
        <v>0.83</v>
      </c>
      <c r="C3751" t="str">
        <f t="shared" si="63"/>
        <v>1974 q3</v>
      </c>
    </row>
    <row r="3752" spans="1:3">
      <c r="A3752" s="62">
        <v>27225</v>
      </c>
      <c r="B3752">
        <v>0.88</v>
      </c>
      <c r="C3752" t="str">
        <f t="shared" si="63"/>
        <v>1974 q3</v>
      </c>
    </row>
    <row r="3753" spans="1:3">
      <c r="A3753" s="62">
        <v>27226</v>
      </c>
      <c r="B3753">
        <v>0.84599999999999997</v>
      </c>
      <c r="C3753" t="str">
        <f t="shared" si="63"/>
        <v>1974 q3</v>
      </c>
    </row>
    <row r="3754" spans="1:3">
      <c r="A3754" s="62">
        <v>27227</v>
      </c>
      <c r="B3754">
        <v>0.83899999999999997</v>
      </c>
      <c r="C3754" t="str">
        <f t="shared" si="63"/>
        <v>1974 q3</v>
      </c>
    </row>
    <row r="3755" spans="1:3">
      <c r="A3755" s="62">
        <v>27228</v>
      </c>
      <c r="B3755">
        <v>0.85599999999999998</v>
      </c>
      <c r="C3755" t="str">
        <f t="shared" si="63"/>
        <v>1974 q3</v>
      </c>
    </row>
    <row r="3756" spans="1:3">
      <c r="A3756" s="62">
        <v>27229</v>
      </c>
      <c r="B3756">
        <v>0.85</v>
      </c>
      <c r="C3756" t="str">
        <f t="shared" si="63"/>
        <v>1974 q3</v>
      </c>
    </row>
    <row r="3757" spans="1:3">
      <c r="A3757" s="62">
        <v>27232</v>
      </c>
      <c r="B3757">
        <v>0.85099999999999998</v>
      </c>
      <c r="C3757" t="str">
        <f t="shared" si="63"/>
        <v>1974 q3</v>
      </c>
    </row>
    <row r="3758" spans="1:3">
      <c r="A3758" s="62">
        <v>27233</v>
      </c>
      <c r="B3758">
        <v>0.84199999999999997</v>
      </c>
      <c r="C3758" t="str">
        <f t="shared" si="63"/>
        <v>1974 q3</v>
      </c>
    </row>
    <row r="3759" spans="1:3">
      <c r="A3759" s="62">
        <v>27234</v>
      </c>
      <c r="B3759">
        <v>0.86199999999999999</v>
      </c>
      <c r="C3759" t="str">
        <f t="shared" si="63"/>
        <v>1974 q3</v>
      </c>
    </row>
    <row r="3760" spans="1:3">
      <c r="A3760" s="62">
        <v>27235</v>
      </c>
      <c r="B3760">
        <v>0.89700000000000002</v>
      </c>
      <c r="C3760" t="str">
        <f t="shared" si="63"/>
        <v>1974 q3</v>
      </c>
    </row>
    <row r="3761" spans="1:3">
      <c r="A3761" s="62">
        <v>27236</v>
      </c>
      <c r="B3761">
        <v>0.90500000000000003</v>
      </c>
      <c r="C3761" t="str">
        <f t="shared" si="63"/>
        <v>1974 q3</v>
      </c>
    </row>
    <row r="3762" spans="1:3">
      <c r="A3762" s="62">
        <v>27239</v>
      </c>
      <c r="B3762">
        <v>0.95499999999999996</v>
      </c>
      <c r="C3762" t="str">
        <f t="shared" si="63"/>
        <v>1974 q3</v>
      </c>
    </row>
    <row r="3763" spans="1:3">
      <c r="A3763" s="62">
        <v>27240</v>
      </c>
      <c r="B3763">
        <v>0.90500000000000003</v>
      </c>
      <c r="C3763" t="str">
        <f t="shared" si="63"/>
        <v>1974 q3</v>
      </c>
    </row>
    <row r="3764" spans="1:3">
      <c r="A3764" s="62">
        <v>27241</v>
      </c>
      <c r="B3764">
        <v>0.89300000000000002</v>
      </c>
      <c r="C3764" t="str">
        <f t="shared" si="63"/>
        <v>1974 q3</v>
      </c>
    </row>
    <row r="3765" spans="1:3">
      <c r="A3765" s="62">
        <v>27242</v>
      </c>
      <c r="B3765">
        <v>0.84499999999999997</v>
      </c>
      <c r="C3765" t="str">
        <f t="shared" si="63"/>
        <v>1974 q3</v>
      </c>
    </row>
    <row r="3766" spans="1:3">
      <c r="A3766" s="62">
        <v>27243</v>
      </c>
      <c r="B3766">
        <v>0.80100000000000005</v>
      </c>
      <c r="C3766" t="str">
        <f t="shared" si="63"/>
        <v>1974 q3</v>
      </c>
    </row>
    <row r="3767" spans="1:3">
      <c r="A3767" s="62">
        <v>27246</v>
      </c>
      <c r="B3767">
        <v>0.80700000000000005</v>
      </c>
      <c r="C3767" t="str">
        <f t="shared" si="63"/>
        <v>1974 q3</v>
      </c>
    </row>
    <row r="3768" spans="1:3">
      <c r="A3768" s="62">
        <v>27247</v>
      </c>
      <c r="B3768">
        <v>0.83799999999999997</v>
      </c>
      <c r="C3768" t="str">
        <f t="shared" si="63"/>
        <v>1974 q3</v>
      </c>
    </row>
    <row r="3769" spans="1:3">
      <c r="A3769" s="62">
        <v>27248</v>
      </c>
      <c r="B3769">
        <v>0.84799999999999998</v>
      </c>
      <c r="C3769" t="str">
        <f t="shared" si="63"/>
        <v>1974 q3</v>
      </c>
    </row>
    <row r="3770" spans="1:3">
      <c r="A3770" s="62">
        <v>27249</v>
      </c>
      <c r="B3770">
        <v>0.82499999999999996</v>
      </c>
      <c r="C3770" t="str">
        <f t="shared" si="63"/>
        <v>1974 q3</v>
      </c>
    </row>
    <row r="3771" spans="1:3">
      <c r="A3771" s="62">
        <v>27250</v>
      </c>
      <c r="B3771">
        <v>0.81799999999999995</v>
      </c>
      <c r="C3771" t="str">
        <f t="shared" si="63"/>
        <v>1974 q3</v>
      </c>
    </row>
    <row r="3772" spans="1:3">
      <c r="A3772" s="62">
        <v>27253</v>
      </c>
      <c r="B3772">
        <v>0.82899999999999996</v>
      </c>
      <c r="C3772" t="str">
        <f t="shared" si="63"/>
        <v>1974 q3</v>
      </c>
    </row>
    <row r="3773" spans="1:3">
      <c r="A3773" s="62">
        <v>27254</v>
      </c>
      <c r="B3773">
        <v>0.84899999999999998</v>
      </c>
      <c r="C3773" t="str">
        <f t="shared" si="63"/>
        <v>1974 q3</v>
      </c>
    </row>
    <row r="3774" spans="1:3">
      <c r="A3774" s="62">
        <v>27255</v>
      </c>
      <c r="B3774">
        <v>0.82799999999999996</v>
      </c>
      <c r="C3774" t="str">
        <f t="shared" si="63"/>
        <v>1974 q3</v>
      </c>
    </row>
    <row r="3775" spans="1:3">
      <c r="A3775" s="62">
        <v>27256</v>
      </c>
      <c r="B3775">
        <v>0.81499999999999995</v>
      </c>
      <c r="C3775" t="str">
        <f t="shared" si="63"/>
        <v>1974 q3</v>
      </c>
    </row>
    <row r="3776" spans="1:3">
      <c r="A3776" s="62">
        <v>27257</v>
      </c>
      <c r="B3776">
        <v>0.82299999999999995</v>
      </c>
      <c r="C3776" t="str">
        <f t="shared" si="63"/>
        <v>1974 q3</v>
      </c>
    </row>
    <row r="3777" spans="1:3">
      <c r="A3777" s="62">
        <v>27260</v>
      </c>
      <c r="B3777">
        <v>0.77900000000000003</v>
      </c>
      <c r="C3777" t="str">
        <f t="shared" si="63"/>
        <v>1974 q3</v>
      </c>
    </row>
    <row r="3778" spans="1:3">
      <c r="A3778" s="62">
        <v>27261</v>
      </c>
      <c r="B3778">
        <v>0.78200000000000003</v>
      </c>
      <c r="C3778" t="str">
        <f t="shared" si="63"/>
        <v>1974 q3</v>
      </c>
    </row>
    <row r="3779" spans="1:3">
      <c r="A3779" s="62">
        <v>27262</v>
      </c>
      <c r="B3779">
        <v>0.79400000000000004</v>
      </c>
      <c r="C3779" t="str">
        <f t="shared" si="63"/>
        <v>1974 q3</v>
      </c>
    </row>
    <row r="3780" spans="1:3">
      <c r="A3780" s="62">
        <v>27263</v>
      </c>
      <c r="B3780">
        <v>0.79500000000000004</v>
      </c>
      <c r="C3780" t="str">
        <f t="shared" si="63"/>
        <v>1974 q3</v>
      </c>
    </row>
    <row r="3781" spans="1:3">
      <c r="A3781" s="62">
        <v>27264</v>
      </c>
      <c r="B3781">
        <v>0.78900000000000003</v>
      </c>
      <c r="C3781" t="str">
        <f t="shared" si="63"/>
        <v>1974 q3</v>
      </c>
    </row>
    <row r="3782" spans="1:3">
      <c r="A3782" s="62">
        <v>27267</v>
      </c>
      <c r="B3782">
        <v>0.77500000000000002</v>
      </c>
      <c r="C3782" t="str">
        <f t="shared" si="63"/>
        <v>1974 q3</v>
      </c>
    </row>
    <row r="3783" spans="1:3">
      <c r="A3783" s="62">
        <v>27268</v>
      </c>
      <c r="B3783">
        <v>0.75339999999999996</v>
      </c>
      <c r="C3783" t="str">
        <f t="shared" si="63"/>
        <v>1974 q3</v>
      </c>
    </row>
    <row r="3784" spans="1:3">
      <c r="A3784" s="62">
        <v>27269</v>
      </c>
      <c r="B3784">
        <v>0.75760000000000005</v>
      </c>
      <c r="C3784" t="str">
        <f t="shared" si="63"/>
        <v>1974 q3</v>
      </c>
    </row>
    <row r="3785" spans="1:3">
      <c r="A3785" s="62">
        <v>27270</v>
      </c>
      <c r="B3785">
        <v>0.754</v>
      </c>
      <c r="C3785" t="str">
        <f t="shared" si="63"/>
        <v>1974 q3</v>
      </c>
    </row>
    <row r="3786" spans="1:3">
      <c r="A3786" s="62">
        <v>27271</v>
      </c>
      <c r="B3786">
        <v>0.73780000000000001</v>
      </c>
      <c r="C3786" t="str">
        <f t="shared" si="63"/>
        <v>1974 q3</v>
      </c>
    </row>
    <row r="3787" spans="1:3">
      <c r="A3787" s="62">
        <v>27275</v>
      </c>
      <c r="B3787">
        <v>0.69499999999999995</v>
      </c>
      <c r="C3787" t="str">
        <f t="shared" si="63"/>
        <v>1974 q3</v>
      </c>
    </row>
    <row r="3788" spans="1:3">
      <c r="A3788" s="62">
        <v>27276</v>
      </c>
      <c r="B3788">
        <v>0.69199999999999995</v>
      </c>
      <c r="C3788" t="str">
        <f t="shared" si="63"/>
        <v>1974 q3</v>
      </c>
    </row>
    <row r="3789" spans="1:3">
      <c r="A3789" s="62">
        <v>27277</v>
      </c>
      <c r="B3789">
        <v>0.68</v>
      </c>
      <c r="C3789" t="str">
        <f t="shared" si="63"/>
        <v>1974 q3</v>
      </c>
    </row>
    <row r="3790" spans="1:3">
      <c r="A3790" s="62">
        <v>27278</v>
      </c>
      <c r="B3790">
        <v>0.68400000000000005</v>
      </c>
      <c r="C3790" t="str">
        <f t="shared" si="63"/>
        <v>1974 q3</v>
      </c>
    </row>
    <row r="3791" spans="1:3">
      <c r="A3791" s="62">
        <v>27281</v>
      </c>
      <c r="B3791">
        <v>0.66200000000000003</v>
      </c>
      <c r="C3791" t="str">
        <f t="shared" si="63"/>
        <v>1974 q3</v>
      </c>
    </row>
    <row r="3792" spans="1:3">
      <c r="A3792" s="62">
        <v>27282</v>
      </c>
      <c r="B3792">
        <v>0.66600000000000004</v>
      </c>
      <c r="C3792" t="str">
        <f t="shared" si="63"/>
        <v>1974 q3</v>
      </c>
    </row>
    <row r="3793" spans="1:3">
      <c r="A3793" s="62">
        <v>27283</v>
      </c>
      <c r="B3793">
        <v>0.67</v>
      </c>
      <c r="C3793" t="str">
        <f t="shared" si="63"/>
        <v>1974 q3</v>
      </c>
    </row>
    <row r="3794" spans="1:3">
      <c r="A3794" s="62">
        <v>27284</v>
      </c>
      <c r="B3794">
        <v>0.64800000000000002</v>
      </c>
      <c r="C3794" t="str">
        <f t="shared" ref="C3794:C3857" si="64">YEAR(A3794)&amp;" q"&amp;ROUNDUP(MONTH(A3794)/3,0)</f>
        <v>1974 q3</v>
      </c>
    </row>
    <row r="3795" spans="1:3">
      <c r="A3795" s="62">
        <v>27285</v>
      </c>
      <c r="B3795">
        <v>0.63</v>
      </c>
      <c r="C3795" t="str">
        <f t="shared" si="64"/>
        <v>1974 q3</v>
      </c>
    </row>
    <row r="3796" spans="1:3">
      <c r="A3796" s="62">
        <v>27288</v>
      </c>
      <c r="B3796">
        <v>0.622</v>
      </c>
      <c r="C3796" t="str">
        <f t="shared" si="64"/>
        <v>1974 q3</v>
      </c>
    </row>
    <row r="3797" spans="1:3">
      <c r="A3797" s="62">
        <v>27289</v>
      </c>
      <c r="B3797">
        <v>0.625</v>
      </c>
      <c r="C3797" t="str">
        <f t="shared" si="64"/>
        <v>1974 q3</v>
      </c>
    </row>
    <row r="3798" spans="1:3">
      <c r="A3798" s="62">
        <v>27290</v>
      </c>
      <c r="B3798">
        <v>0.63800000000000001</v>
      </c>
      <c r="C3798" t="str">
        <f t="shared" si="64"/>
        <v>1974 q3</v>
      </c>
    </row>
    <row r="3799" spans="1:3">
      <c r="A3799" s="62">
        <v>27291</v>
      </c>
      <c r="B3799">
        <v>0.63200000000000001</v>
      </c>
      <c r="C3799" t="str">
        <f t="shared" si="64"/>
        <v>1974 q3</v>
      </c>
    </row>
    <row r="3800" spans="1:3">
      <c r="A3800" s="62">
        <v>27292</v>
      </c>
      <c r="B3800">
        <v>0.624</v>
      </c>
      <c r="C3800" t="str">
        <f t="shared" si="64"/>
        <v>1974 q3</v>
      </c>
    </row>
    <row r="3801" spans="1:3">
      <c r="A3801" s="62">
        <v>27295</v>
      </c>
      <c r="B3801">
        <v>0.64300000000000002</v>
      </c>
      <c r="C3801" t="str">
        <f t="shared" si="64"/>
        <v>1974 q3</v>
      </c>
    </row>
    <row r="3802" spans="1:3">
      <c r="A3802" s="62">
        <v>27296</v>
      </c>
      <c r="B3802">
        <v>0.67500000000000004</v>
      </c>
      <c r="C3802" t="str">
        <f t="shared" si="64"/>
        <v>1974 q3</v>
      </c>
    </row>
    <row r="3803" spans="1:3">
      <c r="A3803" s="62">
        <v>27297</v>
      </c>
      <c r="B3803">
        <v>0.65400000000000003</v>
      </c>
      <c r="C3803" t="str">
        <f t="shared" si="64"/>
        <v>1974 q3</v>
      </c>
    </row>
    <row r="3804" spans="1:3">
      <c r="A3804" s="62">
        <v>27298</v>
      </c>
      <c r="B3804">
        <v>0.65</v>
      </c>
      <c r="C3804" t="str">
        <f t="shared" si="64"/>
        <v>1974 q3</v>
      </c>
    </row>
    <row r="3805" spans="1:3">
      <c r="A3805" s="62">
        <v>27299</v>
      </c>
      <c r="B3805">
        <v>0.63500000000000001</v>
      </c>
      <c r="C3805" t="str">
        <f t="shared" si="64"/>
        <v>1974 q3</v>
      </c>
    </row>
    <row r="3806" spans="1:3">
      <c r="A3806" s="62">
        <v>27302</v>
      </c>
      <c r="B3806">
        <v>0.68200000000000005</v>
      </c>
      <c r="C3806" t="str">
        <f t="shared" si="64"/>
        <v>1974 q3</v>
      </c>
    </row>
    <row r="3807" spans="1:3">
      <c r="A3807" s="62">
        <v>27303</v>
      </c>
      <c r="B3807">
        <v>0.65200000000000002</v>
      </c>
      <c r="C3807" t="str">
        <f t="shared" si="64"/>
        <v>1974 q4</v>
      </c>
    </row>
    <row r="3808" spans="1:3">
      <c r="A3808" s="62">
        <v>27304</v>
      </c>
      <c r="B3808">
        <v>0.65100000000000002</v>
      </c>
      <c r="C3808" t="str">
        <f t="shared" si="64"/>
        <v>1974 q4</v>
      </c>
    </row>
    <row r="3809" spans="1:3">
      <c r="A3809" s="62">
        <v>27305</v>
      </c>
      <c r="B3809">
        <v>0.63800000000000001</v>
      </c>
      <c r="C3809" t="str">
        <f t="shared" si="64"/>
        <v>1974 q4</v>
      </c>
    </row>
    <row r="3810" spans="1:3">
      <c r="A3810" s="62">
        <v>27306</v>
      </c>
      <c r="B3810">
        <v>0.64300000000000002</v>
      </c>
      <c r="C3810" t="str">
        <f t="shared" si="64"/>
        <v>1974 q4</v>
      </c>
    </row>
    <row r="3811" spans="1:3">
      <c r="A3811" s="62">
        <v>27309</v>
      </c>
      <c r="B3811">
        <v>0.66400000000000003</v>
      </c>
      <c r="C3811" t="str">
        <f t="shared" si="64"/>
        <v>1974 q4</v>
      </c>
    </row>
    <row r="3812" spans="1:3">
      <c r="A3812" s="62">
        <v>27310</v>
      </c>
      <c r="B3812">
        <v>0.64500000000000002</v>
      </c>
      <c r="C3812" t="str">
        <f t="shared" si="64"/>
        <v>1974 q4</v>
      </c>
    </row>
    <row r="3813" spans="1:3">
      <c r="A3813" s="62">
        <v>27311</v>
      </c>
      <c r="B3813">
        <v>0.65800000000000003</v>
      </c>
      <c r="C3813" t="str">
        <f t="shared" si="64"/>
        <v>1974 q4</v>
      </c>
    </row>
    <row r="3814" spans="1:3">
      <c r="A3814" s="62">
        <v>27312</v>
      </c>
      <c r="B3814">
        <v>0.63</v>
      </c>
      <c r="C3814" t="str">
        <f t="shared" si="64"/>
        <v>1974 q4</v>
      </c>
    </row>
    <row r="3815" spans="1:3">
      <c r="A3815" s="62">
        <v>27313</v>
      </c>
      <c r="B3815">
        <v>0.629</v>
      </c>
      <c r="C3815" t="str">
        <f t="shared" si="64"/>
        <v>1974 q4</v>
      </c>
    </row>
    <row r="3816" spans="1:3">
      <c r="A3816" s="62">
        <v>27317</v>
      </c>
      <c r="B3816">
        <v>0.64900000000000002</v>
      </c>
      <c r="C3816" t="str">
        <f t="shared" si="64"/>
        <v>1974 q4</v>
      </c>
    </row>
    <row r="3817" spans="1:3">
      <c r="A3817" s="62">
        <v>27318</v>
      </c>
      <c r="B3817">
        <v>0.621</v>
      </c>
      <c r="C3817" t="str">
        <f t="shared" si="64"/>
        <v>1974 q4</v>
      </c>
    </row>
    <row r="3818" spans="1:3">
      <c r="A3818" s="62">
        <v>27319</v>
      </c>
      <c r="B3818">
        <v>0.60199999999999998</v>
      </c>
      <c r="C3818" t="str">
        <f t="shared" si="64"/>
        <v>1974 q4</v>
      </c>
    </row>
    <row r="3819" spans="1:3">
      <c r="A3819" s="62">
        <v>27320</v>
      </c>
      <c r="B3819">
        <v>0.58399999999999996</v>
      </c>
      <c r="C3819" t="str">
        <f t="shared" si="64"/>
        <v>1974 q4</v>
      </c>
    </row>
    <row r="3820" spans="1:3">
      <c r="A3820" s="62">
        <v>27323</v>
      </c>
      <c r="B3820">
        <v>0.57899999999999996</v>
      </c>
      <c r="C3820" t="str">
        <f t="shared" si="64"/>
        <v>1974 q4</v>
      </c>
    </row>
    <row r="3821" spans="1:3">
      <c r="A3821" s="62">
        <v>27324</v>
      </c>
      <c r="B3821">
        <v>0.57599999999999996</v>
      </c>
      <c r="C3821" t="str">
        <f t="shared" si="64"/>
        <v>1974 q4</v>
      </c>
    </row>
    <row r="3822" spans="1:3">
      <c r="A3822" s="62">
        <v>27325</v>
      </c>
      <c r="B3822">
        <v>0.57699999999999996</v>
      </c>
      <c r="C3822" t="str">
        <f t="shared" si="64"/>
        <v>1974 q4</v>
      </c>
    </row>
    <row r="3823" spans="1:3">
      <c r="A3823" s="62">
        <v>27326</v>
      </c>
      <c r="B3823">
        <v>0.59099999999999997</v>
      </c>
      <c r="C3823" t="str">
        <f t="shared" si="64"/>
        <v>1974 q4</v>
      </c>
    </row>
    <row r="3824" spans="1:3">
      <c r="A3824" s="62">
        <v>27327</v>
      </c>
      <c r="B3824">
        <v>0.60199999999999998</v>
      </c>
      <c r="C3824" t="str">
        <f t="shared" si="64"/>
        <v>1974 q4</v>
      </c>
    </row>
    <row r="3825" spans="1:3">
      <c r="A3825" s="62">
        <v>27330</v>
      </c>
      <c r="B3825">
        <v>0.60199999999999998</v>
      </c>
      <c r="C3825" t="str">
        <f t="shared" si="64"/>
        <v>1974 q4</v>
      </c>
    </row>
    <row r="3826" spans="1:3">
      <c r="A3826" s="62">
        <v>27331</v>
      </c>
      <c r="B3826">
        <v>0.59199999999999997</v>
      </c>
      <c r="C3826" t="str">
        <f t="shared" si="64"/>
        <v>1974 q4</v>
      </c>
    </row>
    <row r="3827" spans="1:3">
      <c r="A3827" s="62">
        <v>27332</v>
      </c>
      <c r="B3827">
        <v>0.60299999999999998</v>
      </c>
      <c r="C3827" t="str">
        <f t="shared" si="64"/>
        <v>1974 q4</v>
      </c>
    </row>
    <row r="3828" spans="1:3">
      <c r="A3828" s="62">
        <v>27333</v>
      </c>
      <c r="B3828">
        <v>0.63600000000000001</v>
      </c>
      <c r="C3828" t="str">
        <f t="shared" si="64"/>
        <v>1974 q4</v>
      </c>
    </row>
    <row r="3829" spans="1:3">
      <c r="A3829" s="62">
        <v>27334</v>
      </c>
      <c r="B3829">
        <v>0.621</v>
      </c>
      <c r="C3829" t="str">
        <f t="shared" si="64"/>
        <v>1974 q4</v>
      </c>
    </row>
    <row r="3830" spans="1:3">
      <c r="A3830" s="62">
        <v>27337</v>
      </c>
      <c r="B3830">
        <v>0.61399999999999999</v>
      </c>
      <c r="C3830" t="str">
        <f t="shared" si="64"/>
        <v>1974 q4</v>
      </c>
    </row>
    <row r="3831" spans="1:3">
      <c r="A3831" s="62">
        <v>27339</v>
      </c>
      <c r="B3831">
        <v>0.66400000000000003</v>
      </c>
      <c r="C3831" t="str">
        <f t="shared" si="64"/>
        <v>1974 q4</v>
      </c>
    </row>
    <row r="3832" spans="1:3">
      <c r="A3832" s="62">
        <v>27340</v>
      </c>
      <c r="B3832">
        <v>0.63700000000000001</v>
      </c>
      <c r="C3832" t="str">
        <f t="shared" si="64"/>
        <v>1974 q4</v>
      </c>
    </row>
    <row r="3833" spans="1:3">
      <c r="A3833" s="62">
        <v>27341</v>
      </c>
      <c r="B3833">
        <v>0.64500000000000002</v>
      </c>
      <c r="C3833" t="str">
        <f t="shared" si="64"/>
        <v>1974 q4</v>
      </c>
    </row>
    <row r="3834" spans="1:3">
      <c r="A3834" s="62">
        <v>27345</v>
      </c>
      <c r="B3834">
        <v>0.63100000000000001</v>
      </c>
      <c r="C3834" t="str">
        <f t="shared" si="64"/>
        <v>1974 q4</v>
      </c>
    </row>
    <row r="3835" spans="1:3">
      <c r="A3835" s="62">
        <v>27346</v>
      </c>
      <c r="B3835">
        <v>0.61199999999999999</v>
      </c>
      <c r="C3835" t="str">
        <f t="shared" si="64"/>
        <v>1974 q4</v>
      </c>
    </row>
    <row r="3836" spans="1:3">
      <c r="A3836" s="62">
        <v>27347</v>
      </c>
      <c r="B3836">
        <v>0.624</v>
      </c>
      <c r="C3836" t="str">
        <f t="shared" si="64"/>
        <v>1974 q4</v>
      </c>
    </row>
    <row r="3837" spans="1:3">
      <c r="A3837" s="62">
        <v>27348</v>
      </c>
      <c r="B3837">
        <v>0.63900000000000001</v>
      </c>
      <c r="C3837" t="str">
        <f t="shared" si="64"/>
        <v>1974 q4</v>
      </c>
    </row>
    <row r="3838" spans="1:3">
      <c r="A3838" s="62">
        <v>27351</v>
      </c>
      <c r="B3838">
        <v>0.63200000000000001</v>
      </c>
      <c r="C3838" t="str">
        <f t="shared" si="64"/>
        <v>1974 q4</v>
      </c>
    </row>
    <row r="3839" spans="1:3">
      <c r="A3839" s="62">
        <v>27352</v>
      </c>
      <c r="B3839">
        <v>0.59899999999999998</v>
      </c>
      <c r="C3839" t="str">
        <f t="shared" si="64"/>
        <v>1974 q4</v>
      </c>
    </row>
    <row r="3840" spans="1:3">
      <c r="A3840" s="62">
        <v>27353</v>
      </c>
      <c r="B3840">
        <v>0.59299999999999997</v>
      </c>
      <c r="C3840" t="str">
        <f t="shared" si="64"/>
        <v>1974 q4</v>
      </c>
    </row>
    <row r="3841" spans="1:3">
      <c r="A3841" s="62">
        <v>27354</v>
      </c>
      <c r="B3841">
        <v>0.59199999999999997</v>
      </c>
      <c r="C3841" t="str">
        <f t="shared" si="64"/>
        <v>1974 q4</v>
      </c>
    </row>
    <row r="3842" spans="1:3">
      <c r="A3842" s="62">
        <v>27355</v>
      </c>
      <c r="B3842">
        <v>0.57799999999999996</v>
      </c>
      <c r="C3842" t="str">
        <f t="shared" si="64"/>
        <v>1974 q4</v>
      </c>
    </row>
    <row r="3843" spans="1:3">
      <c r="A3843" s="62">
        <v>27358</v>
      </c>
      <c r="B3843">
        <v>0.56940000000000002</v>
      </c>
      <c r="C3843" t="str">
        <f t="shared" si="64"/>
        <v>1974 q4</v>
      </c>
    </row>
    <row r="3844" spans="1:3">
      <c r="A3844" s="62">
        <v>27359</v>
      </c>
      <c r="B3844">
        <v>0.57320000000000004</v>
      </c>
      <c r="C3844" t="str">
        <f t="shared" si="64"/>
        <v>1974 q4</v>
      </c>
    </row>
    <row r="3845" spans="1:3">
      <c r="A3845" s="62">
        <v>27360</v>
      </c>
      <c r="B3845">
        <v>0.58779999999999999</v>
      </c>
      <c r="C3845" t="str">
        <f t="shared" si="64"/>
        <v>1974 q4</v>
      </c>
    </row>
    <row r="3846" spans="1:3">
      <c r="A3846" s="62">
        <v>27362</v>
      </c>
      <c r="B3846">
        <v>0.58760000000000001</v>
      </c>
      <c r="C3846" t="str">
        <f t="shared" si="64"/>
        <v>1974 q4</v>
      </c>
    </row>
    <row r="3847" spans="1:3">
      <c r="A3847" s="62">
        <v>27365</v>
      </c>
      <c r="B3847">
        <v>0.58399999999999996</v>
      </c>
      <c r="C3847" t="str">
        <f t="shared" si="64"/>
        <v>1974 q4</v>
      </c>
    </row>
    <row r="3848" spans="1:3">
      <c r="A3848" s="62">
        <v>27366</v>
      </c>
      <c r="B3848">
        <v>0.57999999999999996</v>
      </c>
      <c r="C3848" t="str">
        <f t="shared" si="64"/>
        <v>1974 q4</v>
      </c>
    </row>
    <row r="3849" spans="1:3">
      <c r="A3849" s="62">
        <v>27367</v>
      </c>
      <c r="B3849">
        <v>0.57099999999999995</v>
      </c>
      <c r="C3849" t="str">
        <f t="shared" si="64"/>
        <v>1974 q4</v>
      </c>
    </row>
    <row r="3850" spans="1:3">
      <c r="A3850" s="62">
        <v>27368</v>
      </c>
      <c r="B3850">
        <v>0.58399999999999996</v>
      </c>
      <c r="C3850" t="str">
        <f t="shared" si="64"/>
        <v>1974 q4</v>
      </c>
    </row>
    <row r="3851" spans="1:3">
      <c r="A3851" s="62">
        <v>27369</v>
      </c>
      <c r="B3851">
        <v>0.57999999999999996</v>
      </c>
      <c r="C3851" t="str">
        <f t="shared" si="64"/>
        <v>1974 q4</v>
      </c>
    </row>
    <row r="3852" spans="1:3">
      <c r="A3852" s="62">
        <v>27372</v>
      </c>
      <c r="B3852">
        <v>0.57399999999999995</v>
      </c>
      <c r="C3852" t="str">
        <f t="shared" si="64"/>
        <v>1974 q4</v>
      </c>
    </row>
    <row r="3853" spans="1:3">
      <c r="A3853" s="62">
        <v>27373</v>
      </c>
      <c r="B3853">
        <v>0.57299999999999995</v>
      </c>
      <c r="C3853" t="str">
        <f t="shared" si="64"/>
        <v>1974 q4</v>
      </c>
    </row>
    <row r="3854" spans="1:3">
      <c r="A3854" s="62">
        <v>27374</v>
      </c>
      <c r="B3854">
        <v>0.55300000000000005</v>
      </c>
      <c r="C3854" t="str">
        <f t="shared" si="64"/>
        <v>1974 q4</v>
      </c>
    </row>
    <row r="3855" spans="1:3">
      <c r="A3855" s="62">
        <v>27375</v>
      </c>
      <c r="B3855">
        <v>0.55200000000000005</v>
      </c>
      <c r="C3855" t="str">
        <f t="shared" si="64"/>
        <v>1974 q4</v>
      </c>
    </row>
    <row r="3856" spans="1:3">
      <c r="A3856" s="62">
        <v>27376</v>
      </c>
      <c r="B3856">
        <v>0.54500000000000004</v>
      </c>
      <c r="C3856" t="str">
        <f t="shared" si="64"/>
        <v>1974 q4</v>
      </c>
    </row>
    <row r="3857" spans="1:3">
      <c r="A3857" s="62">
        <v>27379</v>
      </c>
      <c r="B3857">
        <v>0.53900000000000003</v>
      </c>
      <c r="C3857" t="str">
        <f t="shared" si="64"/>
        <v>1974 q4</v>
      </c>
    </row>
    <row r="3858" spans="1:3">
      <c r="A3858" s="62">
        <v>27380</v>
      </c>
      <c r="B3858">
        <v>0.53500000000000003</v>
      </c>
      <c r="C3858" t="str">
        <f t="shared" ref="C3858:C3921" si="65">YEAR(A3858)&amp;" q"&amp;ROUNDUP(MONTH(A3858)/3,0)</f>
        <v>1974 q4</v>
      </c>
    </row>
    <row r="3859" spans="1:3">
      <c r="A3859" s="62">
        <v>27381</v>
      </c>
      <c r="B3859">
        <v>0.54200000000000004</v>
      </c>
      <c r="C3859" t="str">
        <f t="shared" si="65"/>
        <v>1974 q4</v>
      </c>
    </row>
    <row r="3860" spans="1:3">
      <c r="A3860" s="62">
        <v>27382</v>
      </c>
      <c r="B3860">
        <v>0.54</v>
      </c>
      <c r="C3860" t="str">
        <f t="shared" si="65"/>
        <v>1974 q4</v>
      </c>
    </row>
    <row r="3861" spans="1:3">
      <c r="A3861" s="62">
        <v>27383</v>
      </c>
      <c r="B3861">
        <v>0.53500000000000003</v>
      </c>
      <c r="C3861" t="str">
        <f t="shared" si="65"/>
        <v>1974 q4</v>
      </c>
    </row>
    <row r="3862" spans="1:3">
      <c r="A3862" s="62">
        <v>27386</v>
      </c>
      <c r="B3862">
        <v>0.54100000000000004</v>
      </c>
      <c r="C3862" t="str">
        <f t="shared" si="65"/>
        <v>1974 q4</v>
      </c>
    </row>
    <row r="3863" spans="1:3">
      <c r="A3863" s="62">
        <v>27387</v>
      </c>
      <c r="B3863">
        <v>0.54300000000000004</v>
      </c>
      <c r="C3863" t="str">
        <f t="shared" si="65"/>
        <v>1974 q4</v>
      </c>
    </row>
    <row r="3864" spans="1:3">
      <c r="A3864" s="62">
        <v>27389</v>
      </c>
      <c r="B3864">
        <v>0.55379999999999996</v>
      </c>
      <c r="C3864" t="str">
        <f t="shared" si="65"/>
        <v>1974 q4</v>
      </c>
    </row>
    <row r="3865" spans="1:3">
      <c r="A3865" s="62">
        <v>27390</v>
      </c>
      <c r="B3865">
        <v>0.57679999999999998</v>
      </c>
      <c r="C3865" t="str">
        <f t="shared" si="65"/>
        <v>1974 q4</v>
      </c>
    </row>
    <row r="3866" spans="1:3">
      <c r="A3866" s="62">
        <v>27393</v>
      </c>
      <c r="B3866">
        <v>0.55320000000000003</v>
      </c>
      <c r="C3866" t="str">
        <f t="shared" si="65"/>
        <v>1974 q4</v>
      </c>
    </row>
    <row r="3867" spans="1:3">
      <c r="A3867" s="62">
        <v>27394</v>
      </c>
      <c r="B3867">
        <v>0.53359999999999996</v>
      </c>
      <c r="C3867" t="str">
        <f t="shared" si="65"/>
        <v>1974 q4</v>
      </c>
    </row>
    <row r="3868" spans="1:3">
      <c r="A3868" s="62">
        <v>27396</v>
      </c>
      <c r="B3868">
        <v>0.53100000000000003</v>
      </c>
      <c r="C3868" t="str">
        <f t="shared" si="65"/>
        <v>1975 q1</v>
      </c>
    </row>
    <row r="3869" spans="1:3">
      <c r="A3869" s="62">
        <v>27397</v>
      </c>
      <c r="B3869">
        <v>0.53100000000000003</v>
      </c>
      <c r="C3869" t="str">
        <f t="shared" si="65"/>
        <v>1975 q1</v>
      </c>
    </row>
    <row r="3870" spans="1:3">
      <c r="A3870" s="62">
        <v>27400</v>
      </c>
      <c r="B3870">
        <v>0.52200000000000002</v>
      </c>
      <c r="C3870" t="str">
        <f t="shared" si="65"/>
        <v>1975 q1</v>
      </c>
    </row>
    <row r="3871" spans="1:3">
      <c r="A3871" s="62">
        <v>27401</v>
      </c>
      <c r="B3871">
        <v>0.52900000000000003</v>
      </c>
      <c r="C3871" t="str">
        <f t="shared" si="65"/>
        <v>1975 q1</v>
      </c>
    </row>
    <row r="3872" spans="1:3">
      <c r="A3872" s="62">
        <v>27402</v>
      </c>
      <c r="B3872">
        <v>0.53200000000000003</v>
      </c>
      <c r="C3872" t="str">
        <f t="shared" si="65"/>
        <v>1975 q1</v>
      </c>
    </row>
    <row r="3873" spans="1:3">
      <c r="A3873" s="62">
        <v>27403</v>
      </c>
      <c r="B3873">
        <v>0.53600000000000003</v>
      </c>
      <c r="C3873" t="str">
        <f t="shared" si="65"/>
        <v>1975 q1</v>
      </c>
    </row>
    <row r="3874" spans="1:3">
      <c r="A3874" s="62">
        <v>27404</v>
      </c>
      <c r="B3874">
        <v>0.53200000000000003</v>
      </c>
      <c r="C3874" t="str">
        <f t="shared" si="65"/>
        <v>1975 q1</v>
      </c>
    </row>
    <row r="3875" spans="1:3">
      <c r="A3875" s="62">
        <v>27407</v>
      </c>
      <c r="B3875">
        <v>0.53</v>
      </c>
      <c r="C3875" t="str">
        <f t="shared" si="65"/>
        <v>1975 q1</v>
      </c>
    </row>
    <row r="3876" spans="1:3">
      <c r="A3876" s="62">
        <v>27408</v>
      </c>
      <c r="B3876">
        <v>0.54400000000000004</v>
      </c>
      <c r="C3876" t="str">
        <f t="shared" si="65"/>
        <v>1975 q1</v>
      </c>
    </row>
    <row r="3877" spans="1:3">
      <c r="A3877" s="62">
        <v>27409</v>
      </c>
      <c r="B3877">
        <v>0.53500000000000003</v>
      </c>
      <c r="C3877" t="str">
        <f t="shared" si="65"/>
        <v>1975 q1</v>
      </c>
    </row>
    <row r="3878" spans="1:3">
      <c r="A3878" s="62">
        <v>27410</v>
      </c>
      <c r="B3878">
        <v>0.52</v>
      </c>
      <c r="C3878" t="str">
        <f t="shared" si="65"/>
        <v>1975 q1</v>
      </c>
    </row>
    <row r="3879" spans="1:3">
      <c r="A3879" s="62">
        <v>27411</v>
      </c>
      <c r="B3879">
        <v>0.52</v>
      </c>
      <c r="C3879" t="str">
        <f t="shared" si="65"/>
        <v>1975 q1</v>
      </c>
    </row>
    <row r="3880" spans="1:3">
      <c r="A3880" s="62">
        <v>27414</v>
      </c>
      <c r="B3880">
        <v>0.52400000000000002</v>
      </c>
      <c r="C3880" t="str">
        <f t="shared" si="65"/>
        <v>1975 q1</v>
      </c>
    </row>
    <row r="3881" spans="1:3">
      <c r="A3881" s="62">
        <v>27415</v>
      </c>
      <c r="B3881">
        <v>0.52</v>
      </c>
      <c r="C3881" t="str">
        <f t="shared" si="65"/>
        <v>1975 q1</v>
      </c>
    </row>
    <row r="3882" spans="1:3">
      <c r="A3882" s="62">
        <v>27416</v>
      </c>
      <c r="B3882">
        <v>0.51700000000000002</v>
      </c>
      <c r="C3882" t="str">
        <f t="shared" si="65"/>
        <v>1975 q1</v>
      </c>
    </row>
    <row r="3883" spans="1:3">
      <c r="A3883" s="62">
        <v>27417</v>
      </c>
      <c r="B3883">
        <v>0.52500000000000002</v>
      </c>
      <c r="C3883" t="str">
        <f t="shared" si="65"/>
        <v>1975 q1</v>
      </c>
    </row>
    <row r="3884" spans="1:3">
      <c r="A3884" s="62">
        <v>27418</v>
      </c>
      <c r="B3884">
        <v>0.51800000000000002</v>
      </c>
      <c r="C3884" t="str">
        <f t="shared" si="65"/>
        <v>1975 q1</v>
      </c>
    </row>
    <row r="3885" spans="1:3">
      <c r="A3885" s="62">
        <v>27421</v>
      </c>
      <c r="B3885">
        <v>0.53600000000000003</v>
      </c>
      <c r="C3885" t="str">
        <f t="shared" si="65"/>
        <v>1975 q1</v>
      </c>
    </row>
    <row r="3886" spans="1:3">
      <c r="A3886" s="62">
        <v>27422</v>
      </c>
      <c r="B3886">
        <v>0.52900000000000003</v>
      </c>
      <c r="C3886" t="str">
        <f t="shared" si="65"/>
        <v>1975 q1</v>
      </c>
    </row>
    <row r="3887" spans="1:3">
      <c r="A3887" s="62">
        <v>27423</v>
      </c>
      <c r="B3887">
        <v>0.52200000000000002</v>
      </c>
      <c r="C3887" t="str">
        <f t="shared" si="65"/>
        <v>1975 q1</v>
      </c>
    </row>
    <row r="3888" spans="1:3">
      <c r="A3888" s="62">
        <v>27424</v>
      </c>
      <c r="B3888">
        <v>0.52400000000000002</v>
      </c>
      <c r="C3888" t="str">
        <f t="shared" si="65"/>
        <v>1975 q1</v>
      </c>
    </row>
    <row r="3889" spans="1:3">
      <c r="A3889" s="62">
        <v>27425</v>
      </c>
      <c r="B3889">
        <v>0.52400000000000002</v>
      </c>
      <c r="C3889" t="str">
        <f t="shared" si="65"/>
        <v>1975 q1</v>
      </c>
    </row>
    <row r="3890" spans="1:3">
      <c r="A3890" s="62">
        <v>27428</v>
      </c>
      <c r="B3890">
        <v>0.53800000000000003</v>
      </c>
      <c r="C3890" t="str">
        <f t="shared" si="65"/>
        <v>1975 q1</v>
      </c>
    </row>
    <row r="3891" spans="1:3">
      <c r="A3891" s="62">
        <v>27429</v>
      </c>
      <c r="B3891">
        <v>0.52800000000000002</v>
      </c>
      <c r="C3891" t="str">
        <f t="shared" si="65"/>
        <v>1975 q1</v>
      </c>
    </row>
    <row r="3892" spans="1:3">
      <c r="A3892" s="62">
        <v>27430</v>
      </c>
      <c r="B3892">
        <v>0.52300000000000002</v>
      </c>
      <c r="C3892" t="str">
        <f t="shared" si="65"/>
        <v>1975 q1</v>
      </c>
    </row>
    <row r="3893" spans="1:3">
      <c r="A3893" s="62">
        <v>27431</v>
      </c>
      <c r="B3893">
        <v>0.52</v>
      </c>
      <c r="C3893" t="str">
        <f t="shared" si="65"/>
        <v>1975 q1</v>
      </c>
    </row>
    <row r="3894" spans="1:3">
      <c r="A3894" s="62">
        <v>27432</v>
      </c>
      <c r="B3894">
        <v>0.52500000000000002</v>
      </c>
      <c r="C3894" t="str">
        <f t="shared" si="65"/>
        <v>1975 q1</v>
      </c>
    </row>
    <row r="3895" spans="1:3">
      <c r="A3895" s="62">
        <v>27435</v>
      </c>
      <c r="B3895">
        <v>0.52900000000000003</v>
      </c>
      <c r="C3895" t="str">
        <f t="shared" si="65"/>
        <v>1975 q1</v>
      </c>
    </row>
    <row r="3896" spans="1:3">
      <c r="A3896" s="62">
        <v>27436</v>
      </c>
      <c r="B3896">
        <v>0.53</v>
      </c>
      <c r="C3896" t="str">
        <f t="shared" si="65"/>
        <v>1975 q1</v>
      </c>
    </row>
    <row r="3897" spans="1:3">
      <c r="A3897" s="62">
        <v>27438</v>
      </c>
      <c r="B3897">
        <v>0.55700000000000005</v>
      </c>
      <c r="C3897" t="str">
        <f t="shared" si="65"/>
        <v>1975 q1</v>
      </c>
    </row>
    <row r="3898" spans="1:3">
      <c r="A3898" s="62">
        <v>27439</v>
      </c>
      <c r="B3898">
        <v>0.56399999999999995</v>
      </c>
      <c r="C3898" t="str">
        <f t="shared" si="65"/>
        <v>1975 q1</v>
      </c>
    </row>
    <row r="3899" spans="1:3">
      <c r="A3899" s="62">
        <v>27443</v>
      </c>
      <c r="B3899">
        <v>0.56399999999999995</v>
      </c>
      <c r="C3899" t="str">
        <f t="shared" si="65"/>
        <v>1975 q1</v>
      </c>
    </row>
    <row r="3900" spans="1:3">
      <c r="A3900" s="62">
        <v>27444</v>
      </c>
      <c r="B3900">
        <v>0.54800000000000004</v>
      </c>
      <c r="C3900" t="str">
        <f t="shared" si="65"/>
        <v>1975 q1</v>
      </c>
    </row>
    <row r="3901" spans="1:3">
      <c r="A3901" s="62">
        <v>27445</v>
      </c>
      <c r="B3901">
        <v>0.56699999999999995</v>
      </c>
      <c r="C3901" t="str">
        <f t="shared" si="65"/>
        <v>1975 q1</v>
      </c>
    </row>
    <row r="3902" spans="1:3">
      <c r="A3902" s="62">
        <v>27446</v>
      </c>
      <c r="B3902">
        <v>0.57699999999999996</v>
      </c>
      <c r="C3902" t="str">
        <f t="shared" si="65"/>
        <v>1975 q1</v>
      </c>
    </row>
    <row r="3903" spans="1:3">
      <c r="A3903" s="62">
        <v>27449</v>
      </c>
      <c r="B3903">
        <v>0.57499999999999996</v>
      </c>
      <c r="C3903" t="str">
        <f t="shared" si="65"/>
        <v>1975 q1</v>
      </c>
    </row>
    <row r="3904" spans="1:3">
      <c r="A3904" s="62">
        <v>27450</v>
      </c>
      <c r="B3904">
        <v>0.57220000000000004</v>
      </c>
      <c r="C3904" t="str">
        <f t="shared" si="65"/>
        <v>1975 q1</v>
      </c>
    </row>
    <row r="3905" spans="1:3">
      <c r="A3905" s="62">
        <v>27451</v>
      </c>
      <c r="B3905">
        <v>0.57840000000000003</v>
      </c>
      <c r="C3905" t="str">
        <f t="shared" si="65"/>
        <v>1975 q1</v>
      </c>
    </row>
    <row r="3906" spans="1:3">
      <c r="A3906" s="62">
        <v>27452</v>
      </c>
      <c r="B3906">
        <v>0.58819999999999995</v>
      </c>
      <c r="C3906" t="str">
        <f t="shared" si="65"/>
        <v>1975 q1</v>
      </c>
    </row>
    <row r="3907" spans="1:3">
      <c r="A3907" s="62">
        <v>27453</v>
      </c>
      <c r="B3907">
        <v>0.59279999999999999</v>
      </c>
      <c r="C3907" t="str">
        <f t="shared" si="65"/>
        <v>1975 q1</v>
      </c>
    </row>
    <row r="3908" spans="1:3">
      <c r="A3908" s="62">
        <v>27456</v>
      </c>
      <c r="B3908">
        <v>0.58699999999999997</v>
      </c>
      <c r="C3908" t="str">
        <f t="shared" si="65"/>
        <v>1975 q1</v>
      </c>
    </row>
    <row r="3909" spans="1:3">
      <c r="A3909" s="62">
        <v>27457</v>
      </c>
      <c r="B3909">
        <v>0.57799999999999996</v>
      </c>
      <c r="C3909" t="str">
        <f t="shared" si="65"/>
        <v>1975 q1</v>
      </c>
    </row>
    <row r="3910" spans="1:3">
      <c r="A3910" s="62">
        <v>27458</v>
      </c>
      <c r="B3910">
        <v>0.59099999999999997</v>
      </c>
      <c r="C3910" t="str">
        <f t="shared" si="65"/>
        <v>1975 q1</v>
      </c>
    </row>
    <row r="3911" spans="1:3">
      <c r="A3911" s="62">
        <v>27459</v>
      </c>
      <c r="B3911">
        <v>0.58599999999999997</v>
      </c>
      <c r="C3911" t="str">
        <f t="shared" si="65"/>
        <v>1975 q1</v>
      </c>
    </row>
    <row r="3912" spans="1:3">
      <c r="A3912" s="62">
        <v>27460</v>
      </c>
      <c r="B3912">
        <v>0.58099999999999996</v>
      </c>
      <c r="C3912" t="str">
        <f t="shared" si="65"/>
        <v>1975 q1</v>
      </c>
    </row>
    <row r="3913" spans="1:3">
      <c r="A3913" s="62">
        <v>27463</v>
      </c>
      <c r="B3913">
        <v>0.58099999999999996</v>
      </c>
      <c r="C3913" t="str">
        <f t="shared" si="65"/>
        <v>1975 q1</v>
      </c>
    </row>
    <row r="3914" spans="1:3">
      <c r="A3914" s="62">
        <v>27464</v>
      </c>
      <c r="B3914">
        <v>0.58599999999999997</v>
      </c>
      <c r="C3914" t="str">
        <f t="shared" si="65"/>
        <v>1975 q1</v>
      </c>
    </row>
    <row r="3915" spans="1:3">
      <c r="A3915" s="62">
        <v>27465</v>
      </c>
      <c r="B3915">
        <v>0.58299999999999996</v>
      </c>
      <c r="C3915" t="str">
        <f t="shared" si="65"/>
        <v>1975 q1</v>
      </c>
    </row>
    <row r="3916" spans="1:3">
      <c r="A3916" s="62">
        <v>27466</v>
      </c>
      <c r="B3916">
        <v>0.58599999999999997</v>
      </c>
      <c r="C3916" t="str">
        <f t="shared" si="65"/>
        <v>1975 q1</v>
      </c>
    </row>
    <row r="3917" spans="1:3">
      <c r="A3917" s="62">
        <v>27467</v>
      </c>
      <c r="B3917">
        <v>0.58499999999999996</v>
      </c>
      <c r="C3917" t="str">
        <f t="shared" si="65"/>
        <v>1975 q1</v>
      </c>
    </row>
    <row r="3918" spans="1:3">
      <c r="A3918" s="62">
        <v>27470</v>
      </c>
      <c r="B3918">
        <v>0.58399999999999996</v>
      </c>
      <c r="C3918" t="str">
        <f t="shared" si="65"/>
        <v>1975 q1</v>
      </c>
    </row>
    <row r="3919" spans="1:3">
      <c r="A3919" s="62">
        <v>27471</v>
      </c>
      <c r="B3919">
        <v>0.58599999999999997</v>
      </c>
      <c r="C3919" t="str">
        <f t="shared" si="65"/>
        <v>1975 q1</v>
      </c>
    </row>
    <row r="3920" spans="1:3">
      <c r="A3920" s="62">
        <v>27472</v>
      </c>
      <c r="B3920">
        <v>0.60699999999999998</v>
      </c>
      <c r="C3920" t="str">
        <f t="shared" si="65"/>
        <v>1975 q1</v>
      </c>
    </row>
    <row r="3921" spans="1:3">
      <c r="A3921" s="62">
        <v>27473</v>
      </c>
      <c r="B3921">
        <v>0.61899999999999999</v>
      </c>
      <c r="C3921" t="str">
        <f t="shared" si="65"/>
        <v>1975 q1</v>
      </c>
    </row>
    <row r="3922" spans="1:3">
      <c r="A3922" s="62">
        <v>27474</v>
      </c>
      <c r="B3922">
        <v>0.61099999999999999</v>
      </c>
      <c r="C3922" t="str">
        <f t="shared" ref="C3922:C3985" si="66">YEAR(A3922)&amp;" q"&amp;ROUNDUP(MONTH(A3922)/3,0)</f>
        <v>1975 q1</v>
      </c>
    </row>
    <row r="3923" spans="1:3">
      <c r="A3923" s="62">
        <v>27477</v>
      </c>
      <c r="B3923">
        <v>0.61299999999999999</v>
      </c>
      <c r="C3923" t="str">
        <f t="shared" si="66"/>
        <v>1975 q1</v>
      </c>
    </row>
    <row r="3924" spans="1:3">
      <c r="A3924" s="62">
        <v>27478</v>
      </c>
      <c r="B3924">
        <v>0.61199999999999999</v>
      </c>
      <c r="C3924" t="str">
        <f t="shared" si="66"/>
        <v>1975 q1</v>
      </c>
    </row>
    <row r="3925" spans="1:3">
      <c r="A3925" s="62">
        <v>27479</v>
      </c>
      <c r="B3925">
        <v>0.61899999999999999</v>
      </c>
      <c r="C3925" t="str">
        <f t="shared" si="66"/>
        <v>1975 q1</v>
      </c>
    </row>
    <row r="3926" spans="1:3">
      <c r="A3926" s="62">
        <v>27480</v>
      </c>
      <c r="B3926">
        <v>0.62</v>
      </c>
      <c r="C3926" t="str">
        <f t="shared" si="66"/>
        <v>1975 q1</v>
      </c>
    </row>
    <row r="3927" spans="1:3">
      <c r="A3927" s="62">
        <v>27484</v>
      </c>
      <c r="B3927">
        <v>0.629</v>
      </c>
      <c r="C3927" t="str">
        <f t="shared" si="66"/>
        <v>1975 q1</v>
      </c>
    </row>
    <row r="3928" spans="1:3">
      <c r="A3928" s="62">
        <v>27485</v>
      </c>
      <c r="B3928">
        <v>0.626</v>
      </c>
      <c r="C3928" t="str">
        <f t="shared" si="66"/>
        <v>1975 q2</v>
      </c>
    </row>
    <row r="3929" spans="1:3">
      <c r="A3929" s="62">
        <v>27486</v>
      </c>
      <c r="B3929">
        <v>0.624</v>
      </c>
      <c r="C3929" t="str">
        <f t="shared" si="66"/>
        <v>1975 q2</v>
      </c>
    </row>
    <row r="3930" spans="1:3">
      <c r="A3930" s="62">
        <v>27487</v>
      </c>
      <c r="B3930">
        <v>0.60899999999999999</v>
      </c>
      <c r="C3930" t="str">
        <f t="shared" si="66"/>
        <v>1975 q2</v>
      </c>
    </row>
    <row r="3931" spans="1:3">
      <c r="A3931" s="62">
        <v>27488</v>
      </c>
      <c r="B3931">
        <v>0.59199999999999997</v>
      </c>
      <c r="C3931" t="str">
        <f t="shared" si="66"/>
        <v>1975 q2</v>
      </c>
    </row>
    <row r="3932" spans="1:3">
      <c r="A3932" s="62">
        <v>27491</v>
      </c>
      <c r="B3932">
        <v>0.59799999999999998</v>
      </c>
      <c r="C3932" t="str">
        <f t="shared" si="66"/>
        <v>1975 q2</v>
      </c>
    </row>
    <row r="3933" spans="1:3">
      <c r="A3933" s="62">
        <v>27492</v>
      </c>
      <c r="B3933">
        <v>0.59699999999999998</v>
      </c>
      <c r="C3933" t="str">
        <f t="shared" si="66"/>
        <v>1975 q2</v>
      </c>
    </row>
    <row r="3934" spans="1:3">
      <c r="A3934" s="62">
        <v>27493</v>
      </c>
      <c r="B3934">
        <v>0.59299999999999997</v>
      </c>
      <c r="C3934" t="str">
        <f t="shared" si="66"/>
        <v>1975 q2</v>
      </c>
    </row>
    <row r="3935" spans="1:3">
      <c r="A3935" s="62">
        <v>27494</v>
      </c>
      <c r="B3935">
        <v>0.56499999999999995</v>
      </c>
      <c r="C3935" t="str">
        <f t="shared" si="66"/>
        <v>1975 q2</v>
      </c>
    </row>
    <row r="3936" spans="1:3">
      <c r="A3936" s="62">
        <v>27495</v>
      </c>
      <c r="B3936">
        <v>0.57299999999999995</v>
      </c>
      <c r="C3936" t="str">
        <f t="shared" si="66"/>
        <v>1975 q2</v>
      </c>
    </row>
    <row r="3937" spans="1:3">
      <c r="A3937" s="62">
        <v>27498</v>
      </c>
      <c r="B3937">
        <v>0.57099999999999995</v>
      </c>
      <c r="C3937" t="str">
        <f t="shared" si="66"/>
        <v>1975 q2</v>
      </c>
    </row>
    <row r="3938" spans="1:3">
      <c r="A3938" s="62">
        <v>27499</v>
      </c>
      <c r="B3938">
        <v>0.58099999999999996</v>
      </c>
      <c r="C3938" t="str">
        <f t="shared" si="66"/>
        <v>1975 q2</v>
      </c>
    </row>
    <row r="3939" spans="1:3">
      <c r="A3939" s="62">
        <v>27500</v>
      </c>
      <c r="B3939">
        <v>0.58099999999999996</v>
      </c>
      <c r="C3939" t="str">
        <f t="shared" si="66"/>
        <v>1975 q2</v>
      </c>
    </row>
    <row r="3940" spans="1:3">
      <c r="A3940" s="62">
        <v>27501</v>
      </c>
      <c r="B3940">
        <v>0.58499999999999996</v>
      </c>
      <c r="C3940" t="str">
        <f t="shared" si="66"/>
        <v>1975 q2</v>
      </c>
    </row>
    <row r="3941" spans="1:3">
      <c r="A3941" s="62">
        <v>27502</v>
      </c>
      <c r="B3941">
        <v>0.58499999999999996</v>
      </c>
      <c r="C3941" t="str">
        <f t="shared" si="66"/>
        <v>1975 q2</v>
      </c>
    </row>
    <row r="3942" spans="1:3">
      <c r="A3942" s="62">
        <v>27505</v>
      </c>
      <c r="B3942">
        <v>0.58099999999999996</v>
      </c>
      <c r="C3942" t="str">
        <f t="shared" si="66"/>
        <v>1975 q2</v>
      </c>
    </row>
    <row r="3943" spans="1:3">
      <c r="A3943" s="62">
        <v>27506</v>
      </c>
      <c r="B3943">
        <v>0.57299999999999995</v>
      </c>
      <c r="C3943" t="str">
        <f t="shared" si="66"/>
        <v>1975 q2</v>
      </c>
    </row>
    <row r="3944" spans="1:3">
      <c r="A3944" s="62">
        <v>27507</v>
      </c>
      <c r="B3944">
        <v>0.56799999999999995</v>
      </c>
      <c r="C3944" t="str">
        <f t="shared" si="66"/>
        <v>1975 q2</v>
      </c>
    </row>
    <row r="3945" spans="1:3">
      <c r="A3945" s="62">
        <v>27508</v>
      </c>
      <c r="B3945">
        <v>0.55700000000000005</v>
      </c>
      <c r="C3945" t="str">
        <f t="shared" si="66"/>
        <v>1975 q2</v>
      </c>
    </row>
    <row r="3946" spans="1:3">
      <c r="A3946" s="62">
        <v>27509</v>
      </c>
      <c r="B3946">
        <v>0.55120000000000002</v>
      </c>
      <c r="C3946" t="str">
        <f t="shared" si="66"/>
        <v>1975 q2</v>
      </c>
    </row>
    <row r="3947" spans="1:3">
      <c r="A3947" s="62">
        <v>27512</v>
      </c>
      <c r="B3947">
        <v>0.55679999999999996</v>
      </c>
      <c r="C3947" t="str">
        <f t="shared" si="66"/>
        <v>1975 q2</v>
      </c>
    </row>
    <row r="3948" spans="1:3">
      <c r="A3948" s="62">
        <v>27513</v>
      </c>
      <c r="B3948">
        <v>0.5716</v>
      </c>
      <c r="C3948" t="str">
        <f t="shared" si="66"/>
        <v>1975 q2</v>
      </c>
    </row>
    <row r="3949" spans="1:3">
      <c r="A3949" s="62">
        <v>27514</v>
      </c>
      <c r="B3949">
        <v>0.56499999999999995</v>
      </c>
      <c r="C3949" t="str">
        <f t="shared" si="66"/>
        <v>1975 q2</v>
      </c>
    </row>
    <row r="3950" spans="1:3">
      <c r="A3950" s="62">
        <v>27515</v>
      </c>
      <c r="B3950">
        <v>0.56000000000000005</v>
      </c>
      <c r="C3950" t="str">
        <f t="shared" si="66"/>
        <v>1975 q2</v>
      </c>
    </row>
    <row r="3951" spans="1:3">
      <c r="A3951" s="62">
        <v>27516</v>
      </c>
      <c r="B3951">
        <v>0.55300000000000005</v>
      </c>
      <c r="C3951" t="str">
        <f t="shared" si="66"/>
        <v>1975 q2</v>
      </c>
    </row>
    <row r="3952" spans="1:3">
      <c r="A3952" s="62">
        <v>27519</v>
      </c>
      <c r="B3952">
        <v>0.55000000000000004</v>
      </c>
      <c r="C3952" t="str">
        <f t="shared" si="66"/>
        <v>1975 q2</v>
      </c>
    </row>
    <row r="3953" spans="1:3">
      <c r="A3953" s="62">
        <v>27520</v>
      </c>
      <c r="B3953">
        <v>0.55900000000000005</v>
      </c>
      <c r="C3953" t="str">
        <f t="shared" si="66"/>
        <v>1975 q2</v>
      </c>
    </row>
    <row r="3954" spans="1:3">
      <c r="A3954" s="62">
        <v>27521</v>
      </c>
      <c r="B3954">
        <v>0.55900000000000005</v>
      </c>
      <c r="C3954" t="str">
        <f t="shared" si="66"/>
        <v>1975 q2</v>
      </c>
    </row>
    <row r="3955" spans="1:3">
      <c r="A3955" s="62">
        <v>27522</v>
      </c>
      <c r="B3955">
        <v>0.55500000000000005</v>
      </c>
      <c r="C3955" t="str">
        <f t="shared" si="66"/>
        <v>1975 q2</v>
      </c>
    </row>
    <row r="3956" spans="1:3">
      <c r="A3956" s="62">
        <v>27523</v>
      </c>
      <c r="B3956">
        <v>0.55300000000000005</v>
      </c>
      <c r="C3956" t="str">
        <f t="shared" si="66"/>
        <v>1975 q2</v>
      </c>
    </row>
    <row r="3957" spans="1:3">
      <c r="A3957" s="62">
        <v>27526</v>
      </c>
      <c r="B3957">
        <v>0.55300000000000005</v>
      </c>
      <c r="C3957" t="str">
        <f t="shared" si="66"/>
        <v>1975 q2</v>
      </c>
    </row>
    <row r="3958" spans="1:3">
      <c r="A3958" s="62">
        <v>27527</v>
      </c>
      <c r="B3958">
        <v>0.56699999999999995</v>
      </c>
      <c r="C3958" t="str">
        <f t="shared" si="66"/>
        <v>1975 q2</v>
      </c>
    </row>
    <row r="3959" spans="1:3">
      <c r="A3959" s="62">
        <v>27528</v>
      </c>
      <c r="B3959">
        <v>0.56699999999999995</v>
      </c>
      <c r="C3959" t="str">
        <f t="shared" si="66"/>
        <v>1975 q2</v>
      </c>
    </row>
    <row r="3960" spans="1:3">
      <c r="A3960" s="62">
        <v>27529</v>
      </c>
      <c r="B3960">
        <v>0.55600000000000005</v>
      </c>
      <c r="C3960" t="str">
        <f t="shared" si="66"/>
        <v>1975 q2</v>
      </c>
    </row>
    <row r="3961" spans="1:3">
      <c r="A3961" s="62">
        <v>27530</v>
      </c>
      <c r="B3961">
        <v>0.55800000000000005</v>
      </c>
      <c r="C3961" t="str">
        <f t="shared" si="66"/>
        <v>1975 q2</v>
      </c>
    </row>
    <row r="3962" spans="1:3">
      <c r="A3962" s="62">
        <v>27533</v>
      </c>
      <c r="B3962">
        <v>0.56399999999999995</v>
      </c>
      <c r="C3962" t="str">
        <f t="shared" si="66"/>
        <v>1975 q2</v>
      </c>
    </row>
    <row r="3963" spans="1:3">
      <c r="A3963" s="62">
        <v>27534</v>
      </c>
      <c r="B3963">
        <v>0.56399999999999995</v>
      </c>
      <c r="C3963" t="str">
        <f t="shared" si="66"/>
        <v>1975 q2</v>
      </c>
    </row>
    <row r="3964" spans="1:3">
      <c r="A3964" s="62">
        <v>27535</v>
      </c>
      <c r="B3964">
        <v>0.56699999999999995</v>
      </c>
      <c r="C3964" t="str">
        <f t="shared" si="66"/>
        <v>1975 q2</v>
      </c>
    </row>
    <row r="3965" spans="1:3">
      <c r="A3965" s="62">
        <v>27536</v>
      </c>
      <c r="B3965">
        <v>0.56699999999999995</v>
      </c>
      <c r="C3965" t="str">
        <f t="shared" si="66"/>
        <v>1975 q2</v>
      </c>
    </row>
    <row r="3966" spans="1:3">
      <c r="A3966" s="62">
        <v>27537</v>
      </c>
      <c r="B3966">
        <v>0.56799999999999995</v>
      </c>
      <c r="C3966" t="str">
        <f t="shared" si="66"/>
        <v>1975 q2</v>
      </c>
    </row>
    <row r="3967" spans="1:3">
      <c r="A3967" s="62">
        <v>27541</v>
      </c>
      <c r="B3967">
        <v>0.55500000000000005</v>
      </c>
      <c r="C3967" t="str">
        <f t="shared" si="66"/>
        <v>1975 q2</v>
      </c>
    </row>
    <row r="3968" spans="1:3">
      <c r="A3968" s="62">
        <v>27542</v>
      </c>
      <c r="B3968">
        <v>0.55000000000000004</v>
      </c>
      <c r="C3968" t="str">
        <f t="shared" si="66"/>
        <v>1975 q2</v>
      </c>
    </row>
    <row r="3969" spans="1:3">
      <c r="A3969" s="62">
        <v>27543</v>
      </c>
      <c r="B3969">
        <v>0.54600000000000004</v>
      </c>
      <c r="C3969" t="str">
        <f t="shared" si="66"/>
        <v>1975 q2</v>
      </c>
    </row>
    <row r="3970" spans="1:3">
      <c r="A3970" s="62">
        <v>27544</v>
      </c>
      <c r="B3970">
        <v>0.54700000000000004</v>
      </c>
      <c r="C3970" t="str">
        <f t="shared" si="66"/>
        <v>1975 q2</v>
      </c>
    </row>
    <row r="3971" spans="1:3">
      <c r="A3971" s="62">
        <v>27547</v>
      </c>
      <c r="B3971">
        <v>0.54200000000000004</v>
      </c>
      <c r="C3971" t="str">
        <f t="shared" si="66"/>
        <v>1975 q2</v>
      </c>
    </row>
    <row r="3972" spans="1:3">
      <c r="A3972" s="62">
        <v>27548</v>
      </c>
      <c r="B3972">
        <v>0.54800000000000004</v>
      </c>
      <c r="C3972" t="str">
        <f t="shared" si="66"/>
        <v>1975 q2</v>
      </c>
    </row>
    <row r="3973" spans="1:3">
      <c r="A3973" s="62">
        <v>27549</v>
      </c>
      <c r="B3973">
        <v>0.54200000000000004</v>
      </c>
      <c r="C3973" t="str">
        <f t="shared" si="66"/>
        <v>1975 q2</v>
      </c>
    </row>
    <row r="3974" spans="1:3">
      <c r="A3974" s="62">
        <v>27550</v>
      </c>
      <c r="B3974">
        <v>0.52200000000000002</v>
      </c>
      <c r="C3974" t="str">
        <f t="shared" si="66"/>
        <v>1975 q2</v>
      </c>
    </row>
    <row r="3975" spans="1:3">
      <c r="A3975" s="62">
        <v>27551</v>
      </c>
      <c r="B3975">
        <v>0.52700000000000002</v>
      </c>
      <c r="C3975" t="str">
        <f t="shared" si="66"/>
        <v>1975 q2</v>
      </c>
    </row>
    <row r="3976" spans="1:3">
      <c r="A3976" s="62">
        <v>27554</v>
      </c>
      <c r="B3976">
        <v>0.53100000000000003</v>
      </c>
      <c r="C3976" t="str">
        <f t="shared" si="66"/>
        <v>1975 q2</v>
      </c>
    </row>
    <row r="3977" spans="1:3">
      <c r="A3977" s="62">
        <v>27555</v>
      </c>
      <c r="B3977">
        <v>0.52200000000000002</v>
      </c>
      <c r="C3977" t="str">
        <f t="shared" si="66"/>
        <v>1975 q2</v>
      </c>
    </row>
    <row r="3978" spans="1:3">
      <c r="A3978" s="62">
        <v>27556</v>
      </c>
      <c r="B3978">
        <v>0.51700000000000002</v>
      </c>
      <c r="C3978" t="str">
        <f t="shared" si="66"/>
        <v>1975 q2</v>
      </c>
    </row>
    <row r="3979" spans="1:3">
      <c r="A3979" s="62">
        <v>27557</v>
      </c>
      <c r="B3979">
        <v>0.51600000000000001</v>
      </c>
      <c r="C3979" t="str">
        <f t="shared" si="66"/>
        <v>1975 q2</v>
      </c>
    </row>
    <row r="3980" spans="1:3">
      <c r="A3980" s="62">
        <v>27558</v>
      </c>
      <c r="B3980">
        <v>0.51900000000000002</v>
      </c>
      <c r="C3980" t="str">
        <f t="shared" si="66"/>
        <v>1975 q2</v>
      </c>
    </row>
    <row r="3981" spans="1:3">
      <c r="A3981" s="62">
        <v>27561</v>
      </c>
      <c r="B3981">
        <v>0.52100000000000002</v>
      </c>
      <c r="C3981" t="str">
        <f t="shared" si="66"/>
        <v>1975 q2</v>
      </c>
    </row>
    <row r="3982" spans="1:3">
      <c r="A3982" s="62">
        <v>27562</v>
      </c>
      <c r="B3982">
        <v>0.53300000000000003</v>
      </c>
      <c r="C3982" t="str">
        <f t="shared" si="66"/>
        <v>1975 q2</v>
      </c>
    </row>
    <row r="3983" spans="1:3">
      <c r="A3983" s="62">
        <v>27563</v>
      </c>
      <c r="B3983">
        <v>0.52500000000000002</v>
      </c>
      <c r="C3983" t="str">
        <f t="shared" si="66"/>
        <v>1975 q2</v>
      </c>
    </row>
    <row r="3984" spans="1:3">
      <c r="A3984" s="62">
        <v>27564</v>
      </c>
      <c r="B3984">
        <v>0.52200000000000002</v>
      </c>
      <c r="C3984" t="str">
        <f t="shared" si="66"/>
        <v>1975 q2</v>
      </c>
    </row>
    <row r="3985" spans="1:3">
      <c r="A3985" s="62">
        <v>27565</v>
      </c>
      <c r="B3985">
        <v>0.53300000000000003</v>
      </c>
      <c r="C3985" t="str">
        <f t="shared" si="66"/>
        <v>1975 q2</v>
      </c>
    </row>
    <row r="3986" spans="1:3">
      <c r="A3986" s="62">
        <v>27568</v>
      </c>
      <c r="B3986">
        <v>0.52800000000000002</v>
      </c>
      <c r="C3986" t="str">
        <f t="shared" ref="C3986:C4049" si="67">YEAR(A3986)&amp;" q"&amp;ROUNDUP(MONTH(A3986)/3,0)</f>
        <v>1975 q2</v>
      </c>
    </row>
    <row r="3987" spans="1:3">
      <c r="A3987" s="62">
        <v>27569</v>
      </c>
      <c r="B3987">
        <v>0.52900000000000003</v>
      </c>
      <c r="C3987" t="str">
        <f t="shared" si="67"/>
        <v>1975 q2</v>
      </c>
    </row>
    <row r="3988" spans="1:3">
      <c r="A3988" s="62">
        <v>27570</v>
      </c>
      <c r="B3988">
        <v>0.5444</v>
      </c>
      <c r="C3988" t="str">
        <f t="shared" si="67"/>
        <v>1975 q2</v>
      </c>
    </row>
    <row r="3989" spans="1:3">
      <c r="A3989" s="62">
        <v>27571</v>
      </c>
      <c r="B3989">
        <v>0.54120000000000001</v>
      </c>
      <c r="C3989" t="str">
        <f t="shared" si="67"/>
        <v>1975 q2</v>
      </c>
    </row>
    <row r="3990" spans="1:3">
      <c r="A3990" s="62">
        <v>27572</v>
      </c>
      <c r="B3990">
        <v>0.55179999999999996</v>
      </c>
      <c r="C3990" t="str">
        <f t="shared" si="67"/>
        <v>1975 q2</v>
      </c>
    </row>
    <row r="3991" spans="1:3">
      <c r="A3991" s="62">
        <v>27575</v>
      </c>
      <c r="B3991">
        <v>0.56340000000000001</v>
      </c>
      <c r="C3991" t="str">
        <f t="shared" si="67"/>
        <v>1975 q2</v>
      </c>
    </row>
    <row r="3992" spans="1:3">
      <c r="A3992" s="62">
        <v>27576</v>
      </c>
      <c r="B3992">
        <v>0.56100000000000005</v>
      </c>
      <c r="C3992" t="str">
        <f t="shared" si="67"/>
        <v>1975 q3</v>
      </c>
    </row>
    <row r="3993" spans="1:3">
      <c r="A3993" s="62">
        <v>27577</v>
      </c>
      <c r="B3993">
        <v>0.56799999999999995</v>
      </c>
      <c r="C3993" t="str">
        <f t="shared" si="67"/>
        <v>1975 q3</v>
      </c>
    </row>
    <row r="3994" spans="1:3">
      <c r="A3994" s="62">
        <v>27578</v>
      </c>
      <c r="B3994">
        <v>0.56399999999999995</v>
      </c>
      <c r="C3994" t="str">
        <f t="shared" si="67"/>
        <v>1975 q3</v>
      </c>
    </row>
    <row r="3995" spans="1:3">
      <c r="A3995" s="62">
        <v>27582</v>
      </c>
      <c r="B3995">
        <v>0.55000000000000004</v>
      </c>
      <c r="C3995" t="str">
        <f t="shared" si="67"/>
        <v>1975 q3</v>
      </c>
    </row>
    <row r="3996" spans="1:3">
      <c r="A3996" s="62">
        <v>27583</v>
      </c>
      <c r="B3996">
        <v>0.55800000000000005</v>
      </c>
      <c r="C3996" t="str">
        <f t="shared" si="67"/>
        <v>1975 q3</v>
      </c>
    </row>
    <row r="3997" spans="1:3">
      <c r="A3997" s="62">
        <v>27584</v>
      </c>
      <c r="B3997">
        <v>0.56499999999999995</v>
      </c>
      <c r="C3997" t="str">
        <f t="shared" si="67"/>
        <v>1975 q3</v>
      </c>
    </row>
    <row r="3998" spans="1:3">
      <c r="A3998" s="62">
        <v>27585</v>
      </c>
      <c r="B3998">
        <v>0.56799999999999995</v>
      </c>
      <c r="C3998" t="str">
        <f t="shared" si="67"/>
        <v>1975 q3</v>
      </c>
    </row>
    <row r="3999" spans="1:3">
      <c r="A3999" s="62">
        <v>27586</v>
      </c>
      <c r="B3999">
        <v>0.57499999999999996</v>
      </c>
      <c r="C3999" t="str">
        <f t="shared" si="67"/>
        <v>1975 q3</v>
      </c>
    </row>
    <row r="4000" spans="1:3">
      <c r="A4000" s="62">
        <v>27589</v>
      </c>
      <c r="B4000">
        <v>0.58199999999999996</v>
      </c>
      <c r="C4000" t="str">
        <f t="shared" si="67"/>
        <v>1975 q3</v>
      </c>
    </row>
    <row r="4001" spans="1:3">
      <c r="A4001" s="62">
        <v>27590</v>
      </c>
      <c r="B4001">
        <v>0.57299999999999995</v>
      </c>
      <c r="C4001" t="str">
        <f t="shared" si="67"/>
        <v>1975 q3</v>
      </c>
    </row>
    <row r="4002" spans="1:3">
      <c r="A4002" s="62">
        <v>27591</v>
      </c>
      <c r="B4002">
        <v>0.57399999999999995</v>
      </c>
      <c r="C4002" t="str">
        <f t="shared" si="67"/>
        <v>1975 q3</v>
      </c>
    </row>
    <row r="4003" spans="1:3">
      <c r="A4003" s="62">
        <v>27592</v>
      </c>
      <c r="B4003">
        <v>0.56899999999999995</v>
      </c>
      <c r="C4003" t="str">
        <f t="shared" si="67"/>
        <v>1975 q3</v>
      </c>
    </row>
    <row r="4004" spans="1:3">
      <c r="A4004" s="62">
        <v>27593</v>
      </c>
      <c r="B4004">
        <v>0.56899999999999995</v>
      </c>
      <c r="C4004" t="str">
        <f t="shared" si="67"/>
        <v>1975 q3</v>
      </c>
    </row>
    <row r="4005" spans="1:3">
      <c r="A4005" s="62">
        <v>27596</v>
      </c>
      <c r="B4005">
        <v>0.57799999999999996</v>
      </c>
      <c r="C4005" t="str">
        <f t="shared" si="67"/>
        <v>1975 q3</v>
      </c>
    </row>
    <row r="4006" spans="1:3">
      <c r="A4006" s="62">
        <v>27597</v>
      </c>
      <c r="B4006">
        <v>0.58799999999999997</v>
      </c>
      <c r="C4006" t="str">
        <f t="shared" si="67"/>
        <v>1975 q3</v>
      </c>
    </row>
    <row r="4007" spans="1:3">
      <c r="A4007" s="62">
        <v>27598</v>
      </c>
      <c r="B4007">
        <v>0.57599999999999996</v>
      </c>
      <c r="C4007" t="str">
        <f t="shared" si="67"/>
        <v>1975 q3</v>
      </c>
    </row>
    <row r="4008" spans="1:3">
      <c r="A4008" s="62">
        <v>27599</v>
      </c>
      <c r="B4008">
        <v>0.57899999999999996</v>
      </c>
      <c r="C4008" t="str">
        <f t="shared" si="67"/>
        <v>1975 q3</v>
      </c>
    </row>
    <row r="4009" spans="1:3">
      <c r="A4009" s="62">
        <v>27600</v>
      </c>
      <c r="B4009">
        <v>0.59499999999999997</v>
      </c>
      <c r="C4009" t="str">
        <f t="shared" si="67"/>
        <v>1975 q3</v>
      </c>
    </row>
    <row r="4010" spans="1:3">
      <c r="A4010" s="62">
        <v>27603</v>
      </c>
      <c r="B4010">
        <v>0.59799999999999998</v>
      </c>
      <c r="C4010" t="str">
        <f t="shared" si="67"/>
        <v>1975 q3</v>
      </c>
    </row>
    <row r="4011" spans="1:3">
      <c r="A4011" s="62">
        <v>27604</v>
      </c>
      <c r="B4011">
        <v>0.59299999999999997</v>
      </c>
      <c r="C4011" t="str">
        <f t="shared" si="67"/>
        <v>1975 q3</v>
      </c>
    </row>
    <row r="4012" spans="1:3">
      <c r="A4012" s="62">
        <v>27605</v>
      </c>
      <c r="B4012">
        <v>0.58599999999999997</v>
      </c>
      <c r="C4012" t="str">
        <f t="shared" si="67"/>
        <v>1975 q3</v>
      </c>
    </row>
    <row r="4013" spans="1:3">
      <c r="A4013" s="62">
        <v>27606</v>
      </c>
      <c r="B4013">
        <v>0.57899999999999996</v>
      </c>
      <c r="C4013" t="str">
        <f t="shared" si="67"/>
        <v>1975 q3</v>
      </c>
    </row>
    <row r="4014" spans="1:3">
      <c r="A4014" s="62">
        <v>27607</v>
      </c>
      <c r="B4014">
        <v>0.57899999999999996</v>
      </c>
      <c r="C4014" t="str">
        <f t="shared" si="67"/>
        <v>1975 q3</v>
      </c>
    </row>
    <row r="4015" spans="1:3">
      <c r="A4015" s="62">
        <v>27610</v>
      </c>
      <c r="B4015">
        <v>0.58499999999999996</v>
      </c>
      <c r="C4015" t="str">
        <f t="shared" si="67"/>
        <v>1975 q3</v>
      </c>
    </row>
    <row r="4016" spans="1:3">
      <c r="A4016" s="62">
        <v>27611</v>
      </c>
      <c r="B4016">
        <v>0.57199999999999995</v>
      </c>
      <c r="C4016" t="str">
        <f t="shared" si="67"/>
        <v>1975 q3</v>
      </c>
    </row>
    <row r="4017" spans="1:3">
      <c r="A4017" s="62">
        <v>27612</v>
      </c>
      <c r="B4017">
        <v>0.56799999999999995</v>
      </c>
      <c r="C4017" t="str">
        <f t="shared" si="67"/>
        <v>1975 q3</v>
      </c>
    </row>
    <row r="4018" spans="1:3">
      <c r="A4018" s="62">
        <v>27613</v>
      </c>
      <c r="B4018">
        <v>0.57999999999999996</v>
      </c>
      <c r="C4018" t="str">
        <f t="shared" si="67"/>
        <v>1975 q3</v>
      </c>
    </row>
    <row r="4019" spans="1:3">
      <c r="A4019" s="62">
        <v>27614</v>
      </c>
      <c r="B4019">
        <v>0.58199999999999996</v>
      </c>
      <c r="C4019" t="str">
        <f t="shared" si="67"/>
        <v>1975 q3</v>
      </c>
    </row>
    <row r="4020" spans="1:3">
      <c r="A4020" s="62">
        <v>27617</v>
      </c>
      <c r="B4020">
        <v>0.58599999999999997</v>
      </c>
      <c r="C4020" t="str">
        <f t="shared" si="67"/>
        <v>1975 q3</v>
      </c>
    </row>
    <row r="4021" spans="1:3">
      <c r="A4021" s="62">
        <v>27618</v>
      </c>
      <c r="B4021">
        <v>0.58799999999999997</v>
      </c>
      <c r="C4021" t="str">
        <f t="shared" si="67"/>
        <v>1975 q3</v>
      </c>
    </row>
    <row r="4022" spans="1:3">
      <c r="A4022" s="62">
        <v>27619</v>
      </c>
      <c r="B4022">
        <v>0.58699999999999997</v>
      </c>
      <c r="C4022" t="str">
        <f t="shared" si="67"/>
        <v>1975 q3</v>
      </c>
    </row>
    <row r="4023" spans="1:3">
      <c r="A4023" s="62">
        <v>27620</v>
      </c>
      <c r="B4023">
        <v>0.58499999999999996</v>
      </c>
      <c r="C4023" t="str">
        <f t="shared" si="67"/>
        <v>1975 q3</v>
      </c>
    </row>
    <row r="4024" spans="1:3">
      <c r="A4024" s="62">
        <v>27621</v>
      </c>
      <c r="B4024">
        <v>0.58799999999999997</v>
      </c>
      <c r="C4024" t="str">
        <f t="shared" si="67"/>
        <v>1975 q3</v>
      </c>
    </row>
    <row r="4025" spans="1:3">
      <c r="A4025" s="62">
        <v>27624</v>
      </c>
      <c r="B4025">
        <v>0.59099999999999997</v>
      </c>
      <c r="C4025" t="str">
        <f t="shared" si="67"/>
        <v>1975 q3</v>
      </c>
    </row>
    <row r="4026" spans="1:3">
      <c r="A4026" s="62">
        <v>27625</v>
      </c>
      <c r="B4026">
        <v>0.60299999999999998</v>
      </c>
      <c r="C4026" t="str">
        <f t="shared" si="67"/>
        <v>1975 q3</v>
      </c>
    </row>
    <row r="4027" spans="1:3">
      <c r="A4027" s="62">
        <v>27626</v>
      </c>
      <c r="B4027">
        <v>0.61099999999999999</v>
      </c>
      <c r="C4027" t="str">
        <f t="shared" si="67"/>
        <v>1975 q3</v>
      </c>
    </row>
    <row r="4028" spans="1:3">
      <c r="A4028" s="62">
        <v>27627</v>
      </c>
      <c r="B4028">
        <v>0.60199999999999998</v>
      </c>
      <c r="C4028" t="str">
        <f t="shared" si="67"/>
        <v>1975 q3</v>
      </c>
    </row>
    <row r="4029" spans="1:3">
      <c r="A4029" s="62">
        <v>27628</v>
      </c>
      <c r="B4029">
        <v>0.61099999999999999</v>
      </c>
      <c r="C4029" t="str">
        <f t="shared" si="67"/>
        <v>1975 q3</v>
      </c>
    </row>
    <row r="4030" spans="1:3">
      <c r="A4030" s="62">
        <v>27631</v>
      </c>
      <c r="B4030">
        <v>0.61199999999999999</v>
      </c>
      <c r="C4030" t="str">
        <f t="shared" si="67"/>
        <v>1975 q3</v>
      </c>
    </row>
    <row r="4031" spans="1:3">
      <c r="A4031" s="62">
        <v>27632</v>
      </c>
      <c r="B4031">
        <v>0.60619999999999996</v>
      </c>
      <c r="C4031" t="str">
        <f t="shared" si="67"/>
        <v>1975 q3</v>
      </c>
    </row>
    <row r="4032" spans="1:3">
      <c r="A4032" s="62">
        <v>27633</v>
      </c>
      <c r="B4032">
        <v>0.60940000000000005</v>
      </c>
      <c r="C4032" t="str">
        <f t="shared" si="67"/>
        <v>1975 q3</v>
      </c>
    </row>
    <row r="4033" spans="1:3">
      <c r="A4033" s="62">
        <v>27634</v>
      </c>
      <c r="B4033">
        <v>0.61199999999999999</v>
      </c>
      <c r="C4033" t="str">
        <f t="shared" si="67"/>
        <v>1975 q3</v>
      </c>
    </row>
    <row r="4034" spans="1:3">
      <c r="A4034" s="62">
        <v>27635</v>
      </c>
      <c r="B4034">
        <v>0.59660000000000002</v>
      </c>
      <c r="C4034" t="str">
        <f t="shared" si="67"/>
        <v>1975 q3</v>
      </c>
    </row>
    <row r="4035" spans="1:3">
      <c r="A4035" s="62">
        <v>27639</v>
      </c>
      <c r="B4035">
        <v>0.56999999999999995</v>
      </c>
      <c r="C4035" t="str">
        <f t="shared" si="67"/>
        <v>1975 q3</v>
      </c>
    </row>
    <row r="4036" spans="1:3">
      <c r="A4036" s="62">
        <v>27640</v>
      </c>
      <c r="B4036">
        <v>0.57099999999999995</v>
      </c>
      <c r="C4036" t="str">
        <f t="shared" si="67"/>
        <v>1975 q3</v>
      </c>
    </row>
    <row r="4037" spans="1:3">
      <c r="A4037" s="62">
        <v>27641</v>
      </c>
      <c r="B4037">
        <v>0.58199999999999996</v>
      </c>
      <c r="C4037" t="str">
        <f t="shared" si="67"/>
        <v>1975 q3</v>
      </c>
    </row>
    <row r="4038" spans="1:3">
      <c r="A4038" s="62">
        <v>27642</v>
      </c>
      <c r="B4038">
        <v>0.58399999999999996</v>
      </c>
      <c r="C4038" t="str">
        <f t="shared" si="67"/>
        <v>1975 q3</v>
      </c>
    </row>
    <row r="4039" spans="1:3">
      <c r="A4039" s="62">
        <v>27645</v>
      </c>
      <c r="B4039">
        <v>0.57999999999999996</v>
      </c>
      <c r="C4039" t="str">
        <f t="shared" si="67"/>
        <v>1975 q3</v>
      </c>
    </row>
    <row r="4040" spans="1:3">
      <c r="A4040" s="62">
        <v>27646</v>
      </c>
      <c r="B4040">
        <v>0.57499999999999996</v>
      </c>
      <c r="C4040" t="str">
        <f t="shared" si="67"/>
        <v>1975 q3</v>
      </c>
    </row>
    <row r="4041" spans="1:3">
      <c r="A4041" s="62">
        <v>27647</v>
      </c>
      <c r="B4041">
        <v>0.58099999999999996</v>
      </c>
      <c r="C4041" t="str">
        <f t="shared" si="67"/>
        <v>1975 q3</v>
      </c>
    </row>
    <row r="4042" spans="1:3">
      <c r="A4042" s="62">
        <v>27648</v>
      </c>
      <c r="B4042">
        <v>0.57499999999999996</v>
      </c>
      <c r="C4042" t="str">
        <f t="shared" si="67"/>
        <v>1975 q3</v>
      </c>
    </row>
    <row r="4043" spans="1:3">
      <c r="A4043" s="62">
        <v>27649</v>
      </c>
      <c r="B4043">
        <v>0.57899999999999996</v>
      </c>
      <c r="C4043" t="str">
        <f t="shared" si="67"/>
        <v>1975 q3</v>
      </c>
    </row>
    <row r="4044" spans="1:3">
      <c r="A4044" s="62">
        <v>27652</v>
      </c>
      <c r="B4044">
        <v>0.57499999999999996</v>
      </c>
      <c r="C4044" t="str">
        <f t="shared" si="67"/>
        <v>1975 q3</v>
      </c>
    </row>
    <row r="4045" spans="1:3">
      <c r="A4045" s="62">
        <v>27653</v>
      </c>
      <c r="B4045">
        <v>0.56399999999999995</v>
      </c>
      <c r="C4045" t="str">
        <f t="shared" si="67"/>
        <v>1975 q3</v>
      </c>
    </row>
    <row r="4046" spans="1:3">
      <c r="A4046" s="62">
        <v>27654</v>
      </c>
      <c r="B4046">
        <v>0.56399999999999995</v>
      </c>
      <c r="C4046" t="str">
        <f t="shared" si="67"/>
        <v>1975 q3</v>
      </c>
    </row>
    <row r="4047" spans="1:3">
      <c r="A4047" s="62">
        <v>27655</v>
      </c>
      <c r="B4047">
        <v>0.56699999999999995</v>
      </c>
      <c r="C4047" t="str">
        <f t="shared" si="67"/>
        <v>1975 q3</v>
      </c>
    </row>
    <row r="4048" spans="1:3">
      <c r="A4048" s="62">
        <v>27656</v>
      </c>
      <c r="B4048">
        <v>0.56799999999999995</v>
      </c>
      <c r="C4048" t="str">
        <f t="shared" si="67"/>
        <v>1975 q3</v>
      </c>
    </row>
    <row r="4049" spans="1:3">
      <c r="A4049" s="62">
        <v>27659</v>
      </c>
      <c r="B4049">
        <v>0.56899999999999995</v>
      </c>
      <c r="C4049" t="str">
        <f t="shared" si="67"/>
        <v>1975 q3</v>
      </c>
    </row>
    <row r="4050" spans="1:3">
      <c r="A4050" s="62">
        <v>27660</v>
      </c>
      <c r="B4050">
        <v>0.57499999999999996</v>
      </c>
      <c r="C4050" t="str">
        <f t="shared" ref="C4050:C4113" si="68">YEAR(A4050)&amp;" q"&amp;ROUNDUP(MONTH(A4050)/3,0)</f>
        <v>1975 q3</v>
      </c>
    </row>
    <row r="4051" spans="1:3">
      <c r="A4051" s="62">
        <v>27661</v>
      </c>
      <c r="B4051">
        <v>0.57899999999999996</v>
      </c>
      <c r="C4051" t="str">
        <f t="shared" si="68"/>
        <v>1975 q3</v>
      </c>
    </row>
    <row r="4052" spans="1:3">
      <c r="A4052" s="62">
        <v>27662</v>
      </c>
      <c r="B4052">
        <v>0.56899999999999995</v>
      </c>
      <c r="C4052" t="str">
        <f t="shared" si="68"/>
        <v>1975 q3</v>
      </c>
    </row>
    <row r="4053" spans="1:3">
      <c r="A4053" s="62">
        <v>27663</v>
      </c>
      <c r="B4053">
        <v>0.57299999999999995</v>
      </c>
      <c r="C4053" t="str">
        <f t="shared" si="68"/>
        <v>1975 q3</v>
      </c>
    </row>
    <row r="4054" spans="1:3">
      <c r="A4054" s="62">
        <v>27666</v>
      </c>
      <c r="B4054">
        <v>0.56899999999999995</v>
      </c>
      <c r="C4054" t="str">
        <f t="shared" si="68"/>
        <v>1975 q3</v>
      </c>
    </row>
    <row r="4055" spans="1:3">
      <c r="A4055" s="62">
        <v>27667</v>
      </c>
      <c r="B4055">
        <v>0.56499999999999995</v>
      </c>
      <c r="C4055" t="str">
        <f t="shared" si="68"/>
        <v>1975 q3</v>
      </c>
    </row>
    <row r="4056" spans="1:3">
      <c r="A4056" s="62">
        <v>27668</v>
      </c>
      <c r="B4056">
        <v>0.56599999999999995</v>
      </c>
      <c r="C4056" t="str">
        <f t="shared" si="68"/>
        <v>1975 q4</v>
      </c>
    </row>
    <row r="4057" spans="1:3">
      <c r="A4057" s="62">
        <v>27669</v>
      </c>
      <c r="B4057">
        <v>0.56200000000000006</v>
      </c>
      <c r="C4057" t="str">
        <f t="shared" si="68"/>
        <v>1975 q4</v>
      </c>
    </row>
    <row r="4058" spans="1:3">
      <c r="A4058" s="62">
        <v>27670</v>
      </c>
      <c r="B4058">
        <v>0.56699999999999995</v>
      </c>
      <c r="C4058" t="str">
        <f t="shared" si="68"/>
        <v>1975 q4</v>
      </c>
    </row>
    <row r="4059" spans="1:3">
      <c r="A4059" s="62">
        <v>27673</v>
      </c>
      <c r="B4059">
        <v>0.56299999999999994</v>
      </c>
      <c r="C4059" t="str">
        <f t="shared" si="68"/>
        <v>1975 q4</v>
      </c>
    </row>
    <row r="4060" spans="1:3">
      <c r="A4060" s="62">
        <v>27674</v>
      </c>
      <c r="B4060">
        <v>0.56399999999999995</v>
      </c>
      <c r="C4060" t="str">
        <f t="shared" si="68"/>
        <v>1975 q4</v>
      </c>
    </row>
    <row r="4061" spans="1:3">
      <c r="A4061" s="62">
        <v>27675</v>
      </c>
      <c r="B4061">
        <v>0.56299999999999994</v>
      </c>
      <c r="C4061" t="str">
        <f t="shared" si="68"/>
        <v>1975 q4</v>
      </c>
    </row>
    <row r="4062" spans="1:3">
      <c r="A4062" s="62">
        <v>27676</v>
      </c>
      <c r="B4062">
        <v>0.56299999999999994</v>
      </c>
      <c r="C4062" t="str">
        <f t="shared" si="68"/>
        <v>1975 q4</v>
      </c>
    </row>
    <row r="4063" spans="1:3">
      <c r="A4063" s="62">
        <v>27677</v>
      </c>
      <c r="B4063">
        <v>0.55100000000000005</v>
      </c>
      <c r="C4063" t="str">
        <f t="shared" si="68"/>
        <v>1975 q4</v>
      </c>
    </row>
    <row r="4064" spans="1:3">
      <c r="A4064" s="62">
        <v>27681</v>
      </c>
      <c r="B4064">
        <v>0.54300000000000004</v>
      </c>
      <c r="C4064" t="str">
        <f t="shared" si="68"/>
        <v>1975 q4</v>
      </c>
    </row>
    <row r="4065" spans="1:3">
      <c r="A4065" s="62">
        <v>27682</v>
      </c>
      <c r="B4065">
        <v>0.54500000000000004</v>
      </c>
      <c r="C4065" t="str">
        <f t="shared" si="68"/>
        <v>1975 q4</v>
      </c>
    </row>
    <row r="4066" spans="1:3">
      <c r="A4066" s="62">
        <v>27683</v>
      </c>
      <c r="B4066">
        <v>0.54700000000000004</v>
      </c>
      <c r="C4066" t="str">
        <f t="shared" si="68"/>
        <v>1975 q4</v>
      </c>
    </row>
    <row r="4067" spans="1:3">
      <c r="A4067" s="62">
        <v>27684</v>
      </c>
      <c r="B4067">
        <v>0.54100000000000004</v>
      </c>
      <c r="C4067" t="str">
        <f t="shared" si="68"/>
        <v>1975 q4</v>
      </c>
    </row>
    <row r="4068" spans="1:3">
      <c r="A4068" s="62">
        <v>27687</v>
      </c>
      <c r="B4068">
        <v>0.54400000000000004</v>
      </c>
      <c r="C4068" t="str">
        <f t="shared" si="68"/>
        <v>1975 q4</v>
      </c>
    </row>
    <row r="4069" spans="1:3">
      <c r="A4069" s="62">
        <v>27688</v>
      </c>
      <c r="B4069">
        <v>0.54600000000000004</v>
      </c>
      <c r="C4069" t="str">
        <f t="shared" si="68"/>
        <v>1975 q4</v>
      </c>
    </row>
    <row r="4070" spans="1:3">
      <c r="A4070" s="62">
        <v>27689</v>
      </c>
      <c r="B4070">
        <v>0.53700000000000003</v>
      </c>
      <c r="C4070" t="str">
        <f t="shared" si="68"/>
        <v>1975 q4</v>
      </c>
    </row>
    <row r="4071" spans="1:3">
      <c r="A4071" s="62">
        <v>27690</v>
      </c>
      <c r="B4071">
        <v>0.53100000000000003</v>
      </c>
      <c r="C4071" t="str">
        <f t="shared" si="68"/>
        <v>1975 q4</v>
      </c>
    </row>
    <row r="4072" spans="1:3">
      <c r="A4072" s="62">
        <v>27691</v>
      </c>
      <c r="B4072">
        <v>0.53500000000000003</v>
      </c>
      <c r="C4072" t="str">
        <f t="shared" si="68"/>
        <v>1975 q4</v>
      </c>
    </row>
    <row r="4073" spans="1:3">
      <c r="A4073" s="62">
        <v>27694</v>
      </c>
      <c r="B4073">
        <v>0.53700000000000003</v>
      </c>
      <c r="C4073" t="str">
        <f t="shared" si="68"/>
        <v>1975 q4</v>
      </c>
    </row>
    <row r="4074" spans="1:3">
      <c r="A4074" s="62">
        <v>27695</v>
      </c>
      <c r="B4074">
        <v>0.54</v>
      </c>
      <c r="C4074" t="str">
        <f t="shared" si="68"/>
        <v>1975 q4</v>
      </c>
    </row>
    <row r="4075" spans="1:3">
      <c r="A4075" s="62">
        <v>27696</v>
      </c>
      <c r="B4075">
        <v>0.55100000000000005</v>
      </c>
      <c r="C4075" t="str">
        <f t="shared" si="68"/>
        <v>1975 q4</v>
      </c>
    </row>
    <row r="4076" spans="1:3">
      <c r="A4076" s="62">
        <v>27697</v>
      </c>
      <c r="B4076">
        <v>0.55700000000000005</v>
      </c>
      <c r="C4076" t="str">
        <f t="shared" si="68"/>
        <v>1975 q4</v>
      </c>
    </row>
    <row r="4077" spans="1:3">
      <c r="A4077" s="62">
        <v>27698</v>
      </c>
      <c r="B4077">
        <v>0.56899999999999995</v>
      </c>
      <c r="C4077" t="str">
        <f t="shared" si="68"/>
        <v>1975 q4</v>
      </c>
    </row>
    <row r="4078" spans="1:3">
      <c r="A4078" s="62">
        <v>27701</v>
      </c>
      <c r="B4078">
        <v>0.55900000000000005</v>
      </c>
      <c r="C4078" t="str">
        <f t="shared" si="68"/>
        <v>1975 q4</v>
      </c>
    </row>
    <row r="4079" spans="1:3">
      <c r="A4079" s="62">
        <v>27703</v>
      </c>
      <c r="B4079">
        <v>0.56699999999999995</v>
      </c>
      <c r="C4079" t="str">
        <f t="shared" si="68"/>
        <v>1975 q4</v>
      </c>
    </row>
    <row r="4080" spans="1:3">
      <c r="A4080" s="62">
        <v>27704</v>
      </c>
      <c r="B4080">
        <v>0.56999999999999995</v>
      </c>
      <c r="C4080" t="str">
        <f t="shared" si="68"/>
        <v>1975 q4</v>
      </c>
    </row>
    <row r="4081" spans="1:3">
      <c r="A4081" s="62">
        <v>27705</v>
      </c>
      <c r="B4081">
        <v>0.56799999999999995</v>
      </c>
      <c r="C4081" t="str">
        <f t="shared" si="68"/>
        <v>1975 q4</v>
      </c>
    </row>
    <row r="4082" spans="1:3">
      <c r="A4082" s="62">
        <v>27708</v>
      </c>
      <c r="B4082">
        <v>0.55500000000000005</v>
      </c>
      <c r="C4082" t="str">
        <f t="shared" si="68"/>
        <v>1975 q4</v>
      </c>
    </row>
    <row r="4083" spans="1:3">
      <c r="A4083" s="62">
        <v>27710</v>
      </c>
      <c r="B4083">
        <v>0.55700000000000005</v>
      </c>
      <c r="C4083" t="str">
        <f t="shared" si="68"/>
        <v>1975 q4</v>
      </c>
    </row>
    <row r="4084" spans="1:3">
      <c r="A4084" s="62">
        <v>27711</v>
      </c>
      <c r="B4084">
        <v>0.55500000000000005</v>
      </c>
      <c r="C4084" t="str">
        <f t="shared" si="68"/>
        <v>1975 q4</v>
      </c>
    </row>
    <row r="4085" spans="1:3">
      <c r="A4085" s="62">
        <v>27712</v>
      </c>
      <c r="B4085">
        <v>0.54900000000000004</v>
      </c>
      <c r="C4085" t="str">
        <f t="shared" si="68"/>
        <v>1975 q4</v>
      </c>
    </row>
    <row r="4086" spans="1:3">
      <c r="A4086" s="62">
        <v>27715</v>
      </c>
      <c r="B4086">
        <v>0.53700000000000003</v>
      </c>
      <c r="C4086" t="str">
        <f t="shared" si="68"/>
        <v>1975 q4</v>
      </c>
    </row>
    <row r="4087" spans="1:3">
      <c r="A4087" s="62">
        <v>27716</v>
      </c>
      <c r="B4087">
        <v>0.53600000000000003</v>
      </c>
      <c r="C4087" t="str">
        <f t="shared" si="68"/>
        <v>1975 q4</v>
      </c>
    </row>
    <row r="4088" spans="1:3">
      <c r="A4088" s="62">
        <v>27717</v>
      </c>
      <c r="B4088">
        <v>0.54300000000000004</v>
      </c>
      <c r="C4088" t="str">
        <f t="shared" si="68"/>
        <v>1975 q4</v>
      </c>
    </row>
    <row r="4089" spans="1:3">
      <c r="A4089" s="62">
        <v>27718</v>
      </c>
      <c r="B4089">
        <v>0.53300000000000003</v>
      </c>
      <c r="C4089" t="str">
        <f t="shared" si="68"/>
        <v>1975 q4</v>
      </c>
    </row>
    <row r="4090" spans="1:3">
      <c r="A4090" s="62">
        <v>27719</v>
      </c>
      <c r="B4090">
        <v>0.52700000000000002</v>
      </c>
      <c r="C4090" t="str">
        <f t="shared" si="68"/>
        <v>1975 q4</v>
      </c>
    </row>
    <row r="4091" spans="1:3">
      <c r="A4091" s="62">
        <v>27722</v>
      </c>
      <c r="B4091">
        <v>0.53220000000000001</v>
      </c>
      <c r="C4091" t="str">
        <f t="shared" si="68"/>
        <v>1975 q4</v>
      </c>
    </row>
    <row r="4092" spans="1:3">
      <c r="A4092" s="62">
        <v>27723</v>
      </c>
      <c r="B4092">
        <v>0.52900000000000003</v>
      </c>
      <c r="C4092" t="str">
        <f t="shared" si="68"/>
        <v>1975 q4</v>
      </c>
    </row>
    <row r="4093" spans="1:3">
      <c r="A4093" s="62">
        <v>27724</v>
      </c>
      <c r="B4093">
        <v>0.53439999999999999</v>
      </c>
      <c r="C4093" t="str">
        <f t="shared" si="68"/>
        <v>1975 q4</v>
      </c>
    </row>
    <row r="4094" spans="1:3">
      <c r="A4094" s="62">
        <v>27726</v>
      </c>
      <c r="B4094">
        <v>0.53120000000000001</v>
      </c>
      <c r="C4094" t="str">
        <f t="shared" si="68"/>
        <v>1975 q4</v>
      </c>
    </row>
    <row r="4095" spans="1:3">
      <c r="A4095" s="62">
        <v>27729</v>
      </c>
      <c r="B4095">
        <v>0.52700000000000002</v>
      </c>
      <c r="C4095" t="str">
        <f t="shared" si="68"/>
        <v>1975 q4</v>
      </c>
    </row>
    <row r="4096" spans="1:3">
      <c r="A4096" s="62">
        <v>27730</v>
      </c>
      <c r="B4096">
        <v>0.53</v>
      </c>
      <c r="C4096" t="str">
        <f t="shared" si="68"/>
        <v>1975 q4</v>
      </c>
    </row>
    <row r="4097" spans="1:3">
      <c r="A4097" s="62">
        <v>27731</v>
      </c>
      <c r="B4097">
        <v>0.52800000000000002</v>
      </c>
      <c r="C4097" t="str">
        <f t="shared" si="68"/>
        <v>1975 q4</v>
      </c>
    </row>
    <row r="4098" spans="1:3">
      <c r="A4098" s="62">
        <v>27732</v>
      </c>
      <c r="B4098">
        <v>0.53100000000000003</v>
      </c>
      <c r="C4098" t="str">
        <f t="shared" si="68"/>
        <v>1975 q4</v>
      </c>
    </row>
    <row r="4099" spans="1:3">
      <c r="A4099" s="62">
        <v>27733</v>
      </c>
      <c r="B4099">
        <v>0.53900000000000003</v>
      </c>
      <c r="C4099" t="str">
        <f t="shared" si="68"/>
        <v>1975 q4</v>
      </c>
    </row>
    <row r="4100" spans="1:3">
      <c r="A4100" s="62">
        <v>27736</v>
      </c>
      <c r="B4100">
        <v>0.53300000000000003</v>
      </c>
      <c r="C4100" t="str">
        <f t="shared" si="68"/>
        <v>1975 q4</v>
      </c>
    </row>
    <row r="4101" spans="1:3">
      <c r="A4101" s="62">
        <v>27737</v>
      </c>
      <c r="B4101">
        <v>0.52600000000000002</v>
      </c>
      <c r="C4101" t="str">
        <f t="shared" si="68"/>
        <v>1975 q4</v>
      </c>
    </row>
    <row r="4102" spans="1:3">
      <c r="A4102" s="62">
        <v>27738</v>
      </c>
      <c r="B4102">
        <v>0.52900000000000003</v>
      </c>
      <c r="C4102" t="str">
        <f t="shared" si="68"/>
        <v>1975 q4</v>
      </c>
    </row>
    <row r="4103" spans="1:3">
      <c r="A4103" s="62">
        <v>27739</v>
      </c>
      <c r="B4103">
        <v>0.53600000000000003</v>
      </c>
      <c r="C4103" t="str">
        <f t="shared" si="68"/>
        <v>1975 q4</v>
      </c>
    </row>
    <row r="4104" spans="1:3">
      <c r="A4104" s="62">
        <v>27740</v>
      </c>
      <c r="B4104">
        <v>0.52800000000000002</v>
      </c>
      <c r="C4104" t="str">
        <f t="shared" si="68"/>
        <v>1975 q4</v>
      </c>
    </row>
    <row r="4105" spans="1:3">
      <c r="A4105" s="62">
        <v>27743</v>
      </c>
      <c r="B4105">
        <v>0.52600000000000002</v>
      </c>
      <c r="C4105" t="str">
        <f t="shared" si="68"/>
        <v>1975 q4</v>
      </c>
    </row>
    <row r="4106" spans="1:3">
      <c r="A4106" s="62">
        <v>27744</v>
      </c>
      <c r="B4106">
        <v>0.52800000000000002</v>
      </c>
      <c r="C4106" t="str">
        <f t="shared" si="68"/>
        <v>1975 q4</v>
      </c>
    </row>
    <row r="4107" spans="1:3">
      <c r="A4107" s="62">
        <v>27745</v>
      </c>
      <c r="B4107">
        <v>0.53900000000000003</v>
      </c>
      <c r="C4107" t="str">
        <f t="shared" si="68"/>
        <v>1975 q4</v>
      </c>
    </row>
    <row r="4108" spans="1:3">
      <c r="A4108" s="62">
        <v>27746</v>
      </c>
      <c r="B4108">
        <v>0.55300000000000005</v>
      </c>
      <c r="C4108" t="str">
        <f t="shared" si="68"/>
        <v>1975 q4</v>
      </c>
    </row>
    <row r="4109" spans="1:3">
      <c r="A4109" s="62">
        <v>27747</v>
      </c>
      <c r="B4109">
        <v>0.56000000000000005</v>
      </c>
      <c r="C4109" t="str">
        <f t="shared" si="68"/>
        <v>1975 q4</v>
      </c>
    </row>
    <row r="4110" spans="1:3">
      <c r="A4110" s="62">
        <v>27750</v>
      </c>
      <c r="B4110">
        <v>0.55100000000000005</v>
      </c>
      <c r="C4110" t="str">
        <f t="shared" si="68"/>
        <v>1975 q4</v>
      </c>
    </row>
    <row r="4111" spans="1:3">
      <c r="A4111" s="62">
        <v>27751</v>
      </c>
      <c r="B4111">
        <v>0.55000000000000004</v>
      </c>
      <c r="C4111" t="str">
        <f t="shared" si="68"/>
        <v>1975 q4</v>
      </c>
    </row>
    <row r="4112" spans="1:3">
      <c r="A4112" s="62">
        <v>27752</v>
      </c>
      <c r="B4112">
        <v>0.55740000000000001</v>
      </c>
      <c r="C4112" t="str">
        <f t="shared" si="68"/>
        <v>1975 q4</v>
      </c>
    </row>
    <row r="4113" spans="1:3">
      <c r="A4113" s="62">
        <v>27757</v>
      </c>
      <c r="B4113">
        <v>0.54920000000000002</v>
      </c>
      <c r="C4113" t="str">
        <f t="shared" si="68"/>
        <v>1975 q4</v>
      </c>
    </row>
    <row r="4114" spans="1:3">
      <c r="A4114" s="62">
        <v>27758</v>
      </c>
      <c r="B4114">
        <v>0.55179999999999996</v>
      </c>
      <c r="C4114" t="str">
        <f t="shared" ref="C4114:C4177" si="69">YEAR(A4114)&amp;" q"&amp;ROUNDUP(MONTH(A4114)/3,0)</f>
        <v>1975 q4</v>
      </c>
    </row>
    <row r="4115" spans="1:3">
      <c r="A4115" s="62">
        <v>27759</v>
      </c>
      <c r="B4115">
        <v>0.55159999999999998</v>
      </c>
      <c r="C4115" t="str">
        <f t="shared" si="69"/>
        <v>1975 q4</v>
      </c>
    </row>
    <row r="4116" spans="1:3">
      <c r="A4116" s="62">
        <v>27761</v>
      </c>
      <c r="B4116">
        <v>0.55800000000000005</v>
      </c>
      <c r="C4116" t="str">
        <f t="shared" si="69"/>
        <v>1976 q1</v>
      </c>
    </row>
    <row r="4117" spans="1:3">
      <c r="A4117" s="62">
        <v>27764</v>
      </c>
      <c r="B4117">
        <v>0.56699999999999995</v>
      </c>
      <c r="C4117" t="str">
        <f t="shared" si="69"/>
        <v>1976 q1</v>
      </c>
    </row>
    <row r="4118" spans="1:3">
      <c r="A4118" s="62">
        <v>27765</v>
      </c>
      <c r="B4118">
        <v>0.56699999999999995</v>
      </c>
      <c r="C4118" t="str">
        <f t="shared" si="69"/>
        <v>1976 q1</v>
      </c>
    </row>
    <row r="4119" spans="1:3">
      <c r="A4119" s="62">
        <v>27766</v>
      </c>
      <c r="B4119">
        <v>0.56699999999999995</v>
      </c>
      <c r="C4119" t="str">
        <f t="shared" si="69"/>
        <v>1976 q1</v>
      </c>
    </row>
    <row r="4120" spans="1:3">
      <c r="A4120" s="62">
        <v>27767</v>
      </c>
      <c r="B4120">
        <v>0.56100000000000005</v>
      </c>
      <c r="C4120" t="str">
        <f t="shared" si="69"/>
        <v>1976 q1</v>
      </c>
    </row>
    <row r="4121" spans="1:3">
      <c r="A4121" s="62">
        <v>27768</v>
      </c>
      <c r="B4121">
        <v>0.57199999999999995</v>
      </c>
      <c r="C4121" t="str">
        <f t="shared" si="69"/>
        <v>1976 q1</v>
      </c>
    </row>
    <row r="4122" spans="1:3">
      <c r="A4122" s="62">
        <v>27771</v>
      </c>
      <c r="B4122">
        <v>0.57299999999999995</v>
      </c>
      <c r="C4122" t="str">
        <f t="shared" si="69"/>
        <v>1976 q1</v>
      </c>
    </row>
    <row r="4123" spans="1:3">
      <c r="A4123" s="62">
        <v>27772</v>
      </c>
      <c r="B4123">
        <v>0.56499999999999995</v>
      </c>
      <c r="C4123" t="str">
        <f t="shared" si="69"/>
        <v>1976 q1</v>
      </c>
    </row>
    <row r="4124" spans="1:3">
      <c r="A4124" s="62">
        <v>27773</v>
      </c>
      <c r="B4124">
        <v>0.56699999999999995</v>
      </c>
      <c r="C4124" t="str">
        <f t="shared" si="69"/>
        <v>1976 q1</v>
      </c>
    </row>
    <row r="4125" spans="1:3">
      <c r="A4125" s="62">
        <v>27774</v>
      </c>
      <c r="B4125">
        <v>0.56599999999999995</v>
      </c>
      <c r="C4125" t="str">
        <f t="shared" si="69"/>
        <v>1976 q1</v>
      </c>
    </row>
    <row r="4126" spans="1:3">
      <c r="A4126" s="62">
        <v>27775</v>
      </c>
      <c r="B4126">
        <v>0.56499999999999995</v>
      </c>
      <c r="C4126" t="str">
        <f t="shared" si="69"/>
        <v>1976 q1</v>
      </c>
    </row>
    <row r="4127" spans="1:3">
      <c r="A4127" s="62">
        <v>27778</v>
      </c>
      <c r="B4127">
        <v>0.56399999999999995</v>
      </c>
      <c r="C4127" t="str">
        <f t="shared" si="69"/>
        <v>1976 q1</v>
      </c>
    </row>
    <row r="4128" spans="1:3">
      <c r="A4128" s="62">
        <v>27779</v>
      </c>
      <c r="B4128">
        <v>0.56200000000000006</v>
      </c>
      <c r="C4128" t="str">
        <f t="shared" si="69"/>
        <v>1976 q1</v>
      </c>
    </row>
    <row r="4129" spans="1:3">
      <c r="A4129" s="62">
        <v>27780</v>
      </c>
      <c r="B4129">
        <v>0.55500000000000005</v>
      </c>
      <c r="C4129" t="str">
        <f t="shared" si="69"/>
        <v>1976 q1</v>
      </c>
    </row>
    <row r="4130" spans="1:3">
      <c r="A4130" s="62">
        <v>27781</v>
      </c>
      <c r="B4130">
        <v>0.54300000000000004</v>
      </c>
      <c r="C4130" t="str">
        <f t="shared" si="69"/>
        <v>1976 q1</v>
      </c>
    </row>
    <row r="4131" spans="1:3">
      <c r="A4131" s="62">
        <v>27782</v>
      </c>
      <c r="B4131">
        <v>0.54500000000000004</v>
      </c>
      <c r="C4131" t="str">
        <f t="shared" si="69"/>
        <v>1976 q1</v>
      </c>
    </row>
    <row r="4132" spans="1:3">
      <c r="A4132" s="62">
        <v>27785</v>
      </c>
      <c r="B4132">
        <v>0.53800000000000003</v>
      </c>
      <c r="C4132" t="str">
        <f t="shared" si="69"/>
        <v>1976 q1</v>
      </c>
    </row>
    <row r="4133" spans="1:3">
      <c r="A4133" s="62">
        <v>27786</v>
      </c>
      <c r="B4133">
        <v>0.54400000000000004</v>
      </c>
      <c r="C4133" t="str">
        <f t="shared" si="69"/>
        <v>1976 q1</v>
      </c>
    </row>
    <row r="4134" spans="1:3">
      <c r="A4134" s="62">
        <v>27787</v>
      </c>
      <c r="B4134">
        <v>0.55200000000000005</v>
      </c>
      <c r="C4134" t="str">
        <f t="shared" si="69"/>
        <v>1976 q1</v>
      </c>
    </row>
    <row r="4135" spans="1:3">
      <c r="A4135" s="62">
        <v>27788</v>
      </c>
      <c r="B4135">
        <v>0.55500000000000005</v>
      </c>
      <c r="C4135" t="str">
        <f t="shared" si="69"/>
        <v>1976 q1</v>
      </c>
    </row>
    <row r="4136" spans="1:3">
      <c r="A4136" s="62">
        <v>27789</v>
      </c>
      <c r="B4136">
        <v>0.54900000000000004</v>
      </c>
      <c r="C4136" t="str">
        <f t="shared" si="69"/>
        <v>1976 q1</v>
      </c>
    </row>
    <row r="4137" spans="1:3">
      <c r="A4137" s="62">
        <v>27792</v>
      </c>
      <c r="B4137">
        <v>0.55100000000000005</v>
      </c>
      <c r="C4137" t="str">
        <f t="shared" si="69"/>
        <v>1976 q1</v>
      </c>
    </row>
    <row r="4138" spans="1:3">
      <c r="A4138" s="62">
        <v>27793</v>
      </c>
      <c r="B4138">
        <v>0.55400000000000005</v>
      </c>
      <c r="C4138" t="str">
        <f t="shared" si="69"/>
        <v>1976 q1</v>
      </c>
    </row>
    <row r="4139" spans="1:3">
      <c r="A4139" s="62">
        <v>27794</v>
      </c>
      <c r="B4139">
        <v>0.55600000000000005</v>
      </c>
      <c r="C4139" t="str">
        <f t="shared" si="69"/>
        <v>1976 q1</v>
      </c>
    </row>
    <row r="4140" spans="1:3">
      <c r="A4140" s="62">
        <v>27795</v>
      </c>
      <c r="B4140">
        <v>0.55600000000000005</v>
      </c>
      <c r="C4140" t="str">
        <f t="shared" si="69"/>
        <v>1976 q1</v>
      </c>
    </row>
    <row r="4141" spans="1:3">
      <c r="A4141" s="62">
        <v>27796</v>
      </c>
      <c r="B4141">
        <v>0.55600000000000005</v>
      </c>
      <c r="C4141" t="str">
        <f t="shared" si="69"/>
        <v>1976 q1</v>
      </c>
    </row>
    <row r="4142" spans="1:3">
      <c r="A4142" s="62">
        <v>27799</v>
      </c>
      <c r="B4142">
        <v>0.55400000000000005</v>
      </c>
      <c r="C4142" t="str">
        <f t="shared" si="69"/>
        <v>1976 q1</v>
      </c>
    </row>
    <row r="4143" spans="1:3">
      <c r="A4143" s="62">
        <v>27800</v>
      </c>
      <c r="B4143">
        <v>0.55500000000000005</v>
      </c>
      <c r="C4143" t="str">
        <f t="shared" si="69"/>
        <v>1976 q1</v>
      </c>
    </row>
    <row r="4144" spans="1:3">
      <c r="A4144" s="62">
        <v>27801</v>
      </c>
      <c r="B4144">
        <v>0.55800000000000005</v>
      </c>
      <c r="C4144" t="str">
        <f t="shared" si="69"/>
        <v>1976 q1</v>
      </c>
    </row>
    <row r="4145" spans="1:3">
      <c r="A4145" s="62">
        <v>27802</v>
      </c>
      <c r="B4145">
        <v>0.56799999999999995</v>
      </c>
      <c r="C4145" t="str">
        <f t="shared" si="69"/>
        <v>1976 q1</v>
      </c>
    </row>
    <row r="4146" spans="1:3">
      <c r="A4146" s="62">
        <v>27803</v>
      </c>
      <c r="B4146">
        <v>0.56299999999999994</v>
      </c>
      <c r="C4146" t="str">
        <f t="shared" si="69"/>
        <v>1976 q1</v>
      </c>
    </row>
    <row r="4147" spans="1:3">
      <c r="A4147" s="62">
        <v>27807</v>
      </c>
      <c r="B4147">
        <v>0.57099999999999995</v>
      </c>
      <c r="C4147" t="str">
        <f t="shared" si="69"/>
        <v>1976 q1</v>
      </c>
    </row>
    <row r="4148" spans="1:3">
      <c r="A4148" s="62">
        <v>27808</v>
      </c>
      <c r="B4148">
        <v>0.57299999999999995</v>
      </c>
      <c r="C4148" t="str">
        <f t="shared" si="69"/>
        <v>1976 q1</v>
      </c>
    </row>
    <row r="4149" spans="1:3">
      <c r="A4149" s="62">
        <v>27809</v>
      </c>
      <c r="B4149">
        <v>0.57399999999999995</v>
      </c>
      <c r="C4149" t="str">
        <f t="shared" si="69"/>
        <v>1976 q1</v>
      </c>
    </row>
    <row r="4150" spans="1:3">
      <c r="A4150" s="62">
        <v>27810</v>
      </c>
      <c r="B4150">
        <v>0.58399999999999996</v>
      </c>
      <c r="C4150" t="str">
        <f t="shared" si="69"/>
        <v>1976 q1</v>
      </c>
    </row>
    <row r="4151" spans="1:3">
      <c r="A4151" s="62">
        <v>27813</v>
      </c>
      <c r="B4151">
        <v>0.58499999999999996</v>
      </c>
      <c r="C4151" t="str">
        <f t="shared" si="69"/>
        <v>1976 q1</v>
      </c>
    </row>
    <row r="4152" spans="1:3">
      <c r="A4152" s="62">
        <v>27814</v>
      </c>
      <c r="B4152">
        <v>0.58599999999999997</v>
      </c>
      <c r="C4152" t="str">
        <f t="shared" si="69"/>
        <v>1976 q1</v>
      </c>
    </row>
    <row r="4153" spans="1:3">
      <c r="A4153" s="62">
        <v>27815</v>
      </c>
      <c r="B4153">
        <v>0.58699999999999997</v>
      </c>
      <c r="C4153" t="str">
        <f t="shared" si="69"/>
        <v>1976 q1</v>
      </c>
    </row>
    <row r="4154" spans="1:3">
      <c r="A4154" s="62">
        <v>27816</v>
      </c>
      <c r="B4154">
        <v>0.59519999999999995</v>
      </c>
      <c r="C4154" t="str">
        <f t="shared" si="69"/>
        <v>1976 q1</v>
      </c>
    </row>
    <row r="4155" spans="1:3">
      <c r="A4155" s="62">
        <v>27817</v>
      </c>
      <c r="B4155">
        <v>0.5968</v>
      </c>
      <c r="C4155" t="str">
        <f t="shared" si="69"/>
        <v>1976 q1</v>
      </c>
    </row>
    <row r="4156" spans="1:3">
      <c r="A4156" s="62">
        <v>27820</v>
      </c>
      <c r="B4156">
        <v>0.59299999999999997</v>
      </c>
      <c r="C4156" t="str">
        <f t="shared" si="69"/>
        <v>1976 q1</v>
      </c>
    </row>
    <row r="4157" spans="1:3">
      <c r="A4157" s="62">
        <v>27821</v>
      </c>
      <c r="B4157">
        <v>0.58799999999999997</v>
      </c>
      <c r="C4157" t="str">
        <f t="shared" si="69"/>
        <v>1976 q1</v>
      </c>
    </row>
    <row r="4158" spans="1:3">
      <c r="A4158" s="62">
        <v>27822</v>
      </c>
      <c r="B4158">
        <v>0.59299999999999997</v>
      </c>
      <c r="C4158" t="str">
        <f t="shared" si="69"/>
        <v>1976 q1</v>
      </c>
    </row>
    <row r="4159" spans="1:3">
      <c r="A4159" s="62">
        <v>27823</v>
      </c>
      <c r="B4159">
        <v>0.60399999999999998</v>
      </c>
      <c r="C4159" t="str">
        <f t="shared" si="69"/>
        <v>1976 q1</v>
      </c>
    </row>
    <row r="4160" spans="1:3">
      <c r="A4160" s="62">
        <v>27824</v>
      </c>
      <c r="B4160">
        <v>0.60699999999999998</v>
      </c>
      <c r="C4160" t="str">
        <f t="shared" si="69"/>
        <v>1976 q1</v>
      </c>
    </row>
    <row r="4161" spans="1:3">
      <c r="A4161" s="62">
        <v>27827</v>
      </c>
      <c r="B4161">
        <v>0.60299999999999998</v>
      </c>
      <c r="C4161" t="str">
        <f t="shared" si="69"/>
        <v>1976 q1</v>
      </c>
    </row>
    <row r="4162" spans="1:3">
      <c r="A4162" s="62">
        <v>27828</v>
      </c>
      <c r="B4162">
        <v>0.61</v>
      </c>
      <c r="C4162" t="str">
        <f t="shared" si="69"/>
        <v>1976 q1</v>
      </c>
    </row>
    <row r="4163" spans="1:3">
      <c r="A4163" s="62">
        <v>27829</v>
      </c>
      <c r="B4163">
        <v>0.61299999999999999</v>
      </c>
      <c r="C4163" t="str">
        <f t="shared" si="69"/>
        <v>1976 q1</v>
      </c>
    </row>
    <row r="4164" spans="1:3">
      <c r="A4164" s="62">
        <v>27830</v>
      </c>
      <c r="B4164">
        <v>0.60599999999999998</v>
      </c>
      <c r="C4164" t="str">
        <f t="shared" si="69"/>
        <v>1976 q1</v>
      </c>
    </row>
    <row r="4165" spans="1:3">
      <c r="A4165" s="62">
        <v>27831</v>
      </c>
      <c r="B4165">
        <v>0.61699999999999999</v>
      </c>
      <c r="C4165" t="str">
        <f t="shared" si="69"/>
        <v>1976 q1</v>
      </c>
    </row>
    <row r="4166" spans="1:3">
      <c r="A4166" s="62">
        <v>27834</v>
      </c>
      <c r="B4166">
        <v>0.61799999999999999</v>
      </c>
      <c r="C4166" t="str">
        <f t="shared" si="69"/>
        <v>1976 q1</v>
      </c>
    </row>
    <row r="4167" spans="1:3">
      <c r="A4167" s="62">
        <v>27835</v>
      </c>
      <c r="B4167">
        <v>0.61299999999999999</v>
      </c>
      <c r="C4167" t="str">
        <f t="shared" si="69"/>
        <v>1976 q1</v>
      </c>
    </row>
    <row r="4168" spans="1:3">
      <c r="A4168" s="62">
        <v>27836</v>
      </c>
      <c r="B4168">
        <v>0.629</v>
      </c>
      <c r="C4168" t="str">
        <f t="shared" si="69"/>
        <v>1976 q1</v>
      </c>
    </row>
    <row r="4169" spans="1:3">
      <c r="A4169" s="62">
        <v>27837</v>
      </c>
      <c r="B4169">
        <v>0.63700000000000001</v>
      </c>
      <c r="C4169" t="str">
        <f t="shared" si="69"/>
        <v>1976 q1</v>
      </c>
    </row>
    <row r="4170" spans="1:3">
      <c r="A4170" s="62">
        <v>27838</v>
      </c>
      <c r="B4170">
        <v>0.64300000000000002</v>
      </c>
      <c r="C4170" t="str">
        <f t="shared" si="69"/>
        <v>1976 q1</v>
      </c>
    </row>
    <row r="4171" spans="1:3">
      <c r="A4171" s="62">
        <v>27841</v>
      </c>
      <c r="B4171">
        <v>0.63700000000000001</v>
      </c>
      <c r="C4171" t="str">
        <f t="shared" si="69"/>
        <v>1976 q1</v>
      </c>
    </row>
    <row r="4172" spans="1:3">
      <c r="A4172" s="62">
        <v>27842</v>
      </c>
      <c r="B4172">
        <v>0.63900000000000001</v>
      </c>
      <c r="C4172" t="str">
        <f t="shared" si="69"/>
        <v>1976 q1</v>
      </c>
    </row>
    <row r="4173" spans="1:3">
      <c r="A4173" s="62">
        <v>27843</v>
      </c>
      <c r="B4173">
        <v>0.63800000000000001</v>
      </c>
      <c r="C4173" t="str">
        <f t="shared" si="69"/>
        <v>1976 q1</v>
      </c>
    </row>
    <row r="4174" spans="1:3">
      <c r="A4174" s="62">
        <v>27844</v>
      </c>
      <c r="B4174">
        <v>0.626</v>
      </c>
      <c r="C4174" t="str">
        <f t="shared" si="69"/>
        <v>1976 q1</v>
      </c>
    </row>
    <row r="4175" spans="1:3">
      <c r="A4175" s="62">
        <v>27845</v>
      </c>
      <c r="B4175">
        <v>0.628</v>
      </c>
      <c r="C4175" t="str">
        <f t="shared" si="69"/>
        <v>1976 q1</v>
      </c>
    </row>
    <row r="4176" spans="1:3">
      <c r="A4176" s="62">
        <v>27848</v>
      </c>
      <c r="B4176">
        <v>0.61699999999999999</v>
      </c>
      <c r="C4176" t="str">
        <f t="shared" si="69"/>
        <v>1976 q1</v>
      </c>
    </row>
    <row r="4177" spans="1:3">
      <c r="A4177" s="62">
        <v>27849</v>
      </c>
      <c r="B4177">
        <v>0.63300000000000001</v>
      </c>
      <c r="C4177" t="str">
        <f t="shared" si="69"/>
        <v>1976 q1</v>
      </c>
    </row>
    <row r="4178" spans="1:3">
      <c r="A4178" s="62">
        <v>27850</v>
      </c>
      <c r="B4178">
        <v>0.63400000000000001</v>
      </c>
      <c r="C4178" t="str">
        <f t="shared" ref="C4178:C4241" si="70">YEAR(A4178)&amp;" q"&amp;ROUNDUP(MONTH(A4178)/3,0)</f>
        <v>1976 q1</v>
      </c>
    </row>
    <row r="4179" spans="1:3">
      <c r="A4179" s="62">
        <v>27851</v>
      </c>
      <c r="B4179">
        <v>0.65200000000000002</v>
      </c>
      <c r="C4179" t="str">
        <f t="shared" si="70"/>
        <v>1976 q2</v>
      </c>
    </row>
    <row r="4180" spans="1:3">
      <c r="A4180" s="62">
        <v>27852</v>
      </c>
      <c r="B4180">
        <v>0.64800000000000002</v>
      </c>
      <c r="C4180" t="str">
        <f t="shared" si="70"/>
        <v>1976 q2</v>
      </c>
    </row>
    <row r="4181" spans="1:3">
      <c r="A4181" s="62">
        <v>27855</v>
      </c>
      <c r="B4181">
        <v>0.65800000000000003</v>
      </c>
      <c r="C4181" t="str">
        <f t="shared" si="70"/>
        <v>1976 q2</v>
      </c>
    </row>
    <row r="4182" spans="1:3">
      <c r="A4182" s="62">
        <v>27856</v>
      </c>
      <c r="B4182">
        <v>0.66300000000000003</v>
      </c>
      <c r="C4182" t="str">
        <f t="shared" si="70"/>
        <v>1976 q2</v>
      </c>
    </row>
    <row r="4183" spans="1:3">
      <c r="A4183" s="62">
        <v>27857</v>
      </c>
      <c r="B4183">
        <v>0.66100000000000003</v>
      </c>
      <c r="C4183" t="str">
        <f t="shared" si="70"/>
        <v>1976 q2</v>
      </c>
    </row>
    <row r="4184" spans="1:3">
      <c r="A4184" s="62">
        <v>27858</v>
      </c>
      <c r="B4184">
        <v>0.68200000000000005</v>
      </c>
      <c r="C4184" t="str">
        <f t="shared" si="70"/>
        <v>1976 q2</v>
      </c>
    </row>
    <row r="4185" spans="1:3">
      <c r="A4185" s="62">
        <v>27859</v>
      </c>
      <c r="B4185">
        <v>0.68200000000000005</v>
      </c>
      <c r="C4185" t="str">
        <f t="shared" si="70"/>
        <v>1976 q2</v>
      </c>
    </row>
    <row r="4186" spans="1:3">
      <c r="A4186" s="62">
        <v>27862</v>
      </c>
      <c r="B4186">
        <v>0.70199999999999996</v>
      </c>
      <c r="C4186" t="str">
        <f t="shared" si="70"/>
        <v>1976 q2</v>
      </c>
    </row>
    <row r="4187" spans="1:3">
      <c r="A4187" s="62">
        <v>27863</v>
      </c>
      <c r="B4187">
        <v>0.69299999999999995</v>
      </c>
      <c r="C4187" t="str">
        <f t="shared" si="70"/>
        <v>1976 q2</v>
      </c>
    </row>
    <row r="4188" spans="1:3">
      <c r="A4188" s="62">
        <v>27864</v>
      </c>
      <c r="B4188">
        <v>0.68799999999999994</v>
      </c>
      <c r="C4188" t="str">
        <f t="shared" si="70"/>
        <v>1976 q2</v>
      </c>
    </row>
    <row r="4189" spans="1:3">
      <c r="A4189" s="62">
        <v>27865</v>
      </c>
      <c r="B4189">
        <v>0.70199999999999996</v>
      </c>
      <c r="C4189" t="str">
        <f t="shared" si="70"/>
        <v>1976 q2</v>
      </c>
    </row>
    <row r="4190" spans="1:3">
      <c r="A4190" s="62">
        <v>27869</v>
      </c>
      <c r="B4190">
        <v>0.71499999999999997</v>
      </c>
      <c r="C4190" t="str">
        <f t="shared" si="70"/>
        <v>1976 q2</v>
      </c>
    </row>
    <row r="4191" spans="1:3">
      <c r="A4191" s="62">
        <v>27870</v>
      </c>
      <c r="B4191">
        <v>0.74</v>
      </c>
      <c r="C4191" t="str">
        <f t="shared" si="70"/>
        <v>1976 q2</v>
      </c>
    </row>
    <row r="4192" spans="1:3">
      <c r="A4192" s="62">
        <v>27871</v>
      </c>
      <c r="B4192">
        <v>0.71899999999999997</v>
      </c>
      <c r="C4192" t="str">
        <f t="shared" si="70"/>
        <v>1976 q2</v>
      </c>
    </row>
    <row r="4193" spans="1:3">
      <c r="A4193" s="62">
        <v>27872</v>
      </c>
      <c r="B4193">
        <v>0.70799999999999996</v>
      </c>
      <c r="C4193" t="str">
        <f t="shared" si="70"/>
        <v>1976 q2</v>
      </c>
    </row>
    <row r="4194" spans="1:3">
      <c r="A4194" s="62">
        <v>27873</v>
      </c>
      <c r="B4194">
        <v>0.70799999999999996</v>
      </c>
      <c r="C4194" t="str">
        <f t="shared" si="70"/>
        <v>1976 q2</v>
      </c>
    </row>
    <row r="4195" spans="1:3">
      <c r="A4195" s="62">
        <v>27876</v>
      </c>
      <c r="B4195">
        <v>0.72799999999999998</v>
      </c>
      <c r="C4195" t="str">
        <f t="shared" si="70"/>
        <v>1976 q2</v>
      </c>
    </row>
    <row r="4196" spans="1:3">
      <c r="A4196" s="62">
        <v>27877</v>
      </c>
      <c r="B4196">
        <v>0.73360000000000003</v>
      </c>
      <c r="C4196" t="str">
        <f t="shared" si="70"/>
        <v>1976 q2</v>
      </c>
    </row>
    <row r="4197" spans="1:3">
      <c r="A4197" s="62">
        <v>27878</v>
      </c>
      <c r="B4197">
        <v>0.71560000000000001</v>
      </c>
      <c r="C4197" t="str">
        <f t="shared" si="70"/>
        <v>1976 q2</v>
      </c>
    </row>
    <row r="4198" spans="1:3">
      <c r="A4198" s="62">
        <v>27879</v>
      </c>
      <c r="B4198">
        <v>0.71099999999999997</v>
      </c>
      <c r="C4198" t="str">
        <f t="shared" si="70"/>
        <v>1976 q2</v>
      </c>
    </row>
    <row r="4199" spans="1:3">
      <c r="A4199" s="62">
        <v>27880</v>
      </c>
      <c r="B4199">
        <v>0.71499999999999997</v>
      </c>
      <c r="C4199" t="str">
        <f t="shared" si="70"/>
        <v>1976 q2</v>
      </c>
    </row>
    <row r="4200" spans="1:3">
      <c r="A4200" s="62">
        <v>27883</v>
      </c>
      <c r="B4200">
        <v>0.69199999999999995</v>
      </c>
      <c r="C4200" t="str">
        <f t="shared" si="70"/>
        <v>1976 q2</v>
      </c>
    </row>
    <row r="4201" spans="1:3">
      <c r="A4201" s="62">
        <v>27884</v>
      </c>
      <c r="B4201">
        <v>0.68600000000000005</v>
      </c>
      <c r="C4201" t="str">
        <f t="shared" si="70"/>
        <v>1976 q2</v>
      </c>
    </row>
    <row r="4202" spans="1:3">
      <c r="A4202" s="62">
        <v>27885</v>
      </c>
      <c r="B4202">
        <v>0.69499999999999995</v>
      </c>
      <c r="C4202" t="str">
        <f t="shared" si="70"/>
        <v>1976 q2</v>
      </c>
    </row>
    <row r="4203" spans="1:3">
      <c r="A4203" s="62">
        <v>27886</v>
      </c>
      <c r="B4203">
        <v>0.72</v>
      </c>
      <c r="C4203" t="str">
        <f t="shared" si="70"/>
        <v>1976 q2</v>
      </c>
    </row>
    <row r="4204" spans="1:3">
      <c r="A4204" s="62">
        <v>27887</v>
      </c>
      <c r="B4204">
        <v>0.72299999999999998</v>
      </c>
      <c r="C4204" t="str">
        <f t="shared" si="70"/>
        <v>1976 q2</v>
      </c>
    </row>
    <row r="4205" spans="1:3">
      <c r="A4205" s="62">
        <v>27890</v>
      </c>
      <c r="B4205">
        <v>0.71099999999999997</v>
      </c>
      <c r="C4205" t="str">
        <f t="shared" si="70"/>
        <v>1976 q2</v>
      </c>
    </row>
    <row r="4206" spans="1:3">
      <c r="A4206" s="62">
        <v>27891</v>
      </c>
      <c r="B4206">
        <v>0.70899999999999996</v>
      </c>
      <c r="C4206" t="str">
        <f t="shared" si="70"/>
        <v>1976 q2</v>
      </c>
    </row>
    <row r="4207" spans="1:3">
      <c r="A4207" s="62">
        <v>27892</v>
      </c>
      <c r="B4207">
        <v>0.71299999999999997</v>
      </c>
      <c r="C4207" t="str">
        <f t="shared" si="70"/>
        <v>1976 q2</v>
      </c>
    </row>
    <row r="4208" spans="1:3">
      <c r="A4208" s="62">
        <v>27893</v>
      </c>
      <c r="B4208">
        <v>0.70299999999999996</v>
      </c>
      <c r="C4208" t="str">
        <f t="shared" si="70"/>
        <v>1976 q2</v>
      </c>
    </row>
    <row r="4209" spans="1:3">
      <c r="A4209" s="62">
        <v>27894</v>
      </c>
      <c r="B4209">
        <v>0.70699999999999996</v>
      </c>
      <c r="C4209" t="str">
        <f t="shared" si="70"/>
        <v>1976 q2</v>
      </c>
    </row>
    <row r="4210" spans="1:3">
      <c r="A4210" s="62">
        <v>27897</v>
      </c>
      <c r="B4210">
        <v>0.69499999999999995</v>
      </c>
      <c r="C4210" t="str">
        <f t="shared" si="70"/>
        <v>1976 q2</v>
      </c>
    </row>
    <row r="4211" spans="1:3">
      <c r="A4211" s="62">
        <v>27898</v>
      </c>
      <c r="B4211">
        <v>0.69099999999999995</v>
      </c>
      <c r="C4211" t="str">
        <f t="shared" si="70"/>
        <v>1976 q2</v>
      </c>
    </row>
    <row r="4212" spans="1:3">
      <c r="A4212" s="62">
        <v>27899</v>
      </c>
      <c r="B4212">
        <v>0.67700000000000005</v>
      </c>
      <c r="C4212" t="str">
        <f t="shared" si="70"/>
        <v>1976 q2</v>
      </c>
    </row>
    <row r="4213" spans="1:3">
      <c r="A4213" s="62">
        <v>27900</v>
      </c>
      <c r="B4213">
        <v>0.68899999999999995</v>
      </c>
      <c r="C4213" t="str">
        <f t="shared" si="70"/>
        <v>1976 q2</v>
      </c>
    </row>
    <row r="4214" spans="1:3">
      <c r="A4214" s="62">
        <v>27901</v>
      </c>
      <c r="B4214">
        <v>0.68</v>
      </c>
      <c r="C4214" t="str">
        <f t="shared" si="70"/>
        <v>1976 q2</v>
      </c>
    </row>
    <row r="4215" spans="1:3">
      <c r="A4215" s="62">
        <v>27904</v>
      </c>
      <c r="B4215">
        <v>0.68700000000000006</v>
      </c>
      <c r="C4215" t="str">
        <f t="shared" si="70"/>
        <v>1976 q2</v>
      </c>
    </row>
    <row r="4216" spans="1:3">
      <c r="A4216" s="62">
        <v>27905</v>
      </c>
      <c r="B4216">
        <v>0.68899999999999995</v>
      </c>
      <c r="C4216" t="str">
        <f t="shared" si="70"/>
        <v>1976 q2</v>
      </c>
    </row>
    <row r="4217" spans="1:3">
      <c r="A4217" s="62">
        <v>27906</v>
      </c>
      <c r="B4217">
        <v>0.7</v>
      </c>
      <c r="C4217" t="str">
        <f t="shared" si="70"/>
        <v>1976 q2</v>
      </c>
    </row>
    <row r="4218" spans="1:3">
      <c r="A4218" s="62">
        <v>27907</v>
      </c>
      <c r="B4218">
        <v>0.69899999999999995</v>
      </c>
      <c r="C4218" t="str">
        <f t="shared" si="70"/>
        <v>1976 q2</v>
      </c>
    </row>
    <row r="4219" spans="1:3">
      <c r="A4219" s="62">
        <v>27908</v>
      </c>
      <c r="B4219">
        <v>0.69899999999999995</v>
      </c>
      <c r="C4219" t="str">
        <f t="shared" si="70"/>
        <v>1976 q2</v>
      </c>
    </row>
    <row r="4220" spans="1:3">
      <c r="A4220" s="62">
        <v>27912</v>
      </c>
      <c r="B4220">
        <v>0.69699999999999995</v>
      </c>
      <c r="C4220" t="str">
        <f t="shared" si="70"/>
        <v>1976 q2</v>
      </c>
    </row>
    <row r="4221" spans="1:3">
      <c r="A4221" s="62">
        <v>27913</v>
      </c>
      <c r="B4221">
        <v>0.68</v>
      </c>
      <c r="C4221" t="str">
        <f t="shared" si="70"/>
        <v>1976 q2</v>
      </c>
    </row>
    <row r="4222" spans="1:3">
      <c r="A4222" s="62">
        <v>27914</v>
      </c>
      <c r="B4222">
        <v>0.67500000000000004</v>
      </c>
      <c r="C4222" t="str">
        <f t="shared" si="70"/>
        <v>1976 q2</v>
      </c>
    </row>
    <row r="4223" spans="1:3">
      <c r="A4223" s="62">
        <v>27915</v>
      </c>
      <c r="B4223">
        <v>0.68</v>
      </c>
      <c r="C4223" t="str">
        <f t="shared" si="70"/>
        <v>1976 q2</v>
      </c>
    </row>
    <row r="4224" spans="1:3">
      <c r="A4224" s="62">
        <v>27918</v>
      </c>
      <c r="B4224">
        <v>0.69399999999999995</v>
      </c>
      <c r="C4224" t="str">
        <f t="shared" si="70"/>
        <v>1976 q2</v>
      </c>
    </row>
    <row r="4225" spans="1:3">
      <c r="A4225" s="62">
        <v>27919</v>
      </c>
      <c r="B4225">
        <v>0.68700000000000006</v>
      </c>
      <c r="C4225" t="str">
        <f t="shared" si="70"/>
        <v>1976 q2</v>
      </c>
    </row>
    <row r="4226" spans="1:3">
      <c r="A4226" s="62">
        <v>27920</v>
      </c>
      <c r="B4226">
        <v>0.69099999999999995</v>
      </c>
      <c r="C4226" t="str">
        <f t="shared" si="70"/>
        <v>1976 q2</v>
      </c>
    </row>
    <row r="4227" spans="1:3">
      <c r="A4227" s="62">
        <v>27921</v>
      </c>
      <c r="B4227">
        <v>0.70399999999999996</v>
      </c>
      <c r="C4227" t="str">
        <f t="shared" si="70"/>
        <v>1976 q2</v>
      </c>
    </row>
    <row r="4228" spans="1:3">
      <c r="A4228" s="62">
        <v>27922</v>
      </c>
      <c r="B4228">
        <v>0.71699999999999997</v>
      </c>
      <c r="C4228" t="str">
        <f t="shared" si="70"/>
        <v>1976 q2</v>
      </c>
    </row>
    <row r="4229" spans="1:3">
      <c r="A4229" s="62">
        <v>27925</v>
      </c>
      <c r="B4229">
        <v>0.72899999999999998</v>
      </c>
      <c r="C4229" t="str">
        <f t="shared" si="70"/>
        <v>1976 q2</v>
      </c>
    </row>
    <row r="4230" spans="1:3">
      <c r="A4230" s="62">
        <v>27926</v>
      </c>
      <c r="B4230">
        <v>0.71</v>
      </c>
      <c r="C4230" t="str">
        <f t="shared" si="70"/>
        <v>1976 q2</v>
      </c>
    </row>
    <row r="4231" spans="1:3">
      <c r="A4231" s="62">
        <v>27927</v>
      </c>
      <c r="B4231">
        <v>0.72499999999999998</v>
      </c>
      <c r="C4231" t="str">
        <f t="shared" si="70"/>
        <v>1976 q2</v>
      </c>
    </row>
    <row r="4232" spans="1:3">
      <c r="A4232" s="62">
        <v>27928</v>
      </c>
      <c r="B4232">
        <v>0.71799999999999997</v>
      </c>
      <c r="C4232" t="str">
        <f t="shared" si="70"/>
        <v>1976 q2</v>
      </c>
    </row>
    <row r="4233" spans="1:3">
      <c r="A4233" s="62">
        <v>27929</v>
      </c>
      <c r="B4233">
        <v>0.72299999999999998</v>
      </c>
      <c r="C4233" t="str">
        <f t="shared" si="70"/>
        <v>1976 q2</v>
      </c>
    </row>
    <row r="4234" spans="1:3">
      <c r="A4234" s="62">
        <v>27932</v>
      </c>
      <c r="B4234">
        <v>0.71399999999999997</v>
      </c>
      <c r="C4234" t="str">
        <f t="shared" si="70"/>
        <v>1976 q2</v>
      </c>
    </row>
    <row r="4235" spans="1:3">
      <c r="A4235" s="62">
        <v>27933</v>
      </c>
      <c r="B4235">
        <v>0.72</v>
      </c>
      <c r="C4235" t="str">
        <f t="shared" si="70"/>
        <v>1976 q2</v>
      </c>
    </row>
    <row r="4236" spans="1:3">
      <c r="A4236" s="62">
        <v>27934</v>
      </c>
      <c r="B4236">
        <v>0.70899999999999996</v>
      </c>
      <c r="C4236" t="str">
        <f t="shared" si="70"/>
        <v>1976 q2</v>
      </c>
    </row>
    <row r="4237" spans="1:3">
      <c r="A4237" s="62">
        <v>27935</v>
      </c>
      <c r="B4237">
        <v>0.71499999999999997</v>
      </c>
      <c r="C4237" t="str">
        <f t="shared" si="70"/>
        <v>1976 q2</v>
      </c>
    </row>
    <row r="4238" spans="1:3">
      <c r="A4238" s="62">
        <v>27936</v>
      </c>
      <c r="B4238">
        <v>0.71440000000000003</v>
      </c>
      <c r="C4238" t="str">
        <f t="shared" si="70"/>
        <v>1976 q2</v>
      </c>
    </row>
    <row r="4239" spans="1:3">
      <c r="A4239" s="62">
        <v>27939</v>
      </c>
      <c r="B4239">
        <v>0.71819999999999995</v>
      </c>
      <c r="C4239" t="str">
        <f t="shared" si="70"/>
        <v>1976 q2</v>
      </c>
    </row>
    <row r="4240" spans="1:3">
      <c r="A4240" s="62">
        <v>27940</v>
      </c>
      <c r="B4240">
        <v>0.73380000000000001</v>
      </c>
      <c r="C4240" t="str">
        <f t="shared" si="70"/>
        <v>1976 q2</v>
      </c>
    </row>
    <row r="4241" spans="1:3">
      <c r="A4241" s="62">
        <v>27941</v>
      </c>
      <c r="B4241">
        <v>0.75360000000000005</v>
      </c>
      <c r="C4241" t="str">
        <f t="shared" si="70"/>
        <v>1976 q2</v>
      </c>
    </row>
    <row r="4242" spans="1:3">
      <c r="A4242" s="62">
        <v>27942</v>
      </c>
      <c r="B4242">
        <v>0.75900000000000001</v>
      </c>
      <c r="C4242" t="str">
        <f t="shared" ref="C4242:C4305" si="71">YEAR(A4242)&amp;" q"&amp;ROUNDUP(MONTH(A4242)/3,0)</f>
        <v>1976 q3</v>
      </c>
    </row>
    <row r="4243" spans="1:3">
      <c r="A4243" s="62">
        <v>27943</v>
      </c>
      <c r="B4243">
        <v>0.75700000000000001</v>
      </c>
      <c r="C4243" t="str">
        <f t="shared" si="71"/>
        <v>1976 q3</v>
      </c>
    </row>
    <row r="4244" spans="1:3">
      <c r="A4244" s="62">
        <v>27947</v>
      </c>
      <c r="B4244">
        <v>0.78300000000000003</v>
      </c>
      <c r="C4244" t="str">
        <f t="shared" si="71"/>
        <v>1976 q3</v>
      </c>
    </row>
    <row r="4245" spans="1:3">
      <c r="A4245" s="62">
        <v>27948</v>
      </c>
      <c r="B4245">
        <v>0.77300000000000002</v>
      </c>
      <c r="C4245" t="str">
        <f t="shared" si="71"/>
        <v>1976 q3</v>
      </c>
    </row>
    <row r="4246" spans="1:3">
      <c r="A4246" s="62">
        <v>27949</v>
      </c>
      <c r="B4246">
        <v>0.77600000000000002</v>
      </c>
      <c r="C4246" t="str">
        <f t="shared" si="71"/>
        <v>1976 q3</v>
      </c>
    </row>
    <row r="4247" spans="1:3">
      <c r="A4247" s="62">
        <v>27950</v>
      </c>
      <c r="B4247">
        <v>0.76800000000000002</v>
      </c>
      <c r="C4247" t="str">
        <f t="shared" si="71"/>
        <v>1976 q3</v>
      </c>
    </row>
    <row r="4248" spans="1:3">
      <c r="A4248" s="62">
        <v>27953</v>
      </c>
      <c r="B4248">
        <v>0.75900000000000001</v>
      </c>
      <c r="C4248" t="str">
        <f t="shared" si="71"/>
        <v>1976 q3</v>
      </c>
    </row>
    <row r="4249" spans="1:3">
      <c r="A4249" s="62">
        <v>27954</v>
      </c>
      <c r="B4249">
        <v>0.76600000000000001</v>
      </c>
      <c r="C4249" t="str">
        <f t="shared" si="71"/>
        <v>1976 q3</v>
      </c>
    </row>
    <row r="4250" spans="1:3">
      <c r="A4250" s="62">
        <v>27955</v>
      </c>
      <c r="B4250">
        <v>0.77300000000000002</v>
      </c>
      <c r="C4250" t="str">
        <f t="shared" si="71"/>
        <v>1976 q3</v>
      </c>
    </row>
    <row r="4251" spans="1:3">
      <c r="A4251" s="62">
        <v>27956</v>
      </c>
      <c r="B4251">
        <v>0.75700000000000001</v>
      </c>
      <c r="C4251" t="str">
        <f t="shared" si="71"/>
        <v>1976 q3</v>
      </c>
    </row>
    <row r="4252" spans="1:3">
      <c r="A4252" s="62">
        <v>27957</v>
      </c>
      <c r="B4252">
        <v>0.75600000000000001</v>
      </c>
      <c r="C4252" t="str">
        <f t="shared" si="71"/>
        <v>1976 q3</v>
      </c>
    </row>
    <row r="4253" spans="1:3">
      <c r="A4253" s="62">
        <v>27960</v>
      </c>
      <c r="B4253">
        <v>0.73799999999999999</v>
      </c>
      <c r="C4253" t="str">
        <f t="shared" si="71"/>
        <v>1976 q3</v>
      </c>
    </row>
    <row r="4254" spans="1:3">
      <c r="A4254" s="62">
        <v>27961</v>
      </c>
      <c r="B4254">
        <v>0.747</v>
      </c>
      <c r="C4254" t="str">
        <f t="shared" si="71"/>
        <v>1976 q3</v>
      </c>
    </row>
    <row r="4255" spans="1:3">
      <c r="A4255" s="62">
        <v>27962</v>
      </c>
      <c r="B4255">
        <v>0.746</v>
      </c>
      <c r="C4255" t="str">
        <f t="shared" si="71"/>
        <v>1976 q3</v>
      </c>
    </row>
    <row r="4256" spans="1:3">
      <c r="A4256" s="62">
        <v>27963</v>
      </c>
      <c r="B4256">
        <v>0.73699999999999999</v>
      </c>
      <c r="C4256" t="str">
        <f t="shared" si="71"/>
        <v>1976 q3</v>
      </c>
    </row>
    <row r="4257" spans="1:3">
      <c r="A4257" s="62">
        <v>27964</v>
      </c>
      <c r="B4257">
        <v>0.753</v>
      </c>
      <c r="C4257" t="str">
        <f t="shared" si="71"/>
        <v>1976 q3</v>
      </c>
    </row>
    <row r="4258" spans="1:3">
      <c r="A4258" s="62">
        <v>27967</v>
      </c>
      <c r="B4258">
        <v>0.74299999999999999</v>
      </c>
      <c r="C4258" t="str">
        <f t="shared" si="71"/>
        <v>1976 q3</v>
      </c>
    </row>
    <row r="4259" spans="1:3">
      <c r="A4259" s="62">
        <v>27968</v>
      </c>
      <c r="B4259">
        <v>0.754</v>
      </c>
      <c r="C4259" t="str">
        <f t="shared" si="71"/>
        <v>1976 q3</v>
      </c>
    </row>
    <row r="4260" spans="1:3">
      <c r="A4260" s="62">
        <v>27969</v>
      </c>
      <c r="B4260">
        <v>0.76100000000000001</v>
      </c>
      <c r="C4260" t="str">
        <f t="shared" si="71"/>
        <v>1976 q3</v>
      </c>
    </row>
    <row r="4261" spans="1:3">
      <c r="A4261" s="62">
        <v>27970</v>
      </c>
      <c r="B4261">
        <v>0.75700000000000001</v>
      </c>
      <c r="C4261" t="str">
        <f t="shared" si="71"/>
        <v>1976 q3</v>
      </c>
    </row>
    <row r="4262" spans="1:3">
      <c r="A4262" s="62">
        <v>27971</v>
      </c>
      <c r="B4262">
        <v>0.745</v>
      </c>
      <c r="C4262" t="str">
        <f t="shared" si="71"/>
        <v>1976 q3</v>
      </c>
    </row>
    <row r="4263" spans="1:3">
      <c r="A4263" s="62">
        <v>27974</v>
      </c>
      <c r="B4263">
        <v>0.71699999999999997</v>
      </c>
      <c r="C4263" t="str">
        <f t="shared" si="71"/>
        <v>1976 q3</v>
      </c>
    </row>
    <row r="4264" spans="1:3">
      <c r="A4264" s="62">
        <v>27975</v>
      </c>
      <c r="B4264">
        <v>0.71499999999999997</v>
      </c>
      <c r="C4264" t="str">
        <f t="shared" si="71"/>
        <v>1976 q3</v>
      </c>
    </row>
    <row r="4265" spans="1:3">
      <c r="A4265" s="62">
        <v>27976</v>
      </c>
      <c r="B4265">
        <v>0.72299999999999998</v>
      </c>
      <c r="C4265" t="str">
        <f t="shared" si="71"/>
        <v>1976 q3</v>
      </c>
    </row>
    <row r="4266" spans="1:3">
      <c r="A4266" s="62">
        <v>27977</v>
      </c>
      <c r="B4266">
        <v>0.70199999999999996</v>
      </c>
      <c r="C4266" t="str">
        <f t="shared" si="71"/>
        <v>1976 q3</v>
      </c>
    </row>
    <row r="4267" spans="1:3">
      <c r="A4267" s="62">
        <v>27978</v>
      </c>
      <c r="B4267">
        <v>0.69899999999999995</v>
      </c>
      <c r="C4267" t="str">
        <f t="shared" si="71"/>
        <v>1976 q3</v>
      </c>
    </row>
    <row r="4268" spans="1:3">
      <c r="A4268" s="62">
        <v>27981</v>
      </c>
      <c r="B4268">
        <v>0.68400000000000005</v>
      </c>
      <c r="C4268" t="str">
        <f t="shared" si="71"/>
        <v>1976 q3</v>
      </c>
    </row>
    <row r="4269" spans="1:3">
      <c r="A4269" s="62">
        <v>27982</v>
      </c>
      <c r="B4269">
        <v>0.69899999999999995</v>
      </c>
      <c r="C4269" t="str">
        <f t="shared" si="71"/>
        <v>1976 q3</v>
      </c>
    </row>
    <row r="4270" spans="1:3">
      <c r="A4270" s="62">
        <v>27983</v>
      </c>
      <c r="B4270">
        <v>0.69799999999999995</v>
      </c>
      <c r="C4270" t="str">
        <f t="shared" si="71"/>
        <v>1976 q3</v>
      </c>
    </row>
    <row r="4271" spans="1:3">
      <c r="A4271" s="62">
        <v>27984</v>
      </c>
      <c r="B4271">
        <v>0.70099999999999996</v>
      </c>
      <c r="C4271" t="str">
        <f t="shared" si="71"/>
        <v>1976 q3</v>
      </c>
    </row>
    <row r="4272" spans="1:3">
      <c r="A4272" s="62">
        <v>27985</v>
      </c>
      <c r="B4272">
        <v>0.70199999999999996</v>
      </c>
      <c r="C4272" t="str">
        <f t="shared" si="71"/>
        <v>1976 q3</v>
      </c>
    </row>
    <row r="4273" spans="1:3">
      <c r="A4273" s="62">
        <v>27988</v>
      </c>
      <c r="B4273">
        <v>0.7</v>
      </c>
      <c r="C4273" t="str">
        <f t="shared" si="71"/>
        <v>1976 q3</v>
      </c>
    </row>
    <row r="4274" spans="1:3">
      <c r="A4274" s="62">
        <v>27989</v>
      </c>
      <c r="B4274">
        <v>0.69699999999999995</v>
      </c>
      <c r="C4274" t="str">
        <f t="shared" si="71"/>
        <v>1976 q3</v>
      </c>
    </row>
    <row r="4275" spans="1:3">
      <c r="A4275" s="62">
        <v>27990</v>
      </c>
      <c r="B4275">
        <v>0.69599999999999995</v>
      </c>
      <c r="C4275" t="str">
        <f t="shared" si="71"/>
        <v>1976 q3</v>
      </c>
    </row>
    <row r="4276" spans="1:3">
      <c r="A4276" s="62">
        <v>27991</v>
      </c>
      <c r="B4276">
        <v>0.71399999999999997</v>
      </c>
      <c r="C4276" t="str">
        <f t="shared" si="71"/>
        <v>1976 q3</v>
      </c>
    </row>
    <row r="4277" spans="1:3">
      <c r="A4277" s="62">
        <v>27992</v>
      </c>
      <c r="B4277">
        <v>0.70099999999999996</v>
      </c>
      <c r="C4277" t="str">
        <f t="shared" si="71"/>
        <v>1976 q3</v>
      </c>
    </row>
    <row r="4278" spans="1:3">
      <c r="A4278" s="62">
        <v>27995</v>
      </c>
      <c r="B4278">
        <v>0.69399999999999995</v>
      </c>
      <c r="C4278" t="str">
        <f t="shared" si="71"/>
        <v>1976 q3</v>
      </c>
    </row>
    <row r="4279" spans="1:3">
      <c r="A4279" s="62">
        <v>27996</v>
      </c>
      <c r="B4279">
        <v>0.68</v>
      </c>
      <c r="C4279" t="str">
        <f t="shared" si="71"/>
        <v>1976 q3</v>
      </c>
    </row>
    <row r="4280" spans="1:3">
      <c r="A4280" s="62">
        <v>27997</v>
      </c>
      <c r="B4280">
        <v>0.67300000000000004</v>
      </c>
      <c r="C4280" t="str">
        <f t="shared" si="71"/>
        <v>1976 q3</v>
      </c>
    </row>
    <row r="4281" spans="1:3">
      <c r="A4281" s="62">
        <v>27998</v>
      </c>
      <c r="B4281">
        <v>0.68159999999999998</v>
      </c>
      <c r="C4281" t="str">
        <f t="shared" si="71"/>
        <v>1976 q3</v>
      </c>
    </row>
    <row r="4282" spans="1:3">
      <c r="A4282" s="62">
        <v>27999</v>
      </c>
      <c r="B4282">
        <v>0.68120000000000003</v>
      </c>
      <c r="C4282" t="str">
        <f t="shared" si="71"/>
        <v>1976 q3</v>
      </c>
    </row>
    <row r="4283" spans="1:3">
      <c r="A4283" s="62">
        <v>28002</v>
      </c>
      <c r="B4283">
        <v>0.68279999999999996</v>
      </c>
      <c r="C4283" t="str">
        <f t="shared" si="71"/>
        <v>1976 q3</v>
      </c>
    </row>
    <row r="4284" spans="1:3">
      <c r="A4284" s="62">
        <v>28003</v>
      </c>
      <c r="B4284">
        <v>0.69279999999999997</v>
      </c>
      <c r="C4284" t="str">
        <f t="shared" si="71"/>
        <v>1976 q3</v>
      </c>
    </row>
    <row r="4285" spans="1:3">
      <c r="A4285" s="62">
        <v>28004</v>
      </c>
      <c r="B4285">
        <v>0.70499999999999996</v>
      </c>
      <c r="C4285" t="str">
        <f t="shared" si="71"/>
        <v>1976 q3</v>
      </c>
    </row>
    <row r="4286" spans="1:3">
      <c r="A4286" s="62">
        <v>28005</v>
      </c>
      <c r="B4286">
        <v>0.70099999999999996</v>
      </c>
      <c r="C4286" t="str">
        <f t="shared" si="71"/>
        <v>1976 q3</v>
      </c>
    </row>
    <row r="4287" spans="1:3">
      <c r="A4287" s="62">
        <v>28006</v>
      </c>
      <c r="B4287">
        <v>0.69599999999999995</v>
      </c>
      <c r="C4287" t="str">
        <f t="shared" si="71"/>
        <v>1976 q3</v>
      </c>
    </row>
    <row r="4288" spans="1:3">
      <c r="A4288" s="62">
        <v>28010</v>
      </c>
      <c r="B4288">
        <v>0.71699999999999997</v>
      </c>
      <c r="C4288" t="str">
        <f t="shared" si="71"/>
        <v>1976 q3</v>
      </c>
    </row>
    <row r="4289" spans="1:3">
      <c r="A4289" s="62">
        <v>28011</v>
      </c>
      <c r="B4289">
        <v>0.70099999999999996</v>
      </c>
      <c r="C4289" t="str">
        <f t="shared" si="71"/>
        <v>1976 q3</v>
      </c>
    </row>
    <row r="4290" spans="1:3">
      <c r="A4290" s="62">
        <v>28012</v>
      </c>
      <c r="B4290">
        <v>0.69799999999999995</v>
      </c>
      <c r="C4290" t="str">
        <f t="shared" si="71"/>
        <v>1976 q3</v>
      </c>
    </row>
    <row r="4291" spans="1:3">
      <c r="A4291" s="62">
        <v>28013</v>
      </c>
      <c r="B4291">
        <v>0.69499999999999995</v>
      </c>
      <c r="C4291" t="str">
        <f t="shared" si="71"/>
        <v>1976 q3</v>
      </c>
    </row>
    <row r="4292" spans="1:3">
      <c r="A4292" s="62">
        <v>28016</v>
      </c>
      <c r="B4292">
        <v>0.67500000000000004</v>
      </c>
      <c r="C4292" t="str">
        <f t="shared" si="71"/>
        <v>1976 q3</v>
      </c>
    </row>
    <row r="4293" spans="1:3">
      <c r="A4293" s="62">
        <v>28017</v>
      </c>
      <c r="B4293">
        <v>0.66100000000000003</v>
      </c>
      <c r="C4293" t="str">
        <f t="shared" si="71"/>
        <v>1976 q3</v>
      </c>
    </row>
    <row r="4294" spans="1:3">
      <c r="A4294" s="62">
        <v>28018</v>
      </c>
      <c r="B4294">
        <v>0.65700000000000003</v>
      </c>
      <c r="C4294" t="str">
        <f t="shared" si="71"/>
        <v>1976 q3</v>
      </c>
    </row>
    <row r="4295" spans="1:3">
      <c r="A4295" s="62">
        <v>28019</v>
      </c>
      <c r="B4295">
        <v>0.66</v>
      </c>
      <c r="C4295" t="str">
        <f t="shared" si="71"/>
        <v>1976 q3</v>
      </c>
    </row>
    <row r="4296" spans="1:3">
      <c r="A4296" s="62">
        <v>28020</v>
      </c>
      <c r="B4296">
        <v>0.66400000000000003</v>
      </c>
      <c r="C4296" t="str">
        <f t="shared" si="71"/>
        <v>1976 q3</v>
      </c>
    </row>
    <row r="4297" spans="1:3">
      <c r="A4297" s="62">
        <v>28023</v>
      </c>
      <c r="B4297">
        <v>0.65400000000000003</v>
      </c>
      <c r="C4297" t="str">
        <f t="shared" si="71"/>
        <v>1976 q3</v>
      </c>
    </row>
    <row r="4298" spans="1:3">
      <c r="A4298" s="62">
        <v>28024</v>
      </c>
      <c r="B4298">
        <v>0.65700000000000003</v>
      </c>
      <c r="C4298" t="str">
        <f t="shared" si="71"/>
        <v>1976 q3</v>
      </c>
    </row>
    <row r="4299" spans="1:3">
      <c r="A4299" s="62">
        <v>28025</v>
      </c>
      <c r="B4299">
        <v>0.67200000000000004</v>
      </c>
      <c r="C4299" t="str">
        <f t="shared" si="71"/>
        <v>1976 q3</v>
      </c>
    </row>
    <row r="4300" spans="1:3">
      <c r="A4300" s="62">
        <v>28026</v>
      </c>
      <c r="B4300">
        <v>0.66300000000000003</v>
      </c>
      <c r="C4300" t="str">
        <f t="shared" si="71"/>
        <v>1976 q3</v>
      </c>
    </row>
    <row r="4301" spans="1:3">
      <c r="A4301" s="62">
        <v>28027</v>
      </c>
      <c r="B4301">
        <v>0.66500000000000004</v>
      </c>
      <c r="C4301" t="str">
        <f t="shared" si="71"/>
        <v>1976 q3</v>
      </c>
    </row>
    <row r="4302" spans="1:3">
      <c r="A4302" s="62">
        <v>28030</v>
      </c>
      <c r="B4302">
        <v>0.65800000000000003</v>
      </c>
      <c r="C4302" t="str">
        <f t="shared" si="71"/>
        <v>1976 q3</v>
      </c>
    </row>
    <row r="4303" spans="1:3">
      <c r="A4303" s="62">
        <v>28031</v>
      </c>
      <c r="B4303">
        <v>0.63300000000000001</v>
      </c>
      <c r="C4303" t="str">
        <f t="shared" si="71"/>
        <v>1976 q3</v>
      </c>
    </row>
    <row r="4304" spans="1:3">
      <c r="A4304" s="62">
        <v>28032</v>
      </c>
      <c r="B4304">
        <v>0.63800000000000001</v>
      </c>
      <c r="C4304" t="str">
        <f t="shared" si="71"/>
        <v>1976 q3</v>
      </c>
    </row>
    <row r="4305" spans="1:3">
      <c r="A4305" s="62">
        <v>28033</v>
      </c>
      <c r="B4305">
        <v>0.63800000000000001</v>
      </c>
      <c r="C4305" t="str">
        <f t="shared" si="71"/>
        <v>1976 q3</v>
      </c>
    </row>
    <row r="4306" spans="1:3">
      <c r="A4306" s="62">
        <v>28034</v>
      </c>
      <c r="B4306">
        <v>0.64300000000000002</v>
      </c>
      <c r="C4306" t="str">
        <f t="shared" ref="C4306:C4369" si="72">YEAR(A4306)&amp;" q"&amp;ROUNDUP(MONTH(A4306)/3,0)</f>
        <v>1976 q4</v>
      </c>
    </row>
    <row r="4307" spans="1:3">
      <c r="A4307" s="62">
        <v>28037</v>
      </c>
      <c r="B4307">
        <v>0.65</v>
      </c>
      <c r="C4307" t="str">
        <f t="shared" si="72"/>
        <v>1976 q4</v>
      </c>
    </row>
    <row r="4308" spans="1:3">
      <c r="A4308" s="62">
        <v>28038</v>
      </c>
      <c r="B4308">
        <v>0.63600000000000001</v>
      </c>
      <c r="C4308" t="str">
        <f t="shared" si="72"/>
        <v>1976 q4</v>
      </c>
    </row>
    <row r="4309" spans="1:3">
      <c r="A4309" s="62">
        <v>28039</v>
      </c>
      <c r="B4309">
        <v>0.63100000000000001</v>
      </c>
      <c r="C4309" t="str">
        <f t="shared" si="72"/>
        <v>1976 q4</v>
      </c>
    </row>
    <row r="4310" spans="1:3">
      <c r="A4310" s="62">
        <v>28040</v>
      </c>
      <c r="B4310">
        <v>0.62</v>
      </c>
      <c r="C4310" t="str">
        <f t="shared" si="72"/>
        <v>1976 q4</v>
      </c>
    </row>
    <row r="4311" spans="1:3">
      <c r="A4311" s="62">
        <v>28041</v>
      </c>
      <c r="B4311">
        <v>0.59499999999999997</v>
      </c>
      <c r="C4311" t="str">
        <f t="shared" si="72"/>
        <v>1976 q4</v>
      </c>
    </row>
    <row r="4312" spans="1:3">
      <c r="A4312" s="62">
        <v>28044</v>
      </c>
      <c r="B4312">
        <v>0.56499999999999995</v>
      </c>
      <c r="C4312" t="str">
        <f t="shared" si="72"/>
        <v>1976 q4</v>
      </c>
    </row>
    <row r="4313" spans="1:3">
      <c r="A4313" s="62">
        <v>28045</v>
      </c>
      <c r="B4313">
        <v>0.56100000000000005</v>
      </c>
      <c r="C4313" t="str">
        <f t="shared" si="72"/>
        <v>1976 q4</v>
      </c>
    </row>
    <row r="4314" spans="1:3">
      <c r="A4314" s="62">
        <v>28046</v>
      </c>
      <c r="B4314">
        <v>0.57099999999999995</v>
      </c>
      <c r="C4314" t="str">
        <f t="shared" si="72"/>
        <v>1976 q4</v>
      </c>
    </row>
    <row r="4315" spans="1:3">
      <c r="A4315" s="62">
        <v>28047</v>
      </c>
      <c r="B4315">
        <v>0.57899999999999996</v>
      </c>
      <c r="C4315" t="str">
        <f t="shared" si="72"/>
        <v>1976 q4</v>
      </c>
    </row>
    <row r="4316" spans="1:3">
      <c r="A4316" s="62">
        <v>28048</v>
      </c>
      <c r="B4316">
        <v>0.58199999999999996</v>
      </c>
      <c r="C4316" t="str">
        <f t="shared" si="72"/>
        <v>1976 q4</v>
      </c>
    </row>
    <row r="4317" spans="1:3">
      <c r="A4317" s="62">
        <v>28051</v>
      </c>
      <c r="B4317">
        <v>0.58299999999999996</v>
      </c>
      <c r="C4317" t="str">
        <f t="shared" si="72"/>
        <v>1976 q4</v>
      </c>
    </row>
    <row r="4318" spans="1:3">
      <c r="A4318" s="62">
        <v>28052</v>
      </c>
      <c r="B4318">
        <v>0.58199999999999996</v>
      </c>
      <c r="C4318" t="str">
        <f t="shared" si="72"/>
        <v>1976 q4</v>
      </c>
    </row>
    <row r="4319" spans="1:3">
      <c r="A4319" s="62">
        <v>28053</v>
      </c>
      <c r="B4319">
        <v>0.59099999999999997</v>
      </c>
      <c r="C4319" t="str">
        <f t="shared" si="72"/>
        <v>1976 q4</v>
      </c>
    </row>
    <row r="4320" spans="1:3">
      <c r="A4320" s="62">
        <v>28054</v>
      </c>
      <c r="B4320">
        <v>0.57999999999999996</v>
      </c>
      <c r="C4320" t="str">
        <f t="shared" si="72"/>
        <v>1976 q4</v>
      </c>
    </row>
    <row r="4321" spans="1:3">
      <c r="A4321" s="62">
        <v>28055</v>
      </c>
      <c r="B4321">
        <v>0.57199999999999995</v>
      </c>
      <c r="C4321" t="str">
        <f t="shared" si="72"/>
        <v>1976 q4</v>
      </c>
    </row>
    <row r="4322" spans="1:3">
      <c r="A4322" s="62">
        <v>28058</v>
      </c>
      <c r="B4322">
        <v>0.56599999999999995</v>
      </c>
      <c r="C4322" t="str">
        <f t="shared" si="72"/>
        <v>1976 q4</v>
      </c>
    </row>
    <row r="4323" spans="1:3">
      <c r="A4323" s="62">
        <v>28059</v>
      </c>
      <c r="B4323">
        <v>0.55700000000000005</v>
      </c>
      <c r="C4323" t="str">
        <f t="shared" si="72"/>
        <v>1976 q4</v>
      </c>
    </row>
    <row r="4324" spans="1:3">
      <c r="A4324" s="62">
        <v>28060</v>
      </c>
      <c r="B4324">
        <v>0.57399999999999995</v>
      </c>
      <c r="C4324" t="str">
        <f t="shared" si="72"/>
        <v>1976 q4</v>
      </c>
    </row>
    <row r="4325" spans="1:3">
      <c r="A4325" s="62">
        <v>28061</v>
      </c>
      <c r="B4325">
        <v>0.56100000000000005</v>
      </c>
      <c r="C4325" t="str">
        <f t="shared" si="72"/>
        <v>1976 q4</v>
      </c>
    </row>
    <row r="4326" spans="1:3">
      <c r="A4326" s="62">
        <v>28062</v>
      </c>
      <c r="B4326">
        <v>0.56299999999999994</v>
      </c>
      <c r="C4326" t="str">
        <f t="shared" si="72"/>
        <v>1976 q4</v>
      </c>
    </row>
    <row r="4327" spans="1:3">
      <c r="A4327" s="62">
        <v>28065</v>
      </c>
      <c r="B4327">
        <v>0.56799999999999995</v>
      </c>
      <c r="C4327" t="str">
        <f t="shared" si="72"/>
        <v>1976 q4</v>
      </c>
    </row>
    <row r="4328" spans="1:3">
      <c r="A4328" s="62">
        <v>28067</v>
      </c>
      <c r="B4328">
        <v>0.56999999999999995</v>
      </c>
      <c r="C4328" t="str">
        <f t="shared" si="72"/>
        <v>1976 q4</v>
      </c>
    </row>
    <row r="4329" spans="1:3">
      <c r="A4329" s="62">
        <v>28068</v>
      </c>
      <c r="B4329">
        <v>0.58699999999999997</v>
      </c>
      <c r="C4329" t="str">
        <f t="shared" si="72"/>
        <v>1976 q4</v>
      </c>
    </row>
    <row r="4330" spans="1:3">
      <c r="A4330" s="62">
        <v>28069</v>
      </c>
      <c r="B4330">
        <v>0.59599999999999997</v>
      </c>
      <c r="C4330" t="str">
        <f t="shared" si="72"/>
        <v>1976 q4</v>
      </c>
    </row>
    <row r="4331" spans="1:3">
      <c r="A4331" s="62">
        <v>28072</v>
      </c>
      <c r="B4331">
        <v>0.59599999999999997</v>
      </c>
      <c r="C4331" t="str">
        <f t="shared" si="72"/>
        <v>1976 q4</v>
      </c>
    </row>
    <row r="4332" spans="1:3">
      <c r="A4332" s="62">
        <v>28073</v>
      </c>
      <c r="B4332">
        <v>0.60199999999999998</v>
      </c>
      <c r="C4332" t="str">
        <f t="shared" si="72"/>
        <v>1976 q4</v>
      </c>
    </row>
    <row r="4333" spans="1:3">
      <c r="A4333" s="62">
        <v>28074</v>
      </c>
      <c r="B4333">
        <v>0.60799999999999998</v>
      </c>
      <c r="C4333" t="str">
        <f t="shared" si="72"/>
        <v>1976 q4</v>
      </c>
    </row>
    <row r="4334" spans="1:3">
      <c r="A4334" s="62">
        <v>28075</v>
      </c>
      <c r="B4334">
        <v>0.58899999999999997</v>
      </c>
      <c r="C4334" t="str">
        <f t="shared" si="72"/>
        <v>1976 q4</v>
      </c>
    </row>
    <row r="4335" spans="1:3">
      <c r="A4335" s="62">
        <v>28076</v>
      </c>
      <c r="B4335">
        <v>0.59299999999999997</v>
      </c>
      <c r="C4335" t="str">
        <f t="shared" si="72"/>
        <v>1976 q4</v>
      </c>
    </row>
    <row r="4336" spans="1:3">
      <c r="A4336" s="62">
        <v>28079</v>
      </c>
      <c r="B4336">
        <v>0.59499999999999997</v>
      </c>
      <c r="C4336" t="str">
        <f t="shared" si="72"/>
        <v>1976 q4</v>
      </c>
    </row>
    <row r="4337" spans="1:3">
      <c r="A4337" s="62">
        <v>28080</v>
      </c>
      <c r="B4337">
        <v>0.59799999999999998</v>
      </c>
      <c r="C4337" t="str">
        <f t="shared" si="72"/>
        <v>1976 q4</v>
      </c>
    </row>
    <row r="4338" spans="1:3">
      <c r="A4338" s="62">
        <v>28081</v>
      </c>
      <c r="B4338">
        <v>0.59299999999999997</v>
      </c>
      <c r="C4338" t="str">
        <f t="shared" si="72"/>
        <v>1976 q4</v>
      </c>
    </row>
    <row r="4339" spans="1:3">
      <c r="A4339" s="62">
        <v>28082</v>
      </c>
      <c r="B4339">
        <v>0.59</v>
      </c>
      <c r="C4339" t="str">
        <f t="shared" si="72"/>
        <v>1976 q4</v>
      </c>
    </row>
    <row r="4340" spans="1:3">
      <c r="A4340" s="62">
        <v>28083</v>
      </c>
      <c r="B4340">
        <v>0.59899999999999998</v>
      </c>
      <c r="C4340" t="str">
        <f t="shared" si="72"/>
        <v>1976 q4</v>
      </c>
    </row>
    <row r="4341" spans="1:3">
      <c r="A4341" s="62">
        <v>28086</v>
      </c>
      <c r="B4341">
        <v>0.58899999999999997</v>
      </c>
      <c r="C4341" t="str">
        <f t="shared" si="72"/>
        <v>1976 q4</v>
      </c>
    </row>
    <row r="4342" spans="1:3">
      <c r="A4342" s="62">
        <v>28087</v>
      </c>
      <c r="B4342">
        <v>0.57499999999999996</v>
      </c>
      <c r="C4342" t="str">
        <f t="shared" si="72"/>
        <v>1976 q4</v>
      </c>
    </row>
    <row r="4343" spans="1:3">
      <c r="A4343" s="62">
        <v>28088</v>
      </c>
      <c r="B4343">
        <v>0.57479999999999998</v>
      </c>
      <c r="C4343" t="str">
        <f t="shared" si="72"/>
        <v>1976 q4</v>
      </c>
    </row>
    <row r="4344" spans="1:3">
      <c r="A4344" s="62">
        <v>28090</v>
      </c>
      <c r="B4344">
        <v>0.56799999999999995</v>
      </c>
      <c r="C4344" t="str">
        <f t="shared" si="72"/>
        <v>1976 q4</v>
      </c>
    </row>
    <row r="4345" spans="1:3">
      <c r="A4345" s="62">
        <v>28093</v>
      </c>
      <c r="B4345">
        <v>0.57340000000000002</v>
      </c>
      <c r="C4345" t="str">
        <f t="shared" si="72"/>
        <v>1976 q4</v>
      </c>
    </row>
    <row r="4346" spans="1:3">
      <c r="A4346" s="62">
        <v>28094</v>
      </c>
      <c r="B4346">
        <v>0.57120000000000004</v>
      </c>
      <c r="C4346" t="str">
        <f t="shared" si="72"/>
        <v>1976 q4</v>
      </c>
    </row>
    <row r="4347" spans="1:3">
      <c r="A4347" s="62">
        <v>28095</v>
      </c>
      <c r="B4347">
        <v>0.56999999999999995</v>
      </c>
      <c r="C4347" t="str">
        <f t="shared" si="72"/>
        <v>1976 q4</v>
      </c>
    </row>
    <row r="4348" spans="1:3">
      <c r="A4348" s="62">
        <v>28096</v>
      </c>
      <c r="B4348">
        <v>0.56999999999999995</v>
      </c>
      <c r="C4348" t="str">
        <f t="shared" si="72"/>
        <v>1976 q4</v>
      </c>
    </row>
    <row r="4349" spans="1:3">
      <c r="A4349" s="62">
        <v>28097</v>
      </c>
      <c r="B4349">
        <v>0.57699999999999996</v>
      </c>
      <c r="C4349" t="str">
        <f t="shared" si="72"/>
        <v>1976 q4</v>
      </c>
    </row>
    <row r="4350" spans="1:3">
      <c r="A4350" s="62">
        <v>28100</v>
      </c>
      <c r="B4350">
        <v>0.57899999999999996</v>
      </c>
      <c r="C4350" t="str">
        <f t="shared" si="72"/>
        <v>1976 q4</v>
      </c>
    </row>
    <row r="4351" spans="1:3">
      <c r="A4351" s="62">
        <v>28101</v>
      </c>
      <c r="B4351">
        <v>0.57799999999999996</v>
      </c>
      <c r="C4351" t="str">
        <f t="shared" si="72"/>
        <v>1976 q4</v>
      </c>
    </row>
    <row r="4352" spans="1:3">
      <c r="A4352" s="62">
        <v>28102</v>
      </c>
      <c r="B4352">
        <v>0.58499999999999996</v>
      </c>
      <c r="C4352" t="str">
        <f t="shared" si="72"/>
        <v>1976 q4</v>
      </c>
    </row>
    <row r="4353" spans="1:3">
      <c r="A4353" s="62">
        <v>28103</v>
      </c>
      <c r="B4353">
        <v>0.58399999999999996</v>
      </c>
      <c r="C4353" t="str">
        <f t="shared" si="72"/>
        <v>1976 q4</v>
      </c>
    </row>
    <row r="4354" spans="1:3">
      <c r="A4354" s="62">
        <v>28104</v>
      </c>
      <c r="B4354">
        <v>0.58499999999999996</v>
      </c>
      <c r="C4354" t="str">
        <f t="shared" si="72"/>
        <v>1976 q4</v>
      </c>
    </row>
    <row r="4355" spans="1:3">
      <c r="A4355" s="62">
        <v>28107</v>
      </c>
      <c r="B4355">
        <v>0.58499999999999996</v>
      </c>
      <c r="C4355" t="str">
        <f t="shared" si="72"/>
        <v>1976 q4</v>
      </c>
    </row>
    <row r="4356" spans="1:3">
      <c r="A4356" s="62">
        <v>28108</v>
      </c>
      <c r="B4356">
        <v>0.58699999999999997</v>
      </c>
      <c r="C4356" t="str">
        <f t="shared" si="72"/>
        <v>1976 q4</v>
      </c>
    </row>
    <row r="4357" spans="1:3">
      <c r="A4357" s="62">
        <v>28109</v>
      </c>
      <c r="B4357">
        <v>0.59599999999999997</v>
      </c>
      <c r="C4357" t="str">
        <f t="shared" si="72"/>
        <v>1976 q4</v>
      </c>
    </row>
    <row r="4358" spans="1:3">
      <c r="A4358" s="62">
        <v>28110</v>
      </c>
      <c r="B4358">
        <v>0.59499999999999997</v>
      </c>
      <c r="C4358" t="str">
        <f t="shared" si="72"/>
        <v>1976 q4</v>
      </c>
    </row>
    <row r="4359" spans="1:3">
      <c r="A4359" s="62">
        <v>28111</v>
      </c>
      <c r="B4359">
        <v>0.60199999999999998</v>
      </c>
      <c r="C4359" t="str">
        <f t="shared" si="72"/>
        <v>1976 q4</v>
      </c>
    </row>
    <row r="4360" spans="1:3">
      <c r="A4360" s="62">
        <v>28114</v>
      </c>
      <c r="B4360">
        <v>0.60199999999999998</v>
      </c>
      <c r="C4360" t="str">
        <f t="shared" si="72"/>
        <v>1976 q4</v>
      </c>
    </row>
    <row r="4361" spans="1:3">
      <c r="A4361" s="62">
        <v>28115</v>
      </c>
      <c r="B4361">
        <v>0.61</v>
      </c>
      <c r="C4361" t="str">
        <f t="shared" si="72"/>
        <v>1976 q4</v>
      </c>
    </row>
    <row r="4362" spans="1:3">
      <c r="A4362" s="62">
        <v>28116</v>
      </c>
      <c r="B4362">
        <v>0.61099999999999999</v>
      </c>
      <c r="C4362" t="str">
        <f t="shared" si="72"/>
        <v>1976 q4</v>
      </c>
    </row>
    <row r="4363" spans="1:3">
      <c r="A4363" s="62">
        <v>28117</v>
      </c>
      <c r="B4363">
        <v>0.61</v>
      </c>
      <c r="C4363" t="str">
        <f t="shared" si="72"/>
        <v>1976 q4</v>
      </c>
    </row>
    <row r="4364" spans="1:3">
      <c r="A4364" s="62">
        <v>28121</v>
      </c>
      <c r="B4364">
        <v>0.62039999999999995</v>
      </c>
      <c r="C4364" t="str">
        <f t="shared" si="72"/>
        <v>1976 q4</v>
      </c>
    </row>
    <row r="4365" spans="1:3">
      <c r="A4365" s="62">
        <v>28122</v>
      </c>
      <c r="B4365">
        <v>0.62819999999999998</v>
      </c>
      <c r="C4365" t="str">
        <f t="shared" si="72"/>
        <v>1976 q4</v>
      </c>
    </row>
    <row r="4366" spans="1:3">
      <c r="A4366" s="62">
        <v>28123</v>
      </c>
      <c r="B4366">
        <v>0.62680000000000002</v>
      </c>
      <c r="C4366" t="str">
        <f t="shared" si="72"/>
        <v>1976 q4</v>
      </c>
    </row>
    <row r="4367" spans="1:3">
      <c r="A4367" s="62">
        <v>28124</v>
      </c>
      <c r="B4367">
        <v>0.63039999999999996</v>
      </c>
      <c r="C4367" t="str">
        <f t="shared" si="72"/>
        <v>1976 q4</v>
      </c>
    </row>
    <row r="4368" spans="1:3">
      <c r="A4368" s="62">
        <v>28128</v>
      </c>
      <c r="B4368">
        <v>0.64400000000000002</v>
      </c>
      <c r="C4368" t="str">
        <f t="shared" si="72"/>
        <v>1977 q1</v>
      </c>
    </row>
    <row r="4369" spans="1:3">
      <c r="A4369" s="62">
        <v>28129</v>
      </c>
      <c r="B4369">
        <v>0.63700000000000001</v>
      </c>
      <c r="C4369" t="str">
        <f t="shared" si="72"/>
        <v>1977 q1</v>
      </c>
    </row>
    <row r="4370" spans="1:3">
      <c r="A4370" s="62">
        <v>28130</v>
      </c>
      <c r="B4370">
        <v>0.63300000000000001</v>
      </c>
      <c r="C4370" t="str">
        <f t="shared" ref="C4370:C4433" si="73">YEAR(A4370)&amp;" q"&amp;ROUNDUP(MONTH(A4370)/3,0)</f>
        <v>1977 q1</v>
      </c>
    </row>
    <row r="4371" spans="1:3">
      <c r="A4371" s="62">
        <v>28131</v>
      </c>
      <c r="B4371">
        <v>0.63800000000000001</v>
      </c>
      <c r="C4371" t="str">
        <f t="shared" si="73"/>
        <v>1977 q1</v>
      </c>
    </row>
    <row r="4372" spans="1:3">
      <c r="A4372" s="62">
        <v>28132</v>
      </c>
      <c r="B4372">
        <v>0.628</v>
      </c>
      <c r="C4372" t="str">
        <f t="shared" si="73"/>
        <v>1977 q1</v>
      </c>
    </row>
    <row r="4373" spans="1:3">
      <c r="A4373" s="62">
        <v>28135</v>
      </c>
      <c r="B4373">
        <v>0.627</v>
      </c>
      <c r="C4373" t="str">
        <f t="shared" si="73"/>
        <v>1977 q1</v>
      </c>
    </row>
    <row r="4374" spans="1:3">
      <c r="A4374" s="62">
        <v>28136</v>
      </c>
      <c r="B4374">
        <v>0.63300000000000001</v>
      </c>
      <c r="C4374" t="str">
        <f t="shared" si="73"/>
        <v>1977 q1</v>
      </c>
    </row>
    <row r="4375" spans="1:3">
      <c r="A4375" s="62">
        <v>28137</v>
      </c>
      <c r="B4375">
        <v>0.63700000000000001</v>
      </c>
      <c r="C4375" t="str">
        <f t="shared" si="73"/>
        <v>1977 q1</v>
      </c>
    </row>
    <row r="4376" spans="1:3">
      <c r="A4376" s="62">
        <v>28138</v>
      </c>
      <c r="B4376">
        <v>0.63100000000000001</v>
      </c>
      <c r="C4376" t="str">
        <f t="shared" si="73"/>
        <v>1977 q1</v>
      </c>
    </row>
    <row r="4377" spans="1:3">
      <c r="A4377" s="62">
        <v>28139</v>
      </c>
      <c r="B4377">
        <v>0.63500000000000001</v>
      </c>
      <c r="C4377" t="str">
        <f t="shared" si="73"/>
        <v>1977 q1</v>
      </c>
    </row>
    <row r="4378" spans="1:3">
      <c r="A4378" s="62">
        <v>28142</v>
      </c>
      <c r="B4378">
        <v>0.65100000000000002</v>
      </c>
      <c r="C4378" t="str">
        <f t="shared" si="73"/>
        <v>1977 q1</v>
      </c>
    </row>
    <row r="4379" spans="1:3">
      <c r="A4379" s="62">
        <v>28143</v>
      </c>
      <c r="B4379">
        <v>0.65200000000000002</v>
      </c>
      <c r="C4379" t="str">
        <f t="shared" si="73"/>
        <v>1977 q1</v>
      </c>
    </row>
    <row r="4380" spans="1:3">
      <c r="A4380" s="62">
        <v>28144</v>
      </c>
      <c r="B4380">
        <v>0.65900000000000003</v>
      </c>
      <c r="C4380" t="str">
        <f t="shared" si="73"/>
        <v>1977 q1</v>
      </c>
    </row>
    <row r="4381" spans="1:3">
      <c r="A4381" s="62">
        <v>28145</v>
      </c>
      <c r="B4381">
        <v>0.66</v>
      </c>
      <c r="C4381" t="str">
        <f t="shared" si="73"/>
        <v>1977 q1</v>
      </c>
    </row>
    <row r="4382" spans="1:3">
      <c r="A4382" s="62">
        <v>28146</v>
      </c>
      <c r="B4382">
        <v>0.66500000000000004</v>
      </c>
      <c r="C4382" t="str">
        <f t="shared" si="73"/>
        <v>1977 q1</v>
      </c>
    </row>
    <row r="4383" spans="1:3">
      <c r="A4383" s="62">
        <v>28149</v>
      </c>
      <c r="B4383">
        <v>0.66800000000000004</v>
      </c>
      <c r="C4383" t="str">
        <f t="shared" si="73"/>
        <v>1977 q1</v>
      </c>
    </row>
    <row r="4384" spans="1:3">
      <c r="A4384" s="62">
        <v>28150</v>
      </c>
      <c r="B4384">
        <v>0.65900000000000003</v>
      </c>
      <c r="C4384" t="str">
        <f t="shared" si="73"/>
        <v>1977 q1</v>
      </c>
    </row>
    <row r="4385" spans="1:3">
      <c r="A4385" s="62">
        <v>28151</v>
      </c>
      <c r="B4385">
        <v>0.66900000000000004</v>
      </c>
      <c r="C4385" t="str">
        <f t="shared" si="73"/>
        <v>1977 q1</v>
      </c>
    </row>
    <row r="4386" spans="1:3">
      <c r="A4386" s="62">
        <v>28152</v>
      </c>
      <c r="B4386">
        <v>0.66300000000000003</v>
      </c>
      <c r="C4386" t="str">
        <f t="shared" si="73"/>
        <v>1977 q1</v>
      </c>
    </row>
    <row r="4387" spans="1:3">
      <c r="A4387" s="62">
        <v>28153</v>
      </c>
      <c r="B4387">
        <v>0.65700000000000003</v>
      </c>
      <c r="C4387" t="str">
        <f t="shared" si="73"/>
        <v>1977 q1</v>
      </c>
    </row>
    <row r="4388" spans="1:3">
      <c r="A4388" s="62">
        <v>28156</v>
      </c>
      <c r="B4388">
        <v>0.64700000000000002</v>
      </c>
      <c r="C4388" t="str">
        <f t="shared" si="73"/>
        <v>1977 q1</v>
      </c>
    </row>
    <row r="4389" spans="1:3">
      <c r="A4389" s="62">
        <v>28157</v>
      </c>
      <c r="B4389">
        <v>0.65200000000000002</v>
      </c>
      <c r="C4389" t="str">
        <f t="shared" si="73"/>
        <v>1977 q1</v>
      </c>
    </row>
    <row r="4390" spans="1:3">
      <c r="A4390" s="62">
        <v>28158</v>
      </c>
      <c r="B4390">
        <v>0.66</v>
      </c>
      <c r="C4390" t="str">
        <f t="shared" si="73"/>
        <v>1977 q1</v>
      </c>
    </row>
    <row r="4391" spans="1:3">
      <c r="A4391" s="62">
        <v>28159</v>
      </c>
      <c r="B4391">
        <v>0.65600000000000003</v>
      </c>
      <c r="C4391" t="str">
        <f t="shared" si="73"/>
        <v>1977 q1</v>
      </c>
    </row>
    <row r="4392" spans="1:3">
      <c r="A4392" s="62">
        <v>28160</v>
      </c>
      <c r="B4392">
        <v>0.66</v>
      </c>
      <c r="C4392" t="str">
        <f t="shared" si="73"/>
        <v>1977 q1</v>
      </c>
    </row>
    <row r="4393" spans="1:3">
      <c r="A4393" s="62">
        <v>28163</v>
      </c>
      <c r="B4393">
        <v>0.66500000000000004</v>
      </c>
      <c r="C4393" t="str">
        <f t="shared" si="73"/>
        <v>1977 q1</v>
      </c>
    </row>
    <row r="4394" spans="1:3">
      <c r="A4394" s="62">
        <v>28164</v>
      </c>
      <c r="B4394">
        <v>0.66200000000000003</v>
      </c>
      <c r="C4394" t="str">
        <f t="shared" si="73"/>
        <v>1977 q1</v>
      </c>
    </row>
    <row r="4395" spans="1:3">
      <c r="A4395" s="62">
        <v>28165</v>
      </c>
      <c r="B4395">
        <v>0.65300000000000002</v>
      </c>
      <c r="C4395" t="str">
        <f t="shared" si="73"/>
        <v>1977 q1</v>
      </c>
    </row>
    <row r="4396" spans="1:3">
      <c r="A4396" s="62">
        <v>28166</v>
      </c>
      <c r="B4396">
        <v>0.64300000000000002</v>
      </c>
      <c r="C4396" t="str">
        <f t="shared" si="73"/>
        <v>1977 q1</v>
      </c>
    </row>
    <row r="4397" spans="1:3">
      <c r="A4397" s="62">
        <v>28167</v>
      </c>
      <c r="B4397">
        <v>0.64100000000000001</v>
      </c>
      <c r="C4397" t="str">
        <f t="shared" si="73"/>
        <v>1977 q1</v>
      </c>
    </row>
    <row r="4398" spans="1:3">
      <c r="A4398" s="62">
        <v>28170</v>
      </c>
      <c r="B4398">
        <v>0.64100000000000001</v>
      </c>
      <c r="C4398" t="str">
        <f t="shared" si="73"/>
        <v>1977 q1</v>
      </c>
    </row>
    <row r="4399" spans="1:3">
      <c r="A4399" s="62">
        <v>28171</v>
      </c>
      <c r="B4399">
        <v>0.64400000000000002</v>
      </c>
      <c r="C4399" t="str">
        <f t="shared" si="73"/>
        <v>1977 q1</v>
      </c>
    </row>
    <row r="4400" spans="1:3">
      <c r="A4400" s="62">
        <v>28172</v>
      </c>
      <c r="B4400">
        <v>0.65400000000000003</v>
      </c>
      <c r="C4400" t="str">
        <f t="shared" si="73"/>
        <v>1977 q1</v>
      </c>
    </row>
    <row r="4401" spans="1:3">
      <c r="A4401" s="62">
        <v>28173</v>
      </c>
      <c r="B4401">
        <v>0.65</v>
      </c>
      <c r="C4401" t="str">
        <f t="shared" si="73"/>
        <v>1977 q1</v>
      </c>
    </row>
    <row r="4402" spans="1:3">
      <c r="A4402" s="62">
        <v>28174</v>
      </c>
      <c r="B4402">
        <v>0.65</v>
      </c>
      <c r="C4402" t="str">
        <f t="shared" si="73"/>
        <v>1977 q1</v>
      </c>
    </row>
    <row r="4403" spans="1:3">
      <c r="A4403" s="62">
        <v>28178</v>
      </c>
      <c r="B4403">
        <v>0.65900000000000003</v>
      </c>
      <c r="C4403" t="str">
        <f t="shared" si="73"/>
        <v>1977 q1</v>
      </c>
    </row>
    <row r="4404" spans="1:3">
      <c r="A4404" s="62">
        <v>28179</v>
      </c>
      <c r="B4404">
        <v>0.66820000000000002</v>
      </c>
      <c r="C4404" t="str">
        <f t="shared" si="73"/>
        <v>1977 q1</v>
      </c>
    </row>
    <row r="4405" spans="1:3">
      <c r="A4405" s="62">
        <v>28180</v>
      </c>
      <c r="B4405">
        <v>0.66539999999999999</v>
      </c>
      <c r="C4405" t="str">
        <f t="shared" si="73"/>
        <v>1977 q1</v>
      </c>
    </row>
    <row r="4406" spans="1:3">
      <c r="A4406" s="62">
        <v>28181</v>
      </c>
      <c r="B4406">
        <v>0.67300000000000004</v>
      </c>
      <c r="C4406" t="str">
        <f t="shared" si="73"/>
        <v>1977 q1</v>
      </c>
    </row>
    <row r="4407" spans="1:3">
      <c r="A4407" s="62">
        <v>28184</v>
      </c>
      <c r="B4407">
        <v>0.68700000000000006</v>
      </c>
      <c r="C4407" t="str">
        <f t="shared" si="73"/>
        <v>1977 q1</v>
      </c>
    </row>
    <row r="4408" spans="1:3">
      <c r="A4408" s="62">
        <v>28185</v>
      </c>
      <c r="B4408">
        <v>0.69399999999999995</v>
      </c>
      <c r="C4408" t="str">
        <f t="shared" si="73"/>
        <v>1977 q1</v>
      </c>
    </row>
    <row r="4409" spans="1:3">
      <c r="A4409" s="62">
        <v>28186</v>
      </c>
      <c r="B4409">
        <v>0.69299999999999995</v>
      </c>
      <c r="C4409" t="str">
        <f t="shared" si="73"/>
        <v>1977 q1</v>
      </c>
    </row>
    <row r="4410" spans="1:3">
      <c r="A4410" s="62">
        <v>28187</v>
      </c>
      <c r="B4410">
        <v>0.68700000000000006</v>
      </c>
      <c r="C4410" t="str">
        <f t="shared" si="73"/>
        <v>1977 q1</v>
      </c>
    </row>
    <row r="4411" spans="1:3">
      <c r="A4411" s="62">
        <v>28188</v>
      </c>
      <c r="B4411">
        <v>0.69799999999999995</v>
      </c>
      <c r="C4411" t="str">
        <f t="shared" si="73"/>
        <v>1977 q1</v>
      </c>
    </row>
    <row r="4412" spans="1:3">
      <c r="A4412" s="62">
        <v>28191</v>
      </c>
      <c r="B4412">
        <v>0.69399999999999995</v>
      </c>
      <c r="C4412" t="str">
        <f t="shared" si="73"/>
        <v>1977 q1</v>
      </c>
    </row>
    <row r="4413" spans="1:3">
      <c r="A4413" s="62">
        <v>28192</v>
      </c>
      <c r="B4413">
        <v>0.69499999999999995</v>
      </c>
      <c r="C4413" t="str">
        <f t="shared" si="73"/>
        <v>1977 q1</v>
      </c>
    </row>
    <row r="4414" spans="1:3">
      <c r="A4414" s="62">
        <v>28193</v>
      </c>
      <c r="B4414">
        <v>0.69899999999999995</v>
      </c>
      <c r="C4414" t="str">
        <f t="shared" si="73"/>
        <v>1977 q1</v>
      </c>
    </row>
    <row r="4415" spans="1:3">
      <c r="A4415" s="62">
        <v>28194</v>
      </c>
      <c r="B4415">
        <v>0.69</v>
      </c>
      <c r="C4415" t="str">
        <f t="shared" si="73"/>
        <v>1977 q1</v>
      </c>
    </row>
    <row r="4416" spans="1:3">
      <c r="A4416" s="62">
        <v>28195</v>
      </c>
      <c r="B4416">
        <v>0.69399999999999995</v>
      </c>
      <c r="C4416" t="str">
        <f t="shared" si="73"/>
        <v>1977 q1</v>
      </c>
    </row>
    <row r="4417" spans="1:3">
      <c r="A4417" s="62">
        <v>28198</v>
      </c>
      <c r="B4417">
        <v>0.70499999999999996</v>
      </c>
      <c r="C4417" t="str">
        <f t="shared" si="73"/>
        <v>1977 q1</v>
      </c>
    </row>
    <row r="4418" spans="1:3">
      <c r="A4418" s="62">
        <v>28199</v>
      </c>
      <c r="B4418">
        <v>0.71</v>
      </c>
      <c r="C4418" t="str">
        <f t="shared" si="73"/>
        <v>1977 q1</v>
      </c>
    </row>
    <row r="4419" spans="1:3">
      <c r="A4419" s="62">
        <v>28200</v>
      </c>
      <c r="B4419">
        <v>0.70899999999999996</v>
      </c>
      <c r="C4419" t="str">
        <f t="shared" si="73"/>
        <v>1977 q1</v>
      </c>
    </row>
    <row r="4420" spans="1:3">
      <c r="A4420" s="62">
        <v>28201</v>
      </c>
      <c r="B4420">
        <v>0.71799999999999997</v>
      </c>
      <c r="C4420" t="str">
        <f t="shared" si="73"/>
        <v>1977 q1</v>
      </c>
    </row>
    <row r="4421" spans="1:3">
      <c r="A4421" s="62">
        <v>28202</v>
      </c>
      <c r="B4421">
        <v>0.72399999999999998</v>
      </c>
      <c r="C4421" t="str">
        <f t="shared" si="73"/>
        <v>1977 q1</v>
      </c>
    </row>
    <row r="4422" spans="1:3">
      <c r="A4422" s="62">
        <v>28205</v>
      </c>
      <c r="B4422">
        <v>0.72199999999999998</v>
      </c>
      <c r="C4422" t="str">
        <f t="shared" si="73"/>
        <v>1977 q1</v>
      </c>
    </row>
    <row r="4423" spans="1:3">
      <c r="A4423" s="62">
        <v>28206</v>
      </c>
      <c r="B4423">
        <v>0.71599999999999997</v>
      </c>
      <c r="C4423" t="str">
        <f t="shared" si="73"/>
        <v>1977 q1</v>
      </c>
    </row>
    <row r="4424" spans="1:3">
      <c r="A4424" s="62">
        <v>28207</v>
      </c>
      <c r="B4424">
        <v>0.72</v>
      </c>
      <c r="C4424" t="str">
        <f t="shared" si="73"/>
        <v>1977 q1</v>
      </c>
    </row>
    <row r="4425" spans="1:3">
      <c r="A4425" s="62">
        <v>28208</v>
      </c>
      <c r="B4425">
        <v>0.71599999999999997</v>
      </c>
      <c r="C4425" t="str">
        <f t="shared" si="73"/>
        <v>1977 q1</v>
      </c>
    </row>
    <row r="4426" spans="1:3">
      <c r="A4426" s="62">
        <v>28209</v>
      </c>
      <c r="B4426">
        <v>0.70599999999999996</v>
      </c>
      <c r="C4426" t="str">
        <f t="shared" si="73"/>
        <v>1977 q1</v>
      </c>
    </row>
    <row r="4427" spans="1:3">
      <c r="A4427" s="62">
        <v>28212</v>
      </c>
      <c r="B4427">
        <v>0.69199999999999995</v>
      </c>
      <c r="C4427" t="str">
        <f t="shared" si="73"/>
        <v>1977 q1</v>
      </c>
    </row>
    <row r="4428" spans="1:3">
      <c r="A4428" s="62">
        <v>28213</v>
      </c>
      <c r="B4428">
        <v>0.68300000000000005</v>
      </c>
      <c r="C4428" t="str">
        <f t="shared" si="73"/>
        <v>1977 q1</v>
      </c>
    </row>
    <row r="4429" spans="1:3">
      <c r="A4429" s="62">
        <v>28214</v>
      </c>
      <c r="B4429">
        <v>0.70499999999999996</v>
      </c>
      <c r="C4429" t="str">
        <f t="shared" si="73"/>
        <v>1977 q1</v>
      </c>
    </row>
    <row r="4430" spans="1:3">
      <c r="A4430" s="62">
        <v>28215</v>
      </c>
      <c r="B4430">
        <v>0.70599999999999996</v>
      </c>
      <c r="C4430" t="str">
        <f t="shared" si="73"/>
        <v>1977 q1</v>
      </c>
    </row>
    <row r="4431" spans="1:3">
      <c r="A4431" s="62">
        <v>28216</v>
      </c>
      <c r="B4431">
        <v>0.71099999999999997</v>
      </c>
      <c r="C4431" t="str">
        <f t="shared" si="73"/>
        <v>1977 q2</v>
      </c>
    </row>
    <row r="4432" spans="1:3">
      <c r="A4432" s="62">
        <v>28219</v>
      </c>
      <c r="B4432">
        <v>0.70199999999999996</v>
      </c>
      <c r="C4432" t="str">
        <f t="shared" si="73"/>
        <v>1977 q2</v>
      </c>
    </row>
    <row r="4433" spans="1:3">
      <c r="A4433" s="62">
        <v>28220</v>
      </c>
      <c r="B4433">
        <v>0.67200000000000004</v>
      </c>
      <c r="C4433" t="str">
        <f t="shared" si="73"/>
        <v>1977 q2</v>
      </c>
    </row>
    <row r="4434" spans="1:3">
      <c r="A4434" s="62">
        <v>28221</v>
      </c>
      <c r="B4434">
        <v>0.67600000000000005</v>
      </c>
      <c r="C4434" t="str">
        <f t="shared" ref="C4434:C4497" si="74">YEAR(A4434)&amp;" q"&amp;ROUNDUP(MONTH(A4434)/3,0)</f>
        <v>1977 q2</v>
      </c>
    </row>
    <row r="4435" spans="1:3">
      <c r="A4435" s="62">
        <v>28222</v>
      </c>
      <c r="B4435">
        <v>0.66300000000000003</v>
      </c>
      <c r="C4435" t="str">
        <f t="shared" si="74"/>
        <v>1977 q2</v>
      </c>
    </row>
    <row r="4436" spans="1:3">
      <c r="A4436" s="62">
        <v>28226</v>
      </c>
      <c r="B4436">
        <v>0.66800000000000004</v>
      </c>
      <c r="C4436" t="str">
        <f t="shared" si="74"/>
        <v>1977 q2</v>
      </c>
    </row>
    <row r="4437" spans="1:3">
      <c r="A4437" s="62">
        <v>28227</v>
      </c>
      <c r="B4437">
        <v>0.66800000000000004</v>
      </c>
      <c r="C4437" t="str">
        <f t="shared" si="74"/>
        <v>1977 q2</v>
      </c>
    </row>
    <row r="4438" spans="1:3">
      <c r="A4438" s="62">
        <v>28228</v>
      </c>
      <c r="B4438">
        <v>0.66900000000000004</v>
      </c>
      <c r="C4438" t="str">
        <f t="shared" si="74"/>
        <v>1977 q2</v>
      </c>
    </row>
    <row r="4439" spans="1:3">
      <c r="A4439" s="62">
        <v>28229</v>
      </c>
      <c r="B4439">
        <v>0.67600000000000005</v>
      </c>
      <c r="C4439" t="str">
        <f t="shared" si="74"/>
        <v>1977 q2</v>
      </c>
    </row>
    <row r="4440" spans="1:3">
      <c r="A4440" s="62">
        <v>28230</v>
      </c>
      <c r="B4440">
        <v>0.65600000000000003</v>
      </c>
      <c r="C4440" t="str">
        <f t="shared" si="74"/>
        <v>1977 q2</v>
      </c>
    </row>
    <row r="4441" spans="1:3">
      <c r="A4441" s="62">
        <v>28233</v>
      </c>
      <c r="B4441">
        <v>0.65700000000000003</v>
      </c>
      <c r="C4441" t="str">
        <f t="shared" si="74"/>
        <v>1977 q2</v>
      </c>
    </row>
    <row r="4442" spans="1:3">
      <c r="A4442" s="62">
        <v>28234</v>
      </c>
      <c r="B4442">
        <v>0.65600000000000003</v>
      </c>
      <c r="C4442" t="str">
        <f t="shared" si="74"/>
        <v>1977 q2</v>
      </c>
    </row>
    <row r="4443" spans="1:3">
      <c r="A4443" s="62">
        <v>28235</v>
      </c>
      <c r="B4443">
        <v>0.63300000000000001</v>
      </c>
      <c r="C4443" t="str">
        <f t="shared" si="74"/>
        <v>1977 q2</v>
      </c>
    </row>
    <row r="4444" spans="1:3">
      <c r="A4444" s="62">
        <v>28236</v>
      </c>
      <c r="B4444">
        <v>0.64300000000000002</v>
      </c>
      <c r="C4444" t="str">
        <f t="shared" si="74"/>
        <v>1977 q2</v>
      </c>
    </row>
    <row r="4445" spans="1:3">
      <c r="A4445" s="62">
        <v>28237</v>
      </c>
      <c r="B4445">
        <v>0.64500000000000002</v>
      </c>
      <c r="C4445" t="str">
        <f t="shared" si="74"/>
        <v>1977 q2</v>
      </c>
    </row>
    <row r="4446" spans="1:3">
      <c r="A4446" s="62">
        <v>28240</v>
      </c>
      <c r="B4446">
        <v>0.63900000000000001</v>
      </c>
      <c r="C4446" t="str">
        <f t="shared" si="74"/>
        <v>1977 q2</v>
      </c>
    </row>
    <row r="4447" spans="1:3">
      <c r="A4447" s="62">
        <v>28241</v>
      </c>
      <c r="B4447">
        <v>0.63800000000000001</v>
      </c>
      <c r="C4447" t="str">
        <f t="shared" si="74"/>
        <v>1977 q2</v>
      </c>
    </row>
    <row r="4448" spans="1:3">
      <c r="A4448" s="62">
        <v>28242</v>
      </c>
      <c r="B4448">
        <v>0.63600000000000001</v>
      </c>
      <c r="C4448" t="str">
        <f t="shared" si="74"/>
        <v>1977 q2</v>
      </c>
    </row>
    <row r="4449" spans="1:3">
      <c r="A4449" s="62">
        <v>28243</v>
      </c>
      <c r="B4449">
        <v>0.62980000000000003</v>
      </c>
      <c r="C4449" t="str">
        <f t="shared" si="74"/>
        <v>1977 q2</v>
      </c>
    </row>
    <row r="4450" spans="1:3">
      <c r="A4450" s="62">
        <v>28244</v>
      </c>
      <c r="B4450">
        <v>0.63939999999999997</v>
      </c>
      <c r="C4450" t="str">
        <f t="shared" si="74"/>
        <v>1977 q2</v>
      </c>
    </row>
    <row r="4451" spans="1:3">
      <c r="A4451" s="62">
        <v>28247</v>
      </c>
      <c r="B4451">
        <v>0.65400000000000003</v>
      </c>
      <c r="C4451" t="str">
        <f t="shared" si="74"/>
        <v>1977 q2</v>
      </c>
    </row>
    <row r="4452" spans="1:3">
      <c r="A4452" s="62">
        <v>28248</v>
      </c>
      <c r="B4452">
        <v>0.65100000000000002</v>
      </c>
      <c r="C4452" t="str">
        <f t="shared" si="74"/>
        <v>1977 q2</v>
      </c>
    </row>
    <row r="4453" spans="1:3">
      <c r="A4453" s="62">
        <v>28249</v>
      </c>
      <c r="B4453">
        <v>0.64500000000000002</v>
      </c>
      <c r="C4453" t="str">
        <f t="shared" si="74"/>
        <v>1977 q2</v>
      </c>
    </row>
    <row r="4454" spans="1:3">
      <c r="A4454" s="62">
        <v>28250</v>
      </c>
      <c r="B4454">
        <v>0.64900000000000002</v>
      </c>
      <c r="C4454" t="str">
        <f t="shared" si="74"/>
        <v>1977 q2</v>
      </c>
    </row>
    <row r="4455" spans="1:3">
      <c r="A4455" s="62">
        <v>28251</v>
      </c>
      <c r="B4455">
        <v>0.64700000000000002</v>
      </c>
      <c r="C4455" t="str">
        <f t="shared" si="74"/>
        <v>1977 q2</v>
      </c>
    </row>
    <row r="4456" spans="1:3">
      <c r="A4456" s="62">
        <v>28254</v>
      </c>
      <c r="B4456">
        <v>0.65300000000000002</v>
      </c>
      <c r="C4456" t="str">
        <f t="shared" si="74"/>
        <v>1977 q2</v>
      </c>
    </row>
    <row r="4457" spans="1:3">
      <c r="A4457" s="62">
        <v>28255</v>
      </c>
      <c r="B4457">
        <v>0.66300000000000003</v>
      </c>
      <c r="C4457" t="str">
        <f t="shared" si="74"/>
        <v>1977 q2</v>
      </c>
    </row>
    <row r="4458" spans="1:3">
      <c r="A4458" s="62">
        <v>28256</v>
      </c>
      <c r="B4458">
        <v>0.66</v>
      </c>
      <c r="C4458" t="str">
        <f t="shared" si="74"/>
        <v>1977 q2</v>
      </c>
    </row>
    <row r="4459" spans="1:3">
      <c r="A4459" s="62">
        <v>28257</v>
      </c>
      <c r="B4459">
        <v>0.66</v>
      </c>
      <c r="C4459" t="str">
        <f t="shared" si="74"/>
        <v>1977 q2</v>
      </c>
    </row>
    <row r="4460" spans="1:3">
      <c r="A4460" s="62">
        <v>28258</v>
      </c>
      <c r="B4460">
        <v>0.66500000000000004</v>
      </c>
      <c r="C4460" t="str">
        <f t="shared" si="74"/>
        <v>1977 q2</v>
      </c>
    </row>
    <row r="4461" spans="1:3">
      <c r="A4461" s="62">
        <v>28261</v>
      </c>
      <c r="B4461">
        <v>0.67100000000000004</v>
      </c>
      <c r="C4461" t="str">
        <f t="shared" si="74"/>
        <v>1977 q2</v>
      </c>
    </row>
    <row r="4462" spans="1:3">
      <c r="A4462" s="62">
        <v>28262</v>
      </c>
      <c r="B4462">
        <v>0.65400000000000003</v>
      </c>
      <c r="C4462" t="str">
        <f t="shared" si="74"/>
        <v>1977 q2</v>
      </c>
    </row>
    <row r="4463" spans="1:3">
      <c r="A4463" s="62">
        <v>28263</v>
      </c>
      <c r="B4463">
        <v>0.64200000000000002</v>
      </c>
      <c r="C4463" t="str">
        <f t="shared" si="74"/>
        <v>1977 q2</v>
      </c>
    </row>
    <row r="4464" spans="1:3">
      <c r="A4464" s="62">
        <v>28264</v>
      </c>
      <c r="B4464">
        <v>0.63900000000000001</v>
      </c>
      <c r="C4464" t="str">
        <f t="shared" si="74"/>
        <v>1977 q2</v>
      </c>
    </row>
    <row r="4465" spans="1:3">
      <c r="A4465" s="62">
        <v>28265</v>
      </c>
      <c r="B4465">
        <v>0.61699999999999999</v>
      </c>
      <c r="C4465" t="str">
        <f t="shared" si="74"/>
        <v>1977 q2</v>
      </c>
    </row>
    <row r="4466" spans="1:3">
      <c r="A4466" s="62">
        <v>28268</v>
      </c>
      <c r="B4466">
        <v>0.60799999999999998</v>
      </c>
      <c r="C4466" t="str">
        <f t="shared" si="74"/>
        <v>1977 q2</v>
      </c>
    </row>
    <row r="4467" spans="1:3">
      <c r="A4467" s="62">
        <v>28269</v>
      </c>
      <c r="B4467">
        <v>0.61599999999999999</v>
      </c>
      <c r="C4467" t="str">
        <f t="shared" si="74"/>
        <v>1977 q2</v>
      </c>
    </row>
    <row r="4468" spans="1:3">
      <c r="A4468" s="62">
        <v>28270</v>
      </c>
      <c r="B4468">
        <v>0.60599999999999998</v>
      </c>
      <c r="C4468" t="str">
        <f t="shared" si="74"/>
        <v>1977 q2</v>
      </c>
    </row>
    <row r="4469" spans="1:3">
      <c r="A4469" s="62">
        <v>28271</v>
      </c>
      <c r="B4469">
        <v>0.60899999999999999</v>
      </c>
      <c r="C4469" t="str">
        <f t="shared" si="74"/>
        <v>1977 q2</v>
      </c>
    </row>
    <row r="4470" spans="1:3">
      <c r="A4470" s="62">
        <v>28272</v>
      </c>
      <c r="B4470">
        <v>0.61199999999999999</v>
      </c>
      <c r="C4470" t="str">
        <f t="shared" si="74"/>
        <v>1977 q2</v>
      </c>
    </row>
    <row r="4471" spans="1:3">
      <c r="A4471" s="62">
        <v>28276</v>
      </c>
      <c r="B4471">
        <v>0.60399999999999998</v>
      </c>
      <c r="C4471" t="str">
        <f t="shared" si="74"/>
        <v>1977 q2</v>
      </c>
    </row>
    <row r="4472" spans="1:3">
      <c r="A4472" s="62">
        <v>28277</v>
      </c>
      <c r="B4472">
        <v>0.60499999999999998</v>
      </c>
      <c r="C4472" t="str">
        <f t="shared" si="74"/>
        <v>1977 q2</v>
      </c>
    </row>
    <row r="4473" spans="1:3">
      <c r="A4473" s="62">
        <v>28278</v>
      </c>
      <c r="B4473">
        <v>0.60799999999999998</v>
      </c>
      <c r="C4473" t="str">
        <f t="shared" si="74"/>
        <v>1977 q2</v>
      </c>
    </row>
    <row r="4474" spans="1:3">
      <c r="A4474" s="62">
        <v>28279</v>
      </c>
      <c r="B4474">
        <v>0.60599999999999998</v>
      </c>
      <c r="C4474" t="str">
        <f t="shared" si="74"/>
        <v>1977 q2</v>
      </c>
    </row>
    <row r="4475" spans="1:3">
      <c r="A4475" s="62">
        <v>28282</v>
      </c>
      <c r="B4475">
        <v>0.61199999999999999</v>
      </c>
      <c r="C4475" t="str">
        <f t="shared" si="74"/>
        <v>1977 q2</v>
      </c>
    </row>
    <row r="4476" spans="1:3">
      <c r="A4476" s="62">
        <v>28283</v>
      </c>
      <c r="B4476">
        <v>0.61199999999999999</v>
      </c>
      <c r="C4476" t="str">
        <f t="shared" si="74"/>
        <v>1977 q2</v>
      </c>
    </row>
    <row r="4477" spans="1:3">
      <c r="A4477" s="62">
        <v>28284</v>
      </c>
      <c r="B4477">
        <v>0.58699999999999997</v>
      </c>
      <c r="C4477" t="str">
        <f t="shared" si="74"/>
        <v>1977 q2</v>
      </c>
    </row>
    <row r="4478" spans="1:3">
      <c r="A4478" s="62">
        <v>28285</v>
      </c>
      <c r="B4478">
        <v>0.57599999999999996</v>
      </c>
      <c r="C4478" t="str">
        <f t="shared" si="74"/>
        <v>1977 q2</v>
      </c>
    </row>
    <row r="4479" spans="1:3">
      <c r="A4479" s="62">
        <v>28286</v>
      </c>
      <c r="B4479">
        <v>0.59099999999999997</v>
      </c>
      <c r="C4479" t="str">
        <f t="shared" si="74"/>
        <v>1977 q2</v>
      </c>
    </row>
    <row r="4480" spans="1:3">
      <c r="A4480" s="62">
        <v>28289</v>
      </c>
      <c r="B4480">
        <v>0.58699999999999997</v>
      </c>
      <c r="C4480" t="str">
        <f t="shared" si="74"/>
        <v>1977 q2</v>
      </c>
    </row>
    <row r="4481" spans="1:3">
      <c r="A4481" s="62">
        <v>28290</v>
      </c>
      <c r="B4481">
        <v>0.59199999999999997</v>
      </c>
      <c r="C4481" t="str">
        <f t="shared" si="74"/>
        <v>1977 q2</v>
      </c>
    </row>
    <row r="4482" spans="1:3">
      <c r="A4482" s="62">
        <v>28291</v>
      </c>
      <c r="B4482">
        <v>0.59699999999999998</v>
      </c>
      <c r="C4482" t="str">
        <f t="shared" si="74"/>
        <v>1977 q2</v>
      </c>
    </row>
    <row r="4483" spans="1:3">
      <c r="A4483" s="62">
        <v>28292</v>
      </c>
      <c r="B4483">
        <v>0.60499999999999998</v>
      </c>
      <c r="C4483" t="str">
        <f t="shared" si="74"/>
        <v>1977 q2</v>
      </c>
    </row>
    <row r="4484" spans="1:3">
      <c r="A4484" s="62">
        <v>28293</v>
      </c>
      <c r="B4484">
        <v>0.63400000000000001</v>
      </c>
      <c r="C4484" t="str">
        <f t="shared" si="74"/>
        <v>1977 q2</v>
      </c>
    </row>
    <row r="4485" spans="1:3">
      <c r="A4485" s="62">
        <v>28296</v>
      </c>
      <c r="B4485">
        <v>0.64100000000000001</v>
      </c>
      <c r="C4485" t="str">
        <f t="shared" si="74"/>
        <v>1977 q2</v>
      </c>
    </row>
    <row r="4486" spans="1:3">
      <c r="A4486" s="62">
        <v>28297</v>
      </c>
      <c r="B4486">
        <v>0.61699999999999999</v>
      </c>
      <c r="C4486" t="str">
        <f t="shared" si="74"/>
        <v>1977 q2</v>
      </c>
    </row>
    <row r="4487" spans="1:3">
      <c r="A4487" s="62">
        <v>28298</v>
      </c>
      <c r="B4487">
        <v>0.61599999999999999</v>
      </c>
      <c r="C4487" t="str">
        <f t="shared" si="74"/>
        <v>1977 q2</v>
      </c>
    </row>
    <row r="4488" spans="1:3">
      <c r="A4488" s="62">
        <v>28299</v>
      </c>
      <c r="B4488">
        <v>0.627</v>
      </c>
      <c r="C4488" t="str">
        <f t="shared" si="74"/>
        <v>1977 q2</v>
      </c>
    </row>
    <row r="4489" spans="1:3">
      <c r="A4489" s="62">
        <v>28300</v>
      </c>
      <c r="B4489">
        <v>0.61799999999999999</v>
      </c>
      <c r="C4489" t="str">
        <f t="shared" si="74"/>
        <v>1977 q2</v>
      </c>
    </row>
    <row r="4490" spans="1:3">
      <c r="A4490" s="62">
        <v>28303</v>
      </c>
      <c r="B4490">
        <v>0.59260000000000002</v>
      </c>
      <c r="C4490" t="str">
        <f t="shared" si="74"/>
        <v>1977 q2</v>
      </c>
    </row>
    <row r="4491" spans="1:3">
      <c r="A4491" s="62">
        <v>28304</v>
      </c>
      <c r="B4491">
        <v>0.58860000000000001</v>
      </c>
      <c r="C4491" t="str">
        <f t="shared" si="74"/>
        <v>1977 q2</v>
      </c>
    </row>
    <row r="4492" spans="1:3">
      <c r="A4492" s="62">
        <v>28305</v>
      </c>
      <c r="B4492">
        <v>0.60880000000000001</v>
      </c>
      <c r="C4492" t="str">
        <f t="shared" si="74"/>
        <v>1977 q2</v>
      </c>
    </row>
    <row r="4493" spans="1:3">
      <c r="A4493" s="62">
        <v>28306</v>
      </c>
      <c r="B4493">
        <v>0.60640000000000005</v>
      </c>
      <c r="C4493" t="str">
        <f t="shared" si="74"/>
        <v>1977 q2</v>
      </c>
    </row>
    <row r="4494" spans="1:3">
      <c r="A4494" s="62">
        <v>28307</v>
      </c>
      <c r="B4494">
        <v>0.58099999999999996</v>
      </c>
      <c r="C4494" t="str">
        <f t="shared" si="74"/>
        <v>1977 q3</v>
      </c>
    </row>
    <row r="4495" spans="1:3">
      <c r="A4495" s="62">
        <v>28311</v>
      </c>
      <c r="B4495">
        <v>0.56899999999999995</v>
      </c>
      <c r="C4495" t="str">
        <f t="shared" si="74"/>
        <v>1977 q3</v>
      </c>
    </row>
    <row r="4496" spans="1:3">
      <c r="A4496" s="62">
        <v>28312</v>
      </c>
      <c r="B4496">
        <v>0.58199999999999996</v>
      </c>
      <c r="C4496" t="str">
        <f t="shared" si="74"/>
        <v>1977 q3</v>
      </c>
    </row>
    <row r="4497" spans="1:3">
      <c r="A4497" s="62">
        <v>28313</v>
      </c>
      <c r="B4497">
        <v>0.57999999999999996</v>
      </c>
      <c r="C4497" t="str">
        <f t="shared" si="74"/>
        <v>1977 q3</v>
      </c>
    </row>
    <row r="4498" spans="1:3">
      <c r="A4498" s="62">
        <v>28314</v>
      </c>
      <c r="B4498">
        <v>0.58299999999999996</v>
      </c>
      <c r="C4498" t="str">
        <f t="shared" ref="C4498:C4561" si="75">YEAR(A4498)&amp;" q"&amp;ROUNDUP(MONTH(A4498)/3,0)</f>
        <v>1977 q3</v>
      </c>
    </row>
    <row r="4499" spans="1:3">
      <c r="A4499" s="62">
        <v>28317</v>
      </c>
      <c r="B4499">
        <v>0.59</v>
      </c>
      <c r="C4499" t="str">
        <f t="shared" si="75"/>
        <v>1977 q3</v>
      </c>
    </row>
    <row r="4500" spans="1:3">
      <c r="A4500" s="62">
        <v>28318</v>
      </c>
      <c r="B4500">
        <v>0.56699999999999995</v>
      </c>
      <c r="C4500" t="str">
        <f t="shared" si="75"/>
        <v>1977 q3</v>
      </c>
    </row>
    <row r="4501" spans="1:3">
      <c r="A4501" s="62">
        <v>28319</v>
      </c>
      <c r="B4501">
        <v>0.57599999999999996</v>
      </c>
      <c r="C4501" t="str">
        <f t="shared" si="75"/>
        <v>1977 q3</v>
      </c>
    </row>
    <row r="4502" spans="1:3">
      <c r="A4502" s="62">
        <v>28321</v>
      </c>
      <c r="B4502">
        <v>0.57399999999999995</v>
      </c>
      <c r="C4502" t="str">
        <f t="shared" si="75"/>
        <v>1977 q3</v>
      </c>
    </row>
    <row r="4503" spans="1:3">
      <c r="A4503" s="62">
        <v>28324</v>
      </c>
      <c r="B4503">
        <v>0.57399999999999995</v>
      </c>
      <c r="C4503" t="str">
        <f t="shared" si="75"/>
        <v>1977 q3</v>
      </c>
    </row>
    <row r="4504" spans="1:3">
      <c r="A4504" s="62">
        <v>28325</v>
      </c>
      <c r="B4504">
        <v>0.57799999999999996</v>
      </c>
      <c r="C4504" t="str">
        <f t="shared" si="75"/>
        <v>1977 q3</v>
      </c>
    </row>
    <row r="4505" spans="1:3">
      <c r="A4505" s="62">
        <v>28326</v>
      </c>
      <c r="B4505">
        <v>0.57599999999999996</v>
      </c>
      <c r="C4505" t="str">
        <f t="shared" si="75"/>
        <v>1977 q3</v>
      </c>
    </row>
    <row r="4506" spans="1:3">
      <c r="A4506" s="62">
        <v>28327</v>
      </c>
      <c r="B4506">
        <v>0.57499999999999996</v>
      </c>
      <c r="C4506" t="str">
        <f t="shared" si="75"/>
        <v>1977 q3</v>
      </c>
    </row>
    <row r="4507" spans="1:3">
      <c r="A4507" s="62">
        <v>28328</v>
      </c>
      <c r="B4507">
        <v>0.57499999999999996</v>
      </c>
      <c r="C4507" t="str">
        <f t="shared" si="75"/>
        <v>1977 q3</v>
      </c>
    </row>
    <row r="4508" spans="1:3">
      <c r="A4508" s="62">
        <v>28331</v>
      </c>
      <c r="B4508">
        <v>0.57299999999999995</v>
      </c>
      <c r="C4508" t="str">
        <f t="shared" si="75"/>
        <v>1977 q3</v>
      </c>
    </row>
    <row r="4509" spans="1:3">
      <c r="A4509" s="62">
        <v>28332</v>
      </c>
      <c r="B4509">
        <v>0.56999999999999995</v>
      </c>
      <c r="C4509" t="str">
        <f t="shared" si="75"/>
        <v>1977 q3</v>
      </c>
    </row>
    <row r="4510" spans="1:3">
      <c r="A4510" s="62">
        <v>28333</v>
      </c>
      <c r="B4510">
        <v>0.56999999999999995</v>
      </c>
      <c r="C4510" t="str">
        <f t="shared" si="75"/>
        <v>1977 q3</v>
      </c>
    </row>
    <row r="4511" spans="1:3">
      <c r="A4511" s="62">
        <v>28334</v>
      </c>
      <c r="B4511">
        <v>0.56399999999999995</v>
      </c>
      <c r="C4511" t="str">
        <f t="shared" si="75"/>
        <v>1977 q3</v>
      </c>
    </row>
    <row r="4512" spans="1:3">
      <c r="A4512" s="62">
        <v>28335</v>
      </c>
      <c r="B4512">
        <v>0.56299999999999994</v>
      </c>
      <c r="C4512" t="str">
        <f t="shared" si="75"/>
        <v>1977 q3</v>
      </c>
    </row>
    <row r="4513" spans="1:3">
      <c r="A4513" s="62">
        <v>28338</v>
      </c>
      <c r="B4513">
        <v>0.55000000000000004</v>
      </c>
      <c r="C4513" t="str">
        <f t="shared" si="75"/>
        <v>1977 q3</v>
      </c>
    </row>
    <row r="4514" spans="1:3">
      <c r="A4514" s="62">
        <v>28339</v>
      </c>
      <c r="B4514">
        <v>0.54900000000000004</v>
      </c>
      <c r="C4514" t="str">
        <f t="shared" si="75"/>
        <v>1977 q3</v>
      </c>
    </row>
    <row r="4515" spans="1:3">
      <c r="A4515" s="62">
        <v>28340</v>
      </c>
      <c r="B4515">
        <v>0.55200000000000005</v>
      </c>
      <c r="C4515" t="str">
        <f t="shared" si="75"/>
        <v>1977 q3</v>
      </c>
    </row>
    <row r="4516" spans="1:3">
      <c r="A4516" s="62">
        <v>28341</v>
      </c>
      <c r="B4516">
        <v>0.55500000000000005</v>
      </c>
      <c r="C4516" t="str">
        <f t="shared" si="75"/>
        <v>1977 q3</v>
      </c>
    </row>
    <row r="4517" spans="1:3">
      <c r="A4517" s="62">
        <v>28342</v>
      </c>
      <c r="B4517">
        <v>0.54700000000000004</v>
      </c>
      <c r="C4517" t="str">
        <f t="shared" si="75"/>
        <v>1977 q3</v>
      </c>
    </row>
    <row r="4518" spans="1:3">
      <c r="A4518" s="62">
        <v>28345</v>
      </c>
      <c r="B4518">
        <v>0.54</v>
      </c>
      <c r="C4518" t="str">
        <f t="shared" si="75"/>
        <v>1977 q3</v>
      </c>
    </row>
    <row r="4519" spans="1:3">
      <c r="A4519" s="62">
        <v>28346</v>
      </c>
      <c r="B4519">
        <v>0.54400000000000004</v>
      </c>
      <c r="C4519" t="str">
        <f t="shared" si="75"/>
        <v>1977 q3</v>
      </c>
    </row>
    <row r="4520" spans="1:3">
      <c r="A4520" s="62">
        <v>28347</v>
      </c>
      <c r="B4520">
        <v>0.53800000000000003</v>
      </c>
      <c r="C4520" t="str">
        <f t="shared" si="75"/>
        <v>1977 q3</v>
      </c>
    </row>
    <row r="4521" spans="1:3">
      <c r="A4521" s="62">
        <v>28348</v>
      </c>
      <c r="B4521">
        <v>0.53300000000000003</v>
      </c>
      <c r="C4521" t="str">
        <f t="shared" si="75"/>
        <v>1977 q3</v>
      </c>
    </row>
    <row r="4522" spans="1:3">
      <c r="A4522" s="62">
        <v>28349</v>
      </c>
      <c r="B4522">
        <v>0.52600000000000002</v>
      </c>
      <c r="C4522" t="str">
        <f t="shared" si="75"/>
        <v>1977 q3</v>
      </c>
    </row>
    <row r="4523" spans="1:3">
      <c r="A4523" s="62">
        <v>28352</v>
      </c>
      <c r="B4523">
        <v>0.52</v>
      </c>
      <c r="C4523" t="str">
        <f t="shared" si="75"/>
        <v>1977 q3</v>
      </c>
    </row>
    <row r="4524" spans="1:3">
      <c r="A4524" s="62">
        <v>28353</v>
      </c>
      <c r="B4524">
        <v>0.53400000000000003</v>
      </c>
      <c r="C4524" t="str">
        <f t="shared" si="75"/>
        <v>1977 q3</v>
      </c>
    </row>
    <row r="4525" spans="1:3">
      <c r="A4525" s="62">
        <v>28354</v>
      </c>
      <c r="B4525">
        <v>0.52600000000000002</v>
      </c>
      <c r="C4525" t="str">
        <f t="shared" si="75"/>
        <v>1977 q3</v>
      </c>
    </row>
    <row r="4526" spans="1:3">
      <c r="A4526" s="62">
        <v>28355</v>
      </c>
      <c r="B4526">
        <v>0.52700000000000002</v>
      </c>
      <c r="C4526" t="str">
        <f t="shared" si="75"/>
        <v>1977 q3</v>
      </c>
    </row>
    <row r="4527" spans="1:3">
      <c r="A4527" s="62">
        <v>28356</v>
      </c>
      <c r="B4527">
        <v>0.53100000000000003</v>
      </c>
      <c r="C4527" t="str">
        <f t="shared" si="75"/>
        <v>1977 q3</v>
      </c>
    </row>
    <row r="4528" spans="1:3">
      <c r="A4528" s="62">
        <v>28359</v>
      </c>
      <c r="B4528">
        <v>0.52500000000000002</v>
      </c>
      <c r="C4528" t="str">
        <f t="shared" si="75"/>
        <v>1977 q3</v>
      </c>
    </row>
    <row r="4529" spans="1:3">
      <c r="A4529" s="62">
        <v>28360</v>
      </c>
      <c r="B4529">
        <v>0.52300000000000002</v>
      </c>
      <c r="C4529" t="str">
        <f t="shared" si="75"/>
        <v>1977 q3</v>
      </c>
    </row>
    <row r="4530" spans="1:3">
      <c r="A4530" s="62">
        <v>28361</v>
      </c>
      <c r="B4530">
        <v>0.52500000000000002</v>
      </c>
      <c r="C4530" t="str">
        <f t="shared" si="75"/>
        <v>1977 q3</v>
      </c>
    </row>
    <row r="4531" spans="1:3">
      <c r="A4531" s="62">
        <v>28362</v>
      </c>
      <c r="B4531">
        <v>0.52800000000000002</v>
      </c>
      <c r="C4531" t="str">
        <f t="shared" si="75"/>
        <v>1977 q3</v>
      </c>
    </row>
    <row r="4532" spans="1:3">
      <c r="A4532" s="62">
        <v>28363</v>
      </c>
      <c r="B4532">
        <v>0.52759999999999996</v>
      </c>
      <c r="C4532" t="str">
        <f t="shared" si="75"/>
        <v>1977 q3</v>
      </c>
    </row>
    <row r="4533" spans="1:3">
      <c r="A4533" s="62">
        <v>28366</v>
      </c>
      <c r="B4533">
        <v>0.5252</v>
      </c>
      <c r="C4533" t="str">
        <f t="shared" si="75"/>
        <v>1977 q3</v>
      </c>
    </row>
    <row r="4534" spans="1:3">
      <c r="A4534" s="62">
        <v>28367</v>
      </c>
      <c r="B4534">
        <v>0.53180000000000005</v>
      </c>
      <c r="C4534" t="str">
        <f t="shared" si="75"/>
        <v>1977 q3</v>
      </c>
    </row>
    <row r="4535" spans="1:3">
      <c r="A4535" s="62">
        <v>28368</v>
      </c>
      <c r="B4535">
        <v>0.55159999999999998</v>
      </c>
      <c r="C4535" t="str">
        <f t="shared" si="75"/>
        <v>1977 q3</v>
      </c>
    </row>
    <row r="4536" spans="1:3">
      <c r="A4536" s="62">
        <v>28369</v>
      </c>
      <c r="B4536">
        <v>0.55700000000000005</v>
      </c>
      <c r="C4536" t="str">
        <f t="shared" si="75"/>
        <v>1977 q3</v>
      </c>
    </row>
    <row r="4537" spans="1:3">
      <c r="A4537" s="62">
        <v>28370</v>
      </c>
      <c r="B4537">
        <v>0.56699999999999995</v>
      </c>
      <c r="C4537" t="str">
        <f t="shared" si="75"/>
        <v>1977 q3</v>
      </c>
    </row>
    <row r="4538" spans="1:3">
      <c r="A4538" s="62">
        <v>28374</v>
      </c>
      <c r="B4538">
        <v>0.56499999999999995</v>
      </c>
      <c r="C4538" t="str">
        <f t="shared" si="75"/>
        <v>1977 q3</v>
      </c>
    </row>
    <row r="4539" spans="1:3">
      <c r="A4539" s="62">
        <v>28375</v>
      </c>
      <c r="B4539">
        <v>0.56299999999999994</v>
      </c>
      <c r="C4539" t="str">
        <f t="shared" si="75"/>
        <v>1977 q3</v>
      </c>
    </row>
    <row r="4540" spans="1:3">
      <c r="A4540" s="62">
        <v>28376</v>
      </c>
      <c r="B4540">
        <v>0.55100000000000005</v>
      </c>
      <c r="C4540" t="str">
        <f t="shared" si="75"/>
        <v>1977 q3</v>
      </c>
    </row>
    <row r="4541" spans="1:3">
      <c r="A4541" s="62">
        <v>28377</v>
      </c>
      <c r="B4541">
        <v>0.55800000000000005</v>
      </c>
      <c r="C4541" t="str">
        <f t="shared" si="75"/>
        <v>1977 q3</v>
      </c>
    </row>
    <row r="4542" spans="1:3">
      <c r="A4542" s="62">
        <v>28380</v>
      </c>
      <c r="B4542">
        <v>0.55600000000000005</v>
      </c>
      <c r="C4542" t="str">
        <f t="shared" si="75"/>
        <v>1977 q3</v>
      </c>
    </row>
    <row r="4543" spans="1:3">
      <c r="A4543" s="62">
        <v>28381</v>
      </c>
      <c r="B4543">
        <v>0.55300000000000005</v>
      </c>
      <c r="C4543" t="str">
        <f t="shared" si="75"/>
        <v>1977 q3</v>
      </c>
    </row>
    <row r="4544" spans="1:3">
      <c r="A4544" s="62">
        <v>28382</v>
      </c>
      <c r="B4544">
        <v>0.55200000000000005</v>
      </c>
      <c r="C4544" t="str">
        <f t="shared" si="75"/>
        <v>1977 q3</v>
      </c>
    </row>
    <row r="4545" spans="1:3">
      <c r="A4545" s="62">
        <v>28383</v>
      </c>
      <c r="B4545">
        <v>0.55500000000000005</v>
      </c>
      <c r="C4545" t="str">
        <f t="shared" si="75"/>
        <v>1977 q3</v>
      </c>
    </row>
    <row r="4546" spans="1:3">
      <c r="A4546" s="62">
        <v>28384</v>
      </c>
      <c r="B4546">
        <v>0.56499999999999995</v>
      </c>
      <c r="C4546" t="str">
        <f t="shared" si="75"/>
        <v>1977 q3</v>
      </c>
    </row>
    <row r="4547" spans="1:3">
      <c r="A4547" s="62">
        <v>28387</v>
      </c>
      <c r="B4547">
        <v>0.56399999999999995</v>
      </c>
      <c r="C4547" t="str">
        <f t="shared" si="75"/>
        <v>1977 q3</v>
      </c>
    </row>
    <row r="4548" spans="1:3">
      <c r="A4548" s="62">
        <v>28388</v>
      </c>
      <c r="B4548">
        <v>0.56999999999999995</v>
      </c>
      <c r="C4548" t="str">
        <f t="shared" si="75"/>
        <v>1977 q3</v>
      </c>
    </row>
    <row r="4549" spans="1:3">
      <c r="A4549" s="62">
        <v>28389</v>
      </c>
      <c r="B4549">
        <v>0.57399999999999995</v>
      </c>
      <c r="C4549" t="str">
        <f t="shared" si="75"/>
        <v>1977 q3</v>
      </c>
    </row>
    <row r="4550" spans="1:3">
      <c r="A4550" s="62">
        <v>28390</v>
      </c>
      <c r="B4550">
        <v>0.56999999999999995</v>
      </c>
      <c r="C4550" t="str">
        <f t="shared" si="75"/>
        <v>1977 q3</v>
      </c>
    </row>
    <row r="4551" spans="1:3">
      <c r="A4551" s="62">
        <v>28391</v>
      </c>
      <c r="B4551">
        <v>0.55700000000000005</v>
      </c>
      <c r="C4551" t="str">
        <f t="shared" si="75"/>
        <v>1977 q3</v>
      </c>
    </row>
    <row r="4552" spans="1:3">
      <c r="A4552" s="62">
        <v>28394</v>
      </c>
      <c r="B4552">
        <v>0.55500000000000005</v>
      </c>
      <c r="C4552" t="str">
        <f t="shared" si="75"/>
        <v>1977 q3</v>
      </c>
    </row>
    <row r="4553" spans="1:3">
      <c r="A4553" s="62">
        <v>28395</v>
      </c>
      <c r="B4553">
        <v>0.55700000000000005</v>
      </c>
      <c r="C4553" t="str">
        <f t="shared" si="75"/>
        <v>1977 q3</v>
      </c>
    </row>
    <row r="4554" spans="1:3">
      <c r="A4554" s="62">
        <v>28396</v>
      </c>
      <c r="B4554">
        <v>0.56299999999999994</v>
      </c>
      <c r="C4554" t="str">
        <f t="shared" si="75"/>
        <v>1977 q3</v>
      </c>
    </row>
    <row r="4555" spans="1:3">
      <c r="A4555" s="62">
        <v>28397</v>
      </c>
      <c r="B4555">
        <v>0.56599999999999995</v>
      </c>
      <c r="C4555" t="str">
        <f t="shared" si="75"/>
        <v>1977 q3</v>
      </c>
    </row>
    <row r="4556" spans="1:3">
      <c r="A4556" s="62">
        <v>28398</v>
      </c>
      <c r="B4556">
        <v>0.56399999999999995</v>
      </c>
      <c r="C4556" t="str">
        <f t="shared" si="75"/>
        <v>1977 q3</v>
      </c>
    </row>
    <row r="4557" spans="1:3">
      <c r="A4557" s="62">
        <v>28401</v>
      </c>
      <c r="B4557">
        <v>0.56000000000000005</v>
      </c>
      <c r="C4557" t="str">
        <f t="shared" si="75"/>
        <v>1977 q4</v>
      </c>
    </row>
    <row r="4558" spans="1:3">
      <c r="A4558" s="62">
        <v>28402</v>
      </c>
      <c r="B4558">
        <v>0.56999999999999995</v>
      </c>
      <c r="C4558" t="str">
        <f t="shared" si="75"/>
        <v>1977 q4</v>
      </c>
    </row>
    <row r="4559" spans="1:3">
      <c r="A4559" s="62">
        <v>28403</v>
      </c>
      <c r="B4559">
        <v>0.56699999999999995</v>
      </c>
      <c r="C4559" t="str">
        <f t="shared" si="75"/>
        <v>1977 q4</v>
      </c>
    </row>
    <row r="4560" spans="1:3">
      <c r="A4560" s="62">
        <v>28404</v>
      </c>
      <c r="B4560">
        <v>0.56699999999999995</v>
      </c>
      <c r="C4560" t="str">
        <f t="shared" si="75"/>
        <v>1977 q4</v>
      </c>
    </row>
    <row r="4561" spans="1:3">
      <c r="A4561" s="62">
        <v>28405</v>
      </c>
      <c r="B4561">
        <v>0.57299999999999995</v>
      </c>
      <c r="C4561" t="str">
        <f t="shared" si="75"/>
        <v>1977 q4</v>
      </c>
    </row>
    <row r="4562" spans="1:3">
      <c r="A4562" s="62">
        <v>28408</v>
      </c>
      <c r="B4562">
        <v>0.57899999999999996</v>
      </c>
      <c r="C4562" t="str">
        <f t="shared" ref="C4562:C4625" si="76">YEAR(A4562)&amp;" q"&amp;ROUNDUP(MONTH(A4562)/3,0)</f>
        <v>1977 q4</v>
      </c>
    </row>
    <row r="4563" spans="1:3">
      <c r="A4563" s="62">
        <v>28409</v>
      </c>
      <c r="B4563">
        <v>0.57799999999999996</v>
      </c>
      <c r="C4563" t="str">
        <f t="shared" si="76"/>
        <v>1977 q4</v>
      </c>
    </row>
    <row r="4564" spans="1:3">
      <c r="A4564" s="62">
        <v>28410</v>
      </c>
      <c r="B4564">
        <v>0.57199999999999995</v>
      </c>
      <c r="C4564" t="str">
        <f t="shared" si="76"/>
        <v>1977 q4</v>
      </c>
    </row>
    <row r="4565" spans="1:3">
      <c r="A4565" s="62">
        <v>28411</v>
      </c>
      <c r="B4565">
        <v>0.56599999999999995</v>
      </c>
      <c r="C4565" t="str">
        <f t="shared" si="76"/>
        <v>1977 q4</v>
      </c>
    </row>
    <row r="4566" spans="1:3">
      <c r="A4566" s="62">
        <v>28412</v>
      </c>
      <c r="B4566">
        <v>0.57099999999999995</v>
      </c>
      <c r="C4566" t="str">
        <f t="shared" si="76"/>
        <v>1977 q4</v>
      </c>
    </row>
    <row r="4567" spans="1:3">
      <c r="A4567" s="62">
        <v>28415</v>
      </c>
      <c r="B4567">
        <v>0.56599999999999995</v>
      </c>
      <c r="C4567" t="str">
        <f t="shared" si="76"/>
        <v>1977 q4</v>
      </c>
    </row>
    <row r="4568" spans="1:3">
      <c r="A4568" s="62">
        <v>28416</v>
      </c>
      <c r="B4568">
        <v>0.57199999999999995</v>
      </c>
      <c r="C4568" t="str">
        <f t="shared" si="76"/>
        <v>1977 q4</v>
      </c>
    </row>
    <row r="4569" spans="1:3">
      <c r="A4569" s="62">
        <v>28417</v>
      </c>
      <c r="B4569">
        <v>0.56599999999999995</v>
      </c>
      <c r="C4569" t="str">
        <f t="shared" si="76"/>
        <v>1977 q4</v>
      </c>
    </row>
    <row r="4570" spans="1:3">
      <c r="A4570" s="62">
        <v>28418</v>
      </c>
      <c r="B4570">
        <v>0.56799999999999995</v>
      </c>
      <c r="C4570" t="str">
        <f t="shared" si="76"/>
        <v>1977 q4</v>
      </c>
    </row>
    <row r="4571" spans="1:3">
      <c r="A4571" s="62">
        <v>28419</v>
      </c>
      <c r="B4571">
        <v>0.57299999999999995</v>
      </c>
      <c r="C4571" t="str">
        <f t="shared" si="76"/>
        <v>1977 q4</v>
      </c>
    </row>
    <row r="4572" spans="1:3">
      <c r="A4572" s="62">
        <v>28422</v>
      </c>
      <c r="B4572">
        <v>0.56899999999999995</v>
      </c>
      <c r="C4572" t="str">
        <f t="shared" si="76"/>
        <v>1977 q4</v>
      </c>
    </row>
    <row r="4573" spans="1:3">
      <c r="A4573" s="62">
        <v>28423</v>
      </c>
      <c r="B4573">
        <v>0.56799999999999995</v>
      </c>
      <c r="C4573" t="str">
        <f t="shared" si="76"/>
        <v>1977 q4</v>
      </c>
    </row>
    <row r="4574" spans="1:3">
      <c r="A4574" s="62">
        <v>28424</v>
      </c>
      <c r="B4574">
        <v>0.55700000000000005</v>
      </c>
      <c r="C4574" t="str">
        <f t="shared" si="76"/>
        <v>1977 q4</v>
      </c>
    </row>
    <row r="4575" spans="1:3">
      <c r="A4575" s="62">
        <v>28425</v>
      </c>
      <c r="B4575">
        <v>0.54900000000000004</v>
      </c>
      <c r="C4575" t="str">
        <f t="shared" si="76"/>
        <v>1977 q4</v>
      </c>
    </row>
    <row r="4576" spans="1:3">
      <c r="A4576" s="62">
        <v>28426</v>
      </c>
      <c r="B4576">
        <v>0.54600000000000004</v>
      </c>
      <c r="C4576" t="str">
        <f t="shared" si="76"/>
        <v>1977 q4</v>
      </c>
    </row>
    <row r="4577" spans="1:3">
      <c r="A4577" s="62">
        <v>28429</v>
      </c>
      <c r="B4577">
        <v>0.55000000000000004</v>
      </c>
      <c r="C4577" t="str">
        <f t="shared" si="76"/>
        <v>1977 q4</v>
      </c>
    </row>
    <row r="4578" spans="1:3">
      <c r="A4578" s="62">
        <v>28430</v>
      </c>
      <c r="B4578">
        <v>0.54700000000000004</v>
      </c>
      <c r="C4578" t="str">
        <f t="shared" si="76"/>
        <v>1977 q4</v>
      </c>
    </row>
    <row r="4579" spans="1:3">
      <c r="A4579" s="62">
        <v>28431</v>
      </c>
      <c r="B4579">
        <v>0.55000000000000004</v>
      </c>
      <c r="C4579" t="str">
        <f t="shared" si="76"/>
        <v>1977 q4</v>
      </c>
    </row>
    <row r="4580" spans="1:3">
      <c r="A4580" s="62">
        <v>28432</v>
      </c>
      <c r="B4580">
        <v>0.54700000000000004</v>
      </c>
      <c r="C4580" t="str">
        <f t="shared" si="76"/>
        <v>1977 q4</v>
      </c>
    </row>
    <row r="4581" spans="1:3">
      <c r="A4581" s="62">
        <v>28433</v>
      </c>
      <c r="B4581">
        <v>0.54800000000000004</v>
      </c>
      <c r="C4581" t="str">
        <f t="shared" si="76"/>
        <v>1977 q4</v>
      </c>
    </row>
    <row r="4582" spans="1:3">
      <c r="A4582" s="62">
        <v>28436</v>
      </c>
      <c r="B4582">
        <v>0.54</v>
      </c>
      <c r="C4582" t="str">
        <f t="shared" si="76"/>
        <v>1977 q4</v>
      </c>
    </row>
    <row r="4583" spans="1:3">
      <c r="A4583" s="62">
        <v>28437</v>
      </c>
      <c r="B4583">
        <v>0.54500000000000004</v>
      </c>
      <c r="C4583" t="str">
        <f t="shared" si="76"/>
        <v>1977 q4</v>
      </c>
    </row>
    <row r="4584" spans="1:3">
      <c r="A4584" s="62">
        <v>28438</v>
      </c>
      <c r="B4584">
        <v>0.55300000000000005</v>
      </c>
      <c r="C4584" t="str">
        <f t="shared" si="76"/>
        <v>1977 q4</v>
      </c>
    </row>
    <row r="4585" spans="1:3">
      <c r="A4585" s="62">
        <v>28439</v>
      </c>
      <c r="B4585">
        <v>0.54700000000000004</v>
      </c>
      <c r="C4585" t="str">
        <f t="shared" si="76"/>
        <v>1977 q4</v>
      </c>
    </row>
    <row r="4586" spans="1:3">
      <c r="A4586" s="62">
        <v>28440</v>
      </c>
      <c r="B4586">
        <v>0.54900000000000004</v>
      </c>
      <c r="C4586" t="str">
        <f t="shared" si="76"/>
        <v>1977 q4</v>
      </c>
    </row>
    <row r="4587" spans="1:3">
      <c r="A4587" s="62">
        <v>28443</v>
      </c>
      <c r="B4587">
        <v>0.54300000000000004</v>
      </c>
      <c r="C4587" t="str">
        <f t="shared" si="76"/>
        <v>1977 q4</v>
      </c>
    </row>
    <row r="4588" spans="1:3">
      <c r="A4588" s="62">
        <v>28444</v>
      </c>
      <c r="B4588">
        <v>0.54700000000000004</v>
      </c>
      <c r="C4588" t="str">
        <f t="shared" si="76"/>
        <v>1977 q4</v>
      </c>
    </row>
    <row r="4589" spans="1:3">
      <c r="A4589" s="62">
        <v>28445</v>
      </c>
      <c r="B4589">
        <v>0.55300000000000005</v>
      </c>
      <c r="C4589" t="str">
        <f t="shared" si="76"/>
        <v>1977 q4</v>
      </c>
    </row>
    <row r="4590" spans="1:3">
      <c r="A4590" s="62">
        <v>28446</v>
      </c>
      <c r="B4590">
        <v>0.55600000000000005</v>
      </c>
      <c r="C4590" t="str">
        <f t="shared" si="76"/>
        <v>1977 q4</v>
      </c>
    </row>
    <row r="4591" spans="1:3">
      <c r="A4591" s="62">
        <v>28447</v>
      </c>
      <c r="B4591">
        <v>0.55800000000000005</v>
      </c>
      <c r="C4591" t="str">
        <f t="shared" si="76"/>
        <v>1977 q4</v>
      </c>
    </row>
    <row r="4592" spans="1:3">
      <c r="A4592" s="62">
        <v>28450</v>
      </c>
      <c r="B4592">
        <v>0.55300000000000005</v>
      </c>
      <c r="C4592" t="str">
        <f t="shared" si="76"/>
        <v>1977 q4</v>
      </c>
    </row>
    <row r="4593" spans="1:3">
      <c r="A4593" s="62">
        <v>28451</v>
      </c>
      <c r="B4593">
        <v>0.55500000000000005</v>
      </c>
      <c r="C4593" t="str">
        <f t="shared" si="76"/>
        <v>1977 q4</v>
      </c>
    </row>
    <row r="4594" spans="1:3">
      <c r="A4594" s="62">
        <v>28452</v>
      </c>
      <c r="B4594">
        <v>0.55700000000000005</v>
      </c>
      <c r="C4594" t="str">
        <f t="shared" si="76"/>
        <v>1977 q4</v>
      </c>
    </row>
    <row r="4595" spans="1:3">
      <c r="A4595" s="62">
        <v>28454</v>
      </c>
      <c r="B4595">
        <v>0.55600000000000005</v>
      </c>
      <c r="C4595" t="str">
        <f t="shared" si="76"/>
        <v>1977 q4</v>
      </c>
    </row>
    <row r="4596" spans="1:3">
      <c r="A4596" s="62">
        <v>28457</v>
      </c>
      <c r="B4596">
        <v>0.55800000000000005</v>
      </c>
      <c r="C4596" t="str">
        <f t="shared" si="76"/>
        <v>1977 q4</v>
      </c>
    </row>
    <row r="4597" spans="1:3">
      <c r="A4597" s="62">
        <v>28458</v>
      </c>
      <c r="B4597">
        <v>0.56100000000000005</v>
      </c>
      <c r="C4597" t="str">
        <f t="shared" si="76"/>
        <v>1977 q4</v>
      </c>
    </row>
    <row r="4598" spans="1:3">
      <c r="A4598" s="62">
        <v>28459</v>
      </c>
      <c r="B4598">
        <v>0.56920000000000004</v>
      </c>
      <c r="C4598" t="str">
        <f t="shared" si="76"/>
        <v>1977 q4</v>
      </c>
    </row>
    <row r="4599" spans="1:3">
      <c r="A4599" s="62">
        <v>28460</v>
      </c>
      <c r="B4599">
        <v>0.57499999999999996</v>
      </c>
      <c r="C4599" t="str">
        <f t="shared" si="76"/>
        <v>1977 q4</v>
      </c>
    </row>
    <row r="4600" spans="1:3">
      <c r="A4600" s="62">
        <v>28461</v>
      </c>
      <c r="B4600">
        <v>0.57499999999999996</v>
      </c>
      <c r="C4600" t="str">
        <f t="shared" si="76"/>
        <v>1977 q4</v>
      </c>
    </row>
    <row r="4601" spans="1:3">
      <c r="A4601" s="62">
        <v>28464</v>
      </c>
      <c r="B4601">
        <v>0.57499999999999996</v>
      </c>
      <c r="C4601" t="str">
        <f t="shared" si="76"/>
        <v>1977 q4</v>
      </c>
    </row>
    <row r="4602" spans="1:3">
      <c r="A4602" s="62">
        <v>28465</v>
      </c>
      <c r="B4602">
        <v>0.57499999999999996</v>
      </c>
      <c r="C4602" t="str">
        <f t="shared" si="76"/>
        <v>1977 q4</v>
      </c>
    </row>
    <row r="4603" spans="1:3">
      <c r="A4603" s="62">
        <v>28466</v>
      </c>
      <c r="B4603">
        <v>0.57499999999999996</v>
      </c>
      <c r="C4603" t="str">
        <f t="shared" si="76"/>
        <v>1977 q4</v>
      </c>
    </row>
    <row r="4604" spans="1:3">
      <c r="A4604" s="62">
        <v>28467</v>
      </c>
      <c r="B4604">
        <v>0.57999999999999996</v>
      </c>
      <c r="C4604" t="str">
        <f t="shared" si="76"/>
        <v>1977 q4</v>
      </c>
    </row>
    <row r="4605" spans="1:3">
      <c r="A4605" s="62">
        <v>28468</v>
      </c>
      <c r="B4605">
        <v>0.58299999999999996</v>
      </c>
      <c r="C4605" t="str">
        <f t="shared" si="76"/>
        <v>1977 q4</v>
      </c>
    </row>
    <row r="4606" spans="1:3">
      <c r="A4606" s="62">
        <v>28471</v>
      </c>
      <c r="B4606">
        <v>0.59</v>
      </c>
      <c r="C4606" t="str">
        <f t="shared" si="76"/>
        <v>1977 q4</v>
      </c>
    </row>
    <row r="4607" spans="1:3">
      <c r="A4607" s="62">
        <v>28472</v>
      </c>
      <c r="B4607">
        <v>0.58599999999999997</v>
      </c>
      <c r="C4607" t="str">
        <f t="shared" si="76"/>
        <v>1977 q4</v>
      </c>
    </row>
    <row r="4608" spans="1:3">
      <c r="A4608" s="62">
        <v>28473</v>
      </c>
      <c r="B4608">
        <v>0.58599999999999997</v>
      </c>
      <c r="C4608" t="str">
        <f t="shared" si="76"/>
        <v>1977 q4</v>
      </c>
    </row>
    <row r="4609" spans="1:3">
      <c r="A4609" s="62">
        <v>28474</v>
      </c>
      <c r="B4609">
        <v>0.58599999999999997</v>
      </c>
      <c r="C4609" t="str">
        <f t="shared" si="76"/>
        <v>1977 q4</v>
      </c>
    </row>
    <row r="4610" spans="1:3">
      <c r="A4610" s="62">
        <v>28475</v>
      </c>
      <c r="B4610">
        <v>0.59599999999999997</v>
      </c>
      <c r="C4610" t="str">
        <f t="shared" si="76"/>
        <v>1977 q4</v>
      </c>
    </row>
    <row r="4611" spans="1:3">
      <c r="A4611" s="62">
        <v>28478</v>
      </c>
      <c r="B4611">
        <v>0.59499999999999997</v>
      </c>
      <c r="C4611" t="str">
        <f t="shared" si="76"/>
        <v>1977 q4</v>
      </c>
    </row>
    <row r="4612" spans="1:3">
      <c r="A4612" s="62">
        <v>28479</v>
      </c>
      <c r="B4612">
        <v>0.6</v>
      </c>
      <c r="C4612" t="str">
        <f t="shared" si="76"/>
        <v>1977 q4</v>
      </c>
    </row>
    <row r="4613" spans="1:3">
      <c r="A4613" s="62">
        <v>28480</v>
      </c>
      <c r="B4613">
        <v>0.59599999999999997</v>
      </c>
      <c r="C4613" t="str">
        <f t="shared" si="76"/>
        <v>1977 q4</v>
      </c>
    </row>
    <row r="4614" spans="1:3">
      <c r="A4614" s="62">
        <v>28481</v>
      </c>
      <c r="B4614">
        <v>0.59699999999999998</v>
      </c>
      <c r="C4614" t="str">
        <f t="shared" si="76"/>
        <v>1977 q4</v>
      </c>
    </row>
    <row r="4615" spans="1:3">
      <c r="A4615" s="62">
        <v>28482</v>
      </c>
      <c r="B4615">
        <v>0.6</v>
      </c>
      <c r="C4615" t="str">
        <f t="shared" si="76"/>
        <v>1977 q4</v>
      </c>
    </row>
    <row r="4616" spans="1:3">
      <c r="A4616" s="62">
        <v>28486</v>
      </c>
      <c r="B4616">
        <v>0.60680000000000001</v>
      </c>
      <c r="C4616" t="str">
        <f t="shared" si="76"/>
        <v>1977 q4</v>
      </c>
    </row>
    <row r="4617" spans="1:3">
      <c r="A4617" s="62">
        <v>28487</v>
      </c>
      <c r="B4617">
        <v>0.60660000000000003</v>
      </c>
      <c r="C4617" t="str">
        <f t="shared" si="76"/>
        <v>1977 q4</v>
      </c>
    </row>
    <row r="4618" spans="1:3">
      <c r="A4618" s="62">
        <v>28488</v>
      </c>
      <c r="B4618">
        <v>0.60580000000000001</v>
      </c>
      <c r="C4618" t="str">
        <f t="shared" si="76"/>
        <v>1977 q4</v>
      </c>
    </row>
    <row r="4619" spans="1:3">
      <c r="A4619" s="62">
        <v>28489</v>
      </c>
      <c r="B4619">
        <v>0.60140000000000005</v>
      </c>
      <c r="C4619" t="str">
        <f t="shared" si="76"/>
        <v>1977 q4</v>
      </c>
    </row>
    <row r="4620" spans="1:3">
      <c r="A4620" s="62">
        <v>28493</v>
      </c>
      <c r="B4620">
        <v>0.61299999999999999</v>
      </c>
      <c r="C4620" t="str">
        <f t="shared" si="76"/>
        <v>1978 q1</v>
      </c>
    </row>
    <row r="4621" spans="1:3">
      <c r="A4621" s="62">
        <v>28494</v>
      </c>
      <c r="B4621">
        <v>0.60599999999999998</v>
      </c>
      <c r="C4621" t="str">
        <f t="shared" si="76"/>
        <v>1978 q1</v>
      </c>
    </row>
    <row r="4622" spans="1:3">
      <c r="A4622" s="62">
        <v>28495</v>
      </c>
      <c r="B4622">
        <v>0.60599999999999998</v>
      </c>
      <c r="C4622" t="str">
        <f t="shared" si="76"/>
        <v>1978 q1</v>
      </c>
    </row>
    <row r="4623" spans="1:3">
      <c r="A4623" s="62">
        <v>28496</v>
      </c>
      <c r="B4623">
        <v>0.60499999999999998</v>
      </c>
      <c r="C4623" t="str">
        <f t="shared" si="76"/>
        <v>1978 q1</v>
      </c>
    </row>
    <row r="4624" spans="1:3">
      <c r="A4624" s="62">
        <v>28499</v>
      </c>
      <c r="B4624">
        <v>0.60399999999999998</v>
      </c>
      <c r="C4624" t="str">
        <f t="shared" si="76"/>
        <v>1978 q1</v>
      </c>
    </row>
    <row r="4625" spans="1:3">
      <c r="A4625" s="62">
        <v>28500</v>
      </c>
      <c r="B4625">
        <v>0.59599999999999997</v>
      </c>
      <c r="C4625" t="str">
        <f t="shared" si="76"/>
        <v>1978 q1</v>
      </c>
    </row>
    <row r="4626" spans="1:3">
      <c r="A4626" s="62">
        <v>28501</v>
      </c>
      <c r="B4626">
        <v>0.60199999999999998</v>
      </c>
      <c r="C4626" t="str">
        <f t="shared" ref="C4626:C4689" si="77">YEAR(A4626)&amp;" q"&amp;ROUNDUP(MONTH(A4626)/3,0)</f>
        <v>1978 q1</v>
      </c>
    </row>
    <row r="4627" spans="1:3">
      <c r="A4627" s="62">
        <v>28502</v>
      </c>
      <c r="B4627">
        <v>0.59799999999999998</v>
      </c>
      <c r="C4627" t="str">
        <f t="shared" si="77"/>
        <v>1978 q1</v>
      </c>
    </row>
    <row r="4628" spans="1:3">
      <c r="A4628" s="62">
        <v>28503</v>
      </c>
      <c r="B4628">
        <v>0.6</v>
      </c>
      <c r="C4628" t="str">
        <f t="shared" si="77"/>
        <v>1978 q1</v>
      </c>
    </row>
    <row r="4629" spans="1:3">
      <c r="A4629" s="62">
        <v>28506</v>
      </c>
      <c r="B4629">
        <v>0.59099999999999997</v>
      </c>
      <c r="C4629" t="str">
        <f t="shared" si="77"/>
        <v>1978 q1</v>
      </c>
    </row>
    <row r="4630" spans="1:3">
      <c r="A4630" s="62">
        <v>28507</v>
      </c>
      <c r="B4630">
        <v>0.59299999999999997</v>
      </c>
      <c r="C4630" t="str">
        <f t="shared" si="77"/>
        <v>1978 q1</v>
      </c>
    </row>
    <row r="4631" spans="1:3">
      <c r="A4631" s="62">
        <v>28508</v>
      </c>
      <c r="B4631">
        <v>0.59299999999999997</v>
      </c>
      <c r="C4631" t="str">
        <f t="shared" si="77"/>
        <v>1978 q1</v>
      </c>
    </row>
    <row r="4632" spans="1:3">
      <c r="A4632" s="62">
        <v>28509</v>
      </c>
      <c r="B4632">
        <v>0.58499999999999996</v>
      </c>
      <c r="C4632" t="str">
        <f t="shared" si="77"/>
        <v>1978 q1</v>
      </c>
    </row>
    <row r="4633" spans="1:3">
      <c r="A4633" s="62">
        <v>28513</v>
      </c>
      <c r="B4633">
        <v>0.59099999999999997</v>
      </c>
      <c r="C4633" t="str">
        <f t="shared" si="77"/>
        <v>1978 q1</v>
      </c>
    </row>
    <row r="4634" spans="1:3">
      <c r="A4634" s="62">
        <v>28514</v>
      </c>
      <c r="B4634">
        <v>0.58099999999999996</v>
      </c>
      <c r="C4634" t="str">
        <f t="shared" si="77"/>
        <v>1978 q1</v>
      </c>
    </row>
    <row r="4635" spans="1:3">
      <c r="A4635" s="62">
        <v>28515</v>
      </c>
      <c r="B4635">
        <v>0.57599999999999996</v>
      </c>
      <c r="C4635" t="str">
        <f t="shared" si="77"/>
        <v>1978 q1</v>
      </c>
    </row>
    <row r="4636" spans="1:3">
      <c r="A4636" s="62">
        <v>28516</v>
      </c>
      <c r="B4636">
        <v>0.57199999999999995</v>
      </c>
      <c r="C4636" t="str">
        <f t="shared" si="77"/>
        <v>1978 q1</v>
      </c>
    </row>
    <row r="4637" spans="1:3">
      <c r="A4637" s="62">
        <v>28517</v>
      </c>
      <c r="B4637">
        <v>0.57599999999999996</v>
      </c>
      <c r="C4637" t="str">
        <f t="shared" si="77"/>
        <v>1978 q1</v>
      </c>
    </row>
    <row r="4638" spans="1:3">
      <c r="A4638" s="62">
        <v>28520</v>
      </c>
      <c r="B4638">
        <v>0.57799999999999996</v>
      </c>
      <c r="C4638" t="str">
        <f t="shared" si="77"/>
        <v>1978 q1</v>
      </c>
    </row>
    <row r="4639" spans="1:3">
      <c r="A4639" s="62">
        <v>28521</v>
      </c>
      <c r="B4639">
        <v>0.57999999999999996</v>
      </c>
      <c r="C4639" t="str">
        <f t="shared" si="77"/>
        <v>1978 q1</v>
      </c>
    </row>
    <row r="4640" spans="1:3">
      <c r="A4640" s="62">
        <v>28522</v>
      </c>
      <c r="B4640">
        <v>0.57199999999999995</v>
      </c>
      <c r="C4640" t="str">
        <f t="shared" si="77"/>
        <v>1978 q1</v>
      </c>
    </row>
    <row r="4641" spans="1:3">
      <c r="A4641" s="62">
        <v>28523</v>
      </c>
      <c r="B4641">
        <v>0.56899999999999995</v>
      </c>
      <c r="C4641" t="str">
        <f t="shared" si="77"/>
        <v>1978 q1</v>
      </c>
    </row>
    <row r="4642" spans="1:3">
      <c r="A4642" s="62">
        <v>28524</v>
      </c>
      <c r="B4642">
        <v>0.57599999999999996</v>
      </c>
      <c r="C4642" t="str">
        <f t="shared" si="77"/>
        <v>1978 q1</v>
      </c>
    </row>
    <row r="4643" spans="1:3">
      <c r="A4643" s="62">
        <v>28527</v>
      </c>
      <c r="B4643">
        <v>0.57399999999999995</v>
      </c>
      <c r="C4643" t="str">
        <f t="shared" si="77"/>
        <v>1978 q1</v>
      </c>
    </row>
    <row r="4644" spans="1:3">
      <c r="A4644" s="62">
        <v>28529</v>
      </c>
      <c r="B4644">
        <v>0.56999999999999995</v>
      </c>
      <c r="C4644" t="str">
        <f t="shared" si="77"/>
        <v>1978 q1</v>
      </c>
    </row>
    <row r="4645" spans="1:3">
      <c r="A4645" s="62">
        <v>28530</v>
      </c>
      <c r="B4645">
        <v>0.58099999999999996</v>
      </c>
      <c r="C4645" t="str">
        <f t="shared" si="77"/>
        <v>1978 q1</v>
      </c>
    </row>
    <row r="4646" spans="1:3">
      <c r="A4646" s="62">
        <v>28531</v>
      </c>
      <c r="B4646">
        <v>0.58299999999999996</v>
      </c>
      <c r="C4646" t="str">
        <f t="shared" si="77"/>
        <v>1978 q1</v>
      </c>
    </row>
    <row r="4647" spans="1:3">
      <c r="A4647" s="62">
        <v>28534</v>
      </c>
      <c r="B4647">
        <v>0.58399999999999996</v>
      </c>
      <c r="C4647" t="str">
        <f t="shared" si="77"/>
        <v>1978 q1</v>
      </c>
    </row>
    <row r="4648" spans="1:3">
      <c r="A4648" s="62">
        <v>28535</v>
      </c>
      <c r="B4648">
        <v>0.57699999999999996</v>
      </c>
      <c r="C4648" t="str">
        <f t="shared" si="77"/>
        <v>1978 q1</v>
      </c>
    </row>
    <row r="4649" spans="1:3">
      <c r="A4649" s="62">
        <v>28536</v>
      </c>
      <c r="B4649">
        <v>0.57999999999999996</v>
      </c>
      <c r="C4649" t="str">
        <f t="shared" si="77"/>
        <v>1978 q1</v>
      </c>
    </row>
    <row r="4650" spans="1:3">
      <c r="A4650" s="62">
        <v>28537</v>
      </c>
      <c r="B4650">
        <v>0.57999999999999996</v>
      </c>
      <c r="C4650" t="str">
        <f t="shared" si="77"/>
        <v>1978 q1</v>
      </c>
    </row>
    <row r="4651" spans="1:3">
      <c r="A4651" s="62">
        <v>28538</v>
      </c>
      <c r="B4651">
        <v>0.56999999999999995</v>
      </c>
      <c r="C4651" t="str">
        <f t="shared" si="77"/>
        <v>1978 q1</v>
      </c>
    </row>
    <row r="4652" spans="1:3">
      <c r="A4652" s="62">
        <v>28542</v>
      </c>
      <c r="B4652">
        <v>0.57399999999999995</v>
      </c>
      <c r="C4652" t="str">
        <f t="shared" si="77"/>
        <v>1978 q1</v>
      </c>
    </row>
    <row r="4653" spans="1:3">
      <c r="A4653" s="62">
        <v>28543</v>
      </c>
      <c r="B4653">
        <v>0.55600000000000005</v>
      </c>
      <c r="C4653" t="str">
        <f t="shared" si="77"/>
        <v>1978 q1</v>
      </c>
    </row>
    <row r="4654" spans="1:3">
      <c r="A4654" s="62">
        <v>28544</v>
      </c>
      <c r="B4654">
        <v>0.55300000000000005</v>
      </c>
      <c r="C4654" t="str">
        <f t="shared" si="77"/>
        <v>1978 q1</v>
      </c>
    </row>
    <row r="4655" spans="1:3">
      <c r="A4655" s="62">
        <v>28545</v>
      </c>
      <c r="B4655">
        <v>0.5554</v>
      </c>
      <c r="C4655" t="str">
        <f t="shared" si="77"/>
        <v>1978 q1</v>
      </c>
    </row>
    <row r="4656" spans="1:3">
      <c r="A4656" s="62">
        <v>28548</v>
      </c>
      <c r="B4656">
        <v>0.56059999999999999</v>
      </c>
      <c r="C4656" t="str">
        <f t="shared" si="77"/>
        <v>1978 q1</v>
      </c>
    </row>
    <row r="4657" spans="1:3">
      <c r="A4657" s="62">
        <v>28549</v>
      </c>
      <c r="B4657">
        <v>0.56299999999999994</v>
      </c>
      <c r="C4657" t="str">
        <f t="shared" si="77"/>
        <v>1978 q1</v>
      </c>
    </row>
    <row r="4658" spans="1:3">
      <c r="A4658" s="62">
        <v>28550</v>
      </c>
      <c r="B4658">
        <v>0.56399999999999995</v>
      </c>
      <c r="C4658" t="str">
        <f t="shared" si="77"/>
        <v>1978 q1</v>
      </c>
    </row>
    <row r="4659" spans="1:3">
      <c r="A4659" s="62">
        <v>28551</v>
      </c>
      <c r="B4659">
        <v>0.57199999999999995</v>
      </c>
      <c r="C4659" t="str">
        <f t="shared" si="77"/>
        <v>1978 q1</v>
      </c>
    </row>
    <row r="4660" spans="1:3">
      <c r="A4660" s="62">
        <v>28552</v>
      </c>
      <c r="B4660">
        <v>0.57299999999999995</v>
      </c>
      <c r="C4660" t="str">
        <f t="shared" si="77"/>
        <v>1978 q1</v>
      </c>
    </row>
    <row r="4661" spans="1:3">
      <c r="A4661" s="62">
        <v>28555</v>
      </c>
      <c r="B4661">
        <v>0.56999999999999995</v>
      </c>
      <c r="C4661" t="str">
        <f t="shared" si="77"/>
        <v>1978 q1</v>
      </c>
    </row>
    <row r="4662" spans="1:3">
      <c r="A4662" s="62">
        <v>28556</v>
      </c>
      <c r="B4662">
        <v>0.57999999999999996</v>
      </c>
      <c r="C4662" t="str">
        <f t="shared" si="77"/>
        <v>1978 q1</v>
      </c>
    </row>
    <row r="4663" spans="1:3">
      <c r="A4663" s="62">
        <v>28557</v>
      </c>
      <c r="B4663">
        <v>0.59499999999999997</v>
      </c>
      <c r="C4663" t="str">
        <f t="shared" si="77"/>
        <v>1978 q1</v>
      </c>
    </row>
    <row r="4664" spans="1:3">
      <c r="A4664" s="62">
        <v>28558</v>
      </c>
      <c r="B4664">
        <v>0.59299999999999997</v>
      </c>
      <c r="C4664" t="str">
        <f t="shared" si="77"/>
        <v>1978 q1</v>
      </c>
    </row>
    <row r="4665" spans="1:3">
      <c r="A4665" s="62">
        <v>28559</v>
      </c>
      <c r="B4665">
        <v>0.59099999999999997</v>
      </c>
      <c r="C4665" t="str">
        <f t="shared" si="77"/>
        <v>1978 q1</v>
      </c>
    </row>
    <row r="4666" spans="1:3">
      <c r="A4666" s="62">
        <v>28562</v>
      </c>
      <c r="B4666">
        <v>0.59199999999999997</v>
      </c>
      <c r="C4666" t="str">
        <f t="shared" si="77"/>
        <v>1978 q1</v>
      </c>
    </row>
    <row r="4667" spans="1:3">
      <c r="A4667" s="62">
        <v>28563</v>
      </c>
      <c r="B4667">
        <v>0.60399999999999998</v>
      </c>
      <c r="C4667" t="str">
        <f t="shared" si="77"/>
        <v>1978 q1</v>
      </c>
    </row>
    <row r="4668" spans="1:3">
      <c r="A4668" s="62">
        <v>28564</v>
      </c>
      <c r="B4668">
        <v>0.60499999999999998</v>
      </c>
      <c r="C4668" t="str">
        <f t="shared" si="77"/>
        <v>1978 q1</v>
      </c>
    </row>
    <row r="4669" spans="1:3">
      <c r="A4669" s="62">
        <v>28565</v>
      </c>
      <c r="B4669">
        <v>0.6</v>
      </c>
      <c r="C4669" t="str">
        <f t="shared" si="77"/>
        <v>1978 q1</v>
      </c>
    </row>
    <row r="4670" spans="1:3">
      <c r="A4670" s="62">
        <v>28566</v>
      </c>
      <c r="B4670">
        <v>0.60099999999999998</v>
      </c>
      <c r="C4670" t="str">
        <f t="shared" si="77"/>
        <v>1978 q1</v>
      </c>
    </row>
    <row r="4671" spans="1:3">
      <c r="A4671" s="62">
        <v>28569</v>
      </c>
      <c r="B4671">
        <v>0.58099999999999996</v>
      </c>
      <c r="C4671" t="str">
        <f t="shared" si="77"/>
        <v>1978 q1</v>
      </c>
    </row>
    <row r="4672" spans="1:3">
      <c r="A4672" s="62">
        <v>28570</v>
      </c>
      <c r="B4672">
        <v>0.58199999999999996</v>
      </c>
      <c r="C4672" t="str">
        <f t="shared" si="77"/>
        <v>1978 q1</v>
      </c>
    </row>
    <row r="4673" spans="1:3">
      <c r="A4673" s="62">
        <v>28571</v>
      </c>
      <c r="B4673">
        <v>0.59499999999999997</v>
      </c>
      <c r="C4673" t="str">
        <f t="shared" si="77"/>
        <v>1978 q1</v>
      </c>
    </row>
    <row r="4674" spans="1:3">
      <c r="A4674" s="62">
        <v>28572</v>
      </c>
      <c r="B4674">
        <v>0.59899999999999998</v>
      </c>
      <c r="C4674" t="str">
        <f t="shared" si="77"/>
        <v>1978 q1</v>
      </c>
    </row>
    <row r="4675" spans="1:3">
      <c r="A4675" s="62">
        <v>28576</v>
      </c>
      <c r="B4675">
        <v>0.61399999999999999</v>
      </c>
      <c r="C4675" t="str">
        <f t="shared" si="77"/>
        <v>1978 q1</v>
      </c>
    </row>
    <row r="4676" spans="1:3">
      <c r="A4676" s="62">
        <v>28577</v>
      </c>
      <c r="B4676">
        <v>0.61499999999999999</v>
      </c>
      <c r="C4676" t="str">
        <f t="shared" si="77"/>
        <v>1978 q1</v>
      </c>
    </row>
    <row r="4677" spans="1:3">
      <c r="A4677" s="62">
        <v>28578</v>
      </c>
      <c r="B4677">
        <v>0.61099999999999999</v>
      </c>
      <c r="C4677" t="str">
        <f t="shared" si="77"/>
        <v>1978 q1</v>
      </c>
    </row>
    <row r="4678" spans="1:3">
      <c r="A4678" s="62">
        <v>28579</v>
      </c>
      <c r="B4678">
        <v>0.61</v>
      </c>
      <c r="C4678" t="str">
        <f t="shared" si="77"/>
        <v>1978 q1</v>
      </c>
    </row>
    <row r="4679" spans="1:3">
      <c r="A4679" s="62">
        <v>28580</v>
      </c>
      <c r="B4679">
        <v>0.60599999999999998</v>
      </c>
      <c r="C4679" t="str">
        <f t="shared" si="77"/>
        <v>1978 q1</v>
      </c>
    </row>
    <row r="4680" spans="1:3">
      <c r="A4680" s="62">
        <v>28583</v>
      </c>
      <c r="B4680">
        <v>0.60199999999999998</v>
      </c>
      <c r="C4680" t="str">
        <f t="shared" si="77"/>
        <v>1978 q2</v>
      </c>
    </row>
    <row r="4681" spans="1:3">
      <c r="A4681" s="62">
        <v>28584</v>
      </c>
      <c r="B4681">
        <v>0.61499999999999999</v>
      </c>
      <c r="C4681" t="str">
        <f t="shared" si="77"/>
        <v>1978 q2</v>
      </c>
    </row>
    <row r="4682" spans="1:3">
      <c r="A4682" s="62">
        <v>28585</v>
      </c>
      <c r="B4682">
        <v>0.60899999999999999</v>
      </c>
      <c r="C4682" t="str">
        <f t="shared" si="77"/>
        <v>1978 q2</v>
      </c>
    </row>
    <row r="4683" spans="1:3">
      <c r="A4683" s="62">
        <v>28586</v>
      </c>
      <c r="B4683">
        <v>0.61799999999999999</v>
      </c>
      <c r="C4683" t="str">
        <f t="shared" si="77"/>
        <v>1978 q2</v>
      </c>
    </row>
    <row r="4684" spans="1:3">
      <c r="A4684" s="62">
        <v>28587</v>
      </c>
      <c r="B4684">
        <v>0.62</v>
      </c>
      <c r="C4684" t="str">
        <f t="shared" si="77"/>
        <v>1978 q2</v>
      </c>
    </row>
    <row r="4685" spans="1:3">
      <c r="A4685" s="62">
        <v>28590</v>
      </c>
      <c r="B4685">
        <v>0.61799999999999999</v>
      </c>
      <c r="C4685" t="str">
        <f t="shared" si="77"/>
        <v>1978 q2</v>
      </c>
    </row>
    <row r="4686" spans="1:3">
      <c r="A4686" s="62">
        <v>28591</v>
      </c>
      <c r="B4686">
        <v>0.61399999999999999</v>
      </c>
      <c r="C4686" t="str">
        <f t="shared" si="77"/>
        <v>1978 q2</v>
      </c>
    </row>
    <row r="4687" spans="1:3">
      <c r="A4687" s="62">
        <v>28592</v>
      </c>
      <c r="B4687">
        <v>0.60899999999999999</v>
      </c>
      <c r="C4687" t="str">
        <f t="shared" si="77"/>
        <v>1978 q2</v>
      </c>
    </row>
    <row r="4688" spans="1:3">
      <c r="A4688" s="62">
        <v>28593</v>
      </c>
      <c r="B4688">
        <v>0.59899999999999998</v>
      </c>
      <c r="C4688" t="str">
        <f t="shared" si="77"/>
        <v>1978 q2</v>
      </c>
    </row>
    <row r="4689" spans="1:3">
      <c r="A4689" s="62">
        <v>28594</v>
      </c>
      <c r="B4689">
        <v>0.60599999999999998</v>
      </c>
      <c r="C4689" t="str">
        <f t="shared" si="77"/>
        <v>1978 q2</v>
      </c>
    </row>
    <row r="4690" spans="1:3">
      <c r="A4690" s="62">
        <v>28597</v>
      </c>
      <c r="B4690">
        <v>0.60699999999999998</v>
      </c>
      <c r="C4690" t="str">
        <f t="shared" ref="C4690:C4753" si="78">YEAR(A4690)&amp;" q"&amp;ROUNDUP(MONTH(A4690)/3,0)</f>
        <v>1978 q2</v>
      </c>
    </row>
    <row r="4691" spans="1:3">
      <c r="A4691" s="62">
        <v>28598</v>
      </c>
      <c r="B4691">
        <v>0.60299999999999998</v>
      </c>
      <c r="C4691" t="str">
        <f t="shared" si="78"/>
        <v>1978 q2</v>
      </c>
    </row>
    <row r="4692" spans="1:3">
      <c r="A4692" s="62">
        <v>28599</v>
      </c>
      <c r="B4692">
        <v>0.58699999999999997</v>
      </c>
      <c r="C4692" t="str">
        <f t="shared" si="78"/>
        <v>1978 q2</v>
      </c>
    </row>
    <row r="4693" spans="1:3">
      <c r="A4693" s="62">
        <v>28600</v>
      </c>
      <c r="B4693">
        <v>0.58399999999999996</v>
      </c>
      <c r="C4693" t="str">
        <f t="shared" si="78"/>
        <v>1978 q2</v>
      </c>
    </row>
    <row r="4694" spans="1:3">
      <c r="A4694" s="62">
        <v>28601</v>
      </c>
      <c r="B4694">
        <v>0.57599999999999996</v>
      </c>
      <c r="C4694" t="str">
        <f t="shared" si="78"/>
        <v>1978 q2</v>
      </c>
    </row>
    <row r="4695" spans="1:3">
      <c r="A4695" s="62">
        <v>28604</v>
      </c>
      <c r="B4695">
        <v>0.56999999999999995</v>
      </c>
      <c r="C4695" t="str">
        <f t="shared" si="78"/>
        <v>1978 q2</v>
      </c>
    </row>
    <row r="4696" spans="1:3">
      <c r="A4696" s="62">
        <v>28605</v>
      </c>
      <c r="B4696">
        <v>0.57840000000000003</v>
      </c>
      <c r="C4696" t="str">
        <f t="shared" si="78"/>
        <v>1978 q2</v>
      </c>
    </row>
    <row r="4697" spans="1:3">
      <c r="A4697" s="62">
        <v>28606</v>
      </c>
      <c r="B4697">
        <v>0.58679999999999999</v>
      </c>
      <c r="C4697" t="str">
        <f t="shared" si="78"/>
        <v>1978 q2</v>
      </c>
    </row>
    <row r="4698" spans="1:3">
      <c r="A4698" s="62">
        <v>28607</v>
      </c>
      <c r="B4698">
        <v>0.58699999999999997</v>
      </c>
      <c r="C4698" t="str">
        <f t="shared" si="78"/>
        <v>1978 q2</v>
      </c>
    </row>
    <row r="4699" spans="1:3">
      <c r="A4699" s="62">
        <v>28608</v>
      </c>
      <c r="B4699">
        <v>0.59899999999999998</v>
      </c>
      <c r="C4699" t="str">
        <f t="shared" si="78"/>
        <v>1978 q2</v>
      </c>
    </row>
    <row r="4700" spans="1:3">
      <c r="A4700" s="62">
        <v>28611</v>
      </c>
      <c r="B4700">
        <v>0.59699999999999998</v>
      </c>
      <c r="C4700" t="str">
        <f t="shared" si="78"/>
        <v>1978 q2</v>
      </c>
    </row>
    <row r="4701" spans="1:3">
      <c r="A4701" s="62">
        <v>28612</v>
      </c>
      <c r="B4701">
        <v>0.59499999999999997</v>
      </c>
      <c r="C4701" t="str">
        <f t="shared" si="78"/>
        <v>1978 q2</v>
      </c>
    </row>
    <row r="4702" spans="1:3">
      <c r="A4702" s="62">
        <v>28613</v>
      </c>
      <c r="B4702">
        <v>0.59899999999999998</v>
      </c>
      <c r="C4702" t="str">
        <f t="shared" si="78"/>
        <v>1978 q2</v>
      </c>
    </row>
    <row r="4703" spans="1:3">
      <c r="A4703" s="62">
        <v>28614</v>
      </c>
      <c r="B4703">
        <v>0.59199999999999997</v>
      </c>
      <c r="C4703" t="str">
        <f t="shared" si="78"/>
        <v>1978 q2</v>
      </c>
    </row>
    <row r="4704" spans="1:3">
      <c r="A4704" s="62">
        <v>28615</v>
      </c>
      <c r="B4704">
        <v>0.59099999999999997</v>
      </c>
      <c r="C4704" t="str">
        <f t="shared" si="78"/>
        <v>1978 q2</v>
      </c>
    </row>
    <row r="4705" spans="1:3">
      <c r="A4705" s="62">
        <v>28618</v>
      </c>
      <c r="B4705">
        <v>0.59299999999999997</v>
      </c>
      <c r="C4705" t="str">
        <f t="shared" si="78"/>
        <v>1978 q2</v>
      </c>
    </row>
    <row r="4706" spans="1:3">
      <c r="A4706" s="62">
        <v>28619</v>
      </c>
      <c r="B4706">
        <v>0.58799999999999997</v>
      </c>
      <c r="C4706" t="str">
        <f t="shared" si="78"/>
        <v>1978 q2</v>
      </c>
    </row>
    <row r="4707" spans="1:3">
      <c r="A4707" s="62">
        <v>28620</v>
      </c>
      <c r="B4707">
        <v>0.59499999999999997</v>
      </c>
      <c r="C4707" t="str">
        <f t="shared" si="78"/>
        <v>1978 q2</v>
      </c>
    </row>
    <row r="4708" spans="1:3">
      <c r="A4708" s="62">
        <v>28621</v>
      </c>
      <c r="B4708">
        <v>0.59099999999999997</v>
      </c>
      <c r="C4708" t="str">
        <f t="shared" si="78"/>
        <v>1978 q2</v>
      </c>
    </row>
    <row r="4709" spans="1:3">
      <c r="A4709" s="62">
        <v>28622</v>
      </c>
      <c r="B4709">
        <v>0.59099999999999997</v>
      </c>
      <c r="C4709" t="str">
        <f t="shared" si="78"/>
        <v>1978 q2</v>
      </c>
    </row>
    <row r="4710" spans="1:3">
      <c r="A4710" s="62">
        <v>28625</v>
      </c>
      <c r="B4710">
        <v>0.60099999999999998</v>
      </c>
      <c r="C4710" t="str">
        <f t="shared" si="78"/>
        <v>1978 q2</v>
      </c>
    </row>
    <row r="4711" spans="1:3">
      <c r="A4711" s="62">
        <v>28626</v>
      </c>
      <c r="B4711">
        <v>0.59899999999999998</v>
      </c>
      <c r="C4711" t="str">
        <f t="shared" si="78"/>
        <v>1978 q2</v>
      </c>
    </row>
    <row r="4712" spans="1:3">
      <c r="A4712" s="62">
        <v>28627</v>
      </c>
      <c r="B4712">
        <v>0.60599999999999998</v>
      </c>
      <c r="C4712" t="str">
        <f t="shared" si="78"/>
        <v>1978 q2</v>
      </c>
    </row>
    <row r="4713" spans="1:3">
      <c r="A4713" s="62">
        <v>28628</v>
      </c>
      <c r="B4713">
        <v>0.61699999999999999</v>
      </c>
      <c r="C4713" t="str">
        <f t="shared" si="78"/>
        <v>1978 q2</v>
      </c>
    </row>
    <row r="4714" spans="1:3">
      <c r="A4714" s="62">
        <v>28629</v>
      </c>
      <c r="B4714">
        <v>0.61599999999999999</v>
      </c>
      <c r="C4714" t="str">
        <f t="shared" si="78"/>
        <v>1978 q2</v>
      </c>
    </row>
    <row r="4715" spans="1:3">
      <c r="A4715" s="62">
        <v>28632</v>
      </c>
      <c r="B4715">
        <v>0.625</v>
      </c>
      <c r="C4715" t="str">
        <f t="shared" si="78"/>
        <v>1978 q2</v>
      </c>
    </row>
    <row r="4716" spans="1:3">
      <c r="A4716" s="62">
        <v>28633</v>
      </c>
      <c r="B4716">
        <v>0.626</v>
      </c>
      <c r="C4716" t="str">
        <f t="shared" si="78"/>
        <v>1978 q2</v>
      </c>
    </row>
    <row r="4717" spans="1:3">
      <c r="A4717" s="62">
        <v>28634</v>
      </c>
      <c r="B4717">
        <v>0.625</v>
      </c>
      <c r="C4717" t="str">
        <f t="shared" si="78"/>
        <v>1978 q2</v>
      </c>
    </row>
    <row r="4718" spans="1:3">
      <c r="A4718" s="62">
        <v>28635</v>
      </c>
      <c r="B4718">
        <v>0.65</v>
      </c>
      <c r="C4718" t="str">
        <f t="shared" si="78"/>
        <v>1978 q2</v>
      </c>
    </row>
    <row r="4719" spans="1:3">
      <c r="A4719" s="62">
        <v>28636</v>
      </c>
      <c r="B4719">
        <v>0.65900000000000003</v>
      </c>
      <c r="C4719" t="str">
        <f t="shared" si="78"/>
        <v>1978 q2</v>
      </c>
    </row>
    <row r="4720" spans="1:3">
      <c r="A4720" s="62">
        <v>28640</v>
      </c>
      <c r="B4720">
        <v>0.65900000000000003</v>
      </c>
      <c r="C4720" t="str">
        <f t="shared" si="78"/>
        <v>1978 q2</v>
      </c>
    </row>
    <row r="4721" spans="1:3">
      <c r="A4721" s="62">
        <v>28641</v>
      </c>
      <c r="B4721">
        <v>0.65300000000000002</v>
      </c>
      <c r="C4721" t="str">
        <f t="shared" si="78"/>
        <v>1978 q2</v>
      </c>
    </row>
    <row r="4722" spans="1:3">
      <c r="A4722" s="62">
        <v>28642</v>
      </c>
      <c r="B4722">
        <v>0.65400000000000003</v>
      </c>
      <c r="C4722" t="str">
        <f t="shared" si="78"/>
        <v>1978 q2</v>
      </c>
    </row>
    <row r="4723" spans="1:3">
      <c r="A4723" s="62">
        <v>28643</v>
      </c>
      <c r="B4723">
        <v>0.64500000000000002</v>
      </c>
      <c r="C4723" t="str">
        <f t="shared" si="78"/>
        <v>1978 q2</v>
      </c>
    </row>
    <row r="4724" spans="1:3">
      <c r="A4724" s="62">
        <v>28646</v>
      </c>
      <c r="B4724">
        <v>0.63600000000000001</v>
      </c>
      <c r="C4724" t="str">
        <f t="shared" si="78"/>
        <v>1978 q2</v>
      </c>
    </row>
    <row r="4725" spans="1:3">
      <c r="A4725" s="62">
        <v>28647</v>
      </c>
      <c r="B4725">
        <v>0.64800000000000002</v>
      </c>
      <c r="C4725" t="str">
        <f t="shared" si="78"/>
        <v>1978 q2</v>
      </c>
    </row>
    <row r="4726" spans="1:3">
      <c r="A4726" s="62">
        <v>28648</v>
      </c>
      <c r="B4726">
        <v>0.63500000000000001</v>
      </c>
      <c r="C4726" t="str">
        <f t="shared" si="78"/>
        <v>1978 q2</v>
      </c>
    </row>
    <row r="4727" spans="1:3">
      <c r="A4727" s="62">
        <v>28649</v>
      </c>
      <c r="B4727">
        <v>0.63800000000000001</v>
      </c>
      <c r="C4727" t="str">
        <f t="shared" si="78"/>
        <v>1978 q2</v>
      </c>
    </row>
    <row r="4728" spans="1:3">
      <c r="A4728" s="62">
        <v>28650</v>
      </c>
      <c r="B4728">
        <v>0.63400000000000001</v>
      </c>
      <c r="C4728" t="str">
        <f t="shared" si="78"/>
        <v>1978 q2</v>
      </c>
    </row>
    <row r="4729" spans="1:3">
      <c r="A4729" s="62">
        <v>28653</v>
      </c>
      <c r="B4729">
        <v>0.621</v>
      </c>
      <c r="C4729" t="str">
        <f t="shared" si="78"/>
        <v>1978 q2</v>
      </c>
    </row>
    <row r="4730" spans="1:3">
      <c r="A4730" s="62">
        <v>28654</v>
      </c>
      <c r="B4730">
        <v>0.61699999999999999</v>
      </c>
      <c r="C4730" t="str">
        <f t="shared" si="78"/>
        <v>1978 q2</v>
      </c>
    </row>
    <row r="4731" spans="1:3">
      <c r="A4731" s="62">
        <v>28655</v>
      </c>
      <c r="B4731">
        <v>0.59499999999999997</v>
      </c>
      <c r="C4731" t="str">
        <f t="shared" si="78"/>
        <v>1978 q2</v>
      </c>
    </row>
    <row r="4732" spans="1:3">
      <c r="A4732" s="62">
        <v>28656</v>
      </c>
      <c r="B4732">
        <v>0.60399999999999998</v>
      </c>
      <c r="C4732" t="str">
        <f t="shared" si="78"/>
        <v>1978 q2</v>
      </c>
    </row>
    <row r="4733" spans="1:3">
      <c r="A4733" s="62">
        <v>28657</v>
      </c>
      <c r="B4733">
        <v>0.60199999999999998</v>
      </c>
      <c r="C4733" t="str">
        <f t="shared" si="78"/>
        <v>1978 q2</v>
      </c>
    </row>
    <row r="4734" spans="1:3">
      <c r="A4734" s="62">
        <v>28660</v>
      </c>
      <c r="B4734">
        <v>0.60699999999999998</v>
      </c>
      <c r="C4734" t="str">
        <f t="shared" si="78"/>
        <v>1978 q2</v>
      </c>
    </row>
    <row r="4735" spans="1:3">
      <c r="A4735" s="62">
        <v>28661</v>
      </c>
      <c r="B4735">
        <v>0.60399999999999998</v>
      </c>
      <c r="C4735" t="str">
        <f t="shared" si="78"/>
        <v>1978 q2</v>
      </c>
    </row>
    <row r="4736" spans="1:3">
      <c r="A4736" s="62">
        <v>28662</v>
      </c>
      <c r="B4736">
        <v>0.59699999999999998</v>
      </c>
      <c r="C4736" t="str">
        <f t="shared" si="78"/>
        <v>1978 q2</v>
      </c>
    </row>
    <row r="4737" spans="1:3">
      <c r="A4737" s="62">
        <v>28663</v>
      </c>
      <c r="B4737">
        <v>0.58799999999999997</v>
      </c>
      <c r="C4737" t="str">
        <f t="shared" si="78"/>
        <v>1978 q2</v>
      </c>
    </row>
    <row r="4738" spans="1:3">
      <c r="A4738" s="62">
        <v>28664</v>
      </c>
      <c r="B4738">
        <v>0.59399999999999997</v>
      </c>
      <c r="C4738" t="str">
        <f t="shared" si="78"/>
        <v>1978 q2</v>
      </c>
    </row>
    <row r="4739" spans="1:3">
      <c r="A4739" s="62">
        <v>28667</v>
      </c>
      <c r="B4739">
        <v>0.59499999999999997</v>
      </c>
      <c r="C4739" t="str">
        <f t="shared" si="78"/>
        <v>1978 q2</v>
      </c>
    </row>
    <row r="4740" spans="1:3">
      <c r="A4740" s="62">
        <v>28668</v>
      </c>
      <c r="B4740">
        <v>0.59460000000000002</v>
      </c>
      <c r="C4740" t="str">
        <f t="shared" si="78"/>
        <v>1978 q2</v>
      </c>
    </row>
    <row r="4741" spans="1:3">
      <c r="A4741" s="62">
        <v>28669</v>
      </c>
      <c r="B4741">
        <v>0.58819999999999995</v>
      </c>
      <c r="C4741" t="str">
        <f t="shared" si="78"/>
        <v>1978 q2</v>
      </c>
    </row>
    <row r="4742" spans="1:3">
      <c r="A4742" s="62">
        <v>28670</v>
      </c>
      <c r="B4742">
        <v>0.59219999999999995</v>
      </c>
      <c r="C4742" t="str">
        <f t="shared" si="78"/>
        <v>1978 q2</v>
      </c>
    </row>
    <row r="4743" spans="1:3">
      <c r="A4743" s="62">
        <v>28671</v>
      </c>
      <c r="B4743">
        <v>0.5988</v>
      </c>
      <c r="C4743" t="str">
        <f t="shared" si="78"/>
        <v>1978 q2</v>
      </c>
    </row>
    <row r="4744" spans="1:3">
      <c r="A4744" s="62">
        <v>28674</v>
      </c>
      <c r="B4744">
        <v>0.60299999999999998</v>
      </c>
      <c r="C4744" t="str">
        <f t="shared" si="78"/>
        <v>1978 q3</v>
      </c>
    </row>
    <row r="4745" spans="1:3">
      <c r="A4745" s="62">
        <v>28676</v>
      </c>
      <c r="B4745">
        <v>0.60299999999999998</v>
      </c>
      <c r="C4745" t="str">
        <f t="shared" si="78"/>
        <v>1978 q3</v>
      </c>
    </row>
    <row r="4746" spans="1:3">
      <c r="A4746" s="62">
        <v>28677</v>
      </c>
      <c r="B4746">
        <v>0.60199999999999998</v>
      </c>
      <c r="C4746" t="str">
        <f t="shared" si="78"/>
        <v>1978 q3</v>
      </c>
    </row>
    <row r="4747" spans="1:3">
      <c r="A4747" s="62">
        <v>28678</v>
      </c>
      <c r="B4747">
        <v>0.61</v>
      </c>
      <c r="C4747" t="str">
        <f t="shared" si="78"/>
        <v>1978 q3</v>
      </c>
    </row>
    <row r="4748" spans="1:3">
      <c r="A4748" s="62">
        <v>28681</v>
      </c>
      <c r="B4748">
        <v>0.61499999999999999</v>
      </c>
      <c r="C4748" t="str">
        <f t="shared" si="78"/>
        <v>1978 q3</v>
      </c>
    </row>
    <row r="4749" spans="1:3">
      <c r="A4749" s="62">
        <v>28682</v>
      </c>
      <c r="B4749">
        <v>0.62</v>
      </c>
      <c r="C4749" t="str">
        <f t="shared" si="78"/>
        <v>1978 q3</v>
      </c>
    </row>
    <row r="4750" spans="1:3">
      <c r="A4750" s="62">
        <v>28683</v>
      </c>
      <c r="B4750">
        <v>0.62</v>
      </c>
      <c r="C4750" t="str">
        <f t="shared" si="78"/>
        <v>1978 q3</v>
      </c>
    </row>
    <row r="4751" spans="1:3">
      <c r="A4751" s="62">
        <v>28684</v>
      </c>
      <c r="B4751">
        <v>0.63</v>
      </c>
      <c r="C4751" t="str">
        <f t="shared" si="78"/>
        <v>1978 q3</v>
      </c>
    </row>
    <row r="4752" spans="1:3">
      <c r="A4752" s="62">
        <v>28685</v>
      </c>
      <c r="B4752">
        <v>0.628</v>
      </c>
      <c r="C4752" t="str">
        <f t="shared" si="78"/>
        <v>1978 q3</v>
      </c>
    </row>
    <row r="4753" spans="1:3">
      <c r="A4753" s="62">
        <v>28688</v>
      </c>
      <c r="B4753">
        <v>0.62150000000000005</v>
      </c>
      <c r="C4753" t="str">
        <f t="shared" si="78"/>
        <v>1978 q3</v>
      </c>
    </row>
    <row r="4754" spans="1:3">
      <c r="A4754" s="62">
        <v>28689</v>
      </c>
      <c r="B4754">
        <v>0.61850000000000005</v>
      </c>
      <c r="C4754" t="str">
        <f t="shared" ref="C4754:C4817" si="79">YEAR(A4754)&amp;" q"&amp;ROUNDUP(MONTH(A4754)/3,0)</f>
        <v>1978 q3</v>
      </c>
    </row>
    <row r="4755" spans="1:3">
      <c r="A4755" s="62">
        <v>28690</v>
      </c>
      <c r="B4755">
        <v>0.60499999999999998</v>
      </c>
      <c r="C4755" t="str">
        <f t="shared" si="79"/>
        <v>1978 q3</v>
      </c>
    </row>
    <row r="4756" spans="1:3">
      <c r="A4756" s="62">
        <v>28691</v>
      </c>
      <c r="B4756">
        <v>0.62150000000000005</v>
      </c>
      <c r="C4756" t="str">
        <f t="shared" si="79"/>
        <v>1978 q3</v>
      </c>
    </row>
    <row r="4757" spans="1:3">
      <c r="A4757" s="62">
        <v>28692</v>
      </c>
      <c r="B4757">
        <v>0.63700000000000001</v>
      </c>
      <c r="C4757" t="str">
        <f t="shared" si="79"/>
        <v>1978 q3</v>
      </c>
    </row>
    <row r="4758" spans="1:3">
      <c r="A4758" s="62">
        <v>28695</v>
      </c>
      <c r="B4758">
        <v>0.62350000000000005</v>
      </c>
      <c r="C4758" t="str">
        <f t="shared" si="79"/>
        <v>1978 q3</v>
      </c>
    </row>
    <row r="4759" spans="1:3">
      <c r="A4759" s="62">
        <v>28696</v>
      </c>
      <c r="B4759">
        <v>0.63049999999999995</v>
      </c>
      <c r="C4759" t="str">
        <f t="shared" si="79"/>
        <v>1978 q3</v>
      </c>
    </row>
    <row r="4760" spans="1:3">
      <c r="A4760" s="62">
        <v>28697</v>
      </c>
      <c r="B4760">
        <v>0.63</v>
      </c>
      <c r="C4760" t="str">
        <f t="shared" si="79"/>
        <v>1978 q3</v>
      </c>
    </row>
    <row r="4761" spans="1:3">
      <c r="A4761" s="62">
        <v>28698</v>
      </c>
      <c r="B4761">
        <v>0.63949999999999996</v>
      </c>
      <c r="C4761" t="str">
        <f t="shared" si="79"/>
        <v>1978 q3</v>
      </c>
    </row>
    <row r="4762" spans="1:3">
      <c r="A4762" s="62">
        <v>28699</v>
      </c>
      <c r="B4762">
        <v>0.63349999999999995</v>
      </c>
      <c r="C4762" t="str">
        <f t="shared" si="79"/>
        <v>1978 q3</v>
      </c>
    </row>
    <row r="4763" spans="1:3">
      <c r="A4763" s="62">
        <v>28702</v>
      </c>
      <c r="B4763">
        <v>0.63</v>
      </c>
      <c r="C4763" t="str">
        <f t="shared" si="79"/>
        <v>1978 q3</v>
      </c>
    </row>
    <row r="4764" spans="1:3">
      <c r="A4764" s="62">
        <v>28703</v>
      </c>
      <c r="B4764">
        <v>0.63249999999999995</v>
      </c>
      <c r="C4764" t="str">
        <f t="shared" si="79"/>
        <v>1978 q3</v>
      </c>
    </row>
    <row r="4765" spans="1:3">
      <c r="A4765" s="62">
        <v>28704</v>
      </c>
      <c r="B4765">
        <v>0.63600000000000001</v>
      </c>
      <c r="C4765" t="str">
        <f t="shared" si="79"/>
        <v>1978 q3</v>
      </c>
    </row>
    <row r="4766" spans="1:3">
      <c r="A4766" s="62">
        <v>28705</v>
      </c>
      <c r="B4766">
        <v>0.63400000000000001</v>
      </c>
      <c r="C4766" t="str">
        <f t="shared" si="79"/>
        <v>1978 q3</v>
      </c>
    </row>
    <row r="4767" spans="1:3">
      <c r="A4767" s="62">
        <v>28706</v>
      </c>
      <c r="B4767">
        <v>0.63949999999999996</v>
      </c>
      <c r="C4767" t="str">
        <f t="shared" si="79"/>
        <v>1978 q3</v>
      </c>
    </row>
    <row r="4768" spans="1:3">
      <c r="A4768" s="62">
        <v>28709</v>
      </c>
      <c r="B4768">
        <v>0.63800000000000001</v>
      </c>
      <c r="C4768" t="str">
        <f t="shared" si="79"/>
        <v>1978 q3</v>
      </c>
    </row>
    <row r="4769" spans="1:3">
      <c r="A4769" s="62">
        <v>28710</v>
      </c>
      <c r="B4769">
        <v>0.63600000000000001</v>
      </c>
      <c r="C4769" t="str">
        <f t="shared" si="79"/>
        <v>1978 q3</v>
      </c>
    </row>
    <row r="4770" spans="1:3">
      <c r="A4770" s="62">
        <v>28711</v>
      </c>
      <c r="B4770">
        <v>0.64949999999999997</v>
      </c>
      <c r="C4770" t="str">
        <f t="shared" si="79"/>
        <v>1978 q3</v>
      </c>
    </row>
    <row r="4771" spans="1:3">
      <c r="A4771" s="62">
        <v>28712</v>
      </c>
      <c r="B4771">
        <v>0.65100000000000002</v>
      </c>
      <c r="C4771" t="str">
        <f t="shared" si="79"/>
        <v>1978 q3</v>
      </c>
    </row>
    <row r="4772" spans="1:3">
      <c r="A4772" s="62">
        <v>28713</v>
      </c>
      <c r="B4772">
        <v>0.65800000000000003</v>
      </c>
      <c r="C4772" t="str">
        <f t="shared" si="79"/>
        <v>1978 q3</v>
      </c>
    </row>
    <row r="4773" spans="1:3">
      <c r="A4773" s="62">
        <v>28716</v>
      </c>
      <c r="B4773">
        <v>0.66849999999999998</v>
      </c>
      <c r="C4773" t="str">
        <f t="shared" si="79"/>
        <v>1978 q3</v>
      </c>
    </row>
    <row r="4774" spans="1:3">
      <c r="A4774" s="62">
        <v>28717</v>
      </c>
      <c r="B4774">
        <v>0.66300000000000003</v>
      </c>
      <c r="C4774" t="str">
        <f t="shared" si="79"/>
        <v>1978 q3</v>
      </c>
    </row>
    <row r="4775" spans="1:3">
      <c r="A4775" s="62">
        <v>28718</v>
      </c>
      <c r="B4775">
        <v>0.64900000000000002</v>
      </c>
      <c r="C4775" t="str">
        <f t="shared" si="79"/>
        <v>1978 q3</v>
      </c>
    </row>
    <row r="4776" spans="1:3">
      <c r="A4776" s="62">
        <v>28719</v>
      </c>
      <c r="B4776">
        <v>0.64749999999999996</v>
      </c>
      <c r="C4776" t="str">
        <f t="shared" si="79"/>
        <v>1978 q3</v>
      </c>
    </row>
    <row r="4777" spans="1:3">
      <c r="A4777" s="62">
        <v>28720</v>
      </c>
      <c r="B4777">
        <v>0.64549999999999996</v>
      </c>
      <c r="C4777" t="str">
        <f t="shared" si="79"/>
        <v>1978 q3</v>
      </c>
    </row>
    <row r="4778" spans="1:3">
      <c r="A4778" s="62">
        <v>28723</v>
      </c>
      <c r="B4778">
        <v>0.64249999999999996</v>
      </c>
      <c r="C4778" t="str">
        <f t="shared" si="79"/>
        <v>1978 q3</v>
      </c>
    </row>
    <row r="4779" spans="1:3">
      <c r="A4779" s="62">
        <v>28724</v>
      </c>
      <c r="B4779">
        <v>0.64900000000000002</v>
      </c>
      <c r="C4779" t="str">
        <f t="shared" si="79"/>
        <v>1978 q3</v>
      </c>
    </row>
    <row r="4780" spans="1:3">
      <c r="A4780" s="62">
        <v>28725</v>
      </c>
      <c r="B4780">
        <v>0.65349999999999997</v>
      </c>
      <c r="C4780" t="str">
        <f t="shared" si="79"/>
        <v>1978 q3</v>
      </c>
    </row>
    <row r="4781" spans="1:3">
      <c r="A4781" s="62">
        <v>28726</v>
      </c>
      <c r="B4781">
        <v>0.65449999999999997</v>
      </c>
      <c r="C4781" t="str">
        <f t="shared" si="79"/>
        <v>1978 q3</v>
      </c>
    </row>
    <row r="4782" spans="1:3">
      <c r="A4782" s="62">
        <v>28727</v>
      </c>
      <c r="B4782">
        <v>0.64700000000000002</v>
      </c>
      <c r="C4782" t="str">
        <f t="shared" si="79"/>
        <v>1978 q3</v>
      </c>
    </row>
    <row r="4783" spans="1:3">
      <c r="A4783" s="62">
        <v>28730</v>
      </c>
      <c r="B4783">
        <v>0.64270000000000005</v>
      </c>
      <c r="C4783" t="str">
        <f t="shared" si="79"/>
        <v>1978 q3</v>
      </c>
    </row>
    <row r="4784" spans="1:3">
      <c r="A4784" s="62">
        <v>28731</v>
      </c>
      <c r="B4784">
        <v>0.64190000000000003</v>
      </c>
      <c r="C4784" t="str">
        <f t="shared" si="79"/>
        <v>1978 q3</v>
      </c>
    </row>
    <row r="4785" spans="1:3">
      <c r="A4785" s="62">
        <v>28732</v>
      </c>
      <c r="B4785">
        <v>0.63759999999999994</v>
      </c>
      <c r="C4785" t="str">
        <f t="shared" si="79"/>
        <v>1978 q3</v>
      </c>
    </row>
    <row r="4786" spans="1:3">
      <c r="A4786" s="62">
        <v>28733</v>
      </c>
      <c r="B4786">
        <v>0.64880000000000004</v>
      </c>
      <c r="C4786" t="str">
        <f t="shared" si="79"/>
        <v>1978 q3</v>
      </c>
    </row>
    <row r="4787" spans="1:3">
      <c r="A4787" s="62">
        <v>28734</v>
      </c>
      <c r="B4787">
        <v>0.65649999999999997</v>
      </c>
      <c r="C4787" t="str">
        <f t="shared" si="79"/>
        <v>1978 q3</v>
      </c>
    </row>
    <row r="4788" spans="1:3">
      <c r="A4788" s="62">
        <v>28738</v>
      </c>
      <c r="B4788">
        <v>0.65149999999999997</v>
      </c>
      <c r="C4788" t="str">
        <f t="shared" si="79"/>
        <v>1978 q3</v>
      </c>
    </row>
    <row r="4789" spans="1:3">
      <c r="A4789" s="62">
        <v>28739</v>
      </c>
      <c r="B4789">
        <v>0.64300000000000002</v>
      </c>
      <c r="C4789" t="str">
        <f t="shared" si="79"/>
        <v>1978 q3</v>
      </c>
    </row>
    <row r="4790" spans="1:3">
      <c r="A4790" s="62">
        <v>28740</v>
      </c>
      <c r="B4790">
        <v>0.64449999999999996</v>
      </c>
      <c r="C4790" t="str">
        <f t="shared" si="79"/>
        <v>1978 q3</v>
      </c>
    </row>
    <row r="4791" spans="1:3">
      <c r="A4791" s="62">
        <v>28741</v>
      </c>
      <c r="B4791">
        <v>0.65249999999999997</v>
      </c>
      <c r="C4791" t="str">
        <f t="shared" si="79"/>
        <v>1978 q3</v>
      </c>
    </row>
    <row r="4792" spans="1:3">
      <c r="A4792" s="62">
        <v>28744</v>
      </c>
      <c r="B4792">
        <v>0.65400000000000003</v>
      </c>
      <c r="C4792" t="str">
        <f t="shared" si="79"/>
        <v>1978 q3</v>
      </c>
    </row>
    <row r="4793" spans="1:3">
      <c r="A4793" s="62">
        <v>28745</v>
      </c>
      <c r="B4793">
        <v>0.65049999999999997</v>
      </c>
      <c r="C4793" t="str">
        <f t="shared" si="79"/>
        <v>1978 q3</v>
      </c>
    </row>
    <row r="4794" spans="1:3">
      <c r="A4794" s="62">
        <v>28746</v>
      </c>
      <c r="B4794">
        <v>0.66449999999999998</v>
      </c>
      <c r="C4794" t="str">
        <f t="shared" si="79"/>
        <v>1978 q3</v>
      </c>
    </row>
    <row r="4795" spans="1:3">
      <c r="A4795" s="62">
        <v>28747</v>
      </c>
      <c r="B4795">
        <v>0.66149999999999998</v>
      </c>
      <c r="C4795" t="str">
        <f t="shared" si="79"/>
        <v>1978 q3</v>
      </c>
    </row>
    <row r="4796" spans="1:3">
      <c r="A4796" s="62">
        <v>28748</v>
      </c>
      <c r="B4796">
        <v>0.66849999999999998</v>
      </c>
      <c r="C4796" t="str">
        <f t="shared" si="79"/>
        <v>1978 q3</v>
      </c>
    </row>
    <row r="4797" spans="1:3">
      <c r="A4797" s="62">
        <v>28751</v>
      </c>
      <c r="B4797">
        <v>0.66249999999999998</v>
      </c>
      <c r="C4797" t="str">
        <f t="shared" si="79"/>
        <v>1978 q3</v>
      </c>
    </row>
    <row r="4798" spans="1:3">
      <c r="A4798" s="62">
        <v>28752</v>
      </c>
      <c r="B4798">
        <v>0.65949999999999998</v>
      </c>
      <c r="C4798" t="str">
        <f t="shared" si="79"/>
        <v>1978 q3</v>
      </c>
    </row>
    <row r="4799" spans="1:3">
      <c r="A4799" s="62">
        <v>28753</v>
      </c>
      <c r="B4799">
        <v>0.66800000000000004</v>
      </c>
      <c r="C4799" t="str">
        <f t="shared" si="79"/>
        <v>1978 q3</v>
      </c>
    </row>
    <row r="4800" spans="1:3">
      <c r="A4800" s="62">
        <v>28754</v>
      </c>
      <c r="B4800">
        <v>0.66300000000000003</v>
      </c>
      <c r="C4800" t="str">
        <f t="shared" si="79"/>
        <v>1978 q3</v>
      </c>
    </row>
    <row r="4801" spans="1:3">
      <c r="A4801" s="62">
        <v>28755</v>
      </c>
      <c r="B4801">
        <v>0.66249999999999998</v>
      </c>
      <c r="C4801" t="str">
        <f t="shared" si="79"/>
        <v>1978 q3</v>
      </c>
    </row>
    <row r="4802" spans="1:3">
      <c r="A4802" s="62">
        <v>28758</v>
      </c>
      <c r="B4802">
        <v>0.66600000000000004</v>
      </c>
      <c r="C4802" t="str">
        <f t="shared" si="79"/>
        <v>1978 q3</v>
      </c>
    </row>
    <row r="4803" spans="1:3">
      <c r="A4803" s="62">
        <v>28759</v>
      </c>
      <c r="B4803">
        <v>0.66449999999999998</v>
      </c>
      <c r="C4803" t="str">
        <f t="shared" si="79"/>
        <v>1978 q3</v>
      </c>
    </row>
    <row r="4804" spans="1:3">
      <c r="A4804" s="62">
        <v>28760</v>
      </c>
      <c r="B4804">
        <v>0.67149999999999999</v>
      </c>
      <c r="C4804" t="str">
        <f t="shared" si="79"/>
        <v>1978 q3</v>
      </c>
    </row>
    <row r="4805" spans="1:3">
      <c r="A4805" s="62">
        <v>28761</v>
      </c>
      <c r="B4805">
        <v>0.67500000000000004</v>
      </c>
      <c r="C4805" t="str">
        <f t="shared" si="79"/>
        <v>1978 q3</v>
      </c>
    </row>
    <row r="4806" spans="1:3">
      <c r="A4806" s="62">
        <v>28762</v>
      </c>
      <c r="B4806">
        <v>0.67200000000000004</v>
      </c>
      <c r="C4806" t="str">
        <f t="shared" si="79"/>
        <v>1978 q3</v>
      </c>
    </row>
    <row r="4807" spans="1:3">
      <c r="A4807" s="62">
        <v>28765</v>
      </c>
      <c r="B4807">
        <v>0.67849999999999999</v>
      </c>
      <c r="C4807" t="str">
        <f t="shared" si="79"/>
        <v>1978 q4</v>
      </c>
    </row>
    <row r="4808" spans="1:3">
      <c r="A4808" s="62">
        <v>28766</v>
      </c>
      <c r="B4808">
        <v>0.67700000000000005</v>
      </c>
      <c r="C4808" t="str">
        <f t="shared" si="79"/>
        <v>1978 q4</v>
      </c>
    </row>
    <row r="4809" spans="1:3">
      <c r="A4809" s="62">
        <v>28767</v>
      </c>
      <c r="B4809">
        <v>0.68</v>
      </c>
      <c r="C4809" t="str">
        <f t="shared" si="79"/>
        <v>1978 q4</v>
      </c>
    </row>
    <row r="4810" spans="1:3">
      <c r="A4810" s="62">
        <v>28768</v>
      </c>
      <c r="B4810">
        <v>0.68500000000000005</v>
      </c>
      <c r="C4810" t="str">
        <f t="shared" si="79"/>
        <v>1978 q4</v>
      </c>
    </row>
    <row r="4811" spans="1:3">
      <c r="A4811" s="62">
        <v>28769</v>
      </c>
      <c r="B4811">
        <v>0.68149999999999999</v>
      </c>
      <c r="C4811" t="str">
        <f t="shared" si="79"/>
        <v>1978 q4</v>
      </c>
    </row>
    <row r="4812" spans="1:3">
      <c r="A4812" s="62">
        <v>28772</v>
      </c>
      <c r="B4812">
        <v>0.68899999999999995</v>
      </c>
      <c r="C4812" t="str">
        <f t="shared" si="79"/>
        <v>1978 q4</v>
      </c>
    </row>
    <row r="4813" spans="1:3">
      <c r="A4813" s="62">
        <v>28773</v>
      </c>
      <c r="B4813">
        <v>0.69</v>
      </c>
      <c r="C4813" t="str">
        <f t="shared" si="79"/>
        <v>1978 q4</v>
      </c>
    </row>
    <row r="4814" spans="1:3">
      <c r="A4814" s="62">
        <v>28774</v>
      </c>
      <c r="B4814">
        <v>0.6925</v>
      </c>
      <c r="C4814" t="str">
        <f t="shared" si="79"/>
        <v>1978 q4</v>
      </c>
    </row>
    <row r="4815" spans="1:3">
      <c r="A4815" s="62">
        <v>28775</v>
      </c>
      <c r="B4815">
        <v>0.68200000000000005</v>
      </c>
      <c r="C4815" t="str">
        <f t="shared" si="79"/>
        <v>1978 q4</v>
      </c>
    </row>
    <row r="4816" spans="1:3">
      <c r="A4816" s="62">
        <v>28776</v>
      </c>
      <c r="B4816">
        <v>0.67500000000000004</v>
      </c>
      <c r="C4816" t="str">
        <f t="shared" si="79"/>
        <v>1978 q4</v>
      </c>
    </row>
    <row r="4817" spans="1:3">
      <c r="A4817" s="62">
        <v>28779</v>
      </c>
      <c r="B4817">
        <v>0.67800000000000005</v>
      </c>
      <c r="C4817" t="str">
        <f t="shared" si="79"/>
        <v>1978 q4</v>
      </c>
    </row>
    <row r="4818" spans="1:3">
      <c r="A4818" s="62">
        <v>28780</v>
      </c>
      <c r="B4818">
        <v>0.67800000000000005</v>
      </c>
      <c r="C4818" t="str">
        <f t="shared" ref="C4818:C4881" si="80">YEAR(A4818)&amp;" q"&amp;ROUNDUP(MONTH(A4818)/3,0)</f>
        <v>1978 q4</v>
      </c>
    </row>
    <row r="4819" spans="1:3">
      <c r="A4819" s="62">
        <v>28781</v>
      </c>
      <c r="B4819">
        <v>0.67249999999999999</v>
      </c>
      <c r="C4819" t="str">
        <f t="shared" si="80"/>
        <v>1978 q4</v>
      </c>
    </row>
    <row r="4820" spans="1:3">
      <c r="A4820" s="62">
        <v>28782</v>
      </c>
      <c r="B4820">
        <v>0.66749999999999998</v>
      </c>
      <c r="C4820" t="str">
        <f t="shared" si="80"/>
        <v>1978 q4</v>
      </c>
    </row>
    <row r="4821" spans="1:3">
      <c r="A4821" s="62">
        <v>28783</v>
      </c>
      <c r="B4821">
        <v>0.66300000000000003</v>
      </c>
      <c r="C4821" t="str">
        <f t="shared" si="80"/>
        <v>1978 q4</v>
      </c>
    </row>
    <row r="4822" spans="1:3">
      <c r="A4822" s="62">
        <v>28786</v>
      </c>
      <c r="B4822">
        <v>0.66700000000000004</v>
      </c>
      <c r="C4822" t="str">
        <f t="shared" si="80"/>
        <v>1978 q4</v>
      </c>
    </row>
    <row r="4823" spans="1:3">
      <c r="A4823" s="62">
        <v>28787</v>
      </c>
      <c r="B4823">
        <v>0.67849999999999999</v>
      </c>
      <c r="C4823" t="str">
        <f t="shared" si="80"/>
        <v>1978 q4</v>
      </c>
    </row>
    <row r="4824" spans="1:3">
      <c r="A4824" s="62">
        <v>28788</v>
      </c>
      <c r="B4824">
        <v>0.69799999999999995</v>
      </c>
      <c r="C4824" t="str">
        <f t="shared" si="80"/>
        <v>1978 q4</v>
      </c>
    </row>
    <row r="4825" spans="1:3">
      <c r="A4825" s="62">
        <v>28789</v>
      </c>
      <c r="B4825">
        <v>0.69350000000000001</v>
      </c>
      <c r="C4825" t="str">
        <f t="shared" si="80"/>
        <v>1978 q4</v>
      </c>
    </row>
    <row r="4826" spans="1:3">
      <c r="A4826" s="62">
        <v>28790</v>
      </c>
      <c r="B4826">
        <v>0.70450000000000002</v>
      </c>
      <c r="C4826" t="str">
        <f t="shared" si="80"/>
        <v>1978 q4</v>
      </c>
    </row>
    <row r="4827" spans="1:3">
      <c r="A4827" s="62">
        <v>28793</v>
      </c>
      <c r="B4827">
        <v>0.70399999999999996</v>
      </c>
      <c r="C4827" t="str">
        <f t="shared" si="80"/>
        <v>1978 q4</v>
      </c>
    </row>
    <row r="4828" spans="1:3">
      <c r="A4828" s="62">
        <v>28794</v>
      </c>
      <c r="B4828">
        <v>0.70199999999999996</v>
      </c>
      <c r="C4828" t="str">
        <f t="shared" si="80"/>
        <v>1978 q4</v>
      </c>
    </row>
    <row r="4829" spans="1:3">
      <c r="A4829" s="62">
        <v>28795</v>
      </c>
      <c r="B4829">
        <v>0.67800000000000005</v>
      </c>
      <c r="C4829" t="str">
        <f t="shared" si="80"/>
        <v>1978 q4</v>
      </c>
    </row>
    <row r="4830" spans="1:3">
      <c r="A4830" s="62">
        <v>28796</v>
      </c>
      <c r="B4830">
        <v>0.6895</v>
      </c>
      <c r="C4830" t="str">
        <f t="shared" si="80"/>
        <v>1978 q4</v>
      </c>
    </row>
    <row r="4831" spans="1:3">
      <c r="A4831" s="62">
        <v>28797</v>
      </c>
      <c r="B4831">
        <v>0.68799999999999994</v>
      </c>
      <c r="C4831" t="str">
        <f t="shared" si="80"/>
        <v>1978 q4</v>
      </c>
    </row>
    <row r="4832" spans="1:3">
      <c r="A4832" s="62">
        <v>28800</v>
      </c>
      <c r="B4832">
        <v>0.68200000000000005</v>
      </c>
      <c r="C4832" t="str">
        <f t="shared" si="80"/>
        <v>1978 q4</v>
      </c>
    </row>
    <row r="4833" spans="1:3">
      <c r="A4833" s="62">
        <v>28802</v>
      </c>
      <c r="B4833">
        <v>0.67149999999999999</v>
      </c>
      <c r="C4833" t="str">
        <f t="shared" si="80"/>
        <v>1978 q4</v>
      </c>
    </row>
    <row r="4834" spans="1:3">
      <c r="A4834" s="62">
        <v>28803</v>
      </c>
      <c r="B4834">
        <v>0.65849999999999997</v>
      </c>
      <c r="C4834" t="str">
        <f t="shared" si="80"/>
        <v>1978 q4</v>
      </c>
    </row>
    <row r="4835" spans="1:3">
      <c r="A4835" s="62">
        <v>28804</v>
      </c>
      <c r="B4835">
        <v>0.64649999999999996</v>
      </c>
      <c r="C4835" t="str">
        <f t="shared" si="80"/>
        <v>1978 q4</v>
      </c>
    </row>
    <row r="4836" spans="1:3">
      <c r="A4836" s="62">
        <v>28807</v>
      </c>
      <c r="B4836">
        <v>0.65149999999999997</v>
      </c>
      <c r="C4836" t="str">
        <f t="shared" si="80"/>
        <v>1978 q4</v>
      </c>
    </row>
    <row r="4837" spans="1:3">
      <c r="A4837" s="62">
        <v>28808</v>
      </c>
      <c r="B4837">
        <v>0.65200000000000002</v>
      </c>
      <c r="C4837" t="str">
        <f t="shared" si="80"/>
        <v>1978 q4</v>
      </c>
    </row>
    <row r="4838" spans="1:3">
      <c r="A4838" s="62">
        <v>28809</v>
      </c>
      <c r="B4838">
        <v>0.64600000000000002</v>
      </c>
      <c r="C4838" t="str">
        <f t="shared" si="80"/>
        <v>1978 q4</v>
      </c>
    </row>
    <row r="4839" spans="1:3">
      <c r="A4839" s="62">
        <v>28810</v>
      </c>
      <c r="B4839">
        <v>0.65649999999999997</v>
      </c>
      <c r="C4839" t="str">
        <f t="shared" si="80"/>
        <v>1978 q4</v>
      </c>
    </row>
    <row r="4840" spans="1:3">
      <c r="A4840" s="62">
        <v>28811</v>
      </c>
      <c r="B4840">
        <v>0.64900000000000002</v>
      </c>
      <c r="C4840" t="str">
        <f t="shared" si="80"/>
        <v>1978 q4</v>
      </c>
    </row>
    <row r="4841" spans="1:3">
      <c r="A4841" s="62">
        <v>28814</v>
      </c>
      <c r="B4841">
        <v>0.64849999999999997</v>
      </c>
      <c r="C4841" t="str">
        <f t="shared" si="80"/>
        <v>1978 q4</v>
      </c>
    </row>
    <row r="4842" spans="1:3">
      <c r="A4842" s="62">
        <v>28815</v>
      </c>
      <c r="B4842">
        <v>0.65400000000000003</v>
      </c>
      <c r="C4842" t="str">
        <f t="shared" si="80"/>
        <v>1978 q4</v>
      </c>
    </row>
    <row r="4843" spans="1:3">
      <c r="A4843" s="62">
        <v>28816</v>
      </c>
      <c r="B4843">
        <v>0.66149999999999998</v>
      </c>
      <c r="C4843" t="str">
        <f t="shared" si="80"/>
        <v>1978 q4</v>
      </c>
    </row>
    <row r="4844" spans="1:3">
      <c r="A4844" s="62">
        <v>28818</v>
      </c>
      <c r="B4844">
        <v>0.66549999999999998</v>
      </c>
      <c r="C4844" t="str">
        <f t="shared" si="80"/>
        <v>1978 q4</v>
      </c>
    </row>
    <row r="4845" spans="1:3">
      <c r="A4845" s="62">
        <v>28821</v>
      </c>
      <c r="B4845">
        <v>0.65759999999999996</v>
      </c>
      <c r="C4845" t="str">
        <f t="shared" si="80"/>
        <v>1978 q4</v>
      </c>
    </row>
    <row r="4846" spans="1:3">
      <c r="A4846" s="62">
        <v>28822</v>
      </c>
      <c r="B4846">
        <v>0.65349999999999997</v>
      </c>
      <c r="C4846" t="str">
        <f t="shared" si="80"/>
        <v>1978 q4</v>
      </c>
    </row>
    <row r="4847" spans="1:3">
      <c r="A4847" s="62">
        <v>28823</v>
      </c>
      <c r="B4847">
        <v>0.65900000000000003</v>
      </c>
      <c r="C4847" t="str">
        <f t="shared" si="80"/>
        <v>1978 q4</v>
      </c>
    </row>
    <row r="4848" spans="1:3">
      <c r="A4848" s="62">
        <v>28824</v>
      </c>
      <c r="B4848">
        <v>0.66710000000000003</v>
      </c>
      <c r="C4848" t="str">
        <f t="shared" si="80"/>
        <v>1978 q4</v>
      </c>
    </row>
    <row r="4849" spans="1:3">
      <c r="A4849" s="62">
        <v>28825</v>
      </c>
      <c r="B4849">
        <v>0.67349999999999999</v>
      </c>
      <c r="C4849" t="str">
        <f t="shared" si="80"/>
        <v>1978 q4</v>
      </c>
    </row>
    <row r="4850" spans="1:3">
      <c r="A4850" s="62">
        <v>28828</v>
      </c>
      <c r="B4850">
        <v>0.66700000000000004</v>
      </c>
      <c r="C4850" t="str">
        <f t="shared" si="80"/>
        <v>1978 q4</v>
      </c>
    </row>
    <row r="4851" spans="1:3">
      <c r="A4851" s="62">
        <v>28829</v>
      </c>
      <c r="B4851">
        <v>0.66800000000000004</v>
      </c>
      <c r="C4851" t="str">
        <f t="shared" si="80"/>
        <v>1978 q4</v>
      </c>
    </row>
    <row r="4852" spans="1:3">
      <c r="A4852" s="62">
        <v>28830</v>
      </c>
      <c r="B4852">
        <v>0.67200000000000004</v>
      </c>
      <c r="C4852" t="str">
        <f t="shared" si="80"/>
        <v>1978 q4</v>
      </c>
    </row>
    <row r="4853" spans="1:3">
      <c r="A4853" s="62">
        <v>28831</v>
      </c>
      <c r="B4853">
        <v>0.67649999999999999</v>
      </c>
      <c r="C4853" t="str">
        <f t="shared" si="80"/>
        <v>1978 q4</v>
      </c>
    </row>
    <row r="4854" spans="1:3">
      <c r="A4854" s="62">
        <v>28832</v>
      </c>
      <c r="B4854">
        <v>0.67649999999999999</v>
      </c>
      <c r="C4854" t="str">
        <f t="shared" si="80"/>
        <v>1978 q4</v>
      </c>
    </row>
    <row r="4855" spans="1:3">
      <c r="A4855" s="62">
        <v>28835</v>
      </c>
      <c r="B4855">
        <v>0.68400000000000005</v>
      </c>
      <c r="C4855" t="str">
        <f t="shared" si="80"/>
        <v>1978 q4</v>
      </c>
    </row>
    <row r="4856" spans="1:3">
      <c r="A4856" s="62">
        <v>28836</v>
      </c>
      <c r="B4856">
        <v>0.68300000000000005</v>
      </c>
      <c r="C4856" t="str">
        <f t="shared" si="80"/>
        <v>1978 q4</v>
      </c>
    </row>
    <row r="4857" spans="1:3">
      <c r="A4857" s="62">
        <v>28837</v>
      </c>
      <c r="B4857">
        <v>0.67849999999999999</v>
      </c>
      <c r="C4857" t="str">
        <f t="shared" si="80"/>
        <v>1978 q4</v>
      </c>
    </row>
    <row r="4858" spans="1:3">
      <c r="A4858" s="62">
        <v>28838</v>
      </c>
      <c r="B4858">
        <v>0.67600000000000005</v>
      </c>
      <c r="C4858" t="str">
        <f t="shared" si="80"/>
        <v>1978 q4</v>
      </c>
    </row>
    <row r="4859" spans="1:3">
      <c r="A4859" s="62">
        <v>28839</v>
      </c>
      <c r="B4859">
        <v>0.68</v>
      </c>
      <c r="C4859" t="str">
        <f t="shared" si="80"/>
        <v>1978 q4</v>
      </c>
    </row>
    <row r="4860" spans="1:3">
      <c r="A4860" s="62">
        <v>28842</v>
      </c>
      <c r="B4860">
        <v>0.68149999999999999</v>
      </c>
      <c r="C4860" t="str">
        <f t="shared" si="80"/>
        <v>1978 q4</v>
      </c>
    </row>
    <row r="4861" spans="1:3">
      <c r="A4861" s="62">
        <v>28843</v>
      </c>
      <c r="B4861">
        <v>0.69</v>
      </c>
      <c r="C4861" t="str">
        <f t="shared" si="80"/>
        <v>1978 q4</v>
      </c>
    </row>
    <row r="4862" spans="1:3">
      <c r="A4862" s="62">
        <v>28844</v>
      </c>
      <c r="B4862">
        <v>0.6915</v>
      </c>
      <c r="C4862" t="str">
        <f t="shared" si="80"/>
        <v>1978 q4</v>
      </c>
    </row>
    <row r="4863" spans="1:3">
      <c r="A4863" s="62">
        <v>28845</v>
      </c>
      <c r="B4863">
        <v>0.68799999999999994</v>
      </c>
      <c r="C4863" t="str">
        <f t="shared" si="80"/>
        <v>1978 q4</v>
      </c>
    </row>
    <row r="4864" spans="1:3">
      <c r="A4864" s="62">
        <v>28846</v>
      </c>
      <c r="B4864">
        <v>0.68600000000000005</v>
      </c>
      <c r="C4864" t="str">
        <f t="shared" si="80"/>
        <v>1978 q4</v>
      </c>
    </row>
    <row r="4865" spans="1:3">
      <c r="A4865" s="62">
        <v>28850</v>
      </c>
      <c r="B4865">
        <v>0.69330000000000003</v>
      </c>
      <c r="C4865" t="str">
        <f t="shared" si="80"/>
        <v>1978 q4</v>
      </c>
    </row>
    <row r="4866" spans="1:3">
      <c r="A4866" s="62">
        <v>28851</v>
      </c>
      <c r="B4866">
        <v>0.70189999999999997</v>
      </c>
      <c r="C4866" t="str">
        <f t="shared" si="80"/>
        <v>1978 q4</v>
      </c>
    </row>
    <row r="4867" spans="1:3">
      <c r="A4867" s="62">
        <v>28852</v>
      </c>
      <c r="B4867">
        <v>0.70299999999999996</v>
      </c>
      <c r="C4867" t="str">
        <f t="shared" si="80"/>
        <v>1978 q4</v>
      </c>
    </row>
    <row r="4868" spans="1:3">
      <c r="A4868" s="62">
        <v>28853</v>
      </c>
      <c r="B4868">
        <v>0.70760000000000001</v>
      </c>
      <c r="C4868" t="str">
        <f t="shared" si="80"/>
        <v>1978 q4</v>
      </c>
    </row>
    <row r="4869" spans="1:3">
      <c r="A4869" s="62">
        <v>28857</v>
      </c>
      <c r="B4869">
        <v>0.70050000000000001</v>
      </c>
      <c r="C4869" t="str">
        <f t="shared" si="80"/>
        <v>1979 q1</v>
      </c>
    </row>
    <row r="4870" spans="1:3">
      <c r="A4870" s="62">
        <v>28858</v>
      </c>
      <c r="B4870">
        <v>0.70399999999999996</v>
      </c>
      <c r="C4870" t="str">
        <f t="shared" si="80"/>
        <v>1979 q1</v>
      </c>
    </row>
    <row r="4871" spans="1:3">
      <c r="A4871" s="62">
        <v>28859</v>
      </c>
      <c r="B4871">
        <v>0.70350000000000001</v>
      </c>
      <c r="C4871" t="str">
        <f t="shared" si="80"/>
        <v>1979 q1</v>
      </c>
    </row>
    <row r="4872" spans="1:3">
      <c r="A4872" s="62">
        <v>28860</v>
      </c>
      <c r="B4872">
        <v>0.70650000000000002</v>
      </c>
      <c r="C4872" t="str">
        <f t="shared" si="80"/>
        <v>1979 q1</v>
      </c>
    </row>
    <row r="4873" spans="1:3">
      <c r="A4873" s="62">
        <v>28863</v>
      </c>
      <c r="B4873">
        <v>0.71899999999999997</v>
      </c>
      <c r="C4873" t="str">
        <f t="shared" si="80"/>
        <v>1979 q1</v>
      </c>
    </row>
    <row r="4874" spans="1:3">
      <c r="A4874" s="62">
        <v>28864</v>
      </c>
      <c r="B4874">
        <v>0.71599999999999997</v>
      </c>
      <c r="C4874" t="str">
        <f t="shared" si="80"/>
        <v>1979 q1</v>
      </c>
    </row>
    <row r="4875" spans="1:3">
      <c r="A4875" s="62">
        <v>28865</v>
      </c>
      <c r="B4875">
        <v>0.72299999999999998</v>
      </c>
      <c r="C4875" t="str">
        <f t="shared" si="80"/>
        <v>1979 q1</v>
      </c>
    </row>
    <row r="4876" spans="1:3">
      <c r="A4876" s="62">
        <v>28866</v>
      </c>
      <c r="B4876">
        <v>0.72299999999999998</v>
      </c>
      <c r="C4876" t="str">
        <f t="shared" si="80"/>
        <v>1979 q1</v>
      </c>
    </row>
    <row r="4877" spans="1:3">
      <c r="A4877" s="62">
        <v>28867</v>
      </c>
      <c r="B4877">
        <v>0.73150000000000004</v>
      </c>
      <c r="C4877" t="str">
        <f t="shared" si="80"/>
        <v>1979 q1</v>
      </c>
    </row>
    <row r="4878" spans="1:3">
      <c r="A4878" s="62">
        <v>28870</v>
      </c>
      <c r="B4878">
        <v>0.73350000000000004</v>
      </c>
      <c r="C4878" t="str">
        <f t="shared" si="80"/>
        <v>1979 q1</v>
      </c>
    </row>
    <row r="4879" spans="1:3">
      <c r="A4879" s="62">
        <v>28871</v>
      </c>
      <c r="B4879">
        <v>0.72899999999999998</v>
      </c>
      <c r="C4879" t="str">
        <f t="shared" si="80"/>
        <v>1979 q1</v>
      </c>
    </row>
    <row r="4880" spans="1:3">
      <c r="A4880" s="62">
        <v>28872</v>
      </c>
      <c r="B4880">
        <v>0.72799999999999998</v>
      </c>
      <c r="C4880" t="str">
        <f t="shared" si="80"/>
        <v>1979 q1</v>
      </c>
    </row>
    <row r="4881" spans="1:3">
      <c r="A4881" s="62">
        <v>28873</v>
      </c>
      <c r="B4881">
        <v>0.74199999999999999</v>
      </c>
      <c r="C4881" t="str">
        <f t="shared" si="80"/>
        <v>1979 q1</v>
      </c>
    </row>
    <row r="4882" spans="1:3">
      <c r="A4882" s="62">
        <v>28874</v>
      </c>
      <c r="B4882">
        <v>0.74850000000000005</v>
      </c>
      <c r="C4882" t="str">
        <f t="shared" ref="C4882:C4945" si="81">YEAR(A4882)&amp;" q"&amp;ROUNDUP(MONTH(A4882)/3,0)</f>
        <v>1979 q1</v>
      </c>
    </row>
    <row r="4883" spans="1:3">
      <c r="A4883" s="62">
        <v>28877</v>
      </c>
      <c r="B4883">
        <v>0.74850000000000005</v>
      </c>
      <c r="C4883" t="str">
        <f t="shared" si="81"/>
        <v>1979 q1</v>
      </c>
    </row>
    <row r="4884" spans="1:3">
      <c r="A4884" s="62">
        <v>28878</v>
      </c>
      <c r="B4884">
        <v>0.746</v>
      </c>
      <c r="C4884" t="str">
        <f t="shared" si="81"/>
        <v>1979 q1</v>
      </c>
    </row>
    <row r="4885" spans="1:3">
      <c r="A4885" s="62">
        <v>28879</v>
      </c>
      <c r="B4885">
        <v>0.76649999999999996</v>
      </c>
      <c r="C4885" t="str">
        <f t="shared" si="81"/>
        <v>1979 q1</v>
      </c>
    </row>
    <row r="4886" spans="1:3">
      <c r="A4886" s="62">
        <v>28880</v>
      </c>
      <c r="B4886">
        <v>0.75900000000000001</v>
      </c>
      <c r="C4886" t="str">
        <f t="shared" si="81"/>
        <v>1979 q1</v>
      </c>
    </row>
    <row r="4887" spans="1:3">
      <c r="A4887" s="62">
        <v>28881</v>
      </c>
      <c r="B4887">
        <v>0.76100000000000001</v>
      </c>
      <c r="C4887" t="str">
        <f t="shared" si="81"/>
        <v>1979 q1</v>
      </c>
    </row>
    <row r="4888" spans="1:3">
      <c r="A4888" s="62">
        <v>28884</v>
      </c>
      <c r="B4888">
        <v>0.76449999999999996</v>
      </c>
      <c r="C4888" t="str">
        <f t="shared" si="81"/>
        <v>1979 q1</v>
      </c>
    </row>
    <row r="4889" spans="1:3">
      <c r="A4889" s="62">
        <v>28885</v>
      </c>
      <c r="B4889">
        <v>0.77400000000000002</v>
      </c>
      <c r="C4889" t="str">
        <f t="shared" si="81"/>
        <v>1979 q1</v>
      </c>
    </row>
    <row r="4890" spans="1:3">
      <c r="A4890" s="62">
        <v>28886</v>
      </c>
      <c r="B4890">
        <v>0.78900000000000003</v>
      </c>
      <c r="C4890" t="str">
        <f t="shared" si="81"/>
        <v>1979 q1</v>
      </c>
    </row>
    <row r="4891" spans="1:3">
      <c r="A4891" s="62">
        <v>28887</v>
      </c>
      <c r="B4891">
        <v>0.80100000000000005</v>
      </c>
      <c r="C4891" t="str">
        <f t="shared" si="81"/>
        <v>1979 q1</v>
      </c>
    </row>
    <row r="4892" spans="1:3">
      <c r="A4892" s="62">
        <v>28888</v>
      </c>
      <c r="B4892">
        <v>0.83099999999999996</v>
      </c>
      <c r="C4892" t="str">
        <f t="shared" si="81"/>
        <v>1979 q1</v>
      </c>
    </row>
    <row r="4893" spans="1:3">
      <c r="A4893" s="62">
        <v>28891</v>
      </c>
      <c r="B4893">
        <v>0.85299999999999998</v>
      </c>
      <c r="C4893" t="str">
        <f t="shared" si="81"/>
        <v>1979 q1</v>
      </c>
    </row>
    <row r="4894" spans="1:3">
      <c r="A4894" s="62">
        <v>28892</v>
      </c>
      <c r="B4894">
        <v>0.84399999999999997</v>
      </c>
      <c r="C4894" t="str">
        <f t="shared" si="81"/>
        <v>1979 q1</v>
      </c>
    </row>
    <row r="4895" spans="1:3">
      <c r="A4895" s="62">
        <v>28893</v>
      </c>
      <c r="B4895">
        <v>0.86699999999999999</v>
      </c>
      <c r="C4895" t="str">
        <f t="shared" si="81"/>
        <v>1979 q1</v>
      </c>
    </row>
    <row r="4896" spans="1:3">
      <c r="A4896" s="62">
        <v>28894</v>
      </c>
      <c r="B4896">
        <v>0.84699999999999998</v>
      </c>
      <c r="C4896" t="str">
        <f t="shared" si="81"/>
        <v>1979 q1</v>
      </c>
    </row>
    <row r="4897" spans="1:3">
      <c r="A4897" s="62">
        <v>28895</v>
      </c>
      <c r="B4897">
        <v>0.84399999999999997</v>
      </c>
      <c r="C4897" t="str">
        <f t="shared" si="81"/>
        <v>1979 q1</v>
      </c>
    </row>
    <row r="4898" spans="1:3">
      <c r="A4898" s="62">
        <v>28898</v>
      </c>
      <c r="B4898">
        <v>0.84750000000000003</v>
      </c>
      <c r="C4898" t="str">
        <f t="shared" si="81"/>
        <v>1979 q1</v>
      </c>
    </row>
    <row r="4899" spans="1:3">
      <c r="A4899" s="62">
        <v>28899</v>
      </c>
      <c r="B4899">
        <v>0.82</v>
      </c>
      <c r="C4899" t="str">
        <f t="shared" si="81"/>
        <v>1979 q1</v>
      </c>
    </row>
    <row r="4900" spans="1:3">
      <c r="A4900" s="62">
        <v>28900</v>
      </c>
      <c r="B4900">
        <v>0.83199999999999996</v>
      </c>
      <c r="C4900" t="str">
        <f t="shared" si="81"/>
        <v>1979 q1</v>
      </c>
    </row>
    <row r="4901" spans="1:3">
      <c r="A4901" s="62">
        <v>28901</v>
      </c>
      <c r="B4901">
        <v>0.86199999999999999</v>
      </c>
      <c r="C4901" t="str">
        <f t="shared" si="81"/>
        <v>1979 q1</v>
      </c>
    </row>
    <row r="4902" spans="1:3">
      <c r="A4902" s="62">
        <v>28902</v>
      </c>
      <c r="B4902">
        <v>0.87150000000000005</v>
      </c>
      <c r="C4902" t="str">
        <f t="shared" si="81"/>
        <v>1979 q1</v>
      </c>
    </row>
    <row r="4903" spans="1:3">
      <c r="A4903" s="62">
        <v>28906</v>
      </c>
      <c r="B4903">
        <v>0.89700000000000002</v>
      </c>
      <c r="C4903" t="str">
        <f t="shared" si="81"/>
        <v>1979 q1</v>
      </c>
    </row>
    <row r="4904" spans="1:3">
      <c r="A4904" s="62">
        <v>28907</v>
      </c>
      <c r="B4904">
        <v>0.89700000000000002</v>
      </c>
      <c r="C4904" t="str">
        <f t="shared" si="81"/>
        <v>1979 q1</v>
      </c>
    </row>
    <row r="4905" spans="1:3">
      <c r="A4905" s="62">
        <v>28908</v>
      </c>
      <c r="B4905">
        <v>0.88600000000000001</v>
      </c>
      <c r="C4905" t="str">
        <f t="shared" si="81"/>
        <v>1979 q1</v>
      </c>
    </row>
    <row r="4906" spans="1:3">
      <c r="A4906" s="62">
        <v>28909</v>
      </c>
      <c r="B4906">
        <v>0.9022</v>
      </c>
      <c r="C4906" t="str">
        <f t="shared" si="81"/>
        <v>1979 q1</v>
      </c>
    </row>
    <row r="4907" spans="1:3">
      <c r="A4907" s="62">
        <v>28912</v>
      </c>
      <c r="B4907">
        <v>0.88739999999999997</v>
      </c>
      <c r="C4907" t="str">
        <f t="shared" si="81"/>
        <v>1979 q1</v>
      </c>
    </row>
    <row r="4908" spans="1:3">
      <c r="A4908" s="62">
        <v>28913</v>
      </c>
      <c r="B4908">
        <v>0.91300000000000003</v>
      </c>
      <c r="C4908" t="str">
        <f t="shared" si="81"/>
        <v>1979 q1</v>
      </c>
    </row>
    <row r="4909" spans="1:3">
      <c r="A4909" s="62">
        <v>28914</v>
      </c>
      <c r="B4909">
        <v>0.92430000000000001</v>
      </c>
      <c r="C4909" t="str">
        <f t="shared" si="81"/>
        <v>1979 q1</v>
      </c>
    </row>
    <row r="4910" spans="1:3">
      <c r="A4910" s="62">
        <v>28915</v>
      </c>
      <c r="B4910">
        <v>0.94599999999999995</v>
      </c>
      <c r="C4910" t="str">
        <f t="shared" si="81"/>
        <v>1979 q1</v>
      </c>
    </row>
    <row r="4911" spans="1:3">
      <c r="A4911" s="62">
        <v>28916</v>
      </c>
      <c r="B4911">
        <v>0.91749999999999998</v>
      </c>
      <c r="C4911" t="str">
        <f t="shared" si="81"/>
        <v>1979 q1</v>
      </c>
    </row>
    <row r="4912" spans="1:3">
      <c r="A4912" s="62">
        <v>28919</v>
      </c>
      <c r="B4912">
        <v>0.88749999999999996</v>
      </c>
      <c r="C4912" t="str">
        <f t="shared" si="81"/>
        <v>1979 q1</v>
      </c>
    </row>
    <row r="4913" spans="1:3">
      <c r="A4913" s="62">
        <v>28920</v>
      </c>
      <c r="B4913">
        <v>0.91</v>
      </c>
      <c r="C4913" t="str">
        <f t="shared" si="81"/>
        <v>1979 q1</v>
      </c>
    </row>
    <row r="4914" spans="1:3">
      <c r="A4914" s="62">
        <v>28921</v>
      </c>
      <c r="B4914">
        <v>0.90800000000000003</v>
      </c>
      <c r="C4914" t="str">
        <f t="shared" si="81"/>
        <v>1979 q1</v>
      </c>
    </row>
    <row r="4915" spans="1:3">
      <c r="A4915" s="62">
        <v>28922</v>
      </c>
      <c r="B4915">
        <v>0.88400000000000001</v>
      </c>
      <c r="C4915" t="str">
        <f t="shared" si="81"/>
        <v>1979 q1</v>
      </c>
    </row>
    <row r="4916" spans="1:3">
      <c r="A4916" s="62">
        <v>28923</v>
      </c>
      <c r="B4916">
        <v>0.871</v>
      </c>
      <c r="C4916" t="str">
        <f t="shared" si="81"/>
        <v>1979 q1</v>
      </c>
    </row>
    <row r="4917" spans="1:3">
      <c r="A4917" s="62">
        <v>28926</v>
      </c>
      <c r="B4917">
        <v>0.86299999999999999</v>
      </c>
      <c r="C4917" t="str">
        <f t="shared" si="81"/>
        <v>1979 q1</v>
      </c>
    </row>
    <row r="4918" spans="1:3">
      <c r="A4918" s="62">
        <v>28927</v>
      </c>
      <c r="B4918">
        <v>0.88400000000000001</v>
      </c>
      <c r="C4918" t="str">
        <f t="shared" si="81"/>
        <v>1979 q1</v>
      </c>
    </row>
    <row r="4919" spans="1:3">
      <c r="A4919" s="62">
        <v>28928</v>
      </c>
      <c r="B4919">
        <v>0.88700000000000001</v>
      </c>
      <c r="C4919" t="str">
        <f t="shared" si="81"/>
        <v>1979 q1</v>
      </c>
    </row>
    <row r="4920" spans="1:3">
      <c r="A4920" s="62">
        <v>28929</v>
      </c>
      <c r="B4920">
        <v>0.89700000000000002</v>
      </c>
      <c r="C4920" t="str">
        <f t="shared" si="81"/>
        <v>1979 q1</v>
      </c>
    </row>
    <row r="4921" spans="1:3">
      <c r="A4921" s="62">
        <v>28930</v>
      </c>
      <c r="B4921">
        <v>0.91500000000000004</v>
      </c>
      <c r="C4921" t="str">
        <f t="shared" si="81"/>
        <v>1979 q1</v>
      </c>
    </row>
    <row r="4922" spans="1:3">
      <c r="A4922" s="62">
        <v>28933</v>
      </c>
      <c r="B4922">
        <v>0.91800000000000004</v>
      </c>
      <c r="C4922" t="str">
        <f t="shared" si="81"/>
        <v>1979 q1</v>
      </c>
    </row>
    <row r="4923" spans="1:3">
      <c r="A4923" s="62">
        <v>28934</v>
      </c>
      <c r="B4923">
        <v>0.93500000000000005</v>
      </c>
      <c r="C4923" t="str">
        <f t="shared" si="81"/>
        <v>1979 q1</v>
      </c>
    </row>
    <row r="4924" spans="1:3">
      <c r="A4924" s="62">
        <v>28935</v>
      </c>
      <c r="B4924">
        <v>0.96399999999999997</v>
      </c>
      <c r="C4924" t="str">
        <f t="shared" si="81"/>
        <v>1979 q1</v>
      </c>
    </row>
    <row r="4925" spans="1:3">
      <c r="A4925" s="62">
        <v>28936</v>
      </c>
      <c r="B4925">
        <v>0.97</v>
      </c>
      <c r="C4925" t="str">
        <f t="shared" si="81"/>
        <v>1979 q1</v>
      </c>
    </row>
    <row r="4926" spans="1:3">
      <c r="A4926" s="62">
        <v>28937</v>
      </c>
      <c r="B4926">
        <v>0.95399999999999996</v>
      </c>
      <c r="C4926" t="str">
        <f t="shared" si="81"/>
        <v>1979 q1</v>
      </c>
    </row>
    <row r="4927" spans="1:3">
      <c r="A4927" s="62">
        <v>28940</v>
      </c>
      <c r="B4927">
        <v>0.97099999999999997</v>
      </c>
      <c r="C4927" t="str">
        <f t="shared" si="81"/>
        <v>1979 q1</v>
      </c>
    </row>
    <row r="4928" spans="1:3">
      <c r="A4928" s="62">
        <v>28941</v>
      </c>
      <c r="B4928">
        <v>0.95250000000000001</v>
      </c>
      <c r="C4928" t="str">
        <f t="shared" si="81"/>
        <v>1979 q1</v>
      </c>
    </row>
    <row r="4929" spans="1:3">
      <c r="A4929" s="62">
        <v>28942</v>
      </c>
      <c r="B4929">
        <v>0.97299999999999998</v>
      </c>
      <c r="C4929" t="str">
        <f t="shared" si="81"/>
        <v>1979 q1</v>
      </c>
    </row>
    <row r="4930" spans="1:3">
      <c r="A4930" s="62">
        <v>28943</v>
      </c>
      <c r="B4930">
        <v>0.95550000000000002</v>
      </c>
      <c r="C4930" t="str">
        <f t="shared" si="81"/>
        <v>1979 q1</v>
      </c>
    </row>
    <row r="4931" spans="1:3">
      <c r="A4931" s="62">
        <v>28944</v>
      </c>
      <c r="B4931">
        <v>0.94599999999999995</v>
      </c>
      <c r="C4931" t="str">
        <f t="shared" si="81"/>
        <v>1979 q1</v>
      </c>
    </row>
    <row r="4932" spans="1:3">
      <c r="A4932" s="62">
        <v>28947</v>
      </c>
      <c r="B4932">
        <v>0.92100000000000004</v>
      </c>
      <c r="C4932" t="str">
        <f t="shared" si="81"/>
        <v>1979 q2</v>
      </c>
    </row>
    <row r="4933" spans="1:3">
      <c r="A4933" s="62">
        <v>28948</v>
      </c>
      <c r="B4933">
        <v>0.90900000000000003</v>
      </c>
      <c r="C4933" t="str">
        <f t="shared" si="81"/>
        <v>1979 q2</v>
      </c>
    </row>
    <row r="4934" spans="1:3">
      <c r="A4934" s="62">
        <v>28949</v>
      </c>
      <c r="B4934">
        <v>0.93799999999999994</v>
      </c>
      <c r="C4934" t="str">
        <f t="shared" si="81"/>
        <v>1979 q2</v>
      </c>
    </row>
    <row r="4935" spans="1:3">
      <c r="A4935" s="62">
        <v>28950</v>
      </c>
      <c r="B4935">
        <v>0.95199999999999996</v>
      </c>
      <c r="C4935" t="str">
        <f t="shared" si="81"/>
        <v>1979 q2</v>
      </c>
    </row>
    <row r="4936" spans="1:3">
      <c r="A4936" s="62">
        <v>28951</v>
      </c>
      <c r="B4936">
        <v>0.96699999999999997</v>
      </c>
      <c r="C4936" t="str">
        <f t="shared" si="81"/>
        <v>1979 q2</v>
      </c>
    </row>
    <row r="4937" spans="1:3">
      <c r="A4937" s="62">
        <v>28954</v>
      </c>
      <c r="B4937">
        <v>0.98899999999999999</v>
      </c>
      <c r="C4937" t="str">
        <f t="shared" si="81"/>
        <v>1979 q2</v>
      </c>
    </row>
    <row r="4938" spans="1:3">
      <c r="A4938" s="62">
        <v>28955</v>
      </c>
      <c r="B4938">
        <v>0.96799999999999997</v>
      </c>
      <c r="C4938" t="str">
        <f t="shared" si="81"/>
        <v>1979 q2</v>
      </c>
    </row>
    <row r="4939" spans="1:3">
      <c r="A4939" s="62">
        <v>28956</v>
      </c>
      <c r="B4939">
        <v>0.94199999999999995</v>
      </c>
      <c r="C4939" t="str">
        <f t="shared" si="81"/>
        <v>1979 q2</v>
      </c>
    </row>
    <row r="4940" spans="1:3">
      <c r="A4940" s="62">
        <v>28957</v>
      </c>
      <c r="B4940">
        <v>0.95899999999999996</v>
      </c>
      <c r="C4940" t="str">
        <f t="shared" si="81"/>
        <v>1979 q2</v>
      </c>
    </row>
    <row r="4941" spans="1:3">
      <c r="A4941" s="62">
        <v>28961</v>
      </c>
      <c r="B4941">
        <v>0.93600000000000005</v>
      </c>
      <c r="C4941" t="str">
        <f t="shared" si="81"/>
        <v>1979 q2</v>
      </c>
    </row>
    <row r="4942" spans="1:3">
      <c r="A4942" s="62">
        <v>28962</v>
      </c>
      <c r="B4942">
        <v>0.93149999999999999</v>
      </c>
      <c r="C4942" t="str">
        <f t="shared" si="81"/>
        <v>1979 q2</v>
      </c>
    </row>
    <row r="4943" spans="1:3">
      <c r="A4943" s="62">
        <v>28963</v>
      </c>
      <c r="B4943">
        <v>0.91600000000000004</v>
      </c>
      <c r="C4943" t="str">
        <f t="shared" si="81"/>
        <v>1979 q2</v>
      </c>
    </row>
    <row r="4944" spans="1:3">
      <c r="A4944" s="62">
        <v>28964</v>
      </c>
      <c r="B4944">
        <v>0.88700000000000001</v>
      </c>
      <c r="C4944" t="str">
        <f t="shared" si="81"/>
        <v>1979 q2</v>
      </c>
    </row>
    <row r="4945" spans="1:3">
      <c r="A4945" s="62">
        <v>28965</v>
      </c>
      <c r="B4945">
        <v>0.88500000000000001</v>
      </c>
      <c r="C4945" t="str">
        <f t="shared" si="81"/>
        <v>1979 q2</v>
      </c>
    </row>
    <row r="4946" spans="1:3">
      <c r="A4946" s="62">
        <v>28968</v>
      </c>
      <c r="B4946">
        <v>0.90949999999999998</v>
      </c>
      <c r="C4946" t="str">
        <f t="shared" ref="C4946:C5009" si="82">YEAR(A4946)&amp;" q"&amp;ROUNDUP(MONTH(A4946)/3,0)</f>
        <v>1979 q2</v>
      </c>
    </row>
    <row r="4947" spans="1:3">
      <c r="A4947" s="62">
        <v>28969</v>
      </c>
      <c r="B4947">
        <v>0.88500000000000001</v>
      </c>
      <c r="C4947" t="str">
        <f t="shared" si="82"/>
        <v>1979 q2</v>
      </c>
    </row>
    <row r="4948" spans="1:3">
      <c r="A4948" s="62">
        <v>28970</v>
      </c>
      <c r="B4948">
        <v>0.87660000000000005</v>
      </c>
      <c r="C4948" t="str">
        <f t="shared" si="82"/>
        <v>1979 q2</v>
      </c>
    </row>
    <row r="4949" spans="1:3">
      <c r="A4949" s="62">
        <v>28971</v>
      </c>
      <c r="B4949">
        <v>0.89600000000000002</v>
      </c>
      <c r="C4949" t="str">
        <f t="shared" si="82"/>
        <v>1979 q2</v>
      </c>
    </row>
    <row r="4950" spans="1:3">
      <c r="A4950" s="62">
        <v>28972</v>
      </c>
      <c r="B4950">
        <v>0.91220000000000001</v>
      </c>
      <c r="C4950" t="str">
        <f t="shared" si="82"/>
        <v>1979 q2</v>
      </c>
    </row>
    <row r="4951" spans="1:3">
      <c r="A4951" s="62">
        <v>28975</v>
      </c>
      <c r="B4951">
        <v>0.93400000000000005</v>
      </c>
      <c r="C4951" t="str">
        <f t="shared" si="82"/>
        <v>1979 q2</v>
      </c>
    </row>
    <row r="4952" spans="1:3">
      <c r="A4952" s="62">
        <v>28976</v>
      </c>
      <c r="B4952">
        <v>0.91500000000000004</v>
      </c>
      <c r="C4952" t="str">
        <f t="shared" si="82"/>
        <v>1979 q2</v>
      </c>
    </row>
    <row r="4953" spans="1:3">
      <c r="A4953" s="62">
        <v>28977</v>
      </c>
      <c r="B4953">
        <v>0.89600000000000002</v>
      </c>
      <c r="C4953" t="str">
        <f t="shared" si="82"/>
        <v>1979 q2</v>
      </c>
    </row>
    <row r="4954" spans="1:3">
      <c r="A4954" s="62">
        <v>28978</v>
      </c>
      <c r="B4954">
        <v>0.89800000000000002</v>
      </c>
      <c r="C4954" t="str">
        <f t="shared" si="82"/>
        <v>1979 q2</v>
      </c>
    </row>
    <row r="4955" spans="1:3">
      <c r="A4955" s="62">
        <v>28979</v>
      </c>
      <c r="B4955">
        <v>0.87849999999999995</v>
      </c>
      <c r="C4955" t="str">
        <f t="shared" si="82"/>
        <v>1979 q2</v>
      </c>
    </row>
    <row r="4956" spans="1:3">
      <c r="A4956" s="62">
        <v>28982</v>
      </c>
      <c r="B4956">
        <v>0.86499999999999999</v>
      </c>
      <c r="C4956" t="str">
        <f t="shared" si="82"/>
        <v>1979 q2</v>
      </c>
    </row>
    <row r="4957" spans="1:3">
      <c r="A4957" s="62">
        <v>28983</v>
      </c>
      <c r="B4957">
        <v>0.85850000000000004</v>
      </c>
      <c r="C4957" t="str">
        <f t="shared" si="82"/>
        <v>1979 q2</v>
      </c>
    </row>
    <row r="4958" spans="1:3">
      <c r="A4958" s="62">
        <v>28984</v>
      </c>
      <c r="B4958">
        <v>0.87749999999999995</v>
      </c>
      <c r="C4958" t="str">
        <f t="shared" si="82"/>
        <v>1979 q2</v>
      </c>
    </row>
    <row r="4959" spans="1:3">
      <c r="A4959" s="62">
        <v>28985</v>
      </c>
      <c r="B4959">
        <v>0.85099999999999998</v>
      </c>
      <c r="C4959" t="str">
        <f t="shared" si="82"/>
        <v>1979 q2</v>
      </c>
    </row>
    <row r="4960" spans="1:3">
      <c r="A4960" s="62">
        <v>28986</v>
      </c>
      <c r="B4960">
        <v>0.82599999999999996</v>
      </c>
      <c r="C4960" t="str">
        <f t="shared" si="82"/>
        <v>1979 q2</v>
      </c>
    </row>
    <row r="4961" spans="1:3">
      <c r="A4961" s="62">
        <v>28989</v>
      </c>
      <c r="B4961">
        <v>0.83250000000000002</v>
      </c>
      <c r="C4961" t="str">
        <f t="shared" si="82"/>
        <v>1979 q2</v>
      </c>
    </row>
    <row r="4962" spans="1:3">
      <c r="A4962" s="62">
        <v>28990</v>
      </c>
      <c r="B4962">
        <v>0.84299999999999997</v>
      </c>
      <c r="C4962" t="str">
        <f t="shared" si="82"/>
        <v>1979 q2</v>
      </c>
    </row>
    <row r="4963" spans="1:3">
      <c r="A4963" s="62">
        <v>28991</v>
      </c>
      <c r="B4963">
        <v>0.82799999999999996</v>
      </c>
      <c r="C4963" t="str">
        <f t="shared" si="82"/>
        <v>1979 q2</v>
      </c>
    </row>
    <row r="4964" spans="1:3">
      <c r="A4964" s="62">
        <v>28992</v>
      </c>
      <c r="B4964">
        <v>0.84899999999999998</v>
      </c>
      <c r="C4964" t="str">
        <f t="shared" si="82"/>
        <v>1979 q2</v>
      </c>
    </row>
    <row r="4965" spans="1:3">
      <c r="A4965" s="62">
        <v>28993</v>
      </c>
      <c r="B4965">
        <v>0.85150000000000003</v>
      </c>
      <c r="C4965" t="str">
        <f t="shared" si="82"/>
        <v>1979 q2</v>
      </c>
    </row>
    <row r="4966" spans="1:3">
      <c r="A4966" s="62">
        <v>28996</v>
      </c>
      <c r="B4966">
        <v>0.84750000000000003</v>
      </c>
      <c r="C4966" t="str">
        <f t="shared" si="82"/>
        <v>1979 q2</v>
      </c>
    </row>
    <row r="4967" spans="1:3">
      <c r="A4967" s="62">
        <v>28997</v>
      </c>
      <c r="B4967">
        <v>0.85650000000000004</v>
      </c>
      <c r="C4967" t="str">
        <f t="shared" si="82"/>
        <v>1979 q2</v>
      </c>
    </row>
    <row r="4968" spans="1:3">
      <c r="A4968" s="62">
        <v>28998</v>
      </c>
      <c r="B4968">
        <v>0.84599999999999997</v>
      </c>
      <c r="C4968" t="str">
        <f t="shared" si="82"/>
        <v>1979 q2</v>
      </c>
    </row>
    <row r="4969" spans="1:3">
      <c r="A4969" s="62">
        <v>28999</v>
      </c>
      <c r="B4969">
        <v>0.84250000000000003</v>
      </c>
      <c r="C4969" t="str">
        <f t="shared" si="82"/>
        <v>1979 q2</v>
      </c>
    </row>
    <row r="4970" spans="1:3">
      <c r="A4970" s="62">
        <v>29000</v>
      </c>
      <c r="B4970">
        <v>0.82499999999999996</v>
      </c>
      <c r="C4970" t="str">
        <f t="shared" si="82"/>
        <v>1979 q2</v>
      </c>
    </row>
    <row r="4971" spans="1:3">
      <c r="A4971" s="62">
        <v>29004</v>
      </c>
      <c r="B4971">
        <v>0.79700000000000004</v>
      </c>
      <c r="C4971" t="str">
        <f t="shared" si="82"/>
        <v>1979 q2</v>
      </c>
    </row>
    <row r="4972" spans="1:3">
      <c r="A4972" s="62">
        <v>29005</v>
      </c>
      <c r="B4972">
        <v>0.79400000000000004</v>
      </c>
      <c r="C4972" t="str">
        <f t="shared" si="82"/>
        <v>1979 q2</v>
      </c>
    </row>
    <row r="4973" spans="1:3">
      <c r="A4973" s="62">
        <v>29006</v>
      </c>
      <c r="B4973">
        <v>0.79500000000000004</v>
      </c>
      <c r="C4973" t="str">
        <f t="shared" si="82"/>
        <v>1979 q2</v>
      </c>
    </row>
    <row r="4974" spans="1:3">
      <c r="A4974" s="62">
        <v>29007</v>
      </c>
      <c r="B4974">
        <v>0.79300000000000004</v>
      </c>
      <c r="C4974" t="str">
        <f t="shared" si="82"/>
        <v>1979 q2</v>
      </c>
    </row>
    <row r="4975" spans="1:3">
      <c r="A4975" s="62">
        <v>29010</v>
      </c>
      <c r="B4975">
        <v>0.80300000000000005</v>
      </c>
      <c r="C4975" t="str">
        <f t="shared" si="82"/>
        <v>1979 q2</v>
      </c>
    </row>
    <row r="4976" spans="1:3">
      <c r="A4976" s="62">
        <v>29011</v>
      </c>
      <c r="B4976">
        <v>0.80800000000000005</v>
      </c>
      <c r="C4976" t="str">
        <f t="shared" si="82"/>
        <v>1979 q2</v>
      </c>
    </row>
    <row r="4977" spans="1:3">
      <c r="A4977" s="62">
        <v>29012</v>
      </c>
      <c r="B4977">
        <v>0.79500000000000004</v>
      </c>
      <c r="C4977" t="str">
        <f t="shared" si="82"/>
        <v>1979 q2</v>
      </c>
    </row>
    <row r="4978" spans="1:3">
      <c r="A4978" s="62">
        <v>29013</v>
      </c>
      <c r="B4978">
        <v>0.82</v>
      </c>
      <c r="C4978" t="str">
        <f t="shared" si="82"/>
        <v>1979 q2</v>
      </c>
    </row>
    <row r="4979" spans="1:3">
      <c r="A4979" s="62">
        <v>29014</v>
      </c>
      <c r="B4979">
        <v>0.83099999999999996</v>
      </c>
      <c r="C4979" t="str">
        <f t="shared" si="82"/>
        <v>1979 q2</v>
      </c>
    </row>
    <row r="4980" spans="1:3">
      <c r="A4980" s="62">
        <v>29017</v>
      </c>
      <c r="B4980">
        <v>0.82</v>
      </c>
      <c r="C4980" t="str">
        <f t="shared" si="82"/>
        <v>1979 q2</v>
      </c>
    </row>
    <row r="4981" spans="1:3">
      <c r="A4981" s="62">
        <v>29018</v>
      </c>
      <c r="B4981">
        <v>0.8145</v>
      </c>
      <c r="C4981" t="str">
        <f t="shared" si="82"/>
        <v>1979 q2</v>
      </c>
    </row>
    <row r="4982" spans="1:3">
      <c r="A4982" s="62">
        <v>29019</v>
      </c>
      <c r="B4982">
        <v>0.84450000000000003</v>
      </c>
      <c r="C4982" t="str">
        <f t="shared" si="82"/>
        <v>1979 q2</v>
      </c>
    </row>
    <row r="4983" spans="1:3">
      <c r="A4983" s="62">
        <v>29020</v>
      </c>
      <c r="B4983">
        <v>0.84699999999999998</v>
      </c>
      <c r="C4983" t="str">
        <f t="shared" si="82"/>
        <v>1979 q2</v>
      </c>
    </row>
    <row r="4984" spans="1:3">
      <c r="A4984" s="62">
        <v>29021</v>
      </c>
      <c r="B4984">
        <v>0.83499999999999996</v>
      </c>
      <c r="C4984" t="str">
        <f t="shared" si="82"/>
        <v>1979 q2</v>
      </c>
    </row>
    <row r="4985" spans="1:3">
      <c r="A4985" s="62">
        <v>29024</v>
      </c>
      <c r="B4985">
        <v>0.84099999999999997</v>
      </c>
      <c r="C4985" t="str">
        <f t="shared" si="82"/>
        <v>1979 q2</v>
      </c>
    </row>
    <row r="4986" spans="1:3">
      <c r="A4986" s="62">
        <v>29025</v>
      </c>
      <c r="B4986">
        <v>0.871</v>
      </c>
      <c r="C4986" t="str">
        <f t="shared" si="82"/>
        <v>1979 q2</v>
      </c>
    </row>
    <row r="4987" spans="1:3">
      <c r="A4987" s="62">
        <v>29026</v>
      </c>
      <c r="B4987">
        <v>0.86199999999999999</v>
      </c>
      <c r="C4987" t="str">
        <f t="shared" si="82"/>
        <v>1979 q2</v>
      </c>
    </row>
    <row r="4988" spans="1:3">
      <c r="A4988" s="62">
        <v>29027</v>
      </c>
      <c r="B4988">
        <v>0.85</v>
      </c>
      <c r="C4988" t="str">
        <f t="shared" si="82"/>
        <v>1979 q2</v>
      </c>
    </row>
    <row r="4989" spans="1:3">
      <c r="A4989" s="62">
        <v>29028</v>
      </c>
      <c r="B4989">
        <v>0.87050000000000005</v>
      </c>
      <c r="C4989" t="str">
        <f t="shared" si="82"/>
        <v>1979 q2</v>
      </c>
    </row>
    <row r="4990" spans="1:3">
      <c r="A4990" s="62">
        <v>29031</v>
      </c>
      <c r="B4990">
        <v>0.85499999999999998</v>
      </c>
      <c r="C4990" t="str">
        <f t="shared" si="82"/>
        <v>1979 q2</v>
      </c>
    </row>
    <row r="4991" spans="1:3">
      <c r="A4991" s="62">
        <v>29032</v>
      </c>
      <c r="B4991">
        <v>0.85870000000000002</v>
      </c>
      <c r="C4991" t="str">
        <f t="shared" si="82"/>
        <v>1979 q2</v>
      </c>
    </row>
    <row r="4992" spans="1:3">
      <c r="A4992" s="62">
        <v>29033</v>
      </c>
      <c r="B4992">
        <v>0.83</v>
      </c>
      <c r="C4992" t="str">
        <f t="shared" si="82"/>
        <v>1979 q2</v>
      </c>
    </row>
    <row r="4993" spans="1:3">
      <c r="A4993" s="62">
        <v>29034</v>
      </c>
      <c r="B4993">
        <v>0.80500000000000005</v>
      </c>
      <c r="C4993" t="str">
        <f t="shared" si="82"/>
        <v>1979 q2</v>
      </c>
    </row>
    <row r="4994" spans="1:3">
      <c r="A4994" s="62">
        <v>29035</v>
      </c>
      <c r="B4994">
        <v>0.81279999999999997</v>
      </c>
      <c r="C4994" t="str">
        <f t="shared" si="82"/>
        <v>1979 q2</v>
      </c>
    </row>
    <row r="4995" spans="1:3">
      <c r="A4995" s="62">
        <v>29038</v>
      </c>
      <c r="B4995">
        <v>0.78300000000000003</v>
      </c>
      <c r="C4995" t="str">
        <f t="shared" si="82"/>
        <v>1979 q3</v>
      </c>
    </row>
    <row r="4996" spans="1:3">
      <c r="A4996" s="62">
        <v>29039</v>
      </c>
      <c r="B4996">
        <v>0.80200000000000005</v>
      </c>
      <c r="C4996" t="str">
        <f t="shared" si="82"/>
        <v>1979 q3</v>
      </c>
    </row>
    <row r="4997" spans="1:3">
      <c r="A4997" s="62">
        <v>29041</v>
      </c>
      <c r="B4997">
        <v>0.82050000000000001</v>
      </c>
      <c r="C4997" t="str">
        <f t="shared" si="82"/>
        <v>1979 q3</v>
      </c>
    </row>
    <row r="4998" spans="1:3">
      <c r="A4998" s="62">
        <v>29042</v>
      </c>
      <c r="B4998">
        <v>0.8075</v>
      </c>
      <c r="C4998" t="str">
        <f t="shared" si="82"/>
        <v>1979 q3</v>
      </c>
    </row>
    <row r="4999" spans="1:3">
      <c r="A4999" s="62">
        <v>29045</v>
      </c>
      <c r="B4999">
        <v>0.80100000000000005</v>
      </c>
      <c r="C4999" t="str">
        <f t="shared" si="82"/>
        <v>1979 q3</v>
      </c>
    </row>
    <row r="5000" spans="1:3">
      <c r="A5000" s="62">
        <v>29046</v>
      </c>
      <c r="B5000">
        <v>0.81100000000000005</v>
      </c>
      <c r="C5000" t="str">
        <f t="shared" si="82"/>
        <v>1979 q3</v>
      </c>
    </row>
    <row r="5001" spans="1:3">
      <c r="A5001" s="62">
        <v>29047</v>
      </c>
      <c r="B5001">
        <v>0.81899999999999995</v>
      </c>
      <c r="C5001" t="str">
        <f t="shared" si="82"/>
        <v>1979 q3</v>
      </c>
    </row>
    <row r="5002" spans="1:3">
      <c r="A5002" s="62">
        <v>29048</v>
      </c>
      <c r="B5002">
        <v>0.81499999999999995</v>
      </c>
      <c r="C5002" t="str">
        <f t="shared" si="82"/>
        <v>1979 q3</v>
      </c>
    </row>
    <row r="5003" spans="1:3">
      <c r="A5003" s="62">
        <v>29049</v>
      </c>
      <c r="B5003">
        <v>0.79749999999999999</v>
      </c>
      <c r="C5003" t="str">
        <f t="shared" si="82"/>
        <v>1979 q3</v>
      </c>
    </row>
    <row r="5004" spans="1:3">
      <c r="A5004" s="62">
        <v>29052</v>
      </c>
      <c r="B5004">
        <v>0.80800000000000005</v>
      </c>
      <c r="C5004" t="str">
        <f t="shared" si="82"/>
        <v>1979 q3</v>
      </c>
    </row>
    <row r="5005" spans="1:3">
      <c r="A5005" s="62">
        <v>29053</v>
      </c>
      <c r="B5005">
        <v>0.81200000000000006</v>
      </c>
      <c r="C5005" t="str">
        <f t="shared" si="82"/>
        <v>1979 q3</v>
      </c>
    </row>
    <row r="5006" spans="1:3">
      <c r="A5006" s="62">
        <v>29054</v>
      </c>
      <c r="B5006">
        <v>0.80200000000000005</v>
      </c>
      <c r="C5006" t="str">
        <f t="shared" si="82"/>
        <v>1979 q3</v>
      </c>
    </row>
    <row r="5007" spans="1:3">
      <c r="A5007" s="62">
        <v>29055</v>
      </c>
      <c r="B5007">
        <v>0.79700000000000004</v>
      </c>
      <c r="C5007" t="str">
        <f t="shared" si="82"/>
        <v>1979 q3</v>
      </c>
    </row>
    <row r="5008" spans="1:3">
      <c r="A5008" s="62">
        <v>29056</v>
      </c>
      <c r="B5008">
        <v>0.81850000000000001</v>
      </c>
      <c r="C5008" t="str">
        <f t="shared" si="82"/>
        <v>1979 q3</v>
      </c>
    </row>
    <row r="5009" spans="1:3">
      <c r="A5009" s="62">
        <v>29059</v>
      </c>
      <c r="B5009">
        <v>0.82599999999999996</v>
      </c>
      <c r="C5009" t="str">
        <f t="shared" si="82"/>
        <v>1979 q3</v>
      </c>
    </row>
    <row r="5010" spans="1:3">
      <c r="A5010" s="62">
        <v>29060</v>
      </c>
      <c r="B5010">
        <v>0.84</v>
      </c>
      <c r="C5010" t="str">
        <f t="shared" ref="C5010:C5073" si="83">YEAR(A5010)&amp;" q"&amp;ROUNDUP(MONTH(A5010)/3,0)</f>
        <v>1979 q3</v>
      </c>
    </row>
    <row r="5011" spans="1:3">
      <c r="A5011" s="62">
        <v>29061</v>
      </c>
      <c r="B5011">
        <v>0.84650000000000003</v>
      </c>
      <c r="C5011" t="str">
        <f t="shared" si="83"/>
        <v>1979 q3</v>
      </c>
    </row>
    <row r="5012" spans="1:3">
      <c r="A5012" s="62">
        <v>29062</v>
      </c>
      <c r="B5012">
        <v>0.86199999999999999</v>
      </c>
      <c r="C5012" t="str">
        <f t="shared" si="83"/>
        <v>1979 q3</v>
      </c>
    </row>
    <row r="5013" spans="1:3">
      <c r="A5013" s="62">
        <v>29063</v>
      </c>
      <c r="B5013">
        <v>0.84699999999999998</v>
      </c>
      <c r="C5013" t="str">
        <f t="shared" si="83"/>
        <v>1979 q3</v>
      </c>
    </row>
    <row r="5014" spans="1:3">
      <c r="A5014" s="62">
        <v>29066</v>
      </c>
      <c r="B5014">
        <v>0.81699999999999995</v>
      </c>
      <c r="C5014" t="str">
        <f t="shared" si="83"/>
        <v>1979 q3</v>
      </c>
    </row>
    <row r="5015" spans="1:3">
      <c r="A5015" s="62">
        <v>29067</v>
      </c>
      <c r="B5015">
        <v>0.81299999999999994</v>
      </c>
      <c r="C5015" t="str">
        <f t="shared" si="83"/>
        <v>1979 q3</v>
      </c>
    </row>
    <row r="5016" spans="1:3">
      <c r="A5016" s="62">
        <v>29068</v>
      </c>
      <c r="B5016">
        <v>0.84050000000000002</v>
      </c>
      <c r="C5016" t="str">
        <f t="shared" si="83"/>
        <v>1979 q3</v>
      </c>
    </row>
    <row r="5017" spans="1:3">
      <c r="A5017" s="62">
        <v>29069</v>
      </c>
      <c r="B5017">
        <v>0.85450000000000004</v>
      </c>
      <c r="C5017" t="str">
        <f t="shared" si="83"/>
        <v>1979 q3</v>
      </c>
    </row>
    <row r="5018" spans="1:3">
      <c r="A5018" s="62">
        <v>29070</v>
      </c>
      <c r="B5018">
        <v>0.84499999999999997</v>
      </c>
      <c r="C5018" t="str">
        <f t="shared" si="83"/>
        <v>1979 q3</v>
      </c>
    </row>
    <row r="5019" spans="1:3">
      <c r="A5019" s="62">
        <v>29073</v>
      </c>
      <c r="B5019">
        <v>0.84899999999999998</v>
      </c>
      <c r="C5019" t="str">
        <f t="shared" si="83"/>
        <v>1979 q3</v>
      </c>
    </row>
    <row r="5020" spans="1:3">
      <c r="A5020" s="62">
        <v>29074</v>
      </c>
      <c r="B5020">
        <v>0.85650000000000004</v>
      </c>
      <c r="C5020" t="str">
        <f t="shared" si="83"/>
        <v>1979 q3</v>
      </c>
    </row>
    <row r="5021" spans="1:3">
      <c r="A5021" s="62">
        <v>29075</v>
      </c>
      <c r="B5021">
        <v>0.873</v>
      </c>
      <c r="C5021" t="str">
        <f t="shared" si="83"/>
        <v>1979 q3</v>
      </c>
    </row>
    <row r="5022" spans="1:3">
      <c r="A5022" s="62">
        <v>29076</v>
      </c>
      <c r="B5022">
        <v>0.879</v>
      </c>
      <c r="C5022" t="str">
        <f t="shared" si="83"/>
        <v>1979 q3</v>
      </c>
    </row>
    <row r="5023" spans="1:3">
      <c r="A5023" s="62">
        <v>29077</v>
      </c>
      <c r="B5023">
        <v>0.87849999999999995</v>
      </c>
      <c r="C5023" t="str">
        <f t="shared" si="83"/>
        <v>1979 q3</v>
      </c>
    </row>
    <row r="5024" spans="1:3">
      <c r="A5024" s="62">
        <v>29080</v>
      </c>
      <c r="B5024">
        <v>0.86699999999999999</v>
      </c>
      <c r="C5024" t="str">
        <f t="shared" si="83"/>
        <v>1979 q3</v>
      </c>
    </row>
    <row r="5025" spans="1:3">
      <c r="A5025" s="62">
        <v>29081</v>
      </c>
      <c r="B5025">
        <v>0.89700000000000002</v>
      </c>
      <c r="C5025" t="str">
        <f t="shared" si="83"/>
        <v>1979 q3</v>
      </c>
    </row>
    <row r="5026" spans="1:3">
      <c r="A5026" s="62">
        <v>29082</v>
      </c>
      <c r="B5026">
        <v>0.89600000000000002</v>
      </c>
      <c r="C5026" t="str">
        <f t="shared" si="83"/>
        <v>1979 q3</v>
      </c>
    </row>
    <row r="5027" spans="1:3">
      <c r="A5027" s="62">
        <v>29083</v>
      </c>
      <c r="B5027">
        <v>0.88500000000000001</v>
      </c>
      <c r="C5027" t="str">
        <f t="shared" si="83"/>
        <v>1979 q3</v>
      </c>
    </row>
    <row r="5028" spans="1:3">
      <c r="A5028" s="62">
        <v>29084</v>
      </c>
      <c r="B5028">
        <v>0.88400000000000001</v>
      </c>
      <c r="C5028" t="str">
        <f t="shared" si="83"/>
        <v>1979 q3</v>
      </c>
    </row>
    <row r="5029" spans="1:3">
      <c r="A5029" s="62">
        <v>29087</v>
      </c>
      <c r="B5029">
        <v>0.86199999999999999</v>
      </c>
      <c r="C5029" t="str">
        <f t="shared" si="83"/>
        <v>1979 q3</v>
      </c>
    </row>
    <row r="5030" spans="1:3">
      <c r="A5030" s="62">
        <v>29088</v>
      </c>
      <c r="B5030">
        <v>0.879</v>
      </c>
      <c r="C5030" t="str">
        <f t="shared" si="83"/>
        <v>1979 q3</v>
      </c>
    </row>
    <row r="5031" spans="1:3">
      <c r="A5031" s="62">
        <v>29089</v>
      </c>
      <c r="B5031">
        <v>0.86399999999999999</v>
      </c>
      <c r="C5031" t="str">
        <f t="shared" si="83"/>
        <v>1979 q3</v>
      </c>
    </row>
    <row r="5032" spans="1:3">
      <c r="A5032" s="62">
        <v>29090</v>
      </c>
      <c r="B5032">
        <v>0.87350000000000005</v>
      </c>
      <c r="C5032" t="str">
        <f t="shared" si="83"/>
        <v>1979 q3</v>
      </c>
    </row>
    <row r="5033" spans="1:3">
      <c r="A5033" s="62">
        <v>29091</v>
      </c>
      <c r="B5033">
        <v>0.88900000000000001</v>
      </c>
      <c r="C5033" t="str">
        <f t="shared" si="83"/>
        <v>1979 q3</v>
      </c>
    </row>
    <row r="5034" spans="1:3">
      <c r="A5034" s="62">
        <v>29094</v>
      </c>
      <c r="B5034">
        <v>0.88</v>
      </c>
      <c r="C5034" t="str">
        <f t="shared" si="83"/>
        <v>1979 q3</v>
      </c>
    </row>
    <row r="5035" spans="1:3">
      <c r="A5035" s="62">
        <v>29095</v>
      </c>
      <c r="B5035">
        <v>0.89249999999999996</v>
      </c>
      <c r="C5035" t="str">
        <f t="shared" si="83"/>
        <v>1979 q3</v>
      </c>
    </row>
    <row r="5036" spans="1:3">
      <c r="A5036" s="62">
        <v>29096</v>
      </c>
      <c r="B5036">
        <v>0.91479999999999995</v>
      </c>
      <c r="C5036" t="str">
        <f t="shared" si="83"/>
        <v>1979 q3</v>
      </c>
    </row>
    <row r="5037" spans="1:3">
      <c r="A5037" s="62">
        <v>29097</v>
      </c>
      <c r="B5037">
        <v>0.92490000000000006</v>
      </c>
      <c r="C5037" t="str">
        <f t="shared" si="83"/>
        <v>1979 q3</v>
      </c>
    </row>
    <row r="5038" spans="1:3">
      <c r="A5038" s="62">
        <v>29098</v>
      </c>
      <c r="B5038">
        <v>0.91679999999999995</v>
      </c>
      <c r="C5038" t="str">
        <f t="shared" si="83"/>
        <v>1979 q3</v>
      </c>
    </row>
    <row r="5039" spans="1:3">
      <c r="A5039" s="62">
        <v>29102</v>
      </c>
      <c r="B5039">
        <v>0.92300000000000004</v>
      </c>
      <c r="C5039" t="str">
        <f t="shared" si="83"/>
        <v>1979 q3</v>
      </c>
    </row>
    <row r="5040" spans="1:3">
      <c r="A5040" s="62">
        <v>29103</v>
      </c>
      <c r="B5040">
        <v>0.92549999999999999</v>
      </c>
      <c r="C5040" t="str">
        <f t="shared" si="83"/>
        <v>1979 q3</v>
      </c>
    </row>
    <row r="5041" spans="1:3">
      <c r="A5041" s="62">
        <v>29104</v>
      </c>
      <c r="B5041">
        <v>0.90500000000000003</v>
      </c>
      <c r="C5041" t="str">
        <f t="shared" si="83"/>
        <v>1979 q3</v>
      </c>
    </row>
    <row r="5042" spans="1:3">
      <c r="A5042" s="62">
        <v>29105</v>
      </c>
      <c r="B5042">
        <v>0.89149999999999996</v>
      </c>
      <c r="C5042" t="str">
        <f t="shared" si="83"/>
        <v>1979 q3</v>
      </c>
    </row>
    <row r="5043" spans="1:3">
      <c r="A5043" s="62">
        <v>29108</v>
      </c>
      <c r="B5043">
        <v>0.91400000000000003</v>
      </c>
      <c r="C5043" t="str">
        <f t="shared" si="83"/>
        <v>1979 q3</v>
      </c>
    </row>
    <row r="5044" spans="1:3">
      <c r="A5044" s="62">
        <v>29109</v>
      </c>
      <c r="B5044">
        <v>0.91</v>
      </c>
      <c r="C5044" t="str">
        <f t="shared" si="83"/>
        <v>1979 q3</v>
      </c>
    </row>
    <row r="5045" spans="1:3">
      <c r="A5045" s="62">
        <v>29110</v>
      </c>
      <c r="B5045">
        <v>0.88200000000000001</v>
      </c>
      <c r="C5045" t="str">
        <f t="shared" si="83"/>
        <v>1979 q3</v>
      </c>
    </row>
    <row r="5046" spans="1:3">
      <c r="A5046" s="62">
        <v>29111</v>
      </c>
      <c r="B5046">
        <v>0.89049999999999996</v>
      </c>
      <c r="C5046" t="str">
        <f t="shared" si="83"/>
        <v>1979 q3</v>
      </c>
    </row>
    <row r="5047" spans="1:3">
      <c r="A5047" s="62">
        <v>29112</v>
      </c>
      <c r="B5047">
        <v>0.86399999999999999</v>
      </c>
      <c r="C5047" t="str">
        <f t="shared" si="83"/>
        <v>1979 q3</v>
      </c>
    </row>
    <row r="5048" spans="1:3">
      <c r="A5048" s="62">
        <v>29115</v>
      </c>
      <c r="B5048">
        <v>0.878</v>
      </c>
      <c r="C5048" t="str">
        <f t="shared" si="83"/>
        <v>1979 q3</v>
      </c>
    </row>
    <row r="5049" spans="1:3">
      <c r="A5049" s="62">
        <v>29116</v>
      </c>
      <c r="B5049">
        <v>0.85499999999999998</v>
      </c>
      <c r="C5049" t="str">
        <f t="shared" si="83"/>
        <v>1979 q3</v>
      </c>
    </row>
    <row r="5050" spans="1:3">
      <c r="A5050" s="62">
        <v>29117</v>
      </c>
      <c r="B5050">
        <v>0.87</v>
      </c>
      <c r="C5050" t="str">
        <f t="shared" si="83"/>
        <v>1979 q3</v>
      </c>
    </row>
    <row r="5051" spans="1:3">
      <c r="A5051" s="62">
        <v>29118</v>
      </c>
      <c r="B5051">
        <v>0.875</v>
      </c>
      <c r="C5051" t="str">
        <f t="shared" si="83"/>
        <v>1979 q3</v>
      </c>
    </row>
    <row r="5052" spans="1:3">
      <c r="A5052" s="62">
        <v>29119</v>
      </c>
      <c r="B5052">
        <v>0.90500000000000003</v>
      </c>
      <c r="C5052" t="str">
        <f t="shared" si="83"/>
        <v>1979 q3</v>
      </c>
    </row>
    <row r="5053" spans="1:3">
      <c r="A5053" s="62">
        <v>29122</v>
      </c>
      <c r="B5053">
        <v>0.93500000000000005</v>
      </c>
      <c r="C5053" t="str">
        <f t="shared" si="83"/>
        <v>1979 q3</v>
      </c>
    </row>
    <row r="5054" spans="1:3">
      <c r="A5054" s="62">
        <v>29123</v>
      </c>
      <c r="B5054">
        <v>0.98</v>
      </c>
      <c r="C5054" t="str">
        <f t="shared" si="83"/>
        <v>1979 q3</v>
      </c>
    </row>
    <row r="5055" spans="1:3">
      <c r="A5055" s="62">
        <v>29124</v>
      </c>
      <c r="B5055">
        <v>1.04</v>
      </c>
      <c r="C5055" t="str">
        <f t="shared" si="83"/>
        <v>1979 q3</v>
      </c>
    </row>
    <row r="5056" spans="1:3">
      <c r="A5056" s="62">
        <v>29125</v>
      </c>
      <c r="B5056">
        <v>1.1000000000000001</v>
      </c>
      <c r="C5056" t="str">
        <f t="shared" si="83"/>
        <v>1979 q3</v>
      </c>
    </row>
    <row r="5057" spans="1:3">
      <c r="A5057" s="62">
        <v>29126</v>
      </c>
      <c r="B5057">
        <v>1.07</v>
      </c>
      <c r="C5057" t="str">
        <f t="shared" si="83"/>
        <v>1979 q3</v>
      </c>
    </row>
    <row r="5058" spans="1:3">
      <c r="A5058" s="62">
        <v>29129</v>
      </c>
      <c r="B5058">
        <v>1.1299999999999999</v>
      </c>
      <c r="C5058" t="str">
        <f t="shared" si="83"/>
        <v>1979 q4</v>
      </c>
    </row>
    <row r="5059" spans="1:3">
      <c r="A5059" s="62">
        <v>29130</v>
      </c>
      <c r="B5059">
        <v>1.07</v>
      </c>
      <c r="C5059" t="str">
        <f t="shared" si="83"/>
        <v>1979 q4</v>
      </c>
    </row>
    <row r="5060" spans="1:3">
      <c r="A5060" s="62">
        <v>29131</v>
      </c>
      <c r="B5060">
        <v>1.016</v>
      </c>
      <c r="C5060" t="str">
        <f t="shared" si="83"/>
        <v>1979 q4</v>
      </c>
    </row>
    <row r="5061" spans="1:3">
      <c r="A5061" s="62">
        <v>29132</v>
      </c>
      <c r="B5061">
        <v>1.0049999999999999</v>
      </c>
      <c r="C5061" t="str">
        <f t="shared" si="83"/>
        <v>1979 q4</v>
      </c>
    </row>
    <row r="5062" spans="1:3">
      <c r="A5062" s="62">
        <v>29133</v>
      </c>
      <c r="B5062">
        <v>1.0349999999999999</v>
      </c>
      <c r="C5062" t="str">
        <f t="shared" si="83"/>
        <v>1979 q4</v>
      </c>
    </row>
    <row r="5063" spans="1:3">
      <c r="A5063" s="62">
        <v>29136</v>
      </c>
      <c r="B5063">
        <v>1.0049999999999999</v>
      </c>
      <c r="C5063" t="str">
        <f t="shared" si="83"/>
        <v>1979 q4</v>
      </c>
    </row>
    <row r="5064" spans="1:3">
      <c r="A5064" s="62">
        <v>29137</v>
      </c>
      <c r="B5064">
        <v>0.96</v>
      </c>
      <c r="C5064" t="str">
        <f t="shared" si="83"/>
        <v>1979 q4</v>
      </c>
    </row>
    <row r="5065" spans="1:3">
      <c r="A5065" s="62">
        <v>29138</v>
      </c>
      <c r="B5065">
        <v>0.94</v>
      </c>
      <c r="C5065" t="str">
        <f t="shared" si="83"/>
        <v>1979 q4</v>
      </c>
    </row>
    <row r="5066" spans="1:3">
      <c r="A5066" s="62">
        <v>29139</v>
      </c>
      <c r="B5066">
        <v>0.92900000000000005</v>
      </c>
      <c r="C5066" t="str">
        <f t="shared" si="83"/>
        <v>1979 q4</v>
      </c>
    </row>
    <row r="5067" spans="1:3">
      <c r="A5067" s="62">
        <v>29140</v>
      </c>
      <c r="B5067">
        <v>0.96599999999999997</v>
      </c>
      <c r="C5067" t="str">
        <f t="shared" si="83"/>
        <v>1979 q4</v>
      </c>
    </row>
    <row r="5068" spans="1:3">
      <c r="A5068" s="62">
        <v>29143</v>
      </c>
      <c r="B5068">
        <v>0.91700000000000004</v>
      </c>
      <c r="C5068" t="str">
        <f t="shared" si="83"/>
        <v>1979 q4</v>
      </c>
    </row>
    <row r="5069" spans="1:3">
      <c r="A5069" s="62">
        <v>29144</v>
      </c>
      <c r="B5069">
        <v>0.86699999999999999</v>
      </c>
      <c r="C5069" t="str">
        <f t="shared" si="83"/>
        <v>1979 q4</v>
      </c>
    </row>
    <row r="5070" spans="1:3">
      <c r="A5070" s="62">
        <v>29145</v>
      </c>
      <c r="B5070">
        <v>0.88400000000000001</v>
      </c>
      <c r="C5070" t="str">
        <f t="shared" si="83"/>
        <v>1979 q4</v>
      </c>
    </row>
    <row r="5071" spans="1:3">
      <c r="A5071" s="62">
        <v>29146</v>
      </c>
      <c r="B5071">
        <v>0.876</v>
      </c>
      <c r="C5071" t="str">
        <f t="shared" si="83"/>
        <v>1979 q4</v>
      </c>
    </row>
    <row r="5072" spans="1:3">
      <c r="A5072" s="62">
        <v>29147</v>
      </c>
      <c r="B5072">
        <v>0.89849999999999997</v>
      </c>
      <c r="C5072" t="str">
        <f t="shared" si="83"/>
        <v>1979 q4</v>
      </c>
    </row>
    <row r="5073" spans="1:3">
      <c r="A5073" s="62">
        <v>29150</v>
      </c>
      <c r="B5073">
        <v>0.88100000000000001</v>
      </c>
      <c r="C5073" t="str">
        <f t="shared" si="83"/>
        <v>1979 q4</v>
      </c>
    </row>
    <row r="5074" spans="1:3">
      <c r="A5074" s="62">
        <v>29151</v>
      </c>
      <c r="B5074">
        <v>0.89700000000000002</v>
      </c>
      <c r="C5074" t="str">
        <f t="shared" ref="C5074:C5137" si="84">YEAR(A5074)&amp;" q"&amp;ROUNDUP(MONTH(A5074)/3,0)</f>
        <v>1979 q4</v>
      </c>
    </row>
    <row r="5075" spans="1:3">
      <c r="A5075" s="62">
        <v>29152</v>
      </c>
      <c r="B5075">
        <v>0.88900000000000001</v>
      </c>
      <c r="C5075" t="str">
        <f t="shared" si="84"/>
        <v>1979 q4</v>
      </c>
    </row>
    <row r="5076" spans="1:3">
      <c r="A5076" s="62">
        <v>29153</v>
      </c>
      <c r="B5076">
        <v>0.89649999999999996</v>
      </c>
      <c r="C5076" t="str">
        <f t="shared" si="84"/>
        <v>1979 q4</v>
      </c>
    </row>
    <row r="5077" spans="1:3">
      <c r="A5077" s="62">
        <v>29154</v>
      </c>
      <c r="B5077">
        <v>0.9</v>
      </c>
      <c r="C5077" t="str">
        <f t="shared" si="84"/>
        <v>1979 q4</v>
      </c>
    </row>
    <row r="5078" spans="1:3">
      <c r="A5078" s="62">
        <v>29157</v>
      </c>
      <c r="B5078">
        <v>0.9</v>
      </c>
      <c r="C5078" t="str">
        <f t="shared" si="84"/>
        <v>1979 q4</v>
      </c>
    </row>
    <row r="5079" spans="1:3">
      <c r="A5079" s="62">
        <v>29158</v>
      </c>
      <c r="B5079">
        <v>0.90400000000000003</v>
      </c>
      <c r="C5079" t="str">
        <f t="shared" si="84"/>
        <v>1979 q4</v>
      </c>
    </row>
    <row r="5080" spans="1:3">
      <c r="A5080" s="62">
        <v>29159</v>
      </c>
      <c r="B5080">
        <v>0.90900000000000003</v>
      </c>
      <c r="C5080" t="str">
        <f t="shared" si="84"/>
        <v>1979 q4</v>
      </c>
    </row>
    <row r="5081" spans="1:3">
      <c r="A5081" s="62">
        <v>29160</v>
      </c>
      <c r="B5081">
        <v>0.94</v>
      </c>
      <c r="C5081" t="str">
        <f t="shared" si="84"/>
        <v>1979 q4</v>
      </c>
    </row>
    <row r="5082" spans="1:3">
      <c r="A5082" s="62">
        <v>29161</v>
      </c>
      <c r="B5082">
        <v>0.94199999999999995</v>
      </c>
      <c r="C5082" t="str">
        <f t="shared" si="84"/>
        <v>1979 q4</v>
      </c>
    </row>
    <row r="5083" spans="1:3">
      <c r="A5083" s="62">
        <v>29164</v>
      </c>
      <c r="B5083">
        <v>0.93300000000000005</v>
      </c>
      <c r="C5083" t="str">
        <f t="shared" si="84"/>
        <v>1979 q4</v>
      </c>
    </row>
    <row r="5084" spans="1:3">
      <c r="A5084" s="62">
        <v>29165</v>
      </c>
      <c r="B5084">
        <v>0.93400000000000005</v>
      </c>
      <c r="C5084" t="str">
        <f t="shared" si="84"/>
        <v>1979 q4</v>
      </c>
    </row>
    <row r="5085" spans="1:3">
      <c r="A5085" s="62">
        <v>29166</v>
      </c>
      <c r="B5085">
        <v>0.94499999999999995</v>
      </c>
      <c r="C5085" t="str">
        <f t="shared" si="84"/>
        <v>1979 q4</v>
      </c>
    </row>
    <row r="5086" spans="1:3">
      <c r="A5086" s="62">
        <v>29167</v>
      </c>
      <c r="B5086">
        <v>0.94799999999999995</v>
      </c>
      <c r="C5086" t="str">
        <f t="shared" si="84"/>
        <v>1979 q4</v>
      </c>
    </row>
    <row r="5087" spans="1:3">
      <c r="A5087" s="62">
        <v>29168</v>
      </c>
      <c r="B5087">
        <v>0.96850000000000003</v>
      </c>
      <c r="C5087" t="str">
        <f t="shared" si="84"/>
        <v>1979 q4</v>
      </c>
    </row>
    <row r="5088" spans="1:3">
      <c r="A5088" s="62">
        <v>29171</v>
      </c>
      <c r="B5088">
        <v>0.97699999999999998</v>
      </c>
      <c r="C5088" t="str">
        <f t="shared" si="84"/>
        <v>1979 q4</v>
      </c>
    </row>
    <row r="5089" spans="1:3">
      <c r="A5089" s="62">
        <v>29172</v>
      </c>
      <c r="B5089">
        <v>0.96799999999999997</v>
      </c>
      <c r="C5089" t="str">
        <f t="shared" si="84"/>
        <v>1979 q4</v>
      </c>
    </row>
    <row r="5090" spans="1:3">
      <c r="A5090" s="62">
        <v>29173</v>
      </c>
      <c r="B5090">
        <v>0.96499999999999997</v>
      </c>
      <c r="C5090" t="str">
        <f t="shared" si="84"/>
        <v>1979 q4</v>
      </c>
    </row>
    <row r="5091" spans="1:3">
      <c r="A5091" s="62">
        <v>29174</v>
      </c>
      <c r="B5091">
        <v>0.97799999999999998</v>
      </c>
      <c r="C5091" t="str">
        <f t="shared" si="84"/>
        <v>1979 q4</v>
      </c>
    </row>
    <row r="5092" spans="1:3">
      <c r="A5092" s="62">
        <v>29175</v>
      </c>
      <c r="B5092">
        <v>0.99399999999999999</v>
      </c>
      <c r="C5092" t="str">
        <f t="shared" si="84"/>
        <v>1979 q4</v>
      </c>
    </row>
    <row r="5093" spans="1:3">
      <c r="A5093" s="62">
        <v>29178</v>
      </c>
      <c r="B5093">
        <v>1.012</v>
      </c>
      <c r="C5093" t="str">
        <f t="shared" si="84"/>
        <v>1979 q4</v>
      </c>
    </row>
    <row r="5094" spans="1:3">
      <c r="A5094" s="62">
        <v>29179</v>
      </c>
      <c r="B5094">
        <v>1.006</v>
      </c>
      <c r="C5094" t="str">
        <f t="shared" si="84"/>
        <v>1979 q4</v>
      </c>
    </row>
    <row r="5095" spans="1:3">
      <c r="A5095" s="62">
        <v>29180</v>
      </c>
      <c r="B5095">
        <v>1.02</v>
      </c>
      <c r="C5095" t="str">
        <f t="shared" si="84"/>
        <v>1979 q4</v>
      </c>
    </row>
    <row r="5096" spans="1:3">
      <c r="A5096" s="62">
        <v>29182</v>
      </c>
      <c r="B5096">
        <v>1.02</v>
      </c>
      <c r="C5096" t="str">
        <f t="shared" si="84"/>
        <v>1979 q4</v>
      </c>
    </row>
    <row r="5097" spans="1:3">
      <c r="A5097" s="62">
        <v>29185</v>
      </c>
      <c r="B5097">
        <v>0.97</v>
      </c>
      <c r="C5097" t="str">
        <f t="shared" si="84"/>
        <v>1979 q4</v>
      </c>
    </row>
    <row r="5098" spans="1:3">
      <c r="A5098" s="62">
        <v>29186</v>
      </c>
      <c r="B5098">
        <v>0.93300000000000005</v>
      </c>
      <c r="C5098" t="str">
        <f t="shared" si="84"/>
        <v>1979 q4</v>
      </c>
    </row>
    <row r="5099" spans="1:3">
      <c r="A5099" s="62">
        <v>29187</v>
      </c>
      <c r="B5099">
        <v>0.9476</v>
      </c>
      <c r="C5099" t="str">
        <f t="shared" si="84"/>
        <v>1979 q4</v>
      </c>
    </row>
    <row r="5100" spans="1:3">
      <c r="A5100" s="62">
        <v>29188</v>
      </c>
      <c r="B5100">
        <v>0.97399999999999998</v>
      </c>
      <c r="C5100" t="str">
        <f t="shared" si="84"/>
        <v>1979 q4</v>
      </c>
    </row>
    <row r="5101" spans="1:3">
      <c r="A5101" s="62">
        <v>29189</v>
      </c>
      <c r="B5101">
        <v>1.0249999999999999</v>
      </c>
      <c r="C5101" t="str">
        <f t="shared" si="84"/>
        <v>1979 q4</v>
      </c>
    </row>
    <row r="5102" spans="1:3">
      <c r="A5102" s="62">
        <v>29192</v>
      </c>
      <c r="B5102">
        <v>1.0309999999999999</v>
      </c>
      <c r="C5102" t="str">
        <f t="shared" si="84"/>
        <v>1979 q4</v>
      </c>
    </row>
    <row r="5103" spans="1:3">
      <c r="A5103" s="62">
        <v>29193</v>
      </c>
      <c r="B5103">
        <v>1.0149999999999999</v>
      </c>
      <c r="C5103" t="str">
        <f t="shared" si="84"/>
        <v>1979 q4</v>
      </c>
    </row>
    <row r="5104" spans="1:3">
      <c r="A5104" s="62">
        <v>29194</v>
      </c>
      <c r="B5104">
        <v>1.02</v>
      </c>
      <c r="C5104" t="str">
        <f t="shared" si="84"/>
        <v>1979 q4</v>
      </c>
    </row>
    <row r="5105" spans="1:3">
      <c r="A5105" s="62">
        <v>29195</v>
      </c>
      <c r="B5105">
        <v>0.98199999999999998</v>
      </c>
      <c r="C5105" t="str">
        <f t="shared" si="84"/>
        <v>1979 q4</v>
      </c>
    </row>
    <row r="5106" spans="1:3">
      <c r="A5106" s="62">
        <v>29196</v>
      </c>
      <c r="B5106">
        <v>0.96750000000000003</v>
      </c>
      <c r="C5106" t="str">
        <f t="shared" si="84"/>
        <v>1979 q4</v>
      </c>
    </row>
    <row r="5107" spans="1:3">
      <c r="A5107" s="62">
        <v>29199</v>
      </c>
      <c r="B5107">
        <v>0.97599999999999998</v>
      </c>
      <c r="C5107" t="str">
        <f t="shared" si="84"/>
        <v>1979 q4</v>
      </c>
    </row>
    <row r="5108" spans="1:3">
      <c r="A5108" s="62">
        <v>29200</v>
      </c>
      <c r="B5108">
        <v>1.0069999999999999</v>
      </c>
      <c r="C5108" t="str">
        <f t="shared" si="84"/>
        <v>1979 q4</v>
      </c>
    </row>
    <row r="5109" spans="1:3">
      <c r="A5109" s="62">
        <v>29201</v>
      </c>
      <c r="B5109">
        <v>1.0069999999999999</v>
      </c>
      <c r="C5109" t="str">
        <f t="shared" si="84"/>
        <v>1979 q4</v>
      </c>
    </row>
    <row r="5110" spans="1:3">
      <c r="A5110" s="62">
        <v>29202</v>
      </c>
      <c r="B5110">
        <v>0.996</v>
      </c>
      <c r="C5110" t="str">
        <f t="shared" si="84"/>
        <v>1979 q4</v>
      </c>
    </row>
    <row r="5111" spans="1:3">
      <c r="A5111" s="62">
        <v>29203</v>
      </c>
      <c r="B5111">
        <v>1.0149999999999999</v>
      </c>
      <c r="C5111" t="str">
        <f t="shared" si="84"/>
        <v>1979 q4</v>
      </c>
    </row>
    <row r="5112" spans="1:3">
      <c r="A5112" s="62">
        <v>29206</v>
      </c>
      <c r="B5112">
        <v>0.999</v>
      </c>
      <c r="C5112" t="str">
        <f t="shared" si="84"/>
        <v>1979 q4</v>
      </c>
    </row>
    <row r="5113" spans="1:3">
      <c r="A5113" s="62">
        <v>29207</v>
      </c>
      <c r="B5113">
        <v>1.0069999999999999</v>
      </c>
      <c r="C5113" t="str">
        <f t="shared" si="84"/>
        <v>1979 q4</v>
      </c>
    </row>
    <row r="5114" spans="1:3">
      <c r="A5114" s="62">
        <v>29208</v>
      </c>
      <c r="B5114">
        <v>1.002</v>
      </c>
      <c r="C5114" t="str">
        <f t="shared" si="84"/>
        <v>1979 q4</v>
      </c>
    </row>
    <row r="5115" spans="1:3">
      <c r="A5115" s="62">
        <v>29209</v>
      </c>
      <c r="B5115">
        <v>1.0249999999999999</v>
      </c>
      <c r="C5115" t="str">
        <f t="shared" si="84"/>
        <v>1979 q4</v>
      </c>
    </row>
    <row r="5116" spans="1:3">
      <c r="A5116" s="62">
        <v>29210</v>
      </c>
      <c r="B5116">
        <v>1.0249999999999999</v>
      </c>
      <c r="C5116" t="str">
        <f t="shared" si="84"/>
        <v>1979 q4</v>
      </c>
    </row>
    <row r="5117" spans="1:3">
      <c r="A5117" s="62">
        <v>29215</v>
      </c>
      <c r="B5117">
        <v>1.0149999999999999</v>
      </c>
      <c r="C5117" t="str">
        <f t="shared" si="84"/>
        <v>1979 q4</v>
      </c>
    </row>
    <row r="5118" spans="1:3">
      <c r="A5118" s="62">
        <v>29216</v>
      </c>
      <c r="B5118">
        <v>1.0172000000000001</v>
      </c>
      <c r="C5118" t="str">
        <f t="shared" si="84"/>
        <v>1979 q4</v>
      </c>
    </row>
    <row r="5119" spans="1:3">
      <c r="A5119" s="62">
        <v>29217</v>
      </c>
      <c r="B5119">
        <v>1.0235000000000001</v>
      </c>
      <c r="C5119" t="str">
        <f t="shared" si="84"/>
        <v>1979 q4</v>
      </c>
    </row>
    <row r="5120" spans="1:3">
      <c r="A5120" s="62">
        <v>29220</v>
      </c>
      <c r="B5120">
        <v>1.0486</v>
      </c>
      <c r="C5120" t="str">
        <f t="shared" si="84"/>
        <v>1979 q4</v>
      </c>
    </row>
    <row r="5121" spans="1:3">
      <c r="A5121" s="62">
        <v>29222</v>
      </c>
      <c r="B5121">
        <v>1.1020000000000001</v>
      </c>
      <c r="C5121" t="str">
        <f t="shared" si="84"/>
        <v>1980 q1</v>
      </c>
    </row>
    <row r="5122" spans="1:3">
      <c r="A5122" s="62">
        <v>29223</v>
      </c>
      <c r="B5122">
        <v>1.139</v>
      </c>
      <c r="C5122" t="str">
        <f t="shared" si="84"/>
        <v>1980 q1</v>
      </c>
    </row>
    <row r="5123" spans="1:3">
      <c r="A5123" s="62">
        <v>29224</v>
      </c>
      <c r="B5123">
        <v>1.115</v>
      </c>
      <c r="C5123" t="str">
        <f t="shared" si="84"/>
        <v>1980 q1</v>
      </c>
    </row>
    <row r="5124" spans="1:3">
      <c r="A5124" s="62">
        <v>29227</v>
      </c>
      <c r="B5124">
        <v>1.0669999999999999</v>
      </c>
      <c r="C5124" t="str">
        <f t="shared" si="84"/>
        <v>1980 q1</v>
      </c>
    </row>
    <row r="5125" spans="1:3">
      <c r="A5125" s="62">
        <v>29228</v>
      </c>
      <c r="B5125">
        <v>1.0329999999999999</v>
      </c>
      <c r="C5125" t="str">
        <f t="shared" si="84"/>
        <v>1980 q1</v>
      </c>
    </row>
    <row r="5126" spans="1:3">
      <c r="A5126" s="62">
        <v>29229</v>
      </c>
      <c r="B5126">
        <v>1.0569999999999999</v>
      </c>
      <c r="C5126" t="str">
        <f t="shared" si="84"/>
        <v>1980 q1</v>
      </c>
    </row>
    <row r="5127" spans="1:3">
      <c r="A5127" s="62">
        <v>29230</v>
      </c>
      <c r="B5127">
        <v>1.04</v>
      </c>
      <c r="C5127" t="str">
        <f t="shared" si="84"/>
        <v>1980 q1</v>
      </c>
    </row>
    <row r="5128" spans="1:3">
      <c r="A5128" s="62">
        <v>29231</v>
      </c>
      <c r="B5128">
        <v>1.087</v>
      </c>
      <c r="C5128" t="str">
        <f t="shared" si="84"/>
        <v>1980 q1</v>
      </c>
    </row>
    <row r="5129" spans="1:3">
      <c r="A5129" s="62">
        <v>29234</v>
      </c>
      <c r="B5129">
        <v>1.103</v>
      </c>
      <c r="C5129" t="str">
        <f t="shared" si="84"/>
        <v>1980 q1</v>
      </c>
    </row>
    <row r="5130" spans="1:3">
      <c r="A5130" s="62">
        <v>29235</v>
      </c>
      <c r="B5130">
        <v>1.1140000000000001</v>
      </c>
      <c r="C5130" t="str">
        <f t="shared" si="84"/>
        <v>1980 q1</v>
      </c>
    </row>
    <row r="5131" spans="1:3">
      <c r="A5131" s="62">
        <v>29236</v>
      </c>
      <c r="B5131">
        <v>1.1639999999999999</v>
      </c>
      <c r="C5131" t="str">
        <f t="shared" si="84"/>
        <v>1980 q1</v>
      </c>
    </row>
    <row r="5132" spans="1:3">
      <c r="A5132" s="62">
        <v>29237</v>
      </c>
      <c r="B5132">
        <v>1.214</v>
      </c>
      <c r="C5132" t="str">
        <f t="shared" si="84"/>
        <v>1980 q1</v>
      </c>
    </row>
    <row r="5133" spans="1:3">
      <c r="A5133" s="62">
        <v>29238</v>
      </c>
      <c r="B5133">
        <v>1.2889999999999999</v>
      </c>
      <c r="C5133" t="str">
        <f t="shared" si="84"/>
        <v>1980 q1</v>
      </c>
    </row>
    <row r="5134" spans="1:3">
      <c r="A5134" s="62">
        <v>29241</v>
      </c>
      <c r="B5134">
        <v>1.389</v>
      </c>
      <c r="C5134" t="str">
        <f t="shared" si="84"/>
        <v>1980 q1</v>
      </c>
    </row>
    <row r="5135" spans="1:3">
      <c r="A5135" s="62">
        <v>29242</v>
      </c>
      <c r="B5135">
        <v>1.2889999999999999</v>
      </c>
      <c r="C5135" t="str">
        <f t="shared" si="84"/>
        <v>1980 q1</v>
      </c>
    </row>
    <row r="5136" spans="1:3">
      <c r="A5136" s="62">
        <v>29243</v>
      </c>
      <c r="B5136">
        <v>1.204</v>
      </c>
      <c r="C5136" t="str">
        <f t="shared" si="84"/>
        <v>1980 q1</v>
      </c>
    </row>
    <row r="5137" spans="1:3">
      <c r="A5137" s="62">
        <v>29244</v>
      </c>
      <c r="B5137">
        <v>1.2629999999999999</v>
      </c>
      <c r="C5137" t="str">
        <f t="shared" si="84"/>
        <v>1980 q1</v>
      </c>
    </row>
    <row r="5138" spans="1:3">
      <c r="A5138" s="62">
        <v>29245</v>
      </c>
      <c r="B5138">
        <v>1.32</v>
      </c>
      <c r="C5138" t="str">
        <f t="shared" ref="C5138:C5201" si="85">YEAR(A5138)&amp;" q"&amp;ROUNDUP(MONTH(A5138)/3,0)</f>
        <v>1980 q1</v>
      </c>
    </row>
    <row r="5139" spans="1:3">
      <c r="A5139" s="62">
        <v>29248</v>
      </c>
      <c r="B5139">
        <v>1.264</v>
      </c>
      <c r="C5139" t="str">
        <f t="shared" si="85"/>
        <v>1980 q1</v>
      </c>
    </row>
    <row r="5140" spans="1:3">
      <c r="A5140" s="62">
        <v>29249</v>
      </c>
      <c r="B5140">
        <v>1.3140000000000001</v>
      </c>
      <c r="C5140" t="str">
        <f t="shared" si="85"/>
        <v>1980 q1</v>
      </c>
    </row>
    <row r="5141" spans="1:3">
      <c r="A5141" s="62">
        <v>29250</v>
      </c>
      <c r="B5141">
        <v>1.3380000000000001</v>
      </c>
      <c r="C5141" t="str">
        <f t="shared" si="85"/>
        <v>1980 q1</v>
      </c>
    </row>
    <row r="5142" spans="1:3">
      <c r="A5142" s="62">
        <v>29251</v>
      </c>
      <c r="B5142">
        <v>1.3049999999999999</v>
      </c>
      <c r="C5142" t="str">
        <f t="shared" si="85"/>
        <v>1980 q1</v>
      </c>
    </row>
    <row r="5143" spans="1:3">
      <c r="A5143" s="62">
        <v>29252</v>
      </c>
      <c r="B5143">
        <v>1.3129999999999999</v>
      </c>
      <c r="C5143" t="str">
        <f t="shared" si="85"/>
        <v>1980 q1</v>
      </c>
    </row>
    <row r="5144" spans="1:3">
      <c r="A5144" s="62">
        <v>29255</v>
      </c>
      <c r="B5144">
        <v>1.2629999999999999</v>
      </c>
      <c r="C5144" t="str">
        <f t="shared" si="85"/>
        <v>1980 q1</v>
      </c>
    </row>
    <row r="5145" spans="1:3">
      <c r="A5145" s="62">
        <v>29256</v>
      </c>
      <c r="B5145">
        <v>1.3129999999999999</v>
      </c>
      <c r="C5145" t="str">
        <f t="shared" si="85"/>
        <v>1980 q1</v>
      </c>
    </row>
    <row r="5146" spans="1:3">
      <c r="A5146" s="62">
        <v>29257</v>
      </c>
      <c r="B5146">
        <v>1.335</v>
      </c>
      <c r="C5146" t="str">
        <f t="shared" si="85"/>
        <v>1980 q1</v>
      </c>
    </row>
    <row r="5147" spans="1:3">
      <c r="A5147" s="62">
        <v>29258</v>
      </c>
      <c r="B5147">
        <v>1.3169999999999999</v>
      </c>
      <c r="C5147" t="str">
        <f t="shared" si="85"/>
        <v>1980 q1</v>
      </c>
    </row>
    <row r="5148" spans="1:3">
      <c r="A5148" s="62">
        <v>29259</v>
      </c>
      <c r="B5148">
        <v>1.367</v>
      </c>
      <c r="C5148" t="str">
        <f t="shared" si="85"/>
        <v>1980 q1</v>
      </c>
    </row>
    <row r="5149" spans="1:3">
      <c r="A5149" s="62">
        <v>29262</v>
      </c>
      <c r="B5149">
        <v>1.417</v>
      </c>
      <c r="C5149" t="str">
        <f t="shared" si="85"/>
        <v>1980 q1</v>
      </c>
    </row>
    <row r="5150" spans="1:3">
      <c r="A5150" s="62">
        <v>29263</v>
      </c>
      <c r="B5150">
        <v>1.43</v>
      </c>
      <c r="C5150" t="str">
        <f t="shared" si="85"/>
        <v>1980 q1</v>
      </c>
    </row>
    <row r="5151" spans="1:3">
      <c r="A5151" s="62">
        <v>29264</v>
      </c>
      <c r="B5151">
        <v>1.415</v>
      </c>
      <c r="C5151" t="str">
        <f t="shared" si="85"/>
        <v>1980 q1</v>
      </c>
    </row>
    <row r="5152" spans="1:3">
      <c r="A5152" s="62">
        <v>29265</v>
      </c>
      <c r="B5152">
        <v>1.4119999999999999</v>
      </c>
      <c r="C5152" t="str">
        <f t="shared" si="85"/>
        <v>1980 q1</v>
      </c>
    </row>
    <row r="5153" spans="1:3">
      <c r="A5153" s="62">
        <v>29266</v>
      </c>
      <c r="B5153">
        <v>1.3620000000000001</v>
      </c>
      <c r="C5153" t="str">
        <f t="shared" si="85"/>
        <v>1980 q1</v>
      </c>
    </row>
    <row r="5154" spans="1:3">
      <c r="A5154" s="62">
        <v>29270</v>
      </c>
      <c r="B5154">
        <v>1.3120000000000001</v>
      </c>
      <c r="C5154" t="str">
        <f t="shared" si="85"/>
        <v>1980 q1</v>
      </c>
    </row>
    <row r="5155" spans="1:3">
      <c r="A5155" s="62">
        <v>29271</v>
      </c>
      <c r="B5155">
        <v>1.2470000000000001</v>
      </c>
      <c r="C5155" t="str">
        <f t="shared" si="85"/>
        <v>1980 q1</v>
      </c>
    </row>
    <row r="5156" spans="1:3">
      <c r="A5156" s="62">
        <v>29272</v>
      </c>
      <c r="B5156">
        <v>1.274</v>
      </c>
      <c r="C5156" t="str">
        <f t="shared" si="85"/>
        <v>1980 q1</v>
      </c>
    </row>
    <row r="5157" spans="1:3">
      <c r="A5157" s="62">
        <v>29273</v>
      </c>
      <c r="B5157">
        <v>1.224</v>
      </c>
      <c r="C5157" t="str">
        <f t="shared" si="85"/>
        <v>1980 q1</v>
      </c>
    </row>
    <row r="5158" spans="1:3">
      <c r="A5158" s="62">
        <v>29276</v>
      </c>
      <c r="B5158">
        <v>1.1739999999999999</v>
      </c>
      <c r="C5158" t="str">
        <f t="shared" si="85"/>
        <v>1980 q1</v>
      </c>
    </row>
    <row r="5159" spans="1:3">
      <c r="A5159" s="62">
        <v>29277</v>
      </c>
      <c r="B5159">
        <v>1.1814</v>
      </c>
      <c r="C5159" t="str">
        <f t="shared" si="85"/>
        <v>1980 q1</v>
      </c>
    </row>
    <row r="5160" spans="1:3">
      <c r="A5160" s="62">
        <v>29278</v>
      </c>
      <c r="B5160">
        <v>1.2336</v>
      </c>
      <c r="C5160" t="str">
        <f t="shared" si="85"/>
        <v>1980 q1</v>
      </c>
    </row>
    <row r="5161" spans="1:3">
      <c r="A5161" s="62">
        <v>29279</v>
      </c>
      <c r="B5161">
        <v>1.232</v>
      </c>
      <c r="C5161" t="str">
        <f t="shared" si="85"/>
        <v>1980 q1</v>
      </c>
    </row>
    <row r="5162" spans="1:3">
      <c r="A5162" s="62">
        <v>29280</v>
      </c>
      <c r="B5162">
        <v>1.2230000000000001</v>
      </c>
      <c r="C5162" t="str">
        <f t="shared" si="85"/>
        <v>1980 q1</v>
      </c>
    </row>
    <row r="5163" spans="1:3">
      <c r="A5163" s="62">
        <v>29283</v>
      </c>
      <c r="B5163">
        <v>1.18</v>
      </c>
      <c r="C5163" t="str">
        <f t="shared" si="85"/>
        <v>1980 q1</v>
      </c>
    </row>
    <row r="5164" spans="1:3">
      <c r="A5164" s="62">
        <v>29284</v>
      </c>
      <c r="B5164">
        <v>1.165</v>
      </c>
      <c r="C5164" t="str">
        <f t="shared" si="85"/>
        <v>1980 q1</v>
      </c>
    </row>
    <row r="5165" spans="1:3">
      <c r="A5165" s="62">
        <v>29285</v>
      </c>
      <c r="B5165">
        <v>1.1879999999999999</v>
      </c>
      <c r="C5165" t="str">
        <f t="shared" si="85"/>
        <v>1980 q1</v>
      </c>
    </row>
    <row r="5166" spans="1:3">
      <c r="A5166" s="62">
        <v>29286</v>
      </c>
      <c r="B5166">
        <v>1.1379999999999999</v>
      </c>
      <c r="C5166" t="str">
        <f t="shared" si="85"/>
        <v>1980 q1</v>
      </c>
    </row>
    <row r="5167" spans="1:3">
      <c r="A5167" s="62">
        <v>29287</v>
      </c>
      <c r="B5167">
        <v>1.0880000000000001</v>
      </c>
      <c r="C5167" t="str">
        <f t="shared" si="85"/>
        <v>1980 q1</v>
      </c>
    </row>
    <row r="5168" spans="1:3">
      <c r="A5168" s="62">
        <v>29290</v>
      </c>
      <c r="B5168">
        <v>1.0129999999999999</v>
      </c>
      <c r="C5168" t="str">
        <f t="shared" si="85"/>
        <v>1980 q1</v>
      </c>
    </row>
    <row r="5169" spans="1:3">
      <c r="A5169" s="62">
        <v>29291</v>
      </c>
      <c r="B5169">
        <v>1.0349999999999999</v>
      </c>
      <c r="C5169" t="str">
        <f t="shared" si="85"/>
        <v>1980 q1</v>
      </c>
    </row>
    <row r="5170" spans="1:3">
      <c r="A5170" s="62">
        <v>29292</v>
      </c>
      <c r="B5170">
        <v>1.0049999999999999</v>
      </c>
      <c r="C5170" t="str">
        <f t="shared" si="85"/>
        <v>1980 q1</v>
      </c>
    </row>
    <row r="5171" spans="1:3">
      <c r="A5171" s="62">
        <v>29293</v>
      </c>
      <c r="B5171">
        <v>0.95</v>
      </c>
      <c r="C5171" t="str">
        <f t="shared" si="85"/>
        <v>1980 q1</v>
      </c>
    </row>
    <row r="5172" spans="1:3">
      <c r="A5172" s="62">
        <v>29294</v>
      </c>
      <c r="B5172">
        <v>0.98799999999999999</v>
      </c>
      <c r="C5172" t="str">
        <f t="shared" si="85"/>
        <v>1980 q1</v>
      </c>
    </row>
    <row r="5173" spans="1:3">
      <c r="A5173" s="62">
        <v>29297</v>
      </c>
      <c r="B5173">
        <v>0.93799999999999994</v>
      </c>
      <c r="C5173" t="str">
        <f t="shared" si="85"/>
        <v>1980 q1</v>
      </c>
    </row>
    <row r="5174" spans="1:3">
      <c r="A5174" s="62">
        <v>29298</v>
      </c>
      <c r="B5174">
        <v>0.97299999999999998</v>
      </c>
      <c r="C5174" t="str">
        <f t="shared" si="85"/>
        <v>1980 q1</v>
      </c>
    </row>
    <row r="5175" spans="1:3">
      <c r="A5175" s="62">
        <v>29299</v>
      </c>
      <c r="B5175">
        <v>0.98599999999999999</v>
      </c>
      <c r="C5175" t="str">
        <f t="shared" si="85"/>
        <v>1980 q1</v>
      </c>
    </row>
    <row r="5176" spans="1:3">
      <c r="A5176" s="62">
        <v>29300</v>
      </c>
      <c r="B5176">
        <v>0.96399999999999997</v>
      </c>
      <c r="C5176" t="str">
        <f t="shared" si="85"/>
        <v>1980 q1</v>
      </c>
    </row>
    <row r="5177" spans="1:3">
      <c r="A5177" s="62">
        <v>29301</v>
      </c>
      <c r="B5177">
        <v>0.97</v>
      </c>
      <c r="C5177" t="str">
        <f t="shared" si="85"/>
        <v>1980 q1</v>
      </c>
    </row>
    <row r="5178" spans="1:3">
      <c r="A5178" s="62">
        <v>29304</v>
      </c>
      <c r="B5178">
        <v>0.94399999999999995</v>
      </c>
      <c r="C5178" t="str">
        <f t="shared" si="85"/>
        <v>1980 q1</v>
      </c>
    </row>
    <row r="5179" spans="1:3">
      <c r="A5179" s="62">
        <v>29305</v>
      </c>
      <c r="B5179">
        <v>0.91800000000000004</v>
      </c>
      <c r="C5179" t="str">
        <f t="shared" si="85"/>
        <v>1980 q1</v>
      </c>
    </row>
    <row r="5180" spans="1:3">
      <c r="A5180" s="62">
        <v>29306</v>
      </c>
      <c r="B5180">
        <v>0.89500000000000002</v>
      </c>
      <c r="C5180" t="str">
        <f t="shared" si="85"/>
        <v>1980 q1</v>
      </c>
    </row>
    <row r="5181" spans="1:3">
      <c r="A5181" s="62">
        <v>29307</v>
      </c>
      <c r="B5181">
        <v>0.85799999999999998</v>
      </c>
      <c r="C5181" t="str">
        <f t="shared" si="85"/>
        <v>1980 q1</v>
      </c>
    </row>
    <row r="5182" spans="1:3">
      <c r="A5182" s="62">
        <v>29308</v>
      </c>
      <c r="B5182">
        <v>0.89900000000000002</v>
      </c>
      <c r="C5182" t="str">
        <f t="shared" si="85"/>
        <v>1980 q1</v>
      </c>
    </row>
    <row r="5183" spans="1:3">
      <c r="A5183" s="62">
        <v>29311</v>
      </c>
      <c r="B5183">
        <v>0.871</v>
      </c>
      <c r="C5183" t="str">
        <f t="shared" si="85"/>
        <v>1980 q1</v>
      </c>
    </row>
    <row r="5184" spans="1:3">
      <c r="A5184" s="62">
        <v>29312</v>
      </c>
      <c r="B5184">
        <v>0.86499999999999999</v>
      </c>
      <c r="C5184" t="str">
        <f t="shared" si="85"/>
        <v>1980 q2</v>
      </c>
    </row>
    <row r="5185" spans="1:3">
      <c r="A5185" s="62">
        <v>29313</v>
      </c>
      <c r="B5185">
        <v>0.89500000000000002</v>
      </c>
      <c r="C5185" t="str">
        <f t="shared" si="85"/>
        <v>1980 q2</v>
      </c>
    </row>
    <row r="5186" spans="1:3">
      <c r="A5186" s="62">
        <v>29314</v>
      </c>
      <c r="B5186">
        <v>0.89700000000000002</v>
      </c>
      <c r="C5186" t="str">
        <f t="shared" si="85"/>
        <v>1980 q2</v>
      </c>
    </row>
    <row r="5187" spans="1:3">
      <c r="A5187" s="62">
        <v>29318</v>
      </c>
      <c r="B5187">
        <v>0.91200000000000003</v>
      </c>
      <c r="C5187" t="str">
        <f t="shared" si="85"/>
        <v>1980 q2</v>
      </c>
    </row>
    <row r="5188" spans="1:3">
      <c r="A5188" s="62">
        <v>29319</v>
      </c>
      <c r="B5188">
        <v>0.93100000000000005</v>
      </c>
      <c r="C5188" t="str">
        <f t="shared" si="85"/>
        <v>1980 q2</v>
      </c>
    </row>
    <row r="5189" spans="1:3">
      <c r="A5189" s="62">
        <v>29320</v>
      </c>
      <c r="B5189">
        <v>0.91800000000000004</v>
      </c>
      <c r="C5189" t="str">
        <f t="shared" si="85"/>
        <v>1980 q2</v>
      </c>
    </row>
    <row r="5190" spans="1:3">
      <c r="A5190" s="62">
        <v>29321</v>
      </c>
      <c r="B5190">
        <v>0.93200000000000005</v>
      </c>
      <c r="C5190" t="str">
        <f t="shared" si="85"/>
        <v>1980 q2</v>
      </c>
    </row>
    <row r="5191" spans="1:3">
      <c r="A5191" s="62">
        <v>29322</v>
      </c>
      <c r="B5191">
        <v>0.94699999999999995</v>
      </c>
      <c r="C5191" t="str">
        <f t="shared" si="85"/>
        <v>1980 q2</v>
      </c>
    </row>
    <row r="5192" spans="1:3">
      <c r="A5192" s="62">
        <v>29325</v>
      </c>
      <c r="B5192">
        <v>0.90100000000000002</v>
      </c>
      <c r="C5192" t="str">
        <f t="shared" si="85"/>
        <v>1980 q2</v>
      </c>
    </row>
    <row r="5193" spans="1:3">
      <c r="A5193" s="62">
        <v>29326</v>
      </c>
      <c r="B5193">
        <v>0.92500000000000004</v>
      </c>
      <c r="C5193" t="str">
        <f t="shared" si="85"/>
        <v>1980 q2</v>
      </c>
    </row>
    <row r="5194" spans="1:3">
      <c r="A5194" s="62">
        <v>29327</v>
      </c>
      <c r="B5194">
        <v>0.89200000000000002</v>
      </c>
      <c r="C5194" t="str">
        <f t="shared" si="85"/>
        <v>1980 q2</v>
      </c>
    </row>
    <row r="5195" spans="1:3">
      <c r="A5195" s="62">
        <v>29328</v>
      </c>
      <c r="B5195">
        <v>0.89900000000000002</v>
      </c>
      <c r="C5195" t="str">
        <f t="shared" si="85"/>
        <v>1980 q2</v>
      </c>
    </row>
    <row r="5196" spans="1:3">
      <c r="A5196" s="62">
        <v>29329</v>
      </c>
      <c r="B5196">
        <v>0.878</v>
      </c>
      <c r="C5196" t="str">
        <f t="shared" si="85"/>
        <v>1980 q2</v>
      </c>
    </row>
    <row r="5197" spans="1:3">
      <c r="A5197" s="62">
        <v>29332</v>
      </c>
      <c r="B5197">
        <v>0.84</v>
      </c>
      <c r="C5197" t="str">
        <f t="shared" si="85"/>
        <v>1980 q2</v>
      </c>
    </row>
    <row r="5198" spans="1:3">
      <c r="A5198" s="62">
        <v>29333</v>
      </c>
      <c r="B5198">
        <v>0.84899999999999998</v>
      </c>
      <c r="C5198" t="str">
        <f t="shared" si="85"/>
        <v>1980 q2</v>
      </c>
    </row>
    <row r="5199" spans="1:3">
      <c r="A5199" s="62">
        <v>29334</v>
      </c>
      <c r="B5199">
        <v>0.85899999999999999</v>
      </c>
      <c r="C5199" t="str">
        <f t="shared" si="85"/>
        <v>1980 q2</v>
      </c>
    </row>
    <row r="5200" spans="1:3">
      <c r="A5200" s="62">
        <v>29335</v>
      </c>
      <c r="B5200">
        <v>0.88800000000000001</v>
      </c>
      <c r="C5200" t="str">
        <f t="shared" si="85"/>
        <v>1980 q2</v>
      </c>
    </row>
    <row r="5201" spans="1:3">
      <c r="A5201" s="62">
        <v>29336</v>
      </c>
      <c r="B5201">
        <v>0.94059999999999999</v>
      </c>
      <c r="C5201" t="str">
        <f t="shared" si="85"/>
        <v>1980 q2</v>
      </c>
    </row>
    <row r="5202" spans="1:3">
      <c r="A5202" s="62">
        <v>29339</v>
      </c>
      <c r="B5202">
        <v>0.89559999999999995</v>
      </c>
      <c r="C5202" t="str">
        <f t="shared" ref="C5202:C5265" si="86">YEAR(A5202)&amp;" q"&amp;ROUNDUP(MONTH(A5202)/3,0)</f>
        <v>1980 q2</v>
      </c>
    </row>
    <row r="5203" spans="1:3">
      <c r="A5203" s="62">
        <v>29340</v>
      </c>
      <c r="B5203">
        <v>0.90939999999999999</v>
      </c>
      <c r="C5203" t="str">
        <f t="shared" si="86"/>
        <v>1980 q2</v>
      </c>
    </row>
    <row r="5204" spans="1:3">
      <c r="A5204" s="62">
        <v>29341</v>
      </c>
      <c r="B5204">
        <v>0.8982</v>
      </c>
      <c r="C5204" t="str">
        <f t="shared" si="86"/>
        <v>1980 q2</v>
      </c>
    </row>
    <row r="5205" spans="1:3">
      <c r="A5205" s="62">
        <v>29342</v>
      </c>
      <c r="B5205">
        <v>0.88500000000000001</v>
      </c>
      <c r="C5205" t="str">
        <f t="shared" si="86"/>
        <v>1980 q2</v>
      </c>
    </row>
    <row r="5206" spans="1:3">
      <c r="A5206" s="62">
        <v>29343</v>
      </c>
      <c r="B5206">
        <v>0.89900000000000002</v>
      </c>
      <c r="C5206" t="str">
        <f t="shared" si="86"/>
        <v>1980 q2</v>
      </c>
    </row>
    <row r="5207" spans="1:3">
      <c r="A5207" s="62">
        <v>29346</v>
      </c>
      <c r="B5207">
        <v>0.89900000000000002</v>
      </c>
      <c r="C5207" t="str">
        <f t="shared" si="86"/>
        <v>1980 q2</v>
      </c>
    </row>
    <row r="5208" spans="1:3">
      <c r="A5208" s="62">
        <v>29347</v>
      </c>
      <c r="B5208">
        <v>0.88200000000000001</v>
      </c>
      <c r="C5208" t="str">
        <f t="shared" si="86"/>
        <v>1980 q2</v>
      </c>
    </row>
    <row r="5209" spans="1:3">
      <c r="A5209" s="62">
        <v>29348</v>
      </c>
      <c r="B5209">
        <v>0.92500000000000004</v>
      </c>
      <c r="C5209" t="str">
        <f t="shared" si="86"/>
        <v>1980 q2</v>
      </c>
    </row>
    <row r="5210" spans="1:3">
      <c r="A5210" s="62">
        <v>29349</v>
      </c>
      <c r="B5210">
        <v>0.88400000000000001</v>
      </c>
      <c r="C5210" t="str">
        <f t="shared" si="86"/>
        <v>1980 q2</v>
      </c>
    </row>
    <row r="5211" spans="1:3">
      <c r="A5211" s="62">
        <v>29350</v>
      </c>
      <c r="B5211">
        <v>0.88300000000000001</v>
      </c>
      <c r="C5211" t="str">
        <f t="shared" si="86"/>
        <v>1980 q2</v>
      </c>
    </row>
    <row r="5212" spans="1:3">
      <c r="A5212" s="62">
        <v>29353</v>
      </c>
      <c r="B5212">
        <v>0.88600000000000001</v>
      </c>
      <c r="C5212" t="str">
        <f t="shared" si="86"/>
        <v>1980 q2</v>
      </c>
    </row>
    <row r="5213" spans="1:3">
      <c r="A5213" s="62">
        <v>29354</v>
      </c>
      <c r="B5213">
        <v>0.90200000000000002</v>
      </c>
      <c r="C5213" t="str">
        <f t="shared" si="86"/>
        <v>1980 q2</v>
      </c>
    </row>
    <row r="5214" spans="1:3">
      <c r="A5214" s="62">
        <v>29355</v>
      </c>
      <c r="B5214">
        <v>0.89500000000000002</v>
      </c>
      <c r="C5214" t="str">
        <f t="shared" si="86"/>
        <v>1980 q2</v>
      </c>
    </row>
    <row r="5215" spans="1:3">
      <c r="A5215" s="62">
        <v>29356</v>
      </c>
      <c r="B5215">
        <v>0.88300000000000001</v>
      </c>
      <c r="C5215" t="str">
        <f t="shared" si="86"/>
        <v>1980 q2</v>
      </c>
    </row>
    <row r="5216" spans="1:3">
      <c r="A5216" s="62">
        <v>29357</v>
      </c>
      <c r="B5216">
        <v>0.88300000000000001</v>
      </c>
      <c r="C5216" t="str">
        <f t="shared" si="86"/>
        <v>1980 q2</v>
      </c>
    </row>
    <row r="5217" spans="1:3">
      <c r="A5217" s="62">
        <v>29360</v>
      </c>
      <c r="B5217">
        <v>0.88500000000000001</v>
      </c>
      <c r="C5217" t="str">
        <f t="shared" si="86"/>
        <v>1980 q2</v>
      </c>
    </row>
    <row r="5218" spans="1:3">
      <c r="A5218" s="62">
        <v>29361</v>
      </c>
      <c r="B5218">
        <v>0.89600000000000002</v>
      </c>
      <c r="C5218" t="str">
        <f t="shared" si="86"/>
        <v>1980 q2</v>
      </c>
    </row>
    <row r="5219" spans="1:3">
      <c r="A5219" s="62">
        <v>29362</v>
      </c>
      <c r="B5219">
        <v>0.91200000000000003</v>
      </c>
      <c r="C5219" t="str">
        <f t="shared" si="86"/>
        <v>1980 q2</v>
      </c>
    </row>
    <row r="5220" spans="1:3">
      <c r="A5220" s="62">
        <v>29363</v>
      </c>
      <c r="B5220">
        <v>0.91600000000000004</v>
      </c>
      <c r="C5220" t="str">
        <f t="shared" si="86"/>
        <v>1980 q2</v>
      </c>
    </row>
    <row r="5221" spans="1:3">
      <c r="A5221" s="62">
        <v>29364</v>
      </c>
      <c r="B5221">
        <v>0.95699999999999996</v>
      </c>
      <c r="C5221" t="str">
        <f t="shared" si="86"/>
        <v>1980 q2</v>
      </c>
    </row>
    <row r="5222" spans="1:3">
      <c r="A5222" s="62">
        <v>29368</v>
      </c>
      <c r="B5222">
        <v>0.95499999999999996</v>
      </c>
      <c r="C5222" t="str">
        <f t="shared" si="86"/>
        <v>1980 q2</v>
      </c>
    </row>
    <row r="5223" spans="1:3">
      <c r="A5223" s="62">
        <v>29369</v>
      </c>
      <c r="B5223">
        <v>0.94299999999999995</v>
      </c>
      <c r="C5223" t="str">
        <f t="shared" si="86"/>
        <v>1980 q2</v>
      </c>
    </row>
    <row r="5224" spans="1:3">
      <c r="A5224" s="62">
        <v>29370</v>
      </c>
      <c r="B5224">
        <v>0.94</v>
      </c>
      <c r="C5224" t="str">
        <f t="shared" si="86"/>
        <v>1980 q2</v>
      </c>
    </row>
    <row r="5225" spans="1:3">
      <c r="A5225" s="62">
        <v>29371</v>
      </c>
      <c r="B5225">
        <v>0.93400000000000005</v>
      </c>
      <c r="C5225" t="str">
        <f t="shared" si="86"/>
        <v>1980 q2</v>
      </c>
    </row>
    <row r="5226" spans="1:3">
      <c r="A5226" s="62">
        <v>29374</v>
      </c>
      <c r="B5226">
        <v>0.92100000000000004</v>
      </c>
      <c r="C5226" t="str">
        <f t="shared" si="86"/>
        <v>1980 q2</v>
      </c>
    </row>
    <row r="5227" spans="1:3">
      <c r="A5227" s="62">
        <v>29375</v>
      </c>
      <c r="B5227">
        <v>0.90200000000000002</v>
      </c>
      <c r="C5227" t="str">
        <f t="shared" si="86"/>
        <v>1980 q2</v>
      </c>
    </row>
    <row r="5228" spans="1:3">
      <c r="A5228" s="62">
        <v>29376</v>
      </c>
      <c r="B5228">
        <v>0.91800000000000004</v>
      </c>
      <c r="C5228" t="str">
        <f t="shared" si="86"/>
        <v>1980 q2</v>
      </c>
    </row>
    <row r="5229" spans="1:3">
      <c r="A5229" s="62">
        <v>29377</v>
      </c>
      <c r="B5229">
        <v>0.89800000000000002</v>
      </c>
      <c r="C5229" t="str">
        <f t="shared" si="86"/>
        <v>1980 q2</v>
      </c>
    </row>
    <row r="5230" spans="1:3">
      <c r="A5230" s="62">
        <v>29378</v>
      </c>
      <c r="B5230">
        <v>0.89</v>
      </c>
      <c r="C5230" t="str">
        <f t="shared" si="86"/>
        <v>1980 q2</v>
      </c>
    </row>
    <row r="5231" spans="1:3">
      <c r="A5231" s="62">
        <v>29381</v>
      </c>
      <c r="B5231">
        <v>0.88600000000000001</v>
      </c>
      <c r="C5231" t="str">
        <f t="shared" si="86"/>
        <v>1980 q2</v>
      </c>
    </row>
    <row r="5232" spans="1:3">
      <c r="A5232" s="62">
        <v>29382</v>
      </c>
      <c r="B5232">
        <v>0.84499999999999997</v>
      </c>
      <c r="C5232" t="str">
        <f t="shared" si="86"/>
        <v>1980 q2</v>
      </c>
    </row>
    <row r="5233" spans="1:3">
      <c r="A5233" s="62">
        <v>29383</v>
      </c>
      <c r="B5233">
        <v>0.84199999999999997</v>
      </c>
      <c r="C5233" t="str">
        <f t="shared" si="86"/>
        <v>1980 q2</v>
      </c>
    </row>
    <row r="5234" spans="1:3">
      <c r="A5234" s="62">
        <v>29384</v>
      </c>
      <c r="B5234">
        <v>0.85850000000000004</v>
      </c>
      <c r="C5234" t="str">
        <f t="shared" si="86"/>
        <v>1980 q2</v>
      </c>
    </row>
    <row r="5235" spans="1:3">
      <c r="A5235" s="62">
        <v>29385</v>
      </c>
      <c r="B5235">
        <v>0.84550000000000003</v>
      </c>
      <c r="C5235" t="str">
        <f t="shared" si="86"/>
        <v>1980 q2</v>
      </c>
    </row>
    <row r="5236" spans="1:3">
      <c r="A5236" s="62">
        <v>29388</v>
      </c>
      <c r="B5236">
        <v>0.84899999999999998</v>
      </c>
      <c r="C5236" t="str">
        <f t="shared" si="86"/>
        <v>1980 q2</v>
      </c>
    </row>
    <row r="5237" spans="1:3">
      <c r="A5237" s="62">
        <v>29389</v>
      </c>
      <c r="B5237">
        <v>0.86199999999999999</v>
      </c>
      <c r="C5237" t="str">
        <f t="shared" si="86"/>
        <v>1980 q2</v>
      </c>
    </row>
    <row r="5238" spans="1:3">
      <c r="A5238" s="62">
        <v>29390</v>
      </c>
      <c r="B5238">
        <v>0.85799999999999998</v>
      </c>
      <c r="C5238" t="str">
        <f t="shared" si="86"/>
        <v>1980 q2</v>
      </c>
    </row>
    <row r="5239" spans="1:3">
      <c r="A5239" s="62">
        <v>29391</v>
      </c>
      <c r="B5239">
        <v>0.86699999999999999</v>
      </c>
      <c r="C5239" t="str">
        <f t="shared" si="86"/>
        <v>1980 q2</v>
      </c>
    </row>
    <row r="5240" spans="1:3">
      <c r="A5240" s="62">
        <v>29392</v>
      </c>
      <c r="B5240">
        <v>0.87849999999999995</v>
      </c>
      <c r="C5240" t="str">
        <f t="shared" si="86"/>
        <v>1980 q2</v>
      </c>
    </row>
    <row r="5241" spans="1:3">
      <c r="A5241" s="62">
        <v>29395</v>
      </c>
      <c r="B5241">
        <v>0.86850000000000005</v>
      </c>
      <c r="C5241" t="str">
        <f t="shared" si="86"/>
        <v>1980 q2</v>
      </c>
    </row>
    <row r="5242" spans="1:3">
      <c r="A5242" s="62">
        <v>29396</v>
      </c>
      <c r="B5242">
        <v>0.86199999999999999</v>
      </c>
      <c r="C5242" t="str">
        <f t="shared" si="86"/>
        <v>1980 q2</v>
      </c>
    </row>
    <row r="5243" spans="1:3">
      <c r="A5243" s="62">
        <v>29397</v>
      </c>
      <c r="B5243">
        <v>0.86680000000000001</v>
      </c>
      <c r="C5243" t="str">
        <f t="shared" si="86"/>
        <v>1980 q2</v>
      </c>
    </row>
    <row r="5244" spans="1:3">
      <c r="A5244" s="62">
        <v>29398</v>
      </c>
      <c r="B5244">
        <v>0.86719999999999997</v>
      </c>
      <c r="C5244" t="str">
        <f t="shared" si="86"/>
        <v>1980 q2</v>
      </c>
    </row>
    <row r="5245" spans="1:3">
      <c r="A5245" s="62">
        <v>29399</v>
      </c>
      <c r="B5245">
        <v>0.91369999999999996</v>
      </c>
      <c r="C5245" t="str">
        <f t="shared" si="86"/>
        <v>1980 q2</v>
      </c>
    </row>
    <row r="5246" spans="1:3">
      <c r="A5246" s="62">
        <v>29402</v>
      </c>
      <c r="B5246">
        <v>0.92579999999999996</v>
      </c>
      <c r="C5246" t="str">
        <f t="shared" si="86"/>
        <v>1980 q2</v>
      </c>
    </row>
    <row r="5247" spans="1:3">
      <c r="A5247" s="62">
        <v>29403</v>
      </c>
      <c r="B5247">
        <v>0.92</v>
      </c>
      <c r="C5247" t="str">
        <f t="shared" si="86"/>
        <v>1980 q3</v>
      </c>
    </row>
    <row r="5248" spans="1:3">
      <c r="A5248" s="62">
        <v>29404</v>
      </c>
      <c r="B5248">
        <v>0.94799999999999995</v>
      </c>
      <c r="C5248" t="str">
        <f t="shared" si="86"/>
        <v>1980 q3</v>
      </c>
    </row>
    <row r="5249" spans="1:3">
      <c r="A5249" s="62">
        <v>29405</v>
      </c>
      <c r="B5249">
        <v>0.96799999999999997</v>
      </c>
      <c r="C5249" t="str">
        <f t="shared" si="86"/>
        <v>1980 q3</v>
      </c>
    </row>
    <row r="5250" spans="1:3">
      <c r="A5250" s="62">
        <v>29409</v>
      </c>
      <c r="B5250">
        <v>0.99099999999999999</v>
      </c>
      <c r="C5250" t="str">
        <f t="shared" si="86"/>
        <v>1980 q3</v>
      </c>
    </row>
    <row r="5251" spans="1:3">
      <c r="A5251" s="62">
        <v>29410</v>
      </c>
      <c r="B5251">
        <v>0.97399999999999998</v>
      </c>
      <c r="C5251" t="str">
        <f t="shared" si="86"/>
        <v>1980 q3</v>
      </c>
    </row>
    <row r="5252" spans="1:3">
      <c r="A5252" s="62">
        <v>29411</v>
      </c>
      <c r="B5252">
        <v>0.98250000000000004</v>
      </c>
      <c r="C5252" t="str">
        <f t="shared" si="86"/>
        <v>1980 q3</v>
      </c>
    </row>
    <row r="5253" spans="1:3">
      <c r="A5253" s="62">
        <v>29412</v>
      </c>
      <c r="B5253">
        <v>0.97199999999999998</v>
      </c>
      <c r="C5253" t="str">
        <f t="shared" si="86"/>
        <v>1980 q3</v>
      </c>
    </row>
    <row r="5254" spans="1:3">
      <c r="A5254" s="62">
        <v>29413</v>
      </c>
      <c r="B5254">
        <v>0.98499999999999999</v>
      </c>
      <c r="C5254" t="str">
        <f t="shared" si="86"/>
        <v>1980 q3</v>
      </c>
    </row>
    <row r="5255" spans="1:3">
      <c r="A5255" s="62">
        <v>29416</v>
      </c>
      <c r="B5255">
        <v>0.98550000000000004</v>
      </c>
      <c r="C5255" t="str">
        <f t="shared" si="86"/>
        <v>1980 q3</v>
      </c>
    </row>
    <row r="5256" spans="1:3">
      <c r="A5256" s="62">
        <v>29417</v>
      </c>
      <c r="B5256">
        <v>0.96299999999999997</v>
      </c>
      <c r="C5256" t="str">
        <f t="shared" si="86"/>
        <v>1980 q3</v>
      </c>
    </row>
    <row r="5257" spans="1:3">
      <c r="A5257" s="62">
        <v>29418</v>
      </c>
      <c r="B5257">
        <v>0.97199999999999998</v>
      </c>
      <c r="C5257" t="str">
        <f t="shared" si="86"/>
        <v>1980 q3</v>
      </c>
    </row>
    <row r="5258" spans="1:3">
      <c r="A5258" s="62">
        <v>29419</v>
      </c>
      <c r="B5258">
        <v>0.97699999999999998</v>
      </c>
      <c r="C5258" t="str">
        <f t="shared" si="86"/>
        <v>1980 q3</v>
      </c>
    </row>
    <row r="5259" spans="1:3">
      <c r="A5259" s="62">
        <v>29420</v>
      </c>
      <c r="B5259">
        <v>1.0189999999999999</v>
      </c>
      <c r="C5259" t="str">
        <f t="shared" si="86"/>
        <v>1980 q3</v>
      </c>
    </row>
    <row r="5260" spans="1:3">
      <c r="A5260" s="62">
        <v>29423</v>
      </c>
      <c r="B5260">
        <v>1.0289999999999999</v>
      </c>
      <c r="C5260" t="str">
        <f t="shared" si="86"/>
        <v>1980 q3</v>
      </c>
    </row>
    <row r="5261" spans="1:3">
      <c r="A5261" s="62">
        <v>29424</v>
      </c>
      <c r="B5261">
        <v>1.0449999999999999</v>
      </c>
      <c r="C5261" t="str">
        <f t="shared" si="86"/>
        <v>1980 q3</v>
      </c>
    </row>
    <row r="5262" spans="1:3">
      <c r="A5262" s="62">
        <v>29425</v>
      </c>
      <c r="B5262">
        <v>1.0369999999999999</v>
      </c>
      <c r="C5262" t="str">
        <f t="shared" si="86"/>
        <v>1980 q3</v>
      </c>
    </row>
    <row r="5263" spans="1:3">
      <c r="A5263" s="62">
        <v>29426</v>
      </c>
      <c r="B5263">
        <v>1.0349999999999999</v>
      </c>
      <c r="C5263" t="str">
        <f t="shared" si="86"/>
        <v>1980 q3</v>
      </c>
    </row>
    <row r="5264" spans="1:3">
      <c r="A5264" s="62">
        <v>29427</v>
      </c>
      <c r="B5264">
        <v>1.0289999999999999</v>
      </c>
      <c r="C5264" t="str">
        <f t="shared" si="86"/>
        <v>1980 q3</v>
      </c>
    </row>
    <row r="5265" spans="1:3">
      <c r="A5265" s="62">
        <v>29430</v>
      </c>
      <c r="B5265">
        <v>1.03</v>
      </c>
      <c r="C5265" t="str">
        <f t="shared" si="86"/>
        <v>1980 q3</v>
      </c>
    </row>
    <row r="5266" spans="1:3">
      <c r="A5266" s="62">
        <v>29431</v>
      </c>
      <c r="B5266">
        <v>0.99299999999999999</v>
      </c>
      <c r="C5266" t="str">
        <f t="shared" ref="C5266:C5329" si="87">YEAR(A5266)&amp;" q"&amp;ROUNDUP(MONTH(A5266)/3,0)</f>
        <v>1980 q3</v>
      </c>
    </row>
    <row r="5267" spans="1:3">
      <c r="A5267" s="62">
        <v>29432</v>
      </c>
      <c r="B5267">
        <v>0.94799999999999995</v>
      </c>
      <c r="C5267" t="str">
        <f t="shared" si="87"/>
        <v>1980 q3</v>
      </c>
    </row>
    <row r="5268" spans="1:3">
      <c r="A5268" s="62">
        <v>29433</v>
      </c>
      <c r="B5268">
        <v>0.95799999999999996</v>
      </c>
      <c r="C5268" t="str">
        <f t="shared" si="87"/>
        <v>1980 q3</v>
      </c>
    </row>
    <row r="5269" spans="1:3">
      <c r="A5269" s="62">
        <v>29434</v>
      </c>
      <c r="B5269">
        <v>0.94599999999999995</v>
      </c>
      <c r="C5269" t="str">
        <f t="shared" si="87"/>
        <v>1980 q3</v>
      </c>
    </row>
    <row r="5270" spans="1:3">
      <c r="A5270" s="62">
        <v>29437</v>
      </c>
      <c r="B5270">
        <v>0.95699999999999996</v>
      </c>
      <c r="C5270" t="str">
        <f t="shared" si="87"/>
        <v>1980 q3</v>
      </c>
    </row>
    <row r="5271" spans="1:3">
      <c r="A5271" s="62">
        <v>29438</v>
      </c>
      <c r="B5271">
        <v>0.97450000000000003</v>
      </c>
      <c r="C5271" t="str">
        <f t="shared" si="87"/>
        <v>1980 q3</v>
      </c>
    </row>
    <row r="5272" spans="1:3">
      <c r="A5272" s="62">
        <v>29439</v>
      </c>
      <c r="B5272">
        <v>0.98799999999999999</v>
      </c>
      <c r="C5272" t="str">
        <f t="shared" si="87"/>
        <v>1980 q3</v>
      </c>
    </row>
    <row r="5273" spans="1:3">
      <c r="A5273" s="62">
        <v>29440</v>
      </c>
      <c r="B5273">
        <v>0.97850000000000004</v>
      </c>
      <c r="C5273" t="str">
        <f t="shared" si="87"/>
        <v>1980 q3</v>
      </c>
    </row>
    <row r="5274" spans="1:3">
      <c r="A5274" s="62">
        <v>29441</v>
      </c>
      <c r="B5274">
        <v>0.96650000000000003</v>
      </c>
      <c r="C5274" t="str">
        <f t="shared" si="87"/>
        <v>1980 q3</v>
      </c>
    </row>
    <row r="5275" spans="1:3">
      <c r="A5275" s="62">
        <v>29444</v>
      </c>
      <c r="B5275">
        <v>0.96650000000000003</v>
      </c>
      <c r="C5275" t="str">
        <f t="shared" si="87"/>
        <v>1980 q3</v>
      </c>
    </row>
    <row r="5276" spans="1:3">
      <c r="A5276" s="62">
        <v>29445</v>
      </c>
      <c r="B5276">
        <v>0.98299999999999998</v>
      </c>
      <c r="C5276" t="str">
        <f t="shared" si="87"/>
        <v>1980 q3</v>
      </c>
    </row>
    <row r="5277" spans="1:3">
      <c r="A5277" s="62">
        <v>29446</v>
      </c>
      <c r="B5277">
        <v>0.98699999999999999</v>
      </c>
      <c r="C5277" t="str">
        <f t="shared" si="87"/>
        <v>1980 q3</v>
      </c>
    </row>
    <row r="5278" spans="1:3">
      <c r="A5278" s="62">
        <v>29447</v>
      </c>
      <c r="B5278">
        <v>0.96699999999999997</v>
      </c>
      <c r="C5278" t="str">
        <f t="shared" si="87"/>
        <v>1980 q3</v>
      </c>
    </row>
    <row r="5279" spans="1:3">
      <c r="A5279" s="62">
        <v>29448</v>
      </c>
      <c r="B5279">
        <v>0.91700000000000004</v>
      </c>
      <c r="C5279" t="str">
        <f t="shared" si="87"/>
        <v>1980 q3</v>
      </c>
    </row>
    <row r="5280" spans="1:3">
      <c r="A5280" s="62">
        <v>29451</v>
      </c>
      <c r="B5280">
        <v>0.89700000000000002</v>
      </c>
      <c r="C5280" t="str">
        <f t="shared" si="87"/>
        <v>1980 q3</v>
      </c>
    </row>
    <row r="5281" spans="1:3">
      <c r="A5281" s="62">
        <v>29452</v>
      </c>
      <c r="B5281">
        <v>0.90600000000000003</v>
      </c>
      <c r="C5281" t="str">
        <f t="shared" si="87"/>
        <v>1980 q3</v>
      </c>
    </row>
    <row r="5282" spans="1:3">
      <c r="A5282" s="62">
        <v>29453</v>
      </c>
      <c r="B5282">
        <v>0.91449999999999998</v>
      </c>
      <c r="C5282" t="str">
        <f t="shared" si="87"/>
        <v>1980 q3</v>
      </c>
    </row>
    <row r="5283" spans="1:3">
      <c r="A5283" s="62">
        <v>29454</v>
      </c>
      <c r="B5283">
        <v>0.89249999999999996</v>
      </c>
      <c r="C5283" t="str">
        <f t="shared" si="87"/>
        <v>1980 q3</v>
      </c>
    </row>
    <row r="5284" spans="1:3">
      <c r="A5284" s="62">
        <v>29455</v>
      </c>
      <c r="B5284">
        <v>0.90900000000000003</v>
      </c>
      <c r="C5284" t="str">
        <f t="shared" si="87"/>
        <v>1980 q3</v>
      </c>
    </row>
    <row r="5285" spans="1:3">
      <c r="A5285" s="62">
        <v>29458</v>
      </c>
      <c r="B5285">
        <v>0.90100000000000002</v>
      </c>
      <c r="C5285" t="str">
        <f t="shared" si="87"/>
        <v>1980 q3</v>
      </c>
    </row>
    <row r="5286" spans="1:3">
      <c r="A5286" s="62">
        <v>29459</v>
      </c>
      <c r="B5286">
        <v>0.90149999999999997</v>
      </c>
      <c r="C5286" t="str">
        <f t="shared" si="87"/>
        <v>1980 q3</v>
      </c>
    </row>
    <row r="5287" spans="1:3">
      <c r="A5287" s="62">
        <v>29460</v>
      </c>
      <c r="B5287">
        <v>0.90680000000000005</v>
      </c>
      <c r="C5287" t="str">
        <f t="shared" si="87"/>
        <v>1980 q3</v>
      </c>
    </row>
    <row r="5288" spans="1:3">
      <c r="A5288" s="62">
        <v>29461</v>
      </c>
      <c r="B5288">
        <v>0.87880000000000003</v>
      </c>
      <c r="C5288" t="str">
        <f t="shared" si="87"/>
        <v>1980 q3</v>
      </c>
    </row>
    <row r="5289" spans="1:3">
      <c r="A5289" s="62">
        <v>29462</v>
      </c>
      <c r="B5289">
        <v>0.8952</v>
      </c>
      <c r="C5289" t="str">
        <f t="shared" si="87"/>
        <v>1980 q3</v>
      </c>
    </row>
    <row r="5290" spans="1:3">
      <c r="A5290" s="62">
        <v>29466</v>
      </c>
      <c r="B5290">
        <v>0.91149999999999998</v>
      </c>
      <c r="C5290" t="str">
        <f t="shared" si="87"/>
        <v>1980 q3</v>
      </c>
    </row>
    <row r="5291" spans="1:3">
      <c r="A5291" s="62">
        <v>29467</v>
      </c>
      <c r="B5291">
        <v>0.90200000000000002</v>
      </c>
      <c r="C5291" t="str">
        <f t="shared" si="87"/>
        <v>1980 q3</v>
      </c>
    </row>
    <row r="5292" spans="1:3">
      <c r="A5292" s="62">
        <v>29468</v>
      </c>
      <c r="B5292">
        <v>0.92349999999999999</v>
      </c>
      <c r="C5292" t="str">
        <f t="shared" si="87"/>
        <v>1980 q3</v>
      </c>
    </row>
    <row r="5293" spans="1:3">
      <c r="A5293" s="62">
        <v>29469</v>
      </c>
      <c r="B5293">
        <v>0.92049999999999998</v>
      </c>
      <c r="C5293" t="str">
        <f t="shared" si="87"/>
        <v>1980 q3</v>
      </c>
    </row>
    <row r="5294" spans="1:3">
      <c r="A5294" s="62">
        <v>29472</v>
      </c>
      <c r="B5294">
        <v>0.94599999999999995</v>
      </c>
      <c r="C5294" t="str">
        <f t="shared" si="87"/>
        <v>1980 q3</v>
      </c>
    </row>
    <row r="5295" spans="1:3">
      <c r="A5295" s="62">
        <v>29473</v>
      </c>
      <c r="B5295">
        <v>0.9395</v>
      </c>
      <c r="C5295" t="str">
        <f t="shared" si="87"/>
        <v>1980 q3</v>
      </c>
    </row>
    <row r="5296" spans="1:3">
      <c r="A5296" s="62">
        <v>29474</v>
      </c>
      <c r="B5296">
        <v>0.96299999999999997</v>
      </c>
      <c r="C5296" t="str">
        <f t="shared" si="87"/>
        <v>1980 q3</v>
      </c>
    </row>
    <row r="5297" spans="1:3">
      <c r="A5297" s="62">
        <v>29475</v>
      </c>
      <c r="B5297">
        <v>0.97950000000000004</v>
      </c>
      <c r="C5297" t="str">
        <f t="shared" si="87"/>
        <v>1980 q3</v>
      </c>
    </row>
    <row r="5298" spans="1:3">
      <c r="A5298" s="62">
        <v>29476</v>
      </c>
      <c r="B5298">
        <v>0.97599999999999998</v>
      </c>
      <c r="C5298" t="str">
        <f t="shared" si="87"/>
        <v>1980 q3</v>
      </c>
    </row>
    <row r="5299" spans="1:3">
      <c r="A5299" s="62">
        <v>29479</v>
      </c>
      <c r="B5299">
        <v>0.93600000000000005</v>
      </c>
      <c r="C5299" t="str">
        <f t="shared" si="87"/>
        <v>1980 q3</v>
      </c>
    </row>
    <row r="5300" spans="1:3">
      <c r="A5300" s="62">
        <v>29480</v>
      </c>
      <c r="B5300">
        <v>0.95350000000000001</v>
      </c>
      <c r="C5300" t="str">
        <f t="shared" si="87"/>
        <v>1980 q3</v>
      </c>
    </row>
    <row r="5301" spans="1:3">
      <c r="A5301" s="62">
        <v>29481</v>
      </c>
      <c r="B5301">
        <v>0.94650000000000001</v>
      </c>
      <c r="C5301" t="str">
        <f t="shared" si="87"/>
        <v>1980 q3</v>
      </c>
    </row>
    <row r="5302" spans="1:3">
      <c r="A5302" s="62">
        <v>29482</v>
      </c>
      <c r="B5302">
        <v>0.94499999999999995</v>
      </c>
      <c r="C5302" t="str">
        <f t="shared" si="87"/>
        <v>1980 q3</v>
      </c>
    </row>
    <row r="5303" spans="1:3">
      <c r="A5303" s="62">
        <v>29483</v>
      </c>
      <c r="B5303">
        <v>0.96399999999999997</v>
      </c>
      <c r="C5303" t="str">
        <f t="shared" si="87"/>
        <v>1980 q3</v>
      </c>
    </row>
    <row r="5304" spans="1:3">
      <c r="A5304" s="62">
        <v>29486</v>
      </c>
      <c r="B5304">
        <v>1.014</v>
      </c>
      <c r="C5304" t="str">
        <f t="shared" si="87"/>
        <v>1980 q3</v>
      </c>
    </row>
    <row r="5305" spans="1:3">
      <c r="A5305" s="62">
        <v>29487</v>
      </c>
      <c r="B5305">
        <v>1.024</v>
      </c>
      <c r="C5305" t="str">
        <f t="shared" si="87"/>
        <v>1980 q3</v>
      </c>
    </row>
    <row r="5306" spans="1:3">
      <c r="A5306" s="62">
        <v>29488</v>
      </c>
      <c r="B5306">
        <v>1.0089999999999999</v>
      </c>
      <c r="C5306" t="str">
        <f t="shared" si="87"/>
        <v>1980 q3</v>
      </c>
    </row>
    <row r="5307" spans="1:3">
      <c r="A5307" s="62">
        <v>29489</v>
      </c>
      <c r="B5307">
        <v>0.99050000000000005</v>
      </c>
      <c r="C5307" t="str">
        <f t="shared" si="87"/>
        <v>1980 q3</v>
      </c>
    </row>
    <row r="5308" spans="1:3">
      <c r="A5308" s="62">
        <v>29490</v>
      </c>
      <c r="B5308">
        <v>0.9405</v>
      </c>
      <c r="C5308" t="str">
        <f t="shared" si="87"/>
        <v>1980 q3</v>
      </c>
    </row>
    <row r="5309" spans="1:3">
      <c r="A5309" s="62">
        <v>29493</v>
      </c>
      <c r="B5309">
        <v>0.91500000000000004</v>
      </c>
      <c r="C5309" t="str">
        <f t="shared" si="87"/>
        <v>1980 q3</v>
      </c>
    </row>
    <row r="5310" spans="1:3">
      <c r="A5310" s="62">
        <v>29494</v>
      </c>
      <c r="B5310">
        <v>0.9345</v>
      </c>
      <c r="C5310" t="str">
        <f t="shared" si="87"/>
        <v>1980 q3</v>
      </c>
    </row>
    <row r="5311" spans="1:3">
      <c r="A5311" s="62">
        <v>29495</v>
      </c>
      <c r="B5311">
        <v>0.93899999999999995</v>
      </c>
      <c r="C5311" t="str">
        <f t="shared" si="87"/>
        <v>1980 q4</v>
      </c>
    </row>
    <row r="5312" spans="1:3">
      <c r="A5312" s="62">
        <v>29496</v>
      </c>
      <c r="B5312">
        <v>0.92100000000000004</v>
      </c>
      <c r="C5312" t="str">
        <f t="shared" si="87"/>
        <v>1980 q4</v>
      </c>
    </row>
    <row r="5313" spans="1:3">
      <c r="A5313" s="62">
        <v>29497</v>
      </c>
      <c r="B5313">
        <v>0.93049999999999999</v>
      </c>
      <c r="C5313" t="str">
        <f t="shared" si="87"/>
        <v>1980 q4</v>
      </c>
    </row>
    <row r="5314" spans="1:3">
      <c r="A5314" s="62">
        <v>29500</v>
      </c>
      <c r="B5314">
        <v>0.95499999999999996</v>
      </c>
      <c r="C5314" t="str">
        <f t="shared" si="87"/>
        <v>1980 q4</v>
      </c>
    </row>
    <row r="5315" spans="1:3">
      <c r="A5315" s="62">
        <v>29501</v>
      </c>
      <c r="B5315">
        <v>0.94799999999999995</v>
      </c>
      <c r="C5315" t="str">
        <f t="shared" si="87"/>
        <v>1980 q4</v>
      </c>
    </row>
    <row r="5316" spans="1:3">
      <c r="A5316" s="62">
        <v>29502</v>
      </c>
      <c r="B5316">
        <v>0.94450000000000001</v>
      </c>
      <c r="C5316" t="str">
        <f t="shared" si="87"/>
        <v>1980 q4</v>
      </c>
    </row>
    <row r="5317" spans="1:3">
      <c r="A5317" s="62">
        <v>29503</v>
      </c>
      <c r="B5317">
        <v>0.96250000000000002</v>
      </c>
      <c r="C5317" t="str">
        <f t="shared" si="87"/>
        <v>1980 q4</v>
      </c>
    </row>
    <row r="5318" spans="1:3">
      <c r="A5318" s="62">
        <v>29504</v>
      </c>
      <c r="B5318">
        <v>0.93100000000000005</v>
      </c>
      <c r="C5318" t="str">
        <f t="shared" si="87"/>
        <v>1980 q4</v>
      </c>
    </row>
    <row r="5319" spans="1:3">
      <c r="A5319" s="62">
        <v>29507</v>
      </c>
      <c r="B5319">
        <v>0.94550000000000001</v>
      </c>
      <c r="C5319" t="str">
        <f t="shared" si="87"/>
        <v>1980 q4</v>
      </c>
    </row>
    <row r="5320" spans="1:3">
      <c r="A5320" s="62">
        <v>29508</v>
      </c>
      <c r="B5320">
        <v>0.95699999999999996</v>
      </c>
      <c r="C5320" t="str">
        <f t="shared" si="87"/>
        <v>1980 q4</v>
      </c>
    </row>
    <row r="5321" spans="1:3">
      <c r="A5321" s="62">
        <v>29509</v>
      </c>
      <c r="B5321">
        <v>0.96450000000000002</v>
      </c>
      <c r="C5321" t="str">
        <f t="shared" si="87"/>
        <v>1980 q4</v>
      </c>
    </row>
    <row r="5322" spans="1:3">
      <c r="A5322" s="62">
        <v>29510</v>
      </c>
      <c r="B5322">
        <v>0.95450000000000002</v>
      </c>
      <c r="C5322" t="str">
        <f t="shared" si="87"/>
        <v>1980 q4</v>
      </c>
    </row>
    <row r="5323" spans="1:3">
      <c r="A5323" s="62">
        <v>29511</v>
      </c>
      <c r="B5323">
        <v>0.93700000000000006</v>
      </c>
      <c r="C5323" t="str">
        <f t="shared" si="87"/>
        <v>1980 q4</v>
      </c>
    </row>
    <row r="5324" spans="1:3">
      <c r="A5324" s="62">
        <v>29514</v>
      </c>
      <c r="B5324">
        <v>0.94850000000000001</v>
      </c>
      <c r="C5324" t="str">
        <f t="shared" si="87"/>
        <v>1980 q4</v>
      </c>
    </row>
    <row r="5325" spans="1:3">
      <c r="A5325" s="62">
        <v>29515</v>
      </c>
      <c r="B5325">
        <v>0.95899999999999996</v>
      </c>
      <c r="C5325" t="str">
        <f t="shared" si="87"/>
        <v>1980 q4</v>
      </c>
    </row>
    <row r="5326" spans="1:3">
      <c r="A5326" s="62">
        <v>29516</v>
      </c>
      <c r="B5326">
        <v>0.95699999999999996</v>
      </c>
      <c r="C5326" t="str">
        <f t="shared" si="87"/>
        <v>1980 q4</v>
      </c>
    </row>
    <row r="5327" spans="1:3">
      <c r="A5327" s="62">
        <v>29517</v>
      </c>
      <c r="B5327">
        <v>0.97499999999999998</v>
      </c>
      <c r="C5327" t="str">
        <f t="shared" si="87"/>
        <v>1980 q4</v>
      </c>
    </row>
    <row r="5328" spans="1:3">
      <c r="A5328" s="62">
        <v>29518</v>
      </c>
      <c r="B5328">
        <v>0.97150000000000003</v>
      </c>
      <c r="C5328" t="str">
        <f t="shared" si="87"/>
        <v>1980 q4</v>
      </c>
    </row>
    <row r="5329" spans="1:3">
      <c r="A5329" s="62">
        <v>29521</v>
      </c>
      <c r="B5329">
        <v>0.95850000000000002</v>
      </c>
      <c r="C5329" t="str">
        <f t="shared" si="87"/>
        <v>1980 q4</v>
      </c>
    </row>
    <row r="5330" spans="1:3">
      <c r="A5330" s="62">
        <v>29522</v>
      </c>
      <c r="B5330">
        <v>0.96750000000000003</v>
      </c>
      <c r="C5330" t="str">
        <f t="shared" ref="C5330:C5393" si="88">YEAR(A5330)&amp;" q"&amp;ROUNDUP(MONTH(A5330)/3,0)</f>
        <v>1980 q4</v>
      </c>
    </row>
    <row r="5331" spans="1:3">
      <c r="A5331" s="62">
        <v>29523</v>
      </c>
      <c r="B5331">
        <v>0.96399999999999997</v>
      </c>
      <c r="C5331" t="str">
        <f t="shared" si="88"/>
        <v>1980 q4</v>
      </c>
    </row>
    <row r="5332" spans="1:3">
      <c r="A5332" s="62">
        <v>29524</v>
      </c>
      <c r="B5332">
        <v>0.95950000000000002</v>
      </c>
      <c r="C5332" t="str">
        <f t="shared" si="88"/>
        <v>1980 q4</v>
      </c>
    </row>
    <row r="5333" spans="1:3">
      <c r="A5333" s="62">
        <v>29525</v>
      </c>
      <c r="B5333">
        <v>0.93899999999999995</v>
      </c>
      <c r="C5333" t="str">
        <f t="shared" si="88"/>
        <v>1980 q4</v>
      </c>
    </row>
    <row r="5334" spans="1:3">
      <c r="A5334" s="62">
        <v>29528</v>
      </c>
      <c r="B5334">
        <v>0.94499999999999995</v>
      </c>
      <c r="C5334" t="str">
        <f t="shared" si="88"/>
        <v>1980 q4</v>
      </c>
    </row>
    <row r="5335" spans="1:3">
      <c r="A5335" s="62">
        <v>29530</v>
      </c>
      <c r="B5335">
        <v>0.94899999999999995</v>
      </c>
      <c r="C5335" t="str">
        <f t="shared" si="88"/>
        <v>1980 q4</v>
      </c>
    </row>
    <row r="5336" spans="1:3">
      <c r="A5336" s="62">
        <v>29531</v>
      </c>
      <c r="B5336">
        <v>0.92100000000000004</v>
      </c>
      <c r="C5336" t="str">
        <f t="shared" si="88"/>
        <v>1980 q4</v>
      </c>
    </row>
    <row r="5337" spans="1:3">
      <c r="A5337" s="62">
        <v>29532</v>
      </c>
      <c r="B5337">
        <v>0.92</v>
      </c>
      <c r="C5337" t="str">
        <f t="shared" si="88"/>
        <v>1980 q4</v>
      </c>
    </row>
    <row r="5338" spans="1:3">
      <c r="A5338" s="62">
        <v>29535</v>
      </c>
      <c r="B5338">
        <v>0.91800000000000004</v>
      </c>
      <c r="C5338" t="str">
        <f t="shared" si="88"/>
        <v>1980 q4</v>
      </c>
    </row>
    <row r="5339" spans="1:3">
      <c r="A5339" s="62">
        <v>29536</v>
      </c>
      <c r="B5339">
        <v>0.90800000000000003</v>
      </c>
      <c r="C5339" t="str">
        <f t="shared" si="88"/>
        <v>1980 q4</v>
      </c>
    </row>
    <row r="5340" spans="1:3">
      <c r="A5340" s="62">
        <v>29537</v>
      </c>
      <c r="B5340">
        <v>0.92349999999999999</v>
      </c>
      <c r="C5340" t="str">
        <f t="shared" si="88"/>
        <v>1980 q4</v>
      </c>
    </row>
    <row r="5341" spans="1:3">
      <c r="A5341" s="62">
        <v>29538</v>
      </c>
      <c r="B5341">
        <v>0.92300000000000004</v>
      </c>
      <c r="C5341" t="str">
        <f t="shared" si="88"/>
        <v>1980 q4</v>
      </c>
    </row>
    <row r="5342" spans="1:3">
      <c r="A5342" s="62">
        <v>29539</v>
      </c>
      <c r="B5342">
        <v>0.92200000000000004</v>
      </c>
      <c r="C5342" t="str">
        <f t="shared" si="88"/>
        <v>1980 q4</v>
      </c>
    </row>
    <row r="5343" spans="1:3">
      <c r="A5343" s="62">
        <v>29542</v>
      </c>
      <c r="B5343">
        <v>0.91849999999999998</v>
      </c>
      <c r="C5343" t="str">
        <f t="shared" si="88"/>
        <v>1980 q4</v>
      </c>
    </row>
    <row r="5344" spans="1:3">
      <c r="A5344" s="62">
        <v>29543</v>
      </c>
      <c r="B5344">
        <v>0.93600000000000005</v>
      </c>
      <c r="C5344" t="str">
        <f t="shared" si="88"/>
        <v>1980 q4</v>
      </c>
    </row>
    <row r="5345" spans="1:3">
      <c r="A5345" s="62">
        <v>29544</v>
      </c>
      <c r="B5345">
        <v>0.93100000000000005</v>
      </c>
      <c r="C5345" t="str">
        <f t="shared" si="88"/>
        <v>1980 q4</v>
      </c>
    </row>
    <row r="5346" spans="1:3">
      <c r="A5346" s="62">
        <v>29545</v>
      </c>
      <c r="B5346">
        <v>0.92949999999999999</v>
      </c>
      <c r="C5346" t="str">
        <f t="shared" si="88"/>
        <v>1980 q4</v>
      </c>
    </row>
    <row r="5347" spans="1:3">
      <c r="A5347" s="62">
        <v>29546</v>
      </c>
      <c r="B5347">
        <v>0.93</v>
      </c>
      <c r="C5347" t="str">
        <f t="shared" si="88"/>
        <v>1980 q4</v>
      </c>
    </row>
    <row r="5348" spans="1:3">
      <c r="A5348" s="62">
        <v>29549</v>
      </c>
      <c r="B5348">
        <v>0.90959999999999996</v>
      </c>
      <c r="C5348" t="str">
        <f t="shared" si="88"/>
        <v>1980 q4</v>
      </c>
    </row>
    <row r="5349" spans="1:3">
      <c r="A5349" s="62">
        <v>29550</v>
      </c>
      <c r="B5349">
        <v>0.91120000000000001</v>
      </c>
      <c r="C5349" t="str">
        <f t="shared" si="88"/>
        <v>1980 q4</v>
      </c>
    </row>
    <row r="5350" spans="1:3">
      <c r="A5350" s="62">
        <v>29551</v>
      </c>
      <c r="B5350">
        <v>0.91920000000000002</v>
      </c>
      <c r="C5350" t="str">
        <f t="shared" si="88"/>
        <v>1980 q4</v>
      </c>
    </row>
    <row r="5351" spans="1:3">
      <c r="A5351" s="62">
        <v>29553</v>
      </c>
      <c r="B5351">
        <v>0.91600000000000004</v>
      </c>
      <c r="C5351" t="str">
        <f t="shared" si="88"/>
        <v>1980 q4</v>
      </c>
    </row>
    <row r="5352" spans="1:3">
      <c r="A5352" s="62">
        <v>29556</v>
      </c>
      <c r="B5352">
        <v>0.91549999999999998</v>
      </c>
      <c r="C5352" t="str">
        <f t="shared" si="88"/>
        <v>1980 q4</v>
      </c>
    </row>
    <row r="5353" spans="1:3">
      <c r="A5353" s="62">
        <v>29557</v>
      </c>
      <c r="B5353">
        <v>0.88600000000000001</v>
      </c>
      <c r="C5353" t="str">
        <f t="shared" si="88"/>
        <v>1980 q4</v>
      </c>
    </row>
    <row r="5354" spans="1:3">
      <c r="A5354" s="62">
        <v>29558</v>
      </c>
      <c r="B5354">
        <v>0.88300000000000001</v>
      </c>
      <c r="C5354" t="str">
        <f t="shared" si="88"/>
        <v>1980 q4</v>
      </c>
    </row>
    <row r="5355" spans="1:3">
      <c r="A5355" s="62">
        <v>29559</v>
      </c>
      <c r="B5355">
        <v>0.86799999999999999</v>
      </c>
      <c r="C5355" t="str">
        <f t="shared" si="88"/>
        <v>1980 q4</v>
      </c>
    </row>
    <row r="5356" spans="1:3">
      <c r="A5356" s="62">
        <v>29560</v>
      </c>
      <c r="B5356">
        <v>0.86650000000000005</v>
      </c>
      <c r="C5356" t="str">
        <f t="shared" si="88"/>
        <v>1980 q4</v>
      </c>
    </row>
    <row r="5357" spans="1:3">
      <c r="A5357" s="62">
        <v>29563</v>
      </c>
      <c r="B5357">
        <v>0.86499999999999999</v>
      </c>
      <c r="C5357" t="str">
        <f t="shared" si="88"/>
        <v>1980 q4</v>
      </c>
    </row>
    <row r="5358" spans="1:3">
      <c r="A5358" s="62">
        <v>29564</v>
      </c>
      <c r="B5358">
        <v>0.83450000000000002</v>
      </c>
      <c r="C5358" t="str">
        <f t="shared" si="88"/>
        <v>1980 q4</v>
      </c>
    </row>
    <row r="5359" spans="1:3">
      <c r="A5359" s="62">
        <v>29565</v>
      </c>
      <c r="B5359">
        <v>0.8075</v>
      </c>
      <c r="C5359" t="str">
        <f t="shared" si="88"/>
        <v>1980 q4</v>
      </c>
    </row>
    <row r="5360" spans="1:3">
      <c r="A5360" s="62">
        <v>29566</v>
      </c>
      <c r="B5360">
        <v>0.78600000000000003</v>
      </c>
      <c r="C5360" t="str">
        <f t="shared" si="88"/>
        <v>1980 q4</v>
      </c>
    </row>
    <row r="5361" spans="1:3">
      <c r="A5361" s="62">
        <v>29567</v>
      </c>
      <c r="B5361">
        <v>0.80900000000000005</v>
      </c>
      <c r="C5361" t="str">
        <f t="shared" si="88"/>
        <v>1980 q4</v>
      </c>
    </row>
    <row r="5362" spans="1:3">
      <c r="A5362" s="62">
        <v>29570</v>
      </c>
      <c r="B5362">
        <v>0.81899999999999995</v>
      </c>
      <c r="C5362" t="str">
        <f t="shared" si="88"/>
        <v>1980 q4</v>
      </c>
    </row>
    <row r="5363" spans="1:3">
      <c r="A5363" s="62">
        <v>29571</v>
      </c>
      <c r="B5363">
        <v>0.80200000000000005</v>
      </c>
      <c r="C5363" t="str">
        <f t="shared" si="88"/>
        <v>1980 q4</v>
      </c>
    </row>
    <row r="5364" spans="1:3">
      <c r="A5364" s="62">
        <v>29572</v>
      </c>
      <c r="B5364">
        <v>0.82150000000000001</v>
      </c>
      <c r="C5364" t="str">
        <f t="shared" si="88"/>
        <v>1980 q4</v>
      </c>
    </row>
    <row r="5365" spans="1:3">
      <c r="A5365" s="62">
        <v>29573</v>
      </c>
      <c r="B5365">
        <v>0.82699999999999996</v>
      </c>
      <c r="C5365" t="str">
        <f t="shared" si="88"/>
        <v>1980 q4</v>
      </c>
    </row>
    <row r="5366" spans="1:3">
      <c r="A5366" s="62">
        <v>29574</v>
      </c>
      <c r="B5366">
        <v>0.84350000000000003</v>
      </c>
      <c r="C5366" t="str">
        <f t="shared" si="88"/>
        <v>1980 q4</v>
      </c>
    </row>
    <row r="5367" spans="1:3">
      <c r="A5367" s="62">
        <v>29577</v>
      </c>
      <c r="B5367">
        <v>0.84450000000000003</v>
      </c>
      <c r="C5367" t="str">
        <f t="shared" si="88"/>
        <v>1980 q4</v>
      </c>
    </row>
    <row r="5368" spans="1:3">
      <c r="A5368" s="62">
        <v>29578</v>
      </c>
      <c r="B5368">
        <v>0.85599999999999998</v>
      </c>
      <c r="C5368" t="str">
        <f t="shared" si="88"/>
        <v>1980 q4</v>
      </c>
    </row>
    <row r="5369" spans="1:3">
      <c r="A5369" s="62">
        <v>29579</v>
      </c>
      <c r="B5369">
        <v>0.87239999999999995</v>
      </c>
      <c r="C5369" t="str">
        <f t="shared" si="88"/>
        <v>1980 q4</v>
      </c>
    </row>
    <row r="5370" spans="1:3">
      <c r="A5370" s="62">
        <v>29584</v>
      </c>
      <c r="B5370">
        <v>0.86040000000000005</v>
      </c>
      <c r="C5370" t="str">
        <f t="shared" si="88"/>
        <v>1980 q4</v>
      </c>
    </row>
    <row r="5371" spans="1:3">
      <c r="A5371" s="62">
        <v>29585</v>
      </c>
      <c r="B5371">
        <v>0.84960000000000002</v>
      </c>
      <c r="C5371" t="str">
        <f t="shared" si="88"/>
        <v>1980 q4</v>
      </c>
    </row>
    <row r="5372" spans="1:3">
      <c r="A5372" s="62">
        <v>29586</v>
      </c>
      <c r="B5372">
        <v>0.8599</v>
      </c>
      <c r="C5372" t="str">
        <f t="shared" si="88"/>
        <v>1980 q4</v>
      </c>
    </row>
    <row r="5373" spans="1:3">
      <c r="A5373" s="62">
        <v>29588</v>
      </c>
      <c r="B5373">
        <v>0.88</v>
      </c>
      <c r="C5373" t="str">
        <f t="shared" si="88"/>
        <v>1981 q1</v>
      </c>
    </row>
    <row r="5374" spans="1:3">
      <c r="A5374" s="62">
        <v>29591</v>
      </c>
      <c r="B5374">
        <v>0.90900000000000003</v>
      </c>
      <c r="C5374" t="str">
        <f t="shared" si="88"/>
        <v>1981 q1</v>
      </c>
    </row>
    <row r="5375" spans="1:3">
      <c r="A5375" s="62">
        <v>29592</v>
      </c>
      <c r="B5375">
        <v>0.89700000000000002</v>
      </c>
      <c r="C5375" t="str">
        <f t="shared" si="88"/>
        <v>1981 q1</v>
      </c>
    </row>
    <row r="5376" spans="1:3">
      <c r="A5376" s="62">
        <v>29593</v>
      </c>
      <c r="B5376">
        <v>0.88249999999999995</v>
      </c>
      <c r="C5376" t="str">
        <f t="shared" si="88"/>
        <v>1981 q1</v>
      </c>
    </row>
    <row r="5377" spans="1:3">
      <c r="A5377" s="62">
        <v>29594</v>
      </c>
      <c r="B5377">
        <v>0.874</v>
      </c>
      <c r="C5377" t="str">
        <f t="shared" si="88"/>
        <v>1981 q1</v>
      </c>
    </row>
    <row r="5378" spans="1:3">
      <c r="A5378" s="62">
        <v>29595</v>
      </c>
      <c r="B5378">
        <v>0.874</v>
      </c>
      <c r="C5378" t="str">
        <f t="shared" si="88"/>
        <v>1981 q1</v>
      </c>
    </row>
    <row r="5379" spans="1:3">
      <c r="A5379" s="62">
        <v>29598</v>
      </c>
      <c r="B5379">
        <v>0.85799999999999998</v>
      </c>
      <c r="C5379" t="str">
        <f t="shared" si="88"/>
        <v>1981 q1</v>
      </c>
    </row>
    <row r="5380" spans="1:3">
      <c r="A5380" s="62">
        <v>29599</v>
      </c>
      <c r="B5380">
        <v>0.86599999999999999</v>
      </c>
      <c r="C5380" t="str">
        <f t="shared" si="88"/>
        <v>1981 q1</v>
      </c>
    </row>
    <row r="5381" spans="1:3">
      <c r="A5381" s="62">
        <v>29600</v>
      </c>
      <c r="B5381">
        <v>0.87</v>
      </c>
      <c r="C5381" t="str">
        <f t="shared" si="88"/>
        <v>1981 q1</v>
      </c>
    </row>
    <row r="5382" spans="1:3">
      <c r="A5382" s="62">
        <v>29601</v>
      </c>
      <c r="B5382">
        <v>0.86099999999999999</v>
      </c>
      <c r="C5382" t="str">
        <f t="shared" si="88"/>
        <v>1981 q1</v>
      </c>
    </row>
    <row r="5383" spans="1:3">
      <c r="A5383" s="62">
        <v>29602</v>
      </c>
      <c r="B5383">
        <v>0.86799999999999999</v>
      </c>
      <c r="C5383" t="str">
        <f t="shared" si="88"/>
        <v>1981 q1</v>
      </c>
    </row>
    <row r="5384" spans="1:3">
      <c r="A5384" s="62">
        <v>29605</v>
      </c>
      <c r="B5384">
        <v>0.86350000000000005</v>
      </c>
      <c r="C5384" t="str">
        <f t="shared" si="88"/>
        <v>1981 q1</v>
      </c>
    </row>
    <row r="5385" spans="1:3">
      <c r="A5385" s="62">
        <v>29606</v>
      </c>
      <c r="B5385">
        <v>0.872</v>
      </c>
      <c r="C5385" t="str">
        <f t="shared" si="88"/>
        <v>1981 q1</v>
      </c>
    </row>
    <row r="5386" spans="1:3">
      <c r="A5386" s="62">
        <v>29607</v>
      </c>
      <c r="B5386">
        <v>0.86650000000000005</v>
      </c>
      <c r="C5386" t="str">
        <f t="shared" si="88"/>
        <v>1981 q1</v>
      </c>
    </row>
    <row r="5387" spans="1:3">
      <c r="A5387" s="62">
        <v>29608</v>
      </c>
      <c r="B5387">
        <v>0.83599999999999997</v>
      </c>
      <c r="C5387" t="str">
        <f t="shared" si="88"/>
        <v>1981 q1</v>
      </c>
    </row>
    <row r="5388" spans="1:3">
      <c r="A5388" s="62">
        <v>29609</v>
      </c>
      <c r="B5388">
        <v>0.83950000000000002</v>
      </c>
      <c r="C5388" t="str">
        <f t="shared" si="88"/>
        <v>1981 q1</v>
      </c>
    </row>
    <row r="5389" spans="1:3">
      <c r="A5389" s="62">
        <v>29612</v>
      </c>
      <c r="B5389">
        <v>0.83650000000000002</v>
      </c>
      <c r="C5389" t="str">
        <f t="shared" si="88"/>
        <v>1981 q1</v>
      </c>
    </row>
    <row r="5390" spans="1:3">
      <c r="A5390" s="62">
        <v>29613</v>
      </c>
      <c r="B5390">
        <v>0.85</v>
      </c>
      <c r="C5390" t="str">
        <f t="shared" si="88"/>
        <v>1981 q1</v>
      </c>
    </row>
    <row r="5391" spans="1:3">
      <c r="A5391" s="62">
        <v>29614</v>
      </c>
      <c r="B5391">
        <v>0.83399999999999996</v>
      </c>
      <c r="C5391" t="str">
        <f t="shared" si="88"/>
        <v>1981 q1</v>
      </c>
    </row>
    <row r="5392" spans="1:3">
      <c r="A5392" s="62">
        <v>29615</v>
      </c>
      <c r="B5392">
        <v>0.83050000000000002</v>
      </c>
      <c r="C5392" t="str">
        <f t="shared" si="88"/>
        <v>1981 q1</v>
      </c>
    </row>
    <row r="5393" spans="1:3">
      <c r="A5393" s="62">
        <v>29616</v>
      </c>
      <c r="B5393">
        <v>0.84199999999999997</v>
      </c>
      <c r="C5393" t="str">
        <f t="shared" si="88"/>
        <v>1981 q1</v>
      </c>
    </row>
    <row r="5394" spans="1:3">
      <c r="A5394" s="62">
        <v>29619</v>
      </c>
      <c r="B5394">
        <v>0.82799999999999996</v>
      </c>
      <c r="C5394" t="str">
        <f t="shared" ref="C5394:C5457" si="89">YEAR(A5394)&amp;" q"&amp;ROUNDUP(MONTH(A5394)/3,0)</f>
        <v>1981 q1</v>
      </c>
    </row>
    <row r="5395" spans="1:3">
      <c r="A5395" s="62">
        <v>29620</v>
      </c>
      <c r="B5395">
        <v>0.82299999999999995</v>
      </c>
      <c r="C5395" t="str">
        <f t="shared" si="89"/>
        <v>1981 q1</v>
      </c>
    </row>
    <row r="5396" spans="1:3">
      <c r="A5396" s="62">
        <v>29621</v>
      </c>
      <c r="B5396">
        <v>0.82699999999999996</v>
      </c>
      <c r="C5396" t="str">
        <f t="shared" si="89"/>
        <v>1981 q1</v>
      </c>
    </row>
    <row r="5397" spans="1:3">
      <c r="A5397" s="62">
        <v>29622</v>
      </c>
      <c r="B5397">
        <v>0.83650000000000002</v>
      </c>
      <c r="C5397" t="str">
        <f t="shared" si="89"/>
        <v>1981 q1</v>
      </c>
    </row>
    <row r="5398" spans="1:3">
      <c r="A5398" s="62">
        <v>29623</v>
      </c>
      <c r="B5398">
        <v>0.84650000000000003</v>
      </c>
      <c r="C5398" t="str">
        <f t="shared" si="89"/>
        <v>1981 q1</v>
      </c>
    </row>
    <row r="5399" spans="1:3">
      <c r="A5399" s="62">
        <v>29626</v>
      </c>
      <c r="B5399">
        <v>0.82699999999999996</v>
      </c>
      <c r="C5399" t="str">
        <f t="shared" si="89"/>
        <v>1981 q1</v>
      </c>
    </row>
    <row r="5400" spans="1:3">
      <c r="A5400" s="62">
        <v>29627</v>
      </c>
      <c r="B5400">
        <v>0.8165</v>
      </c>
      <c r="C5400" t="str">
        <f t="shared" si="89"/>
        <v>1981 q1</v>
      </c>
    </row>
    <row r="5401" spans="1:3">
      <c r="A5401" s="62">
        <v>29628</v>
      </c>
      <c r="B5401">
        <v>0.8115</v>
      </c>
      <c r="C5401" t="str">
        <f t="shared" si="89"/>
        <v>1981 q1</v>
      </c>
    </row>
    <row r="5402" spans="1:3">
      <c r="A5402" s="62">
        <v>29629</v>
      </c>
      <c r="B5402">
        <v>0.80400000000000005</v>
      </c>
      <c r="C5402" t="str">
        <f t="shared" si="89"/>
        <v>1981 q1</v>
      </c>
    </row>
    <row r="5403" spans="1:3">
      <c r="A5403" s="62">
        <v>29630</v>
      </c>
      <c r="B5403">
        <v>0.80049999999999999</v>
      </c>
      <c r="C5403" t="str">
        <f t="shared" si="89"/>
        <v>1981 q1</v>
      </c>
    </row>
    <row r="5404" spans="1:3">
      <c r="A5404" s="62">
        <v>29634</v>
      </c>
      <c r="B5404">
        <v>0.79400000000000004</v>
      </c>
      <c r="C5404" t="str">
        <f t="shared" si="89"/>
        <v>1981 q1</v>
      </c>
    </row>
    <row r="5405" spans="1:3">
      <c r="A5405" s="62">
        <v>29635</v>
      </c>
      <c r="B5405">
        <v>0.80049999999999999</v>
      </c>
      <c r="C5405" t="str">
        <f t="shared" si="89"/>
        <v>1981 q1</v>
      </c>
    </row>
    <row r="5406" spans="1:3">
      <c r="A5406" s="62">
        <v>29636</v>
      </c>
      <c r="B5406">
        <v>0.82750000000000001</v>
      </c>
      <c r="C5406" t="str">
        <f t="shared" si="89"/>
        <v>1981 q1</v>
      </c>
    </row>
    <row r="5407" spans="1:3">
      <c r="A5407" s="62">
        <v>29637</v>
      </c>
      <c r="B5407">
        <v>0.82</v>
      </c>
      <c r="C5407" t="str">
        <f t="shared" si="89"/>
        <v>1981 q1</v>
      </c>
    </row>
    <row r="5408" spans="1:3">
      <c r="A5408" s="62">
        <v>29640</v>
      </c>
      <c r="B5408">
        <v>0.8155</v>
      </c>
      <c r="C5408" t="str">
        <f t="shared" si="89"/>
        <v>1981 q1</v>
      </c>
    </row>
    <row r="5409" spans="1:3">
      <c r="A5409" s="62">
        <v>29641</v>
      </c>
      <c r="B5409">
        <v>0.82869999999999999</v>
      </c>
      <c r="C5409" t="str">
        <f t="shared" si="89"/>
        <v>1981 q1</v>
      </c>
    </row>
    <row r="5410" spans="1:3">
      <c r="A5410" s="62">
        <v>29642</v>
      </c>
      <c r="B5410">
        <v>0.81889999999999996</v>
      </c>
      <c r="C5410" t="str">
        <f t="shared" si="89"/>
        <v>1981 q1</v>
      </c>
    </row>
    <row r="5411" spans="1:3">
      <c r="A5411" s="62">
        <v>29643</v>
      </c>
      <c r="B5411">
        <v>0.82079999999999997</v>
      </c>
      <c r="C5411" t="str">
        <f t="shared" si="89"/>
        <v>1981 q1</v>
      </c>
    </row>
    <row r="5412" spans="1:3">
      <c r="A5412" s="62">
        <v>29644</v>
      </c>
      <c r="B5412">
        <v>0.82069999999999999</v>
      </c>
      <c r="C5412" t="str">
        <f t="shared" si="89"/>
        <v>1981 q1</v>
      </c>
    </row>
    <row r="5413" spans="1:3">
      <c r="A5413" s="62">
        <v>29647</v>
      </c>
      <c r="B5413">
        <v>0.79500000000000004</v>
      </c>
      <c r="C5413" t="str">
        <f t="shared" si="89"/>
        <v>1981 q1</v>
      </c>
    </row>
    <row r="5414" spans="1:3">
      <c r="A5414" s="62">
        <v>29648</v>
      </c>
      <c r="B5414">
        <v>0.81100000000000005</v>
      </c>
      <c r="C5414" t="str">
        <f t="shared" si="89"/>
        <v>1981 q1</v>
      </c>
    </row>
    <row r="5415" spans="1:3">
      <c r="A5415" s="62">
        <v>29649</v>
      </c>
      <c r="B5415">
        <v>0.80400000000000005</v>
      </c>
      <c r="C5415" t="str">
        <f t="shared" si="89"/>
        <v>1981 q1</v>
      </c>
    </row>
    <row r="5416" spans="1:3">
      <c r="A5416" s="62">
        <v>29650</v>
      </c>
      <c r="B5416">
        <v>0.81200000000000006</v>
      </c>
      <c r="C5416" t="str">
        <f t="shared" si="89"/>
        <v>1981 q1</v>
      </c>
    </row>
    <row r="5417" spans="1:3">
      <c r="A5417" s="62">
        <v>29651</v>
      </c>
      <c r="B5417">
        <v>0.81699999999999995</v>
      </c>
      <c r="C5417" t="str">
        <f t="shared" si="89"/>
        <v>1981 q1</v>
      </c>
    </row>
    <row r="5418" spans="1:3">
      <c r="A5418" s="62">
        <v>29654</v>
      </c>
      <c r="B5418">
        <v>0.8155</v>
      </c>
      <c r="C5418" t="str">
        <f t="shared" si="89"/>
        <v>1981 q1</v>
      </c>
    </row>
    <row r="5419" spans="1:3">
      <c r="A5419" s="62">
        <v>29655</v>
      </c>
      <c r="B5419">
        <v>0.8155</v>
      </c>
      <c r="C5419" t="str">
        <f t="shared" si="89"/>
        <v>1981 q1</v>
      </c>
    </row>
    <row r="5420" spans="1:3">
      <c r="A5420" s="62">
        <v>29656</v>
      </c>
      <c r="B5420">
        <v>0.81100000000000005</v>
      </c>
      <c r="C5420" t="str">
        <f t="shared" si="89"/>
        <v>1981 q1</v>
      </c>
    </row>
    <row r="5421" spans="1:3">
      <c r="A5421" s="62">
        <v>29657</v>
      </c>
      <c r="B5421">
        <v>0.83399999999999996</v>
      </c>
      <c r="C5421" t="str">
        <f t="shared" si="89"/>
        <v>1981 q1</v>
      </c>
    </row>
    <row r="5422" spans="1:3">
      <c r="A5422" s="62">
        <v>29658</v>
      </c>
      <c r="B5422">
        <v>0.84799999999999998</v>
      </c>
      <c r="C5422" t="str">
        <f t="shared" si="89"/>
        <v>1981 q1</v>
      </c>
    </row>
    <row r="5423" spans="1:3">
      <c r="A5423" s="62">
        <v>29661</v>
      </c>
      <c r="B5423">
        <v>0.84099999999999997</v>
      </c>
      <c r="C5423" t="str">
        <f t="shared" si="89"/>
        <v>1981 q1</v>
      </c>
    </row>
    <row r="5424" spans="1:3">
      <c r="A5424" s="62">
        <v>29662</v>
      </c>
      <c r="B5424">
        <v>0.85050000000000003</v>
      </c>
      <c r="C5424" t="str">
        <f t="shared" si="89"/>
        <v>1981 q1</v>
      </c>
    </row>
    <row r="5425" spans="1:3">
      <c r="A5425" s="62">
        <v>29663</v>
      </c>
      <c r="B5425">
        <v>0.87450000000000006</v>
      </c>
      <c r="C5425" t="str">
        <f t="shared" si="89"/>
        <v>1981 q1</v>
      </c>
    </row>
    <row r="5426" spans="1:3">
      <c r="A5426" s="62">
        <v>29664</v>
      </c>
      <c r="B5426">
        <v>0.86699999999999999</v>
      </c>
      <c r="C5426" t="str">
        <f t="shared" si="89"/>
        <v>1981 q1</v>
      </c>
    </row>
    <row r="5427" spans="1:3">
      <c r="A5427" s="62">
        <v>29665</v>
      </c>
      <c r="B5427">
        <v>0.87</v>
      </c>
      <c r="C5427" t="str">
        <f t="shared" si="89"/>
        <v>1981 q1</v>
      </c>
    </row>
    <row r="5428" spans="1:3">
      <c r="A5428" s="62">
        <v>29668</v>
      </c>
      <c r="B5428">
        <v>0.85499999999999998</v>
      </c>
      <c r="C5428" t="str">
        <f t="shared" si="89"/>
        <v>1981 q1</v>
      </c>
    </row>
    <row r="5429" spans="1:3">
      <c r="A5429" s="62">
        <v>29669</v>
      </c>
      <c r="B5429">
        <v>0.86350000000000005</v>
      </c>
      <c r="C5429" t="str">
        <f t="shared" si="89"/>
        <v>1981 q1</v>
      </c>
    </row>
    <row r="5430" spans="1:3">
      <c r="A5430" s="62">
        <v>29670</v>
      </c>
      <c r="B5430">
        <v>0.86099999999999999</v>
      </c>
      <c r="C5430" t="str">
        <f t="shared" si="89"/>
        <v>1981 q1</v>
      </c>
    </row>
    <row r="5431" spans="1:3">
      <c r="A5431" s="62">
        <v>29671</v>
      </c>
      <c r="B5431">
        <v>0.876</v>
      </c>
      <c r="C5431" t="str">
        <f t="shared" si="89"/>
        <v>1981 q1</v>
      </c>
    </row>
    <row r="5432" spans="1:3">
      <c r="A5432" s="62">
        <v>29672</v>
      </c>
      <c r="B5432">
        <v>0.86</v>
      </c>
      <c r="C5432" t="str">
        <f t="shared" si="89"/>
        <v>1981 q1</v>
      </c>
    </row>
    <row r="5433" spans="1:3">
      <c r="A5433" s="62">
        <v>29675</v>
      </c>
      <c r="B5433">
        <v>0.85699999999999998</v>
      </c>
      <c r="C5433" t="str">
        <f t="shared" si="89"/>
        <v>1981 q1</v>
      </c>
    </row>
    <row r="5434" spans="1:3">
      <c r="A5434" s="62">
        <v>29676</v>
      </c>
      <c r="B5434">
        <v>0.86399999999999999</v>
      </c>
      <c r="C5434" t="str">
        <f t="shared" si="89"/>
        <v>1981 q1</v>
      </c>
    </row>
    <row r="5435" spans="1:3">
      <c r="A5435" s="62">
        <v>29677</v>
      </c>
      <c r="B5435">
        <v>0.87</v>
      </c>
      <c r="C5435" t="str">
        <f t="shared" si="89"/>
        <v>1981 q2</v>
      </c>
    </row>
    <row r="5436" spans="1:3">
      <c r="A5436" s="62">
        <v>29678</v>
      </c>
      <c r="B5436">
        <v>0.86850000000000005</v>
      </c>
      <c r="C5436" t="str">
        <f t="shared" si="89"/>
        <v>1981 q2</v>
      </c>
    </row>
    <row r="5437" spans="1:3">
      <c r="A5437" s="62">
        <v>29679</v>
      </c>
      <c r="B5437">
        <v>0.86450000000000005</v>
      </c>
      <c r="C5437" t="str">
        <f t="shared" si="89"/>
        <v>1981 q2</v>
      </c>
    </row>
    <row r="5438" spans="1:3">
      <c r="A5438" s="62">
        <v>29682</v>
      </c>
      <c r="B5438">
        <v>0.85399999999999998</v>
      </c>
      <c r="C5438" t="str">
        <f t="shared" si="89"/>
        <v>1981 q2</v>
      </c>
    </row>
    <row r="5439" spans="1:3">
      <c r="A5439" s="62">
        <v>29683</v>
      </c>
      <c r="B5439">
        <v>0.84699999999999998</v>
      </c>
      <c r="C5439" t="str">
        <f t="shared" si="89"/>
        <v>1981 q2</v>
      </c>
    </row>
    <row r="5440" spans="1:3">
      <c r="A5440" s="62">
        <v>29684</v>
      </c>
      <c r="B5440">
        <v>0.83150000000000002</v>
      </c>
      <c r="C5440" t="str">
        <f t="shared" si="89"/>
        <v>1981 q2</v>
      </c>
    </row>
    <row r="5441" spans="1:3">
      <c r="A5441" s="62">
        <v>29685</v>
      </c>
      <c r="B5441">
        <v>0.82699999999999996</v>
      </c>
      <c r="C5441" t="str">
        <f t="shared" si="89"/>
        <v>1981 q2</v>
      </c>
    </row>
    <row r="5442" spans="1:3">
      <c r="A5442" s="62">
        <v>29686</v>
      </c>
      <c r="B5442">
        <v>0.81850000000000001</v>
      </c>
      <c r="C5442" t="str">
        <f t="shared" si="89"/>
        <v>1981 q2</v>
      </c>
    </row>
    <row r="5443" spans="1:3">
      <c r="A5443" s="62">
        <v>29689</v>
      </c>
      <c r="B5443">
        <v>0.80300000000000005</v>
      </c>
      <c r="C5443" t="str">
        <f t="shared" si="89"/>
        <v>1981 q2</v>
      </c>
    </row>
    <row r="5444" spans="1:3">
      <c r="A5444" s="62">
        <v>29690</v>
      </c>
      <c r="B5444">
        <v>0.81699999999999995</v>
      </c>
      <c r="C5444" t="str">
        <f t="shared" si="89"/>
        <v>1981 q2</v>
      </c>
    </row>
    <row r="5445" spans="1:3">
      <c r="A5445" s="62">
        <v>29691</v>
      </c>
      <c r="B5445">
        <v>0.81</v>
      </c>
      <c r="C5445" t="str">
        <f t="shared" si="89"/>
        <v>1981 q2</v>
      </c>
    </row>
    <row r="5446" spans="1:3">
      <c r="A5446" s="62">
        <v>29692</v>
      </c>
      <c r="B5446">
        <v>0.8135</v>
      </c>
      <c r="C5446" t="str">
        <f t="shared" si="89"/>
        <v>1981 q2</v>
      </c>
    </row>
    <row r="5447" spans="1:3">
      <c r="A5447" s="62">
        <v>29696</v>
      </c>
      <c r="B5447">
        <v>0.83099999999999996</v>
      </c>
      <c r="C5447" t="str">
        <f t="shared" si="89"/>
        <v>1981 q2</v>
      </c>
    </row>
    <row r="5448" spans="1:3">
      <c r="A5448" s="62">
        <v>29697</v>
      </c>
      <c r="B5448">
        <v>0.82699999999999996</v>
      </c>
      <c r="C5448" t="str">
        <f t="shared" si="89"/>
        <v>1981 q2</v>
      </c>
    </row>
    <row r="5449" spans="1:3">
      <c r="A5449" s="62">
        <v>29698</v>
      </c>
      <c r="B5449">
        <v>0.82650000000000001</v>
      </c>
      <c r="C5449" t="str">
        <f t="shared" si="89"/>
        <v>1981 q2</v>
      </c>
    </row>
    <row r="5450" spans="1:3">
      <c r="A5450" s="62">
        <v>29699</v>
      </c>
      <c r="B5450">
        <v>0.83350000000000002</v>
      </c>
      <c r="C5450" t="str">
        <f t="shared" si="89"/>
        <v>1981 q2</v>
      </c>
    </row>
    <row r="5451" spans="1:3">
      <c r="A5451" s="62">
        <v>29700</v>
      </c>
      <c r="B5451">
        <v>0.82050000000000001</v>
      </c>
      <c r="C5451" t="str">
        <f t="shared" si="89"/>
        <v>1981 q2</v>
      </c>
    </row>
    <row r="5452" spans="1:3">
      <c r="A5452" s="62">
        <v>29703</v>
      </c>
      <c r="B5452">
        <v>0.82299999999999995</v>
      </c>
      <c r="C5452" t="str">
        <f t="shared" si="89"/>
        <v>1981 q2</v>
      </c>
    </row>
    <row r="5453" spans="1:3">
      <c r="A5453" s="62">
        <v>29704</v>
      </c>
      <c r="B5453">
        <v>0.82140000000000002</v>
      </c>
      <c r="C5453" t="str">
        <f t="shared" si="89"/>
        <v>1981 q2</v>
      </c>
    </row>
    <row r="5454" spans="1:3">
      <c r="A5454" s="62">
        <v>29705</v>
      </c>
      <c r="B5454">
        <v>0.82210000000000005</v>
      </c>
      <c r="C5454" t="str">
        <f t="shared" si="89"/>
        <v>1981 q2</v>
      </c>
    </row>
    <row r="5455" spans="1:3">
      <c r="A5455" s="62">
        <v>29706</v>
      </c>
      <c r="B5455">
        <v>0.83069999999999999</v>
      </c>
      <c r="C5455" t="str">
        <f t="shared" si="89"/>
        <v>1981 q2</v>
      </c>
    </row>
    <row r="5456" spans="1:3">
      <c r="A5456" s="62">
        <v>29707</v>
      </c>
      <c r="B5456">
        <v>0.83399999999999996</v>
      </c>
      <c r="C5456" t="str">
        <f t="shared" si="89"/>
        <v>1981 q2</v>
      </c>
    </row>
    <row r="5457" spans="1:3">
      <c r="A5457" s="62">
        <v>29710</v>
      </c>
      <c r="B5457">
        <v>0.82350000000000001</v>
      </c>
      <c r="C5457" t="str">
        <f t="shared" si="89"/>
        <v>1981 q2</v>
      </c>
    </row>
    <row r="5458" spans="1:3">
      <c r="A5458" s="62">
        <v>29711</v>
      </c>
      <c r="B5458">
        <v>0.81799999999999995</v>
      </c>
      <c r="C5458" t="str">
        <f t="shared" ref="C5458:C5521" si="90">YEAR(A5458)&amp;" q"&amp;ROUNDUP(MONTH(A5458)/3,0)</f>
        <v>1981 q2</v>
      </c>
    </row>
    <row r="5459" spans="1:3">
      <c r="A5459" s="62">
        <v>29712</v>
      </c>
      <c r="B5459">
        <v>0.82399999999999995</v>
      </c>
      <c r="C5459" t="str">
        <f t="shared" si="90"/>
        <v>1981 q2</v>
      </c>
    </row>
    <row r="5460" spans="1:3">
      <c r="A5460" s="62">
        <v>29713</v>
      </c>
      <c r="B5460">
        <v>0.82299999999999995</v>
      </c>
      <c r="C5460" t="str">
        <f t="shared" si="90"/>
        <v>1981 q2</v>
      </c>
    </row>
    <row r="5461" spans="1:3">
      <c r="A5461" s="62">
        <v>29714</v>
      </c>
      <c r="B5461">
        <v>0.83850000000000002</v>
      </c>
      <c r="C5461" t="str">
        <f t="shared" si="90"/>
        <v>1981 q2</v>
      </c>
    </row>
    <row r="5462" spans="1:3">
      <c r="A5462" s="62">
        <v>29717</v>
      </c>
      <c r="B5462">
        <v>0.81699999999999995</v>
      </c>
      <c r="C5462" t="str">
        <f t="shared" si="90"/>
        <v>1981 q2</v>
      </c>
    </row>
    <row r="5463" spans="1:3">
      <c r="A5463" s="62">
        <v>29718</v>
      </c>
      <c r="B5463">
        <v>0.82099999999999995</v>
      </c>
      <c r="C5463" t="str">
        <f t="shared" si="90"/>
        <v>1981 q2</v>
      </c>
    </row>
    <row r="5464" spans="1:3">
      <c r="A5464" s="62">
        <v>29719</v>
      </c>
      <c r="B5464">
        <v>0.81699999999999995</v>
      </c>
      <c r="C5464" t="str">
        <f t="shared" si="90"/>
        <v>1981 q2</v>
      </c>
    </row>
    <row r="5465" spans="1:3">
      <c r="A5465" s="62">
        <v>29720</v>
      </c>
      <c r="B5465">
        <v>0.81</v>
      </c>
      <c r="C5465" t="str">
        <f t="shared" si="90"/>
        <v>1981 q2</v>
      </c>
    </row>
    <row r="5466" spans="1:3">
      <c r="A5466" s="62">
        <v>29721</v>
      </c>
      <c r="B5466">
        <v>0.8145</v>
      </c>
      <c r="C5466" t="str">
        <f t="shared" si="90"/>
        <v>1981 q2</v>
      </c>
    </row>
    <row r="5467" spans="1:3">
      <c r="A5467" s="62">
        <v>29724</v>
      </c>
      <c r="B5467">
        <v>0.82650000000000001</v>
      </c>
      <c r="C5467" t="str">
        <f t="shared" si="90"/>
        <v>1981 q2</v>
      </c>
    </row>
    <row r="5468" spans="1:3">
      <c r="A5468" s="62">
        <v>29725</v>
      </c>
      <c r="B5468">
        <v>0.81599999999999995</v>
      </c>
      <c r="C5468" t="str">
        <f t="shared" si="90"/>
        <v>1981 q2</v>
      </c>
    </row>
    <row r="5469" spans="1:3">
      <c r="A5469" s="62">
        <v>29726</v>
      </c>
      <c r="B5469">
        <v>0.81200000000000006</v>
      </c>
      <c r="C5469" t="str">
        <f t="shared" si="90"/>
        <v>1981 q2</v>
      </c>
    </row>
    <row r="5470" spans="1:3">
      <c r="A5470" s="62">
        <v>29727</v>
      </c>
      <c r="B5470">
        <v>0.79300000000000004</v>
      </c>
      <c r="C5470" t="str">
        <f t="shared" si="90"/>
        <v>1981 q2</v>
      </c>
    </row>
    <row r="5471" spans="1:3">
      <c r="A5471" s="62">
        <v>29728</v>
      </c>
      <c r="B5471">
        <v>0.79849999999999999</v>
      </c>
      <c r="C5471" t="str">
        <f t="shared" si="90"/>
        <v>1981 q2</v>
      </c>
    </row>
    <row r="5472" spans="1:3">
      <c r="A5472" s="62">
        <v>29732</v>
      </c>
      <c r="B5472">
        <v>0.79349999999999998</v>
      </c>
      <c r="C5472" t="str">
        <f t="shared" si="90"/>
        <v>1981 q2</v>
      </c>
    </row>
    <row r="5473" spans="1:3">
      <c r="A5473" s="62">
        <v>29733</v>
      </c>
      <c r="B5473">
        <v>0.80549999999999999</v>
      </c>
      <c r="C5473" t="str">
        <f t="shared" si="90"/>
        <v>1981 q2</v>
      </c>
    </row>
    <row r="5474" spans="1:3">
      <c r="A5474" s="62">
        <v>29734</v>
      </c>
      <c r="B5474">
        <v>0.8125</v>
      </c>
      <c r="C5474" t="str">
        <f t="shared" si="90"/>
        <v>1981 q2</v>
      </c>
    </row>
    <row r="5475" spans="1:3">
      <c r="A5475" s="62">
        <v>29735</v>
      </c>
      <c r="B5475">
        <v>0.8145</v>
      </c>
      <c r="C5475" t="str">
        <f t="shared" si="90"/>
        <v>1981 q2</v>
      </c>
    </row>
    <row r="5476" spans="1:3">
      <c r="A5476" s="62">
        <v>29738</v>
      </c>
      <c r="B5476">
        <v>0.81499999999999995</v>
      </c>
      <c r="C5476" t="str">
        <f t="shared" si="90"/>
        <v>1981 q2</v>
      </c>
    </row>
    <row r="5477" spans="1:3">
      <c r="A5477" s="62">
        <v>29739</v>
      </c>
      <c r="B5477">
        <v>0.80649999999999999</v>
      </c>
      <c r="C5477" t="str">
        <f t="shared" si="90"/>
        <v>1981 q2</v>
      </c>
    </row>
    <row r="5478" spans="1:3">
      <c r="A5478" s="62">
        <v>29740</v>
      </c>
      <c r="B5478">
        <v>0.78349999999999997</v>
      </c>
      <c r="C5478" t="str">
        <f t="shared" si="90"/>
        <v>1981 q2</v>
      </c>
    </row>
    <row r="5479" spans="1:3">
      <c r="A5479" s="62">
        <v>29741</v>
      </c>
      <c r="B5479">
        <v>0.78500000000000003</v>
      </c>
      <c r="C5479" t="str">
        <f t="shared" si="90"/>
        <v>1981 q2</v>
      </c>
    </row>
    <row r="5480" spans="1:3">
      <c r="A5480" s="62">
        <v>29742</v>
      </c>
      <c r="B5480">
        <v>0.76749999999999996</v>
      </c>
      <c r="C5480" t="str">
        <f t="shared" si="90"/>
        <v>1981 q2</v>
      </c>
    </row>
    <row r="5481" spans="1:3">
      <c r="A5481" s="62">
        <v>29745</v>
      </c>
      <c r="B5481">
        <v>0.77200000000000002</v>
      </c>
      <c r="C5481" t="str">
        <f t="shared" si="90"/>
        <v>1981 q2</v>
      </c>
    </row>
    <row r="5482" spans="1:3">
      <c r="A5482" s="62">
        <v>29746</v>
      </c>
      <c r="B5482">
        <v>0.77649999999999997</v>
      </c>
      <c r="C5482" t="str">
        <f t="shared" si="90"/>
        <v>1981 q2</v>
      </c>
    </row>
    <row r="5483" spans="1:3">
      <c r="A5483" s="62">
        <v>29747</v>
      </c>
      <c r="B5483">
        <v>0.78649999999999998</v>
      </c>
      <c r="C5483" t="str">
        <f t="shared" si="90"/>
        <v>1981 q2</v>
      </c>
    </row>
    <row r="5484" spans="1:3">
      <c r="A5484" s="62">
        <v>29748</v>
      </c>
      <c r="B5484">
        <v>0.78849999999999998</v>
      </c>
      <c r="C5484" t="str">
        <f t="shared" si="90"/>
        <v>1981 q2</v>
      </c>
    </row>
    <row r="5485" spans="1:3">
      <c r="A5485" s="62">
        <v>29749</v>
      </c>
      <c r="B5485">
        <v>0.79300000000000004</v>
      </c>
      <c r="C5485" t="str">
        <f t="shared" si="90"/>
        <v>1981 q2</v>
      </c>
    </row>
    <row r="5486" spans="1:3">
      <c r="A5486" s="62">
        <v>29752</v>
      </c>
      <c r="B5486">
        <v>0.79249999999999998</v>
      </c>
      <c r="C5486" t="str">
        <f t="shared" si="90"/>
        <v>1981 q2</v>
      </c>
    </row>
    <row r="5487" spans="1:3">
      <c r="A5487" s="62">
        <v>29753</v>
      </c>
      <c r="B5487">
        <v>0.79149999999999998</v>
      </c>
      <c r="C5487" t="str">
        <f t="shared" si="90"/>
        <v>1981 q2</v>
      </c>
    </row>
    <row r="5488" spans="1:3">
      <c r="A5488" s="62">
        <v>29754</v>
      </c>
      <c r="B5488">
        <v>0.78349999999999997</v>
      </c>
      <c r="C5488" t="str">
        <f t="shared" si="90"/>
        <v>1981 q2</v>
      </c>
    </row>
    <row r="5489" spans="1:3">
      <c r="A5489" s="62">
        <v>29755</v>
      </c>
      <c r="B5489">
        <v>0.77400000000000002</v>
      </c>
      <c r="C5489" t="str">
        <f t="shared" si="90"/>
        <v>1981 q2</v>
      </c>
    </row>
    <row r="5490" spans="1:3">
      <c r="A5490" s="62">
        <v>29756</v>
      </c>
      <c r="B5490">
        <v>0.78100000000000003</v>
      </c>
      <c r="C5490" t="str">
        <f t="shared" si="90"/>
        <v>1981 q2</v>
      </c>
    </row>
    <row r="5491" spans="1:3">
      <c r="A5491" s="62">
        <v>29759</v>
      </c>
      <c r="B5491">
        <v>0.78049999999999997</v>
      </c>
      <c r="C5491" t="str">
        <f t="shared" si="90"/>
        <v>1981 q2</v>
      </c>
    </row>
    <row r="5492" spans="1:3">
      <c r="A5492" s="62">
        <v>29760</v>
      </c>
      <c r="B5492">
        <v>0.78349999999999997</v>
      </c>
      <c r="C5492" t="str">
        <f t="shared" si="90"/>
        <v>1981 q2</v>
      </c>
    </row>
    <row r="5493" spans="1:3">
      <c r="A5493" s="62">
        <v>29761</v>
      </c>
      <c r="B5493">
        <v>0.77700000000000002</v>
      </c>
      <c r="C5493" t="str">
        <f t="shared" si="90"/>
        <v>1981 q2</v>
      </c>
    </row>
    <row r="5494" spans="1:3">
      <c r="A5494" s="62">
        <v>29762</v>
      </c>
      <c r="B5494">
        <v>0.77329999999999999</v>
      </c>
      <c r="C5494" t="str">
        <f t="shared" si="90"/>
        <v>1981 q2</v>
      </c>
    </row>
    <row r="5495" spans="1:3">
      <c r="A5495" s="62">
        <v>29763</v>
      </c>
      <c r="B5495">
        <v>0.77300000000000002</v>
      </c>
      <c r="C5495" t="str">
        <f t="shared" si="90"/>
        <v>1981 q2</v>
      </c>
    </row>
    <row r="5496" spans="1:3">
      <c r="A5496" s="62">
        <v>29766</v>
      </c>
      <c r="B5496">
        <v>0.76800000000000002</v>
      </c>
      <c r="C5496" t="str">
        <f t="shared" si="90"/>
        <v>1981 q2</v>
      </c>
    </row>
    <row r="5497" spans="1:3">
      <c r="A5497" s="62">
        <v>29767</v>
      </c>
      <c r="B5497">
        <v>0.77359999999999995</v>
      </c>
      <c r="C5497" t="str">
        <f t="shared" si="90"/>
        <v>1981 q2</v>
      </c>
    </row>
    <row r="5498" spans="1:3">
      <c r="A5498" s="62">
        <v>29768</v>
      </c>
      <c r="B5498">
        <v>0.76800000000000002</v>
      </c>
      <c r="C5498" t="str">
        <f t="shared" si="90"/>
        <v>1981 q3</v>
      </c>
    </row>
    <row r="5499" spans="1:3">
      <c r="A5499" s="62">
        <v>29769</v>
      </c>
      <c r="B5499">
        <v>0.76800000000000002</v>
      </c>
      <c r="C5499" t="str">
        <f t="shared" si="90"/>
        <v>1981 q3</v>
      </c>
    </row>
    <row r="5500" spans="1:3">
      <c r="A5500" s="62">
        <v>29773</v>
      </c>
      <c r="B5500">
        <v>0.76500000000000001</v>
      </c>
      <c r="C5500" t="str">
        <f t="shared" si="90"/>
        <v>1981 q3</v>
      </c>
    </row>
    <row r="5501" spans="1:3">
      <c r="A5501" s="62">
        <v>29774</v>
      </c>
      <c r="B5501">
        <v>0.77300000000000002</v>
      </c>
      <c r="C5501" t="str">
        <f t="shared" si="90"/>
        <v>1981 q3</v>
      </c>
    </row>
    <row r="5502" spans="1:3">
      <c r="A5502" s="62">
        <v>29775</v>
      </c>
      <c r="B5502">
        <v>0.76949999999999996</v>
      </c>
      <c r="C5502" t="str">
        <f t="shared" si="90"/>
        <v>1981 q3</v>
      </c>
    </row>
    <row r="5503" spans="1:3">
      <c r="A5503" s="62">
        <v>29776</v>
      </c>
      <c r="B5503">
        <v>0.79500000000000004</v>
      </c>
      <c r="C5503" t="str">
        <f t="shared" si="90"/>
        <v>1981 q3</v>
      </c>
    </row>
    <row r="5504" spans="1:3">
      <c r="A5504" s="62">
        <v>29777</v>
      </c>
      <c r="B5504">
        <v>0.79400000000000004</v>
      </c>
      <c r="C5504" t="str">
        <f t="shared" si="90"/>
        <v>1981 q3</v>
      </c>
    </row>
    <row r="5505" spans="1:3">
      <c r="A5505" s="62">
        <v>29780</v>
      </c>
      <c r="B5505">
        <v>0.77949999999999997</v>
      </c>
      <c r="C5505" t="str">
        <f t="shared" si="90"/>
        <v>1981 q3</v>
      </c>
    </row>
    <row r="5506" spans="1:3">
      <c r="A5506" s="62">
        <v>29781</v>
      </c>
      <c r="B5506">
        <v>0.77900000000000003</v>
      </c>
      <c r="C5506" t="str">
        <f t="shared" si="90"/>
        <v>1981 q3</v>
      </c>
    </row>
    <row r="5507" spans="1:3">
      <c r="A5507" s="62">
        <v>29782</v>
      </c>
      <c r="B5507">
        <v>0.78400000000000003</v>
      </c>
      <c r="C5507" t="str">
        <f t="shared" si="90"/>
        <v>1981 q3</v>
      </c>
    </row>
    <row r="5508" spans="1:3">
      <c r="A5508" s="62">
        <v>29783</v>
      </c>
      <c r="B5508">
        <v>0.78600000000000003</v>
      </c>
      <c r="C5508" t="str">
        <f t="shared" si="90"/>
        <v>1981 q3</v>
      </c>
    </row>
    <row r="5509" spans="1:3">
      <c r="A5509" s="62">
        <v>29784</v>
      </c>
      <c r="B5509">
        <v>0.78849999999999998</v>
      </c>
      <c r="C5509" t="str">
        <f t="shared" si="90"/>
        <v>1981 q3</v>
      </c>
    </row>
    <row r="5510" spans="1:3">
      <c r="A5510" s="62">
        <v>29787</v>
      </c>
      <c r="B5510">
        <v>0.77500000000000002</v>
      </c>
      <c r="C5510" t="str">
        <f t="shared" si="90"/>
        <v>1981 q3</v>
      </c>
    </row>
    <row r="5511" spans="1:3">
      <c r="A5511" s="62">
        <v>29788</v>
      </c>
      <c r="B5511">
        <v>0.76949999999999996</v>
      </c>
      <c r="C5511" t="str">
        <f t="shared" si="90"/>
        <v>1981 q3</v>
      </c>
    </row>
    <row r="5512" spans="1:3">
      <c r="A5512" s="62">
        <v>29789</v>
      </c>
      <c r="B5512">
        <v>0.77249999999999996</v>
      </c>
      <c r="C5512" t="str">
        <f t="shared" si="90"/>
        <v>1981 q3</v>
      </c>
    </row>
    <row r="5513" spans="1:3">
      <c r="A5513" s="62">
        <v>29790</v>
      </c>
      <c r="B5513">
        <v>0.77749999999999997</v>
      </c>
      <c r="C5513" t="str">
        <f t="shared" si="90"/>
        <v>1981 q3</v>
      </c>
    </row>
    <row r="5514" spans="1:3">
      <c r="A5514" s="62">
        <v>29791</v>
      </c>
      <c r="B5514">
        <v>0.78100000000000003</v>
      </c>
      <c r="C5514" t="str">
        <f t="shared" si="90"/>
        <v>1981 q3</v>
      </c>
    </row>
    <row r="5515" spans="1:3">
      <c r="A5515" s="62">
        <v>29794</v>
      </c>
      <c r="B5515">
        <v>0.77449999999999997</v>
      </c>
      <c r="C5515" t="str">
        <f t="shared" si="90"/>
        <v>1981 q3</v>
      </c>
    </row>
    <row r="5516" spans="1:3">
      <c r="A5516" s="62">
        <v>29795</v>
      </c>
      <c r="B5516">
        <v>0.80249999999999999</v>
      </c>
      <c r="C5516" t="str">
        <f t="shared" si="90"/>
        <v>1981 q3</v>
      </c>
    </row>
    <row r="5517" spans="1:3">
      <c r="A5517" s="62">
        <v>29796</v>
      </c>
      <c r="B5517">
        <v>0.82750000000000001</v>
      </c>
      <c r="C5517" t="str">
        <f t="shared" si="90"/>
        <v>1981 q3</v>
      </c>
    </row>
    <row r="5518" spans="1:3">
      <c r="A5518" s="62">
        <v>29797</v>
      </c>
      <c r="B5518">
        <v>0.82099999999999995</v>
      </c>
      <c r="C5518" t="str">
        <f t="shared" si="90"/>
        <v>1981 q3</v>
      </c>
    </row>
    <row r="5519" spans="1:3">
      <c r="A5519" s="62">
        <v>29798</v>
      </c>
      <c r="B5519">
        <v>0.83750000000000002</v>
      </c>
      <c r="C5519" t="str">
        <f t="shared" si="90"/>
        <v>1981 q3</v>
      </c>
    </row>
    <row r="5520" spans="1:3">
      <c r="A5520" s="62">
        <v>29801</v>
      </c>
      <c r="B5520">
        <v>0.83150000000000002</v>
      </c>
      <c r="C5520" t="str">
        <f t="shared" si="90"/>
        <v>1981 q3</v>
      </c>
    </row>
    <row r="5521" spans="1:3">
      <c r="A5521" s="62">
        <v>29802</v>
      </c>
      <c r="B5521">
        <v>0.82799999999999996</v>
      </c>
      <c r="C5521" t="str">
        <f t="shared" si="90"/>
        <v>1981 q3</v>
      </c>
    </row>
    <row r="5522" spans="1:3">
      <c r="A5522" s="62">
        <v>29803</v>
      </c>
      <c r="B5522">
        <v>0.82950000000000002</v>
      </c>
      <c r="C5522" t="str">
        <f t="shared" ref="C5522:C5585" si="91">YEAR(A5522)&amp;" q"&amp;ROUNDUP(MONTH(A5522)/3,0)</f>
        <v>1981 q3</v>
      </c>
    </row>
    <row r="5523" spans="1:3">
      <c r="A5523" s="62">
        <v>29804</v>
      </c>
      <c r="B5523">
        <v>0.82499999999999996</v>
      </c>
      <c r="C5523" t="str">
        <f t="shared" si="91"/>
        <v>1981 q3</v>
      </c>
    </row>
    <row r="5524" spans="1:3">
      <c r="A5524" s="62">
        <v>29805</v>
      </c>
      <c r="B5524">
        <v>0.8135</v>
      </c>
      <c r="C5524" t="str">
        <f t="shared" si="91"/>
        <v>1981 q3</v>
      </c>
    </row>
    <row r="5525" spans="1:3">
      <c r="A5525" s="62">
        <v>29808</v>
      </c>
      <c r="B5525">
        <v>0.80700000000000005</v>
      </c>
      <c r="C5525" t="str">
        <f t="shared" si="91"/>
        <v>1981 q3</v>
      </c>
    </row>
    <row r="5526" spans="1:3">
      <c r="A5526" s="62">
        <v>29809</v>
      </c>
      <c r="B5526">
        <v>0.83499999999999996</v>
      </c>
      <c r="C5526" t="str">
        <f t="shared" si="91"/>
        <v>1981 q3</v>
      </c>
    </row>
    <row r="5527" spans="1:3">
      <c r="A5527" s="62">
        <v>29810</v>
      </c>
      <c r="B5527">
        <v>0.84199999999999997</v>
      </c>
      <c r="C5527" t="str">
        <f t="shared" si="91"/>
        <v>1981 q3</v>
      </c>
    </row>
    <row r="5528" spans="1:3">
      <c r="A5528" s="62">
        <v>29811</v>
      </c>
      <c r="B5528">
        <v>0.83899999999999997</v>
      </c>
      <c r="C5528" t="str">
        <f t="shared" si="91"/>
        <v>1981 q3</v>
      </c>
    </row>
    <row r="5529" spans="1:3">
      <c r="A5529" s="62">
        <v>29812</v>
      </c>
      <c r="B5529">
        <v>0.84250000000000003</v>
      </c>
      <c r="C5529" t="str">
        <f t="shared" si="91"/>
        <v>1981 q3</v>
      </c>
    </row>
    <row r="5530" spans="1:3">
      <c r="A5530" s="62">
        <v>29815</v>
      </c>
      <c r="B5530">
        <v>0.84050000000000002</v>
      </c>
      <c r="C5530" t="str">
        <f t="shared" si="91"/>
        <v>1981 q3</v>
      </c>
    </row>
    <row r="5531" spans="1:3">
      <c r="A5531" s="62">
        <v>29816</v>
      </c>
      <c r="B5531">
        <v>0.83299999999999996</v>
      </c>
      <c r="C5531" t="str">
        <f t="shared" si="91"/>
        <v>1981 q3</v>
      </c>
    </row>
    <row r="5532" spans="1:3">
      <c r="A5532" s="62">
        <v>29817</v>
      </c>
      <c r="B5532">
        <v>0.81599999999999995</v>
      </c>
      <c r="C5532" t="str">
        <f t="shared" si="91"/>
        <v>1981 q3</v>
      </c>
    </row>
    <row r="5533" spans="1:3">
      <c r="A5533" s="62">
        <v>29818</v>
      </c>
      <c r="B5533">
        <v>0.82</v>
      </c>
      <c r="C5533" t="str">
        <f t="shared" si="91"/>
        <v>1981 q3</v>
      </c>
    </row>
    <row r="5534" spans="1:3">
      <c r="A5534" s="62">
        <v>29819</v>
      </c>
      <c r="B5534">
        <v>0.80300000000000005</v>
      </c>
      <c r="C5534" t="str">
        <f t="shared" si="91"/>
        <v>1981 q3</v>
      </c>
    </row>
    <row r="5535" spans="1:3">
      <c r="A5535" s="62">
        <v>29822</v>
      </c>
      <c r="B5535">
        <v>0.77700000000000002</v>
      </c>
      <c r="C5535" t="str">
        <f t="shared" si="91"/>
        <v>1981 q3</v>
      </c>
    </row>
    <row r="5536" spans="1:3">
      <c r="A5536" s="62">
        <v>29823</v>
      </c>
      <c r="B5536">
        <v>0.755</v>
      </c>
      <c r="C5536" t="str">
        <f t="shared" si="91"/>
        <v>1981 q3</v>
      </c>
    </row>
    <row r="5537" spans="1:3">
      <c r="A5537" s="62">
        <v>29824</v>
      </c>
      <c r="B5537">
        <v>0.76780000000000004</v>
      </c>
      <c r="C5537" t="str">
        <f t="shared" si="91"/>
        <v>1981 q3</v>
      </c>
    </row>
    <row r="5538" spans="1:3">
      <c r="A5538" s="62">
        <v>29825</v>
      </c>
      <c r="B5538">
        <v>0.78959999999999997</v>
      </c>
      <c r="C5538" t="str">
        <f t="shared" si="91"/>
        <v>1981 q3</v>
      </c>
    </row>
    <row r="5539" spans="1:3">
      <c r="A5539" s="62">
        <v>29826</v>
      </c>
      <c r="B5539">
        <v>0.80379999999999996</v>
      </c>
      <c r="C5539" t="str">
        <f t="shared" si="91"/>
        <v>1981 q3</v>
      </c>
    </row>
    <row r="5540" spans="1:3">
      <c r="A5540" s="62">
        <v>29829</v>
      </c>
      <c r="B5540">
        <v>0.80520000000000003</v>
      </c>
      <c r="C5540" t="str">
        <f t="shared" si="91"/>
        <v>1981 q3</v>
      </c>
    </row>
    <row r="5541" spans="1:3">
      <c r="A5541" s="62">
        <v>29830</v>
      </c>
      <c r="B5541">
        <v>0.80600000000000005</v>
      </c>
      <c r="C5541" t="str">
        <f t="shared" si="91"/>
        <v>1981 q3</v>
      </c>
    </row>
    <row r="5542" spans="1:3">
      <c r="A5542" s="62">
        <v>29831</v>
      </c>
      <c r="B5542">
        <v>0.81399999999999995</v>
      </c>
      <c r="C5542" t="str">
        <f t="shared" si="91"/>
        <v>1981 q3</v>
      </c>
    </row>
    <row r="5543" spans="1:3">
      <c r="A5543" s="62">
        <v>29832</v>
      </c>
      <c r="B5543">
        <v>0.82399999999999995</v>
      </c>
      <c r="C5543" t="str">
        <f t="shared" si="91"/>
        <v>1981 q3</v>
      </c>
    </row>
    <row r="5544" spans="1:3">
      <c r="A5544" s="62">
        <v>29833</v>
      </c>
      <c r="B5544">
        <v>0.80800000000000005</v>
      </c>
      <c r="C5544" t="str">
        <f t="shared" si="91"/>
        <v>1981 q3</v>
      </c>
    </row>
    <row r="5545" spans="1:3">
      <c r="A5545" s="62">
        <v>29837</v>
      </c>
      <c r="B5545">
        <v>0.78400000000000003</v>
      </c>
      <c r="C5545" t="str">
        <f t="shared" si="91"/>
        <v>1981 q3</v>
      </c>
    </row>
    <row r="5546" spans="1:3">
      <c r="A5546" s="62">
        <v>29838</v>
      </c>
      <c r="B5546">
        <v>0.78900000000000003</v>
      </c>
      <c r="C5546" t="str">
        <f t="shared" si="91"/>
        <v>1981 q3</v>
      </c>
    </row>
    <row r="5547" spans="1:3">
      <c r="A5547" s="62">
        <v>29839</v>
      </c>
      <c r="B5547">
        <v>0.80400000000000005</v>
      </c>
      <c r="C5547" t="str">
        <f t="shared" si="91"/>
        <v>1981 q3</v>
      </c>
    </row>
    <row r="5548" spans="1:3">
      <c r="A5548" s="62">
        <v>29840</v>
      </c>
      <c r="B5548">
        <v>0.8095</v>
      </c>
      <c r="C5548" t="str">
        <f t="shared" si="91"/>
        <v>1981 q3</v>
      </c>
    </row>
    <row r="5549" spans="1:3">
      <c r="A5549" s="62">
        <v>29843</v>
      </c>
      <c r="B5549">
        <v>0.81950000000000001</v>
      </c>
      <c r="C5549" t="str">
        <f t="shared" si="91"/>
        <v>1981 q3</v>
      </c>
    </row>
    <row r="5550" spans="1:3">
      <c r="A5550" s="62">
        <v>29844</v>
      </c>
      <c r="B5550">
        <v>0.83299999999999996</v>
      </c>
      <c r="C5550" t="str">
        <f t="shared" si="91"/>
        <v>1981 q3</v>
      </c>
    </row>
    <row r="5551" spans="1:3">
      <c r="A5551" s="62">
        <v>29845</v>
      </c>
      <c r="B5551">
        <v>0.82850000000000001</v>
      </c>
      <c r="C5551" t="str">
        <f t="shared" si="91"/>
        <v>1981 q3</v>
      </c>
    </row>
    <row r="5552" spans="1:3">
      <c r="A5552" s="62">
        <v>29846</v>
      </c>
      <c r="B5552">
        <v>0.80649999999999999</v>
      </c>
      <c r="C5552" t="str">
        <f t="shared" si="91"/>
        <v>1981 q3</v>
      </c>
    </row>
    <row r="5553" spans="1:3">
      <c r="A5553" s="62">
        <v>29847</v>
      </c>
      <c r="B5553">
        <v>0.8105</v>
      </c>
      <c r="C5553" t="str">
        <f t="shared" si="91"/>
        <v>1981 q3</v>
      </c>
    </row>
    <row r="5554" spans="1:3">
      <c r="A5554" s="62">
        <v>29850</v>
      </c>
      <c r="B5554">
        <v>0.82199999999999995</v>
      </c>
      <c r="C5554" t="str">
        <f t="shared" si="91"/>
        <v>1981 q3</v>
      </c>
    </row>
    <row r="5555" spans="1:3">
      <c r="A5555" s="62">
        <v>29851</v>
      </c>
      <c r="B5555">
        <v>0.80500000000000005</v>
      </c>
      <c r="C5555" t="str">
        <f t="shared" si="91"/>
        <v>1981 q3</v>
      </c>
    </row>
    <row r="5556" spans="1:3">
      <c r="A5556" s="62">
        <v>29852</v>
      </c>
      <c r="B5556">
        <v>0.78800000000000003</v>
      </c>
      <c r="C5556" t="str">
        <f t="shared" si="91"/>
        <v>1981 q3</v>
      </c>
    </row>
    <row r="5557" spans="1:3">
      <c r="A5557" s="62">
        <v>29853</v>
      </c>
      <c r="B5557">
        <v>0.79849999999999999</v>
      </c>
      <c r="C5557" t="str">
        <f t="shared" si="91"/>
        <v>1981 q3</v>
      </c>
    </row>
    <row r="5558" spans="1:3">
      <c r="A5558" s="62">
        <v>29854</v>
      </c>
      <c r="B5558">
        <v>0.77249999999999996</v>
      </c>
      <c r="C5558" t="str">
        <f t="shared" si="91"/>
        <v>1981 q3</v>
      </c>
    </row>
    <row r="5559" spans="1:3">
      <c r="A5559" s="62">
        <v>29857</v>
      </c>
      <c r="B5559">
        <v>0.76700000000000002</v>
      </c>
      <c r="C5559" t="str">
        <f t="shared" si="91"/>
        <v>1981 q3</v>
      </c>
    </row>
    <row r="5560" spans="1:3">
      <c r="A5560" s="62">
        <v>29858</v>
      </c>
      <c r="B5560">
        <v>0.76600000000000001</v>
      </c>
      <c r="C5560" t="str">
        <f t="shared" si="91"/>
        <v>1981 q3</v>
      </c>
    </row>
    <row r="5561" spans="1:3">
      <c r="A5561" s="62">
        <v>29859</v>
      </c>
      <c r="B5561">
        <v>0.76700000000000002</v>
      </c>
      <c r="C5561" t="str">
        <f t="shared" si="91"/>
        <v>1981 q3</v>
      </c>
    </row>
    <row r="5562" spans="1:3">
      <c r="A5562" s="62">
        <v>29860</v>
      </c>
      <c r="B5562">
        <v>0.77500000000000002</v>
      </c>
      <c r="C5562" t="str">
        <f t="shared" si="91"/>
        <v>1981 q4</v>
      </c>
    </row>
    <row r="5563" spans="1:3">
      <c r="A5563" s="62">
        <v>29861</v>
      </c>
      <c r="B5563">
        <v>0.77449999999999997</v>
      </c>
      <c r="C5563" t="str">
        <f t="shared" si="91"/>
        <v>1981 q4</v>
      </c>
    </row>
    <row r="5564" spans="1:3">
      <c r="A5564" s="62">
        <v>29864</v>
      </c>
      <c r="B5564">
        <v>0.77349999999999997</v>
      </c>
      <c r="C5564" t="str">
        <f t="shared" si="91"/>
        <v>1981 q4</v>
      </c>
    </row>
    <row r="5565" spans="1:3">
      <c r="A5565" s="62">
        <v>29865</v>
      </c>
      <c r="B5565">
        <v>0.78</v>
      </c>
      <c r="C5565" t="str">
        <f t="shared" si="91"/>
        <v>1981 q4</v>
      </c>
    </row>
    <row r="5566" spans="1:3">
      <c r="A5566" s="62">
        <v>29866</v>
      </c>
      <c r="B5566">
        <v>0.78200000000000003</v>
      </c>
      <c r="C5566" t="str">
        <f t="shared" si="91"/>
        <v>1981 q4</v>
      </c>
    </row>
    <row r="5567" spans="1:3">
      <c r="A5567" s="62">
        <v>29867</v>
      </c>
      <c r="B5567">
        <v>0.78949999999999998</v>
      </c>
      <c r="C5567" t="str">
        <f t="shared" si="91"/>
        <v>1981 q4</v>
      </c>
    </row>
    <row r="5568" spans="1:3">
      <c r="A5568" s="62">
        <v>29868</v>
      </c>
      <c r="B5568">
        <v>0.78749999999999998</v>
      </c>
      <c r="C5568" t="str">
        <f t="shared" si="91"/>
        <v>1981 q4</v>
      </c>
    </row>
    <row r="5569" spans="1:3">
      <c r="A5569" s="62">
        <v>29871</v>
      </c>
      <c r="B5569">
        <v>0.78</v>
      </c>
      <c r="C5569" t="str">
        <f t="shared" si="91"/>
        <v>1981 q4</v>
      </c>
    </row>
    <row r="5570" spans="1:3">
      <c r="A5570" s="62">
        <v>29872</v>
      </c>
      <c r="B5570">
        <v>0.77349999999999997</v>
      </c>
      <c r="C5570" t="str">
        <f t="shared" si="91"/>
        <v>1981 q4</v>
      </c>
    </row>
    <row r="5571" spans="1:3">
      <c r="A5571" s="62">
        <v>29873</v>
      </c>
      <c r="B5571">
        <v>0.77</v>
      </c>
      <c r="C5571" t="str">
        <f t="shared" si="91"/>
        <v>1981 q4</v>
      </c>
    </row>
    <row r="5572" spans="1:3">
      <c r="A5572" s="62">
        <v>29874</v>
      </c>
      <c r="B5572">
        <v>0.75800000000000001</v>
      </c>
      <c r="C5572" t="str">
        <f t="shared" si="91"/>
        <v>1981 q4</v>
      </c>
    </row>
    <row r="5573" spans="1:3">
      <c r="A5573" s="62">
        <v>29875</v>
      </c>
      <c r="B5573">
        <v>0.748</v>
      </c>
      <c r="C5573" t="str">
        <f t="shared" si="91"/>
        <v>1981 q4</v>
      </c>
    </row>
    <row r="5574" spans="1:3">
      <c r="A5574" s="62">
        <v>29878</v>
      </c>
      <c r="B5574">
        <v>0.75700000000000001</v>
      </c>
      <c r="C5574" t="str">
        <f t="shared" si="91"/>
        <v>1981 q4</v>
      </c>
    </row>
    <row r="5575" spans="1:3">
      <c r="A5575" s="62">
        <v>29879</v>
      </c>
      <c r="B5575">
        <v>0.748</v>
      </c>
      <c r="C5575" t="str">
        <f t="shared" si="91"/>
        <v>1981 q4</v>
      </c>
    </row>
    <row r="5576" spans="1:3">
      <c r="A5576" s="62">
        <v>29880</v>
      </c>
      <c r="B5576">
        <v>0.752</v>
      </c>
      <c r="C5576" t="str">
        <f t="shared" si="91"/>
        <v>1981 q4</v>
      </c>
    </row>
    <row r="5577" spans="1:3">
      <c r="A5577" s="62">
        <v>29881</v>
      </c>
      <c r="B5577">
        <v>0.75</v>
      </c>
      <c r="C5577" t="str">
        <f t="shared" si="91"/>
        <v>1981 q4</v>
      </c>
    </row>
    <row r="5578" spans="1:3">
      <c r="A5578" s="62">
        <v>29882</v>
      </c>
      <c r="B5578">
        <v>0.75149999999999995</v>
      </c>
      <c r="C5578" t="str">
        <f t="shared" si="91"/>
        <v>1981 q4</v>
      </c>
    </row>
    <row r="5579" spans="1:3">
      <c r="A5579" s="62">
        <v>29885</v>
      </c>
      <c r="B5579">
        <v>0.745</v>
      </c>
      <c r="C5579" t="str">
        <f t="shared" si="91"/>
        <v>1981 q4</v>
      </c>
    </row>
    <row r="5580" spans="1:3">
      <c r="A5580" s="62">
        <v>29886</v>
      </c>
      <c r="B5580">
        <v>0.74850000000000005</v>
      </c>
      <c r="C5580" t="str">
        <f t="shared" si="91"/>
        <v>1981 q4</v>
      </c>
    </row>
    <row r="5581" spans="1:3">
      <c r="A5581" s="62">
        <v>29887</v>
      </c>
      <c r="B5581">
        <v>0.74850000000000005</v>
      </c>
      <c r="C5581" t="str">
        <f t="shared" si="91"/>
        <v>1981 q4</v>
      </c>
    </row>
    <row r="5582" spans="1:3">
      <c r="A5582" s="62">
        <v>29888</v>
      </c>
      <c r="B5582">
        <v>0.76749999999999996</v>
      </c>
      <c r="C5582" t="str">
        <f t="shared" si="91"/>
        <v>1981 q4</v>
      </c>
    </row>
    <row r="5583" spans="1:3">
      <c r="A5583" s="62">
        <v>29889</v>
      </c>
      <c r="B5583">
        <v>0.77049999999999996</v>
      </c>
      <c r="C5583" t="str">
        <f t="shared" si="91"/>
        <v>1981 q4</v>
      </c>
    </row>
    <row r="5584" spans="1:3">
      <c r="A5584" s="62">
        <v>29892</v>
      </c>
      <c r="B5584">
        <v>0.76500000000000001</v>
      </c>
      <c r="C5584" t="str">
        <f t="shared" si="91"/>
        <v>1981 q4</v>
      </c>
    </row>
    <row r="5585" spans="1:3">
      <c r="A5585" s="62">
        <v>29893</v>
      </c>
      <c r="B5585">
        <v>0.76449999999999996</v>
      </c>
      <c r="C5585" t="str">
        <f t="shared" si="91"/>
        <v>1981 q4</v>
      </c>
    </row>
    <row r="5586" spans="1:3">
      <c r="A5586" s="62">
        <v>29894</v>
      </c>
      <c r="B5586">
        <v>0.76600000000000001</v>
      </c>
      <c r="C5586" t="str">
        <f t="shared" ref="C5586:C5649" si="92">YEAR(A5586)&amp;" q"&amp;ROUNDUP(MONTH(A5586)/3,0)</f>
        <v>1981 q4</v>
      </c>
    </row>
    <row r="5587" spans="1:3">
      <c r="A5587" s="62">
        <v>29895</v>
      </c>
      <c r="B5587">
        <v>0.76600000000000001</v>
      </c>
      <c r="C5587" t="str">
        <f t="shared" si="92"/>
        <v>1981 q4</v>
      </c>
    </row>
    <row r="5588" spans="1:3">
      <c r="A5588" s="62">
        <v>29896</v>
      </c>
      <c r="B5588">
        <v>0.76500000000000001</v>
      </c>
      <c r="C5588" t="str">
        <f t="shared" si="92"/>
        <v>1981 q4</v>
      </c>
    </row>
    <row r="5589" spans="1:3">
      <c r="A5589" s="62">
        <v>29899</v>
      </c>
      <c r="B5589">
        <v>0.74299999999999999</v>
      </c>
      <c r="C5589" t="str">
        <f t="shared" si="92"/>
        <v>1981 q4</v>
      </c>
    </row>
    <row r="5590" spans="1:3">
      <c r="A5590" s="62">
        <v>29900</v>
      </c>
      <c r="B5590">
        <v>0.73650000000000004</v>
      </c>
      <c r="C5590" t="str">
        <f t="shared" si="92"/>
        <v>1981 q4</v>
      </c>
    </row>
    <row r="5591" spans="1:3">
      <c r="A5591" s="62">
        <v>29901</v>
      </c>
      <c r="B5591">
        <v>0.74450000000000005</v>
      </c>
      <c r="C5591" t="str">
        <f t="shared" si="92"/>
        <v>1981 q4</v>
      </c>
    </row>
    <row r="5592" spans="1:3">
      <c r="A5592" s="62">
        <v>29902</v>
      </c>
      <c r="B5592">
        <v>0.748</v>
      </c>
      <c r="C5592" t="str">
        <f t="shared" si="92"/>
        <v>1981 q4</v>
      </c>
    </row>
    <row r="5593" spans="1:3">
      <c r="A5593" s="62">
        <v>29903</v>
      </c>
      <c r="B5593">
        <v>0.749</v>
      </c>
      <c r="C5593" t="str">
        <f t="shared" si="92"/>
        <v>1981 q4</v>
      </c>
    </row>
    <row r="5594" spans="1:3">
      <c r="A5594" s="62">
        <v>29906</v>
      </c>
      <c r="B5594">
        <v>0.73050000000000004</v>
      </c>
      <c r="C5594" t="str">
        <f t="shared" si="92"/>
        <v>1981 q4</v>
      </c>
    </row>
    <row r="5595" spans="1:3">
      <c r="A5595" s="62">
        <v>29907</v>
      </c>
      <c r="B5595">
        <v>0.73099999999999998</v>
      </c>
      <c r="C5595" t="str">
        <f t="shared" si="92"/>
        <v>1981 q4</v>
      </c>
    </row>
    <row r="5596" spans="1:3">
      <c r="A5596" s="62">
        <v>29908</v>
      </c>
      <c r="B5596">
        <v>0.73599999999999999</v>
      </c>
      <c r="C5596" t="str">
        <f t="shared" si="92"/>
        <v>1981 q4</v>
      </c>
    </row>
    <row r="5597" spans="1:3">
      <c r="A5597" s="62">
        <v>29909</v>
      </c>
      <c r="B5597">
        <v>0.71899999999999997</v>
      </c>
      <c r="C5597" t="str">
        <f t="shared" si="92"/>
        <v>1981 q4</v>
      </c>
    </row>
    <row r="5598" spans="1:3">
      <c r="A5598" s="62">
        <v>29910</v>
      </c>
      <c r="B5598">
        <v>0.71850000000000003</v>
      </c>
      <c r="C5598" t="str">
        <f t="shared" si="92"/>
        <v>1981 q4</v>
      </c>
    </row>
    <row r="5599" spans="1:3">
      <c r="A5599" s="62">
        <v>29913</v>
      </c>
      <c r="B5599">
        <v>0.70850000000000002</v>
      </c>
      <c r="C5599" t="str">
        <f t="shared" si="92"/>
        <v>1981 q4</v>
      </c>
    </row>
    <row r="5600" spans="1:3">
      <c r="A5600" s="62">
        <v>29914</v>
      </c>
      <c r="B5600">
        <v>0.7157</v>
      </c>
      <c r="C5600" t="str">
        <f t="shared" si="92"/>
        <v>1981 q4</v>
      </c>
    </row>
    <row r="5601" spans="1:3">
      <c r="A5601" s="62">
        <v>29915</v>
      </c>
      <c r="B5601">
        <v>0.71960000000000002</v>
      </c>
      <c r="C5601" t="str">
        <f t="shared" si="92"/>
        <v>1981 q4</v>
      </c>
    </row>
    <row r="5602" spans="1:3">
      <c r="A5602" s="62">
        <v>29917</v>
      </c>
      <c r="B5602">
        <v>0.73560000000000003</v>
      </c>
      <c r="C5602" t="str">
        <f t="shared" si="92"/>
        <v>1981 q4</v>
      </c>
    </row>
    <row r="5603" spans="1:3">
      <c r="A5603" s="62">
        <v>29920</v>
      </c>
      <c r="B5603">
        <v>0.7389</v>
      </c>
      <c r="C5603" t="str">
        <f t="shared" si="92"/>
        <v>1981 q4</v>
      </c>
    </row>
    <row r="5604" spans="1:3">
      <c r="A5604" s="62">
        <v>29921</v>
      </c>
      <c r="B5604">
        <v>0.748</v>
      </c>
      <c r="C5604" t="str">
        <f t="shared" si="92"/>
        <v>1981 q4</v>
      </c>
    </row>
    <row r="5605" spans="1:3">
      <c r="A5605" s="62">
        <v>29922</v>
      </c>
      <c r="B5605">
        <v>0.77049999999999996</v>
      </c>
      <c r="C5605" t="str">
        <f t="shared" si="92"/>
        <v>1981 q4</v>
      </c>
    </row>
    <row r="5606" spans="1:3">
      <c r="A5606" s="62">
        <v>29923</v>
      </c>
      <c r="B5606">
        <v>0.75449999999999995</v>
      </c>
      <c r="C5606" t="str">
        <f t="shared" si="92"/>
        <v>1981 q4</v>
      </c>
    </row>
    <row r="5607" spans="1:3">
      <c r="A5607" s="62">
        <v>29924</v>
      </c>
      <c r="B5607">
        <v>0.77100000000000002</v>
      </c>
      <c r="C5607" t="str">
        <f t="shared" si="92"/>
        <v>1981 q4</v>
      </c>
    </row>
    <row r="5608" spans="1:3">
      <c r="A5608" s="62">
        <v>29927</v>
      </c>
      <c r="B5608">
        <v>0.75849999999999995</v>
      </c>
      <c r="C5608" t="str">
        <f t="shared" si="92"/>
        <v>1981 q4</v>
      </c>
    </row>
    <row r="5609" spans="1:3">
      <c r="A5609" s="62">
        <v>29928</v>
      </c>
      <c r="B5609">
        <v>0.74550000000000005</v>
      </c>
      <c r="C5609" t="str">
        <f t="shared" si="92"/>
        <v>1981 q4</v>
      </c>
    </row>
    <row r="5610" spans="1:3">
      <c r="A5610" s="62">
        <v>29929</v>
      </c>
      <c r="B5610">
        <v>0.72699999999999998</v>
      </c>
      <c r="C5610" t="str">
        <f t="shared" si="92"/>
        <v>1981 q4</v>
      </c>
    </row>
    <row r="5611" spans="1:3">
      <c r="A5611" s="62">
        <v>29930</v>
      </c>
      <c r="B5611">
        <v>0.71</v>
      </c>
      <c r="C5611" t="str">
        <f t="shared" si="92"/>
        <v>1981 q4</v>
      </c>
    </row>
    <row r="5612" spans="1:3">
      <c r="A5612" s="62">
        <v>29931</v>
      </c>
      <c r="B5612">
        <v>0.71050000000000002</v>
      </c>
      <c r="C5612" t="str">
        <f t="shared" si="92"/>
        <v>1981 q4</v>
      </c>
    </row>
    <row r="5613" spans="1:3">
      <c r="A5613" s="62">
        <v>29934</v>
      </c>
      <c r="B5613">
        <v>0.73199999999999998</v>
      </c>
      <c r="C5613" t="str">
        <f t="shared" si="92"/>
        <v>1981 q4</v>
      </c>
    </row>
    <row r="5614" spans="1:3">
      <c r="A5614" s="62">
        <v>29935</v>
      </c>
      <c r="B5614">
        <v>0.72699999999999998</v>
      </c>
      <c r="C5614" t="str">
        <f t="shared" si="92"/>
        <v>1981 q4</v>
      </c>
    </row>
    <row r="5615" spans="1:3">
      <c r="A5615" s="62">
        <v>29936</v>
      </c>
      <c r="B5615">
        <v>0.74</v>
      </c>
      <c r="C5615" t="str">
        <f t="shared" si="92"/>
        <v>1981 q4</v>
      </c>
    </row>
    <row r="5616" spans="1:3">
      <c r="A5616" s="62">
        <v>29937</v>
      </c>
      <c r="B5616">
        <v>0.745</v>
      </c>
      <c r="C5616" t="str">
        <f t="shared" si="92"/>
        <v>1981 q4</v>
      </c>
    </row>
    <row r="5617" spans="1:3">
      <c r="A5617" s="62">
        <v>29938</v>
      </c>
      <c r="B5617">
        <v>0.72350000000000003</v>
      </c>
      <c r="C5617" t="str">
        <f t="shared" si="92"/>
        <v>1981 q4</v>
      </c>
    </row>
    <row r="5618" spans="1:3">
      <c r="A5618" s="62">
        <v>29941</v>
      </c>
      <c r="B5618">
        <v>0.72250000000000003</v>
      </c>
      <c r="C5618" t="str">
        <f t="shared" si="92"/>
        <v>1981 q4</v>
      </c>
    </row>
    <row r="5619" spans="1:3">
      <c r="A5619" s="62">
        <v>29942</v>
      </c>
      <c r="B5619">
        <v>0.72850000000000004</v>
      </c>
      <c r="C5619" t="str">
        <f t="shared" si="92"/>
        <v>1981 q4</v>
      </c>
    </row>
    <row r="5620" spans="1:3">
      <c r="A5620" s="62">
        <v>29943</v>
      </c>
      <c r="B5620">
        <v>0.72599999999999998</v>
      </c>
      <c r="C5620" t="str">
        <f t="shared" si="92"/>
        <v>1981 q4</v>
      </c>
    </row>
    <row r="5621" spans="1:3">
      <c r="A5621" s="62">
        <v>29944</v>
      </c>
      <c r="B5621">
        <v>0.73050000000000004</v>
      </c>
      <c r="C5621" t="str">
        <f t="shared" si="92"/>
        <v>1981 q4</v>
      </c>
    </row>
    <row r="5622" spans="1:3">
      <c r="A5622" s="62">
        <v>29948</v>
      </c>
      <c r="B5622">
        <v>0.73619999999999997</v>
      </c>
      <c r="C5622" t="str">
        <f t="shared" si="92"/>
        <v>1981 q4</v>
      </c>
    </row>
    <row r="5623" spans="1:3">
      <c r="A5623" s="62">
        <v>29949</v>
      </c>
      <c r="B5623">
        <v>0.74339999999999995</v>
      </c>
      <c r="C5623" t="str">
        <f t="shared" si="92"/>
        <v>1981 q4</v>
      </c>
    </row>
    <row r="5624" spans="1:3">
      <c r="A5624" s="62">
        <v>29950</v>
      </c>
      <c r="B5624">
        <v>0.75729999999999997</v>
      </c>
      <c r="C5624" t="str">
        <f t="shared" si="92"/>
        <v>1981 q4</v>
      </c>
    </row>
    <row r="5625" spans="1:3">
      <c r="A5625" s="62">
        <v>29951</v>
      </c>
      <c r="B5625">
        <v>0.75339999999999996</v>
      </c>
      <c r="C5625" t="str">
        <f t="shared" si="92"/>
        <v>1981 q4</v>
      </c>
    </row>
    <row r="5626" spans="1:3">
      <c r="A5626" s="62">
        <v>29955</v>
      </c>
      <c r="B5626">
        <v>0.75900000000000001</v>
      </c>
      <c r="C5626" t="str">
        <f t="shared" si="92"/>
        <v>1982 q1</v>
      </c>
    </row>
    <row r="5627" spans="1:3">
      <c r="A5627" s="62">
        <v>29956</v>
      </c>
      <c r="B5627">
        <v>0.74299999999999999</v>
      </c>
      <c r="C5627" t="str">
        <f t="shared" si="92"/>
        <v>1982 q1</v>
      </c>
    </row>
    <row r="5628" spans="1:3">
      <c r="A5628" s="62">
        <v>29957</v>
      </c>
      <c r="B5628">
        <v>0.74099999999999999</v>
      </c>
      <c r="C5628" t="str">
        <f t="shared" si="92"/>
        <v>1982 q1</v>
      </c>
    </row>
    <row r="5629" spans="1:3">
      <c r="A5629" s="62">
        <v>29958</v>
      </c>
      <c r="B5629">
        <v>0.73599999999999999</v>
      </c>
      <c r="C5629" t="str">
        <f t="shared" si="92"/>
        <v>1982 q1</v>
      </c>
    </row>
    <row r="5630" spans="1:3">
      <c r="A5630" s="62">
        <v>29959</v>
      </c>
      <c r="B5630">
        <v>0.74</v>
      </c>
      <c r="C5630" t="str">
        <f t="shared" si="92"/>
        <v>1982 q1</v>
      </c>
    </row>
    <row r="5631" spans="1:3">
      <c r="A5631" s="62">
        <v>29962</v>
      </c>
      <c r="B5631">
        <v>0.73050000000000004</v>
      </c>
      <c r="C5631" t="str">
        <f t="shared" si="92"/>
        <v>1982 q1</v>
      </c>
    </row>
    <row r="5632" spans="1:3">
      <c r="A5632" s="62">
        <v>29963</v>
      </c>
      <c r="B5632">
        <v>0.73150000000000004</v>
      </c>
      <c r="C5632" t="str">
        <f t="shared" si="92"/>
        <v>1982 q1</v>
      </c>
    </row>
    <row r="5633" spans="1:3">
      <c r="A5633" s="62">
        <v>29964</v>
      </c>
      <c r="B5633">
        <v>0.72150000000000003</v>
      </c>
      <c r="C5633" t="str">
        <f t="shared" si="92"/>
        <v>1982 q1</v>
      </c>
    </row>
    <row r="5634" spans="1:3">
      <c r="A5634" s="62">
        <v>29965</v>
      </c>
      <c r="B5634">
        <v>0.73150000000000004</v>
      </c>
      <c r="C5634" t="str">
        <f t="shared" si="92"/>
        <v>1982 q1</v>
      </c>
    </row>
    <row r="5635" spans="1:3">
      <c r="A5635" s="62">
        <v>29966</v>
      </c>
      <c r="B5635">
        <v>0.72950000000000004</v>
      </c>
      <c r="C5635" t="str">
        <f t="shared" si="92"/>
        <v>1982 q1</v>
      </c>
    </row>
    <row r="5636" spans="1:3">
      <c r="A5636" s="62">
        <v>29969</v>
      </c>
      <c r="B5636">
        <v>0.73399999999999999</v>
      </c>
      <c r="C5636" t="str">
        <f t="shared" si="92"/>
        <v>1982 q1</v>
      </c>
    </row>
    <row r="5637" spans="1:3">
      <c r="A5637" s="62">
        <v>29970</v>
      </c>
      <c r="B5637">
        <v>0.73650000000000004</v>
      </c>
      <c r="C5637" t="str">
        <f t="shared" si="92"/>
        <v>1982 q1</v>
      </c>
    </row>
    <row r="5638" spans="1:3">
      <c r="A5638" s="62">
        <v>29971</v>
      </c>
      <c r="B5638">
        <v>0.73099999999999998</v>
      </c>
      <c r="C5638" t="str">
        <f t="shared" si="92"/>
        <v>1982 q1</v>
      </c>
    </row>
    <row r="5639" spans="1:3">
      <c r="A5639" s="62">
        <v>29972</v>
      </c>
      <c r="B5639">
        <v>0.72399999999999998</v>
      </c>
      <c r="C5639" t="str">
        <f t="shared" si="92"/>
        <v>1982 q1</v>
      </c>
    </row>
    <row r="5640" spans="1:3">
      <c r="A5640" s="62">
        <v>29973</v>
      </c>
      <c r="B5640">
        <v>0.71599999999999997</v>
      </c>
      <c r="C5640" t="str">
        <f t="shared" si="92"/>
        <v>1982 q1</v>
      </c>
    </row>
    <row r="5641" spans="1:3">
      <c r="A5641" s="62">
        <v>29976</v>
      </c>
      <c r="B5641">
        <v>0.71450000000000002</v>
      </c>
      <c r="C5641" t="str">
        <f t="shared" si="92"/>
        <v>1982 q1</v>
      </c>
    </row>
    <row r="5642" spans="1:3">
      <c r="A5642" s="62">
        <v>29977</v>
      </c>
      <c r="B5642">
        <v>0.72950000000000004</v>
      </c>
      <c r="C5642" t="str">
        <f t="shared" si="92"/>
        <v>1982 q1</v>
      </c>
    </row>
    <row r="5643" spans="1:3">
      <c r="A5643" s="62">
        <v>29978</v>
      </c>
      <c r="B5643">
        <v>0.72850000000000004</v>
      </c>
      <c r="C5643" t="str">
        <f t="shared" si="92"/>
        <v>1982 q1</v>
      </c>
    </row>
    <row r="5644" spans="1:3">
      <c r="A5644" s="62">
        <v>29979</v>
      </c>
      <c r="B5644">
        <v>0.73150000000000004</v>
      </c>
      <c r="C5644" t="str">
        <f t="shared" si="92"/>
        <v>1982 q1</v>
      </c>
    </row>
    <row r="5645" spans="1:3">
      <c r="A5645" s="62">
        <v>29980</v>
      </c>
      <c r="B5645">
        <v>0.74450000000000005</v>
      </c>
      <c r="C5645" t="str">
        <f t="shared" si="92"/>
        <v>1982 q1</v>
      </c>
    </row>
    <row r="5646" spans="1:3">
      <c r="A5646" s="62">
        <v>29983</v>
      </c>
      <c r="B5646">
        <v>0.73699999999999999</v>
      </c>
      <c r="C5646" t="str">
        <f t="shared" si="92"/>
        <v>1982 q1</v>
      </c>
    </row>
    <row r="5647" spans="1:3">
      <c r="A5647" s="62">
        <v>29984</v>
      </c>
      <c r="B5647">
        <v>0.72950000000000004</v>
      </c>
      <c r="C5647" t="str">
        <f t="shared" si="92"/>
        <v>1982 q1</v>
      </c>
    </row>
    <row r="5648" spans="1:3">
      <c r="A5648" s="62">
        <v>29985</v>
      </c>
      <c r="B5648">
        <v>0.73</v>
      </c>
      <c r="C5648" t="str">
        <f t="shared" si="92"/>
        <v>1982 q1</v>
      </c>
    </row>
    <row r="5649" spans="1:3">
      <c r="A5649" s="62">
        <v>29986</v>
      </c>
      <c r="B5649">
        <v>0.73699999999999999</v>
      </c>
      <c r="C5649" t="str">
        <f t="shared" si="92"/>
        <v>1982 q1</v>
      </c>
    </row>
    <row r="5650" spans="1:3">
      <c r="A5650" s="62">
        <v>29987</v>
      </c>
      <c r="B5650">
        <v>0.73950000000000005</v>
      </c>
      <c r="C5650" t="str">
        <f t="shared" ref="C5650:C5713" si="93">YEAR(A5650)&amp;" q"&amp;ROUNDUP(MONTH(A5650)/3,0)</f>
        <v>1982 q1</v>
      </c>
    </row>
    <row r="5651" spans="1:3">
      <c r="A5651" s="62">
        <v>29990</v>
      </c>
      <c r="B5651">
        <v>0.72099999999999997</v>
      </c>
      <c r="C5651" t="str">
        <f t="shared" si="93"/>
        <v>1982 q1</v>
      </c>
    </row>
    <row r="5652" spans="1:3">
      <c r="A5652" s="62">
        <v>29991</v>
      </c>
      <c r="B5652">
        <v>0.71499999999999997</v>
      </c>
      <c r="C5652" t="str">
        <f t="shared" si="93"/>
        <v>1982 q1</v>
      </c>
    </row>
    <row r="5653" spans="1:3">
      <c r="A5653" s="62">
        <v>29992</v>
      </c>
      <c r="B5653">
        <v>0.72699999999999998</v>
      </c>
      <c r="C5653" t="str">
        <f t="shared" si="93"/>
        <v>1982 q1</v>
      </c>
    </row>
    <row r="5654" spans="1:3">
      <c r="A5654" s="62">
        <v>29993</v>
      </c>
      <c r="B5654">
        <v>0.71850000000000003</v>
      </c>
      <c r="C5654" t="str">
        <f t="shared" si="93"/>
        <v>1982 q1</v>
      </c>
    </row>
    <row r="5655" spans="1:3">
      <c r="A5655" s="62">
        <v>29994</v>
      </c>
      <c r="B5655">
        <v>0.72</v>
      </c>
      <c r="C5655" t="str">
        <f t="shared" si="93"/>
        <v>1982 q1</v>
      </c>
    </row>
    <row r="5656" spans="1:3">
      <c r="A5656" s="62">
        <v>29998</v>
      </c>
      <c r="B5656">
        <v>0.71650000000000003</v>
      </c>
      <c r="C5656" t="str">
        <f t="shared" si="93"/>
        <v>1982 q1</v>
      </c>
    </row>
    <row r="5657" spans="1:3">
      <c r="A5657" s="62">
        <v>29999</v>
      </c>
      <c r="B5657">
        <v>0.71599999999999997</v>
      </c>
      <c r="C5657" t="str">
        <f t="shared" si="93"/>
        <v>1982 q1</v>
      </c>
    </row>
    <row r="5658" spans="1:3">
      <c r="A5658" s="62">
        <v>30000</v>
      </c>
      <c r="B5658">
        <v>0.72</v>
      </c>
      <c r="C5658" t="str">
        <f t="shared" si="93"/>
        <v>1982 q1</v>
      </c>
    </row>
    <row r="5659" spans="1:3">
      <c r="A5659" s="62">
        <v>30001</v>
      </c>
      <c r="B5659">
        <v>0.71499999999999997</v>
      </c>
      <c r="C5659" t="str">
        <f t="shared" si="93"/>
        <v>1982 q1</v>
      </c>
    </row>
    <row r="5660" spans="1:3">
      <c r="A5660" s="62">
        <v>30004</v>
      </c>
      <c r="B5660">
        <v>0.71799999999999997</v>
      </c>
      <c r="C5660" t="str">
        <f t="shared" si="93"/>
        <v>1982 q1</v>
      </c>
    </row>
    <row r="5661" spans="1:3">
      <c r="A5661" s="62">
        <v>30005</v>
      </c>
      <c r="B5661">
        <v>0.70520000000000005</v>
      </c>
      <c r="C5661" t="str">
        <f t="shared" si="93"/>
        <v>1982 q1</v>
      </c>
    </row>
    <row r="5662" spans="1:3">
      <c r="A5662" s="62">
        <v>30006</v>
      </c>
      <c r="B5662">
        <v>0.70730000000000004</v>
      </c>
      <c r="C5662" t="str">
        <f t="shared" si="93"/>
        <v>1982 q1</v>
      </c>
    </row>
    <row r="5663" spans="1:3">
      <c r="A5663" s="62">
        <v>30007</v>
      </c>
      <c r="B5663">
        <v>0.71460000000000001</v>
      </c>
      <c r="C5663" t="str">
        <f t="shared" si="93"/>
        <v>1982 q1</v>
      </c>
    </row>
    <row r="5664" spans="1:3">
      <c r="A5664" s="62">
        <v>30008</v>
      </c>
      <c r="B5664">
        <v>0.70750000000000002</v>
      </c>
      <c r="C5664" t="str">
        <f t="shared" si="93"/>
        <v>1982 q1</v>
      </c>
    </row>
    <row r="5665" spans="1:3">
      <c r="A5665" s="62">
        <v>30011</v>
      </c>
      <c r="B5665">
        <v>0.71399999999999997</v>
      </c>
      <c r="C5665" t="str">
        <f t="shared" si="93"/>
        <v>1982 q1</v>
      </c>
    </row>
    <row r="5666" spans="1:3">
      <c r="A5666" s="62">
        <v>30012</v>
      </c>
      <c r="B5666">
        <v>0.70350000000000001</v>
      </c>
      <c r="C5666" t="str">
        <f t="shared" si="93"/>
        <v>1982 q1</v>
      </c>
    </row>
    <row r="5667" spans="1:3">
      <c r="A5667" s="62">
        <v>30013</v>
      </c>
      <c r="B5667">
        <v>0.69650000000000001</v>
      </c>
      <c r="C5667" t="str">
        <f t="shared" si="93"/>
        <v>1982 q1</v>
      </c>
    </row>
    <row r="5668" spans="1:3">
      <c r="A5668" s="62">
        <v>30014</v>
      </c>
      <c r="B5668">
        <v>0.70399999999999996</v>
      </c>
      <c r="C5668" t="str">
        <f t="shared" si="93"/>
        <v>1982 q1</v>
      </c>
    </row>
    <row r="5669" spans="1:3">
      <c r="A5669" s="62">
        <v>30015</v>
      </c>
      <c r="B5669">
        <v>0.69350000000000001</v>
      </c>
      <c r="C5669" t="str">
        <f t="shared" si="93"/>
        <v>1982 q1</v>
      </c>
    </row>
    <row r="5670" spans="1:3">
      <c r="A5670" s="62">
        <v>30018</v>
      </c>
      <c r="B5670">
        <v>0.67949999999999999</v>
      </c>
      <c r="C5670" t="str">
        <f t="shared" si="93"/>
        <v>1982 q1</v>
      </c>
    </row>
    <row r="5671" spans="1:3">
      <c r="A5671" s="62">
        <v>30019</v>
      </c>
      <c r="B5671">
        <v>0.68149999999999999</v>
      </c>
      <c r="C5671" t="str">
        <f t="shared" si="93"/>
        <v>1982 q1</v>
      </c>
    </row>
    <row r="5672" spans="1:3">
      <c r="A5672" s="62">
        <v>30020</v>
      </c>
      <c r="B5672">
        <v>0.69450000000000001</v>
      </c>
      <c r="C5672" t="str">
        <f t="shared" si="93"/>
        <v>1982 q1</v>
      </c>
    </row>
    <row r="5673" spans="1:3">
      <c r="A5673" s="62">
        <v>30021</v>
      </c>
      <c r="B5673">
        <v>0.6875</v>
      </c>
      <c r="C5673" t="str">
        <f t="shared" si="93"/>
        <v>1982 q1</v>
      </c>
    </row>
    <row r="5674" spans="1:3">
      <c r="A5674" s="62">
        <v>30022</v>
      </c>
      <c r="B5674">
        <v>0.67900000000000005</v>
      </c>
      <c r="C5674" t="str">
        <f t="shared" si="93"/>
        <v>1982 q1</v>
      </c>
    </row>
    <row r="5675" spans="1:3">
      <c r="A5675" s="62">
        <v>30025</v>
      </c>
      <c r="B5675">
        <v>0.69</v>
      </c>
      <c r="C5675" t="str">
        <f t="shared" si="93"/>
        <v>1982 q1</v>
      </c>
    </row>
    <row r="5676" spans="1:3">
      <c r="A5676" s="62">
        <v>30026</v>
      </c>
      <c r="B5676">
        <v>0.6885</v>
      </c>
      <c r="C5676" t="str">
        <f t="shared" si="93"/>
        <v>1982 q1</v>
      </c>
    </row>
    <row r="5677" spans="1:3">
      <c r="A5677" s="62">
        <v>30027</v>
      </c>
      <c r="B5677">
        <v>0.69399999999999995</v>
      </c>
      <c r="C5677" t="str">
        <f t="shared" si="93"/>
        <v>1982 q1</v>
      </c>
    </row>
    <row r="5678" spans="1:3">
      <c r="A5678" s="62">
        <v>30028</v>
      </c>
      <c r="B5678">
        <v>0.70199999999999996</v>
      </c>
      <c r="C5678" t="str">
        <f t="shared" si="93"/>
        <v>1982 q1</v>
      </c>
    </row>
    <row r="5679" spans="1:3">
      <c r="A5679" s="62">
        <v>30029</v>
      </c>
      <c r="B5679">
        <v>0.6925</v>
      </c>
      <c r="C5679" t="str">
        <f t="shared" si="93"/>
        <v>1982 q1</v>
      </c>
    </row>
    <row r="5680" spans="1:3">
      <c r="A5680" s="62">
        <v>30032</v>
      </c>
      <c r="B5680">
        <v>0.6915</v>
      </c>
      <c r="C5680" t="str">
        <f t="shared" si="93"/>
        <v>1982 q1</v>
      </c>
    </row>
    <row r="5681" spans="1:3">
      <c r="A5681" s="62">
        <v>30033</v>
      </c>
      <c r="B5681">
        <v>0.68799999999999994</v>
      </c>
      <c r="C5681" t="str">
        <f t="shared" si="93"/>
        <v>1982 q1</v>
      </c>
    </row>
    <row r="5682" spans="1:3">
      <c r="A5682" s="62">
        <v>30034</v>
      </c>
      <c r="B5682">
        <v>0.69350000000000001</v>
      </c>
      <c r="C5682" t="str">
        <f t="shared" si="93"/>
        <v>1982 q1</v>
      </c>
    </row>
    <row r="5683" spans="1:3">
      <c r="A5683" s="62">
        <v>30035</v>
      </c>
      <c r="B5683">
        <v>0.68400000000000005</v>
      </c>
      <c r="C5683" t="str">
        <f t="shared" si="93"/>
        <v>1982 q1</v>
      </c>
    </row>
    <row r="5684" spans="1:3">
      <c r="A5684" s="62">
        <v>30036</v>
      </c>
      <c r="B5684">
        <v>0.67400000000000004</v>
      </c>
      <c r="C5684" t="str">
        <f t="shared" si="93"/>
        <v>1982 q1</v>
      </c>
    </row>
    <row r="5685" spans="1:3">
      <c r="A5685" s="62">
        <v>30039</v>
      </c>
      <c r="B5685">
        <v>0.67149999999999999</v>
      </c>
      <c r="C5685" t="str">
        <f t="shared" si="93"/>
        <v>1982 q1</v>
      </c>
    </row>
    <row r="5686" spans="1:3">
      <c r="A5686" s="62">
        <v>30040</v>
      </c>
      <c r="B5686">
        <v>0.67449999999999999</v>
      </c>
      <c r="C5686" t="str">
        <f t="shared" si="93"/>
        <v>1982 q1</v>
      </c>
    </row>
    <row r="5687" spans="1:3">
      <c r="A5687" s="62">
        <v>30041</v>
      </c>
      <c r="B5687">
        <v>0.67549999999999999</v>
      </c>
      <c r="C5687" t="str">
        <f t="shared" si="93"/>
        <v>1982 q1</v>
      </c>
    </row>
    <row r="5688" spans="1:3">
      <c r="A5688" s="62">
        <v>30042</v>
      </c>
      <c r="B5688">
        <v>0.67300000000000004</v>
      </c>
      <c r="C5688" t="str">
        <f t="shared" si="93"/>
        <v>1982 q2</v>
      </c>
    </row>
    <row r="5689" spans="1:3">
      <c r="A5689" s="62">
        <v>30043</v>
      </c>
      <c r="B5689">
        <v>0.67400000000000004</v>
      </c>
      <c r="C5689" t="str">
        <f t="shared" si="93"/>
        <v>1982 q2</v>
      </c>
    </row>
    <row r="5690" spans="1:3">
      <c r="A5690" s="62">
        <v>30046</v>
      </c>
      <c r="B5690">
        <v>0.68049999999999999</v>
      </c>
      <c r="C5690" t="str">
        <f t="shared" si="93"/>
        <v>1982 q2</v>
      </c>
    </row>
    <row r="5691" spans="1:3">
      <c r="A5691" s="62">
        <v>30047</v>
      </c>
      <c r="B5691">
        <v>0.66349999999999998</v>
      </c>
      <c r="C5691" t="str">
        <f t="shared" si="93"/>
        <v>1982 q2</v>
      </c>
    </row>
    <row r="5692" spans="1:3">
      <c r="A5692" s="62">
        <v>30048</v>
      </c>
      <c r="B5692">
        <v>0.68700000000000006</v>
      </c>
      <c r="C5692" t="str">
        <f t="shared" si="93"/>
        <v>1982 q2</v>
      </c>
    </row>
    <row r="5693" spans="1:3">
      <c r="A5693" s="62">
        <v>30049</v>
      </c>
      <c r="B5693">
        <v>0.69599999999999995</v>
      </c>
      <c r="C5693" t="str">
        <f t="shared" si="93"/>
        <v>1982 q2</v>
      </c>
    </row>
    <row r="5694" spans="1:3">
      <c r="A5694" s="62">
        <v>30053</v>
      </c>
      <c r="B5694">
        <v>0.70699999999999996</v>
      </c>
      <c r="C5694" t="str">
        <f t="shared" si="93"/>
        <v>1982 q2</v>
      </c>
    </row>
    <row r="5695" spans="1:3">
      <c r="A5695" s="62">
        <v>30054</v>
      </c>
      <c r="B5695">
        <v>0.70699999999999996</v>
      </c>
      <c r="C5695" t="str">
        <f t="shared" si="93"/>
        <v>1982 q2</v>
      </c>
    </row>
    <row r="5696" spans="1:3">
      <c r="A5696" s="62">
        <v>30055</v>
      </c>
      <c r="B5696">
        <v>0.69850000000000001</v>
      </c>
      <c r="C5696" t="str">
        <f t="shared" si="93"/>
        <v>1982 q2</v>
      </c>
    </row>
    <row r="5697" spans="1:3">
      <c r="A5697" s="62">
        <v>30056</v>
      </c>
      <c r="B5697">
        <v>0.69899999999999995</v>
      </c>
      <c r="C5697" t="str">
        <f t="shared" si="93"/>
        <v>1982 q2</v>
      </c>
    </row>
    <row r="5698" spans="1:3">
      <c r="A5698" s="62">
        <v>30057</v>
      </c>
      <c r="B5698">
        <v>0.70299999999999996</v>
      </c>
      <c r="C5698" t="str">
        <f t="shared" si="93"/>
        <v>1982 q2</v>
      </c>
    </row>
    <row r="5699" spans="1:3">
      <c r="A5699" s="62">
        <v>30060</v>
      </c>
      <c r="B5699">
        <v>0.68799999999999994</v>
      </c>
      <c r="C5699" t="str">
        <f t="shared" si="93"/>
        <v>1982 q2</v>
      </c>
    </row>
    <row r="5700" spans="1:3">
      <c r="A5700" s="62">
        <v>30061</v>
      </c>
      <c r="B5700">
        <v>0.68600000000000005</v>
      </c>
      <c r="C5700" t="str">
        <f t="shared" si="93"/>
        <v>1982 q2</v>
      </c>
    </row>
    <row r="5701" spans="1:3">
      <c r="A5701" s="62">
        <v>30062</v>
      </c>
      <c r="B5701">
        <v>0.69499999999999995</v>
      </c>
      <c r="C5701" t="str">
        <f t="shared" si="93"/>
        <v>1982 q2</v>
      </c>
    </row>
    <row r="5702" spans="1:3">
      <c r="A5702" s="62">
        <v>30063</v>
      </c>
      <c r="B5702">
        <v>0.7</v>
      </c>
      <c r="C5702" t="str">
        <f t="shared" si="93"/>
        <v>1982 q2</v>
      </c>
    </row>
    <row r="5703" spans="1:3">
      <c r="A5703" s="62">
        <v>30064</v>
      </c>
      <c r="B5703">
        <v>0.69850000000000001</v>
      </c>
      <c r="C5703" t="str">
        <f t="shared" si="93"/>
        <v>1982 q2</v>
      </c>
    </row>
    <row r="5704" spans="1:3">
      <c r="A5704" s="62">
        <v>30067</v>
      </c>
      <c r="B5704">
        <v>0.70450000000000002</v>
      </c>
      <c r="C5704" t="str">
        <f t="shared" si="93"/>
        <v>1982 q2</v>
      </c>
    </row>
    <row r="5705" spans="1:3">
      <c r="A5705" s="62">
        <v>30068</v>
      </c>
      <c r="B5705">
        <v>0.70540000000000003</v>
      </c>
      <c r="C5705" t="str">
        <f t="shared" si="93"/>
        <v>1982 q2</v>
      </c>
    </row>
    <row r="5706" spans="1:3">
      <c r="A5706" s="62">
        <v>30069</v>
      </c>
      <c r="B5706">
        <v>0.70220000000000005</v>
      </c>
      <c r="C5706" t="str">
        <f t="shared" si="93"/>
        <v>1982 q2</v>
      </c>
    </row>
    <row r="5707" spans="1:3">
      <c r="A5707" s="62">
        <v>30070</v>
      </c>
      <c r="B5707">
        <v>0.7097</v>
      </c>
      <c r="C5707" t="str">
        <f t="shared" si="93"/>
        <v>1982 q2</v>
      </c>
    </row>
    <row r="5708" spans="1:3">
      <c r="A5708" s="62">
        <v>30071</v>
      </c>
      <c r="B5708">
        <v>0.72060000000000002</v>
      </c>
      <c r="C5708" t="str">
        <f t="shared" si="93"/>
        <v>1982 q2</v>
      </c>
    </row>
    <row r="5709" spans="1:3">
      <c r="A5709" s="62">
        <v>30074</v>
      </c>
      <c r="B5709">
        <v>0.73399999999999999</v>
      </c>
      <c r="C5709" t="str">
        <f t="shared" si="93"/>
        <v>1982 q2</v>
      </c>
    </row>
    <row r="5710" spans="1:3">
      <c r="A5710" s="62">
        <v>30075</v>
      </c>
      <c r="B5710">
        <v>0.73750000000000004</v>
      </c>
      <c r="C5710" t="str">
        <f t="shared" si="93"/>
        <v>1982 q2</v>
      </c>
    </row>
    <row r="5711" spans="1:3">
      <c r="A5711" s="62">
        <v>30076</v>
      </c>
      <c r="B5711">
        <v>0.74299999999999999</v>
      </c>
      <c r="C5711" t="str">
        <f t="shared" si="93"/>
        <v>1982 q2</v>
      </c>
    </row>
    <row r="5712" spans="1:3">
      <c r="A5712" s="62">
        <v>30077</v>
      </c>
      <c r="B5712">
        <v>0.73950000000000005</v>
      </c>
      <c r="C5712" t="str">
        <f t="shared" si="93"/>
        <v>1982 q2</v>
      </c>
    </row>
    <row r="5713" spans="1:3">
      <c r="A5713" s="62">
        <v>30078</v>
      </c>
      <c r="B5713">
        <v>0.74550000000000005</v>
      </c>
      <c r="C5713" t="str">
        <f t="shared" si="93"/>
        <v>1982 q2</v>
      </c>
    </row>
    <row r="5714" spans="1:3">
      <c r="A5714" s="62">
        <v>30081</v>
      </c>
      <c r="B5714">
        <v>0.73250000000000004</v>
      </c>
      <c r="C5714" t="str">
        <f t="shared" ref="C5714:C5777" si="94">YEAR(A5714)&amp;" q"&amp;ROUNDUP(MONTH(A5714)/3,0)</f>
        <v>1982 q2</v>
      </c>
    </row>
    <row r="5715" spans="1:3">
      <c r="A5715" s="62">
        <v>30082</v>
      </c>
      <c r="B5715">
        <v>0.73850000000000005</v>
      </c>
      <c r="C5715" t="str">
        <f t="shared" si="94"/>
        <v>1982 q2</v>
      </c>
    </row>
    <row r="5716" spans="1:3">
      <c r="A5716" s="62">
        <v>30083</v>
      </c>
      <c r="B5716">
        <v>0.72950000000000004</v>
      </c>
      <c r="C5716" t="str">
        <f t="shared" si="94"/>
        <v>1982 q2</v>
      </c>
    </row>
    <row r="5717" spans="1:3">
      <c r="A5717" s="62">
        <v>30084</v>
      </c>
      <c r="B5717">
        <v>0.72750000000000004</v>
      </c>
      <c r="C5717" t="str">
        <f t="shared" si="94"/>
        <v>1982 q2</v>
      </c>
    </row>
    <row r="5718" spans="1:3">
      <c r="A5718" s="62">
        <v>30085</v>
      </c>
      <c r="B5718">
        <v>0.73350000000000004</v>
      </c>
      <c r="C5718" t="str">
        <f t="shared" si="94"/>
        <v>1982 q2</v>
      </c>
    </row>
    <row r="5719" spans="1:3">
      <c r="A5719" s="62">
        <v>30088</v>
      </c>
      <c r="B5719">
        <v>0.71550000000000002</v>
      </c>
      <c r="C5719" t="str">
        <f t="shared" si="94"/>
        <v>1982 q2</v>
      </c>
    </row>
    <row r="5720" spans="1:3">
      <c r="A5720" s="62">
        <v>30089</v>
      </c>
      <c r="B5720">
        <v>0.69750000000000001</v>
      </c>
      <c r="C5720" t="str">
        <f t="shared" si="94"/>
        <v>1982 q2</v>
      </c>
    </row>
    <row r="5721" spans="1:3">
      <c r="A5721" s="62">
        <v>30090</v>
      </c>
      <c r="B5721">
        <v>0.68200000000000005</v>
      </c>
      <c r="C5721" t="str">
        <f t="shared" si="94"/>
        <v>1982 q2</v>
      </c>
    </row>
    <row r="5722" spans="1:3">
      <c r="A5722" s="62">
        <v>30091</v>
      </c>
      <c r="B5722">
        <v>0.6865</v>
      </c>
      <c r="C5722" t="str">
        <f t="shared" si="94"/>
        <v>1982 q2</v>
      </c>
    </row>
    <row r="5723" spans="1:3">
      <c r="A5723" s="62">
        <v>30092</v>
      </c>
      <c r="B5723">
        <v>0.69450000000000001</v>
      </c>
      <c r="C5723" t="str">
        <f t="shared" si="94"/>
        <v>1982 q2</v>
      </c>
    </row>
    <row r="5724" spans="1:3">
      <c r="A5724" s="62">
        <v>30095</v>
      </c>
      <c r="B5724">
        <v>0.67149999999999999</v>
      </c>
      <c r="C5724" t="str">
        <f t="shared" si="94"/>
        <v>1982 q2</v>
      </c>
    </row>
    <row r="5725" spans="1:3">
      <c r="A5725" s="62">
        <v>30096</v>
      </c>
      <c r="B5725">
        <v>0.67749999999999999</v>
      </c>
      <c r="C5725" t="str">
        <f t="shared" si="94"/>
        <v>1982 q2</v>
      </c>
    </row>
    <row r="5726" spans="1:3">
      <c r="A5726" s="62">
        <v>30097</v>
      </c>
      <c r="B5726">
        <v>0.66700000000000004</v>
      </c>
      <c r="C5726" t="str">
        <f t="shared" si="94"/>
        <v>1982 q2</v>
      </c>
    </row>
    <row r="5727" spans="1:3">
      <c r="A5727" s="62">
        <v>30098</v>
      </c>
      <c r="B5727">
        <v>0.65849999999999997</v>
      </c>
      <c r="C5727" t="str">
        <f t="shared" si="94"/>
        <v>1982 q2</v>
      </c>
    </row>
    <row r="5728" spans="1:3">
      <c r="A5728" s="62">
        <v>30099</v>
      </c>
      <c r="B5728">
        <v>0.64600000000000002</v>
      </c>
      <c r="C5728" t="str">
        <f t="shared" si="94"/>
        <v>1982 q2</v>
      </c>
    </row>
    <row r="5729" spans="1:3">
      <c r="A5729" s="62">
        <v>30103</v>
      </c>
      <c r="B5729">
        <v>0.61499999999999999</v>
      </c>
      <c r="C5729" t="str">
        <f t="shared" si="94"/>
        <v>1982 q2</v>
      </c>
    </row>
    <row r="5730" spans="1:3">
      <c r="A5730" s="62">
        <v>30104</v>
      </c>
      <c r="B5730">
        <v>0.62649999999999995</v>
      </c>
      <c r="C5730" t="str">
        <f t="shared" si="94"/>
        <v>1982 q2</v>
      </c>
    </row>
    <row r="5731" spans="1:3">
      <c r="A5731" s="62">
        <v>30105</v>
      </c>
      <c r="B5731">
        <v>0.60899999999999999</v>
      </c>
      <c r="C5731" t="str">
        <f t="shared" si="94"/>
        <v>1982 q2</v>
      </c>
    </row>
    <row r="5732" spans="1:3">
      <c r="A5732" s="62">
        <v>30106</v>
      </c>
      <c r="B5732">
        <v>0.60350000000000004</v>
      </c>
      <c r="C5732" t="str">
        <f t="shared" si="94"/>
        <v>1982 q2</v>
      </c>
    </row>
    <row r="5733" spans="1:3">
      <c r="A5733" s="62">
        <v>30109</v>
      </c>
      <c r="B5733">
        <v>0.61850000000000005</v>
      </c>
      <c r="C5733" t="str">
        <f t="shared" si="94"/>
        <v>1982 q2</v>
      </c>
    </row>
    <row r="5734" spans="1:3">
      <c r="A5734" s="62">
        <v>30110</v>
      </c>
      <c r="B5734">
        <v>0.60499999999999998</v>
      </c>
      <c r="C5734" t="str">
        <f t="shared" si="94"/>
        <v>1982 q2</v>
      </c>
    </row>
    <row r="5735" spans="1:3">
      <c r="A5735" s="62">
        <v>30111</v>
      </c>
      <c r="B5735">
        <v>0.58399999999999996</v>
      </c>
      <c r="C5735" t="str">
        <f t="shared" si="94"/>
        <v>1982 q2</v>
      </c>
    </row>
    <row r="5736" spans="1:3">
      <c r="A5736" s="62">
        <v>30112</v>
      </c>
      <c r="B5736">
        <v>0.57999999999999996</v>
      </c>
      <c r="C5736" t="str">
        <f t="shared" si="94"/>
        <v>1982 q2</v>
      </c>
    </row>
    <row r="5737" spans="1:3">
      <c r="A5737" s="62">
        <v>30113</v>
      </c>
      <c r="B5737">
        <v>0.59099999999999997</v>
      </c>
      <c r="C5737" t="str">
        <f t="shared" si="94"/>
        <v>1982 q2</v>
      </c>
    </row>
    <row r="5738" spans="1:3">
      <c r="A5738" s="62">
        <v>30116</v>
      </c>
      <c r="B5738">
        <v>0.57050000000000001</v>
      </c>
      <c r="C5738" t="str">
        <f t="shared" si="94"/>
        <v>1982 q2</v>
      </c>
    </row>
    <row r="5739" spans="1:3">
      <c r="A5739" s="62">
        <v>30117</v>
      </c>
      <c r="B5739">
        <v>0.57250000000000001</v>
      </c>
      <c r="C5739" t="str">
        <f t="shared" si="94"/>
        <v>1982 q2</v>
      </c>
    </row>
    <row r="5740" spans="1:3">
      <c r="A5740" s="62">
        <v>30118</v>
      </c>
      <c r="B5740">
        <v>0.57350000000000001</v>
      </c>
      <c r="C5740" t="str">
        <f t="shared" si="94"/>
        <v>1982 q2</v>
      </c>
    </row>
    <row r="5741" spans="1:3">
      <c r="A5741" s="62">
        <v>30119</v>
      </c>
      <c r="B5741">
        <v>0.55649999999999999</v>
      </c>
      <c r="C5741" t="str">
        <f t="shared" si="94"/>
        <v>1982 q2</v>
      </c>
    </row>
    <row r="5742" spans="1:3">
      <c r="A5742" s="62">
        <v>30120</v>
      </c>
      <c r="B5742">
        <v>0.54400000000000004</v>
      </c>
      <c r="C5742" t="str">
        <f t="shared" si="94"/>
        <v>1982 q2</v>
      </c>
    </row>
    <row r="5743" spans="1:3">
      <c r="A5743" s="62">
        <v>30123</v>
      </c>
      <c r="B5743">
        <v>0.54800000000000004</v>
      </c>
      <c r="C5743" t="str">
        <f t="shared" si="94"/>
        <v>1982 q2</v>
      </c>
    </row>
    <row r="5744" spans="1:3">
      <c r="A5744" s="62">
        <v>30124</v>
      </c>
      <c r="B5744">
        <v>0.55400000000000005</v>
      </c>
      <c r="C5744" t="str">
        <f t="shared" si="94"/>
        <v>1982 q2</v>
      </c>
    </row>
    <row r="5745" spans="1:3">
      <c r="A5745" s="62">
        <v>30125</v>
      </c>
      <c r="B5745">
        <v>0.57199999999999995</v>
      </c>
      <c r="C5745" t="str">
        <f t="shared" si="94"/>
        <v>1982 q2</v>
      </c>
    </row>
    <row r="5746" spans="1:3">
      <c r="A5746" s="62">
        <v>30126</v>
      </c>
      <c r="B5746">
        <v>0.56999999999999995</v>
      </c>
      <c r="C5746" t="str">
        <f t="shared" si="94"/>
        <v>1982 q2</v>
      </c>
    </row>
    <row r="5747" spans="1:3">
      <c r="A5747" s="62">
        <v>30127</v>
      </c>
      <c r="B5747">
        <v>0.57469999999999999</v>
      </c>
      <c r="C5747" t="str">
        <f t="shared" si="94"/>
        <v>1982 q2</v>
      </c>
    </row>
    <row r="5748" spans="1:3">
      <c r="A5748" s="62">
        <v>30130</v>
      </c>
      <c r="B5748">
        <v>0.60160000000000002</v>
      </c>
      <c r="C5748" t="str">
        <f t="shared" si="94"/>
        <v>1982 q2</v>
      </c>
    </row>
    <row r="5749" spans="1:3">
      <c r="A5749" s="62">
        <v>30131</v>
      </c>
      <c r="B5749">
        <v>0.6139</v>
      </c>
      <c r="C5749" t="str">
        <f t="shared" si="94"/>
        <v>1982 q2</v>
      </c>
    </row>
    <row r="5750" spans="1:3">
      <c r="A5750" s="62">
        <v>30132</v>
      </c>
      <c r="B5750">
        <v>0.60670000000000002</v>
      </c>
      <c r="C5750" t="str">
        <f t="shared" si="94"/>
        <v>1982 q2</v>
      </c>
    </row>
    <row r="5751" spans="1:3">
      <c r="A5751" s="62">
        <v>30133</v>
      </c>
      <c r="B5751">
        <v>0.61350000000000005</v>
      </c>
      <c r="C5751" t="str">
        <f t="shared" si="94"/>
        <v>1982 q3</v>
      </c>
    </row>
    <row r="5752" spans="1:3">
      <c r="A5752" s="62">
        <v>30134</v>
      </c>
      <c r="B5752">
        <v>0.60699999999999998</v>
      </c>
      <c r="C5752" t="str">
        <f t="shared" si="94"/>
        <v>1982 q3</v>
      </c>
    </row>
    <row r="5753" spans="1:3">
      <c r="A5753" s="62">
        <v>30138</v>
      </c>
      <c r="B5753">
        <v>0.60099999999999998</v>
      </c>
      <c r="C5753" t="str">
        <f t="shared" si="94"/>
        <v>1982 q3</v>
      </c>
    </row>
    <row r="5754" spans="1:3">
      <c r="A5754" s="62">
        <v>30139</v>
      </c>
      <c r="B5754">
        <v>0.59050000000000002</v>
      </c>
      <c r="C5754" t="str">
        <f t="shared" si="94"/>
        <v>1982 q3</v>
      </c>
    </row>
    <row r="5755" spans="1:3">
      <c r="A5755" s="62">
        <v>30140</v>
      </c>
      <c r="B5755">
        <v>0.61299999999999999</v>
      </c>
      <c r="C5755" t="str">
        <f t="shared" si="94"/>
        <v>1982 q3</v>
      </c>
    </row>
    <row r="5756" spans="1:3">
      <c r="A5756" s="62">
        <v>30141</v>
      </c>
      <c r="B5756">
        <v>0.64249999999999996</v>
      </c>
      <c r="C5756" t="str">
        <f t="shared" si="94"/>
        <v>1982 q3</v>
      </c>
    </row>
    <row r="5757" spans="1:3">
      <c r="A5757" s="62">
        <v>30144</v>
      </c>
      <c r="B5757">
        <v>0.64149999999999996</v>
      </c>
      <c r="C5757" t="str">
        <f t="shared" si="94"/>
        <v>1982 q3</v>
      </c>
    </row>
    <row r="5758" spans="1:3">
      <c r="A5758" s="62">
        <v>30145</v>
      </c>
      <c r="B5758">
        <v>0.64949999999999997</v>
      </c>
      <c r="C5758" t="str">
        <f t="shared" si="94"/>
        <v>1982 q3</v>
      </c>
    </row>
    <row r="5759" spans="1:3">
      <c r="A5759" s="62">
        <v>30146</v>
      </c>
      <c r="B5759">
        <v>0.65849999999999997</v>
      </c>
      <c r="C5759" t="str">
        <f t="shared" si="94"/>
        <v>1982 q3</v>
      </c>
    </row>
    <row r="5760" spans="1:3">
      <c r="A5760" s="62">
        <v>30147</v>
      </c>
      <c r="B5760">
        <v>0.65100000000000002</v>
      </c>
      <c r="C5760" t="str">
        <f t="shared" si="94"/>
        <v>1982 q3</v>
      </c>
    </row>
    <row r="5761" spans="1:3">
      <c r="A5761" s="62">
        <v>30148</v>
      </c>
      <c r="B5761">
        <v>0.66249999999999998</v>
      </c>
      <c r="C5761" t="str">
        <f t="shared" si="94"/>
        <v>1982 q3</v>
      </c>
    </row>
    <row r="5762" spans="1:3">
      <c r="A5762" s="62">
        <v>30151</v>
      </c>
      <c r="B5762">
        <v>0.64900000000000002</v>
      </c>
      <c r="C5762" t="str">
        <f t="shared" si="94"/>
        <v>1982 q3</v>
      </c>
    </row>
    <row r="5763" spans="1:3">
      <c r="A5763" s="62">
        <v>30152</v>
      </c>
      <c r="B5763">
        <v>0.68149999999999999</v>
      </c>
      <c r="C5763" t="str">
        <f t="shared" si="94"/>
        <v>1982 q3</v>
      </c>
    </row>
    <row r="5764" spans="1:3">
      <c r="A5764" s="62">
        <v>30153</v>
      </c>
      <c r="B5764">
        <v>0.68149999999999999</v>
      </c>
      <c r="C5764" t="str">
        <f t="shared" si="94"/>
        <v>1982 q3</v>
      </c>
    </row>
    <row r="5765" spans="1:3">
      <c r="A5765" s="62">
        <v>30154</v>
      </c>
      <c r="B5765">
        <v>0.67900000000000005</v>
      </c>
      <c r="C5765" t="str">
        <f t="shared" si="94"/>
        <v>1982 q3</v>
      </c>
    </row>
    <row r="5766" spans="1:3">
      <c r="A5766" s="62">
        <v>30155</v>
      </c>
      <c r="B5766">
        <v>0.68200000000000005</v>
      </c>
      <c r="C5766" t="str">
        <f t="shared" si="94"/>
        <v>1982 q3</v>
      </c>
    </row>
    <row r="5767" spans="1:3">
      <c r="A5767" s="62">
        <v>30158</v>
      </c>
      <c r="B5767">
        <v>0.67200000000000004</v>
      </c>
      <c r="C5767" t="str">
        <f t="shared" si="94"/>
        <v>1982 q3</v>
      </c>
    </row>
    <row r="5768" spans="1:3">
      <c r="A5768" s="62">
        <v>30159</v>
      </c>
      <c r="B5768">
        <v>0.66</v>
      </c>
      <c r="C5768" t="str">
        <f t="shared" si="94"/>
        <v>1982 q3</v>
      </c>
    </row>
    <row r="5769" spans="1:3">
      <c r="A5769" s="62">
        <v>30160</v>
      </c>
      <c r="B5769">
        <v>0.64149999999999996</v>
      </c>
      <c r="C5769" t="str">
        <f t="shared" si="94"/>
        <v>1982 q3</v>
      </c>
    </row>
    <row r="5770" spans="1:3">
      <c r="A5770" s="62">
        <v>30161</v>
      </c>
      <c r="B5770">
        <v>0.623</v>
      </c>
      <c r="C5770" t="str">
        <f t="shared" si="94"/>
        <v>1982 q3</v>
      </c>
    </row>
    <row r="5771" spans="1:3">
      <c r="A5771" s="62">
        <v>30162</v>
      </c>
      <c r="B5771">
        <v>0.63149999999999995</v>
      </c>
      <c r="C5771" t="str">
        <f t="shared" si="94"/>
        <v>1982 q3</v>
      </c>
    </row>
    <row r="5772" spans="1:3">
      <c r="A5772" s="62">
        <v>30165</v>
      </c>
      <c r="B5772">
        <v>0.66400000000000003</v>
      </c>
      <c r="C5772" t="str">
        <f t="shared" si="94"/>
        <v>1982 q3</v>
      </c>
    </row>
    <row r="5773" spans="1:3">
      <c r="A5773" s="62">
        <v>30166</v>
      </c>
      <c r="B5773">
        <v>0.66800000000000004</v>
      </c>
      <c r="C5773" t="str">
        <f t="shared" si="94"/>
        <v>1982 q3</v>
      </c>
    </row>
    <row r="5774" spans="1:3">
      <c r="A5774" s="62">
        <v>30167</v>
      </c>
      <c r="B5774">
        <v>0.65249999999999997</v>
      </c>
      <c r="C5774" t="str">
        <f t="shared" si="94"/>
        <v>1982 q3</v>
      </c>
    </row>
    <row r="5775" spans="1:3">
      <c r="A5775" s="62">
        <v>30168</v>
      </c>
      <c r="B5775">
        <v>0.63449999999999995</v>
      </c>
      <c r="C5775" t="str">
        <f t="shared" si="94"/>
        <v>1982 q3</v>
      </c>
    </row>
    <row r="5776" spans="1:3">
      <c r="A5776" s="62">
        <v>30169</v>
      </c>
      <c r="B5776">
        <v>0.61099999999999999</v>
      </c>
      <c r="C5776" t="str">
        <f t="shared" si="94"/>
        <v>1982 q3</v>
      </c>
    </row>
    <row r="5777" spans="1:3">
      <c r="A5777" s="62">
        <v>30172</v>
      </c>
      <c r="B5777">
        <v>0.58550000000000002</v>
      </c>
      <c r="C5777" t="str">
        <f t="shared" si="94"/>
        <v>1982 q3</v>
      </c>
    </row>
    <row r="5778" spans="1:3">
      <c r="A5778" s="62">
        <v>30173</v>
      </c>
      <c r="B5778">
        <v>0.58199999999999996</v>
      </c>
      <c r="C5778" t="str">
        <f t="shared" ref="C5778:C5841" si="95">YEAR(A5778)&amp;" q"&amp;ROUNDUP(MONTH(A5778)/3,0)</f>
        <v>1982 q3</v>
      </c>
    </row>
    <row r="5779" spans="1:3">
      <c r="A5779" s="62">
        <v>30174</v>
      </c>
      <c r="B5779">
        <v>0.59</v>
      </c>
      <c r="C5779" t="str">
        <f t="shared" si="95"/>
        <v>1982 q3</v>
      </c>
    </row>
    <row r="5780" spans="1:3">
      <c r="A5780" s="62">
        <v>30175</v>
      </c>
      <c r="B5780">
        <v>0.60850000000000004</v>
      </c>
      <c r="C5780" t="str">
        <f t="shared" si="95"/>
        <v>1982 q3</v>
      </c>
    </row>
    <row r="5781" spans="1:3">
      <c r="A5781" s="62">
        <v>30176</v>
      </c>
      <c r="B5781">
        <v>0.59499999999999997</v>
      </c>
      <c r="C5781" t="str">
        <f t="shared" si="95"/>
        <v>1982 q3</v>
      </c>
    </row>
    <row r="5782" spans="1:3">
      <c r="A5782" s="62">
        <v>30179</v>
      </c>
      <c r="B5782">
        <v>0.59750000000000003</v>
      </c>
      <c r="C5782" t="str">
        <f t="shared" si="95"/>
        <v>1982 q3</v>
      </c>
    </row>
    <row r="5783" spans="1:3">
      <c r="A5783" s="62">
        <v>30180</v>
      </c>
      <c r="B5783">
        <v>0.60399999999999998</v>
      </c>
      <c r="C5783" t="str">
        <f t="shared" si="95"/>
        <v>1982 q3</v>
      </c>
    </row>
    <row r="5784" spans="1:3">
      <c r="A5784" s="62">
        <v>30181</v>
      </c>
      <c r="B5784">
        <v>0.63600000000000001</v>
      </c>
      <c r="C5784" t="str">
        <f t="shared" si="95"/>
        <v>1982 q3</v>
      </c>
    </row>
    <row r="5785" spans="1:3">
      <c r="A5785" s="62">
        <v>30182</v>
      </c>
      <c r="B5785">
        <v>0.63949999999999996</v>
      </c>
      <c r="C5785" t="str">
        <f t="shared" si="95"/>
        <v>1982 q3</v>
      </c>
    </row>
    <row r="5786" spans="1:3">
      <c r="A5786" s="62">
        <v>30183</v>
      </c>
      <c r="B5786">
        <v>0.64600000000000002</v>
      </c>
      <c r="C5786" t="str">
        <f t="shared" si="95"/>
        <v>1982 q3</v>
      </c>
    </row>
    <row r="5787" spans="1:3">
      <c r="A5787" s="62">
        <v>30186</v>
      </c>
      <c r="B5787">
        <v>0.65300000000000002</v>
      </c>
      <c r="C5787" t="str">
        <f t="shared" si="95"/>
        <v>1982 q3</v>
      </c>
    </row>
    <row r="5788" spans="1:3">
      <c r="A5788" s="62">
        <v>30187</v>
      </c>
      <c r="B5788">
        <v>0.64600000000000002</v>
      </c>
      <c r="C5788" t="str">
        <f t="shared" si="95"/>
        <v>1982 q3</v>
      </c>
    </row>
    <row r="5789" spans="1:3">
      <c r="A5789" s="62">
        <v>30188</v>
      </c>
      <c r="B5789">
        <v>0.63849999999999996</v>
      </c>
      <c r="C5789" t="str">
        <f t="shared" si="95"/>
        <v>1982 q3</v>
      </c>
    </row>
    <row r="5790" spans="1:3">
      <c r="A5790" s="62">
        <v>30189</v>
      </c>
      <c r="B5790">
        <v>0.64500000000000002</v>
      </c>
      <c r="C5790" t="str">
        <f t="shared" si="95"/>
        <v>1982 q3</v>
      </c>
    </row>
    <row r="5791" spans="1:3">
      <c r="A5791" s="62">
        <v>30190</v>
      </c>
      <c r="B5791">
        <v>0.622</v>
      </c>
      <c r="C5791" t="str">
        <f t="shared" si="95"/>
        <v>1982 q3</v>
      </c>
    </row>
    <row r="5792" spans="1:3">
      <c r="A5792" s="62">
        <v>30193</v>
      </c>
      <c r="B5792">
        <v>0.61719999999999997</v>
      </c>
      <c r="C5792" t="str">
        <f t="shared" si="95"/>
        <v>1982 q3</v>
      </c>
    </row>
    <row r="5793" spans="1:3">
      <c r="A5793" s="62">
        <v>30194</v>
      </c>
      <c r="B5793">
        <v>0.64019999999999999</v>
      </c>
      <c r="C5793" t="str">
        <f t="shared" si="95"/>
        <v>1982 q3</v>
      </c>
    </row>
    <row r="5794" spans="1:3">
      <c r="A5794" s="62">
        <v>30195</v>
      </c>
      <c r="B5794">
        <v>0.64449999999999996</v>
      </c>
      <c r="C5794" t="str">
        <f t="shared" si="95"/>
        <v>1982 q3</v>
      </c>
    </row>
    <row r="5795" spans="1:3">
      <c r="A5795" s="62">
        <v>30196</v>
      </c>
      <c r="B5795">
        <v>0.64749999999999996</v>
      </c>
      <c r="C5795" t="str">
        <f t="shared" si="95"/>
        <v>1982 q3</v>
      </c>
    </row>
    <row r="5796" spans="1:3">
      <c r="A5796" s="62">
        <v>30197</v>
      </c>
      <c r="B5796">
        <v>0.67400000000000004</v>
      </c>
      <c r="C5796" t="str">
        <f t="shared" si="95"/>
        <v>1982 q3</v>
      </c>
    </row>
    <row r="5797" spans="1:3">
      <c r="A5797" s="62">
        <v>30201</v>
      </c>
      <c r="B5797">
        <v>0.66400000000000003</v>
      </c>
      <c r="C5797" t="str">
        <f t="shared" si="95"/>
        <v>1982 q3</v>
      </c>
    </row>
    <row r="5798" spans="1:3">
      <c r="A5798" s="62">
        <v>30202</v>
      </c>
      <c r="B5798">
        <v>0.66749999999999998</v>
      </c>
      <c r="C5798" t="str">
        <f t="shared" si="95"/>
        <v>1982 q3</v>
      </c>
    </row>
    <row r="5799" spans="1:3">
      <c r="A5799" s="62">
        <v>30203</v>
      </c>
      <c r="B5799">
        <v>0.65849999999999997</v>
      </c>
      <c r="C5799" t="str">
        <f t="shared" si="95"/>
        <v>1982 q3</v>
      </c>
    </row>
    <row r="5800" spans="1:3">
      <c r="A5800" s="62">
        <v>30204</v>
      </c>
      <c r="B5800">
        <v>0.64600000000000002</v>
      </c>
      <c r="C5800" t="str">
        <f t="shared" si="95"/>
        <v>1982 q3</v>
      </c>
    </row>
    <row r="5801" spans="1:3">
      <c r="A5801" s="62">
        <v>30207</v>
      </c>
      <c r="B5801">
        <v>0.65249999999999997</v>
      </c>
      <c r="C5801" t="str">
        <f t="shared" si="95"/>
        <v>1982 q3</v>
      </c>
    </row>
    <row r="5802" spans="1:3">
      <c r="A5802" s="62">
        <v>30208</v>
      </c>
      <c r="B5802">
        <v>0.64449999999999996</v>
      </c>
      <c r="C5802" t="str">
        <f t="shared" si="95"/>
        <v>1982 q3</v>
      </c>
    </row>
    <row r="5803" spans="1:3">
      <c r="A5803" s="62">
        <v>30209</v>
      </c>
      <c r="B5803">
        <v>0.63600000000000001</v>
      </c>
      <c r="C5803" t="str">
        <f t="shared" si="95"/>
        <v>1982 q3</v>
      </c>
    </row>
    <row r="5804" spans="1:3">
      <c r="A5804" s="62">
        <v>30210</v>
      </c>
      <c r="B5804">
        <v>0.64849999999999997</v>
      </c>
      <c r="C5804" t="str">
        <f t="shared" si="95"/>
        <v>1982 q3</v>
      </c>
    </row>
    <row r="5805" spans="1:3">
      <c r="A5805" s="62">
        <v>30211</v>
      </c>
      <c r="B5805">
        <v>0.64849999999999997</v>
      </c>
      <c r="C5805" t="str">
        <f t="shared" si="95"/>
        <v>1982 q3</v>
      </c>
    </row>
    <row r="5806" spans="1:3">
      <c r="A5806" s="62">
        <v>30214</v>
      </c>
      <c r="B5806">
        <v>0.63600000000000001</v>
      </c>
      <c r="C5806" t="str">
        <f t="shared" si="95"/>
        <v>1982 q3</v>
      </c>
    </row>
    <row r="5807" spans="1:3">
      <c r="A5807" s="62">
        <v>30215</v>
      </c>
      <c r="B5807">
        <v>0.64</v>
      </c>
      <c r="C5807" t="str">
        <f t="shared" si="95"/>
        <v>1982 q3</v>
      </c>
    </row>
    <row r="5808" spans="1:3">
      <c r="A5808" s="62">
        <v>30216</v>
      </c>
      <c r="B5808">
        <v>0.64600000000000002</v>
      </c>
      <c r="C5808" t="str">
        <f t="shared" si="95"/>
        <v>1982 q3</v>
      </c>
    </row>
    <row r="5809" spans="1:3">
      <c r="A5809" s="62">
        <v>30217</v>
      </c>
      <c r="B5809">
        <v>0.63349999999999995</v>
      </c>
      <c r="C5809" t="str">
        <f t="shared" si="95"/>
        <v>1982 q3</v>
      </c>
    </row>
    <row r="5810" spans="1:3">
      <c r="A5810" s="62">
        <v>30218</v>
      </c>
      <c r="B5810">
        <v>0.625</v>
      </c>
      <c r="C5810" t="str">
        <f t="shared" si="95"/>
        <v>1982 q3</v>
      </c>
    </row>
    <row r="5811" spans="1:3">
      <c r="A5811" s="62">
        <v>30221</v>
      </c>
      <c r="B5811">
        <v>0.61199999999999999</v>
      </c>
      <c r="C5811" t="str">
        <f t="shared" si="95"/>
        <v>1982 q3</v>
      </c>
    </row>
    <row r="5812" spans="1:3">
      <c r="A5812" s="62">
        <v>30222</v>
      </c>
      <c r="B5812">
        <v>0.61499999999999999</v>
      </c>
      <c r="C5812" t="str">
        <f t="shared" si="95"/>
        <v>1982 q3</v>
      </c>
    </row>
    <row r="5813" spans="1:3">
      <c r="A5813" s="62">
        <v>30223</v>
      </c>
      <c r="B5813">
        <v>0.60050000000000003</v>
      </c>
      <c r="C5813" t="str">
        <f t="shared" si="95"/>
        <v>1982 q3</v>
      </c>
    </row>
    <row r="5814" spans="1:3">
      <c r="A5814" s="62">
        <v>30224</v>
      </c>
      <c r="B5814">
        <v>0.6</v>
      </c>
      <c r="C5814" t="str">
        <f t="shared" si="95"/>
        <v>1982 q3</v>
      </c>
    </row>
    <row r="5815" spans="1:3">
      <c r="A5815" s="62">
        <v>30225</v>
      </c>
      <c r="B5815">
        <v>0.61199999999999999</v>
      </c>
      <c r="C5815" t="str">
        <f t="shared" si="95"/>
        <v>1982 q4</v>
      </c>
    </row>
    <row r="5816" spans="1:3">
      <c r="A5816" s="62">
        <v>30228</v>
      </c>
      <c r="B5816">
        <v>0.59499999999999997</v>
      </c>
      <c r="C5816" t="str">
        <f t="shared" si="95"/>
        <v>1982 q4</v>
      </c>
    </row>
    <row r="5817" spans="1:3">
      <c r="A5817" s="62">
        <v>30229</v>
      </c>
      <c r="B5817">
        <v>0.59850000000000003</v>
      </c>
      <c r="C5817" t="str">
        <f t="shared" si="95"/>
        <v>1982 q4</v>
      </c>
    </row>
    <row r="5818" spans="1:3">
      <c r="A5818" s="62">
        <v>30230</v>
      </c>
      <c r="B5818">
        <v>0.61</v>
      </c>
      <c r="C5818" t="str">
        <f t="shared" si="95"/>
        <v>1982 q4</v>
      </c>
    </row>
    <row r="5819" spans="1:3">
      <c r="A5819" s="62">
        <v>30231</v>
      </c>
      <c r="B5819">
        <v>0.64700000000000002</v>
      </c>
      <c r="C5819" t="str">
        <f t="shared" si="95"/>
        <v>1982 q4</v>
      </c>
    </row>
    <row r="5820" spans="1:3">
      <c r="A5820" s="62">
        <v>30232</v>
      </c>
      <c r="B5820">
        <v>0.62749999999999995</v>
      </c>
      <c r="C5820" t="str">
        <f t="shared" si="95"/>
        <v>1982 q4</v>
      </c>
    </row>
    <row r="5821" spans="1:3">
      <c r="A5821" s="62">
        <v>30235</v>
      </c>
      <c r="B5821">
        <v>0.65349999999999997</v>
      </c>
      <c r="C5821" t="str">
        <f t="shared" si="95"/>
        <v>1982 q4</v>
      </c>
    </row>
    <row r="5822" spans="1:3">
      <c r="A5822" s="62">
        <v>30236</v>
      </c>
      <c r="B5822">
        <v>0.64400000000000002</v>
      </c>
      <c r="C5822" t="str">
        <f t="shared" si="95"/>
        <v>1982 q4</v>
      </c>
    </row>
    <row r="5823" spans="1:3">
      <c r="A5823" s="62">
        <v>30237</v>
      </c>
      <c r="B5823">
        <v>0.66749999999999998</v>
      </c>
      <c r="C5823" t="str">
        <f t="shared" si="95"/>
        <v>1982 q4</v>
      </c>
    </row>
    <row r="5824" spans="1:3">
      <c r="A5824" s="62">
        <v>30238</v>
      </c>
      <c r="B5824">
        <v>0.69199999999999995</v>
      </c>
      <c r="C5824" t="str">
        <f t="shared" si="95"/>
        <v>1982 q4</v>
      </c>
    </row>
    <row r="5825" spans="1:3">
      <c r="A5825" s="62">
        <v>30239</v>
      </c>
      <c r="B5825">
        <v>0.67700000000000005</v>
      </c>
      <c r="C5825" t="str">
        <f t="shared" si="95"/>
        <v>1982 q4</v>
      </c>
    </row>
    <row r="5826" spans="1:3">
      <c r="A5826" s="62">
        <v>30242</v>
      </c>
      <c r="B5826">
        <v>0.67600000000000005</v>
      </c>
      <c r="C5826" t="str">
        <f t="shared" si="95"/>
        <v>1982 q4</v>
      </c>
    </row>
    <row r="5827" spans="1:3">
      <c r="A5827" s="62">
        <v>30243</v>
      </c>
      <c r="B5827">
        <v>0.66849999999999998</v>
      </c>
      <c r="C5827" t="str">
        <f t="shared" si="95"/>
        <v>1982 q4</v>
      </c>
    </row>
    <row r="5828" spans="1:3">
      <c r="A5828" s="62">
        <v>30244</v>
      </c>
      <c r="B5828">
        <v>0.66649999999999998</v>
      </c>
      <c r="C5828" t="str">
        <f t="shared" si="95"/>
        <v>1982 q4</v>
      </c>
    </row>
    <row r="5829" spans="1:3">
      <c r="A5829" s="62">
        <v>30245</v>
      </c>
      <c r="B5829">
        <v>0.67149999999999999</v>
      </c>
      <c r="C5829" t="str">
        <f t="shared" si="95"/>
        <v>1982 q4</v>
      </c>
    </row>
    <row r="5830" spans="1:3">
      <c r="A5830" s="62">
        <v>30246</v>
      </c>
      <c r="B5830">
        <v>0.67849999999999999</v>
      </c>
      <c r="C5830" t="str">
        <f t="shared" si="95"/>
        <v>1982 q4</v>
      </c>
    </row>
    <row r="5831" spans="1:3">
      <c r="A5831" s="62">
        <v>30249</v>
      </c>
      <c r="B5831">
        <v>0.64649999999999996</v>
      </c>
      <c r="C5831" t="str">
        <f t="shared" si="95"/>
        <v>1982 q4</v>
      </c>
    </row>
    <row r="5832" spans="1:3">
      <c r="A5832" s="62">
        <v>30250</v>
      </c>
      <c r="B5832">
        <v>0.65449999999999997</v>
      </c>
      <c r="C5832" t="str">
        <f t="shared" si="95"/>
        <v>1982 q4</v>
      </c>
    </row>
    <row r="5833" spans="1:3">
      <c r="A5833" s="62">
        <v>30251</v>
      </c>
      <c r="B5833">
        <v>0.65800000000000003</v>
      </c>
      <c r="C5833" t="str">
        <f t="shared" si="95"/>
        <v>1982 q4</v>
      </c>
    </row>
    <row r="5834" spans="1:3">
      <c r="A5834" s="62">
        <v>30252</v>
      </c>
      <c r="B5834">
        <v>0.65800000000000003</v>
      </c>
      <c r="C5834" t="str">
        <f t="shared" si="95"/>
        <v>1982 q4</v>
      </c>
    </row>
    <row r="5835" spans="1:3">
      <c r="A5835" s="62">
        <v>30253</v>
      </c>
      <c r="B5835">
        <v>0.65900000000000003</v>
      </c>
      <c r="C5835" t="str">
        <f t="shared" si="95"/>
        <v>1982 q4</v>
      </c>
    </row>
    <row r="5836" spans="1:3">
      <c r="A5836" s="62">
        <v>30256</v>
      </c>
      <c r="B5836">
        <v>0.67349999999999999</v>
      </c>
      <c r="C5836" t="str">
        <f t="shared" si="95"/>
        <v>1982 q4</v>
      </c>
    </row>
    <row r="5837" spans="1:3">
      <c r="A5837" s="62">
        <v>30258</v>
      </c>
      <c r="B5837">
        <v>0.68</v>
      </c>
      <c r="C5837" t="str">
        <f t="shared" si="95"/>
        <v>1982 q4</v>
      </c>
    </row>
    <row r="5838" spans="1:3">
      <c r="A5838" s="62">
        <v>30259</v>
      </c>
      <c r="B5838">
        <v>0.67749999999999999</v>
      </c>
      <c r="C5838" t="str">
        <f t="shared" si="95"/>
        <v>1982 q4</v>
      </c>
    </row>
    <row r="5839" spans="1:3">
      <c r="A5839" s="62">
        <v>30260</v>
      </c>
      <c r="B5839">
        <v>0.66400000000000003</v>
      </c>
      <c r="C5839" t="str">
        <f t="shared" si="95"/>
        <v>1982 q4</v>
      </c>
    </row>
    <row r="5840" spans="1:3">
      <c r="A5840" s="62">
        <v>30263</v>
      </c>
      <c r="B5840">
        <v>0.63449999999999995</v>
      </c>
      <c r="C5840" t="str">
        <f t="shared" si="95"/>
        <v>1982 q4</v>
      </c>
    </row>
    <row r="5841" spans="1:3">
      <c r="A5841" s="62">
        <v>30264</v>
      </c>
      <c r="B5841">
        <v>0.63949999999999996</v>
      </c>
      <c r="C5841" t="str">
        <f t="shared" si="95"/>
        <v>1982 q4</v>
      </c>
    </row>
    <row r="5842" spans="1:3">
      <c r="A5842" s="62">
        <v>30265</v>
      </c>
      <c r="B5842">
        <v>0.63900000000000001</v>
      </c>
      <c r="C5842" t="str">
        <f t="shared" ref="C5842:C5905" si="96">YEAR(A5842)&amp;" q"&amp;ROUNDUP(MONTH(A5842)/3,0)</f>
        <v>1982 q4</v>
      </c>
    </row>
    <row r="5843" spans="1:3">
      <c r="A5843" s="62">
        <v>30266</v>
      </c>
      <c r="B5843">
        <v>0.63600000000000001</v>
      </c>
      <c r="C5843" t="str">
        <f t="shared" si="96"/>
        <v>1982 q4</v>
      </c>
    </row>
    <row r="5844" spans="1:3">
      <c r="A5844" s="62">
        <v>30267</v>
      </c>
      <c r="B5844">
        <v>0.64300000000000002</v>
      </c>
      <c r="C5844" t="str">
        <f t="shared" si="96"/>
        <v>1982 q4</v>
      </c>
    </row>
    <row r="5845" spans="1:3">
      <c r="A5845" s="62">
        <v>30270</v>
      </c>
      <c r="B5845">
        <v>0.63700000000000001</v>
      </c>
      <c r="C5845" t="str">
        <f t="shared" si="96"/>
        <v>1982 q4</v>
      </c>
    </row>
    <row r="5846" spans="1:3">
      <c r="A5846" s="62">
        <v>30271</v>
      </c>
      <c r="B5846">
        <v>0.63249999999999995</v>
      </c>
      <c r="C5846" t="str">
        <f t="shared" si="96"/>
        <v>1982 q4</v>
      </c>
    </row>
    <row r="5847" spans="1:3">
      <c r="A5847" s="62">
        <v>30272</v>
      </c>
      <c r="B5847">
        <v>0.63300000000000001</v>
      </c>
      <c r="C5847" t="str">
        <f t="shared" si="96"/>
        <v>1982 q4</v>
      </c>
    </row>
    <row r="5848" spans="1:3">
      <c r="A5848" s="62">
        <v>30273</v>
      </c>
      <c r="B5848">
        <v>0.64200000000000002</v>
      </c>
      <c r="C5848" t="str">
        <f t="shared" si="96"/>
        <v>1982 q4</v>
      </c>
    </row>
    <row r="5849" spans="1:3">
      <c r="A5849" s="62">
        <v>30274</v>
      </c>
      <c r="B5849">
        <v>0.63800000000000001</v>
      </c>
      <c r="C5849" t="str">
        <f t="shared" si="96"/>
        <v>1982 q4</v>
      </c>
    </row>
    <row r="5850" spans="1:3">
      <c r="A5850" s="62">
        <v>30277</v>
      </c>
      <c r="B5850">
        <v>0.625</v>
      </c>
      <c r="C5850" t="str">
        <f t="shared" si="96"/>
        <v>1982 q4</v>
      </c>
    </row>
    <row r="5851" spans="1:3">
      <c r="A5851" s="62">
        <v>30278</v>
      </c>
      <c r="B5851">
        <v>0.61599999999999999</v>
      </c>
      <c r="C5851" t="str">
        <f t="shared" si="96"/>
        <v>1982 q4</v>
      </c>
    </row>
    <row r="5852" spans="1:3">
      <c r="A5852" s="62">
        <v>30279</v>
      </c>
      <c r="B5852">
        <v>0.61729999999999996</v>
      </c>
      <c r="C5852" t="str">
        <f t="shared" si="96"/>
        <v>1982 q4</v>
      </c>
    </row>
    <row r="5853" spans="1:3">
      <c r="A5853" s="62">
        <v>30281</v>
      </c>
      <c r="B5853">
        <v>0.63260000000000005</v>
      </c>
      <c r="C5853" t="str">
        <f t="shared" si="96"/>
        <v>1982 q4</v>
      </c>
    </row>
    <row r="5854" spans="1:3">
      <c r="A5854" s="62">
        <v>30284</v>
      </c>
      <c r="B5854">
        <v>0.64390000000000003</v>
      </c>
      <c r="C5854" t="str">
        <f t="shared" si="96"/>
        <v>1982 q4</v>
      </c>
    </row>
    <row r="5855" spans="1:3">
      <c r="A5855" s="62">
        <v>30285</v>
      </c>
      <c r="B5855">
        <v>0.66620000000000001</v>
      </c>
      <c r="C5855" t="str">
        <f t="shared" si="96"/>
        <v>1982 q4</v>
      </c>
    </row>
    <row r="5856" spans="1:3">
      <c r="A5856" s="62">
        <v>30286</v>
      </c>
      <c r="B5856">
        <v>0.66400000000000003</v>
      </c>
      <c r="C5856" t="str">
        <f t="shared" si="96"/>
        <v>1982 q4</v>
      </c>
    </row>
    <row r="5857" spans="1:3">
      <c r="A5857" s="62">
        <v>30287</v>
      </c>
      <c r="B5857">
        <v>0.66800000000000004</v>
      </c>
      <c r="C5857" t="str">
        <f t="shared" si="96"/>
        <v>1982 q4</v>
      </c>
    </row>
    <row r="5858" spans="1:3">
      <c r="A5858" s="62">
        <v>30288</v>
      </c>
      <c r="B5858">
        <v>0.66600000000000004</v>
      </c>
      <c r="C5858" t="str">
        <f t="shared" si="96"/>
        <v>1982 q4</v>
      </c>
    </row>
    <row r="5859" spans="1:3">
      <c r="A5859" s="62">
        <v>30291</v>
      </c>
      <c r="B5859">
        <v>0.65849999999999997</v>
      </c>
      <c r="C5859" t="str">
        <f t="shared" si="96"/>
        <v>1982 q4</v>
      </c>
    </row>
    <row r="5860" spans="1:3">
      <c r="A5860" s="62">
        <v>30292</v>
      </c>
      <c r="B5860">
        <v>0.68500000000000005</v>
      </c>
      <c r="C5860" t="str">
        <f t="shared" si="96"/>
        <v>1982 q4</v>
      </c>
    </row>
    <row r="5861" spans="1:3">
      <c r="A5861" s="62">
        <v>30293</v>
      </c>
      <c r="B5861">
        <v>0.66400000000000003</v>
      </c>
      <c r="C5861" t="str">
        <f t="shared" si="96"/>
        <v>1982 q4</v>
      </c>
    </row>
    <row r="5862" spans="1:3">
      <c r="A5862" s="62">
        <v>30294</v>
      </c>
      <c r="B5862">
        <v>0.66600000000000004</v>
      </c>
      <c r="C5862" t="str">
        <f t="shared" si="96"/>
        <v>1982 q4</v>
      </c>
    </row>
    <row r="5863" spans="1:3">
      <c r="A5863" s="62">
        <v>30295</v>
      </c>
      <c r="B5863">
        <v>0.65800000000000003</v>
      </c>
      <c r="C5863" t="str">
        <f t="shared" si="96"/>
        <v>1982 q4</v>
      </c>
    </row>
    <row r="5864" spans="1:3">
      <c r="A5864" s="62">
        <v>30298</v>
      </c>
      <c r="B5864">
        <v>0.66300000000000003</v>
      </c>
      <c r="C5864" t="str">
        <f t="shared" si="96"/>
        <v>1982 q4</v>
      </c>
    </row>
    <row r="5865" spans="1:3">
      <c r="A5865" s="62">
        <v>30299</v>
      </c>
      <c r="B5865">
        <v>0.65400000000000003</v>
      </c>
      <c r="C5865" t="str">
        <f t="shared" si="96"/>
        <v>1982 q4</v>
      </c>
    </row>
    <row r="5866" spans="1:3">
      <c r="A5866" s="62">
        <v>30300</v>
      </c>
      <c r="B5866">
        <v>0.65900000000000003</v>
      </c>
      <c r="C5866" t="str">
        <f t="shared" si="96"/>
        <v>1982 q4</v>
      </c>
    </row>
    <row r="5867" spans="1:3">
      <c r="A5867" s="62">
        <v>30301</v>
      </c>
      <c r="B5867">
        <v>0.66249999999999998</v>
      </c>
      <c r="C5867" t="str">
        <f t="shared" si="96"/>
        <v>1982 q4</v>
      </c>
    </row>
    <row r="5868" spans="1:3">
      <c r="A5868" s="62">
        <v>30302</v>
      </c>
      <c r="B5868">
        <v>0.65649999999999997</v>
      </c>
      <c r="C5868" t="str">
        <f t="shared" si="96"/>
        <v>1982 q4</v>
      </c>
    </row>
    <row r="5869" spans="1:3">
      <c r="A5869" s="62">
        <v>30305</v>
      </c>
      <c r="B5869">
        <v>0.66100000000000003</v>
      </c>
      <c r="C5869" t="str">
        <f t="shared" si="96"/>
        <v>1982 q4</v>
      </c>
    </row>
    <row r="5870" spans="1:3">
      <c r="A5870" s="62">
        <v>30306</v>
      </c>
      <c r="B5870">
        <v>0.66700000000000004</v>
      </c>
      <c r="C5870" t="str">
        <f t="shared" si="96"/>
        <v>1982 q4</v>
      </c>
    </row>
    <row r="5871" spans="1:3">
      <c r="A5871" s="62">
        <v>30307</v>
      </c>
      <c r="B5871">
        <v>0.66949999999999998</v>
      </c>
      <c r="C5871" t="str">
        <f t="shared" si="96"/>
        <v>1982 q4</v>
      </c>
    </row>
    <row r="5872" spans="1:3">
      <c r="A5872" s="62">
        <v>30308</v>
      </c>
      <c r="B5872">
        <v>0.66749999999999998</v>
      </c>
      <c r="C5872" t="str">
        <f t="shared" si="96"/>
        <v>1982 q4</v>
      </c>
    </row>
    <row r="5873" spans="1:3">
      <c r="A5873" s="62">
        <v>30312</v>
      </c>
      <c r="B5873">
        <v>0.69020000000000004</v>
      </c>
      <c r="C5873" t="str">
        <f t="shared" si="96"/>
        <v>1982 q4</v>
      </c>
    </row>
    <row r="5874" spans="1:3">
      <c r="A5874" s="62">
        <v>30313</v>
      </c>
      <c r="B5874">
        <v>0.70430000000000004</v>
      </c>
      <c r="C5874" t="str">
        <f t="shared" si="96"/>
        <v>1982 q4</v>
      </c>
    </row>
    <row r="5875" spans="1:3">
      <c r="A5875" s="62">
        <v>30314</v>
      </c>
      <c r="B5875">
        <v>0.70289999999999997</v>
      </c>
      <c r="C5875" t="str">
        <f t="shared" si="96"/>
        <v>1982 q4</v>
      </c>
    </row>
    <row r="5876" spans="1:3">
      <c r="A5876" s="62">
        <v>30315</v>
      </c>
      <c r="B5876">
        <v>0.69389999999999996</v>
      </c>
      <c r="C5876" t="str">
        <f t="shared" si="96"/>
        <v>1982 q4</v>
      </c>
    </row>
    <row r="5877" spans="1:3">
      <c r="A5877" s="62">
        <v>30319</v>
      </c>
      <c r="B5877">
        <v>0.71299999999999997</v>
      </c>
      <c r="C5877" t="str">
        <f t="shared" si="96"/>
        <v>1983 q1</v>
      </c>
    </row>
    <row r="5878" spans="1:3">
      <c r="A5878" s="62">
        <v>30320</v>
      </c>
      <c r="B5878">
        <v>0.70899999999999996</v>
      </c>
      <c r="C5878" t="str">
        <f t="shared" si="96"/>
        <v>1983 q1</v>
      </c>
    </row>
    <row r="5879" spans="1:3">
      <c r="A5879" s="62">
        <v>30321</v>
      </c>
      <c r="B5879">
        <v>0.72499999999999998</v>
      </c>
      <c r="C5879" t="str">
        <f t="shared" si="96"/>
        <v>1983 q1</v>
      </c>
    </row>
    <row r="5880" spans="1:3">
      <c r="A5880" s="62">
        <v>30322</v>
      </c>
      <c r="B5880">
        <v>0.72050000000000003</v>
      </c>
      <c r="C5880" t="str">
        <f t="shared" si="96"/>
        <v>1983 q1</v>
      </c>
    </row>
    <row r="5881" spans="1:3">
      <c r="A5881" s="62">
        <v>30323</v>
      </c>
      <c r="B5881">
        <v>0.73350000000000004</v>
      </c>
      <c r="C5881" t="str">
        <f t="shared" si="96"/>
        <v>1983 q1</v>
      </c>
    </row>
    <row r="5882" spans="1:3">
      <c r="A5882" s="62">
        <v>30326</v>
      </c>
      <c r="B5882">
        <v>0.74850000000000005</v>
      </c>
      <c r="C5882" t="str">
        <f t="shared" si="96"/>
        <v>1983 q1</v>
      </c>
    </row>
    <row r="5883" spans="1:3">
      <c r="A5883" s="62">
        <v>30327</v>
      </c>
      <c r="B5883">
        <v>0.73799999999999999</v>
      </c>
      <c r="C5883" t="str">
        <f t="shared" si="96"/>
        <v>1983 q1</v>
      </c>
    </row>
    <row r="5884" spans="1:3">
      <c r="A5884" s="62">
        <v>30328</v>
      </c>
      <c r="B5884">
        <v>0.74650000000000005</v>
      </c>
      <c r="C5884" t="str">
        <f t="shared" si="96"/>
        <v>1983 q1</v>
      </c>
    </row>
    <row r="5885" spans="1:3">
      <c r="A5885" s="62">
        <v>30329</v>
      </c>
      <c r="B5885">
        <v>0.73750000000000004</v>
      </c>
      <c r="C5885" t="str">
        <f t="shared" si="96"/>
        <v>1983 q1</v>
      </c>
    </row>
    <row r="5886" spans="1:3">
      <c r="A5886" s="62">
        <v>30330</v>
      </c>
      <c r="B5886">
        <v>0.755</v>
      </c>
      <c r="C5886" t="str">
        <f t="shared" si="96"/>
        <v>1983 q1</v>
      </c>
    </row>
    <row r="5887" spans="1:3">
      <c r="A5887" s="62">
        <v>30333</v>
      </c>
      <c r="B5887">
        <v>0.75049999999999994</v>
      </c>
      <c r="C5887" t="str">
        <f t="shared" si="96"/>
        <v>1983 q1</v>
      </c>
    </row>
    <row r="5888" spans="1:3">
      <c r="A5888" s="62">
        <v>30334</v>
      </c>
      <c r="B5888">
        <v>0.74199999999999999</v>
      </c>
      <c r="C5888" t="str">
        <f t="shared" si="96"/>
        <v>1983 q1</v>
      </c>
    </row>
    <row r="5889" spans="1:3">
      <c r="A5889" s="62">
        <v>30335</v>
      </c>
      <c r="B5889">
        <v>0.72799999999999998</v>
      </c>
      <c r="C5889" t="str">
        <f t="shared" si="96"/>
        <v>1983 q1</v>
      </c>
    </row>
    <row r="5890" spans="1:3">
      <c r="A5890" s="62">
        <v>30336</v>
      </c>
      <c r="B5890">
        <v>0.73150000000000004</v>
      </c>
      <c r="C5890" t="str">
        <f t="shared" si="96"/>
        <v>1983 q1</v>
      </c>
    </row>
    <row r="5891" spans="1:3">
      <c r="A5891" s="62">
        <v>30337</v>
      </c>
      <c r="B5891">
        <v>0.72850000000000004</v>
      </c>
      <c r="C5891" t="str">
        <f t="shared" si="96"/>
        <v>1983 q1</v>
      </c>
    </row>
    <row r="5892" spans="1:3">
      <c r="A5892" s="62">
        <v>30340</v>
      </c>
      <c r="B5892">
        <v>0.73099999999999998</v>
      </c>
      <c r="C5892" t="str">
        <f t="shared" si="96"/>
        <v>1983 q1</v>
      </c>
    </row>
    <row r="5893" spans="1:3">
      <c r="A5893" s="62">
        <v>30341</v>
      </c>
      <c r="B5893">
        <v>0.74099999999999999</v>
      </c>
      <c r="C5893" t="str">
        <f t="shared" si="96"/>
        <v>1983 q1</v>
      </c>
    </row>
    <row r="5894" spans="1:3">
      <c r="A5894" s="62">
        <v>30342</v>
      </c>
      <c r="B5894">
        <v>0.73499999999999999</v>
      </c>
      <c r="C5894" t="str">
        <f t="shared" si="96"/>
        <v>1983 q1</v>
      </c>
    </row>
    <row r="5895" spans="1:3">
      <c r="A5895" s="62">
        <v>30343</v>
      </c>
      <c r="B5895">
        <v>0.74550000000000005</v>
      </c>
      <c r="C5895" t="str">
        <f t="shared" si="96"/>
        <v>1983 q1</v>
      </c>
    </row>
    <row r="5896" spans="1:3">
      <c r="A5896" s="62">
        <v>30344</v>
      </c>
      <c r="B5896">
        <v>0.74150000000000005</v>
      </c>
      <c r="C5896" t="str">
        <f t="shared" si="96"/>
        <v>1983 q1</v>
      </c>
    </row>
    <row r="5897" spans="1:3">
      <c r="A5897" s="62">
        <v>30347</v>
      </c>
      <c r="B5897">
        <v>0.75249999999999995</v>
      </c>
      <c r="C5897" t="str">
        <f t="shared" si="96"/>
        <v>1983 q1</v>
      </c>
    </row>
    <row r="5898" spans="1:3">
      <c r="A5898" s="62">
        <v>30348</v>
      </c>
      <c r="B5898">
        <v>0.75</v>
      </c>
      <c r="C5898" t="str">
        <f t="shared" si="96"/>
        <v>1983 q1</v>
      </c>
    </row>
    <row r="5899" spans="1:3">
      <c r="A5899" s="62">
        <v>30349</v>
      </c>
      <c r="B5899">
        <v>0.748</v>
      </c>
      <c r="C5899" t="str">
        <f t="shared" si="96"/>
        <v>1983 q1</v>
      </c>
    </row>
    <row r="5900" spans="1:3">
      <c r="A5900" s="62">
        <v>30350</v>
      </c>
      <c r="B5900">
        <v>0.74199999999999999</v>
      </c>
      <c r="C5900" t="str">
        <f t="shared" si="96"/>
        <v>1983 q1</v>
      </c>
    </row>
    <row r="5901" spans="1:3">
      <c r="A5901" s="62">
        <v>30351</v>
      </c>
      <c r="B5901">
        <v>0.74299999999999999</v>
      </c>
      <c r="C5901" t="str">
        <f t="shared" si="96"/>
        <v>1983 q1</v>
      </c>
    </row>
    <row r="5902" spans="1:3">
      <c r="A5902" s="62">
        <v>30354</v>
      </c>
      <c r="B5902">
        <v>0.73899999999999999</v>
      </c>
      <c r="C5902" t="str">
        <f t="shared" si="96"/>
        <v>1983 q1</v>
      </c>
    </row>
    <row r="5903" spans="1:3">
      <c r="A5903" s="62">
        <v>30355</v>
      </c>
      <c r="B5903">
        <v>0.745</v>
      </c>
      <c r="C5903" t="str">
        <f t="shared" si="96"/>
        <v>1983 q1</v>
      </c>
    </row>
    <row r="5904" spans="1:3">
      <c r="A5904" s="62">
        <v>30356</v>
      </c>
      <c r="B5904">
        <v>0.73550000000000004</v>
      </c>
      <c r="C5904" t="str">
        <f t="shared" si="96"/>
        <v>1983 q1</v>
      </c>
    </row>
    <row r="5905" spans="1:3">
      <c r="A5905" s="62">
        <v>30357</v>
      </c>
      <c r="B5905">
        <v>0.75749999999999995</v>
      </c>
      <c r="C5905" t="str">
        <f t="shared" si="96"/>
        <v>1983 q1</v>
      </c>
    </row>
    <row r="5906" spans="1:3">
      <c r="A5906" s="62">
        <v>30358</v>
      </c>
      <c r="B5906">
        <v>0.76049999999999995</v>
      </c>
      <c r="C5906" t="str">
        <f t="shared" ref="C5906:C5969" si="97">YEAR(A5906)&amp;" q"&amp;ROUNDUP(MONTH(A5906)/3,0)</f>
        <v>1983 q1</v>
      </c>
    </row>
    <row r="5907" spans="1:3">
      <c r="A5907" s="62">
        <v>30361</v>
      </c>
      <c r="B5907">
        <v>0.77249999999999996</v>
      </c>
      <c r="C5907" t="str">
        <f t="shared" si="97"/>
        <v>1983 q1</v>
      </c>
    </row>
    <row r="5908" spans="1:3">
      <c r="A5908" s="62">
        <v>30362</v>
      </c>
      <c r="B5908">
        <v>0.78200000000000003</v>
      </c>
      <c r="C5908" t="str">
        <f t="shared" si="97"/>
        <v>1983 q1</v>
      </c>
    </row>
    <row r="5909" spans="1:3">
      <c r="A5909" s="62">
        <v>30363</v>
      </c>
      <c r="B5909">
        <v>0.77249999999999996</v>
      </c>
      <c r="C5909" t="str">
        <f t="shared" si="97"/>
        <v>1983 q1</v>
      </c>
    </row>
    <row r="5910" spans="1:3">
      <c r="A5910" s="62">
        <v>30364</v>
      </c>
      <c r="B5910">
        <v>0.77700000000000002</v>
      </c>
      <c r="C5910" t="str">
        <f t="shared" si="97"/>
        <v>1983 q1</v>
      </c>
    </row>
    <row r="5911" spans="1:3">
      <c r="A5911" s="62">
        <v>30365</v>
      </c>
      <c r="B5911">
        <v>0.77849999999999997</v>
      </c>
      <c r="C5911" t="str">
        <f t="shared" si="97"/>
        <v>1983 q1</v>
      </c>
    </row>
    <row r="5912" spans="1:3">
      <c r="A5912" s="62">
        <v>30369</v>
      </c>
      <c r="B5912">
        <v>0.75749999999999995</v>
      </c>
      <c r="C5912" t="str">
        <f t="shared" si="97"/>
        <v>1983 q1</v>
      </c>
    </row>
    <row r="5913" spans="1:3">
      <c r="A5913" s="62">
        <v>30370</v>
      </c>
      <c r="B5913">
        <v>0.77210000000000001</v>
      </c>
      <c r="C5913" t="str">
        <f t="shared" si="97"/>
        <v>1983 q1</v>
      </c>
    </row>
    <row r="5914" spans="1:3">
      <c r="A5914" s="62">
        <v>30371</v>
      </c>
      <c r="B5914">
        <v>0.79490000000000005</v>
      </c>
      <c r="C5914" t="str">
        <f t="shared" si="97"/>
        <v>1983 q1</v>
      </c>
    </row>
    <row r="5915" spans="1:3">
      <c r="A5915" s="62">
        <v>30372</v>
      </c>
      <c r="B5915">
        <v>0.79579999999999995</v>
      </c>
      <c r="C5915" t="str">
        <f t="shared" si="97"/>
        <v>1983 q1</v>
      </c>
    </row>
    <row r="5916" spans="1:3">
      <c r="A5916" s="62">
        <v>30375</v>
      </c>
      <c r="B5916">
        <v>0.74890000000000001</v>
      </c>
      <c r="C5916" t="str">
        <f t="shared" si="97"/>
        <v>1983 q1</v>
      </c>
    </row>
    <row r="5917" spans="1:3">
      <c r="A5917" s="62">
        <v>30376</v>
      </c>
      <c r="B5917">
        <v>0.76300000000000001</v>
      </c>
      <c r="C5917" t="str">
        <f t="shared" si="97"/>
        <v>1983 q1</v>
      </c>
    </row>
    <row r="5918" spans="1:3">
      <c r="A5918" s="62">
        <v>30377</v>
      </c>
      <c r="B5918">
        <v>0.77600000000000002</v>
      </c>
      <c r="C5918" t="str">
        <f t="shared" si="97"/>
        <v>1983 q1</v>
      </c>
    </row>
    <row r="5919" spans="1:3">
      <c r="A5919" s="62">
        <v>30378</v>
      </c>
      <c r="B5919">
        <v>0.77349999999999997</v>
      </c>
      <c r="C5919" t="str">
        <f t="shared" si="97"/>
        <v>1983 q1</v>
      </c>
    </row>
    <row r="5920" spans="1:3">
      <c r="A5920" s="62">
        <v>30379</v>
      </c>
      <c r="B5920">
        <v>0.73299999999999998</v>
      </c>
      <c r="C5920" t="str">
        <f t="shared" si="97"/>
        <v>1983 q1</v>
      </c>
    </row>
    <row r="5921" spans="1:3">
      <c r="A5921" s="62">
        <v>30382</v>
      </c>
      <c r="B5921">
        <v>0.73699999999999999</v>
      </c>
      <c r="C5921" t="str">
        <f t="shared" si="97"/>
        <v>1983 q1</v>
      </c>
    </row>
    <row r="5922" spans="1:3">
      <c r="A5922" s="62">
        <v>30383</v>
      </c>
      <c r="B5922">
        <v>0.73799999999999999</v>
      </c>
      <c r="C5922" t="str">
        <f t="shared" si="97"/>
        <v>1983 q1</v>
      </c>
    </row>
    <row r="5923" spans="1:3">
      <c r="A5923" s="62">
        <v>30384</v>
      </c>
      <c r="B5923">
        <v>0.74199999999999999</v>
      </c>
      <c r="C5923" t="str">
        <f t="shared" si="97"/>
        <v>1983 q1</v>
      </c>
    </row>
    <row r="5924" spans="1:3">
      <c r="A5924" s="62">
        <v>30385</v>
      </c>
      <c r="B5924">
        <v>0.745</v>
      </c>
      <c r="C5924" t="str">
        <f t="shared" si="97"/>
        <v>1983 q1</v>
      </c>
    </row>
    <row r="5925" spans="1:3">
      <c r="A5925" s="62">
        <v>30386</v>
      </c>
      <c r="B5925">
        <v>0.73550000000000004</v>
      </c>
      <c r="C5925" t="str">
        <f t="shared" si="97"/>
        <v>1983 q1</v>
      </c>
    </row>
    <row r="5926" spans="1:3">
      <c r="A5926" s="62">
        <v>30389</v>
      </c>
      <c r="B5926">
        <v>0.75</v>
      </c>
      <c r="C5926" t="str">
        <f t="shared" si="97"/>
        <v>1983 q1</v>
      </c>
    </row>
    <row r="5927" spans="1:3">
      <c r="A5927" s="62">
        <v>30390</v>
      </c>
      <c r="B5927">
        <v>0.74450000000000005</v>
      </c>
      <c r="C5927" t="str">
        <f t="shared" si="97"/>
        <v>1983 q1</v>
      </c>
    </row>
    <row r="5928" spans="1:3">
      <c r="A5928" s="62">
        <v>30391</v>
      </c>
      <c r="B5928">
        <v>0.73850000000000005</v>
      </c>
      <c r="C5928" t="str">
        <f t="shared" si="97"/>
        <v>1983 q1</v>
      </c>
    </row>
    <row r="5929" spans="1:3">
      <c r="A5929" s="62">
        <v>30392</v>
      </c>
      <c r="B5929">
        <v>0.74</v>
      </c>
      <c r="C5929" t="str">
        <f t="shared" si="97"/>
        <v>1983 q1</v>
      </c>
    </row>
    <row r="5930" spans="1:3">
      <c r="A5930" s="62">
        <v>30393</v>
      </c>
      <c r="B5930">
        <v>0.72250000000000003</v>
      </c>
      <c r="C5930" t="str">
        <f t="shared" si="97"/>
        <v>1983 q1</v>
      </c>
    </row>
    <row r="5931" spans="1:3">
      <c r="A5931" s="62">
        <v>30396</v>
      </c>
      <c r="B5931">
        <v>0.71299999999999997</v>
      </c>
      <c r="C5931" t="str">
        <f t="shared" si="97"/>
        <v>1983 q1</v>
      </c>
    </row>
    <row r="5932" spans="1:3">
      <c r="A5932" s="62">
        <v>30397</v>
      </c>
      <c r="B5932">
        <v>0.71950000000000003</v>
      </c>
      <c r="C5932" t="str">
        <f t="shared" si="97"/>
        <v>1983 q1</v>
      </c>
    </row>
    <row r="5933" spans="1:3">
      <c r="A5933" s="62">
        <v>30398</v>
      </c>
      <c r="B5933">
        <v>0.72550000000000003</v>
      </c>
      <c r="C5933" t="str">
        <f t="shared" si="97"/>
        <v>1983 q1</v>
      </c>
    </row>
    <row r="5934" spans="1:3">
      <c r="A5934" s="62">
        <v>30399</v>
      </c>
      <c r="B5934">
        <v>0.73450000000000004</v>
      </c>
      <c r="C5934" t="str">
        <f t="shared" si="97"/>
        <v>1983 q1</v>
      </c>
    </row>
    <row r="5935" spans="1:3">
      <c r="A5935" s="62">
        <v>30400</v>
      </c>
      <c r="B5935">
        <v>0.73199999999999998</v>
      </c>
      <c r="C5935" t="str">
        <f t="shared" si="97"/>
        <v>1983 q1</v>
      </c>
    </row>
    <row r="5936" spans="1:3">
      <c r="A5936" s="62">
        <v>30403</v>
      </c>
      <c r="B5936">
        <v>0.74399999999999999</v>
      </c>
      <c r="C5936" t="str">
        <f t="shared" si="97"/>
        <v>1983 q1</v>
      </c>
    </row>
    <row r="5937" spans="1:3">
      <c r="A5937" s="62">
        <v>30404</v>
      </c>
      <c r="B5937">
        <v>0.76</v>
      </c>
      <c r="C5937" t="str">
        <f t="shared" si="97"/>
        <v>1983 q1</v>
      </c>
    </row>
    <row r="5938" spans="1:3">
      <c r="A5938" s="62">
        <v>30405</v>
      </c>
      <c r="B5938">
        <v>0.753</v>
      </c>
      <c r="C5938" t="str">
        <f t="shared" si="97"/>
        <v>1983 q1</v>
      </c>
    </row>
    <row r="5939" spans="1:3">
      <c r="A5939" s="62">
        <v>30406</v>
      </c>
      <c r="B5939">
        <v>0.75149999999999995</v>
      </c>
      <c r="C5939" t="str">
        <f t="shared" si="97"/>
        <v>1983 q1</v>
      </c>
    </row>
    <row r="5940" spans="1:3">
      <c r="A5940" s="62">
        <v>30410</v>
      </c>
      <c r="B5940">
        <v>0.755</v>
      </c>
      <c r="C5940" t="str">
        <f t="shared" si="97"/>
        <v>1983 q2</v>
      </c>
    </row>
    <row r="5941" spans="1:3">
      <c r="A5941" s="62">
        <v>30411</v>
      </c>
      <c r="B5941">
        <v>0.751</v>
      </c>
      <c r="C5941" t="str">
        <f t="shared" si="97"/>
        <v>1983 q2</v>
      </c>
    </row>
    <row r="5942" spans="1:3">
      <c r="A5942" s="62">
        <v>30412</v>
      </c>
      <c r="B5942">
        <v>0.74250000000000005</v>
      </c>
      <c r="C5942" t="str">
        <f t="shared" si="97"/>
        <v>1983 q2</v>
      </c>
    </row>
    <row r="5943" spans="1:3">
      <c r="A5943" s="62">
        <v>30413</v>
      </c>
      <c r="B5943">
        <v>0.74350000000000005</v>
      </c>
      <c r="C5943" t="str">
        <f t="shared" si="97"/>
        <v>1983 q2</v>
      </c>
    </row>
    <row r="5944" spans="1:3">
      <c r="A5944" s="62">
        <v>30414</v>
      </c>
      <c r="B5944">
        <v>0.74299999999999999</v>
      </c>
      <c r="C5944" t="str">
        <f t="shared" si="97"/>
        <v>1983 q2</v>
      </c>
    </row>
    <row r="5945" spans="1:3">
      <c r="A5945" s="62">
        <v>30417</v>
      </c>
      <c r="B5945">
        <v>0.75800000000000001</v>
      </c>
      <c r="C5945" t="str">
        <f t="shared" si="97"/>
        <v>1983 q2</v>
      </c>
    </row>
    <row r="5946" spans="1:3">
      <c r="A5946" s="62">
        <v>30418</v>
      </c>
      <c r="B5946">
        <v>0.753</v>
      </c>
      <c r="C5946" t="str">
        <f t="shared" si="97"/>
        <v>1983 q2</v>
      </c>
    </row>
    <row r="5947" spans="1:3">
      <c r="A5947" s="62">
        <v>30419</v>
      </c>
      <c r="B5947">
        <v>0.754</v>
      </c>
      <c r="C5947" t="str">
        <f t="shared" si="97"/>
        <v>1983 q2</v>
      </c>
    </row>
    <row r="5948" spans="1:3">
      <c r="A5948" s="62">
        <v>30420</v>
      </c>
      <c r="B5948">
        <v>0.74150000000000005</v>
      </c>
      <c r="C5948" t="str">
        <f t="shared" si="97"/>
        <v>1983 q2</v>
      </c>
    </row>
    <row r="5949" spans="1:3">
      <c r="A5949" s="62">
        <v>30421</v>
      </c>
      <c r="B5949">
        <v>0.74650000000000005</v>
      </c>
      <c r="C5949" t="str">
        <f t="shared" si="97"/>
        <v>1983 q2</v>
      </c>
    </row>
    <row r="5950" spans="1:3">
      <c r="A5950" s="62">
        <v>30424</v>
      </c>
      <c r="B5950">
        <v>0.77249999999999996</v>
      </c>
      <c r="C5950" t="str">
        <f t="shared" si="97"/>
        <v>1983 q2</v>
      </c>
    </row>
    <row r="5951" spans="1:3">
      <c r="A5951" s="62">
        <v>30425</v>
      </c>
      <c r="B5951">
        <v>0.76549999999999996</v>
      </c>
      <c r="C5951" t="str">
        <f t="shared" si="97"/>
        <v>1983 q2</v>
      </c>
    </row>
    <row r="5952" spans="1:3">
      <c r="A5952" s="62">
        <v>30426</v>
      </c>
      <c r="B5952">
        <v>0.77100000000000002</v>
      </c>
      <c r="C5952" t="str">
        <f t="shared" si="97"/>
        <v>1983 q2</v>
      </c>
    </row>
    <row r="5953" spans="1:3">
      <c r="A5953" s="62">
        <v>30427</v>
      </c>
      <c r="B5953">
        <v>0.77700000000000002</v>
      </c>
      <c r="C5953" t="str">
        <f t="shared" si="97"/>
        <v>1983 q2</v>
      </c>
    </row>
    <row r="5954" spans="1:3">
      <c r="A5954" s="62">
        <v>30428</v>
      </c>
      <c r="B5954">
        <v>0.77449999999999997</v>
      </c>
      <c r="C5954" t="str">
        <f t="shared" si="97"/>
        <v>1983 q2</v>
      </c>
    </row>
    <row r="5955" spans="1:3">
      <c r="A5955" s="62">
        <v>30431</v>
      </c>
      <c r="B5955">
        <v>0.77349999999999997</v>
      </c>
      <c r="C5955" t="str">
        <f t="shared" si="97"/>
        <v>1983 q2</v>
      </c>
    </row>
    <row r="5956" spans="1:3">
      <c r="A5956" s="62">
        <v>30432</v>
      </c>
      <c r="B5956">
        <v>0.78210000000000002</v>
      </c>
      <c r="C5956" t="str">
        <f t="shared" si="97"/>
        <v>1983 q2</v>
      </c>
    </row>
    <row r="5957" spans="1:3">
      <c r="A5957" s="62">
        <v>30433</v>
      </c>
      <c r="B5957">
        <v>0.79049999999999998</v>
      </c>
      <c r="C5957" t="str">
        <f t="shared" si="97"/>
        <v>1983 q2</v>
      </c>
    </row>
    <row r="5958" spans="1:3">
      <c r="A5958" s="62">
        <v>30434</v>
      </c>
      <c r="B5958">
        <v>0.78349999999999997</v>
      </c>
      <c r="C5958" t="str">
        <f t="shared" si="97"/>
        <v>1983 q2</v>
      </c>
    </row>
    <row r="5959" spans="1:3">
      <c r="A5959" s="62">
        <v>30435</v>
      </c>
      <c r="B5959">
        <v>0.78480000000000005</v>
      </c>
      <c r="C5959" t="str">
        <f t="shared" si="97"/>
        <v>1983 q2</v>
      </c>
    </row>
    <row r="5960" spans="1:3">
      <c r="A5960" s="62">
        <v>30438</v>
      </c>
      <c r="B5960">
        <v>0.78900000000000003</v>
      </c>
      <c r="C5960" t="str">
        <f t="shared" si="97"/>
        <v>1983 q2</v>
      </c>
    </row>
    <row r="5961" spans="1:3">
      <c r="A5961" s="62">
        <v>30439</v>
      </c>
      <c r="B5961">
        <v>0.80349999999999999</v>
      </c>
      <c r="C5961" t="str">
        <f t="shared" si="97"/>
        <v>1983 q2</v>
      </c>
    </row>
    <row r="5962" spans="1:3">
      <c r="A5962" s="62">
        <v>30440</v>
      </c>
      <c r="B5962">
        <v>0.80200000000000005</v>
      </c>
      <c r="C5962" t="str">
        <f t="shared" si="97"/>
        <v>1983 q2</v>
      </c>
    </row>
    <row r="5963" spans="1:3">
      <c r="A5963" s="62">
        <v>30441</v>
      </c>
      <c r="B5963">
        <v>0.8</v>
      </c>
      <c r="C5963" t="str">
        <f t="shared" si="97"/>
        <v>1983 q2</v>
      </c>
    </row>
    <row r="5964" spans="1:3">
      <c r="A5964" s="62">
        <v>30442</v>
      </c>
      <c r="B5964">
        <v>0.80800000000000005</v>
      </c>
      <c r="C5964" t="str">
        <f t="shared" si="97"/>
        <v>1983 q2</v>
      </c>
    </row>
    <row r="5965" spans="1:3">
      <c r="A5965" s="62">
        <v>30445</v>
      </c>
      <c r="B5965">
        <v>0.80800000000000005</v>
      </c>
      <c r="C5965" t="str">
        <f t="shared" si="97"/>
        <v>1983 q2</v>
      </c>
    </row>
    <row r="5966" spans="1:3">
      <c r="A5966" s="62">
        <v>30446</v>
      </c>
      <c r="B5966">
        <v>0.81499999999999995</v>
      </c>
      <c r="C5966" t="str">
        <f t="shared" si="97"/>
        <v>1983 q2</v>
      </c>
    </row>
    <row r="5967" spans="1:3">
      <c r="A5967" s="62">
        <v>30447</v>
      </c>
      <c r="B5967">
        <v>0.80800000000000005</v>
      </c>
      <c r="C5967" t="str">
        <f t="shared" si="97"/>
        <v>1983 q2</v>
      </c>
    </row>
    <row r="5968" spans="1:3">
      <c r="A5968" s="62">
        <v>30448</v>
      </c>
      <c r="B5968">
        <v>0.8</v>
      </c>
      <c r="C5968" t="str">
        <f t="shared" si="97"/>
        <v>1983 q2</v>
      </c>
    </row>
    <row r="5969" spans="1:3">
      <c r="A5969" s="62">
        <v>30449</v>
      </c>
      <c r="B5969">
        <v>0.8105</v>
      </c>
      <c r="C5969" t="str">
        <f t="shared" si="97"/>
        <v>1983 q2</v>
      </c>
    </row>
    <row r="5970" spans="1:3">
      <c r="A5970" s="62">
        <v>30452</v>
      </c>
      <c r="B5970">
        <v>0.80500000000000005</v>
      </c>
      <c r="C5970" t="str">
        <f t="shared" ref="C5970:C6033" si="98">YEAR(A5970)&amp;" q"&amp;ROUNDUP(MONTH(A5970)/3,0)</f>
        <v>1983 q2</v>
      </c>
    </row>
    <row r="5971" spans="1:3">
      <c r="A5971" s="62">
        <v>30453</v>
      </c>
      <c r="B5971">
        <v>0.80249999999999999</v>
      </c>
      <c r="C5971" t="str">
        <f t="shared" si="98"/>
        <v>1983 q2</v>
      </c>
    </row>
    <row r="5972" spans="1:3">
      <c r="A5972" s="62">
        <v>30454</v>
      </c>
      <c r="B5972">
        <v>0.8095</v>
      </c>
      <c r="C5972" t="str">
        <f t="shared" si="98"/>
        <v>1983 q2</v>
      </c>
    </row>
    <row r="5973" spans="1:3">
      <c r="A5973" s="62">
        <v>30455</v>
      </c>
      <c r="B5973">
        <v>0.80549999999999999</v>
      </c>
      <c r="C5973" t="str">
        <f t="shared" si="98"/>
        <v>1983 q2</v>
      </c>
    </row>
    <row r="5974" spans="1:3">
      <c r="A5974" s="62">
        <v>30456</v>
      </c>
      <c r="B5974">
        <v>0.77300000000000002</v>
      </c>
      <c r="C5974" t="str">
        <f t="shared" si="98"/>
        <v>1983 q2</v>
      </c>
    </row>
    <row r="5975" spans="1:3">
      <c r="A5975" s="62">
        <v>30459</v>
      </c>
      <c r="B5975">
        <v>0.78749999999999998</v>
      </c>
      <c r="C5975" t="str">
        <f t="shared" si="98"/>
        <v>1983 q2</v>
      </c>
    </row>
    <row r="5976" spans="1:3">
      <c r="A5976" s="62">
        <v>30460</v>
      </c>
      <c r="B5976">
        <v>0.78800000000000003</v>
      </c>
      <c r="C5976" t="str">
        <f t="shared" si="98"/>
        <v>1983 q2</v>
      </c>
    </row>
    <row r="5977" spans="1:3">
      <c r="A5977" s="62">
        <v>30461</v>
      </c>
      <c r="B5977">
        <v>0.78900000000000003</v>
      </c>
      <c r="C5977" t="str">
        <f t="shared" si="98"/>
        <v>1983 q2</v>
      </c>
    </row>
    <row r="5978" spans="1:3">
      <c r="A5978" s="62">
        <v>30462</v>
      </c>
      <c r="B5978">
        <v>0.78449999999999998</v>
      </c>
      <c r="C5978" t="str">
        <f t="shared" si="98"/>
        <v>1983 q2</v>
      </c>
    </row>
    <row r="5979" spans="1:3">
      <c r="A5979" s="62">
        <v>30463</v>
      </c>
      <c r="B5979">
        <v>0.79200000000000004</v>
      </c>
      <c r="C5979" t="str">
        <f t="shared" si="98"/>
        <v>1983 q2</v>
      </c>
    </row>
    <row r="5980" spans="1:3">
      <c r="A5980" s="62">
        <v>30467</v>
      </c>
      <c r="B5980">
        <v>0.78349999999999997</v>
      </c>
      <c r="C5980" t="str">
        <f t="shared" si="98"/>
        <v>1983 q2</v>
      </c>
    </row>
    <row r="5981" spans="1:3">
      <c r="A5981" s="62">
        <v>30468</v>
      </c>
      <c r="B5981">
        <v>0.75600000000000001</v>
      </c>
      <c r="C5981" t="str">
        <f t="shared" si="98"/>
        <v>1983 q2</v>
      </c>
    </row>
    <row r="5982" spans="1:3">
      <c r="A5982" s="62">
        <v>30469</v>
      </c>
      <c r="B5982">
        <v>0.755</v>
      </c>
      <c r="C5982" t="str">
        <f t="shared" si="98"/>
        <v>1983 q2</v>
      </c>
    </row>
    <row r="5983" spans="1:3">
      <c r="A5983" s="62">
        <v>30470</v>
      </c>
      <c r="B5983">
        <v>0.75849999999999995</v>
      </c>
      <c r="C5983" t="str">
        <f t="shared" si="98"/>
        <v>1983 q2</v>
      </c>
    </row>
    <row r="5984" spans="1:3">
      <c r="A5984" s="62">
        <v>30473</v>
      </c>
      <c r="B5984">
        <v>0.74350000000000005</v>
      </c>
      <c r="C5984" t="str">
        <f t="shared" si="98"/>
        <v>1983 q2</v>
      </c>
    </row>
    <row r="5985" spans="1:3">
      <c r="A5985" s="62">
        <v>30474</v>
      </c>
      <c r="B5985">
        <v>0.75149999999999995</v>
      </c>
      <c r="C5985" t="str">
        <f t="shared" si="98"/>
        <v>1983 q2</v>
      </c>
    </row>
    <row r="5986" spans="1:3">
      <c r="A5986" s="62">
        <v>30475</v>
      </c>
      <c r="B5986">
        <v>0.749</v>
      </c>
      <c r="C5986" t="str">
        <f t="shared" si="98"/>
        <v>1983 q2</v>
      </c>
    </row>
    <row r="5987" spans="1:3">
      <c r="A5987" s="62">
        <v>30476</v>
      </c>
      <c r="B5987">
        <v>0.75800000000000001</v>
      </c>
      <c r="C5987" t="str">
        <f t="shared" si="98"/>
        <v>1983 q2</v>
      </c>
    </row>
    <row r="5988" spans="1:3">
      <c r="A5988" s="62">
        <v>30477</v>
      </c>
      <c r="B5988">
        <v>0.75149999999999995</v>
      </c>
      <c r="C5988" t="str">
        <f t="shared" si="98"/>
        <v>1983 q2</v>
      </c>
    </row>
    <row r="5989" spans="1:3">
      <c r="A5989" s="62">
        <v>30480</v>
      </c>
      <c r="B5989">
        <v>0.75349999999999995</v>
      </c>
      <c r="C5989" t="str">
        <f t="shared" si="98"/>
        <v>1983 q2</v>
      </c>
    </row>
    <row r="5990" spans="1:3">
      <c r="A5990" s="62">
        <v>30481</v>
      </c>
      <c r="B5990">
        <v>0.74750000000000005</v>
      </c>
      <c r="C5990" t="str">
        <f t="shared" si="98"/>
        <v>1983 q2</v>
      </c>
    </row>
    <row r="5991" spans="1:3">
      <c r="A5991" s="62">
        <v>30482</v>
      </c>
      <c r="B5991">
        <v>0.73550000000000004</v>
      </c>
      <c r="C5991" t="str">
        <f t="shared" si="98"/>
        <v>1983 q2</v>
      </c>
    </row>
    <row r="5992" spans="1:3">
      <c r="A5992" s="62">
        <v>30483</v>
      </c>
      <c r="B5992">
        <v>0.74950000000000006</v>
      </c>
      <c r="C5992" t="str">
        <f t="shared" si="98"/>
        <v>1983 q2</v>
      </c>
    </row>
    <row r="5993" spans="1:3">
      <c r="A5993" s="62">
        <v>30484</v>
      </c>
      <c r="B5993">
        <v>0.749</v>
      </c>
      <c r="C5993" t="str">
        <f t="shared" si="98"/>
        <v>1983 q2</v>
      </c>
    </row>
    <row r="5994" spans="1:3">
      <c r="A5994" s="62">
        <v>30487</v>
      </c>
      <c r="B5994">
        <v>0.76</v>
      </c>
      <c r="C5994" t="str">
        <f t="shared" si="98"/>
        <v>1983 q2</v>
      </c>
    </row>
    <row r="5995" spans="1:3">
      <c r="A5995" s="62">
        <v>30488</v>
      </c>
      <c r="B5995">
        <v>0.76300000000000001</v>
      </c>
      <c r="C5995" t="str">
        <f t="shared" si="98"/>
        <v>1983 q2</v>
      </c>
    </row>
    <row r="5996" spans="1:3">
      <c r="A5996" s="62">
        <v>30489</v>
      </c>
      <c r="B5996">
        <v>0.76700000000000002</v>
      </c>
      <c r="C5996" t="str">
        <f t="shared" si="98"/>
        <v>1983 q2</v>
      </c>
    </row>
    <row r="5997" spans="1:3">
      <c r="A5997" s="62">
        <v>30490</v>
      </c>
      <c r="B5997">
        <v>0.76149999999999995</v>
      </c>
      <c r="C5997" t="str">
        <f t="shared" si="98"/>
        <v>1983 q2</v>
      </c>
    </row>
    <row r="5998" spans="1:3">
      <c r="A5998" s="62">
        <v>30491</v>
      </c>
      <c r="B5998">
        <v>0.76600000000000001</v>
      </c>
      <c r="C5998" t="str">
        <f t="shared" si="98"/>
        <v>1983 q2</v>
      </c>
    </row>
    <row r="5999" spans="1:3">
      <c r="A5999" s="62">
        <v>30494</v>
      </c>
      <c r="B5999">
        <v>0.75560000000000005</v>
      </c>
      <c r="C5999" t="str">
        <f t="shared" si="98"/>
        <v>1983 q2</v>
      </c>
    </row>
    <row r="6000" spans="1:3">
      <c r="A6000" s="62">
        <v>30495</v>
      </c>
      <c r="B6000">
        <v>0.74870000000000003</v>
      </c>
      <c r="C6000" t="str">
        <f t="shared" si="98"/>
        <v>1983 q2</v>
      </c>
    </row>
    <row r="6001" spans="1:3">
      <c r="A6001" s="62">
        <v>30496</v>
      </c>
      <c r="B6001">
        <v>0.76300000000000001</v>
      </c>
      <c r="C6001" t="str">
        <f t="shared" si="98"/>
        <v>1983 q2</v>
      </c>
    </row>
    <row r="6002" spans="1:3">
      <c r="A6002" s="62">
        <v>30497</v>
      </c>
      <c r="B6002">
        <v>0.76029999999999998</v>
      </c>
      <c r="C6002" t="str">
        <f t="shared" si="98"/>
        <v>1983 q2</v>
      </c>
    </row>
    <row r="6003" spans="1:3">
      <c r="A6003" s="62">
        <v>30498</v>
      </c>
      <c r="B6003">
        <v>0.77249999999999996</v>
      </c>
      <c r="C6003" t="str">
        <f t="shared" si="98"/>
        <v>1983 q3</v>
      </c>
    </row>
    <row r="6004" spans="1:3">
      <c r="A6004" s="62">
        <v>30502</v>
      </c>
      <c r="B6004">
        <v>0.75849999999999995</v>
      </c>
      <c r="C6004" t="str">
        <f t="shared" si="98"/>
        <v>1983 q3</v>
      </c>
    </row>
    <row r="6005" spans="1:3">
      <c r="A6005" s="62">
        <v>30503</v>
      </c>
      <c r="B6005">
        <v>0.76300000000000001</v>
      </c>
      <c r="C6005" t="str">
        <f t="shared" si="98"/>
        <v>1983 q3</v>
      </c>
    </row>
    <row r="6006" spans="1:3">
      <c r="A6006" s="62">
        <v>30504</v>
      </c>
      <c r="B6006">
        <v>0.77949999999999997</v>
      </c>
      <c r="C6006" t="str">
        <f t="shared" si="98"/>
        <v>1983 q3</v>
      </c>
    </row>
    <row r="6007" spans="1:3">
      <c r="A6007" s="62">
        <v>30505</v>
      </c>
      <c r="B6007">
        <v>0.77449999999999997</v>
      </c>
      <c r="C6007" t="str">
        <f t="shared" si="98"/>
        <v>1983 q3</v>
      </c>
    </row>
    <row r="6008" spans="1:3">
      <c r="A6008" s="62">
        <v>30508</v>
      </c>
      <c r="B6008">
        <v>0.77500000000000002</v>
      </c>
      <c r="C6008" t="str">
        <f t="shared" si="98"/>
        <v>1983 q3</v>
      </c>
    </row>
    <row r="6009" spans="1:3">
      <c r="A6009" s="62">
        <v>30509</v>
      </c>
      <c r="B6009">
        <v>0.76649999999999996</v>
      </c>
      <c r="C6009" t="str">
        <f t="shared" si="98"/>
        <v>1983 q3</v>
      </c>
    </row>
    <row r="6010" spans="1:3">
      <c r="A6010" s="62">
        <v>30510</v>
      </c>
      <c r="B6010">
        <v>0.76149999999999995</v>
      </c>
      <c r="C6010" t="str">
        <f t="shared" si="98"/>
        <v>1983 q3</v>
      </c>
    </row>
    <row r="6011" spans="1:3">
      <c r="A6011" s="62">
        <v>30511</v>
      </c>
      <c r="B6011">
        <v>0.76400000000000001</v>
      </c>
      <c r="C6011" t="str">
        <f t="shared" si="98"/>
        <v>1983 q3</v>
      </c>
    </row>
    <row r="6012" spans="1:3">
      <c r="A6012" s="62">
        <v>30512</v>
      </c>
      <c r="B6012">
        <v>0.75700000000000001</v>
      </c>
      <c r="C6012" t="str">
        <f t="shared" si="98"/>
        <v>1983 q3</v>
      </c>
    </row>
    <row r="6013" spans="1:3">
      <c r="A6013" s="62">
        <v>30515</v>
      </c>
      <c r="B6013">
        <v>0.76249999999999996</v>
      </c>
      <c r="C6013" t="str">
        <f t="shared" si="98"/>
        <v>1983 q3</v>
      </c>
    </row>
    <row r="6014" spans="1:3">
      <c r="A6014" s="62">
        <v>30516</v>
      </c>
      <c r="B6014">
        <v>0.75849999999999995</v>
      </c>
      <c r="C6014" t="str">
        <f t="shared" si="98"/>
        <v>1983 q3</v>
      </c>
    </row>
    <row r="6015" spans="1:3">
      <c r="A6015" s="62">
        <v>30517</v>
      </c>
      <c r="B6015">
        <v>0.76549999999999996</v>
      </c>
      <c r="C6015" t="str">
        <f t="shared" si="98"/>
        <v>1983 q3</v>
      </c>
    </row>
    <row r="6016" spans="1:3">
      <c r="A6016" s="62">
        <v>30518</v>
      </c>
      <c r="B6016">
        <v>0.76600000000000001</v>
      </c>
      <c r="C6016" t="str">
        <f t="shared" si="98"/>
        <v>1983 q3</v>
      </c>
    </row>
    <row r="6017" spans="1:3">
      <c r="A6017" s="62">
        <v>30519</v>
      </c>
      <c r="B6017">
        <v>0.78049999999999997</v>
      </c>
      <c r="C6017" t="str">
        <f t="shared" si="98"/>
        <v>1983 q3</v>
      </c>
    </row>
    <row r="6018" spans="1:3">
      <c r="A6018" s="62">
        <v>30522</v>
      </c>
      <c r="B6018">
        <v>0.79600000000000004</v>
      </c>
      <c r="C6018" t="str">
        <f t="shared" si="98"/>
        <v>1983 q3</v>
      </c>
    </row>
    <row r="6019" spans="1:3">
      <c r="A6019" s="62">
        <v>30523</v>
      </c>
      <c r="B6019">
        <v>0.79449999999999998</v>
      </c>
      <c r="C6019" t="str">
        <f t="shared" si="98"/>
        <v>1983 q3</v>
      </c>
    </row>
    <row r="6020" spans="1:3">
      <c r="A6020" s="62">
        <v>30524</v>
      </c>
      <c r="B6020">
        <v>0.78700000000000003</v>
      </c>
      <c r="C6020" t="str">
        <f t="shared" si="98"/>
        <v>1983 q3</v>
      </c>
    </row>
    <row r="6021" spans="1:3">
      <c r="A6021" s="62">
        <v>30525</v>
      </c>
      <c r="B6021">
        <v>0.78149999999999997</v>
      </c>
      <c r="C6021" t="str">
        <f t="shared" si="98"/>
        <v>1983 q3</v>
      </c>
    </row>
    <row r="6022" spans="1:3">
      <c r="A6022" s="62">
        <v>30526</v>
      </c>
      <c r="B6022">
        <v>0.76949999999999996</v>
      </c>
      <c r="C6022" t="str">
        <f t="shared" si="98"/>
        <v>1983 q3</v>
      </c>
    </row>
    <row r="6023" spans="1:3">
      <c r="A6023" s="62">
        <v>30529</v>
      </c>
      <c r="B6023">
        <v>0.76849999999999996</v>
      </c>
      <c r="C6023" t="str">
        <f t="shared" si="98"/>
        <v>1983 q3</v>
      </c>
    </row>
    <row r="6024" spans="1:3">
      <c r="A6024" s="62">
        <v>30530</v>
      </c>
      <c r="B6024">
        <v>0.77349999999999997</v>
      </c>
      <c r="C6024" t="str">
        <f t="shared" si="98"/>
        <v>1983 q3</v>
      </c>
    </row>
    <row r="6025" spans="1:3">
      <c r="A6025" s="62">
        <v>30531</v>
      </c>
      <c r="B6025">
        <v>0.77149999999999996</v>
      </c>
      <c r="C6025" t="str">
        <f t="shared" si="98"/>
        <v>1983 q3</v>
      </c>
    </row>
    <row r="6026" spans="1:3">
      <c r="A6026" s="62">
        <v>30532</v>
      </c>
      <c r="B6026">
        <v>0.76149999999999995</v>
      </c>
      <c r="C6026" t="str">
        <f t="shared" si="98"/>
        <v>1983 q3</v>
      </c>
    </row>
    <row r="6027" spans="1:3">
      <c r="A6027" s="62">
        <v>30533</v>
      </c>
      <c r="B6027">
        <v>0.76</v>
      </c>
      <c r="C6027" t="str">
        <f t="shared" si="98"/>
        <v>1983 q3</v>
      </c>
    </row>
    <row r="6028" spans="1:3">
      <c r="A6028" s="62">
        <v>30536</v>
      </c>
      <c r="B6028">
        <v>0.74099999999999999</v>
      </c>
      <c r="C6028" t="str">
        <f t="shared" si="98"/>
        <v>1983 q3</v>
      </c>
    </row>
    <row r="6029" spans="1:3">
      <c r="A6029" s="62">
        <v>30537</v>
      </c>
      <c r="B6029">
        <v>0.73</v>
      </c>
      <c r="C6029" t="str">
        <f t="shared" si="98"/>
        <v>1983 q3</v>
      </c>
    </row>
    <row r="6030" spans="1:3">
      <c r="A6030" s="62">
        <v>30538</v>
      </c>
      <c r="B6030">
        <v>0.72799999999999998</v>
      </c>
      <c r="C6030" t="str">
        <f t="shared" si="98"/>
        <v>1983 q3</v>
      </c>
    </row>
    <row r="6031" spans="1:3">
      <c r="A6031" s="62">
        <v>30539</v>
      </c>
      <c r="B6031">
        <v>0.73299999999999998</v>
      </c>
      <c r="C6031" t="str">
        <f t="shared" si="98"/>
        <v>1983 q3</v>
      </c>
    </row>
    <row r="6032" spans="1:3">
      <c r="A6032" s="62">
        <v>30540</v>
      </c>
      <c r="B6032">
        <v>0.73750000000000004</v>
      </c>
      <c r="C6032" t="str">
        <f t="shared" si="98"/>
        <v>1983 q3</v>
      </c>
    </row>
    <row r="6033" spans="1:3">
      <c r="A6033" s="62">
        <v>30543</v>
      </c>
      <c r="B6033">
        <v>0.74650000000000005</v>
      </c>
      <c r="C6033" t="str">
        <f t="shared" si="98"/>
        <v>1983 q3</v>
      </c>
    </row>
    <row r="6034" spans="1:3">
      <c r="A6034" s="62">
        <v>30544</v>
      </c>
      <c r="B6034">
        <v>0.73850000000000005</v>
      </c>
      <c r="C6034" t="str">
        <f t="shared" ref="C6034:C6097" si="99">YEAR(A6034)&amp;" q"&amp;ROUNDUP(MONTH(A6034)/3,0)</f>
        <v>1983 q3</v>
      </c>
    </row>
    <row r="6035" spans="1:3">
      <c r="A6035" s="62">
        <v>30545</v>
      </c>
      <c r="B6035">
        <v>0.745</v>
      </c>
      <c r="C6035" t="str">
        <f t="shared" si="99"/>
        <v>1983 q3</v>
      </c>
    </row>
    <row r="6036" spans="1:3">
      <c r="A6036" s="62">
        <v>30546</v>
      </c>
      <c r="B6036">
        <v>0.74299999999999999</v>
      </c>
      <c r="C6036" t="str">
        <f t="shared" si="99"/>
        <v>1983 q3</v>
      </c>
    </row>
    <row r="6037" spans="1:3">
      <c r="A6037" s="62">
        <v>30547</v>
      </c>
      <c r="B6037">
        <v>0.72750000000000004</v>
      </c>
      <c r="C6037" t="str">
        <f t="shared" si="99"/>
        <v>1983 q3</v>
      </c>
    </row>
    <row r="6038" spans="1:3">
      <c r="A6038" s="62">
        <v>30550</v>
      </c>
      <c r="B6038">
        <v>0.73450000000000004</v>
      </c>
      <c r="C6038" t="str">
        <f t="shared" si="99"/>
        <v>1983 q3</v>
      </c>
    </row>
    <row r="6039" spans="1:3">
      <c r="A6039" s="62">
        <v>30551</v>
      </c>
      <c r="B6039">
        <v>0.73550000000000004</v>
      </c>
      <c r="C6039" t="str">
        <f t="shared" si="99"/>
        <v>1983 q3</v>
      </c>
    </row>
    <row r="6040" spans="1:3">
      <c r="A6040" s="62">
        <v>30552</v>
      </c>
      <c r="B6040">
        <v>0.73599999999999999</v>
      </c>
      <c r="C6040" t="str">
        <f t="shared" si="99"/>
        <v>1983 q3</v>
      </c>
    </row>
    <row r="6041" spans="1:3">
      <c r="A6041" s="62">
        <v>30553</v>
      </c>
      <c r="B6041">
        <v>0.72250000000000003</v>
      </c>
      <c r="C6041" t="str">
        <f t="shared" si="99"/>
        <v>1983 q3</v>
      </c>
    </row>
    <row r="6042" spans="1:3">
      <c r="A6042" s="62">
        <v>30554</v>
      </c>
      <c r="B6042">
        <v>0.73060000000000003</v>
      </c>
      <c r="C6042" t="str">
        <f t="shared" si="99"/>
        <v>1983 q3</v>
      </c>
    </row>
    <row r="6043" spans="1:3">
      <c r="A6043" s="62">
        <v>30557</v>
      </c>
      <c r="B6043">
        <v>0.73519999999999996</v>
      </c>
      <c r="C6043" t="str">
        <f t="shared" si="99"/>
        <v>1983 q3</v>
      </c>
    </row>
    <row r="6044" spans="1:3">
      <c r="A6044" s="62">
        <v>30558</v>
      </c>
      <c r="B6044">
        <v>0.73419999999999996</v>
      </c>
      <c r="C6044" t="str">
        <f t="shared" si="99"/>
        <v>1983 q3</v>
      </c>
    </row>
    <row r="6045" spans="1:3">
      <c r="A6045" s="62">
        <v>30559</v>
      </c>
      <c r="B6045">
        <v>0.73409999999999997</v>
      </c>
      <c r="C6045" t="str">
        <f t="shared" si="99"/>
        <v>1983 q3</v>
      </c>
    </row>
    <row r="6046" spans="1:3">
      <c r="A6046" s="62">
        <v>30560</v>
      </c>
      <c r="B6046">
        <v>0.74550000000000005</v>
      </c>
      <c r="C6046" t="str">
        <f t="shared" si="99"/>
        <v>1983 q3</v>
      </c>
    </row>
    <row r="6047" spans="1:3">
      <c r="A6047" s="62">
        <v>30561</v>
      </c>
      <c r="B6047">
        <v>0.74050000000000005</v>
      </c>
      <c r="C6047" t="str">
        <f t="shared" si="99"/>
        <v>1983 q3</v>
      </c>
    </row>
    <row r="6048" spans="1:3">
      <c r="A6048" s="62">
        <v>30565</v>
      </c>
      <c r="B6048">
        <v>0.745</v>
      </c>
      <c r="C6048" t="str">
        <f t="shared" si="99"/>
        <v>1983 q3</v>
      </c>
    </row>
    <row r="6049" spans="1:3">
      <c r="A6049" s="62">
        <v>30566</v>
      </c>
      <c r="B6049">
        <v>0.74399999999999999</v>
      </c>
      <c r="C6049" t="str">
        <f t="shared" si="99"/>
        <v>1983 q3</v>
      </c>
    </row>
    <row r="6050" spans="1:3">
      <c r="A6050" s="62">
        <v>30567</v>
      </c>
      <c r="B6050">
        <v>0.74950000000000006</v>
      </c>
      <c r="C6050" t="str">
        <f t="shared" si="99"/>
        <v>1983 q3</v>
      </c>
    </row>
    <row r="6051" spans="1:3">
      <c r="A6051" s="62">
        <v>30568</v>
      </c>
      <c r="B6051">
        <v>0.747</v>
      </c>
      <c r="C6051" t="str">
        <f t="shared" si="99"/>
        <v>1983 q3</v>
      </c>
    </row>
    <row r="6052" spans="1:3">
      <c r="A6052" s="62">
        <v>30571</v>
      </c>
      <c r="B6052">
        <v>0.74</v>
      </c>
      <c r="C6052" t="str">
        <f t="shared" si="99"/>
        <v>1983 q3</v>
      </c>
    </row>
    <row r="6053" spans="1:3">
      <c r="A6053" s="62">
        <v>30572</v>
      </c>
      <c r="B6053">
        <v>0.73350000000000004</v>
      </c>
      <c r="C6053" t="str">
        <f t="shared" si="99"/>
        <v>1983 q3</v>
      </c>
    </row>
    <row r="6054" spans="1:3">
      <c r="A6054" s="62">
        <v>30573</v>
      </c>
      <c r="B6054">
        <v>0.72599999999999998</v>
      </c>
      <c r="C6054" t="str">
        <f t="shared" si="99"/>
        <v>1983 q3</v>
      </c>
    </row>
    <row r="6055" spans="1:3">
      <c r="A6055" s="62">
        <v>30574</v>
      </c>
      <c r="B6055">
        <v>0.70850000000000002</v>
      </c>
      <c r="C6055" t="str">
        <f t="shared" si="99"/>
        <v>1983 q3</v>
      </c>
    </row>
    <row r="6056" spans="1:3">
      <c r="A6056" s="62">
        <v>30575</v>
      </c>
      <c r="B6056">
        <v>0.71699999999999997</v>
      </c>
      <c r="C6056" t="str">
        <f t="shared" si="99"/>
        <v>1983 q3</v>
      </c>
    </row>
    <row r="6057" spans="1:3">
      <c r="A6057" s="62">
        <v>30578</v>
      </c>
      <c r="B6057">
        <v>0.72150000000000003</v>
      </c>
      <c r="C6057" t="str">
        <f t="shared" si="99"/>
        <v>1983 q3</v>
      </c>
    </row>
    <row r="6058" spans="1:3">
      <c r="A6058" s="62">
        <v>30579</v>
      </c>
      <c r="B6058">
        <v>0.70899999999999996</v>
      </c>
      <c r="C6058" t="str">
        <f t="shared" si="99"/>
        <v>1983 q3</v>
      </c>
    </row>
    <row r="6059" spans="1:3">
      <c r="A6059" s="62">
        <v>30580</v>
      </c>
      <c r="B6059">
        <v>0.70899999999999996</v>
      </c>
      <c r="C6059" t="str">
        <f t="shared" si="99"/>
        <v>1983 q3</v>
      </c>
    </row>
    <row r="6060" spans="1:3">
      <c r="A6060" s="62">
        <v>30581</v>
      </c>
      <c r="B6060">
        <v>0.71799999999999997</v>
      </c>
      <c r="C6060" t="str">
        <f t="shared" si="99"/>
        <v>1983 q3</v>
      </c>
    </row>
    <row r="6061" spans="1:3">
      <c r="A6061" s="62">
        <v>30582</v>
      </c>
      <c r="B6061">
        <v>0.72</v>
      </c>
      <c r="C6061" t="str">
        <f t="shared" si="99"/>
        <v>1983 q3</v>
      </c>
    </row>
    <row r="6062" spans="1:3">
      <c r="A6062" s="62">
        <v>30585</v>
      </c>
      <c r="B6062">
        <v>0.71299999999999997</v>
      </c>
      <c r="C6062" t="str">
        <f t="shared" si="99"/>
        <v>1983 q3</v>
      </c>
    </row>
    <row r="6063" spans="1:3">
      <c r="A6063" s="62">
        <v>30586</v>
      </c>
      <c r="B6063">
        <v>0.69599999999999995</v>
      </c>
      <c r="C6063" t="str">
        <f t="shared" si="99"/>
        <v>1983 q3</v>
      </c>
    </row>
    <row r="6064" spans="1:3">
      <c r="A6064" s="62">
        <v>30587</v>
      </c>
      <c r="B6064">
        <v>0.69699999999999995</v>
      </c>
      <c r="C6064" t="str">
        <f t="shared" si="99"/>
        <v>1983 q3</v>
      </c>
    </row>
    <row r="6065" spans="1:3">
      <c r="A6065" s="62">
        <v>30588</v>
      </c>
      <c r="B6065">
        <v>0.67649999999999999</v>
      </c>
      <c r="C6065" t="str">
        <f t="shared" si="99"/>
        <v>1983 q3</v>
      </c>
    </row>
    <row r="6066" spans="1:3">
      <c r="A6066" s="62">
        <v>30589</v>
      </c>
      <c r="B6066">
        <v>0.66949999999999998</v>
      </c>
      <c r="C6066" t="str">
        <f t="shared" si="99"/>
        <v>1983 q3</v>
      </c>
    </row>
    <row r="6067" spans="1:3">
      <c r="A6067" s="62">
        <v>30592</v>
      </c>
      <c r="B6067">
        <v>0.64500000000000002</v>
      </c>
      <c r="C6067" t="str">
        <f t="shared" si="99"/>
        <v>1983 q4</v>
      </c>
    </row>
    <row r="6068" spans="1:3">
      <c r="A6068" s="62">
        <v>30593</v>
      </c>
      <c r="B6068">
        <v>0.65100000000000002</v>
      </c>
      <c r="C6068" t="str">
        <f t="shared" si="99"/>
        <v>1983 q4</v>
      </c>
    </row>
    <row r="6069" spans="1:3">
      <c r="A6069" s="62">
        <v>30594</v>
      </c>
      <c r="B6069">
        <v>0.65849999999999997</v>
      </c>
      <c r="C6069" t="str">
        <f t="shared" si="99"/>
        <v>1983 q4</v>
      </c>
    </row>
    <row r="6070" spans="1:3">
      <c r="A6070" s="62">
        <v>30595</v>
      </c>
      <c r="B6070">
        <v>0.66900000000000004</v>
      </c>
      <c r="C6070" t="str">
        <f t="shared" si="99"/>
        <v>1983 q4</v>
      </c>
    </row>
    <row r="6071" spans="1:3">
      <c r="A6071" s="62">
        <v>30596</v>
      </c>
      <c r="B6071">
        <v>0.67100000000000004</v>
      </c>
      <c r="C6071" t="str">
        <f t="shared" si="99"/>
        <v>1983 q4</v>
      </c>
    </row>
    <row r="6072" spans="1:3">
      <c r="A6072" s="62">
        <v>30599</v>
      </c>
      <c r="B6072">
        <v>0.6835</v>
      </c>
      <c r="C6072" t="str">
        <f t="shared" si="99"/>
        <v>1983 q4</v>
      </c>
    </row>
    <row r="6073" spans="1:3">
      <c r="A6073" s="62">
        <v>30600</v>
      </c>
      <c r="B6073">
        <v>0.66700000000000004</v>
      </c>
      <c r="C6073" t="str">
        <f t="shared" si="99"/>
        <v>1983 q4</v>
      </c>
    </row>
    <row r="6074" spans="1:3">
      <c r="A6074" s="62">
        <v>30601</v>
      </c>
      <c r="B6074">
        <v>0.66649999999999998</v>
      </c>
      <c r="C6074" t="str">
        <f t="shared" si="99"/>
        <v>1983 q4</v>
      </c>
    </row>
    <row r="6075" spans="1:3">
      <c r="A6075" s="62">
        <v>30602</v>
      </c>
      <c r="B6075">
        <v>0.65800000000000003</v>
      </c>
      <c r="C6075" t="str">
        <f t="shared" si="99"/>
        <v>1983 q4</v>
      </c>
    </row>
    <row r="6076" spans="1:3">
      <c r="A6076" s="62">
        <v>30603</v>
      </c>
      <c r="B6076">
        <v>0.66549999999999998</v>
      </c>
      <c r="C6076" t="str">
        <f t="shared" si="99"/>
        <v>1983 q4</v>
      </c>
    </row>
    <row r="6077" spans="1:3">
      <c r="A6077" s="62">
        <v>30606</v>
      </c>
      <c r="B6077">
        <v>0.66600000000000004</v>
      </c>
      <c r="C6077" t="str">
        <f t="shared" si="99"/>
        <v>1983 q4</v>
      </c>
    </row>
    <row r="6078" spans="1:3">
      <c r="A6078" s="62">
        <v>30607</v>
      </c>
      <c r="B6078">
        <v>0.66600000000000004</v>
      </c>
      <c r="C6078" t="str">
        <f t="shared" si="99"/>
        <v>1983 q4</v>
      </c>
    </row>
    <row r="6079" spans="1:3">
      <c r="A6079" s="62">
        <v>30608</v>
      </c>
      <c r="B6079">
        <v>0.65649999999999997</v>
      </c>
      <c r="C6079" t="str">
        <f t="shared" si="99"/>
        <v>1983 q4</v>
      </c>
    </row>
    <row r="6080" spans="1:3">
      <c r="A6080" s="62">
        <v>30609</v>
      </c>
      <c r="B6080">
        <v>0.66049999999999998</v>
      </c>
      <c r="C6080" t="str">
        <f t="shared" si="99"/>
        <v>1983 q4</v>
      </c>
    </row>
    <row r="6081" spans="1:3">
      <c r="A6081" s="62">
        <v>30610</v>
      </c>
      <c r="B6081">
        <v>0.65600000000000003</v>
      </c>
      <c r="C6081" t="str">
        <f t="shared" si="99"/>
        <v>1983 q4</v>
      </c>
    </row>
    <row r="6082" spans="1:3">
      <c r="A6082" s="62">
        <v>30613</v>
      </c>
      <c r="B6082">
        <v>0.64900000000000002</v>
      </c>
      <c r="C6082" t="str">
        <f t="shared" si="99"/>
        <v>1983 q4</v>
      </c>
    </row>
    <row r="6083" spans="1:3">
      <c r="A6083" s="62">
        <v>30614</v>
      </c>
      <c r="B6083">
        <v>0.63549999999999995</v>
      </c>
      <c r="C6083" t="str">
        <f t="shared" si="99"/>
        <v>1983 q4</v>
      </c>
    </row>
    <row r="6084" spans="1:3">
      <c r="A6084" s="62">
        <v>30615</v>
      </c>
      <c r="B6084">
        <v>0.624</v>
      </c>
      <c r="C6084" t="str">
        <f t="shared" si="99"/>
        <v>1983 q4</v>
      </c>
    </row>
    <row r="6085" spans="1:3">
      <c r="A6085" s="62">
        <v>30616</v>
      </c>
      <c r="B6085">
        <v>0.627</v>
      </c>
      <c r="C6085" t="str">
        <f t="shared" si="99"/>
        <v>1983 q4</v>
      </c>
    </row>
    <row r="6086" spans="1:3">
      <c r="A6086" s="62">
        <v>30617</v>
      </c>
      <c r="B6086">
        <v>0.63800000000000001</v>
      </c>
      <c r="C6086" t="str">
        <f t="shared" si="99"/>
        <v>1983 q4</v>
      </c>
    </row>
    <row r="6087" spans="1:3">
      <c r="A6087" s="62">
        <v>30620</v>
      </c>
      <c r="B6087">
        <v>0.62949999999999995</v>
      </c>
      <c r="C6087" t="str">
        <f t="shared" si="99"/>
        <v>1983 q4</v>
      </c>
    </row>
    <row r="6088" spans="1:3">
      <c r="A6088" s="62">
        <v>30621</v>
      </c>
      <c r="B6088">
        <v>0.626</v>
      </c>
      <c r="C6088" t="str">
        <f t="shared" si="99"/>
        <v>1983 q4</v>
      </c>
    </row>
    <row r="6089" spans="1:3">
      <c r="A6089" s="62">
        <v>30622</v>
      </c>
      <c r="B6089">
        <v>0.62549999999999994</v>
      </c>
      <c r="C6089" t="str">
        <f t="shared" si="99"/>
        <v>1983 q4</v>
      </c>
    </row>
    <row r="6090" spans="1:3">
      <c r="A6090" s="62">
        <v>30623</v>
      </c>
      <c r="B6090">
        <v>0.61150000000000004</v>
      </c>
      <c r="C6090" t="str">
        <f t="shared" si="99"/>
        <v>1983 q4</v>
      </c>
    </row>
    <row r="6091" spans="1:3">
      <c r="A6091" s="62">
        <v>30624</v>
      </c>
      <c r="B6091">
        <v>0.61650000000000005</v>
      </c>
      <c r="C6091" t="str">
        <f t="shared" si="99"/>
        <v>1983 q4</v>
      </c>
    </row>
    <row r="6092" spans="1:3">
      <c r="A6092" s="62">
        <v>30627</v>
      </c>
      <c r="B6092">
        <v>0.61099999999999999</v>
      </c>
      <c r="C6092" t="str">
        <f t="shared" si="99"/>
        <v>1983 q4</v>
      </c>
    </row>
    <row r="6093" spans="1:3">
      <c r="A6093" s="62">
        <v>30628</v>
      </c>
      <c r="B6093">
        <v>0.61499999999999999</v>
      </c>
      <c r="C6093" t="str">
        <f t="shared" si="99"/>
        <v>1983 q4</v>
      </c>
    </row>
    <row r="6094" spans="1:3">
      <c r="A6094" s="62">
        <v>30629</v>
      </c>
      <c r="B6094">
        <v>0.61799999999999999</v>
      </c>
      <c r="C6094" t="str">
        <f t="shared" si="99"/>
        <v>1983 q4</v>
      </c>
    </row>
    <row r="6095" spans="1:3">
      <c r="A6095" s="62">
        <v>30630</v>
      </c>
      <c r="B6095">
        <v>0.61299999999999999</v>
      </c>
      <c r="C6095" t="str">
        <f t="shared" si="99"/>
        <v>1983 q4</v>
      </c>
    </row>
    <row r="6096" spans="1:3">
      <c r="A6096" s="62">
        <v>30631</v>
      </c>
      <c r="B6096">
        <v>0.61650000000000005</v>
      </c>
      <c r="C6096" t="str">
        <f t="shared" si="99"/>
        <v>1983 q4</v>
      </c>
    </row>
    <row r="6097" spans="1:3">
      <c r="A6097" s="62">
        <v>30634</v>
      </c>
      <c r="B6097">
        <v>0.62350000000000005</v>
      </c>
      <c r="C6097" t="str">
        <f t="shared" si="99"/>
        <v>1983 q4</v>
      </c>
    </row>
    <row r="6098" spans="1:3">
      <c r="A6098" s="62">
        <v>30635</v>
      </c>
      <c r="B6098">
        <v>0.629</v>
      </c>
      <c r="C6098" t="str">
        <f t="shared" ref="C6098:C6161" si="100">YEAR(A6098)&amp;" q"&amp;ROUNDUP(MONTH(A6098)/3,0)</f>
        <v>1983 q4</v>
      </c>
    </row>
    <row r="6099" spans="1:3">
      <c r="A6099" s="62">
        <v>30636</v>
      </c>
      <c r="B6099">
        <v>0.621</v>
      </c>
      <c r="C6099" t="str">
        <f t="shared" si="100"/>
        <v>1983 q4</v>
      </c>
    </row>
    <row r="6100" spans="1:3">
      <c r="A6100" s="62">
        <v>30637</v>
      </c>
      <c r="B6100">
        <v>0.62150000000000005</v>
      </c>
      <c r="C6100" t="str">
        <f t="shared" si="100"/>
        <v>1983 q4</v>
      </c>
    </row>
    <row r="6101" spans="1:3">
      <c r="A6101" s="62">
        <v>30638</v>
      </c>
      <c r="B6101">
        <v>0.62250000000000005</v>
      </c>
      <c r="C6101" t="str">
        <f t="shared" si="100"/>
        <v>1983 q4</v>
      </c>
    </row>
    <row r="6102" spans="1:3">
      <c r="A6102" s="62">
        <v>30641</v>
      </c>
      <c r="B6102">
        <v>0.63300000000000001</v>
      </c>
      <c r="C6102" t="str">
        <f t="shared" si="100"/>
        <v>1983 q4</v>
      </c>
    </row>
    <row r="6103" spans="1:3">
      <c r="A6103" s="62">
        <v>30642</v>
      </c>
      <c r="B6103">
        <v>0.63449999999999995</v>
      </c>
      <c r="C6103" t="str">
        <f t="shared" si="100"/>
        <v>1983 q4</v>
      </c>
    </row>
    <row r="6104" spans="1:3">
      <c r="A6104" s="62">
        <v>30643</v>
      </c>
      <c r="B6104">
        <v>0.63949999999999996</v>
      </c>
      <c r="C6104" t="str">
        <f t="shared" si="100"/>
        <v>1983 q4</v>
      </c>
    </row>
    <row r="6105" spans="1:3">
      <c r="A6105" s="62">
        <v>30645</v>
      </c>
      <c r="B6105">
        <v>0.64080000000000004</v>
      </c>
      <c r="C6105" t="str">
        <f t="shared" si="100"/>
        <v>1983 q4</v>
      </c>
    </row>
    <row r="6106" spans="1:3">
      <c r="A6106" s="62">
        <v>30648</v>
      </c>
      <c r="B6106">
        <v>0.65429999999999999</v>
      </c>
      <c r="C6106" t="str">
        <f t="shared" si="100"/>
        <v>1983 q4</v>
      </c>
    </row>
    <row r="6107" spans="1:3">
      <c r="A6107" s="62">
        <v>30649</v>
      </c>
      <c r="B6107">
        <v>0.66920000000000002</v>
      </c>
      <c r="C6107" t="str">
        <f t="shared" si="100"/>
        <v>1983 q4</v>
      </c>
    </row>
    <row r="6108" spans="1:3">
      <c r="A6108" s="62">
        <v>30650</v>
      </c>
      <c r="B6108">
        <v>0.66369999999999996</v>
      </c>
      <c r="C6108" t="str">
        <f t="shared" si="100"/>
        <v>1983 q4</v>
      </c>
    </row>
    <row r="6109" spans="1:3">
      <c r="A6109" s="62">
        <v>30651</v>
      </c>
      <c r="B6109">
        <v>0.66300000000000003</v>
      </c>
      <c r="C6109" t="str">
        <f t="shared" si="100"/>
        <v>1983 q4</v>
      </c>
    </row>
    <row r="6110" spans="1:3">
      <c r="A6110" s="62">
        <v>30652</v>
      </c>
      <c r="B6110">
        <v>0.66249999999999998</v>
      </c>
      <c r="C6110" t="str">
        <f t="shared" si="100"/>
        <v>1983 q4</v>
      </c>
    </row>
    <row r="6111" spans="1:3">
      <c r="A6111" s="62">
        <v>30655</v>
      </c>
      <c r="B6111">
        <v>0.65249999999999997</v>
      </c>
      <c r="C6111" t="str">
        <f t="shared" si="100"/>
        <v>1983 q4</v>
      </c>
    </row>
    <row r="6112" spans="1:3">
      <c r="A6112" s="62">
        <v>30656</v>
      </c>
      <c r="B6112">
        <v>0.65849999999999997</v>
      </c>
      <c r="C6112" t="str">
        <f t="shared" si="100"/>
        <v>1983 q4</v>
      </c>
    </row>
    <row r="6113" spans="1:3">
      <c r="A6113" s="62">
        <v>30657</v>
      </c>
      <c r="B6113">
        <v>0.66249999999999998</v>
      </c>
      <c r="C6113" t="str">
        <f t="shared" si="100"/>
        <v>1983 q4</v>
      </c>
    </row>
    <row r="6114" spans="1:3">
      <c r="A6114" s="62">
        <v>30658</v>
      </c>
      <c r="B6114">
        <v>0.65349999999999997</v>
      </c>
      <c r="C6114" t="str">
        <f t="shared" si="100"/>
        <v>1983 q4</v>
      </c>
    </row>
    <row r="6115" spans="1:3">
      <c r="A6115" s="62">
        <v>30659</v>
      </c>
      <c r="B6115">
        <v>0.65849999999999997</v>
      </c>
      <c r="C6115" t="str">
        <f t="shared" si="100"/>
        <v>1983 q4</v>
      </c>
    </row>
    <row r="6116" spans="1:3">
      <c r="A6116" s="62">
        <v>30662</v>
      </c>
      <c r="B6116">
        <v>0.65300000000000002</v>
      </c>
      <c r="C6116" t="str">
        <f t="shared" si="100"/>
        <v>1983 q4</v>
      </c>
    </row>
    <row r="6117" spans="1:3">
      <c r="A6117" s="62">
        <v>30663</v>
      </c>
      <c r="B6117">
        <v>0.64349999999999996</v>
      </c>
      <c r="C6117" t="str">
        <f t="shared" si="100"/>
        <v>1983 q4</v>
      </c>
    </row>
    <row r="6118" spans="1:3">
      <c r="A6118" s="62">
        <v>30664</v>
      </c>
      <c r="B6118">
        <v>0.64049999999999996</v>
      </c>
      <c r="C6118" t="str">
        <f t="shared" si="100"/>
        <v>1983 q4</v>
      </c>
    </row>
    <row r="6119" spans="1:3">
      <c r="A6119" s="62">
        <v>30665</v>
      </c>
      <c r="B6119">
        <v>0.622</v>
      </c>
      <c r="C6119" t="str">
        <f t="shared" si="100"/>
        <v>1983 q4</v>
      </c>
    </row>
    <row r="6120" spans="1:3">
      <c r="A6120" s="62">
        <v>30666</v>
      </c>
      <c r="B6120">
        <v>0.625</v>
      </c>
      <c r="C6120" t="str">
        <f t="shared" si="100"/>
        <v>1983 q4</v>
      </c>
    </row>
    <row r="6121" spans="1:3">
      <c r="A6121" s="62">
        <v>30669</v>
      </c>
      <c r="B6121">
        <v>0.63249999999999995</v>
      </c>
      <c r="C6121" t="str">
        <f t="shared" si="100"/>
        <v>1983 q4</v>
      </c>
    </row>
    <row r="6122" spans="1:3">
      <c r="A6122" s="62">
        <v>30670</v>
      </c>
      <c r="B6122">
        <v>0.63049999999999995</v>
      </c>
      <c r="C6122" t="str">
        <f t="shared" si="100"/>
        <v>1983 q4</v>
      </c>
    </row>
    <row r="6123" spans="1:3">
      <c r="A6123" s="62">
        <v>30671</v>
      </c>
      <c r="B6123">
        <v>0.63300000000000001</v>
      </c>
      <c r="C6123" t="str">
        <f t="shared" si="100"/>
        <v>1983 q4</v>
      </c>
    </row>
    <row r="6124" spans="1:3">
      <c r="A6124" s="62">
        <v>30672</v>
      </c>
      <c r="B6124">
        <v>0.63849999999999996</v>
      </c>
      <c r="C6124" t="str">
        <f t="shared" si="100"/>
        <v>1983 q4</v>
      </c>
    </row>
    <row r="6125" spans="1:3">
      <c r="A6125" s="62">
        <v>30673</v>
      </c>
      <c r="B6125">
        <v>0.63849999999999996</v>
      </c>
      <c r="C6125" t="str">
        <f t="shared" si="100"/>
        <v>1983 q4</v>
      </c>
    </row>
    <row r="6126" spans="1:3">
      <c r="A6126" s="62">
        <v>30677</v>
      </c>
      <c r="B6126">
        <v>0.63849999999999996</v>
      </c>
      <c r="C6126" t="str">
        <f t="shared" si="100"/>
        <v>1983 q4</v>
      </c>
    </row>
    <row r="6127" spans="1:3">
      <c r="A6127" s="62">
        <v>30678</v>
      </c>
      <c r="B6127">
        <v>0.64070000000000005</v>
      </c>
      <c r="C6127" t="str">
        <f t="shared" si="100"/>
        <v>1983 q4</v>
      </c>
    </row>
    <row r="6128" spans="1:3">
      <c r="A6128" s="62">
        <v>30679</v>
      </c>
      <c r="B6128">
        <v>0.65380000000000005</v>
      </c>
      <c r="C6128" t="str">
        <f t="shared" si="100"/>
        <v>1983 q4</v>
      </c>
    </row>
    <row r="6129" spans="1:3">
      <c r="A6129" s="62">
        <v>30680</v>
      </c>
      <c r="B6129">
        <v>0.66749999999999998</v>
      </c>
      <c r="C6129" t="str">
        <f t="shared" si="100"/>
        <v>1983 q4</v>
      </c>
    </row>
    <row r="6130" spans="1:3">
      <c r="A6130" s="62">
        <v>30684</v>
      </c>
      <c r="B6130">
        <v>0.65949999999999998</v>
      </c>
      <c r="C6130" t="str">
        <f t="shared" si="100"/>
        <v>1984 q1</v>
      </c>
    </row>
    <row r="6131" spans="1:3">
      <c r="A6131" s="62">
        <v>30685</v>
      </c>
      <c r="B6131">
        <v>0.65849999999999997</v>
      </c>
      <c r="C6131" t="str">
        <f t="shared" si="100"/>
        <v>1984 q1</v>
      </c>
    </row>
    <row r="6132" spans="1:3">
      <c r="A6132" s="62">
        <v>30686</v>
      </c>
      <c r="B6132">
        <v>0.66449999999999998</v>
      </c>
      <c r="C6132" t="str">
        <f t="shared" si="100"/>
        <v>1984 q1</v>
      </c>
    </row>
    <row r="6133" spans="1:3">
      <c r="A6133" s="62">
        <v>30687</v>
      </c>
      <c r="B6133">
        <v>0.64800000000000002</v>
      </c>
      <c r="C6133" t="str">
        <f t="shared" si="100"/>
        <v>1984 q1</v>
      </c>
    </row>
    <row r="6134" spans="1:3">
      <c r="A6134" s="62">
        <v>30690</v>
      </c>
      <c r="B6134">
        <v>0.62</v>
      </c>
      <c r="C6134" t="str">
        <f t="shared" si="100"/>
        <v>1984 q1</v>
      </c>
    </row>
    <row r="6135" spans="1:3">
      <c r="A6135" s="62">
        <v>30691</v>
      </c>
      <c r="B6135">
        <v>0.627</v>
      </c>
      <c r="C6135" t="str">
        <f t="shared" si="100"/>
        <v>1984 q1</v>
      </c>
    </row>
    <row r="6136" spans="1:3">
      <c r="A6136" s="62">
        <v>30692</v>
      </c>
      <c r="B6136">
        <v>0.623</v>
      </c>
      <c r="C6136" t="str">
        <f t="shared" si="100"/>
        <v>1984 q1</v>
      </c>
    </row>
    <row r="6137" spans="1:3">
      <c r="A6137" s="62">
        <v>30693</v>
      </c>
      <c r="B6137">
        <v>0.63349999999999995</v>
      </c>
      <c r="C6137" t="str">
        <f t="shared" si="100"/>
        <v>1984 q1</v>
      </c>
    </row>
    <row r="6138" spans="1:3">
      <c r="A6138" s="62">
        <v>30694</v>
      </c>
      <c r="B6138">
        <v>0.62849999999999995</v>
      </c>
      <c r="C6138" t="str">
        <f t="shared" si="100"/>
        <v>1984 q1</v>
      </c>
    </row>
    <row r="6139" spans="1:3">
      <c r="A6139" s="62">
        <v>30697</v>
      </c>
      <c r="B6139">
        <v>0.61950000000000005</v>
      </c>
      <c r="C6139" t="str">
        <f t="shared" si="100"/>
        <v>1984 q1</v>
      </c>
    </row>
    <row r="6140" spans="1:3">
      <c r="A6140" s="62">
        <v>30698</v>
      </c>
      <c r="B6140">
        <v>0.61299999999999999</v>
      </c>
      <c r="C6140" t="str">
        <f t="shared" si="100"/>
        <v>1984 q1</v>
      </c>
    </row>
    <row r="6141" spans="1:3">
      <c r="A6141" s="62">
        <v>30699</v>
      </c>
      <c r="B6141">
        <v>0.61499999999999999</v>
      </c>
      <c r="C6141" t="str">
        <f t="shared" si="100"/>
        <v>1984 q1</v>
      </c>
    </row>
    <row r="6142" spans="1:3">
      <c r="A6142" s="62">
        <v>30700</v>
      </c>
      <c r="B6142">
        <v>0.62749999999999995</v>
      </c>
      <c r="C6142" t="str">
        <f t="shared" si="100"/>
        <v>1984 q1</v>
      </c>
    </row>
    <row r="6143" spans="1:3">
      <c r="A6143" s="62">
        <v>30701</v>
      </c>
      <c r="B6143">
        <v>0.61799999999999999</v>
      </c>
      <c r="C6143" t="str">
        <f t="shared" si="100"/>
        <v>1984 q1</v>
      </c>
    </row>
    <row r="6144" spans="1:3">
      <c r="A6144" s="62">
        <v>30704</v>
      </c>
      <c r="B6144">
        <v>0.622</v>
      </c>
      <c r="C6144" t="str">
        <f t="shared" si="100"/>
        <v>1984 q1</v>
      </c>
    </row>
    <row r="6145" spans="1:3">
      <c r="A6145" s="62">
        <v>30705</v>
      </c>
      <c r="B6145">
        <v>0.62</v>
      </c>
      <c r="C6145" t="str">
        <f t="shared" si="100"/>
        <v>1984 q1</v>
      </c>
    </row>
    <row r="6146" spans="1:3">
      <c r="A6146" s="62">
        <v>30706</v>
      </c>
      <c r="B6146">
        <v>0.624</v>
      </c>
      <c r="C6146" t="str">
        <f t="shared" si="100"/>
        <v>1984 q1</v>
      </c>
    </row>
    <row r="6147" spans="1:3">
      <c r="A6147" s="62">
        <v>30707</v>
      </c>
      <c r="B6147">
        <v>0.62549999999999994</v>
      </c>
      <c r="C6147" t="str">
        <f t="shared" si="100"/>
        <v>1984 q1</v>
      </c>
    </row>
    <row r="6148" spans="1:3">
      <c r="A6148" s="62">
        <v>30708</v>
      </c>
      <c r="B6148">
        <v>0.63449999999999995</v>
      </c>
      <c r="C6148" t="str">
        <f t="shared" si="100"/>
        <v>1984 q1</v>
      </c>
    </row>
    <row r="6149" spans="1:3">
      <c r="A6149" s="62">
        <v>30711</v>
      </c>
      <c r="B6149">
        <v>0.63049999999999995</v>
      </c>
      <c r="C6149" t="str">
        <f t="shared" si="100"/>
        <v>1984 q1</v>
      </c>
    </row>
    <row r="6150" spans="1:3">
      <c r="A6150" s="62">
        <v>30712</v>
      </c>
      <c r="B6150">
        <v>0.64400000000000002</v>
      </c>
      <c r="C6150" t="str">
        <f t="shared" si="100"/>
        <v>1984 q1</v>
      </c>
    </row>
    <row r="6151" spans="1:3">
      <c r="A6151" s="62">
        <v>30713</v>
      </c>
      <c r="B6151">
        <v>0.64700000000000002</v>
      </c>
      <c r="C6151" t="str">
        <f t="shared" si="100"/>
        <v>1984 q1</v>
      </c>
    </row>
    <row r="6152" spans="1:3">
      <c r="A6152" s="62">
        <v>30714</v>
      </c>
      <c r="B6152">
        <v>0.64400000000000002</v>
      </c>
      <c r="C6152" t="str">
        <f t="shared" si="100"/>
        <v>1984 q1</v>
      </c>
    </row>
    <row r="6153" spans="1:3">
      <c r="A6153" s="62">
        <v>30715</v>
      </c>
      <c r="B6153">
        <v>0.64849999999999997</v>
      </c>
      <c r="C6153" t="str">
        <f t="shared" si="100"/>
        <v>1984 q1</v>
      </c>
    </row>
    <row r="6154" spans="1:3">
      <c r="A6154" s="62">
        <v>30718</v>
      </c>
      <c r="B6154">
        <v>0.64049999999999996</v>
      </c>
      <c r="C6154" t="str">
        <f t="shared" si="100"/>
        <v>1984 q1</v>
      </c>
    </row>
    <row r="6155" spans="1:3">
      <c r="A6155" s="62">
        <v>30719</v>
      </c>
      <c r="B6155">
        <v>0.63449999999999995</v>
      </c>
      <c r="C6155" t="str">
        <f t="shared" si="100"/>
        <v>1984 q1</v>
      </c>
    </row>
    <row r="6156" spans="1:3">
      <c r="A6156" s="62">
        <v>30720</v>
      </c>
      <c r="B6156">
        <v>0.63549999999999995</v>
      </c>
      <c r="C6156" t="str">
        <f t="shared" si="100"/>
        <v>1984 q1</v>
      </c>
    </row>
    <row r="6157" spans="1:3">
      <c r="A6157" s="62">
        <v>30721</v>
      </c>
      <c r="B6157">
        <v>0.628</v>
      </c>
      <c r="C6157" t="str">
        <f t="shared" si="100"/>
        <v>1984 q1</v>
      </c>
    </row>
    <row r="6158" spans="1:3">
      <c r="A6158" s="62">
        <v>30722</v>
      </c>
      <c r="B6158">
        <v>0.629</v>
      </c>
      <c r="C6158" t="str">
        <f t="shared" si="100"/>
        <v>1984 q1</v>
      </c>
    </row>
    <row r="6159" spans="1:3">
      <c r="A6159" s="62">
        <v>30725</v>
      </c>
      <c r="B6159">
        <v>0.63400000000000001</v>
      </c>
      <c r="C6159" t="str">
        <f t="shared" si="100"/>
        <v>1984 q1</v>
      </c>
    </row>
    <row r="6160" spans="1:3">
      <c r="A6160" s="62">
        <v>30726</v>
      </c>
      <c r="B6160">
        <v>0.64400000000000002</v>
      </c>
      <c r="C6160" t="str">
        <f t="shared" si="100"/>
        <v>1984 q1</v>
      </c>
    </row>
    <row r="6161" spans="1:3">
      <c r="A6161" s="62">
        <v>30727</v>
      </c>
      <c r="B6161">
        <v>0.65300000000000002</v>
      </c>
      <c r="C6161" t="str">
        <f t="shared" si="100"/>
        <v>1984 q1</v>
      </c>
    </row>
    <row r="6162" spans="1:3">
      <c r="A6162" s="62">
        <v>30728</v>
      </c>
      <c r="B6162">
        <v>0.65349999999999997</v>
      </c>
      <c r="C6162" t="str">
        <f t="shared" ref="C6162:C6225" si="101">YEAR(A6162)&amp;" q"&amp;ROUNDUP(MONTH(A6162)/3,0)</f>
        <v>1984 q1</v>
      </c>
    </row>
    <row r="6163" spans="1:3">
      <c r="A6163" s="62">
        <v>30729</v>
      </c>
      <c r="B6163">
        <v>0.65549999999999997</v>
      </c>
      <c r="C6163" t="str">
        <f t="shared" si="101"/>
        <v>1984 q1</v>
      </c>
    </row>
    <row r="6164" spans="1:3">
      <c r="A6164" s="62">
        <v>30733</v>
      </c>
      <c r="B6164">
        <v>0.64749999999999996</v>
      </c>
      <c r="C6164" t="str">
        <f t="shared" si="101"/>
        <v>1984 q1</v>
      </c>
    </row>
    <row r="6165" spans="1:3">
      <c r="A6165" s="62">
        <v>30734</v>
      </c>
      <c r="B6165">
        <v>0.65</v>
      </c>
      <c r="C6165" t="str">
        <f t="shared" si="101"/>
        <v>1984 q1</v>
      </c>
    </row>
    <row r="6166" spans="1:3">
      <c r="A6166" s="62">
        <v>30735</v>
      </c>
      <c r="B6166">
        <v>0.64449999999999996</v>
      </c>
      <c r="C6166" t="str">
        <f t="shared" si="101"/>
        <v>1984 q1</v>
      </c>
    </row>
    <row r="6167" spans="1:3">
      <c r="A6167" s="62">
        <v>30736</v>
      </c>
      <c r="B6167">
        <v>0.64970000000000006</v>
      </c>
      <c r="C6167" t="str">
        <f t="shared" si="101"/>
        <v>1984 q1</v>
      </c>
    </row>
    <row r="6168" spans="1:3">
      <c r="A6168" s="62">
        <v>30739</v>
      </c>
      <c r="B6168">
        <v>0.65639999999999998</v>
      </c>
      <c r="C6168" t="str">
        <f t="shared" si="101"/>
        <v>1984 q1</v>
      </c>
    </row>
    <row r="6169" spans="1:3">
      <c r="A6169" s="62">
        <v>30740</v>
      </c>
      <c r="B6169">
        <v>0.65969999999999995</v>
      </c>
      <c r="C6169" t="str">
        <f t="shared" si="101"/>
        <v>1984 q1</v>
      </c>
    </row>
    <row r="6170" spans="1:3">
      <c r="A6170" s="62">
        <v>30741</v>
      </c>
      <c r="B6170">
        <v>0.65869999999999995</v>
      </c>
      <c r="C6170" t="str">
        <f t="shared" si="101"/>
        <v>1984 q1</v>
      </c>
    </row>
    <row r="6171" spans="1:3">
      <c r="A6171" s="62">
        <v>30742</v>
      </c>
      <c r="B6171">
        <v>0.66400000000000003</v>
      </c>
      <c r="C6171" t="str">
        <f t="shared" si="101"/>
        <v>1984 q1</v>
      </c>
    </row>
    <row r="6172" spans="1:3">
      <c r="A6172" s="62">
        <v>30743</v>
      </c>
      <c r="B6172">
        <v>0.67449999999999999</v>
      </c>
      <c r="C6172" t="str">
        <f t="shared" si="101"/>
        <v>1984 q1</v>
      </c>
    </row>
    <row r="6173" spans="1:3">
      <c r="A6173" s="62">
        <v>30746</v>
      </c>
      <c r="B6173">
        <v>0.67749999999999999</v>
      </c>
      <c r="C6173" t="str">
        <f t="shared" si="101"/>
        <v>1984 q1</v>
      </c>
    </row>
    <row r="6174" spans="1:3">
      <c r="A6174" s="62">
        <v>30747</v>
      </c>
      <c r="B6174">
        <v>0.67849999999999999</v>
      </c>
      <c r="C6174" t="str">
        <f t="shared" si="101"/>
        <v>1984 q1</v>
      </c>
    </row>
    <row r="6175" spans="1:3">
      <c r="A6175" s="62">
        <v>30748</v>
      </c>
      <c r="B6175">
        <v>0.66849999999999998</v>
      </c>
      <c r="C6175" t="str">
        <f t="shared" si="101"/>
        <v>1984 q1</v>
      </c>
    </row>
    <row r="6176" spans="1:3">
      <c r="A6176" s="62">
        <v>30749</v>
      </c>
      <c r="B6176">
        <v>0.67600000000000005</v>
      </c>
      <c r="C6176" t="str">
        <f t="shared" si="101"/>
        <v>1984 q1</v>
      </c>
    </row>
    <row r="6177" spans="1:3">
      <c r="A6177" s="62">
        <v>30750</v>
      </c>
      <c r="B6177">
        <v>0.6825</v>
      </c>
      <c r="C6177" t="str">
        <f t="shared" si="101"/>
        <v>1984 q1</v>
      </c>
    </row>
    <row r="6178" spans="1:3">
      <c r="A6178" s="62">
        <v>30753</v>
      </c>
      <c r="B6178">
        <v>0.67849999999999999</v>
      </c>
      <c r="C6178" t="str">
        <f t="shared" si="101"/>
        <v>1984 q1</v>
      </c>
    </row>
    <row r="6179" spans="1:3">
      <c r="A6179" s="62">
        <v>30754</v>
      </c>
      <c r="B6179">
        <v>0.69</v>
      </c>
      <c r="C6179" t="str">
        <f t="shared" si="101"/>
        <v>1984 q1</v>
      </c>
    </row>
    <row r="6180" spans="1:3">
      <c r="A6180" s="62">
        <v>30755</v>
      </c>
      <c r="B6180">
        <v>0.6875</v>
      </c>
      <c r="C6180" t="str">
        <f t="shared" si="101"/>
        <v>1984 q1</v>
      </c>
    </row>
    <row r="6181" spans="1:3">
      <c r="A6181" s="62">
        <v>30756</v>
      </c>
      <c r="B6181">
        <v>0.6835</v>
      </c>
      <c r="C6181" t="str">
        <f t="shared" si="101"/>
        <v>1984 q1</v>
      </c>
    </row>
    <row r="6182" spans="1:3">
      <c r="A6182" s="62">
        <v>30757</v>
      </c>
      <c r="B6182">
        <v>0.69</v>
      </c>
      <c r="C6182" t="str">
        <f t="shared" si="101"/>
        <v>1984 q1</v>
      </c>
    </row>
    <row r="6183" spans="1:3">
      <c r="A6183" s="62">
        <v>30760</v>
      </c>
      <c r="B6183">
        <v>0.6865</v>
      </c>
      <c r="C6183" t="str">
        <f t="shared" si="101"/>
        <v>1984 q1</v>
      </c>
    </row>
    <row r="6184" spans="1:3">
      <c r="A6184" s="62">
        <v>30761</v>
      </c>
      <c r="B6184">
        <v>0.68600000000000005</v>
      </c>
      <c r="C6184" t="str">
        <f t="shared" si="101"/>
        <v>1984 q1</v>
      </c>
    </row>
    <row r="6185" spans="1:3">
      <c r="A6185" s="62">
        <v>30762</v>
      </c>
      <c r="B6185">
        <v>0.6895</v>
      </c>
      <c r="C6185" t="str">
        <f t="shared" si="101"/>
        <v>1984 q1</v>
      </c>
    </row>
    <row r="6186" spans="1:3">
      <c r="A6186" s="62">
        <v>30763</v>
      </c>
      <c r="B6186">
        <v>0.6845</v>
      </c>
      <c r="C6186" t="str">
        <f t="shared" si="101"/>
        <v>1984 q1</v>
      </c>
    </row>
    <row r="6187" spans="1:3">
      <c r="A6187" s="62">
        <v>30764</v>
      </c>
      <c r="B6187">
        <v>0.68700000000000006</v>
      </c>
      <c r="C6187" t="str">
        <f t="shared" si="101"/>
        <v>1984 q1</v>
      </c>
    </row>
    <row r="6188" spans="1:3">
      <c r="A6188" s="62">
        <v>30767</v>
      </c>
      <c r="B6188">
        <v>0.70350000000000001</v>
      </c>
      <c r="C6188" t="str">
        <f t="shared" si="101"/>
        <v>1984 q1</v>
      </c>
    </row>
    <row r="6189" spans="1:3">
      <c r="A6189" s="62">
        <v>30768</v>
      </c>
      <c r="B6189">
        <v>0.69899999999999995</v>
      </c>
      <c r="C6189" t="str">
        <f t="shared" si="101"/>
        <v>1984 q1</v>
      </c>
    </row>
    <row r="6190" spans="1:3">
      <c r="A6190" s="62">
        <v>30769</v>
      </c>
      <c r="B6190">
        <v>0.70750000000000002</v>
      </c>
      <c r="C6190" t="str">
        <f t="shared" si="101"/>
        <v>1984 q1</v>
      </c>
    </row>
    <row r="6191" spans="1:3">
      <c r="A6191" s="62">
        <v>30770</v>
      </c>
      <c r="B6191">
        <v>0.71050000000000002</v>
      </c>
      <c r="C6191" t="str">
        <f t="shared" si="101"/>
        <v>1984 q1</v>
      </c>
    </row>
    <row r="6192" spans="1:3">
      <c r="A6192" s="62">
        <v>30771</v>
      </c>
      <c r="B6192">
        <v>0.71750000000000003</v>
      </c>
      <c r="C6192" t="str">
        <f t="shared" si="101"/>
        <v>1984 q1</v>
      </c>
    </row>
    <row r="6193" spans="1:3">
      <c r="A6193" s="62">
        <v>30774</v>
      </c>
      <c r="B6193">
        <v>0.70399999999999996</v>
      </c>
      <c r="C6193" t="str">
        <f t="shared" si="101"/>
        <v>1984 q2</v>
      </c>
    </row>
    <row r="6194" spans="1:3">
      <c r="A6194" s="62">
        <v>30775</v>
      </c>
      <c r="B6194">
        <v>0.70899999999999996</v>
      </c>
      <c r="C6194" t="str">
        <f t="shared" si="101"/>
        <v>1984 q2</v>
      </c>
    </row>
    <row r="6195" spans="1:3">
      <c r="A6195" s="62">
        <v>30776</v>
      </c>
      <c r="B6195">
        <v>0.70750000000000002</v>
      </c>
      <c r="C6195" t="str">
        <f t="shared" si="101"/>
        <v>1984 q2</v>
      </c>
    </row>
    <row r="6196" spans="1:3">
      <c r="A6196" s="62">
        <v>30777</v>
      </c>
      <c r="B6196">
        <v>0.69650000000000001</v>
      </c>
      <c r="C6196" t="str">
        <f t="shared" si="101"/>
        <v>1984 q2</v>
      </c>
    </row>
    <row r="6197" spans="1:3">
      <c r="A6197" s="62">
        <v>30778</v>
      </c>
      <c r="B6197">
        <v>0.70499999999999996</v>
      </c>
      <c r="C6197" t="str">
        <f t="shared" si="101"/>
        <v>1984 q2</v>
      </c>
    </row>
    <row r="6198" spans="1:3">
      <c r="A6198" s="62">
        <v>30781</v>
      </c>
      <c r="B6198">
        <v>0.6895</v>
      </c>
      <c r="C6198" t="str">
        <f t="shared" si="101"/>
        <v>1984 q2</v>
      </c>
    </row>
    <row r="6199" spans="1:3">
      <c r="A6199" s="62">
        <v>30782</v>
      </c>
      <c r="B6199">
        <v>0.69699999999999995</v>
      </c>
      <c r="C6199" t="str">
        <f t="shared" si="101"/>
        <v>1984 q2</v>
      </c>
    </row>
    <row r="6200" spans="1:3">
      <c r="A6200" s="62">
        <v>30783</v>
      </c>
      <c r="B6200">
        <v>0.69450000000000001</v>
      </c>
      <c r="C6200" t="str">
        <f t="shared" si="101"/>
        <v>1984 q2</v>
      </c>
    </row>
    <row r="6201" spans="1:3">
      <c r="A6201" s="62">
        <v>30784</v>
      </c>
      <c r="B6201">
        <v>0.6875</v>
      </c>
      <c r="C6201" t="str">
        <f t="shared" si="101"/>
        <v>1984 q2</v>
      </c>
    </row>
    <row r="6202" spans="1:3">
      <c r="A6202" s="62">
        <v>30785</v>
      </c>
      <c r="B6202">
        <v>0.69099999999999995</v>
      </c>
      <c r="C6202" t="str">
        <f t="shared" si="101"/>
        <v>1984 q2</v>
      </c>
    </row>
    <row r="6203" spans="1:3">
      <c r="A6203" s="62">
        <v>30788</v>
      </c>
      <c r="B6203">
        <v>0.69350000000000001</v>
      </c>
      <c r="C6203" t="str">
        <f t="shared" si="101"/>
        <v>1984 q2</v>
      </c>
    </row>
    <row r="6204" spans="1:3">
      <c r="A6204" s="62">
        <v>30789</v>
      </c>
      <c r="B6204">
        <v>0.69899999999999995</v>
      </c>
      <c r="C6204" t="str">
        <f t="shared" si="101"/>
        <v>1984 q2</v>
      </c>
    </row>
    <row r="6205" spans="1:3">
      <c r="A6205" s="62">
        <v>30790</v>
      </c>
      <c r="B6205">
        <v>0.70099999999999996</v>
      </c>
      <c r="C6205" t="str">
        <f t="shared" si="101"/>
        <v>1984 q2</v>
      </c>
    </row>
    <row r="6206" spans="1:3">
      <c r="A6206" s="62">
        <v>30791</v>
      </c>
      <c r="B6206">
        <v>0.69650000000000001</v>
      </c>
      <c r="C6206" t="str">
        <f t="shared" si="101"/>
        <v>1984 q2</v>
      </c>
    </row>
    <row r="6207" spans="1:3">
      <c r="A6207" s="62">
        <v>30795</v>
      </c>
      <c r="B6207">
        <v>0.69499999999999995</v>
      </c>
      <c r="C6207" t="str">
        <f t="shared" si="101"/>
        <v>1984 q2</v>
      </c>
    </row>
    <row r="6208" spans="1:3">
      <c r="A6208" s="62">
        <v>30796</v>
      </c>
      <c r="B6208">
        <v>0.66900000000000004</v>
      </c>
      <c r="C6208" t="str">
        <f t="shared" si="101"/>
        <v>1984 q2</v>
      </c>
    </row>
    <row r="6209" spans="1:3">
      <c r="A6209" s="62">
        <v>30797</v>
      </c>
      <c r="B6209">
        <v>0.66569999999999996</v>
      </c>
      <c r="C6209" t="str">
        <f t="shared" si="101"/>
        <v>1984 q2</v>
      </c>
    </row>
    <row r="6210" spans="1:3">
      <c r="A6210" s="62">
        <v>30798</v>
      </c>
      <c r="B6210">
        <v>0.66310000000000002</v>
      </c>
      <c r="C6210" t="str">
        <f t="shared" si="101"/>
        <v>1984 q2</v>
      </c>
    </row>
    <row r="6211" spans="1:3">
      <c r="A6211" s="62">
        <v>30799</v>
      </c>
      <c r="B6211">
        <v>0.65349999999999997</v>
      </c>
      <c r="C6211" t="str">
        <f t="shared" si="101"/>
        <v>1984 q2</v>
      </c>
    </row>
    <row r="6212" spans="1:3">
      <c r="A6212" s="62">
        <v>30802</v>
      </c>
      <c r="B6212">
        <v>0.65449999999999997</v>
      </c>
      <c r="C6212" t="str">
        <f t="shared" si="101"/>
        <v>1984 q2</v>
      </c>
    </row>
    <row r="6213" spans="1:3">
      <c r="A6213" s="62">
        <v>30803</v>
      </c>
      <c r="B6213">
        <v>0.66500000000000004</v>
      </c>
      <c r="C6213" t="str">
        <f t="shared" si="101"/>
        <v>1984 q2</v>
      </c>
    </row>
    <row r="6214" spans="1:3">
      <c r="A6214" s="62">
        <v>30804</v>
      </c>
      <c r="B6214">
        <v>0.66249999999999998</v>
      </c>
      <c r="C6214" t="str">
        <f t="shared" si="101"/>
        <v>1984 q2</v>
      </c>
    </row>
    <row r="6215" spans="1:3">
      <c r="A6215" s="62">
        <v>30805</v>
      </c>
      <c r="B6215">
        <v>0.66700000000000004</v>
      </c>
      <c r="C6215" t="str">
        <f t="shared" si="101"/>
        <v>1984 q2</v>
      </c>
    </row>
    <row r="6216" spans="1:3">
      <c r="A6216" s="62">
        <v>30806</v>
      </c>
      <c r="B6216">
        <v>0.65649999999999997</v>
      </c>
      <c r="C6216" t="str">
        <f t="shared" si="101"/>
        <v>1984 q2</v>
      </c>
    </row>
    <row r="6217" spans="1:3">
      <c r="A6217" s="62">
        <v>30809</v>
      </c>
      <c r="B6217">
        <v>0.63249999999999995</v>
      </c>
      <c r="C6217" t="str">
        <f t="shared" si="101"/>
        <v>1984 q2</v>
      </c>
    </row>
    <row r="6218" spans="1:3">
      <c r="A6218" s="62">
        <v>30810</v>
      </c>
      <c r="B6218">
        <v>0.629</v>
      </c>
      <c r="C6218" t="str">
        <f t="shared" si="101"/>
        <v>1984 q2</v>
      </c>
    </row>
    <row r="6219" spans="1:3">
      <c r="A6219" s="62">
        <v>30811</v>
      </c>
      <c r="B6219">
        <v>0.63049999999999995</v>
      </c>
      <c r="C6219" t="str">
        <f t="shared" si="101"/>
        <v>1984 q2</v>
      </c>
    </row>
    <row r="6220" spans="1:3">
      <c r="A6220" s="62">
        <v>30812</v>
      </c>
      <c r="B6220">
        <v>0.63700000000000001</v>
      </c>
      <c r="C6220" t="str">
        <f t="shared" si="101"/>
        <v>1984 q2</v>
      </c>
    </row>
    <row r="6221" spans="1:3">
      <c r="A6221" s="62">
        <v>30813</v>
      </c>
      <c r="B6221">
        <v>0.63149999999999995</v>
      </c>
      <c r="C6221" t="str">
        <f t="shared" si="101"/>
        <v>1984 q2</v>
      </c>
    </row>
    <row r="6222" spans="1:3">
      <c r="A6222" s="62">
        <v>30816</v>
      </c>
      <c r="B6222">
        <v>0.63849999999999996</v>
      </c>
      <c r="C6222" t="str">
        <f t="shared" si="101"/>
        <v>1984 q2</v>
      </c>
    </row>
    <row r="6223" spans="1:3">
      <c r="A6223" s="62">
        <v>30817</v>
      </c>
      <c r="B6223">
        <v>0.64149999999999996</v>
      </c>
      <c r="C6223" t="str">
        <f t="shared" si="101"/>
        <v>1984 q2</v>
      </c>
    </row>
    <row r="6224" spans="1:3">
      <c r="A6224" s="62">
        <v>30818</v>
      </c>
      <c r="B6224">
        <v>0.64849999999999997</v>
      </c>
      <c r="C6224" t="str">
        <f t="shared" si="101"/>
        <v>1984 q2</v>
      </c>
    </row>
    <row r="6225" spans="1:3">
      <c r="A6225" s="62">
        <v>30819</v>
      </c>
      <c r="B6225">
        <v>0.63149999999999995</v>
      </c>
      <c r="C6225" t="str">
        <f t="shared" si="101"/>
        <v>1984 q2</v>
      </c>
    </row>
    <row r="6226" spans="1:3">
      <c r="A6226" s="62">
        <v>30820</v>
      </c>
      <c r="B6226">
        <v>0.63700000000000001</v>
      </c>
      <c r="C6226" t="str">
        <f t="shared" ref="C6226:C6289" si="102">YEAR(A6226)&amp;" q"&amp;ROUNDUP(MONTH(A6226)/3,0)</f>
        <v>1984 q2</v>
      </c>
    </row>
    <row r="6227" spans="1:3">
      <c r="A6227" s="62">
        <v>30823</v>
      </c>
      <c r="B6227">
        <v>0.64049999999999996</v>
      </c>
      <c r="C6227" t="str">
        <f t="shared" si="102"/>
        <v>1984 q2</v>
      </c>
    </row>
    <row r="6228" spans="1:3">
      <c r="A6228" s="62">
        <v>30824</v>
      </c>
      <c r="B6228">
        <v>0.64400000000000002</v>
      </c>
      <c r="C6228" t="str">
        <f t="shared" si="102"/>
        <v>1984 q2</v>
      </c>
    </row>
    <row r="6229" spans="1:3">
      <c r="A6229" s="62">
        <v>30825</v>
      </c>
      <c r="B6229">
        <v>0.64</v>
      </c>
      <c r="C6229" t="str">
        <f t="shared" si="102"/>
        <v>1984 q2</v>
      </c>
    </row>
    <row r="6230" spans="1:3">
      <c r="A6230" s="62">
        <v>30826</v>
      </c>
      <c r="B6230">
        <v>0.64500000000000002</v>
      </c>
      <c r="C6230" t="str">
        <f t="shared" si="102"/>
        <v>1984 q2</v>
      </c>
    </row>
    <row r="6231" spans="1:3">
      <c r="A6231" s="62">
        <v>30827</v>
      </c>
      <c r="B6231">
        <v>0.65300000000000002</v>
      </c>
      <c r="C6231" t="str">
        <f t="shared" si="102"/>
        <v>1984 q2</v>
      </c>
    </row>
    <row r="6232" spans="1:3">
      <c r="A6232" s="62">
        <v>30831</v>
      </c>
      <c r="B6232">
        <v>0.64749999999999996</v>
      </c>
      <c r="C6232" t="str">
        <f t="shared" si="102"/>
        <v>1984 q2</v>
      </c>
    </row>
    <row r="6233" spans="1:3">
      <c r="A6233" s="62">
        <v>30832</v>
      </c>
      <c r="B6233">
        <v>0.64149999999999996</v>
      </c>
      <c r="C6233" t="str">
        <f t="shared" si="102"/>
        <v>1984 q2</v>
      </c>
    </row>
    <row r="6234" spans="1:3">
      <c r="A6234" s="62">
        <v>30833</v>
      </c>
      <c r="B6234">
        <v>0.63949999999999996</v>
      </c>
      <c r="C6234" t="str">
        <f t="shared" si="102"/>
        <v>1984 q2</v>
      </c>
    </row>
    <row r="6235" spans="1:3">
      <c r="A6235" s="62">
        <v>30834</v>
      </c>
      <c r="B6235">
        <v>0.64600000000000002</v>
      </c>
      <c r="C6235" t="str">
        <f t="shared" si="102"/>
        <v>1984 q2</v>
      </c>
    </row>
    <row r="6236" spans="1:3">
      <c r="A6236" s="62">
        <v>30837</v>
      </c>
      <c r="B6236">
        <v>0.63249999999999995</v>
      </c>
      <c r="C6236" t="str">
        <f t="shared" si="102"/>
        <v>1984 q2</v>
      </c>
    </row>
    <row r="6237" spans="1:3">
      <c r="A6237" s="62">
        <v>30838</v>
      </c>
      <c r="B6237">
        <v>0.63200000000000001</v>
      </c>
      <c r="C6237" t="str">
        <f t="shared" si="102"/>
        <v>1984 q2</v>
      </c>
    </row>
    <row r="6238" spans="1:3">
      <c r="A6238" s="62">
        <v>30839</v>
      </c>
      <c r="B6238">
        <v>0.64</v>
      </c>
      <c r="C6238" t="str">
        <f t="shared" si="102"/>
        <v>1984 q2</v>
      </c>
    </row>
    <row r="6239" spans="1:3">
      <c r="A6239" s="62">
        <v>30840</v>
      </c>
      <c r="B6239">
        <v>0.63449999999999995</v>
      </c>
      <c r="C6239" t="str">
        <f t="shared" si="102"/>
        <v>1984 q2</v>
      </c>
    </row>
    <row r="6240" spans="1:3">
      <c r="A6240" s="62">
        <v>30841</v>
      </c>
      <c r="B6240">
        <v>0.63749999999999996</v>
      </c>
      <c r="C6240" t="str">
        <f t="shared" si="102"/>
        <v>1984 q2</v>
      </c>
    </row>
    <row r="6241" spans="1:3">
      <c r="A6241" s="62">
        <v>30844</v>
      </c>
      <c r="B6241">
        <v>0.61450000000000005</v>
      </c>
      <c r="C6241" t="str">
        <f t="shared" si="102"/>
        <v>1984 q2</v>
      </c>
    </row>
    <row r="6242" spans="1:3">
      <c r="A6242" s="62">
        <v>30845</v>
      </c>
      <c r="B6242">
        <v>0.61299999999999999</v>
      </c>
      <c r="C6242" t="str">
        <f t="shared" si="102"/>
        <v>1984 q2</v>
      </c>
    </row>
    <row r="6243" spans="1:3">
      <c r="A6243" s="62">
        <v>30846</v>
      </c>
      <c r="B6243">
        <v>0.61399999999999999</v>
      </c>
      <c r="C6243" t="str">
        <f t="shared" si="102"/>
        <v>1984 q2</v>
      </c>
    </row>
    <row r="6244" spans="1:3">
      <c r="A6244" s="62">
        <v>30847</v>
      </c>
      <c r="B6244">
        <v>0.61650000000000005</v>
      </c>
      <c r="C6244" t="str">
        <f t="shared" si="102"/>
        <v>1984 q2</v>
      </c>
    </row>
    <row r="6245" spans="1:3">
      <c r="A6245" s="62">
        <v>30848</v>
      </c>
      <c r="B6245">
        <v>0.61050000000000004</v>
      </c>
      <c r="C6245" t="str">
        <f t="shared" si="102"/>
        <v>1984 q2</v>
      </c>
    </row>
    <row r="6246" spans="1:3">
      <c r="A6246" s="62">
        <v>30851</v>
      </c>
      <c r="B6246">
        <v>0.60499999999999998</v>
      </c>
      <c r="C6246" t="str">
        <f t="shared" si="102"/>
        <v>1984 q2</v>
      </c>
    </row>
    <row r="6247" spans="1:3">
      <c r="A6247" s="62">
        <v>30852</v>
      </c>
      <c r="B6247">
        <v>0.61050000000000004</v>
      </c>
      <c r="C6247" t="str">
        <f t="shared" si="102"/>
        <v>1984 q2</v>
      </c>
    </row>
    <row r="6248" spans="1:3">
      <c r="A6248" s="62">
        <v>30853</v>
      </c>
      <c r="B6248">
        <v>0.59599999999999997</v>
      </c>
      <c r="C6248" t="str">
        <f t="shared" si="102"/>
        <v>1984 q2</v>
      </c>
    </row>
    <row r="6249" spans="1:3">
      <c r="A6249" s="62">
        <v>30854</v>
      </c>
      <c r="B6249">
        <v>0.59550000000000003</v>
      </c>
      <c r="C6249" t="str">
        <f t="shared" si="102"/>
        <v>1984 q2</v>
      </c>
    </row>
    <row r="6250" spans="1:3">
      <c r="A6250" s="62">
        <v>30855</v>
      </c>
      <c r="B6250">
        <v>0.59899999999999998</v>
      </c>
      <c r="C6250" t="str">
        <f t="shared" si="102"/>
        <v>1984 q2</v>
      </c>
    </row>
    <row r="6251" spans="1:3">
      <c r="A6251" s="62">
        <v>30858</v>
      </c>
      <c r="B6251">
        <v>0.58950000000000002</v>
      </c>
      <c r="C6251" t="str">
        <f t="shared" si="102"/>
        <v>1984 q2</v>
      </c>
    </row>
    <row r="6252" spans="1:3">
      <c r="A6252" s="62">
        <v>30859</v>
      </c>
      <c r="B6252">
        <v>0.59470000000000001</v>
      </c>
      <c r="C6252" t="str">
        <f t="shared" si="102"/>
        <v>1984 q2</v>
      </c>
    </row>
    <row r="6253" spans="1:3">
      <c r="A6253" s="62">
        <v>30860</v>
      </c>
      <c r="B6253">
        <v>0.59389999999999998</v>
      </c>
      <c r="C6253" t="str">
        <f t="shared" si="102"/>
        <v>1984 q2</v>
      </c>
    </row>
    <row r="6254" spans="1:3">
      <c r="A6254" s="62">
        <v>30861</v>
      </c>
      <c r="B6254">
        <v>0.60680000000000001</v>
      </c>
      <c r="C6254" t="str">
        <f t="shared" si="102"/>
        <v>1984 q2</v>
      </c>
    </row>
    <row r="6255" spans="1:3">
      <c r="A6255" s="62">
        <v>30862</v>
      </c>
      <c r="B6255">
        <v>0.61770000000000003</v>
      </c>
      <c r="C6255" t="str">
        <f t="shared" si="102"/>
        <v>1984 q2</v>
      </c>
    </row>
    <row r="6256" spans="1:3">
      <c r="A6256" s="62">
        <v>30865</v>
      </c>
      <c r="B6256">
        <v>0.61750000000000005</v>
      </c>
      <c r="C6256" t="str">
        <f t="shared" si="102"/>
        <v>1984 q3</v>
      </c>
    </row>
    <row r="6257" spans="1:3">
      <c r="A6257" s="62">
        <v>30866</v>
      </c>
      <c r="B6257">
        <v>0.61199999999999999</v>
      </c>
      <c r="C6257" t="str">
        <f t="shared" si="102"/>
        <v>1984 q3</v>
      </c>
    </row>
    <row r="6258" spans="1:3">
      <c r="A6258" s="62">
        <v>30868</v>
      </c>
      <c r="B6258">
        <v>0.59150000000000003</v>
      </c>
      <c r="C6258" t="str">
        <f t="shared" si="102"/>
        <v>1984 q3</v>
      </c>
    </row>
    <row r="6259" spans="1:3">
      <c r="A6259" s="62">
        <v>30869</v>
      </c>
      <c r="B6259">
        <v>0.58699999999999997</v>
      </c>
      <c r="C6259" t="str">
        <f t="shared" si="102"/>
        <v>1984 q3</v>
      </c>
    </row>
    <row r="6260" spans="1:3">
      <c r="A6260" s="62">
        <v>30872</v>
      </c>
      <c r="B6260">
        <v>0.58599999999999997</v>
      </c>
      <c r="C6260" t="str">
        <f t="shared" si="102"/>
        <v>1984 q3</v>
      </c>
    </row>
    <row r="6261" spans="1:3">
      <c r="A6261" s="62">
        <v>30873</v>
      </c>
      <c r="B6261">
        <v>0.58599999999999997</v>
      </c>
      <c r="C6261" t="str">
        <f t="shared" si="102"/>
        <v>1984 q3</v>
      </c>
    </row>
    <row r="6262" spans="1:3">
      <c r="A6262" s="62">
        <v>30874</v>
      </c>
      <c r="B6262">
        <v>0.58699999999999997</v>
      </c>
      <c r="C6262" t="str">
        <f t="shared" si="102"/>
        <v>1984 q3</v>
      </c>
    </row>
    <row r="6263" spans="1:3">
      <c r="A6263" s="62">
        <v>30875</v>
      </c>
      <c r="B6263">
        <v>0.59299999999999997</v>
      </c>
      <c r="C6263" t="str">
        <f t="shared" si="102"/>
        <v>1984 q3</v>
      </c>
    </row>
    <row r="6264" spans="1:3">
      <c r="A6264" s="62">
        <v>30876</v>
      </c>
      <c r="B6264">
        <v>0.60550000000000004</v>
      </c>
      <c r="C6264" t="str">
        <f t="shared" si="102"/>
        <v>1984 q3</v>
      </c>
    </row>
    <row r="6265" spans="1:3">
      <c r="A6265" s="62">
        <v>30879</v>
      </c>
      <c r="B6265">
        <v>0.59950000000000003</v>
      </c>
      <c r="C6265" t="str">
        <f t="shared" si="102"/>
        <v>1984 q3</v>
      </c>
    </row>
    <row r="6266" spans="1:3">
      <c r="A6266" s="62">
        <v>30880</v>
      </c>
      <c r="B6266">
        <v>0.59450000000000003</v>
      </c>
      <c r="C6266" t="str">
        <f t="shared" si="102"/>
        <v>1984 q3</v>
      </c>
    </row>
    <row r="6267" spans="1:3">
      <c r="A6267" s="62">
        <v>30881</v>
      </c>
      <c r="B6267">
        <v>0.60350000000000004</v>
      </c>
      <c r="C6267" t="str">
        <f t="shared" si="102"/>
        <v>1984 q3</v>
      </c>
    </row>
    <row r="6268" spans="1:3">
      <c r="A6268" s="62">
        <v>30882</v>
      </c>
      <c r="B6268">
        <v>0.60399999999999998</v>
      </c>
      <c r="C6268" t="str">
        <f t="shared" si="102"/>
        <v>1984 q3</v>
      </c>
    </row>
    <row r="6269" spans="1:3">
      <c r="A6269" s="62">
        <v>30883</v>
      </c>
      <c r="B6269">
        <v>0.59799999999999998</v>
      </c>
      <c r="C6269" t="str">
        <f t="shared" si="102"/>
        <v>1984 q3</v>
      </c>
    </row>
    <row r="6270" spans="1:3">
      <c r="A6270" s="62">
        <v>30886</v>
      </c>
      <c r="B6270">
        <v>0.59099999999999997</v>
      </c>
      <c r="C6270" t="str">
        <f t="shared" si="102"/>
        <v>1984 q3</v>
      </c>
    </row>
    <row r="6271" spans="1:3">
      <c r="A6271" s="62">
        <v>30887</v>
      </c>
      <c r="B6271">
        <v>0.59</v>
      </c>
      <c r="C6271" t="str">
        <f t="shared" si="102"/>
        <v>1984 q3</v>
      </c>
    </row>
    <row r="6272" spans="1:3">
      <c r="A6272" s="62">
        <v>30888</v>
      </c>
      <c r="B6272">
        <v>0.60199999999999998</v>
      </c>
      <c r="C6272" t="str">
        <f t="shared" si="102"/>
        <v>1984 q3</v>
      </c>
    </row>
    <row r="6273" spans="1:3">
      <c r="A6273" s="62">
        <v>30889</v>
      </c>
      <c r="B6273">
        <v>0.58250000000000002</v>
      </c>
      <c r="C6273" t="str">
        <f t="shared" si="102"/>
        <v>1984 q3</v>
      </c>
    </row>
    <row r="6274" spans="1:3">
      <c r="A6274" s="62">
        <v>30890</v>
      </c>
      <c r="B6274">
        <v>0.58750000000000002</v>
      </c>
      <c r="C6274" t="str">
        <f t="shared" si="102"/>
        <v>1984 q3</v>
      </c>
    </row>
    <row r="6275" spans="1:3">
      <c r="A6275" s="62">
        <v>30893</v>
      </c>
      <c r="B6275">
        <v>0.58399999999999996</v>
      </c>
      <c r="C6275" t="str">
        <f t="shared" si="102"/>
        <v>1984 q3</v>
      </c>
    </row>
    <row r="6276" spans="1:3">
      <c r="A6276" s="62">
        <v>30894</v>
      </c>
      <c r="B6276">
        <v>0.56999999999999995</v>
      </c>
      <c r="C6276" t="str">
        <f t="shared" si="102"/>
        <v>1984 q3</v>
      </c>
    </row>
    <row r="6277" spans="1:3">
      <c r="A6277" s="62">
        <v>30895</v>
      </c>
      <c r="B6277">
        <v>0.57399999999999995</v>
      </c>
      <c r="C6277" t="str">
        <f t="shared" si="102"/>
        <v>1984 q3</v>
      </c>
    </row>
    <row r="6278" spans="1:3">
      <c r="A6278" s="62">
        <v>30896</v>
      </c>
      <c r="B6278">
        <v>0.58099999999999996</v>
      </c>
      <c r="C6278" t="str">
        <f t="shared" si="102"/>
        <v>1984 q3</v>
      </c>
    </row>
    <row r="6279" spans="1:3">
      <c r="A6279" s="62">
        <v>30897</v>
      </c>
      <c r="B6279">
        <v>0.59350000000000003</v>
      </c>
      <c r="C6279" t="str">
        <f t="shared" si="102"/>
        <v>1984 q3</v>
      </c>
    </row>
    <row r="6280" spans="1:3">
      <c r="A6280" s="62">
        <v>30900</v>
      </c>
      <c r="B6280">
        <v>0.58850000000000002</v>
      </c>
      <c r="C6280" t="str">
        <f t="shared" si="102"/>
        <v>1984 q3</v>
      </c>
    </row>
    <row r="6281" spans="1:3">
      <c r="A6281" s="62">
        <v>30901</v>
      </c>
      <c r="B6281">
        <v>0.57450000000000001</v>
      </c>
      <c r="C6281" t="str">
        <f t="shared" si="102"/>
        <v>1984 q3</v>
      </c>
    </row>
    <row r="6282" spans="1:3">
      <c r="A6282" s="62">
        <v>30902</v>
      </c>
      <c r="B6282">
        <v>0.58499999999999996</v>
      </c>
      <c r="C6282" t="str">
        <f t="shared" si="102"/>
        <v>1984 q3</v>
      </c>
    </row>
    <row r="6283" spans="1:3">
      <c r="A6283" s="62">
        <v>30903</v>
      </c>
      <c r="B6283">
        <v>0.59450000000000003</v>
      </c>
      <c r="C6283" t="str">
        <f t="shared" si="102"/>
        <v>1984 q3</v>
      </c>
    </row>
    <row r="6284" spans="1:3">
      <c r="A6284" s="62">
        <v>30904</v>
      </c>
      <c r="B6284">
        <v>0.59199999999999997</v>
      </c>
      <c r="C6284" t="str">
        <f t="shared" si="102"/>
        <v>1984 q3</v>
      </c>
    </row>
    <row r="6285" spans="1:3">
      <c r="A6285" s="62">
        <v>30907</v>
      </c>
      <c r="B6285">
        <v>0.59550000000000003</v>
      </c>
      <c r="C6285" t="str">
        <f t="shared" si="102"/>
        <v>1984 q3</v>
      </c>
    </row>
    <row r="6286" spans="1:3">
      <c r="A6286" s="62">
        <v>30908</v>
      </c>
      <c r="B6286">
        <v>0.59850000000000003</v>
      </c>
      <c r="C6286" t="str">
        <f t="shared" si="102"/>
        <v>1984 q3</v>
      </c>
    </row>
    <row r="6287" spans="1:3">
      <c r="A6287" s="62">
        <v>30909</v>
      </c>
      <c r="B6287">
        <v>0.59599999999999997</v>
      </c>
      <c r="C6287" t="str">
        <f t="shared" si="102"/>
        <v>1984 q3</v>
      </c>
    </row>
    <row r="6288" spans="1:3">
      <c r="A6288" s="62">
        <v>30910</v>
      </c>
      <c r="B6288">
        <v>0.59250000000000003</v>
      </c>
      <c r="C6288" t="str">
        <f t="shared" si="102"/>
        <v>1984 q3</v>
      </c>
    </row>
    <row r="6289" spans="1:3">
      <c r="A6289" s="62">
        <v>30911</v>
      </c>
      <c r="B6289">
        <v>0.59599999999999997</v>
      </c>
      <c r="C6289" t="str">
        <f t="shared" si="102"/>
        <v>1984 q3</v>
      </c>
    </row>
    <row r="6290" spans="1:3">
      <c r="A6290" s="62">
        <v>30914</v>
      </c>
      <c r="B6290">
        <v>0.58799999999999997</v>
      </c>
      <c r="C6290" t="str">
        <f t="shared" ref="C6290:C6353" si="103">YEAR(A6290)&amp;" q"&amp;ROUNDUP(MONTH(A6290)/3,0)</f>
        <v>1984 q3</v>
      </c>
    </row>
    <row r="6291" spans="1:3">
      <c r="A6291" s="62">
        <v>30915</v>
      </c>
      <c r="B6291">
        <v>0.58950000000000002</v>
      </c>
      <c r="C6291" t="str">
        <f t="shared" si="103"/>
        <v>1984 q3</v>
      </c>
    </row>
    <row r="6292" spans="1:3">
      <c r="A6292" s="62">
        <v>30916</v>
      </c>
      <c r="B6292">
        <v>0.60299999999999998</v>
      </c>
      <c r="C6292" t="str">
        <f t="shared" si="103"/>
        <v>1984 q3</v>
      </c>
    </row>
    <row r="6293" spans="1:3">
      <c r="A6293" s="62">
        <v>30917</v>
      </c>
      <c r="B6293">
        <v>0.61050000000000004</v>
      </c>
      <c r="C6293" t="str">
        <f t="shared" si="103"/>
        <v>1984 q3</v>
      </c>
    </row>
    <row r="6294" spans="1:3">
      <c r="A6294" s="62">
        <v>30918</v>
      </c>
      <c r="B6294">
        <v>0.61550000000000005</v>
      </c>
      <c r="C6294" t="str">
        <f t="shared" si="103"/>
        <v>1984 q3</v>
      </c>
    </row>
    <row r="6295" spans="1:3">
      <c r="A6295" s="62">
        <v>30921</v>
      </c>
      <c r="B6295">
        <v>0.61399999999999999</v>
      </c>
      <c r="C6295" t="str">
        <f t="shared" si="103"/>
        <v>1984 q3</v>
      </c>
    </row>
    <row r="6296" spans="1:3">
      <c r="A6296" s="62">
        <v>30922</v>
      </c>
      <c r="B6296">
        <v>0.61060000000000003</v>
      </c>
      <c r="C6296" t="str">
        <f t="shared" si="103"/>
        <v>1984 q3</v>
      </c>
    </row>
    <row r="6297" spans="1:3">
      <c r="A6297" s="62">
        <v>30923</v>
      </c>
      <c r="B6297">
        <v>0.61970000000000003</v>
      </c>
      <c r="C6297" t="str">
        <f t="shared" si="103"/>
        <v>1984 q3</v>
      </c>
    </row>
    <row r="6298" spans="1:3">
      <c r="A6298" s="62">
        <v>30924</v>
      </c>
      <c r="B6298">
        <v>0.61880000000000002</v>
      </c>
      <c r="C6298" t="str">
        <f t="shared" si="103"/>
        <v>1984 q3</v>
      </c>
    </row>
    <row r="6299" spans="1:3">
      <c r="A6299" s="62">
        <v>30925</v>
      </c>
      <c r="B6299">
        <v>0.62709999999999999</v>
      </c>
      <c r="C6299" t="str">
        <f t="shared" si="103"/>
        <v>1984 q3</v>
      </c>
    </row>
    <row r="6300" spans="1:3">
      <c r="A6300" s="62">
        <v>30929</v>
      </c>
      <c r="B6300">
        <v>0.61499999999999999</v>
      </c>
      <c r="C6300" t="str">
        <f t="shared" si="103"/>
        <v>1984 q3</v>
      </c>
    </row>
    <row r="6301" spans="1:3">
      <c r="A6301" s="62">
        <v>30930</v>
      </c>
      <c r="B6301">
        <v>0.61550000000000005</v>
      </c>
      <c r="C6301" t="str">
        <f t="shared" si="103"/>
        <v>1984 q3</v>
      </c>
    </row>
    <row r="6302" spans="1:3">
      <c r="A6302" s="62">
        <v>30931</v>
      </c>
      <c r="B6302">
        <v>0.62</v>
      </c>
      <c r="C6302" t="str">
        <f t="shared" si="103"/>
        <v>1984 q3</v>
      </c>
    </row>
    <row r="6303" spans="1:3">
      <c r="A6303" s="62">
        <v>30932</v>
      </c>
      <c r="B6303">
        <v>0.59199999999999997</v>
      </c>
      <c r="C6303" t="str">
        <f t="shared" si="103"/>
        <v>1984 q3</v>
      </c>
    </row>
    <row r="6304" spans="1:3">
      <c r="A6304" s="62">
        <v>30935</v>
      </c>
      <c r="B6304">
        <v>0.59</v>
      </c>
      <c r="C6304" t="str">
        <f t="shared" si="103"/>
        <v>1984 q3</v>
      </c>
    </row>
    <row r="6305" spans="1:3">
      <c r="A6305" s="62">
        <v>30936</v>
      </c>
      <c r="B6305">
        <v>0.59099999999999997</v>
      </c>
      <c r="C6305" t="str">
        <f t="shared" si="103"/>
        <v>1984 q3</v>
      </c>
    </row>
    <row r="6306" spans="1:3">
      <c r="A6306" s="62">
        <v>30937</v>
      </c>
      <c r="B6306">
        <v>0.59250000000000003</v>
      </c>
      <c r="C6306" t="str">
        <f t="shared" si="103"/>
        <v>1984 q3</v>
      </c>
    </row>
    <row r="6307" spans="1:3">
      <c r="A6307" s="62">
        <v>30938</v>
      </c>
      <c r="B6307">
        <v>0.57699999999999996</v>
      </c>
      <c r="C6307" t="str">
        <f t="shared" si="103"/>
        <v>1984 q3</v>
      </c>
    </row>
    <row r="6308" spans="1:3">
      <c r="A6308" s="62">
        <v>30939</v>
      </c>
      <c r="B6308">
        <v>0.58550000000000002</v>
      </c>
      <c r="C6308" t="str">
        <f t="shared" si="103"/>
        <v>1984 q3</v>
      </c>
    </row>
    <row r="6309" spans="1:3">
      <c r="A6309" s="62">
        <v>30942</v>
      </c>
      <c r="B6309">
        <v>0.5645</v>
      </c>
      <c r="C6309" t="str">
        <f t="shared" si="103"/>
        <v>1984 q3</v>
      </c>
    </row>
    <row r="6310" spans="1:3">
      <c r="A6310" s="62">
        <v>30943</v>
      </c>
      <c r="B6310">
        <v>0.57299999999999995</v>
      </c>
      <c r="C6310" t="str">
        <f t="shared" si="103"/>
        <v>1984 q3</v>
      </c>
    </row>
    <row r="6311" spans="1:3">
      <c r="A6311" s="62">
        <v>30944</v>
      </c>
      <c r="B6311">
        <v>0.57199999999999995</v>
      </c>
      <c r="C6311" t="str">
        <f t="shared" si="103"/>
        <v>1984 q3</v>
      </c>
    </row>
    <row r="6312" spans="1:3">
      <c r="A6312" s="62">
        <v>30945</v>
      </c>
      <c r="B6312">
        <v>0.56850000000000001</v>
      </c>
      <c r="C6312" t="str">
        <f t="shared" si="103"/>
        <v>1984 q3</v>
      </c>
    </row>
    <row r="6313" spans="1:3">
      <c r="A6313" s="62">
        <v>30946</v>
      </c>
      <c r="B6313">
        <v>0.57850000000000001</v>
      </c>
      <c r="C6313" t="str">
        <f t="shared" si="103"/>
        <v>1984 q3</v>
      </c>
    </row>
    <row r="6314" spans="1:3">
      <c r="A6314" s="62">
        <v>30949</v>
      </c>
      <c r="B6314">
        <v>0.57750000000000001</v>
      </c>
      <c r="C6314" t="str">
        <f t="shared" si="103"/>
        <v>1984 q3</v>
      </c>
    </row>
    <row r="6315" spans="1:3">
      <c r="A6315" s="62">
        <v>30950</v>
      </c>
      <c r="B6315">
        <v>0.57350000000000001</v>
      </c>
      <c r="C6315" t="str">
        <f t="shared" si="103"/>
        <v>1984 q3</v>
      </c>
    </row>
    <row r="6316" spans="1:3">
      <c r="A6316" s="62">
        <v>30951</v>
      </c>
      <c r="B6316">
        <v>0.58199999999999996</v>
      </c>
      <c r="C6316" t="str">
        <f t="shared" si="103"/>
        <v>1984 q3</v>
      </c>
    </row>
    <row r="6317" spans="1:3">
      <c r="A6317" s="62">
        <v>30952</v>
      </c>
      <c r="B6317">
        <v>0.57899999999999996</v>
      </c>
      <c r="C6317" t="str">
        <f t="shared" si="103"/>
        <v>1984 q3</v>
      </c>
    </row>
    <row r="6318" spans="1:3">
      <c r="A6318" s="62">
        <v>30953</v>
      </c>
      <c r="B6318">
        <v>0.57550000000000001</v>
      </c>
      <c r="C6318" t="str">
        <f t="shared" si="103"/>
        <v>1984 q3</v>
      </c>
    </row>
    <row r="6319" spans="1:3">
      <c r="A6319" s="62">
        <v>30956</v>
      </c>
      <c r="B6319">
        <v>0.57950000000000002</v>
      </c>
      <c r="C6319" t="str">
        <f t="shared" si="103"/>
        <v>1984 q4</v>
      </c>
    </row>
    <row r="6320" spans="1:3">
      <c r="A6320" s="62">
        <v>30957</v>
      </c>
      <c r="B6320">
        <v>0.57950000000000002</v>
      </c>
      <c r="C6320" t="str">
        <f t="shared" si="103"/>
        <v>1984 q4</v>
      </c>
    </row>
    <row r="6321" spans="1:3">
      <c r="A6321" s="62">
        <v>30958</v>
      </c>
      <c r="B6321">
        <v>0.57599999999999996</v>
      </c>
      <c r="C6321" t="str">
        <f t="shared" si="103"/>
        <v>1984 q4</v>
      </c>
    </row>
    <row r="6322" spans="1:3">
      <c r="A6322" s="62">
        <v>30959</v>
      </c>
      <c r="B6322">
        <v>0.57450000000000001</v>
      </c>
      <c r="C6322" t="str">
        <f t="shared" si="103"/>
        <v>1984 q4</v>
      </c>
    </row>
    <row r="6323" spans="1:3">
      <c r="A6323" s="62">
        <v>30960</v>
      </c>
      <c r="B6323">
        <v>0.5665</v>
      </c>
      <c r="C6323" t="str">
        <f t="shared" si="103"/>
        <v>1984 q4</v>
      </c>
    </row>
    <row r="6324" spans="1:3">
      <c r="A6324" s="62">
        <v>30963</v>
      </c>
      <c r="B6324">
        <v>0.5675</v>
      </c>
      <c r="C6324" t="str">
        <f t="shared" si="103"/>
        <v>1984 q4</v>
      </c>
    </row>
    <row r="6325" spans="1:3">
      <c r="A6325" s="62">
        <v>30964</v>
      </c>
      <c r="B6325">
        <v>0.56299999999999994</v>
      </c>
      <c r="C6325" t="str">
        <f t="shared" si="103"/>
        <v>1984 q4</v>
      </c>
    </row>
    <row r="6326" spans="1:3">
      <c r="A6326" s="62">
        <v>30965</v>
      </c>
      <c r="B6326">
        <v>0.56950000000000001</v>
      </c>
      <c r="C6326" t="str">
        <f t="shared" si="103"/>
        <v>1984 q4</v>
      </c>
    </row>
    <row r="6327" spans="1:3">
      <c r="A6327" s="62">
        <v>30966</v>
      </c>
      <c r="B6327">
        <v>0.5645</v>
      </c>
      <c r="C6327" t="str">
        <f t="shared" si="103"/>
        <v>1984 q4</v>
      </c>
    </row>
    <row r="6328" spans="1:3">
      <c r="A6328" s="62">
        <v>30967</v>
      </c>
      <c r="B6328">
        <v>0.57199999999999995</v>
      </c>
      <c r="C6328" t="str">
        <f t="shared" si="103"/>
        <v>1984 q4</v>
      </c>
    </row>
    <row r="6329" spans="1:3">
      <c r="A6329" s="62">
        <v>30970</v>
      </c>
      <c r="B6329">
        <v>0.5675</v>
      </c>
      <c r="C6329" t="str">
        <f t="shared" si="103"/>
        <v>1984 q4</v>
      </c>
    </row>
    <row r="6330" spans="1:3">
      <c r="A6330" s="62">
        <v>30971</v>
      </c>
      <c r="B6330">
        <v>0.55649999999999999</v>
      </c>
      <c r="C6330" t="str">
        <f t="shared" si="103"/>
        <v>1984 q4</v>
      </c>
    </row>
    <row r="6331" spans="1:3">
      <c r="A6331" s="62">
        <v>30972</v>
      </c>
      <c r="B6331">
        <v>0.55500000000000005</v>
      </c>
      <c r="C6331" t="str">
        <f t="shared" si="103"/>
        <v>1984 q4</v>
      </c>
    </row>
    <row r="6332" spans="1:3">
      <c r="A6332" s="62">
        <v>30973</v>
      </c>
      <c r="B6332">
        <v>0.5595</v>
      </c>
      <c r="C6332" t="str">
        <f t="shared" si="103"/>
        <v>1984 q4</v>
      </c>
    </row>
    <row r="6333" spans="1:3">
      <c r="A6333" s="62">
        <v>30974</v>
      </c>
      <c r="B6333">
        <v>0.56299999999999994</v>
      </c>
      <c r="C6333" t="str">
        <f t="shared" si="103"/>
        <v>1984 q4</v>
      </c>
    </row>
    <row r="6334" spans="1:3">
      <c r="A6334" s="62">
        <v>30977</v>
      </c>
      <c r="B6334">
        <v>0.56100000000000005</v>
      </c>
      <c r="C6334" t="str">
        <f t="shared" si="103"/>
        <v>1984 q4</v>
      </c>
    </row>
    <row r="6335" spans="1:3">
      <c r="A6335" s="62">
        <v>30978</v>
      </c>
      <c r="B6335">
        <v>0.5675</v>
      </c>
      <c r="C6335" t="str">
        <f t="shared" si="103"/>
        <v>1984 q4</v>
      </c>
    </row>
    <row r="6336" spans="1:3">
      <c r="A6336" s="62">
        <v>30979</v>
      </c>
      <c r="B6336">
        <v>0.57050000000000001</v>
      </c>
      <c r="C6336" t="str">
        <f t="shared" si="103"/>
        <v>1984 q4</v>
      </c>
    </row>
    <row r="6337" spans="1:3">
      <c r="A6337" s="62">
        <v>30980</v>
      </c>
      <c r="B6337">
        <v>0.58850000000000002</v>
      </c>
      <c r="C6337" t="str">
        <f t="shared" si="103"/>
        <v>1984 q4</v>
      </c>
    </row>
    <row r="6338" spans="1:3">
      <c r="A6338" s="62">
        <v>30981</v>
      </c>
      <c r="B6338">
        <v>0.58850000000000002</v>
      </c>
      <c r="C6338" t="str">
        <f t="shared" si="103"/>
        <v>1984 q4</v>
      </c>
    </row>
    <row r="6339" spans="1:3">
      <c r="A6339" s="62">
        <v>30984</v>
      </c>
      <c r="B6339">
        <v>0.57750000000000001</v>
      </c>
      <c r="C6339" t="str">
        <f t="shared" si="103"/>
        <v>1984 q4</v>
      </c>
    </row>
    <row r="6340" spans="1:3">
      <c r="A6340" s="62">
        <v>30985</v>
      </c>
      <c r="B6340">
        <v>0.58650000000000002</v>
      </c>
      <c r="C6340" t="str">
        <f t="shared" si="103"/>
        <v>1984 q4</v>
      </c>
    </row>
    <row r="6341" spans="1:3">
      <c r="A6341" s="62">
        <v>30986</v>
      </c>
      <c r="B6341">
        <v>0.59950000000000003</v>
      </c>
      <c r="C6341" t="str">
        <f t="shared" si="103"/>
        <v>1984 q4</v>
      </c>
    </row>
    <row r="6342" spans="1:3">
      <c r="A6342" s="62">
        <v>30987</v>
      </c>
      <c r="B6342">
        <v>0.60550000000000004</v>
      </c>
      <c r="C6342" t="str">
        <f t="shared" si="103"/>
        <v>1984 q4</v>
      </c>
    </row>
    <row r="6343" spans="1:3">
      <c r="A6343" s="62">
        <v>30988</v>
      </c>
      <c r="B6343">
        <v>0.61299999999999999</v>
      </c>
      <c r="C6343" t="str">
        <f t="shared" si="103"/>
        <v>1984 q4</v>
      </c>
    </row>
    <row r="6344" spans="1:3">
      <c r="A6344" s="62">
        <v>30991</v>
      </c>
      <c r="B6344">
        <v>0.61150000000000004</v>
      </c>
      <c r="C6344" t="str">
        <f t="shared" si="103"/>
        <v>1984 q4</v>
      </c>
    </row>
    <row r="6345" spans="1:3">
      <c r="A6345" s="62">
        <v>30992</v>
      </c>
      <c r="B6345">
        <v>0.60899999999999999</v>
      </c>
      <c r="C6345" t="str">
        <f t="shared" si="103"/>
        <v>1984 q4</v>
      </c>
    </row>
    <row r="6346" spans="1:3">
      <c r="A6346" s="62">
        <v>30993</v>
      </c>
      <c r="B6346">
        <v>0.61799999999999999</v>
      </c>
      <c r="C6346" t="str">
        <f t="shared" si="103"/>
        <v>1984 q4</v>
      </c>
    </row>
    <row r="6347" spans="1:3">
      <c r="A6347" s="62">
        <v>30994</v>
      </c>
      <c r="B6347">
        <v>0.61350000000000005</v>
      </c>
      <c r="C6347" t="str">
        <f t="shared" si="103"/>
        <v>1984 q4</v>
      </c>
    </row>
    <row r="6348" spans="1:3">
      <c r="A6348" s="62">
        <v>30995</v>
      </c>
      <c r="B6348">
        <v>0.60750000000000004</v>
      </c>
      <c r="C6348" t="str">
        <f t="shared" si="103"/>
        <v>1984 q4</v>
      </c>
    </row>
    <row r="6349" spans="1:3">
      <c r="A6349" s="62">
        <v>30998</v>
      </c>
      <c r="B6349">
        <v>0.61399999999999999</v>
      </c>
      <c r="C6349" t="str">
        <f t="shared" si="103"/>
        <v>1984 q4</v>
      </c>
    </row>
    <row r="6350" spans="1:3">
      <c r="A6350" s="62">
        <v>30999</v>
      </c>
      <c r="B6350">
        <v>0.60199999999999998</v>
      </c>
      <c r="C6350" t="str">
        <f t="shared" si="103"/>
        <v>1984 q4</v>
      </c>
    </row>
    <row r="6351" spans="1:3">
      <c r="A6351" s="62">
        <v>31000</v>
      </c>
      <c r="B6351">
        <v>0.59950000000000003</v>
      </c>
      <c r="C6351" t="str">
        <f t="shared" si="103"/>
        <v>1984 q4</v>
      </c>
    </row>
    <row r="6352" spans="1:3">
      <c r="A6352" s="62">
        <v>31001</v>
      </c>
      <c r="B6352">
        <v>0.59899999999999998</v>
      </c>
      <c r="C6352" t="str">
        <f t="shared" si="103"/>
        <v>1984 q4</v>
      </c>
    </row>
    <row r="6353" spans="1:3">
      <c r="A6353" s="62">
        <v>31002</v>
      </c>
      <c r="B6353">
        <v>0.59750000000000003</v>
      </c>
      <c r="C6353" t="str">
        <f t="shared" si="103"/>
        <v>1984 q4</v>
      </c>
    </row>
    <row r="6354" spans="1:3">
      <c r="A6354" s="62">
        <v>31005</v>
      </c>
      <c r="B6354">
        <v>0.58450000000000002</v>
      </c>
      <c r="C6354" t="str">
        <f t="shared" ref="C6354:C6417" si="104">YEAR(A6354)&amp;" q"&amp;ROUNDUP(MONTH(A6354)/3,0)</f>
        <v>1984 q4</v>
      </c>
    </row>
    <row r="6355" spans="1:3">
      <c r="A6355" s="62">
        <v>31006</v>
      </c>
      <c r="B6355">
        <v>0.59599999999999997</v>
      </c>
      <c r="C6355" t="str">
        <f t="shared" si="104"/>
        <v>1984 q4</v>
      </c>
    </row>
    <row r="6356" spans="1:3">
      <c r="A6356" s="62">
        <v>31007</v>
      </c>
      <c r="B6356">
        <v>0.60050000000000003</v>
      </c>
      <c r="C6356" t="str">
        <f t="shared" si="104"/>
        <v>1984 q4</v>
      </c>
    </row>
    <row r="6357" spans="1:3">
      <c r="A6357" s="62">
        <v>31009</v>
      </c>
      <c r="B6357">
        <v>0.59650000000000003</v>
      </c>
      <c r="C6357" t="str">
        <f t="shared" si="104"/>
        <v>1984 q4</v>
      </c>
    </row>
    <row r="6358" spans="1:3">
      <c r="A6358" s="62">
        <v>31012</v>
      </c>
      <c r="B6358">
        <v>0.59650000000000003</v>
      </c>
      <c r="C6358" t="str">
        <f t="shared" si="104"/>
        <v>1984 q4</v>
      </c>
    </row>
    <row r="6359" spans="1:3">
      <c r="A6359" s="62">
        <v>31013</v>
      </c>
      <c r="B6359">
        <v>0.58250000000000002</v>
      </c>
      <c r="C6359" t="str">
        <f t="shared" si="104"/>
        <v>1984 q4</v>
      </c>
    </row>
    <row r="6360" spans="1:3">
      <c r="A6360" s="62">
        <v>31014</v>
      </c>
      <c r="B6360">
        <v>0.57079999999999997</v>
      </c>
      <c r="C6360" t="str">
        <f t="shared" si="104"/>
        <v>1984 q4</v>
      </c>
    </row>
    <row r="6361" spans="1:3">
      <c r="A6361" s="62">
        <v>31015</v>
      </c>
      <c r="B6361">
        <v>0.57420000000000004</v>
      </c>
      <c r="C6361" t="str">
        <f t="shared" si="104"/>
        <v>1984 q4</v>
      </c>
    </row>
    <row r="6362" spans="1:3">
      <c r="A6362" s="62">
        <v>31016</v>
      </c>
      <c r="B6362">
        <v>0.57909999999999995</v>
      </c>
      <c r="C6362" t="str">
        <f t="shared" si="104"/>
        <v>1984 q4</v>
      </c>
    </row>
    <row r="6363" spans="1:3">
      <c r="A6363" s="62">
        <v>31019</v>
      </c>
      <c r="B6363">
        <v>0.58199999999999996</v>
      </c>
      <c r="C6363" t="str">
        <f t="shared" si="104"/>
        <v>1984 q4</v>
      </c>
    </row>
    <row r="6364" spans="1:3">
      <c r="A6364" s="62">
        <v>31020</v>
      </c>
      <c r="B6364">
        <v>0.58350000000000002</v>
      </c>
      <c r="C6364" t="str">
        <f t="shared" si="104"/>
        <v>1984 q4</v>
      </c>
    </row>
    <row r="6365" spans="1:3">
      <c r="A6365" s="62">
        <v>31021</v>
      </c>
      <c r="B6365">
        <v>0.58150000000000002</v>
      </c>
      <c r="C6365" t="str">
        <f t="shared" si="104"/>
        <v>1984 q4</v>
      </c>
    </row>
    <row r="6366" spans="1:3">
      <c r="A6366" s="62">
        <v>31022</v>
      </c>
      <c r="B6366">
        <v>0.58699999999999997</v>
      </c>
      <c r="C6366" t="str">
        <f t="shared" si="104"/>
        <v>1984 q4</v>
      </c>
    </row>
    <row r="6367" spans="1:3">
      <c r="A6367" s="62">
        <v>31023</v>
      </c>
      <c r="B6367">
        <v>0.57899999999999996</v>
      </c>
      <c r="C6367" t="str">
        <f t="shared" si="104"/>
        <v>1984 q4</v>
      </c>
    </row>
    <row r="6368" spans="1:3">
      <c r="A6368" s="62">
        <v>31026</v>
      </c>
      <c r="B6368">
        <v>0.57599999999999996</v>
      </c>
      <c r="C6368" t="str">
        <f t="shared" si="104"/>
        <v>1984 q4</v>
      </c>
    </row>
    <row r="6369" spans="1:3">
      <c r="A6369" s="62">
        <v>31027</v>
      </c>
      <c r="B6369">
        <v>0.58550000000000002</v>
      </c>
      <c r="C6369" t="str">
        <f t="shared" si="104"/>
        <v>1984 q4</v>
      </c>
    </row>
    <row r="6370" spans="1:3">
      <c r="A6370" s="62">
        <v>31028</v>
      </c>
      <c r="B6370">
        <v>0.58399999999999996</v>
      </c>
      <c r="C6370" t="str">
        <f t="shared" si="104"/>
        <v>1984 q4</v>
      </c>
    </row>
    <row r="6371" spans="1:3">
      <c r="A6371" s="62">
        <v>31029</v>
      </c>
      <c r="B6371">
        <v>0.57699999999999996</v>
      </c>
      <c r="C6371" t="str">
        <f t="shared" si="104"/>
        <v>1984 q4</v>
      </c>
    </row>
    <row r="6372" spans="1:3">
      <c r="A6372" s="62">
        <v>31030</v>
      </c>
      <c r="B6372">
        <v>0.58799999999999997</v>
      </c>
      <c r="C6372" t="str">
        <f t="shared" si="104"/>
        <v>1984 q4</v>
      </c>
    </row>
    <row r="6373" spans="1:3">
      <c r="A6373" s="62">
        <v>31033</v>
      </c>
      <c r="B6373">
        <v>0.58599999999999997</v>
      </c>
      <c r="C6373" t="str">
        <f t="shared" si="104"/>
        <v>1984 q4</v>
      </c>
    </row>
    <row r="6374" spans="1:3">
      <c r="A6374" s="62">
        <v>31034</v>
      </c>
      <c r="B6374">
        <v>0.58799999999999997</v>
      </c>
      <c r="C6374" t="str">
        <f t="shared" si="104"/>
        <v>1984 q4</v>
      </c>
    </row>
    <row r="6375" spans="1:3">
      <c r="A6375" s="62">
        <v>31035</v>
      </c>
      <c r="B6375">
        <v>0.58250000000000002</v>
      </c>
      <c r="C6375" t="str">
        <f t="shared" si="104"/>
        <v>1984 q4</v>
      </c>
    </row>
    <row r="6376" spans="1:3">
      <c r="A6376" s="62">
        <v>31036</v>
      </c>
      <c r="B6376">
        <v>0.57650000000000001</v>
      </c>
      <c r="C6376" t="str">
        <f t="shared" si="104"/>
        <v>1984 q4</v>
      </c>
    </row>
    <row r="6377" spans="1:3">
      <c r="A6377" s="62">
        <v>31037</v>
      </c>
      <c r="B6377">
        <v>0.55100000000000005</v>
      </c>
      <c r="C6377" t="str">
        <f t="shared" si="104"/>
        <v>1984 q4</v>
      </c>
    </row>
    <row r="6378" spans="1:3">
      <c r="A6378" s="62">
        <v>31042</v>
      </c>
      <c r="B6378">
        <v>0.56559999999999999</v>
      </c>
      <c r="C6378" t="str">
        <f t="shared" si="104"/>
        <v>1984 q4</v>
      </c>
    </row>
    <row r="6379" spans="1:3">
      <c r="A6379" s="62">
        <v>31043</v>
      </c>
      <c r="B6379">
        <v>0.56359999999999999</v>
      </c>
      <c r="C6379" t="str">
        <f t="shared" si="104"/>
        <v>1984 q4</v>
      </c>
    </row>
    <row r="6380" spans="1:3">
      <c r="A6380" s="62">
        <v>31044</v>
      </c>
      <c r="B6380">
        <v>0.57040000000000002</v>
      </c>
      <c r="C6380" t="str">
        <f t="shared" si="104"/>
        <v>1984 q4</v>
      </c>
    </row>
    <row r="6381" spans="1:3">
      <c r="A6381" s="62">
        <v>31047</v>
      </c>
      <c r="B6381">
        <v>0.57040000000000002</v>
      </c>
      <c r="C6381" t="str">
        <f t="shared" si="104"/>
        <v>1984 q4</v>
      </c>
    </row>
    <row r="6382" spans="1:3">
      <c r="A6382" s="62">
        <v>31049</v>
      </c>
      <c r="B6382">
        <v>0.56399999999999995</v>
      </c>
      <c r="C6382" t="str">
        <f t="shared" si="104"/>
        <v>1985 q1</v>
      </c>
    </row>
    <row r="6383" spans="1:3">
      <c r="A6383" s="62">
        <v>31050</v>
      </c>
      <c r="B6383">
        <v>0.57150000000000001</v>
      </c>
      <c r="C6383" t="str">
        <f t="shared" si="104"/>
        <v>1985 q1</v>
      </c>
    </row>
    <row r="6384" spans="1:3">
      <c r="A6384" s="62">
        <v>31051</v>
      </c>
      <c r="B6384">
        <v>0.56950000000000001</v>
      </c>
      <c r="C6384" t="str">
        <f t="shared" si="104"/>
        <v>1985 q1</v>
      </c>
    </row>
    <row r="6385" spans="1:3">
      <c r="A6385" s="62">
        <v>31054</v>
      </c>
      <c r="B6385">
        <v>0.57850000000000001</v>
      </c>
      <c r="C6385" t="str">
        <f t="shared" si="104"/>
        <v>1985 q1</v>
      </c>
    </row>
    <row r="6386" spans="1:3">
      <c r="A6386" s="62">
        <v>31055</v>
      </c>
      <c r="B6386">
        <v>0.57450000000000001</v>
      </c>
      <c r="C6386" t="str">
        <f t="shared" si="104"/>
        <v>1985 q1</v>
      </c>
    </row>
    <row r="6387" spans="1:3">
      <c r="A6387" s="62">
        <v>31056</v>
      </c>
      <c r="B6387">
        <v>0.58699999999999997</v>
      </c>
      <c r="C6387" t="str">
        <f t="shared" si="104"/>
        <v>1985 q1</v>
      </c>
    </row>
    <row r="6388" spans="1:3">
      <c r="A6388" s="62">
        <v>31057</v>
      </c>
      <c r="B6388">
        <v>0.58299999999999996</v>
      </c>
      <c r="C6388" t="str">
        <f t="shared" si="104"/>
        <v>1985 q1</v>
      </c>
    </row>
    <row r="6389" spans="1:3">
      <c r="A6389" s="62">
        <v>31058</v>
      </c>
      <c r="B6389">
        <v>0.57399999999999995</v>
      </c>
      <c r="C6389" t="str">
        <f t="shared" si="104"/>
        <v>1985 q1</v>
      </c>
    </row>
    <row r="6390" spans="1:3">
      <c r="A6390" s="62">
        <v>31061</v>
      </c>
      <c r="B6390">
        <v>0.57499999999999996</v>
      </c>
      <c r="C6390" t="str">
        <f t="shared" si="104"/>
        <v>1985 q1</v>
      </c>
    </row>
    <row r="6391" spans="1:3">
      <c r="A6391" s="62">
        <v>31062</v>
      </c>
      <c r="B6391">
        <v>0.58599999999999997</v>
      </c>
      <c r="C6391" t="str">
        <f t="shared" si="104"/>
        <v>1985 q1</v>
      </c>
    </row>
    <row r="6392" spans="1:3">
      <c r="A6392" s="62">
        <v>31063</v>
      </c>
      <c r="B6392">
        <v>0.59050000000000002</v>
      </c>
      <c r="C6392" t="str">
        <f t="shared" si="104"/>
        <v>1985 q1</v>
      </c>
    </row>
    <row r="6393" spans="1:3">
      <c r="A6393" s="62">
        <v>31064</v>
      </c>
      <c r="B6393">
        <v>0.60150000000000003</v>
      </c>
      <c r="C6393" t="str">
        <f t="shared" si="104"/>
        <v>1985 q1</v>
      </c>
    </row>
    <row r="6394" spans="1:3">
      <c r="A6394" s="62">
        <v>31065</v>
      </c>
      <c r="B6394">
        <v>0.61199999999999999</v>
      </c>
      <c r="C6394" t="str">
        <f t="shared" si="104"/>
        <v>1985 q1</v>
      </c>
    </row>
    <row r="6395" spans="1:3">
      <c r="A6395" s="62">
        <v>31068</v>
      </c>
      <c r="B6395">
        <v>0.61699999999999999</v>
      </c>
      <c r="C6395" t="str">
        <f t="shared" si="104"/>
        <v>1985 q1</v>
      </c>
    </row>
    <row r="6396" spans="1:3">
      <c r="A6396" s="62">
        <v>31069</v>
      </c>
      <c r="B6396">
        <v>0.61050000000000004</v>
      </c>
      <c r="C6396" t="str">
        <f t="shared" si="104"/>
        <v>1985 q1</v>
      </c>
    </row>
    <row r="6397" spans="1:3">
      <c r="A6397" s="62">
        <v>31070</v>
      </c>
      <c r="B6397">
        <v>0.60099999999999998</v>
      </c>
      <c r="C6397" t="str">
        <f t="shared" si="104"/>
        <v>1985 q1</v>
      </c>
    </row>
    <row r="6398" spans="1:3">
      <c r="A6398" s="62">
        <v>31071</v>
      </c>
      <c r="B6398">
        <v>0.61150000000000004</v>
      </c>
      <c r="C6398" t="str">
        <f t="shared" si="104"/>
        <v>1985 q1</v>
      </c>
    </row>
    <row r="6399" spans="1:3">
      <c r="A6399" s="62">
        <v>31072</v>
      </c>
      <c r="B6399">
        <v>0.61099999999999999</v>
      </c>
      <c r="C6399" t="str">
        <f t="shared" si="104"/>
        <v>1985 q1</v>
      </c>
    </row>
    <row r="6400" spans="1:3">
      <c r="A6400" s="62">
        <v>31075</v>
      </c>
      <c r="B6400">
        <v>0.623</v>
      </c>
      <c r="C6400" t="str">
        <f t="shared" si="104"/>
        <v>1985 q1</v>
      </c>
    </row>
    <row r="6401" spans="1:3">
      <c r="A6401" s="62">
        <v>31076</v>
      </c>
      <c r="B6401">
        <v>0.63049999999999995</v>
      </c>
      <c r="C6401" t="str">
        <f t="shared" si="104"/>
        <v>1985 q1</v>
      </c>
    </row>
    <row r="6402" spans="1:3">
      <c r="A6402" s="62">
        <v>31077</v>
      </c>
      <c r="B6402">
        <v>0.63900000000000001</v>
      </c>
      <c r="C6402" t="str">
        <f t="shared" si="104"/>
        <v>1985 q1</v>
      </c>
    </row>
    <row r="6403" spans="1:3">
      <c r="A6403" s="62">
        <v>31078</v>
      </c>
      <c r="B6403">
        <v>0.626</v>
      </c>
      <c r="C6403" t="str">
        <f t="shared" si="104"/>
        <v>1985 q1</v>
      </c>
    </row>
    <row r="6404" spans="1:3">
      <c r="A6404" s="62">
        <v>31079</v>
      </c>
      <c r="B6404">
        <v>0.63</v>
      </c>
      <c r="C6404" t="str">
        <f t="shared" si="104"/>
        <v>1985 q1</v>
      </c>
    </row>
    <row r="6405" spans="1:3">
      <c r="A6405" s="62">
        <v>31082</v>
      </c>
      <c r="B6405">
        <v>0.624</v>
      </c>
      <c r="C6405" t="str">
        <f t="shared" si="104"/>
        <v>1985 q1</v>
      </c>
    </row>
    <row r="6406" spans="1:3">
      <c r="A6406" s="62">
        <v>31083</v>
      </c>
      <c r="B6406">
        <v>0.624</v>
      </c>
      <c r="C6406" t="str">
        <f t="shared" si="104"/>
        <v>1985 q1</v>
      </c>
    </row>
    <row r="6407" spans="1:3">
      <c r="A6407" s="62">
        <v>31084</v>
      </c>
      <c r="B6407">
        <v>0.62</v>
      </c>
      <c r="C6407" t="str">
        <f t="shared" si="104"/>
        <v>1985 q1</v>
      </c>
    </row>
    <row r="6408" spans="1:3">
      <c r="A6408" s="62">
        <v>31085</v>
      </c>
      <c r="B6408">
        <v>0.61399999999999999</v>
      </c>
      <c r="C6408" t="str">
        <f t="shared" si="104"/>
        <v>1985 q1</v>
      </c>
    </row>
    <row r="6409" spans="1:3">
      <c r="A6409" s="62">
        <v>31086</v>
      </c>
      <c r="B6409">
        <v>0.61299999999999999</v>
      </c>
      <c r="C6409" t="str">
        <f t="shared" si="104"/>
        <v>1985 q1</v>
      </c>
    </row>
    <row r="6410" spans="1:3">
      <c r="A6410" s="62">
        <v>31089</v>
      </c>
      <c r="B6410">
        <v>0.62050000000000005</v>
      </c>
      <c r="C6410" t="str">
        <f t="shared" si="104"/>
        <v>1985 q1</v>
      </c>
    </row>
    <row r="6411" spans="1:3">
      <c r="A6411" s="62">
        <v>31090</v>
      </c>
      <c r="B6411">
        <v>0.62050000000000005</v>
      </c>
      <c r="C6411" t="str">
        <f t="shared" si="104"/>
        <v>1985 q1</v>
      </c>
    </row>
    <row r="6412" spans="1:3">
      <c r="A6412" s="62">
        <v>31091</v>
      </c>
      <c r="B6412">
        <v>0.625</v>
      </c>
      <c r="C6412" t="str">
        <f t="shared" si="104"/>
        <v>1985 q1</v>
      </c>
    </row>
    <row r="6413" spans="1:3">
      <c r="A6413" s="62">
        <v>31092</v>
      </c>
      <c r="B6413">
        <v>0.623</v>
      </c>
      <c r="C6413" t="str">
        <f t="shared" si="104"/>
        <v>1985 q1</v>
      </c>
    </row>
    <row r="6414" spans="1:3">
      <c r="A6414" s="62">
        <v>31093</v>
      </c>
      <c r="B6414">
        <v>0.61899999999999999</v>
      </c>
      <c r="C6414" t="str">
        <f t="shared" si="104"/>
        <v>1985 q1</v>
      </c>
    </row>
    <row r="6415" spans="1:3">
      <c r="A6415" s="62">
        <v>31097</v>
      </c>
      <c r="B6415">
        <v>0.61850000000000005</v>
      </c>
      <c r="C6415" t="str">
        <f t="shared" si="104"/>
        <v>1985 q1</v>
      </c>
    </row>
    <row r="6416" spans="1:3">
      <c r="A6416" s="62">
        <v>31098</v>
      </c>
      <c r="B6416">
        <v>0.6</v>
      </c>
      <c r="C6416" t="str">
        <f t="shared" si="104"/>
        <v>1985 q1</v>
      </c>
    </row>
    <row r="6417" spans="1:3">
      <c r="A6417" s="62">
        <v>31099</v>
      </c>
      <c r="B6417">
        <v>0.59150000000000003</v>
      </c>
      <c r="C6417" t="str">
        <f t="shared" si="104"/>
        <v>1985 q1</v>
      </c>
    </row>
    <row r="6418" spans="1:3">
      <c r="A6418" s="62">
        <v>31100</v>
      </c>
      <c r="B6418">
        <v>0.59450000000000003</v>
      </c>
      <c r="C6418" t="str">
        <f t="shared" ref="C6418:C6481" si="105">YEAR(A6418)&amp;" q"&amp;ROUNDUP(MONTH(A6418)/3,0)</f>
        <v>1985 q1</v>
      </c>
    </row>
    <row r="6419" spans="1:3">
      <c r="A6419" s="62">
        <v>31103</v>
      </c>
      <c r="B6419">
        <v>0.57240000000000002</v>
      </c>
      <c r="C6419" t="str">
        <f t="shared" si="105"/>
        <v>1985 q1</v>
      </c>
    </row>
    <row r="6420" spans="1:3">
      <c r="A6420" s="62">
        <v>31104</v>
      </c>
      <c r="B6420">
        <v>0.5766</v>
      </c>
      <c r="C6420" t="str">
        <f t="shared" si="105"/>
        <v>1985 q1</v>
      </c>
    </row>
    <row r="6421" spans="1:3">
      <c r="A6421" s="62">
        <v>31105</v>
      </c>
      <c r="B6421">
        <v>0.58699999999999997</v>
      </c>
      <c r="C6421" t="str">
        <f t="shared" si="105"/>
        <v>1985 q1</v>
      </c>
    </row>
    <row r="6422" spans="1:3">
      <c r="A6422" s="62">
        <v>31106</v>
      </c>
      <c r="B6422">
        <v>0.59409999999999996</v>
      </c>
      <c r="C6422" t="str">
        <f t="shared" si="105"/>
        <v>1985 q1</v>
      </c>
    </row>
    <row r="6423" spans="1:3">
      <c r="A6423" s="62">
        <v>31107</v>
      </c>
      <c r="B6423">
        <v>0.59299999999999997</v>
      </c>
      <c r="C6423" t="str">
        <f t="shared" si="105"/>
        <v>1985 q1</v>
      </c>
    </row>
    <row r="6424" spans="1:3">
      <c r="A6424" s="62">
        <v>31110</v>
      </c>
      <c r="B6424">
        <v>0.59899999999999998</v>
      </c>
      <c r="C6424" t="str">
        <f t="shared" si="105"/>
        <v>1985 q1</v>
      </c>
    </row>
    <row r="6425" spans="1:3">
      <c r="A6425" s="62">
        <v>31111</v>
      </c>
      <c r="B6425">
        <v>0.59199999999999997</v>
      </c>
      <c r="C6425" t="str">
        <f t="shared" si="105"/>
        <v>1985 q1</v>
      </c>
    </row>
    <row r="6426" spans="1:3">
      <c r="A6426" s="62">
        <v>31112</v>
      </c>
      <c r="B6426">
        <v>0.60499999999999998</v>
      </c>
      <c r="C6426" t="str">
        <f t="shared" si="105"/>
        <v>1985 q1</v>
      </c>
    </row>
    <row r="6427" spans="1:3">
      <c r="A6427" s="62">
        <v>31113</v>
      </c>
      <c r="B6427">
        <v>0.60250000000000004</v>
      </c>
      <c r="C6427" t="str">
        <f t="shared" si="105"/>
        <v>1985 q1</v>
      </c>
    </row>
    <row r="6428" spans="1:3">
      <c r="A6428" s="62">
        <v>31114</v>
      </c>
      <c r="B6428">
        <v>0.60350000000000004</v>
      </c>
      <c r="C6428" t="str">
        <f t="shared" si="105"/>
        <v>1985 q1</v>
      </c>
    </row>
    <row r="6429" spans="1:3">
      <c r="A6429" s="62">
        <v>31117</v>
      </c>
      <c r="B6429">
        <v>0.60150000000000003</v>
      </c>
      <c r="C6429" t="str">
        <f t="shared" si="105"/>
        <v>1985 q1</v>
      </c>
    </row>
    <row r="6430" spans="1:3">
      <c r="A6430" s="62">
        <v>31118</v>
      </c>
      <c r="B6430">
        <v>0.59750000000000003</v>
      </c>
      <c r="C6430" t="str">
        <f t="shared" si="105"/>
        <v>1985 q1</v>
      </c>
    </row>
    <row r="6431" spans="1:3">
      <c r="A6431" s="62">
        <v>31119</v>
      </c>
      <c r="B6431">
        <v>0.59850000000000003</v>
      </c>
      <c r="C6431" t="str">
        <f t="shared" si="105"/>
        <v>1985 q1</v>
      </c>
    </row>
    <row r="6432" spans="1:3">
      <c r="A6432" s="62">
        <v>31120</v>
      </c>
      <c r="B6432">
        <v>0.59699999999999998</v>
      </c>
      <c r="C6432" t="str">
        <f t="shared" si="105"/>
        <v>1985 q1</v>
      </c>
    </row>
    <row r="6433" spans="1:3">
      <c r="A6433" s="62">
        <v>31121</v>
      </c>
      <c r="B6433">
        <v>0.59899999999999998</v>
      </c>
      <c r="C6433" t="str">
        <f t="shared" si="105"/>
        <v>1985 q1</v>
      </c>
    </row>
    <row r="6434" spans="1:3">
      <c r="A6434" s="62">
        <v>31124</v>
      </c>
      <c r="B6434">
        <v>0.60699999999999998</v>
      </c>
      <c r="C6434" t="str">
        <f t="shared" si="105"/>
        <v>1985 q1</v>
      </c>
    </row>
    <row r="6435" spans="1:3">
      <c r="A6435" s="62">
        <v>31125</v>
      </c>
      <c r="B6435">
        <v>0.626</v>
      </c>
      <c r="C6435" t="str">
        <f t="shared" si="105"/>
        <v>1985 q1</v>
      </c>
    </row>
    <row r="6436" spans="1:3">
      <c r="A6436" s="62">
        <v>31126</v>
      </c>
      <c r="B6436">
        <v>0.61150000000000004</v>
      </c>
      <c r="C6436" t="str">
        <f t="shared" si="105"/>
        <v>1985 q1</v>
      </c>
    </row>
    <row r="6437" spans="1:3">
      <c r="A6437" s="62">
        <v>31127</v>
      </c>
      <c r="B6437">
        <v>0.61750000000000005</v>
      </c>
      <c r="C6437" t="str">
        <f t="shared" si="105"/>
        <v>1985 q1</v>
      </c>
    </row>
    <row r="6438" spans="1:3">
      <c r="A6438" s="62">
        <v>31128</v>
      </c>
      <c r="B6438">
        <v>0.61450000000000005</v>
      </c>
      <c r="C6438" t="str">
        <f t="shared" si="105"/>
        <v>1985 q1</v>
      </c>
    </row>
    <row r="6439" spans="1:3">
      <c r="A6439" s="62">
        <v>31131</v>
      </c>
      <c r="B6439">
        <v>0.61</v>
      </c>
      <c r="C6439" t="str">
        <f t="shared" si="105"/>
        <v>1985 q1</v>
      </c>
    </row>
    <row r="6440" spans="1:3">
      <c r="A6440" s="62">
        <v>31132</v>
      </c>
      <c r="B6440">
        <v>0.61750000000000005</v>
      </c>
      <c r="C6440" t="str">
        <f t="shared" si="105"/>
        <v>1985 q1</v>
      </c>
    </row>
    <row r="6441" spans="1:3">
      <c r="A6441" s="62">
        <v>31133</v>
      </c>
      <c r="B6441">
        <v>0.62150000000000005</v>
      </c>
      <c r="C6441" t="str">
        <f t="shared" si="105"/>
        <v>1985 q1</v>
      </c>
    </row>
    <row r="6442" spans="1:3">
      <c r="A6442" s="62">
        <v>31134</v>
      </c>
      <c r="B6442">
        <v>0.62</v>
      </c>
      <c r="C6442" t="str">
        <f t="shared" si="105"/>
        <v>1985 q1</v>
      </c>
    </row>
    <row r="6443" spans="1:3">
      <c r="A6443" s="62">
        <v>31135</v>
      </c>
      <c r="B6443">
        <v>0.626</v>
      </c>
      <c r="C6443" t="str">
        <f t="shared" si="105"/>
        <v>1985 q1</v>
      </c>
    </row>
    <row r="6444" spans="1:3">
      <c r="A6444" s="62">
        <v>31138</v>
      </c>
      <c r="B6444">
        <v>0.63400000000000001</v>
      </c>
      <c r="C6444" t="str">
        <f t="shared" si="105"/>
        <v>1985 q2</v>
      </c>
    </row>
    <row r="6445" spans="1:3">
      <c r="A6445" s="62">
        <v>31139</v>
      </c>
      <c r="B6445">
        <v>0.64700000000000002</v>
      </c>
      <c r="C6445" t="str">
        <f t="shared" si="105"/>
        <v>1985 q2</v>
      </c>
    </row>
    <row r="6446" spans="1:3">
      <c r="A6446" s="62">
        <v>31140</v>
      </c>
      <c r="B6446">
        <v>0.63549999999999995</v>
      </c>
      <c r="C6446" t="str">
        <f t="shared" si="105"/>
        <v>1985 q2</v>
      </c>
    </row>
    <row r="6447" spans="1:3">
      <c r="A6447" s="62">
        <v>31141</v>
      </c>
      <c r="B6447">
        <v>0.65</v>
      </c>
      <c r="C6447" t="str">
        <f t="shared" si="105"/>
        <v>1985 q2</v>
      </c>
    </row>
    <row r="6448" spans="1:3">
      <c r="A6448" s="62">
        <v>31145</v>
      </c>
      <c r="B6448">
        <v>0.65049999999999997</v>
      </c>
      <c r="C6448" t="str">
        <f t="shared" si="105"/>
        <v>1985 q2</v>
      </c>
    </row>
    <row r="6449" spans="1:3">
      <c r="A6449" s="62">
        <v>31146</v>
      </c>
      <c r="B6449">
        <v>0.64800000000000002</v>
      </c>
      <c r="C6449" t="str">
        <f t="shared" si="105"/>
        <v>1985 q2</v>
      </c>
    </row>
    <row r="6450" spans="1:3">
      <c r="A6450" s="62">
        <v>31147</v>
      </c>
      <c r="B6450">
        <v>0.64900000000000002</v>
      </c>
      <c r="C6450" t="str">
        <f t="shared" si="105"/>
        <v>1985 q2</v>
      </c>
    </row>
    <row r="6451" spans="1:3">
      <c r="A6451" s="62">
        <v>31148</v>
      </c>
      <c r="B6451">
        <v>0.64849999999999997</v>
      </c>
      <c r="C6451" t="str">
        <f t="shared" si="105"/>
        <v>1985 q2</v>
      </c>
    </row>
    <row r="6452" spans="1:3">
      <c r="A6452" s="62">
        <v>31149</v>
      </c>
      <c r="B6452">
        <v>0.65900000000000003</v>
      </c>
      <c r="C6452" t="str">
        <f t="shared" si="105"/>
        <v>1985 q2</v>
      </c>
    </row>
    <row r="6453" spans="1:3">
      <c r="A6453" s="62">
        <v>31152</v>
      </c>
      <c r="B6453">
        <v>0.65500000000000003</v>
      </c>
      <c r="C6453" t="str">
        <f t="shared" si="105"/>
        <v>1985 q2</v>
      </c>
    </row>
    <row r="6454" spans="1:3">
      <c r="A6454" s="62">
        <v>31153</v>
      </c>
      <c r="B6454">
        <v>0.64949999999999997</v>
      </c>
      <c r="C6454" t="str">
        <f t="shared" si="105"/>
        <v>1985 q2</v>
      </c>
    </row>
    <row r="6455" spans="1:3">
      <c r="A6455" s="62">
        <v>31154</v>
      </c>
      <c r="B6455">
        <v>0.64800000000000002</v>
      </c>
      <c r="C6455" t="str">
        <f t="shared" si="105"/>
        <v>1985 q2</v>
      </c>
    </row>
    <row r="6456" spans="1:3">
      <c r="A6456" s="62">
        <v>31155</v>
      </c>
      <c r="B6456">
        <v>0.63200000000000001</v>
      </c>
      <c r="C6456" t="str">
        <f t="shared" si="105"/>
        <v>1985 q2</v>
      </c>
    </row>
    <row r="6457" spans="1:3">
      <c r="A6457" s="62">
        <v>31156</v>
      </c>
      <c r="B6457">
        <v>0.62949999999999995</v>
      </c>
      <c r="C6457" t="str">
        <f t="shared" si="105"/>
        <v>1985 q2</v>
      </c>
    </row>
    <row r="6458" spans="1:3">
      <c r="A6458" s="62">
        <v>31159</v>
      </c>
      <c r="B6458">
        <v>0.624</v>
      </c>
      <c r="C6458" t="str">
        <f t="shared" si="105"/>
        <v>1985 q2</v>
      </c>
    </row>
    <row r="6459" spans="1:3">
      <c r="A6459" s="62">
        <v>31160</v>
      </c>
      <c r="B6459">
        <v>0.61950000000000005</v>
      </c>
      <c r="C6459" t="str">
        <f t="shared" si="105"/>
        <v>1985 q2</v>
      </c>
    </row>
    <row r="6460" spans="1:3">
      <c r="A6460" s="62">
        <v>31161</v>
      </c>
      <c r="B6460">
        <v>0.62749999999999995</v>
      </c>
      <c r="C6460" t="str">
        <f t="shared" si="105"/>
        <v>1985 q2</v>
      </c>
    </row>
    <row r="6461" spans="1:3">
      <c r="A6461" s="62">
        <v>31162</v>
      </c>
      <c r="B6461">
        <v>0.63790000000000002</v>
      </c>
      <c r="C6461" t="str">
        <f t="shared" si="105"/>
        <v>1985 q2</v>
      </c>
    </row>
    <row r="6462" spans="1:3">
      <c r="A6462" s="62">
        <v>31163</v>
      </c>
      <c r="B6462">
        <v>0.62980000000000003</v>
      </c>
      <c r="C6462" t="str">
        <f t="shared" si="105"/>
        <v>1985 q2</v>
      </c>
    </row>
    <row r="6463" spans="1:3">
      <c r="A6463" s="62">
        <v>31166</v>
      </c>
      <c r="B6463">
        <v>0.63549999999999995</v>
      </c>
      <c r="C6463" t="str">
        <f t="shared" si="105"/>
        <v>1985 q2</v>
      </c>
    </row>
    <row r="6464" spans="1:3">
      <c r="A6464" s="62">
        <v>31167</v>
      </c>
      <c r="B6464">
        <v>0.61709999999999998</v>
      </c>
      <c r="C6464" t="str">
        <f t="shared" si="105"/>
        <v>1985 q2</v>
      </c>
    </row>
    <row r="6465" spans="1:3">
      <c r="A6465" s="62">
        <v>31168</v>
      </c>
      <c r="B6465">
        <v>0.62250000000000005</v>
      </c>
      <c r="C6465" t="str">
        <f t="shared" si="105"/>
        <v>1985 q2</v>
      </c>
    </row>
    <row r="6466" spans="1:3">
      <c r="A6466" s="62">
        <v>31169</v>
      </c>
      <c r="B6466">
        <v>0.62749999999999995</v>
      </c>
      <c r="C6466" t="str">
        <f t="shared" si="105"/>
        <v>1985 q2</v>
      </c>
    </row>
    <row r="6467" spans="1:3">
      <c r="A6467" s="62">
        <v>31170</v>
      </c>
      <c r="B6467">
        <v>0.62</v>
      </c>
      <c r="C6467" t="str">
        <f t="shared" si="105"/>
        <v>1985 q2</v>
      </c>
    </row>
    <row r="6468" spans="1:3">
      <c r="A6468" s="62">
        <v>31173</v>
      </c>
      <c r="B6468">
        <v>0.624</v>
      </c>
      <c r="C6468" t="str">
        <f t="shared" si="105"/>
        <v>1985 q2</v>
      </c>
    </row>
    <row r="6469" spans="1:3">
      <c r="A6469" s="62">
        <v>31174</v>
      </c>
      <c r="B6469">
        <v>0.63700000000000001</v>
      </c>
      <c r="C6469" t="str">
        <f t="shared" si="105"/>
        <v>1985 q2</v>
      </c>
    </row>
    <row r="6470" spans="1:3">
      <c r="A6470" s="62">
        <v>31175</v>
      </c>
      <c r="B6470">
        <v>0.64900000000000002</v>
      </c>
      <c r="C6470" t="str">
        <f t="shared" si="105"/>
        <v>1985 q2</v>
      </c>
    </row>
    <row r="6471" spans="1:3">
      <c r="A6471" s="62">
        <v>31176</v>
      </c>
      <c r="B6471">
        <v>0.65500000000000003</v>
      </c>
      <c r="C6471" t="str">
        <f t="shared" si="105"/>
        <v>1985 q2</v>
      </c>
    </row>
    <row r="6472" spans="1:3">
      <c r="A6472" s="62">
        <v>31177</v>
      </c>
      <c r="B6472">
        <v>0.65500000000000003</v>
      </c>
      <c r="C6472" t="str">
        <f t="shared" si="105"/>
        <v>1985 q2</v>
      </c>
    </row>
    <row r="6473" spans="1:3">
      <c r="A6473" s="62">
        <v>31180</v>
      </c>
      <c r="B6473">
        <v>0.64849999999999997</v>
      </c>
      <c r="C6473" t="str">
        <f t="shared" si="105"/>
        <v>1985 q2</v>
      </c>
    </row>
    <row r="6474" spans="1:3">
      <c r="A6474" s="62">
        <v>31181</v>
      </c>
      <c r="B6474">
        <v>0.64900000000000002</v>
      </c>
      <c r="C6474" t="str">
        <f t="shared" si="105"/>
        <v>1985 q2</v>
      </c>
    </row>
    <row r="6475" spans="1:3">
      <c r="A6475" s="62">
        <v>31182</v>
      </c>
      <c r="B6475">
        <v>0.65349999999999997</v>
      </c>
      <c r="C6475" t="str">
        <f t="shared" si="105"/>
        <v>1985 q2</v>
      </c>
    </row>
    <row r="6476" spans="1:3">
      <c r="A6476" s="62">
        <v>31183</v>
      </c>
      <c r="B6476">
        <v>0.64400000000000002</v>
      </c>
      <c r="C6476" t="str">
        <f t="shared" si="105"/>
        <v>1985 q2</v>
      </c>
    </row>
    <row r="6477" spans="1:3">
      <c r="A6477" s="62">
        <v>31184</v>
      </c>
      <c r="B6477">
        <v>0.64100000000000001</v>
      </c>
      <c r="C6477" t="str">
        <f t="shared" si="105"/>
        <v>1985 q2</v>
      </c>
    </row>
    <row r="6478" spans="1:3">
      <c r="A6478" s="62">
        <v>31187</v>
      </c>
      <c r="B6478">
        <v>0.63349999999999995</v>
      </c>
      <c r="C6478" t="str">
        <f t="shared" si="105"/>
        <v>1985 q2</v>
      </c>
    </row>
    <row r="6479" spans="1:3">
      <c r="A6479" s="62">
        <v>31188</v>
      </c>
      <c r="B6479">
        <v>0.64100000000000001</v>
      </c>
      <c r="C6479" t="str">
        <f t="shared" si="105"/>
        <v>1985 q2</v>
      </c>
    </row>
    <row r="6480" spans="1:3">
      <c r="A6480" s="62">
        <v>31189</v>
      </c>
      <c r="B6480">
        <v>0.64700000000000002</v>
      </c>
      <c r="C6480" t="str">
        <f t="shared" si="105"/>
        <v>1985 q2</v>
      </c>
    </row>
    <row r="6481" spans="1:3">
      <c r="A6481" s="62">
        <v>31190</v>
      </c>
      <c r="B6481">
        <v>0.64400000000000002</v>
      </c>
      <c r="C6481" t="str">
        <f t="shared" si="105"/>
        <v>1985 q2</v>
      </c>
    </row>
    <row r="6482" spans="1:3">
      <c r="A6482" s="62">
        <v>31191</v>
      </c>
      <c r="B6482">
        <v>0.63849999999999996</v>
      </c>
      <c r="C6482" t="str">
        <f t="shared" ref="C6482:C6545" si="106">YEAR(A6482)&amp;" q"&amp;ROUNDUP(MONTH(A6482)/3,0)</f>
        <v>1985 q2</v>
      </c>
    </row>
    <row r="6483" spans="1:3">
      <c r="A6483" s="62">
        <v>31195</v>
      </c>
      <c r="B6483">
        <v>0.62050000000000005</v>
      </c>
      <c r="C6483" t="str">
        <f t="shared" si="106"/>
        <v>1985 q2</v>
      </c>
    </row>
    <row r="6484" spans="1:3">
      <c r="A6484" s="62">
        <v>31196</v>
      </c>
      <c r="B6484">
        <v>0.62549999999999994</v>
      </c>
      <c r="C6484" t="str">
        <f t="shared" si="106"/>
        <v>1985 q2</v>
      </c>
    </row>
    <row r="6485" spans="1:3">
      <c r="A6485" s="62">
        <v>31197</v>
      </c>
      <c r="B6485">
        <v>0.60750000000000004</v>
      </c>
      <c r="C6485" t="str">
        <f t="shared" si="106"/>
        <v>1985 q2</v>
      </c>
    </row>
    <row r="6486" spans="1:3">
      <c r="A6486" s="62">
        <v>31198</v>
      </c>
      <c r="B6486">
        <v>0.60650000000000004</v>
      </c>
      <c r="C6486" t="str">
        <f t="shared" si="106"/>
        <v>1985 q2</v>
      </c>
    </row>
    <row r="6487" spans="1:3">
      <c r="A6487" s="62">
        <v>31201</v>
      </c>
      <c r="B6487">
        <v>0.60150000000000003</v>
      </c>
      <c r="C6487" t="str">
        <f t="shared" si="106"/>
        <v>1985 q2</v>
      </c>
    </row>
    <row r="6488" spans="1:3">
      <c r="A6488" s="62">
        <v>31202</v>
      </c>
      <c r="B6488">
        <v>0.61099999999999999</v>
      </c>
      <c r="C6488" t="str">
        <f t="shared" si="106"/>
        <v>1985 q2</v>
      </c>
    </row>
    <row r="6489" spans="1:3">
      <c r="A6489" s="62">
        <v>31203</v>
      </c>
      <c r="B6489">
        <v>0.60499999999999998</v>
      </c>
      <c r="C6489" t="str">
        <f t="shared" si="106"/>
        <v>1985 q2</v>
      </c>
    </row>
    <row r="6490" spans="1:3">
      <c r="A6490" s="62">
        <v>31204</v>
      </c>
      <c r="B6490">
        <v>0.60650000000000004</v>
      </c>
      <c r="C6490" t="str">
        <f t="shared" si="106"/>
        <v>1985 q2</v>
      </c>
    </row>
    <row r="6491" spans="1:3">
      <c r="A6491" s="62">
        <v>31205</v>
      </c>
      <c r="B6491">
        <v>0.60699999999999998</v>
      </c>
      <c r="C6491" t="str">
        <f t="shared" si="106"/>
        <v>1985 q2</v>
      </c>
    </row>
    <row r="6492" spans="1:3">
      <c r="A6492" s="62">
        <v>31208</v>
      </c>
      <c r="B6492">
        <v>0.60499999999999998</v>
      </c>
      <c r="C6492" t="str">
        <f t="shared" si="106"/>
        <v>1985 q2</v>
      </c>
    </row>
    <row r="6493" spans="1:3">
      <c r="A6493" s="62">
        <v>31209</v>
      </c>
      <c r="B6493">
        <v>0.60799999999999998</v>
      </c>
      <c r="C6493" t="str">
        <f t="shared" si="106"/>
        <v>1985 q2</v>
      </c>
    </row>
    <row r="6494" spans="1:3">
      <c r="A6494" s="62">
        <v>31210</v>
      </c>
      <c r="B6494">
        <v>0.61050000000000004</v>
      </c>
      <c r="C6494" t="str">
        <f t="shared" si="106"/>
        <v>1985 q2</v>
      </c>
    </row>
    <row r="6495" spans="1:3">
      <c r="A6495" s="62">
        <v>31211</v>
      </c>
      <c r="B6495">
        <v>0.60350000000000004</v>
      </c>
      <c r="C6495" t="str">
        <f t="shared" si="106"/>
        <v>1985 q2</v>
      </c>
    </row>
    <row r="6496" spans="1:3">
      <c r="A6496" s="62">
        <v>31212</v>
      </c>
      <c r="B6496">
        <v>0.60699999999999998</v>
      </c>
      <c r="C6496" t="str">
        <f t="shared" si="106"/>
        <v>1985 q2</v>
      </c>
    </row>
    <row r="6497" spans="1:3">
      <c r="A6497" s="62">
        <v>31215</v>
      </c>
      <c r="B6497">
        <v>0.60799999999999998</v>
      </c>
      <c r="C6497" t="str">
        <f t="shared" si="106"/>
        <v>1985 q2</v>
      </c>
    </row>
    <row r="6498" spans="1:3">
      <c r="A6498" s="62">
        <v>31216</v>
      </c>
      <c r="B6498">
        <v>0.61899999999999999</v>
      </c>
      <c r="C6498" t="str">
        <f t="shared" si="106"/>
        <v>1985 q2</v>
      </c>
    </row>
    <row r="6499" spans="1:3">
      <c r="A6499" s="62">
        <v>31217</v>
      </c>
      <c r="B6499">
        <v>0.61099999999999999</v>
      </c>
      <c r="C6499" t="str">
        <f t="shared" si="106"/>
        <v>1985 q2</v>
      </c>
    </row>
    <row r="6500" spans="1:3">
      <c r="A6500" s="62">
        <v>31218</v>
      </c>
      <c r="B6500">
        <v>0.60299999999999998</v>
      </c>
      <c r="C6500" t="str">
        <f t="shared" si="106"/>
        <v>1985 q2</v>
      </c>
    </row>
    <row r="6501" spans="1:3">
      <c r="A6501" s="62">
        <v>31219</v>
      </c>
      <c r="B6501">
        <v>0.60550000000000004</v>
      </c>
      <c r="C6501" t="str">
        <f t="shared" si="106"/>
        <v>1985 q2</v>
      </c>
    </row>
    <row r="6502" spans="1:3">
      <c r="A6502" s="62">
        <v>31222</v>
      </c>
      <c r="B6502">
        <v>0.60350000000000004</v>
      </c>
      <c r="C6502" t="str">
        <f t="shared" si="106"/>
        <v>1985 q2</v>
      </c>
    </row>
    <row r="6503" spans="1:3">
      <c r="A6503" s="62">
        <v>31223</v>
      </c>
      <c r="B6503">
        <v>0.60029999999999994</v>
      </c>
      <c r="C6503" t="str">
        <f t="shared" si="106"/>
        <v>1985 q2</v>
      </c>
    </row>
    <row r="6504" spans="1:3">
      <c r="A6504" s="62">
        <v>31224</v>
      </c>
      <c r="B6504">
        <v>0.59009999999999996</v>
      </c>
      <c r="C6504" t="str">
        <f t="shared" si="106"/>
        <v>1985 q2</v>
      </c>
    </row>
    <row r="6505" spans="1:3">
      <c r="A6505" s="62">
        <v>31225</v>
      </c>
      <c r="B6505">
        <v>0.58579999999999999</v>
      </c>
      <c r="C6505" t="str">
        <f t="shared" si="106"/>
        <v>1985 q2</v>
      </c>
    </row>
    <row r="6506" spans="1:3">
      <c r="A6506" s="62">
        <v>31226</v>
      </c>
      <c r="B6506">
        <v>0.59350000000000003</v>
      </c>
      <c r="C6506" t="str">
        <f t="shared" si="106"/>
        <v>1985 q2</v>
      </c>
    </row>
    <row r="6507" spans="1:3">
      <c r="A6507" s="62">
        <v>31229</v>
      </c>
      <c r="B6507">
        <v>0.59</v>
      </c>
      <c r="C6507" t="str">
        <f t="shared" si="106"/>
        <v>1985 q3</v>
      </c>
    </row>
    <row r="6508" spans="1:3">
      <c r="A6508" s="62">
        <v>31230</v>
      </c>
      <c r="B6508">
        <v>0.59150000000000003</v>
      </c>
      <c r="C6508" t="str">
        <f t="shared" si="106"/>
        <v>1985 q3</v>
      </c>
    </row>
    <row r="6509" spans="1:3">
      <c r="A6509" s="62">
        <v>31231</v>
      </c>
      <c r="B6509">
        <v>0.59550000000000003</v>
      </c>
      <c r="C6509" t="str">
        <f t="shared" si="106"/>
        <v>1985 q3</v>
      </c>
    </row>
    <row r="6510" spans="1:3">
      <c r="A6510" s="62">
        <v>31236</v>
      </c>
      <c r="B6510">
        <v>0.60099999999999998</v>
      </c>
      <c r="C6510" t="str">
        <f t="shared" si="106"/>
        <v>1985 q3</v>
      </c>
    </row>
    <row r="6511" spans="1:3">
      <c r="A6511" s="62">
        <v>31237</v>
      </c>
      <c r="B6511">
        <v>0.60099999999999998</v>
      </c>
      <c r="C6511" t="str">
        <f t="shared" si="106"/>
        <v>1985 q3</v>
      </c>
    </row>
    <row r="6512" spans="1:3">
      <c r="A6512" s="62">
        <v>31238</v>
      </c>
      <c r="B6512">
        <v>0.60699999999999998</v>
      </c>
      <c r="C6512" t="str">
        <f t="shared" si="106"/>
        <v>1985 q3</v>
      </c>
    </row>
    <row r="6513" spans="1:3">
      <c r="A6513" s="62">
        <v>31239</v>
      </c>
      <c r="B6513">
        <v>0.60799999999999998</v>
      </c>
      <c r="C6513" t="str">
        <f t="shared" si="106"/>
        <v>1985 q3</v>
      </c>
    </row>
    <row r="6514" spans="1:3">
      <c r="A6514" s="62">
        <v>31240</v>
      </c>
      <c r="B6514">
        <v>0.60299999999999998</v>
      </c>
      <c r="C6514" t="str">
        <f t="shared" si="106"/>
        <v>1985 q3</v>
      </c>
    </row>
    <row r="6515" spans="1:3">
      <c r="A6515" s="62">
        <v>31243</v>
      </c>
      <c r="B6515">
        <v>0.60950000000000004</v>
      </c>
      <c r="C6515" t="str">
        <f t="shared" si="106"/>
        <v>1985 q3</v>
      </c>
    </row>
    <row r="6516" spans="1:3">
      <c r="A6516" s="62">
        <v>31244</v>
      </c>
      <c r="B6516">
        <v>0.61550000000000005</v>
      </c>
      <c r="C6516" t="str">
        <f t="shared" si="106"/>
        <v>1985 q3</v>
      </c>
    </row>
    <row r="6517" spans="1:3">
      <c r="A6517" s="62">
        <v>31245</v>
      </c>
      <c r="B6517">
        <v>0.62949999999999995</v>
      </c>
      <c r="C6517" t="str">
        <f t="shared" si="106"/>
        <v>1985 q3</v>
      </c>
    </row>
    <row r="6518" spans="1:3">
      <c r="A6518" s="62">
        <v>31246</v>
      </c>
      <c r="B6518">
        <v>0.625</v>
      </c>
      <c r="C6518" t="str">
        <f t="shared" si="106"/>
        <v>1985 q3</v>
      </c>
    </row>
    <row r="6519" spans="1:3">
      <c r="A6519" s="62">
        <v>31247</v>
      </c>
      <c r="B6519">
        <v>0.63600000000000001</v>
      </c>
      <c r="C6519" t="str">
        <f t="shared" si="106"/>
        <v>1985 q3</v>
      </c>
    </row>
    <row r="6520" spans="1:3">
      <c r="A6520" s="62">
        <v>31250</v>
      </c>
      <c r="B6520">
        <v>0.627</v>
      </c>
      <c r="C6520" t="str">
        <f t="shared" si="106"/>
        <v>1985 q3</v>
      </c>
    </row>
    <row r="6521" spans="1:3">
      <c r="A6521" s="62">
        <v>31251</v>
      </c>
      <c r="B6521">
        <v>0.625</v>
      </c>
      <c r="C6521" t="str">
        <f t="shared" si="106"/>
        <v>1985 q3</v>
      </c>
    </row>
    <row r="6522" spans="1:3">
      <c r="A6522" s="62">
        <v>31252</v>
      </c>
      <c r="B6522">
        <v>0.625</v>
      </c>
      <c r="C6522" t="str">
        <f t="shared" si="106"/>
        <v>1985 q3</v>
      </c>
    </row>
    <row r="6523" spans="1:3">
      <c r="A6523" s="62">
        <v>31253</v>
      </c>
      <c r="B6523">
        <v>0.629</v>
      </c>
      <c r="C6523" t="str">
        <f t="shared" si="106"/>
        <v>1985 q3</v>
      </c>
    </row>
    <row r="6524" spans="1:3">
      <c r="A6524" s="62">
        <v>31254</v>
      </c>
      <c r="B6524">
        <v>0.628</v>
      </c>
      <c r="C6524" t="str">
        <f t="shared" si="106"/>
        <v>1985 q3</v>
      </c>
    </row>
    <row r="6525" spans="1:3">
      <c r="A6525" s="62">
        <v>31257</v>
      </c>
      <c r="B6525">
        <v>0.624</v>
      </c>
      <c r="C6525" t="str">
        <f t="shared" si="106"/>
        <v>1985 q3</v>
      </c>
    </row>
    <row r="6526" spans="1:3">
      <c r="A6526" s="62">
        <v>31258</v>
      </c>
      <c r="B6526">
        <v>0.61250000000000004</v>
      </c>
      <c r="C6526" t="str">
        <f t="shared" si="106"/>
        <v>1985 q3</v>
      </c>
    </row>
    <row r="6527" spans="1:3">
      <c r="A6527" s="62">
        <v>31259</v>
      </c>
      <c r="B6527">
        <v>0.61099999999999999</v>
      </c>
      <c r="C6527" t="str">
        <f t="shared" si="106"/>
        <v>1985 q3</v>
      </c>
    </row>
    <row r="6528" spans="1:3">
      <c r="A6528" s="62">
        <v>31260</v>
      </c>
      <c r="B6528">
        <v>0.61199999999999999</v>
      </c>
      <c r="C6528" t="str">
        <f t="shared" si="106"/>
        <v>1985 q3</v>
      </c>
    </row>
    <row r="6529" spans="1:3">
      <c r="A6529" s="62">
        <v>31261</v>
      </c>
      <c r="B6529">
        <v>0.61550000000000005</v>
      </c>
      <c r="C6529" t="str">
        <f t="shared" si="106"/>
        <v>1985 q3</v>
      </c>
    </row>
    <row r="6530" spans="1:3">
      <c r="A6530" s="62">
        <v>31264</v>
      </c>
      <c r="B6530">
        <v>0.60299999999999998</v>
      </c>
      <c r="C6530" t="str">
        <f t="shared" si="106"/>
        <v>1985 q3</v>
      </c>
    </row>
    <row r="6531" spans="1:3">
      <c r="A6531" s="62">
        <v>31265</v>
      </c>
      <c r="B6531">
        <v>0.60450000000000004</v>
      </c>
      <c r="C6531" t="str">
        <f t="shared" si="106"/>
        <v>1985 q3</v>
      </c>
    </row>
    <row r="6532" spans="1:3">
      <c r="A6532" s="62">
        <v>31266</v>
      </c>
      <c r="B6532">
        <v>0.60550000000000004</v>
      </c>
      <c r="C6532" t="str">
        <f t="shared" si="106"/>
        <v>1985 q3</v>
      </c>
    </row>
    <row r="6533" spans="1:3">
      <c r="A6533" s="62">
        <v>31267</v>
      </c>
      <c r="B6533">
        <v>0.60599999999999998</v>
      </c>
      <c r="C6533" t="str">
        <f t="shared" si="106"/>
        <v>1985 q3</v>
      </c>
    </row>
    <row r="6534" spans="1:3">
      <c r="A6534" s="62">
        <v>31268</v>
      </c>
      <c r="B6534">
        <v>0.60799999999999998</v>
      </c>
      <c r="C6534" t="str">
        <f t="shared" si="106"/>
        <v>1985 q3</v>
      </c>
    </row>
    <row r="6535" spans="1:3">
      <c r="A6535" s="62">
        <v>31271</v>
      </c>
      <c r="B6535">
        <v>0.60450000000000004</v>
      </c>
      <c r="C6535" t="str">
        <f t="shared" si="106"/>
        <v>1985 q3</v>
      </c>
    </row>
    <row r="6536" spans="1:3">
      <c r="A6536" s="62">
        <v>31272</v>
      </c>
      <c r="B6536">
        <v>0.60799999999999998</v>
      </c>
      <c r="C6536" t="str">
        <f t="shared" si="106"/>
        <v>1985 q3</v>
      </c>
    </row>
    <row r="6537" spans="1:3">
      <c r="A6537" s="62">
        <v>31273</v>
      </c>
      <c r="B6537">
        <v>0.61550000000000005</v>
      </c>
      <c r="C6537" t="str">
        <f t="shared" si="106"/>
        <v>1985 q3</v>
      </c>
    </row>
    <row r="6538" spans="1:3">
      <c r="A6538" s="62">
        <v>31274</v>
      </c>
      <c r="B6538">
        <v>0.61550000000000005</v>
      </c>
      <c r="C6538" t="str">
        <f t="shared" si="106"/>
        <v>1985 q3</v>
      </c>
    </row>
    <row r="6539" spans="1:3">
      <c r="A6539" s="62">
        <v>31275</v>
      </c>
      <c r="B6539">
        <v>0.61499999999999999</v>
      </c>
      <c r="C6539" t="str">
        <f t="shared" si="106"/>
        <v>1985 q3</v>
      </c>
    </row>
    <row r="6540" spans="1:3">
      <c r="A6540" s="62">
        <v>31278</v>
      </c>
      <c r="B6540">
        <v>0.59899999999999998</v>
      </c>
      <c r="C6540" t="str">
        <f t="shared" si="106"/>
        <v>1985 q3</v>
      </c>
    </row>
    <row r="6541" spans="1:3">
      <c r="A6541" s="62">
        <v>31279</v>
      </c>
      <c r="B6541">
        <v>0.59699999999999998</v>
      </c>
      <c r="C6541" t="str">
        <f t="shared" si="106"/>
        <v>1985 q3</v>
      </c>
    </row>
    <row r="6542" spans="1:3">
      <c r="A6542" s="62">
        <v>31280</v>
      </c>
      <c r="B6542">
        <v>0.6</v>
      </c>
      <c r="C6542" t="str">
        <f t="shared" si="106"/>
        <v>1985 q3</v>
      </c>
    </row>
    <row r="6543" spans="1:3">
      <c r="A6543" s="62">
        <v>31281</v>
      </c>
      <c r="B6543">
        <v>0.59299999999999997</v>
      </c>
      <c r="C6543" t="str">
        <f t="shared" si="106"/>
        <v>1985 q3</v>
      </c>
    </row>
    <row r="6544" spans="1:3">
      <c r="A6544" s="62">
        <v>31282</v>
      </c>
      <c r="B6544">
        <v>0.59</v>
      </c>
      <c r="C6544" t="str">
        <f t="shared" si="106"/>
        <v>1985 q3</v>
      </c>
    </row>
    <row r="6545" spans="1:3">
      <c r="A6545" s="62">
        <v>31285</v>
      </c>
      <c r="B6545">
        <v>0.58799999999999997</v>
      </c>
      <c r="C6545" t="str">
        <f t="shared" si="106"/>
        <v>1985 q3</v>
      </c>
    </row>
    <row r="6546" spans="1:3">
      <c r="A6546" s="62">
        <v>31286</v>
      </c>
      <c r="B6546">
        <v>0.59119999999999995</v>
      </c>
      <c r="C6546" t="str">
        <f t="shared" ref="C6546:C6609" si="107">YEAR(A6546)&amp;" q"&amp;ROUNDUP(MONTH(A6546)/3,0)</f>
        <v>1985 q3</v>
      </c>
    </row>
    <row r="6547" spans="1:3">
      <c r="A6547" s="62">
        <v>31287</v>
      </c>
      <c r="B6547">
        <v>0.60540000000000005</v>
      </c>
      <c r="C6547" t="str">
        <f t="shared" si="107"/>
        <v>1985 q3</v>
      </c>
    </row>
    <row r="6548" spans="1:3">
      <c r="A6548" s="62">
        <v>31288</v>
      </c>
      <c r="B6548">
        <v>0.61280000000000001</v>
      </c>
      <c r="C6548" t="str">
        <f t="shared" si="107"/>
        <v>1985 q3</v>
      </c>
    </row>
    <row r="6549" spans="1:3">
      <c r="A6549" s="62">
        <v>31289</v>
      </c>
      <c r="B6549">
        <v>0.61680000000000001</v>
      </c>
      <c r="C6549" t="str">
        <f t="shared" si="107"/>
        <v>1985 q3</v>
      </c>
    </row>
    <row r="6550" spans="1:3">
      <c r="A6550" s="62">
        <v>31293</v>
      </c>
      <c r="B6550">
        <v>0.61599999999999999</v>
      </c>
      <c r="C6550" t="str">
        <f t="shared" si="107"/>
        <v>1985 q3</v>
      </c>
    </row>
    <row r="6551" spans="1:3">
      <c r="A6551" s="62">
        <v>31294</v>
      </c>
      <c r="B6551">
        <v>0.61799999999999999</v>
      </c>
      <c r="C6551" t="str">
        <f t="shared" si="107"/>
        <v>1985 q3</v>
      </c>
    </row>
    <row r="6552" spans="1:3">
      <c r="A6552" s="62">
        <v>31295</v>
      </c>
      <c r="B6552">
        <v>0.61750000000000005</v>
      </c>
      <c r="C6552" t="str">
        <f t="shared" si="107"/>
        <v>1985 q3</v>
      </c>
    </row>
    <row r="6553" spans="1:3">
      <c r="A6553" s="62">
        <v>31296</v>
      </c>
      <c r="B6553">
        <v>0.61750000000000005</v>
      </c>
      <c r="C6553" t="str">
        <f t="shared" si="107"/>
        <v>1985 q3</v>
      </c>
    </row>
    <row r="6554" spans="1:3">
      <c r="A6554" s="62">
        <v>31299</v>
      </c>
      <c r="B6554">
        <v>0.60599999999999998</v>
      </c>
      <c r="C6554" t="str">
        <f t="shared" si="107"/>
        <v>1985 q3</v>
      </c>
    </row>
    <row r="6555" spans="1:3">
      <c r="A6555" s="62">
        <v>31300</v>
      </c>
      <c r="B6555">
        <v>0.60450000000000004</v>
      </c>
      <c r="C6555" t="str">
        <f t="shared" si="107"/>
        <v>1985 q3</v>
      </c>
    </row>
    <row r="6556" spans="1:3">
      <c r="A6556" s="62">
        <v>31301</v>
      </c>
      <c r="B6556">
        <v>0.60650000000000004</v>
      </c>
      <c r="C6556" t="str">
        <f t="shared" si="107"/>
        <v>1985 q3</v>
      </c>
    </row>
    <row r="6557" spans="1:3">
      <c r="A6557" s="62">
        <v>31302</v>
      </c>
      <c r="B6557">
        <v>0.60599999999999998</v>
      </c>
      <c r="C6557" t="str">
        <f t="shared" si="107"/>
        <v>1985 q3</v>
      </c>
    </row>
    <row r="6558" spans="1:3">
      <c r="A6558" s="62">
        <v>31303</v>
      </c>
      <c r="B6558">
        <v>0.60750000000000004</v>
      </c>
      <c r="C6558" t="str">
        <f t="shared" si="107"/>
        <v>1985 q3</v>
      </c>
    </row>
    <row r="6559" spans="1:3">
      <c r="A6559" s="62">
        <v>31306</v>
      </c>
      <c r="B6559">
        <v>0.60850000000000004</v>
      </c>
      <c r="C6559" t="str">
        <f t="shared" si="107"/>
        <v>1985 q3</v>
      </c>
    </row>
    <row r="6560" spans="1:3">
      <c r="A6560" s="62">
        <v>31307</v>
      </c>
      <c r="B6560">
        <v>0.60699999999999998</v>
      </c>
      <c r="C6560" t="str">
        <f t="shared" si="107"/>
        <v>1985 q3</v>
      </c>
    </row>
    <row r="6561" spans="1:3">
      <c r="A6561" s="62">
        <v>31308</v>
      </c>
      <c r="B6561">
        <v>0.59450000000000003</v>
      </c>
      <c r="C6561" t="str">
        <f t="shared" si="107"/>
        <v>1985 q3</v>
      </c>
    </row>
    <row r="6562" spans="1:3">
      <c r="A6562" s="62">
        <v>31309</v>
      </c>
      <c r="B6562">
        <v>0.59099999999999997</v>
      </c>
      <c r="C6562" t="str">
        <f t="shared" si="107"/>
        <v>1985 q3</v>
      </c>
    </row>
    <row r="6563" spans="1:3">
      <c r="A6563" s="62">
        <v>31310</v>
      </c>
      <c r="B6563">
        <v>0.58750000000000002</v>
      </c>
      <c r="C6563" t="str">
        <f t="shared" si="107"/>
        <v>1985 q3</v>
      </c>
    </row>
    <row r="6564" spans="1:3">
      <c r="A6564" s="62">
        <v>31313</v>
      </c>
      <c r="B6564">
        <v>0.59599999999999997</v>
      </c>
      <c r="C6564" t="str">
        <f t="shared" si="107"/>
        <v>1985 q3</v>
      </c>
    </row>
    <row r="6565" spans="1:3">
      <c r="A6565" s="62">
        <v>31314</v>
      </c>
      <c r="B6565">
        <v>0.60750000000000004</v>
      </c>
      <c r="C6565" t="str">
        <f t="shared" si="107"/>
        <v>1985 q3</v>
      </c>
    </row>
    <row r="6566" spans="1:3">
      <c r="A6566" s="62">
        <v>31315</v>
      </c>
      <c r="B6566">
        <v>0.60499999999999998</v>
      </c>
      <c r="C6566" t="str">
        <f t="shared" si="107"/>
        <v>1985 q3</v>
      </c>
    </row>
    <row r="6567" spans="1:3">
      <c r="A6567" s="62">
        <v>31316</v>
      </c>
      <c r="B6567">
        <v>0.59699999999999998</v>
      </c>
      <c r="C6567" t="str">
        <f t="shared" si="107"/>
        <v>1985 q3</v>
      </c>
    </row>
    <row r="6568" spans="1:3">
      <c r="A6568" s="62">
        <v>31317</v>
      </c>
      <c r="B6568">
        <v>0.59499999999999997</v>
      </c>
      <c r="C6568" t="str">
        <f t="shared" si="107"/>
        <v>1985 q3</v>
      </c>
    </row>
    <row r="6569" spans="1:3">
      <c r="A6569" s="62">
        <v>31320</v>
      </c>
      <c r="B6569">
        <v>0.59350000000000003</v>
      </c>
      <c r="C6569" t="str">
        <f t="shared" si="107"/>
        <v>1985 q3</v>
      </c>
    </row>
    <row r="6570" spans="1:3">
      <c r="A6570" s="62">
        <v>31321</v>
      </c>
      <c r="B6570">
        <v>0.60599999999999998</v>
      </c>
      <c r="C6570" t="str">
        <f t="shared" si="107"/>
        <v>1985 q4</v>
      </c>
    </row>
    <row r="6571" spans="1:3">
      <c r="A6571" s="62">
        <v>31322</v>
      </c>
      <c r="B6571">
        <v>0.61650000000000005</v>
      </c>
      <c r="C6571" t="str">
        <f t="shared" si="107"/>
        <v>1985 q4</v>
      </c>
    </row>
    <row r="6572" spans="1:3">
      <c r="A6572" s="62">
        <v>31323</v>
      </c>
      <c r="B6572">
        <v>0.61499999999999999</v>
      </c>
      <c r="C6572" t="str">
        <f t="shared" si="107"/>
        <v>1985 q4</v>
      </c>
    </row>
    <row r="6573" spans="1:3">
      <c r="A6573" s="62">
        <v>31324</v>
      </c>
      <c r="B6573">
        <v>0.61899999999999999</v>
      </c>
      <c r="C6573" t="str">
        <f t="shared" si="107"/>
        <v>1985 q4</v>
      </c>
    </row>
    <row r="6574" spans="1:3">
      <c r="A6574" s="62">
        <v>31327</v>
      </c>
      <c r="B6574">
        <v>0.626</v>
      </c>
      <c r="C6574" t="str">
        <f t="shared" si="107"/>
        <v>1985 q4</v>
      </c>
    </row>
    <row r="6575" spans="1:3">
      <c r="A6575" s="62">
        <v>31328</v>
      </c>
      <c r="B6575">
        <v>0.623</v>
      </c>
      <c r="C6575" t="str">
        <f t="shared" si="107"/>
        <v>1985 q4</v>
      </c>
    </row>
    <row r="6576" spans="1:3">
      <c r="A6576" s="62">
        <v>31329</v>
      </c>
      <c r="B6576">
        <v>0.62</v>
      </c>
      <c r="C6576" t="str">
        <f t="shared" si="107"/>
        <v>1985 q4</v>
      </c>
    </row>
    <row r="6577" spans="1:3">
      <c r="A6577" s="62">
        <v>31330</v>
      </c>
      <c r="B6577">
        <v>0.61450000000000005</v>
      </c>
      <c r="C6577" t="str">
        <f t="shared" si="107"/>
        <v>1985 q4</v>
      </c>
    </row>
    <row r="6578" spans="1:3">
      <c r="A6578" s="62">
        <v>31331</v>
      </c>
      <c r="B6578">
        <v>0.61650000000000005</v>
      </c>
      <c r="C6578" t="str">
        <f t="shared" si="107"/>
        <v>1985 q4</v>
      </c>
    </row>
    <row r="6579" spans="1:3">
      <c r="A6579" s="62">
        <v>31334</v>
      </c>
      <c r="B6579">
        <v>0.61599999999999999</v>
      </c>
      <c r="C6579" t="str">
        <f t="shared" si="107"/>
        <v>1985 q4</v>
      </c>
    </row>
    <row r="6580" spans="1:3">
      <c r="A6580" s="62">
        <v>31335</v>
      </c>
      <c r="B6580">
        <v>0.61</v>
      </c>
      <c r="C6580" t="str">
        <f t="shared" si="107"/>
        <v>1985 q4</v>
      </c>
    </row>
    <row r="6581" spans="1:3">
      <c r="A6581" s="62">
        <v>31336</v>
      </c>
      <c r="B6581">
        <v>0.60250000000000004</v>
      </c>
      <c r="C6581" t="str">
        <f t="shared" si="107"/>
        <v>1985 q4</v>
      </c>
    </row>
    <row r="6582" spans="1:3">
      <c r="A6582" s="62">
        <v>31337</v>
      </c>
      <c r="B6582">
        <v>0.60850000000000004</v>
      </c>
      <c r="C6582" t="str">
        <f t="shared" si="107"/>
        <v>1985 q4</v>
      </c>
    </row>
    <row r="6583" spans="1:3">
      <c r="A6583" s="62">
        <v>31338</v>
      </c>
      <c r="B6583">
        <v>0.61950000000000005</v>
      </c>
      <c r="C6583" t="str">
        <f t="shared" si="107"/>
        <v>1985 q4</v>
      </c>
    </row>
    <row r="6584" spans="1:3">
      <c r="A6584" s="62">
        <v>31341</v>
      </c>
      <c r="B6584">
        <v>0.61550000000000005</v>
      </c>
      <c r="C6584" t="str">
        <f t="shared" si="107"/>
        <v>1985 q4</v>
      </c>
    </row>
    <row r="6585" spans="1:3">
      <c r="A6585" s="62">
        <v>31342</v>
      </c>
      <c r="B6585">
        <v>0.61850000000000005</v>
      </c>
      <c r="C6585" t="str">
        <f t="shared" si="107"/>
        <v>1985 q4</v>
      </c>
    </row>
    <row r="6586" spans="1:3">
      <c r="A6586" s="62">
        <v>31343</v>
      </c>
      <c r="B6586">
        <v>0.629</v>
      </c>
      <c r="C6586" t="str">
        <f t="shared" si="107"/>
        <v>1985 q4</v>
      </c>
    </row>
    <row r="6587" spans="1:3">
      <c r="A6587" s="62">
        <v>31344</v>
      </c>
      <c r="B6587">
        <v>0.62450000000000006</v>
      </c>
      <c r="C6587" t="str">
        <f t="shared" si="107"/>
        <v>1985 q4</v>
      </c>
    </row>
    <row r="6588" spans="1:3">
      <c r="A6588" s="62">
        <v>31345</v>
      </c>
      <c r="B6588">
        <v>0.62150000000000005</v>
      </c>
      <c r="C6588" t="str">
        <f t="shared" si="107"/>
        <v>1985 q4</v>
      </c>
    </row>
    <row r="6589" spans="1:3">
      <c r="A6589" s="62">
        <v>31348</v>
      </c>
      <c r="B6589">
        <v>0.61299999999999999</v>
      </c>
      <c r="C6589" t="str">
        <f t="shared" si="107"/>
        <v>1985 q4</v>
      </c>
    </row>
    <row r="6590" spans="1:3">
      <c r="A6590" s="62">
        <v>31349</v>
      </c>
      <c r="B6590">
        <v>0.622</v>
      </c>
      <c r="C6590" t="str">
        <f t="shared" si="107"/>
        <v>1985 q4</v>
      </c>
    </row>
    <row r="6591" spans="1:3">
      <c r="A6591" s="62">
        <v>31350</v>
      </c>
      <c r="B6591">
        <v>0.61399999999999999</v>
      </c>
      <c r="C6591" t="str">
        <f t="shared" si="107"/>
        <v>1985 q4</v>
      </c>
    </row>
    <row r="6592" spans="1:3">
      <c r="A6592" s="62">
        <v>31351</v>
      </c>
      <c r="B6592">
        <v>0.60250000000000004</v>
      </c>
      <c r="C6592" t="str">
        <f t="shared" si="107"/>
        <v>1985 q4</v>
      </c>
    </row>
    <row r="6593" spans="1:3">
      <c r="A6593" s="62">
        <v>31352</v>
      </c>
      <c r="B6593">
        <v>0.60599999999999998</v>
      </c>
      <c r="C6593" t="str">
        <f t="shared" si="107"/>
        <v>1985 q4</v>
      </c>
    </row>
    <row r="6594" spans="1:3">
      <c r="A6594" s="62">
        <v>31355</v>
      </c>
      <c r="B6594">
        <v>0.60850000000000004</v>
      </c>
      <c r="C6594" t="str">
        <f t="shared" si="107"/>
        <v>1985 q4</v>
      </c>
    </row>
    <row r="6595" spans="1:3">
      <c r="A6595" s="62">
        <v>31356</v>
      </c>
      <c r="B6595">
        <v>0.60950000000000004</v>
      </c>
      <c r="C6595" t="str">
        <f t="shared" si="107"/>
        <v>1985 q4</v>
      </c>
    </row>
    <row r="6596" spans="1:3">
      <c r="A6596" s="62">
        <v>31357</v>
      </c>
      <c r="B6596">
        <v>0.61399999999999999</v>
      </c>
      <c r="C6596" t="str">
        <f t="shared" si="107"/>
        <v>1985 q4</v>
      </c>
    </row>
    <row r="6597" spans="1:3">
      <c r="A6597" s="62">
        <v>31358</v>
      </c>
      <c r="B6597">
        <v>0.60299999999999998</v>
      </c>
      <c r="C6597" t="str">
        <f t="shared" si="107"/>
        <v>1985 q4</v>
      </c>
    </row>
    <row r="6598" spans="1:3">
      <c r="A6598" s="62">
        <v>31359</v>
      </c>
      <c r="B6598">
        <v>0.61499999999999999</v>
      </c>
      <c r="C6598" t="str">
        <f t="shared" si="107"/>
        <v>1985 q4</v>
      </c>
    </row>
    <row r="6599" spans="1:3">
      <c r="A6599" s="62">
        <v>31362</v>
      </c>
      <c r="B6599">
        <v>0.60799999999999998</v>
      </c>
      <c r="C6599" t="str">
        <f t="shared" si="107"/>
        <v>1985 q4</v>
      </c>
    </row>
    <row r="6600" spans="1:3">
      <c r="A6600" s="62">
        <v>31363</v>
      </c>
      <c r="B6600">
        <v>0.61199999999999999</v>
      </c>
      <c r="C6600" t="str">
        <f t="shared" si="107"/>
        <v>1985 q4</v>
      </c>
    </row>
    <row r="6601" spans="1:3">
      <c r="A6601" s="62">
        <v>31364</v>
      </c>
      <c r="B6601">
        <v>0.61450000000000005</v>
      </c>
      <c r="C6601" t="str">
        <f t="shared" si="107"/>
        <v>1985 q4</v>
      </c>
    </row>
    <row r="6602" spans="1:3">
      <c r="A6602" s="62">
        <v>31365</v>
      </c>
      <c r="B6602">
        <v>0.61350000000000005</v>
      </c>
      <c r="C6602" t="str">
        <f t="shared" si="107"/>
        <v>1985 q4</v>
      </c>
    </row>
    <row r="6603" spans="1:3">
      <c r="A6603" s="62">
        <v>31366</v>
      </c>
      <c r="B6603">
        <v>0.61150000000000004</v>
      </c>
      <c r="C6603" t="str">
        <f t="shared" si="107"/>
        <v>1985 q4</v>
      </c>
    </row>
    <row r="6604" spans="1:3">
      <c r="A6604" s="62">
        <v>31369</v>
      </c>
      <c r="B6604">
        <v>0.60699999999999998</v>
      </c>
      <c r="C6604" t="str">
        <f t="shared" si="107"/>
        <v>1985 q4</v>
      </c>
    </row>
    <row r="6605" spans="1:3">
      <c r="A6605" s="62">
        <v>31370</v>
      </c>
      <c r="B6605">
        <v>0.59799999999999998</v>
      </c>
      <c r="C6605" t="str">
        <f t="shared" si="107"/>
        <v>1985 q4</v>
      </c>
    </row>
    <row r="6606" spans="1:3">
      <c r="A6606" s="62">
        <v>31371</v>
      </c>
      <c r="B6606">
        <v>0.59699999999999998</v>
      </c>
      <c r="C6606" t="str">
        <f t="shared" si="107"/>
        <v>1985 q4</v>
      </c>
    </row>
    <row r="6607" spans="1:3">
      <c r="A6607" s="62">
        <v>31372</v>
      </c>
      <c r="B6607">
        <v>0.59850000000000003</v>
      </c>
      <c r="C6607" t="str">
        <f t="shared" si="107"/>
        <v>1985 q4</v>
      </c>
    </row>
    <row r="6608" spans="1:3">
      <c r="A6608" s="62">
        <v>31373</v>
      </c>
      <c r="B6608">
        <v>0.61199999999999999</v>
      </c>
      <c r="C6608" t="str">
        <f t="shared" si="107"/>
        <v>1985 q4</v>
      </c>
    </row>
    <row r="6609" spans="1:3">
      <c r="A6609" s="62">
        <v>31376</v>
      </c>
      <c r="B6609">
        <v>0.61209999999999998</v>
      </c>
      <c r="C6609" t="str">
        <f t="shared" si="107"/>
        <v>1985 q4</v>
      </c>
    </row>
    <row r="6610" spans="1:3">
      <c r="A6610" s="62">
        <v>31377</v>
      </c>
      <c r="B6610">
        <v>0.60870000000000002</v>
      </c>
      <c r="C6610" t="str">
        <f t="shared" ref="C6610:C6673" si="108">YEAR(A6610)&amp;" q"&amp;ROUNDUP(MONTH(A6610)/3,0)</f>
        <v>1985 q4</v>
      </c>
    </row>
    <row r="6611" spans="1:3">
      <c r="A6611" s="62">
        <v>31378</v>
      </c>
      <c r="B6611">
        <v>0.61450000000000005</v>
      </c>
      <c r="C6611" t="str">
        <f t="shared" si="108"/>
        <v>1985 q4</v>
      </c>
    </row>
    <row r="6612" spans="1:3">
      <c r="A6612" s="62">
        <v>31380</v>
      </c>
      <c r="B6612">
        <v>0.61399999999999999</v>
      </c>
      <c r="C6612" t="str">
        <f t="shared" si="108"/>
        <v>1985 q4</v>
      </c>
    </row>
    <row r="6613" spans="1:3">
      <c r="A6613" s="62">
        <v>31383</v>
      </c>
      <c r="B6613">
        <v>0.61399999999999999</v>
      </c>
      <c r="C6613" t="str">
        <f t="shared" si="108"/>
        <v>1985 q4</v>
      </c>
    </row>
    <row r="6614" spans="1:3">
      <c r="A6614" s="62">
        <v>31384</v>
      </c>
      <c r="B6614">
        <v>0.61150000000000004</v>
      </c>
      <c r="C6614" t="str">
        <f t="shared" si="108"/>
        <v>1985 q4</v>
      </c>
    </row>
    <row r="6615" spans="1:3">
      <c r="A6615" s="62">
        <v>31385</v>
      </c>
      <c r="B6615">
        <v>0.623</v>
      </c>
      <c r="C6615" t="str">
        <f t="shared" si="108"/>
        <v>1985 q4</v>
      </c>
    </row>
    <row r="6616" spans="1:3">
      <c r="A6616" s="62">
        <v>31386</v>
      </c>
      <c r="B6616">
        <v>0.63500000000000001</v>
      </c>
      <c r="C6616" t="str">
        <f t="shared" si="108"/>
        <v>1985 q4</v>
      </c>
    </row>
    <row r="6617" spans="1:3">
      <c r="A6617" s="62">
        <v>31387</v>
      </c>
      <c r="B6617">
        <v>0.64049999999999996</v>
      </c>
      <c r="C6617" t="str">
        <f t="shared" si="108"/>
        <v>1985 q4</v>
      </c>
    </row>
    <row r="6618" spans="1:3">
      <c r="A6618" s="62">
        <v>31390</v>
      </c>
      <c r="B6618">
        <v>0.63649999999999995</v>
      </c>
      <c r="C6618" t="str">
        <f t="shared" si="108"/>
        <v>1985 q4</v>
      </c>
    </row>
    <row r="6619" spans="1:3">
      <c r="A6619" s="62">
        <v>31391</v>
      </c>
      <c r="B6619">
        <v>0.63649999999999995</v>
      </c>
      <c r="C6619" t="str">
        <f t="shared" si="108"/>
        <v>1985 q4</v>
      </c>
    </row>
    <row r="6620" spans="1:3">
      <c r="A6620" s="62">
        <v>31392</v>
      </c>
      <c r="B6620">
        <v>0.64249999999999996</v>
      </c>
      <c r="C6620" t="str">
        <f t="shared" si="108"/>
        <v>1985 q4</v>
      </c>
    </row>
    <row r="6621" spans="1:3">
      <c r="A6621" s="62">
        <v>31393</v>
      </c>
      <c r="B6621">
        <v>0.63500000000000001</v>
      </c>
      <c r="C6621" t="str">
        <f t="shared" si="108"/>
        <v>1985 q4</v>
      </c>
    </row>
    <row r="6622" spans="1:3">
      <c r="A6622" s="62">
        <v>31394</v>
      </c>
      <c r="B6622">
        <v>0.63800000000000001</v>
      </c>
      <c r="C6622" t="str">
        <f t="shared" si="108"/>
        <v>1985 q4</v>
      </c>
    </row>
    <row r="6623" spans="1:3">
      <c r="A6623" s="62">
        <v>31397</v>
      </c>
      <c r="B6623">
        <v>0.64549999999999996</v>
      </c>
      <c r="C6623" t="str">
        <f t="shared" si="108"/>
        <v>1985 q4</v>
      </c>
    </row>
    <row r="6624" spans="1:3">
      <c r="A6624" s="62">
        <v>31398</v>
      </c>
      <c r="B6624">
        <v>0.63700000000000001</v>
      </c>
      <c r="C6624" t="str">
        <f t="shared" si="108"/>
        <v>1985 q4</v>
      </c>
    </row>
    <row r="6625" spans="1:3">
      <c r="A6625" s="62">
        <v>31399</v>
      </c>
      <c r="B6625">
        <v>0.629</v>
      </c>
      <c r="C6625" t="str">
        <f t="shared" si="108"/>
        <v>1985 q4</v>
      </c>
    </row>
    <row r="6626" spans="1:3">
      <c r="A6626" s="62">
        <v>31400</v>
      </c>
      <c r="B6626">
        <v>0.63400000000000001</v>
      </c>
      <c r="C6626" t="str">
        <f t="shared" si="108"/>
        <v>1985 q4</v>
      </c>
    </row>
    <row r="6627" spans="1:3">
      <c r="A6627" s="62">
        <v>31401</v>
      </c>
      <c r="B6627">
        <v>0.63149999999999995</v>
      </c>
      <c r="C6627" t="str">
        <f t="shared" si="108"/>
        <v>1985 q4</v>
      </c>
    </row>
    <row r="6628" spans="1:3">
      <c r="A6628" s="62">
        <v>31404</v>
      </c>
      <c r="B6628">
        <v>0.625</v>
      </c>
      <c r="C6628" t="str">
        <f t="shared" si="108"/>
        <v>1985 q4</v>
      </c>
    </row>
    <row r="6629" spans="1:3">
      <c r="A6629" s="62">
        <v>31405</v>
      </c>
      <c r="B6629">
        <v>0.63200000000000001</v>
      </c>
      <c r="C6629" t="str">
        <f t="shared" si="108"/>
        <v>1985 q4</v>
      </c>
    </row>
    <row r="6630" spans="1:3">
      <c r="A6630" s="62">
        <v>31407</v>
      </c>
      <c r="B6630">
        <v>0.6391</v>
      </c>
      <c r="C6630" t="str">
        <f t="shared" si="108"/>
        <v>1985 q4</v>
      </c>
    </row>
    <row r="6631" spans="1:3">
      <c r="A6631" s="62">
        <v>31408</v>
      </c>
      <c r="B6631">
        <v>0.63770000000000004</v>
      </c>
      <c r="C6631" t="str">
        <f t="shared" si="108"/>
        <v>1985 q4</v>
      </c>
    </row>
    <row r="6632" spans="1:3">
      <c r="A6632" s="62">
        <v>31411</v>
      </c>
      <c r="B6632">
        <v>0.63590000000000002</v>
      </c>
      <c r="C6632" t="str">
        <f t="shared" si="108"/>
        <v>1985 q4</v>
      </c>
    </row>
    <row r="6633" spans="1:3">
      <c r="A6633" s="62">
        <v>31412</v>
      </c>
      <c r="B6633">
        <v>0.64</v>
      </c>
      <c r="C6633" t="str">
        <f t="shared" si="108"/>
        <v>1985 q4</v>
      </c>
    </row>
    <row r="6634" spans="1:3">
      <c r="A6634" s="62">
        <v>31414</v>
      </c>
      <c r="B6634">
        <v>0.64349999999999996</v>
      </c>
      <c r="C6634" t="str">
        <f t="shared" si="108"/>
        <v>1986 q1</v>
      </c>
    </row>
    <row r="6635" spans="1:3">
      <c r="A6635" s="62">
        <v>31415</v>
      </c>
      <c r="B6635">
        <v>0.64449999999999996</v>
      </c>
      <c r="C6635" t="str">
        <f t="shared" si="108"/>
        <v>1986 q1</v>
      </c>
    </row>
    <row r="6636" spans="1:3">
      <c r="A6636" s="62">
        <v>31418</v>
      </c>
      <c r="B6636">
        <v>0.64500000000000002</v>
      </c>
      <c r="C6636" t="str">
        <f t="shared" si="108"/>
        <v>1986 q1</v>
      </c>
    </row>
    <row r="6637" spans="1:3">
      <c r="A6637" s="62">
        <v>31419</v>
      </c>
      <c r="B6637">
        <v>0.65449999999999997</v>
      </c>
      <c r="C6637" t="str">
        <f t="shared" si="108"/>
        <v>1986 q1</v>
      </c>
    </row>
    <row r="6638" spans="1:3">
      <c r="A6638" s="62">
        <v>31420</v>
      </c>
      <c r="B6638">
        <v>0.65249999999999997</v>
      </c>
      <c r="C6638" t="str">
        <f t="shared" si="108"/>
        <v>1986 q1</v>
      </c>
    </row>
    <row r="6639" spans="1:3">
      <c r="A6639" s="62">
        <v>31421</v>
      </c>
      <c r="B6639">
        <v>0.65749999999999997</v>
      </c>
      <c r="C6639" t="str">
        <f t="shared" si="108"/>
        <v>1986 q1</v>
      </c>
    </row>
    <row r="6640" spans="1:3">
      <c r="A6640" s="62">
        <v>31422</v>
      </c>
      <c r="B6640">
        <v>0.65949999999999998</v>
      </c>
      <c r="C6640" t="str">
        <f t="shared" si="108"/>
        <v>1986 q1</v>
      </c>
    </row>
    <row r="6641" spans="1:3">
      <c r="A6641" s="62">
        <v>31425</v>
      </c>
      <c r="B6641">
        <v>0.66949999999999998</v>
      </c>
      <c r="C6641" t="str">
        <f t="shared" si="108"/>
        <v>1986 q1</v>
      </c>
    </row>
    <row r="6642" spans="1:3">
      <c r="A6642" s="62">
        <v>31426</v>
      </c>
      <c r="B6642">
        <v>0.67049999999999998</v>
      </c>
      <c r="C6642" t="str">
        <f t="shared" si="108"/>
        <v>1986 q1</v>
      </c>
    </row>
    <row r="6643" spans="1:3">
      <c r="A6643" s="62">
        <v>31427</v>
      </c>
      <c r="B6643">
        <v>0.66900000000000004</v>
      </c>
      <c r="C6643" t="str">
        <f t="shared" si="108"/>
        <v>1986 q1</v>
      </c>
    </row>
    <row r="6644" spans="1:3">
      <c r="A6644" s="62">
        <v>31428</v>
      </c>
      <c r="B6644">
        <v>0.66600000000000004</v>
      </c>
      <c r="C6644" t="str">
        <f t="shared" si="108"/>
        <v>1986 q1</v>
      </c>
    </row>
    <row r="6645" spans="1:3">
      <c r="A6645" s="62">
        <v>31429</v>
      </c>
      <c r="B6645">
        <v>0.66749999999999998</v>
      </c>
      <c r="C6645" t="str">
        <f t="shared" si="108"/>
        <v>1986 q1</v>
      </c>
    </row>
    <row r="6646" spans="1:3">
      <c r="A6646" s="62">
        <v>31432</v>
      </c>
      <c r="B6646">
        <v>0.66400000000000003</v>
      </c>
      <c r="C6646" t="str">
        <f t="shared" si="108"/>
        <v>1986 q1</v>
      </c>
    </row>
    <row r="6647" spans="1:3">
      <c r="A6647" s="62">
        <v>31433</v>
      </c>
      <c r="B6647">
        <v>0.65849999999999997</v>
      </c>
      <c r="C6647" t="str">
        <f t="shared" si="108"/>
        <v>1986 q1</v>
      </c>
    </row>
    <row r="6648" spans="1:3">
      <c r="A6648" s="62">
        <v>31434</v>
      </c>
      <c r="B6648">
        <v>0.65400000000000003</v>
      </c>
      <c r="C6648" t="str">
        <f t="shared" si="108"/>
        <v>1986 q1</v>
      </c>
    </row>
    <row r="6649" spans="1:3">
      <c r="A6649" s="62">
        <v>31435</v>
      </c>
      <c r="B6649">
        <v>0.65100000000000002</v>
      </c>
      <c r="C6649" t="str">
        <f t="shared" si="108"/>
        <v>1986 q1</v>
      </c>
    </row>
    <row r="6650" spans="1:3">
      <c r="A6650" s="62">
        <v>31436</v>
      </c>
      <c r="B6650">
        <v>0.65900000000000003</v>
      </c>
      <c r="C6650" t="str">
        <f t="shared" si="108"/>
        <v>1986 q1</v>
      </c>
    </row>
    <row r="6651" spans="1:3">
      <c r="A6651" s="62">
        <v>31439</v>
      </c>
      <c r="B6651">
        <v>0.66749999999999998</v>
      </c>
      <c r="C6651" t="str">
        <f t="shared" si="108"/>
        <v>1986 q1</v>
      </c>
    </row>
    <row r="6652" spans="1:3">
      <c r="A6652" s="62">
        <v>31440</v>
      </c>
      <c r="B6652">
        <v>0.66549999999999998</v>
      </c>
      <c r="C6652" t="str">
        <f t="shared" si="108"/>
        <v>1986 q1</v>
      </c>
    </row>
    <row r="6653" spans="1:3">
      <c r="A6653" s="62">
        <v>31441</v>
      </c>
      <c r="B6653">
        <v>0.66249999999999998</v>
      </c>
      <c r="C6653" t="str">
        <f t="shared" si="108"/>
        <v>1986 q1</v>
      </c>
    </row>
    <row r="6654" spans="1:3">
      <c r="A6654" s="62">
        <v>31442</v>
      </c>
      <c r="B6654">
        <v>0.66200000000000003</v>
      </c>
      <c r="C6654" t="str">
        <f t="shared" si="108"/>
        <v>1986 q1</v>
      </c>
    </row>
    <row r="6655" spans="1:3">
      <c r="A6655" s="62">
        <v>31443</v>
      </c>
      <c r="B6655">
        <v>0.65700000000000003</v>
      </c>
      <c r="C6655" t="str">
        <f t="shared" si="108"/>
        <v>1986 q1</v>
      </c>
    </row>
    <row r="6656" spans="1:3">
      <c r="A6656" s="62">
        <v>31446</v>
      </c>
      <c r="B6656">
        <v>0.63649999999999995</v>
      </c>
      <c r="C6656" t="str">
        <f t="shared" si="108"/>
        <v>1986 q1</v>
      </c>
    </row>
    <row r="6657" spans="1:3">
      <c r="A6657" s="62">
        <v>31447</v>
      </c>
      <c r="B6657">
        <v>0.63800000000000001</v>
      </c>
      <c r="C6657" t="str">
        <f t="shared" si="108"/>
        <v>1986 q1</v>
      </c>
    </row>
    <row r="6658" spans="1:3">
      <c r="A6658" s="62">
        <v>31448</v>
      </c>
      <c r="B6658">
        <v>0.64449999999999996</v>
      </c>
      <c r="C6658" t="str">
        <f t="shared" si="108"/>
        <v>1986 q1</v>
      </c>
    </row>
    <row r="6659" spans="1:3">
      <c r="A6659" s="62">
        <v>31449</v>
      </c>
      <c r="B6659">
        <v>0.63949999999999996</v>
      </c>
      <c r="C6659" t="str">
        <f t="shared" si="108"/>
        <v>1986 q1</v>
      </c>
    </row>
    <row r="6660" spans="1:3">
      <c r="A6660" s="62">
        <v>31450</v>
      </c>
      <c r="B6660">
        <v>0.63900000000000001</v>
      </c>
      <c r="C6660" t="str">
        <f t="shared" si="108"/>
        <v>1986 q1</v>
      </c>
    </row>
    <row r="6661" spans="1:3">
      <c r="A6661" s="62">
        <v>31453</v>
      </c>
      <c r="B6661">
        <v>0.63700000000000001</v>
      </c>
      <c r="C6661" t="str">
        <f t="shared" si="108"/>
        <v>1986 q1</v>
      </c>
    </row>
    <row r="6662" spans="1:3">
      <c r="A6662" s="62">
        <v>31454</v>
      </c>
      <c r="B6662">
        <v>0.63149999999999995</v>
      </c>
      <c r="C6662" t="str">
        <f t="shared" si="108"/>
        <v>1986 q1</v>
      </c>
    </row>
    <row r="6663" spans="1:3">
      <c r="A6663" s="62">
        <v>31455</v>
      </c>
      <c r="B6663">
        <v>0.63249999999999995</v>
      </c>
      <c r="C6663" t="str">
        <f t="shared" si="108"/>
        <v>1986 q1</v>
      </c>
    </row>
    <row r="6664" spans="1:3">
      <c r="A6664" s="62">
        <v>31456</v>
      </c>
      <c r="B6664">
        <v>0.63500000000000001</v>
      </c>
      <c r="C6664" t="str">
        <f t="shared" si="108"/>
        <v>1986 q1</v>
      </c>
    </row>
    <row r="6665" spans="1:3">
      <c r="A6665" s="62">
        <v>31457</v>
      </c>
      <c r="B6665">
        <v>0.63949999999999996</v>
      </c>
      <c r="C6665" t="str">
        <f t="shared" si="108"/>
        <v>1986 q1</v>
      </c>
    </row>
    <row r="6666" spans="1:3">
      <c r="A6666" s="62">
        <v>31461</v>
      </c>
      <c r="B6666">
        <v>0.64249999999999996</v>
      </c>
      <c r="C6666" t="str">
        <f t="shared" si="108"/>
        <v>1986 q1</v>
      </c>
    </row>
    <row r="6667" spans="1:3">
      <c r="A6667" s="62">
        <v>31462</v>
      </c>
      <c r="B6667">
        <v>0.64</v>
      </c>
      <c r="C6667" t="str">
        <f t="shared" si="108"/>
        <v>1986 q1</v>
      </c>
    </row>
    <row r="6668" spans="1:3">
      <c r="A6668" s="62">
        <v>31463</v>
      </c>
      <c r="B6668">
        <v>0.64449999999999996</v>
      </c>
      <c r="C6668" t="str">
        <f t="shared" si="108"/>
        <v>1986 q1</v>
      </c>
    </row>
    <row r="6669" spans="1:3">
      <c r="A6669" s="62">
        <v>31464</v>
      </c>
      <c r="B6669">
        <v>0.64100000000000001</v>
      </c>
      <c r="C6669" t="str">
        <f t="shared" si="108"/>
        <v>1986 q1</v>
      </c>
    </row>
    <row r="6670" spans="1:3">
      <c r="A6670" s="62">
        <v>31467</v>
      </c>
      <c r="B6670">
        <v>0.65349999999999997</v>
      </c>
      <c r="C6670" t="str">
        <f t="shared" si="108"/>
        <v>1986 q1</v>
      </c>
    </row>
    <row r="6671" spans="1:3">
      <c r="A6671" s="62">
        <v>31468</v>
      </c>
      <c r="B6671">
        <v>0.65039999999999998</v>
      </c>
      <c r="C6671" t="str">
        <f t="shared" si="108"/>
        <v>1986 q1</v>
      </c>
    </row>
    <row r="6672" spans="1:3">
      <c r="A6672" s="62">
        <v>31469</v>
      </c>
      <c r="B6672">
        <v>0.64349999999999996</v>
      </c>
      <c r="C6672" t="str">
        <f t="shared" si="108"/>
        <v>1986 q1</v>
      </c>
    </row>
    <row r="6673" spans="1:3">
      <c r="A6673" s="62">
        <v>31470</v>
      </c>
      <c r="B6673">
        <v>0.6492</v>
      </c>
      <c r="C6673" t="str">
        <f t="shared" si="108"/>
        <v>1986 q1</v>
      </c>
    </row>
    <row r="6674" spans="1:3">
      <c r="A6674" s="62">
        <v>31471</v>
      </c>
      <c r="B6674">
        <v>0.64610000000000001</v>
      </c>
      <c r="C6674" t="str">
        <f t="shared" ref="C6674:C6737" si="109">YEAR(A6674)&amp;" q"&amp;ROUNDUP(MONTH(A6674)/3,0)</f>
        <v>1986 q1</v>
      </c>
    </row>
    <row r="6675" spans="1:3">
      <c r="A6675" s="62">
        <v>31474</v>
      </c>
      <c r="B6675">
        <v>0.64100000000000001</v>
      </c>
      <c r="C6675" t="str">
        <f t="shared" si="109"/>
        <v>1986 q1</v>
      </c>
    </row>
    <row r="6676" spans="1:3">
      <c r="A6676" s="62">
        <v>31475</v>
      </c>
      <c r="B6676">
        <v>0.65349999999999997</v>
      </c>
      <c r="C6676" t="str">
        <f t="shared" si="109"/>
        <v>1986 q1</v>
      </c>
    </row>
    <row r="6677" spans="1:3">
      <c r="A6677" s="62">
        <v>31476</v>
      </c>
      <c r="B6677">
        <v>0.65</v>
      </c>
      <c r="C6677" t="str">
        <f t="shared" si="109"/>
        <v>1986 q1</v>
      </c>
    </row>
    <row r="6678" spans="1:3">
      <c r="A6678" s="62">
        <v>31477</v>
      </c>
      <c r="B6678">
        <v>0.65849999999999997</v>
      </c>
      <c r="C6678" t="str">
        <f t="shared" si="109"/>
        <v>1986 q1</v>
      </c>
    </row>
    <row r="6679" spans="1:3">
      <c r="A6679" s="62">
        <v>31478</v>
      </c>
      <c r="B6679">
        <v>0.65700000000000003</v>
      </c>
      <c r="C6679" t="str">
        <f t="shared" si="109"/>
        <v>1986 q1</v>
      </c>
    </row>
    <row r="6680" spans="1:3">
      <c r="A6680" s="62">
        <v>31481</v>
      </c>
      <c r="B6680">
        <v>0.66349999999999998</v>
      </c>
      <c r="C6680" t="str">
        <f t="shared" si="109"/>
        <v>1986 q1</v>
      </c>
    </row>
    <row r="6681" spans="1:3">
      <c r="A6681" s="62">
        <v>31482</v>
      </c>
      <c r="B6681">
        <v>0.66</v>
      </c>
      <c r="C6681" t="str">
        <f t="shared" si="109"/>
        <v>1986 q1</v>
      </c>
    </row>
    <row r="6682" spans="1:3">
      <c r="A6682" s="62">
        <v>31483</v>
      </c>
      <c r="B6682">
        <v>0.65949999999999998</v>
      </c>
      <c r="C6682" t="str">
        <f t="shared" si="109"/>
        <v>1986 q1</v>
      </c>
    </row>
    <row r="6683" spans="1:3">
      <c r="A6683" s="62">
        <v>31484</v>
      </c>
      <c r="B6683">
        <v>0.65949999999999998</v>
      </c>
      <c r="C6683" t="str">
        <f t="shared" si="109"/>
        <v>1986 q1</v>
      </c>
    </row>
    <row r="6684" spans="1:3">
      <c r="A6684" s="62">
        <v>31485</v>
      </c>
      <c r="B6684">
        <v>0.67049999999999998</v>
      </c>
      <c r="C6684" t="str">
        <f t="shared" si="109"/>
        <v>1986 q1</v>
      </c>
    </row>
    <row r="6685" spans="1:3">
      <c r="A6685" s="62">
        <v>31488</v>
      </c>
      <c r="B6685">
        <v>0.68100000000000005</v>
      </c>
      <c r="C6685" t="str">
        <f t="shared" si="109"/>
        <v>1986 q1</v>
      </c>
    </row>
    <row r="6686" spans="1:3">
      <c r="A6686" s="62">
        <v>31489</v>
      </c>
      <c r="B6686">
        <v>0.67600000000000005</v>
      </c>
      <c r="C6686" t="str">
        <f t="shared" si="109"/>
        <v>1986 q1</v>
      </c>
    </row>
    <row r="6687" spans="1:3">
      <c r="A6687" s="62">
        <v>31490</v>
      </c>
      <c r="B6687">
        <v>0.68</v>
      </c>
      <c r="C6687" t="str">
        <f t="shared" si="109"/>
        <v>1986 q1</v>
      </c>
    </row>
    <row r="6688" spans="1:3">
      <c r="A6688" s="62">
        <v>31491</v>
      </c>
      <c r="B6688">
        <v>0.67500000000000004</v>
      </c>
      <c r="C6688" t="str">
        <f t="shared" si="109"/>
        <v>1986 q1</v>
      </c>
    </row>
    <row r="6689" spans="1:3">
      <c r="A6689" s="62">
        <v>31492</v>
      </c>
      <c r="B6689">
        <v>0.68600000000000005</v>
      </c>
      <c r="C6689" t="str">
        <f t="shared" si="109"/>
        <v>1986 q1</v>
      </c>
    </row>
    <row r="6690" spans="1:3">
      <c r="A6690" s="62">
        <v>31495</v>
      </c>
      <c r="B6690">
        <v>0.68049999999999999</v>
      </c>
      <c r="C6690" t="str">
        <f t="shared" si="109"/>
        <v>1986 q1</v>
      </c>
    </row>
    <row r="6691" spans="1:3">
      <c r="A6691" s="62">
        <v>31496</v>
      </c>
      <c r="B6691">
        <v>0.67100000000000004</v>
      </c>
      <c r="C6691" t="str">
        <f t="shared" si="109"/>
        <v>1986 q1</v>
      </c>
    </row>
    <row r="6692" spans="1:3">
      <c r="A6692" s="62">
        <v>31497</v>
      </c>
      <c r="B6692">
        <v>0.66800000000000004</v>
      </c>
      <c r="C6692" t="str">
        <f t="shared" si="109"/>
        <v>1986 q1</v>
      </c>
    </row>
    <row r="6693" spans="1:3">
      <c r="A6693" s="62">
        <v>31498</v>
      </c>
      <c r="B6693">
        <v>0.67200000000000004</v>
      </c>
      <c r="C6693" t="str">
        <f t="shared" si="109"/>
        <v>1986 q1</v>
      </c>
    </row>
    <row r="6694" spans="1:3">
      <c r="A6694" s="62">
        <v>31502</v>
      </c>
      <c r="B6694">
        <v>0.66149999999999998</v>
      </c>
      <c r="C6694" t="str">
        <f t="shared" si="109"/>
        <v>1986 q1</v>
      </c>
    </row>
    <row r="6695" spans="1:3">
      <c r="A6695" s="62">
        <v>31503</v>
      </c>
      <c r="B6695">
        <v>0.64649999999999996</v>
      </c>
      <c r="C6695" t="str">
        <f t="shared" si="109"/>
        <v>1986 q2</v>
      </c>
    </row>
    <row r="6696" spans="1:3">
      <c r="A6696" s="62">
        <v>31504</v>
      </c>
      <c r="B6696">
        <v>0.64700000000000002</v>
      </c>
      <c r="C6696" t="str">
        <f t="shared" si="109"/>
        <v>1986 q2</v>
      </c>
    </row>
    <row r="6697" spans="1:3">
      <c r="A6697" s="62">
        <v>31505</v>
      </c>
      <c r="B6697">
        <v>0.64149999999999996</v>
      </c>
      <c r="C6697" t="str">
        <f t="shared" si="109"/>
        <v>1986 q2</v>
      </c>
    </row>
    <row r="6698" spans="1:3">
      <c r="A6698" s="62">
        <v>31506</v>
      </c>
      <c r="B6698">
        <v>0.64149999999999996</v>
      </c>
      <c r="C6698" t="str">
        <f t="shared" si="109"/>
        <v>1986 q2</v>
      </c>
    </row>
    <row r="6699" spans="1:3">
      <c r="A6699" s="62">
        <v>31509</v>
      </c>
      <c r="B6699">
        <v>0.64400000000000002</v>
      </c>
      <c r="C6699" t="str">
        <f t="shared" si="109"/>
        <v>1986 q2</v>
      </c>
    </row>
    <row r="6700" spans="1:3">
      <c r="A6700" s="62">
        <v>31510</v>
      </c>
      <c r="B6700">
        <v>0.63349999999999995</v>
      </c>
      <c r="C6700" t="str">
        <f t="shared" si="109"/>
        <v>1986 q2</v>
      </c>
    </row>
    <row r="6701" spans="1:3">
      <c r="A6701" s="62">
        <v>31511</v>
      </c>
      <c r="B6701">
        <v>0.64149999999999996</v>
      </c>
      <c r="C6701" t="str">
        <f t="shared" si="109"/>
        <v>1986 q2</v>
      </c>
    </row>
    <row r="6702" spans="1:3">
      <c r="A6702" s="62">
        <v>31512</v>
      </c>
      <c r="B6702">
        <v>0.64549999999999996</v>
      </c>
      <c r="C6702" t="str">
        <f t="shared" si="109"/>
        <v>1986 q2</v>
      </c>
    </row>
    <row r="6703" spans="1:3">
      <c r="A6703" s="62">
        <v>31513</v>
      </c>
      <c r="B6703">
        <v>0.64649999999999996</v>
      </c>
      <c r="C6703" t="str">
        <f t="shared" si="109"/>
        <v>1986 q2</v>
      </c>
    </row>
    <row r="6704" spans="1:3">
      <c r="A6704" s="62">
        <v>31516</v>
      </c>
      <c r="B6704">
        <v>0.63749999999999996</v>
      </c>
      <c r="C6704" t="str">
        <f t="shared" si="109"/>
        <v>1986 q2</v>
      </c>
    </row>
    <row r="6705" spans="1:3">
      <c r="A6705" s="62">
        <v>31517</v>
      </c>
      <c r="B6705">
        <v>0.64449999999999996</v>
      </c>
      <c r="C6705" t="str">
        <f t="shared" si="109"/>
        <v>1986 q2</v>
      </c>
    </row>
    <row r="6706" spans="1:3">
      <c r="A6706" s="62">
        <v>31518</v>
      </c>
      <c r="B6706">
        <v>0.64100000000000001</v>
      </c>
      <c r="C6706" t="str">
        <f t="shared" si="109"/>
        <v>1986 q2</v>
      </c>
    </row>
    <row r="6707" spans="1:3">
      <c r="A6707" s="62">
        <v>31519</v>
      </c>
      <c r="B6707">
        <v>0.64249999999999996</v>
      </c>
      <c r="C6707" t="str">
        <f t="shared" si="109"/>
        <v>1986 q2</v>
      </c>
    </row>
    <row r="6708" spans="1:3">
      <c r="A6708" s="62">
        <v>31520</v>
      </c>
      <c r="B6708">
        <v>0.64049999999999996</v>
      </c>
      <c r="C6708" t="str">
        <f t="shared" si="109"/>
        <v>1986 q2</v>
      </c>
    </row>
    <row r="6709" spans="1:3">
      <c r="A6709" s="62">
        <v>31523</v>
      </c>
      <c r="B6709">
        <v>0.63300000000000001</v>
      </c>
      <c r="C6709" t="str">
        <f t="shared" si="109"/>
        <v>1986 q2</v>
      </c>
    </row>
    <row r="6710" spans="1:3">
      <c r="A6710" s="62">
        <v>31524</v>
      </c>
      <c r="B6710">
        <v>0.64249999999999996</v>
      </c>
      <c r="C6710" t="str">
        <f t="shared" si="109"/>
        <v>1986 q2</v>
      </c>
    </row>
    <row r="6711" spans="1:3">
      <c r="A6711" s="62">
        <v>31525</v>
      </c>
      <c r="B6711">
        <v>0.64300000000000002</v>
      </c>
      <c r="C6711" t="str">
        <f t="shared" si="109"/>
        <v>1986 q2</v>
      </c>
    </row>
    <row r="6712" spans="1:3">
      <c r="A6712" s="62">
        <v>31526</v>
      </c>
      <c r="B6712">
        <v>0.64149999999999996</v>
      </c>
      <c r="C6712" t="str">
        <f t="shared" si="109"/>
        <v>1986 q2</v>
      </c>
    </row>
    <row r="6713" spans="1:3">
      <c r="A6713" s="62">
        <v>31527</v>
      </c>
      <c r="B6713">
        <v>0.63849999999999996</v>
      </c>
      <c r="C6713" t="str">
        <f t="shared" si="109"/>
        <v>1986 q2</v>
      </c>
    </row>
    <row r="6714" spans="1:3">
      <c r="A6714" s="62">
        <v>31530</v>
      </c>
      <c r="B6714">
        <v>0.63600000000000001</v>
      </c>
      <c r="C6714" t="str">
        <f t="shared" si="109"/>
        <v>1986 q2</v>
      </c>
    </row>
    <row r="6715" spans="1:3">
      <c r="A6715" s="62">
        <v>31531</v>
      </c>
      <c r="B6715">
        <v>0.62909999999999999</v>
      </c>
      <c r="C6715" t="str">
        <f t="shared" si="109"/>
        <v>1986 q2</v>
      </c>
    </row>
    <row r="6716" spans="1:3">
      <c r="A6716" s="62">
        <v>31532</v>
      </c>
      <c r="B6716">
        <v>0.62570000000000003</v>
      </c>
      <c r="C6716" t="str">
        <f t="shared" si="109"/>
        <v>1986 q2</v>
      </c>
    </row>
    <row r="6717" spans="1:3">
      <c r="A6717" s="62">
        <v>31533</v>
      </c>
      <c r="B6717">
        <v>0.625</v>
      </c>
      <c r="C6717" t="str">
        <f t="shared" si="109"/>
        <v>1986 q2</v>
      </c>
    </row>
    <row r="6718" spans="1:3">
      <c r="A6718" s="62">
        <v>31534</v>
      </c>
      <c r="B6718">
        <v>0.63049999999999995</v>
      </c>
      <c r="C6718" t="str">
        <f t="shared" si="109"/>
        <v>1986 q2</v>
      </c>
    </row>
    <row r="6719" spans="1:3">
      <c r="A6719" s="62">
        <v>31537</v>
      </c>
      <c r="B6719">
        <v>0.63400000000000001</v>
      </c>
      <c r="C6719" t="str">
        <f t="shared" si="109"/>
        <v>1986 q2</v>
      </c>
    </row>
    <row r="6720" spans="1:3">
      <c r="A6720" s="62">
        <v>31538</v>
      </c>
      <c r="B6720">
        <v>0.63</v>
      </c>
      <c r="C6720" t="str">
        <f t="shared" si="109"/>
        <v>1986 q2</v>
      </c>
    </row>
    <row r="6721" spans="1:3">
      <c r="A6721" s="62">
        <v>31539</v>
      </c>
      <c r="B6721">
        <v>0.63</v>
      </c>
      <c r="C6721" t="str">
        <f t="shared" si="109"/>
        <v>1986 q2</v>
      </c>
    </row>
    <row r="6722" spans="1:3">
      <c r="A6722" s="62">
        <v>31540</v>
      </c>
      <c r="B6722">
        <v>0.63949999999999996</v>
      </c>
      <c r="C6722" t="str">
        <f t="shared" si="109"/>
        <v>1986 q2</v>
      </c>
    </row>
    <row r="6723" spans="1:3">
      <c r="A6723" s="62">
        <v>31541</v>
      </c>
      <c r="B6723">
        <v>0.64149999999999996</v>
      </c>
      <c r="C6723" t="str">
        <f t="shared" si="109"/>
        <v>1986 q2</v>
      </c>
    </row>
    <row r="6724" spans="1:3">
      <c r="A6724" s="62">
        <v>31544</v>
      </c>
      <c r="B6724">
        <v>0.63900000000000001</v>
      </c>
      <c r="C6724" t="str">
        <f t="shared" si="109"/>
        <v>1986 q2</v>
      </c>
    </row>
    <row r="6725" spans="1:3">
      <c r="A6725" s="62">
        <v>31545</v>
      </c>
      <c r="B6725">
        <v>0.63149999999999995</v>
      </c>
      <c r="C6725" t="str">
        <f t="shared" si="109"/>
        <v>1986 q2</v>
      </c>
    </row>
    <row r="6726" spans="1:3">
      <c r="A6726" s="62">
        <v>31546</v>
      </c>
      <c r="B6726">
        <v>0.63349999999999995</v>
      </c>
      <c r="C6726" t="str">
        <f t="shared" si="109"/>
        <v>1986 q2</v>
      </c>
    </row>
    <row r="6727" spans="1:3">
      <c r="A6727" s="62">
        <v>31547</v>
      </c>
      <c r="B6727">
        <v>0.63349999999999995</v>
      </c>
      <c r="C6727" t="str">
        <f t="shared" si="109"/>
        <v>1986 q2</v>
      </c>
    </row>
    <row r="6728" spans="1:3">
      <c r="A6728" s="62">
        <v>31548</v>
      </c>
      <c r="B6728">
        <v>0.63749999999999996</v>
      </c>
      <c r="C6728" t="str">
        <f t="shared" si="109"/>
        <v>1986 q2</v>
      </c>
    </row>
    <row r="6729" spans="1:3">
      <c r="A6729" s="62">
        <v>31551</v>
      </c>
      <c r="B6729">
        <v>0.62849999999999995</v>
      </c>
      <c r="C6729" t="str">
        <f t="shared" si="109"/>
        <v>1986 q2</v>
      </c>
    </row>
    <row r="6730" spans="1:3">
      <c r="A6730" s="62">
        <v>31552</v>
      </c>
      <c r="B6730">
        <v>0.62250000000000005</v>
      </c>
      <c r="C6730" t="str">
        <f t="shared" si="109"/>
        <v>1986 q2</v>
      </c>
    </row>
    <row r="6731" spans="1:3">
      <c r="A6731" s="62">
        <v>31553</v>
      </c>
      <c r="B6731">
        <v>0.626</v>
      </c>
      <c r="C6731" t="str">
        <f t="shared" si="109"/>
        <v>1986 q2</v>
      </c>
    </row>
    <row r="6732" spans="1:3">
      <c r="A6732" s="62">
        <v>31554</v>
      </c>
      <c r="B6732">
        <v>0.624</v>
      </c>
      <c r="C6732" t="str">
        <f t="shared" si="109"/>
        <v>1986 q2</v>
      </c>
    </row>
    <row r="6733" spans="1:3">
      <c r="A6733" s="62">
        <v>31555</v>
      </c>
      <c r="B6733">
        <v>0.62150000000000005</v>
      </c>
      <c r="C6733" t="str">
        <f t="shared" si="109"/>
        <v>1986 q2</v>
      </c>
    </row>
    <row r="6734" spans="1:3">
      <c r="A6734" s="62">
        <v>31559</v>
      </c>
      <c r="B6734">
        <v>0.62649999999999995</v>
      </c>
      <c r="C6734" t="str">
        <f t="shared" si="109"/>
        <v>1986 q2</v>
      </c>
    </row>
    <row r="6735" spans="1:3">
      <c r="A6735" s="62">
        <v>31560</v>
      </c>
      <c r="B6735">
        <v>0.63149999999999995</v>
      </c>
      <c r="C6735" t="str">
        <f t="shared" si="109"/>
        <v>1986 q2</v>
      </c>
    </row>
    <row r="6736" spans="1:3">
      <c r="A6736" s="62">
        <v>31561</v>
      </c>
      <c r="B6736">
        <v>0.63300000000000001</v>
      </c>
      <c r="C6736" t="str">
        <f t="shared" si="109"/>
        <v>1986 q2</v>
      </c>
    </row>
    <row r="6737" spans="1:3">
      <c r="A6737" s="62">
        <v>31562</v>
      </c>
      <c r="B6737">
        <v>0.63100000000000001</v>
      </c>
      <c r="C6737" t="str">
        <f t="shared" si="109"/>
        <v>1986 q2</v>
      </c>
    </row>
    <row r="6738" spans="1:3">
      <c r="A6738" s="62">
        <v>31565</v>
      </c>
      <c r="B6738">
        <v>0.62649999999999995</v>
      </c>
      <c r="C6738" t="str">
        <f t="shared" ref="C6738:C6801" si="110">YEAR(A6738)&amp;" q"&amp;ROUNDUP(MONTH(A6738)/3,0)</f>
        <v>1986 q2</v>
      </c>
    </row>
    <row r="6739" spans="1:3">
      <c r="A6739" s="62">
        <v>31566</v>
      </c>
      <c r="B6739">
        <v>0.61899999999999999</v>
      </c>
      <c r="C6739" t="str">
        <f t="shared" si="110"/>
        <v>1986 q2</v>
      </c>
    </row>
    <row r="6740" spans="1:3">
      <c r="A6740" s="62">
        <v>31567</v>
      </c>
      <c r="B6740">
        <v>0.62450000000000006</v>
      </c>
      <c r="C6740" t="str">
        <f t="shared" si="110"/>
        <v>1986 q2</v>
      </c>
    </row>
    <row r="6741" spans="1:3">
      <c r="A6741" s="62">
        <v>31568</v>
      </c>
      <c r="B6741">
        <v>0.63649999999999995</v>
      </c>
      <c r="C6741" t="str">
        <f t="shared" si="110"/>
        <v>1986 q2</v>
      </c>
    </row>
    <row r="6742" spans="1:3">
      <c r="A6742" s="62">
        <v>31569</v>
      </c>
      <c r="B6742">
        <v>0.64100000000000001</v>
      </c>
      <c r="C6742" t="str">
        <f t="shared" si="110"/>
        <v>1986 q2</v>
      </c>
    </row>
    <row r="6743" spans="1:3">
      <c r="A6743" s="62">
        <v>31572</v>
      </c>
      <c r="B6743">
        <v>0.64249999999999996</v>
      </c>
      <c r="C6743" t="str">
        <f t="shared" si="110"/>
        <v>1986 q2</v>
      </c>
    </row>
    <row r="6744" spans="1:3">
      <c r="A6744" s="62">
        <v>31573</v>
      </c>
      <c r="B6744">
        <v>0.64</v>
      </c>
      <c r="C6744" t="str">
        <f t="shared" si="110"/>
        <v>1986 q2</v>
      </c>
    </row>
    <row r="6745" spans="1:3">
      <c r="A6745" s="62">
        <v>31574</v>
      </c>
      <c r="B6745">
        <v>0.64100000000000001</v>
      </c>
      <c r="C6745" t="str">
        <f t="shared" si="110"/>
        <v>1986 q2</v>
      </c>
    </row>
    <row r="6746" spans="1:3">
      <c r="A6746" s="62">
        <v>31575</v>
      </c>
      <c r="B6746">
        <v>0.64149999999999996</v>
      </c>
      <c r="C6746" t="str">
        <f t="shared" si="110"/>
        <v>1986 q2</v>
      </c>
    </row>
    <row r="6747" spans="1:3">
      <c r="A6747" s="62">
        <v>31576</v>
      </c>
      <c r="B6747">
        <v>0.63649999999999995</v>
      </c>
      <c r="C6747" t="str">
        <f t="shared" si="110"/>
        <v>1986 q2</v>
      </c>
    </row>
    <row r="6748" spans="1:3">
      <c r="A6748" s="62">
        <v>31579</v>
      </c>
      <c r="B6748">
        <v>0.63900000000000001</v>
      </c>
      <c r="C6748" t="str">
        <f t="shared" si="110"/>
        <v>1986 q2</v>
      </c>
    </row>
    <row r="6749" spans="1:3">
      <c r="A6749" s="62">
        <v>31580</v>
      </c>
      <c r="B6749">
        <v>0.63449999999999995</v>
      </c>
      <c r="C6749" t="str">
        <f t="shared" si="110"/>
        <v>1986 q2</v>
      </c>
    </row>
    <row r="6750" spans="1:3">
      <c r="A6750" s="62">
        <v>31581</v>
      </c>
      <c r="B6750">
        <v>0.63300000000000001</v>
      </c>
      <c r="C6750" t="str">
        <f t="shared" si="110"/>
        <v>1986 q2</v>
      </c>
    </row>
    <row r="6751" spans="1:3">
      <c r="A6751" s="62">
        <v>31582</v>
      </c>
      <c r="B6751">
        <v>0.63049999999999995</v>
      </c>
      <c r="C6751" t="str">
        <f t="shared" si="110"/>
        <v>1986 q2</v>
      </c>
    </row>
    <row r="6752" spans="1:3">
      <c r="A6752" s="62">
        <v>31583</v>
      </c>
      <c r="B6752">
        <v>0.63</v>
      </c>
      <c r="C6752" t="str">
        <f t="shared" si="110"/>
        <v>1986 q2</v>
      </c>
    </row>
    <row r="6753" spans="1:3">
      <c r="A6753" s="62">
        <v>31586</v>
      </c>
      <c r="B6753">
        <v>0.628</v>
      </c>
      <c r="C6753" t="str">
        <f t="shared" si="110"/>
        <v>1986 q2</v>
      </c>
    </row>
    <row r="6754" spans="1:3">
      <c r="A6754" s="62">
        <v>31587</v>
      </c>
      <c r="B6754">
        <v>0.61350000000000005</v>
      </c>
      <c r="C6754" t="str">
        <f t="shared" si="110"/>
        <v>1986 q2</v>
      </c>
    </row>
    <row r="6755" spans="1:3">
      <c r="A6755" s="62">
        <v>31588</v>
      </c>
      <c r="B6755">
        <v>0.61070000000000002</v>
      </c>
      <c r="C6755" t="str">
        <f t="shared" si="110"/>
        <v>1986 q2</v>
      </c>
    </row>
    <row r="6756" spans="1:3">
      <c r="A6756" s="62">
        <v>31589</v>
      </c>
      <c r="B6756">
        <v>0.6149</v>
      </c>
      <c r="C6756" t="str">
        <f t="shared" si="110"/>
        <v>1986 q2</v>
      </c>
    </row>
    <row r="6757" spans="1:3">
      <c r="A6757" s="62">
        <v>31590</v>
      </c>
      <c r="B6757">
        <v>0.59840000000000004</v>
      </c>
      <c r="C6757" t="str">
        <f t="shared" si="110"/>
        <v>1986 q2</v>
      </c>
    </row>
    <row r="6758" spans="1:3">
      <c r="A6758" s="62">
        <v>31593</v>
      </c>
      <c r="B6758">
        <v>0.60240000000000005</v>
      </c>
      <c r="C6758" t="str">
        <f t="shared" si="110"/>
        <v>1986 q2</v>
      </c>
    </row>
    <row r="6759" spans="1:3">
      <c r="A6759" s="62">
        <v>31594</v>
      </c>
      <c r="B6759">
        <v>0.60899999999999999</v>
      </c>
      <c r="C6759" t="str">
        <f t="shared" si="110"/>
        <v>1986 q3</v>
      </c>
    </row>
    <row r="6760" spans="1:3">
      <c r="A6760" s="62">
        <v>31595</v>
      </c>
      <c r="B6760">
        <v>0.60650000000000004</v>
      </c>
      <c r="C6760" t="str">
        <f t="shared" si="110"/>
        <v>1986 q3</v>
      </c>
    </row>
    <row r="6761" spans="1:3">
      <c r="A6761" s="62">
        <v>31600</v>
      </c>
      <c r="B6761">
        <v>0.59699999999999998</v>
      </c>
      <c r="C6761" t="str">
        <f t="shared" si="110"/>
        <v>1986 q3</v>
      </c>
    </row>
    <row r="6762" spans="1:3">
      <c r="A6762" s="62">
        <v>31601</v>
      </c>
      <c r="B6762">
        <v>0.58850000000000002</v>
      </c>
      <c r="C6762" t="str">
        <f t="shared" si="110"/>
        <v>1986 q3</v>
      </c>
    </row>
    <row r="6763" spans="1:3">
      <c r="A6763" s="62">
        <v>31602</v>
      </c>
      <c r="B6763">
        <v>0.59299999999999997</v>
      </c>
      <c r="C6763" t="str">
        <f t="shared" si="110"/>
        <v>1986 q3</v>
      </c>
    </row>
    <row r="6764" spans="1:3">
      <c r="A6764" s="62">
        <v>31603</v>
      </c>
      <c r="B6764">
        <v>0.59450000000000003</v>
      </c>
      <c r="C6764" t="str">
        <f t="shared" si="110"/>
        <v>1986 q3</v>
      </c>
    </row>
    <row r="6765" spans="1:3">
      <c r="A6765" s="62">
        <v>31604</v>
      </c>
      <c r="B6765">
        <v>0.59599999999999997</v>
      </c>
      <c r="C6765" t="str">
        <f t="shared" si="110"/>
        <v>1986 q3</v>
      </c>
    </row>
    <row r="6766" spans="1:3">
      <c r="A6766" s="62">
        <v>31607</v>
      </c>
      <c r="B6766">
        <v>0.58799999999999997</v>
      </c>
      <c r="C6766" t="str">
        <f t="shared" si="110"/>
        <v>1986 q3</v>
      </c>
    </row>
    <row r="6767" spans="1:3">
      <c r="A6767" s="62">
        <v>31608</v>
      </c>
      <c r="B6767">
        <v>0.59599999999999997</v>
      </c>
      <c r="C6767" t="str">
        <f t="shared" si="110"/>
        <v>1986 q3</v>
      </c>
    </row>
    <row r="6768" spans="1:3">
      <c r="A6768" s="62">
        <v>31609</v>
      </c>
      <c r="B6768">
        <v>0.59450000000000003</v>
      </c>
      <c r="C6768" t="str">
        <f t="shared" si="110"/>
        <v>1986 q3</v>
      </c>
    </row>
    <row r="6769" spans="1:3">
      <c r="A6769" s="62">
        <v>31610</v>
      </c>
      <c r="B6769">
        <v>0.59250000000000003</v>
      </c>
      <c r="C6769" t="str">
        <f t="shared" si="110"/>
        <v>1986 q3</v>
      </c>
    </row>
    <row r="6770" spans="1:3">
      <c r="A6770" s="62">
        <v>31611</v>
      </c>
      <c r="B6770">
        <v>0.59150000000000003</v>
      </c>
      <c r="C6770" t="str">
        <f t="shared" si="110"/>
        <v>1986 q3</v>
      </c>
    </row>
    <row r="6771" spans="1:3">
      <c r="A6771" s="62">
        <v>31614</v>
      </c>
      <c r="B6771">
        <v>0.59350000000000003</v>
      </c>
      <c r="C6771" t="str">
        <f t="shared" si="110"/>
        <v>1986 q3</v>
      </c>
    </row>
    <row r="6772" spans="1:3">
      <c r="A6772" s="62">
        <v>31615</v>
      </c>
      <c r="B6772">
        <v>0.59350000000000003</v>
      </c>
      <c r="C6772" t="str">
        <f t="shared" si="110"/>
        <v>1986 q3</v>
      </c>
    </row>
    <row r="6773" spans="1:3">
      <c r="A6773" s="62">
        <v>31616</v>
      </c>
      <c r="B6773">
        <v>0.59850000000000003</v>
      </c>
      <c r="C6773" t="str">
        <f t="shared" si="110"/>
        <v>1986 q3</v>
      </c>
    </row>
    <row r="6774" spans="1:3">
      <c r="A6774" s="62">
        <v>31617</v>
      </c>
      <c r="B6774">
        <v>0.60199999999999998</v>
      </c>
      <c r="C6774" t="str">
        <f t="shared" si="110"/>
        <v>1986 q3</v>
      </c>
    </row>
    <row r="6775" spans="1:3">
      <c r="A6775" s="62">
        <v>31618</v>
      </c>
      <c r="B6775">
        <v>0.59250000000000003</v>
      </c>
      <c r="C6775" t="str">
        <f t="shared" si="110"/>
        <v>1986 q3</v>
      </c>
    </row>
    <row r="6776" spans="1:3">
      <c r="A6776" s="62">
        <v>31621</v>
      </c>
      <c r="B6776">
        <v>0.58799999999999997</v>
      </c>
      <c r="C6776" t="str">
        <f t="shared" si="110"/>
        <v>1986 q3</v>
      </c>
    </row>
    <row r="6777" spans="1:3">
      <c r="A6777" s="62">
        <v>31622</v>
      </c>
      <c r="B6777">
        <v>0.58450000000000002</v>
      </c>
      <c r="C6777" t="str">
        <f t="shared" si="110"/>
        <v>1986 q3</v>
      </c>
    </row>
    <row r="6778" spans="1:3">
      <c r="A6778" s="62">
        <v>31623</v>
      </c>
      <c r="B6778">
        <v>0.58550000000000002</v>
      </c>
      <c r="C6778" t="str">
        <f t="shared" si="110"/>
        <v>1986 q3</v>
      </c>
    </row>
    <row r="6779" spans="1:3">
      <c r="A6779" s="62">
        <v>31624</v>
      </c>
      <c r="B6779">
        <v>0.58499999999999996</v>
      </c>
      <c r="C6779" t="str">
        <f t="shared" si="110"/>
        <v>1986 q3</v>
      </c>
    </row>
    <row r="6780" spans="1:3">
      <c r="A6780" s="62">
        <v>31625</v>
      </c>
      <c r="B6780">
        <v>0.58550000000000002</v>
      </c>
      <c r="C6780" t="str">
        <f t="shared" si="110"/>
        <v>1986 q3</v>
      </c>
    </row>
    <row r="6781" spans="1:3">
      <c r="A6781" s="62">
        <v>31628</v>
      </c>
      <c r="B6781">
        <v>0.57950000000000002</v>
      </c>
      <c r="C6781" t="str">
        <f t="shared" si="110"/>
        <v>1986 q3</v>
      </c>
    </row>
    <row r="6782" spans="1:3">
      <c r="A6782" s="62">
        <v>31629</v>
      </c>
      <c r="B6782">
        <v>0.58299999999999996</v>
      </c>
      <c r="C6782" t="str">
        <f t="shared" si="110"/>
        <v>1986 q3</v>
      </c>
    </row>
    <row r="6783" spans="1:3">
      <c r="A6783" s="62">
        <v>31630</v>
      </c>
      <c r="B6783">
        <v>0.58099999999999996</v>
      </c>
      <c r="C6783" t="str">
        <f t="shared" si="110"/>
        <v>1986 q3</v>
      </c>
    </row>
    <row r="6784" spans="1:3">
      <c r="A6784" s="62">
        <v>31631</v>
      </c>
      <c r="B6784">
        <v>0.57899999999999996</v>
      </c>
      <c r="C6784" t="str">
        <f t="shared" si="110"/>
        <v>1986 q3</v>
      </c>
    </row>
    <row r="6785" spans="1:3">
      <c r="A6785" s="62">
        <v>31632</v>
      </c>
      <c r="B6785">
        <v>0.57999999999999996</v>
      </c>
      <c r="C6785" t="str">
        <f t="shared" si="110"/>
        <v>1986 q3</v>
      </c>
    </row>
    <row r="6786" spans="1:3">
      <c r="A6786" s="62">
        <v>31635</v>
      </c>
      <c r="B6786">
        <v>0.58799999999999997</v>
      </c>
      <c r="C6786" t="str">
        <f t="shared" si="110"/>
        <v>1986 q3</v>
      </c>
    </row>
    <row r="6787" spans="1:3">
      <c r="A6787" s="62">
        <v>31636</v>
      </c>
      <c r="B6787">
        <v>0.58550000000000002</v>
      </c>
      <c r="C6787" t="str">
        <f t="shared" si="110"/>
        <v>1986 q3</v>
      </c>
    </row>
    <row r="6788" spans="1:3">
      <c r="A6788" s="62">
        <v>31637</v>
      </c>
      <c r="B6788">
        <v>0.58199999999999996</v>
      </c>
      <c r="C6788" t="str">
        <f t="shared" si="110"/>
        <v>1986 q3</v>
      </c>
    </row>
    <row r="6789" spans="1:3">
      <c r="A6789" s="62">
        <v>31638</v>
      </c>
      <c r="B6789">
        <v>0.58399999999999996</v>
      </c>
      <c r="C6789" t="str">
        <f t="shared" si="110"/>
        <v>1986 q3</v>
      </c>
    </row>
    <row r="6790" spans="1:3">
      <c r="A6790" s="62">
        <v>31639</v>
      </c>
      <c r="B6790">
        <v>0.57299999999999995</v>
      </c>
      <c r="C6790" t="str">
        <f t="shared" si="110"/>
        <v>1986 q3</v>
      </c>
    </row>
    <row r="6791" spans="1:3">
      <c r="A6791" s="62">
        <v>31642</v>
      </c>
      <c r="B6791">
        <v>0.56950000000000001</v>
      </c>
      <c r="C6791" t="str">
        <f t="shared" si="110"/>
        <v>1986 q3</v>
      </c>
    </row>
    <row r="6792" spans="1:3">
      <c r="A6792" s="62">
        <v>31643</v>
      </c>
      <c r="B6792">
        <v>0.57199999999999995</v>
      </c>
      <c r="C6792" t="str">
        <f t="shared" si="110"/>
        <v>1986 q3</v>
      </c>
    </row>
    <row r="6793" spans="1:3">
      <c r="A6793" s="62">
        <v>31644</v>
      </c>
      <c r="B6793">
        <v>0.57550000000000001</v>
      </c>
      <c r="C6793" t="str">
        <f t="shared" si="110"/>
        <v>1986 q3</v>
      </c>
    </row>
    <row r="6794" spans="1:3">
      <c r="A6794" s="62">
        <v>31645</v>
      </c>
      <c r="B6794">
        <v>0.57750000000000001</v>
      </c>
      <c r="C6794" t="str">
        <f t="shared" si="110"/>
        <v>1986 q3</v>
      </c>
    </row>
    <row r="6795" spans="1:3">
      <c r="A6795" s="62">
        <v>31646</v>
      </c>
      <c r="B6795">
        <v>0.57250000000000001</v>
      </c>
      <c r="C6795" t="str">
        <f t="shared" si="110"/>
        <v>1986 q3</v>
      </c>
    </row>
    <row r="6796" spans="1:3">
      <c r="A6796" s="62">
        <v>31649</v>
      </c>
      <c r="B6796">
        <v>0.57199999999999995</v>
      </c>
      <c r="C6796" t="str">
        <f t="shared" si="110"/>
        <v>1986 q3</v>
      </c>
    </row>
    <row r="6797" spans="1:3">
      <c r="A6797" s="62">
        <v>31650</v>
      </c>
      <c r="B6797">
        <v>0.57169999999999999</v>
      </c>
      <c r="C6797" t="str">
        <f t="shared" si="110"/>
        <v>1986 q3</v>
      </c>
    </row>
    <row r="6798" spans="1:3">
      <c r="A6798" s="62">
        <v>31651</v>
      </c>
      <c r="B6798">
        <v>0.57750000000000001</v>
      </c>
      <c r="C6798" t="str">
        <f t="shared" si="110"/>
        <v>1986 q3</v>
      </c>
    </row>
    <row r="6799" spans="1:3">
      <c r="A6799" s="62">
        <v>31652</v>
      </c>
      <c r="B6799">
        <v>0.57769999999999999</v>
      </c>
      <c r="C6799" t="str">
        <f t="shared" si="110"/>
        <v>1986 q3</v>
      </c>
    </row>
    <row r="6800" spans="1:3">
      <c r="A6800" s="62">
        <v>31653</v>
      </c>
      <c r="B6800">
        <v>0.58279999999999998</v>
      </c>
      <c r="C6800" t="str">
        <f t="shared" si="110"/>
        <v>1986 q3</v>
      </c>
    </row>
    <row r="6801" spans="1:3">
      <c r="A6801" s="62">
        <v>31657</v>
      </c>
      <c r="B6801">
        <v>0.61250000000000004</v>
      </c>
      <c r="C6801" t="str">
        <f t="shared" si="110"/>
        <v>1986 q3</v>
      </c>
    </row>
    <row r="6802" spans="1:3">
      <c r="A6802" s="62">
        <v>31658</v>
      </c>
      <c r="B6802">
        <v>0.61150000000000004</v>
      </c>
      <c r="C6802" t="str">
        <f t="shared" ref="C6802:C6865" si="111">YEAR(A6802)&amp;" q"&amp;ROUNDUP(MONTH(A6802)/3,0)</f>
        <v>1986 q3</v>
      </c>
    </row>
    <row r="6803" spans="1:3">
      <c r="A6803" s="62">
        <v>31659</v>
      </c>
      <c r="B6803">
        <v>0.61099999999999999</v>
      </c>
      <c r="C6803" t="str">
        <f t="shared" si="111"/>
        <v>1986 q3</v>
      </c>
    </row>
    <row r="6804" spans="1:3">
      <c r="A6804" s="62">
        <v>31660</v>
      </c>
      <c r="B6804">
        <v>0.61599999999999999</v>
      </c>
      <c r="C6804" t="str">
        <f t="shared" si="111"/>
        <v>1986 q3</v>
      </c>
    </row>
    <row r="6805" spans="1:3">
      <c r="A6805" s="62">
        <v>31663</v>
      </c>
      <c r="B6805">
        <v>0.61</v>
      </c>
      <c r="C6805" t="str">
        <f t="shared" si="111"/>
        <v>1986 q3</v>
      </c>
    </row>
    <row r="6806" spans="1:3">
      <c r="A6806" s="62">
        <v>31664</v>
      </c>
      <c r="B6806">
        <v>0.60550000000000004</v>
      </c>
      <c r="C6806" t="str">
        <f t="shared" si="111"/>
        <v>1986 q3</v>
      </c>
    </row>
    <row r="6807" spans="1:3">
      <c r="A6807" s="62">
        <v>31665</v>
      </c>
      <c r="B6807">
        <v>0.60799999999999998</v>
      </c>
      <c r="C6807" t="str">
        <f t="shared" si="111"/>
        <v>1986 q3</v>
      </c>
    </row>
    <row r="6808" spans="1:3">
      <c r="A6808" s="62">
        <v>31666</v>
      </c>
      <c r="B6808">
        <v>0.60499999999999998</v>
      </c>
      <c r="C6808" t="str">
        <f t="shared" si="111"/>
        <v>1986 q3</v>
      </c>
    </row>
    <row r="6809" spans="1:3">
      <c r="A6809" s="62">
        <v>31667</v>
      </c>
      <c r="B6809">
        <v>0.60799999999999998</v>
      </c>
      <c r="C6809" t="str">
        <f t="shared" si="111"/>
        <v>1986 q3</v>
      </c>
    </row>
    <row r="6810" spans="1:3">
      <c r="A6810" s="62">
        <v>31670</v>
      </c>
      <c r="B6810">
        <v>0.61350000000000005</v>
      </c>
      <c r="C6810" t="str">
        <f t="shared" si="111"/>
        <v>1986 q3</v>
      </c>
    </row>
    <row r="6811" spans="1:3">
      <c r="A6811" s="62">
        <v>31671</v>
      </c>
      <c r="B6811">
        <v>0.62150000000000005</v>
      </c>
      <c r="C6811" t="str">
        <f t="shared" si="111"/>
        <v>1986 q3</v>
      </c>
    </row>
    <row r="6812" spans="1:3">
      <c r="A6812" s="62">
        <v>31672</v>
      </c>
      <c r="B6812">
        <v>0.62150000000000005</v>
      </c>
      <c r="C6812" t="str">
        <f t="shared" si="111"/>
        <v>1986 q3</v>
      </c>
    </row>
    <row r="6813" spans="1:3">
      <c r="A6813" s="62">
        <v>31673</v>
      </c>
      <c r="B6813">
        <v>0.62250000000000005</v>
      </c>
      <c r="C6813" t="str">
        <f t="shared" si="111"/>
        <v>1986 q3</v>
      </c>
    </row>
    <row r="6814" spans="1:3">
      <c r="A6814" s="62">
        <v>31674</v>
      </c>
      <c r="B6814">
        <v>0.624</v>
      </c>
      <c r="C6814" t="str">
        <f t="shared" si="111"/>
        <v>1986 q3</v>
      </c>
    </row>
    <row r="6815" spans="1:3">
      <c r="A6815" s="62">
        <v>31677</v>
      </c>
      <c r="B6815">
        <v>0.61550000000000005</v>
      </c>
      <c r="C6815" t="str">
        <f t="shared" si="111"/>
        <v>1986 q3</v>
      </c>
    </row>
    <row r="6816" spans="1:3">
      <c r="A6816" s="62">
        <v>31678</v>
      </c>
      <c r="B6816">
        <v>0.61050000000000004</v>
      </c>
      <c r="C6816" t="str">
        <f t="shared" si="111"/>
        <v>1986 q3</v>
      </c>
    </row>
    <row r="6817" spans="1:3">
      <c r="A6817" s="62">
        <v>31679</v>
      </c>
      <c r="B6817">
        <v>0.61150000000000004</v>
      </c>
      <c r="C6817" t="str">
        <f t="shared" si="111"/>
        <v>1986 q3</v>
      </c>
    </row>
    <row r="6818" spans="1:3">
      <c r="A6818" s="62">
        <v>31680</v>
      </c>
      <c r="B6818">
        <v>0.61450000000000005</v>
      </c>
      <c r="C6818" t="str">
        <f t="shared" si="111"/>
        <v>1986 q3</v>
      </c>
    </row>
    <row r="6819" spans="1:3">
      <c r="A6819" s="62">
        <v>31681</v>
      </c>
      <c r="B6819">
        <v>0.61250000000000004</v>
      </c>
      <c r="C6819" t="str">
        <f t="shared" si="111"/>
        <v>1986 q3</v>
      </c>
    </row>
    <row r="6820" spans="1:3">
      <c r="A6820" s="62">
        <v>31684</v>
      </c>
      <c r="B6820">
        <v>0.61150000000000004</v>
      </c>
      <c r="C6820" t="str">
        <f t="shared" si="111"/>
        <v>1986 q3</v>
      </c>
    </row>
    <row r="6821" spans="1:3">
      <c r="A6821" s="62">
        <v>31685</v>
      </c>
      <c r="B6821">
        <v>0.61199999999999999</v>
      </c>
      <c r="C6821" t="str">
        <f t="shared" si="111"/>
        <v>1986 q3</v>
      </c>
    </row>
    <row r="6822" spans="1:3">
      <c r="A6822" s="62">
        <v>31686</v>
      </c>
      <c r="B6822">
        <v>0.59799999999999998</v>
      </c>
      <c r="C6822" t="str">
        <f t="shared" si="111"/>
        <v>1986 q4</v>
      </c>
    </row>
    <row r="6823" spans="1:3">
      <c r="A6823" s="62">
        <v>31687</v>
      </c>
      <c r="B6823">
        <v>0.59899999999999998</v>
      </c>
      <c r="C6823" t="str">
        <f t="shared" si="111"/>
        <v>1986 q4</v>
      </c>
    </row>
    <row r="6824" spans="1:3">
      <c r="A6824" s="62">
        <v>31688</v>
      </c>
      <c r="B6824">
        <v>0.59799999999999998</v>
      </c>
      <c r="C6824" t="str">
        <f t="shared" si="111"/>
        <v>1986 q4</v>
      </c>
    </row>
    <row r="6825" spans="1:3">
      <c r="A6825" s="62">
        <v>31691</v>
      </c>
      <c r="B6825">
        <v>0.59850000000000003</v>
      </c>
      <c r="C6825" t="str">
        <f t="shared" si="111"/>
        <v>1986 q4</v>
      </c>
    </row>
    <row r="6826" spans="1:3">
      <c r="A6826" s="62">
        <v>31692</v>
      </c>
      <c r="B6826">
        <v>0.59450000000000003</v>
      </c>
      <c r="C6826" t="str">
        <f t="shared" si="111"/>
        <v>1986 q4</v>
      </c>
    </row>
    <row r="6827" spans="1:3">
      <c r="A6827" s="62">
        <v>31693</v>
      </c>
      <c r="B6827">
        <v>0.59399999999999997</v>
      </c>
      <c r="C6827" t="str">
        <f t="shared" si="111"/>
        <v>1986 q4</v>
      </c>
    </row>
    <row r="6828" spans="1:3">
      <c r="A6828" s="62">
        <v>31694</v>
      </c>
      <c r="B6828">
        <v>0.59099999999999997</v>
      </c>
      <c r="C6828" t="str">
        <f t="shared" si="111"/>
        <v>1986 q4</v>
      </c>
    </row>
    <row r="6829" spans="1:3">
      <c r="A6829" s="62">
        <v>31695</v>
      </c>
      <c r="B6829">
        <v>0.59599999999999997</v>
      </c>
      <c r="C6829" t="str">
        <f t="shared" si="111"/>
        <v>1986 q4</v>
      </c>
    </row>
    <row r="6830" spans="1:3">
      <c r="A6830" s="62">
        <v>31698</v>
      </c>
      <c r="B6830">
        <v>0.59599999999999997</v>
      </c>
      <c r="C6830" t="str">
        <f t="shared" si="111"/>
        <v>1986 q4</v>
      </c>
    </row>
    <row r="6831" spans="1:3">
      <c r="A6831" s="62">
        <v>31699</v>
      </c>
      <c r="B6831">
        <v>0.59850000000000003</v>
      </c>
      <c r="C6831" t="str">
        <f t="shared" si="111"/>
        <v>1986 q4</v>
      </c>
    </row>
    <row r="6832" spans="1:3">
      <c r="A6832" s="62">
        <v>31700</v>
      </c>
      <c r="B6832">
        <v>0.59899999999999998</v>
      </c>
      <c r="C6832" t="str">
        <f t="shared" si="111"/>
        <v>1986 q4</v>
      </c>
    </row>
    <row r="6833" spans="1:3">
      <c r="A6833" s="62">
        <v>31701</v>
      </c>
      <c r="B6833">
        <v>0.60099999999999998</v>
      </c>
      <c r="C6833" t="str">
        <f t="shared" si="111"/>
        <v>1986 q4</v>
      </c>
    </row>
    <row r="6834" spans="1:3">
      <c r="A6834" s="62">
        <v>31702</v>
      </c>
      <c r="B6834">
        <v>0.59799999999999998</v>
      </c>
      <c r="C6834" t="str">
        <f t="shared" si="111"/>
        <v>1986 q4</v>
      </c>
    </row>
    <row r="6835" spans="1:3">
      <c r="A6835" s="62">
        <v>31705</v>
      </c>
      <c r="B6835">
        <v>0.60299999999999998</v>
      </c>
      <c r="C6835" t="str">
        <f t="shared" si="111"/>
        <v>1986 q4</v>
      </c>
    </row>
    <row r="6836" spans="1:3">
      <c r="A6836" s="62">
        <v>31706</v>
      </c>
      <c r="B6836">
        <v>0.60250000000000004</v>
      </c>
      <c r="C6836" t="str">
        <f t="shared" si="111"/>
        <v>1986 q4</v>
      </c>
    </row>
    <row r="6837" spans="1:3">
      <c r="A6837" s="62">
        <v>31707</v>
      </c>
      <c r="B6837">
        <v>0.60399999999999998</v>
      </c>
      <c r="C6837" t="str">
        <f t="shared" si="111"/>
        <v>1986 q4</v>
      </c>
    </row>
    <row r="6838" spans="1:3">
      <c r="A6838" s="62">
        <v>31708</v>
      </c>
      <c r="B6838">
        <v>0.60550000000000004</v>
      </c>
      <c r="C6838" t="str">
        <f t="shared" si="111"/>
        <v>1986 q4</v>
      </c>
    </row>
    <row r="6839" spans="1:3">
      <c r="A6839" s="62">
        <v>31709</v>
      </c>
      <c r="B6839">
        <v>0.59899999999999998</v>
      </c>
      <c r="C6839" t="str">
        <f t="shared" si="111"/>
        <v>1986 q4</v>
      </c>
    </row>
    <row r="6840" spans="1:3">
      <c r="A6840" s="62">
        <v>31712</v>
      </c>
      <c r="B6840">
        <v>0.59450000000000003</v>
      </c>
      <c r="C6840" t="str">
        <f t="shared" si="111"/>
        <v>1986 q4</v>
      </c>
    </row>
    <row r="6841" spans="1:3">
      <c r="A6841" s="62">
        <v>31713</v>
      </c>
      <c r="B6841">
        <v>0.58899999999999997</v>
      </c>
      <c r="C6841" t="str">
        <f t="shared" si="111"/>
        <v>1986 q4</v>
      </c>
    </row>
    <row r="6842" spans="1:3">
      <c r="A6842" s="62">
        <v>31714</v>
      </c>
      <c r="B6842">
        <v>0.58550000000000002</v>
      </c>
      <c r="C6842" t="str">
        <f t="shared" si="111"/>
        <v>1986 q4</v>
      </c>
    </row>
    <row r="6843" spans="1:3">
      <c r="A6843" s="62">
        <v>31715</v>
      </c>
      <c r="B6843">
        <v>0.59099999999999997</v>
      </c>
      <c r="C6843" t="str">
        <f t="shared" si="111"/>
        <v>1986 q4</v>
      </c>
    </row>
    <row r="6844" spans="1:3">
      <c r="A6844" s="62">
        <v>31716</v>
      </c>
      <c r="B6844">
        <v>0.58799999999999997</v>
      </c>
      <c r="C6844" t="str">
        <f t="shared" si="111"/>
        <v>1986 q4</v>
      </c>
    </row>
    <row r="6845" spans="1:3">
      <c r="A6845" s="62">
        <v>31719</v>
      </c>
      <c r="B6845">
        <v>0.59099999999999997</v>
      </c>
      <c r="C6845" t="str">
        <f t="shared" si="111"/>
        <v>1986 q4</v>
      </c>
    </row>
    <row r="6846" spans="1:3">
      <c r="A6846" s="62">
        <v>31720</v>
      </c>
      <c r="B6846">
        <v>0.59199999999999997</v>
      </c>
      <c r="C6846" t="str">
        <f t="shared" si="111"/>
        <v>1986 q4</v>
      </c>
    </row>
    <row r="6847" spans="1:3">
      <c r="A6847" s="62">
        <v>31721</v>
      </c>
      <c r="B6847">
        <v>0.58899999999999997</v>
      </c>
      <c r="C6847" t="str">
        <f t="shared" si="111"/>
        <v>1986 q4</v>
      </c>
    </row>
    <row r="6848" spans="1:3">
      <c r="A6848" s="62">
        <v>31722</v>
      </c>
      <c r="B6848">
        <v>0.59050000000000002</v>
      </c>
      <c r="C6848" t="str">
        <f t="shared" si="111"/>
        <v>1986 q4</v>
      </c>
    </row>
    <row r="6849" spans="1:3">
      <c r="A6849" s="62">
        <v>31723</v>
      </c>
      <c r="B6849">
        <v>0.59150000000000003</v>
      </c>
      <c r="C6849" t="str">
        <f t="shared" si="111"/>
        <v>1986 q4</v>
      </c>
    </row>
    <row r="6850" spans="1:3">
      <c r="A6850" s="62">
        <v>31726</v>
      </c>
      <c r="B6850">
        <v>0.58850000000000002</v>
      </c>
      <c r="C6850" t="str">
        <f t="shared" si="111"/>
        <v>1986 q4</v>
      </c>
    </row>
    <row r="6851" spans="1:3">
      <c r="A6851" s="62">
        <v>31727</v>
      </c>
      <c r="B6851">
        <v>0.59</v>
      </c>
      <c r="C6851" t="str">
        <f t="shared" si="111"/>
        <v>1986 q4</v>
      </c>
    </row>
    <row r="6852" spans="1:3">
      <c r="A6852" s="62">
        <v>31728</v>
      </c>
      <c r="B6852">
        <v>0.58899999999999997</v>
      </c>
      <c r="C6852" t="str">
        <f t="shared" si="111"/>
        <v>1986 q4</v>
      </c>
    </row>
    <row r="6853" spans="1:3">
      <c r="A6853" s="62">
        <v>31729</v>
      </c>
      <c r="B6853">
        <v>0.58699999999999997</v>
      </c>
      <c r="C6853" t="str">
        <f t="shared" si="111"/>
        <v>1986 q4</v>
      </c>
    </row>
    <row r="6854" spans="1:3">
      <c r="A6854" s="62">
        <v>31730</v>
      </c>
      <c r="B6854">
        <v>0.58799999999999997</v>
      </c>
      <c r="C6854" t="str">
        <f t="shared" si="111"/>
        <v>1986 q4</v>
      </c>
    </row>
    <row r="6855" spans="1:3">
      <c r="A6855" s="62">
        <v>31733</v>
      </c>
      <c r="B6855">
        <v>0.58450000000000002</v>
      </c>
      <c r="C6855" t="str">
        <f t="shared" si="111"/>
        <v>1986 q4</v>
      </c>
    </row>
    <row r="6856" spans="1:3">
      <c r="A6856" s="62">
        <v>31734</v>
      </c>
      <c r="B6856">
        <v>0.58450000000000002</v>
      </c>
      <c r="C6856" t="str">
        <f t="shared" si="111"/>
        <v>1986 q4</v>
      </c>
    </row>
    <row r="6857" spans="1:3">
      <c r="A6857" s="62">
        <v>31735</v>
      </c>
      <c r="B6857">
        <v>0.59099999999999997</v>
      </c>
      <c r="C6857" t="str">
        <f t="shared" si="111"/>
        <v>1986 q4</v>
      </c>
    </row>
    <row r="6858" spans="1:3">
      <c r="A6858" s="62">
        <v>31736</v>
      </c>
      <c r="B6858">
        <v>0.59599999999999997</v>
      </c>
      <c r="C6858" t="str">
        <f t="shared" si="111"/>
        <v>1986 q4</v>
      </c>
    </row>
    <row r="6859" spans="1:3">
      <c r="A6859" s="62">
        <v>31737</v>
      </c>
      <c r="B6859">
        <v>0.59099999999999997</v>
      </c>
      <c r="C6859" t="str">
        <f t="shared" si="111"/>
        <v>1986 q4</v>
      </c>
    </row>
    <row r="6860" spans="1:3">
      <c r="A6860" s="62">
        <v>31740</v>
      </c>
      <c r="B6860">
        <v>0.58889999999999998</v>
      </c>
      <c r="C6860" t="str">
        <f t="shared" si="111"/>
        <v>1986 q4</v>
      </c>
    </row>
    <row r="6861" spans="1:3">
      <c r="A6861" s="62">
        <v>31741</v>
      </c>
      <c r="B6861">
        <v>0.59179999999999999</v>
      </c>
      <c r="C6861" t="str">
        <f t="shared" si="111"/>
        <v>1986 q4</v>
      </c>
    </row>
    <row r="6862" spans="1:3">
      <c r="A6862" s="62">
        <v>31742</v>
      </c>
      <c r="B6862">
        <v>0.59850000000000003</v>
      </c>
      <c r="C6862" t="str">
        <f t="shared" si="111"/>
        <v>1986 q4</v>
      </c>
    </row>
    <row r="6863" spans="1:3">
      <c r="A6863" s="62">
        <v>31744</v>
      </c>
      <c r="B6863">
        <v>0.60450000000000004</v>
      </c>
      <c r="C6863" t="str">
        <f t="shared" si="111"/>
        <v>1986 q4</v>
      </c>
    </row>
    <row r="6864" spans="1:3">
      <c r="A6864" s="62">
        <v>31747</v>
      </c>
      <c r="B6864">
        <v>0.60650000000000004</v>
      </c>
      <c r="C6864" t="str">
        <f t="shared" si="111"/>
        <v>1986 q4</v>
      </c>
    </row>
    <row r="6865" spans="1:3">
      <c r="A6865" s="62">
        <v>31748</v>
      </c>
      <c r="B6865">
        <v>0.60499999999999998</v>
      </c>
      <c r="C6865" t="str">
        <f t="shared" si="111"/>
        <v>1986 q4</v>
      </c>
    </row>
    <row r="6866" spans="1:3">
      <c r="A6866" s="62">
        <v>31749</v>
      </c>
      <c r="B6866">
        <v>0.60599999999999998</v>
      </c>
      <c r="C6866" t="str">
        <f t="shared" ref="C6866:C6929" si="112">YEAR(A6866)&amp;" q"&amp;ROUNDUP(MONTH(A6866)/3,0)</f>
        <v>1986 q4</v>
      </c>
    </row>
    <row r="6867" spans="1:3">
      <c r="A6867" s="62">
        <v>31750</v>
      </c>
      <c r="B6867">
        <v>0.60750000000000004</v>
      </c>
      <c r="C6867" t="str">
        <f t="shared" si="112"/>
        <v>1986 q4</v>
      </c>
    </row>
    <row r="6868" spans="1:3">
      <c r="A6868" s="62">
        <v>31751</v>
      </c>
      <c r="B6868">
        <v>0.60150000000000003</v>
      </c>
      <c r="C6868" t="str">
        <f t="shared" si="112"/>
        <v>1986 q4</v>
      </c>
    </row>
    <row r="6869" spans="1:3">
      <c r="A6869" s="62">
        <v>31754</v>
      </c>
      <c r="B6869">
        <v>0.59850000000000003</v>
      </c>
      <c r="C6869" t="str">
        <f t="shared" si="112"/>
        <v>1986 q4</v>
      </c>
    </row>
    <row r="6870" spans="1:3">
      <c r="A6870" s="62">
        <v>31755</v>
      </c>
      <c r="B6870">
        <v>0.59599999999999997</v>
      </c>
      <c r="C6870" t="str">
        <f t="shared" si="112"/>
        <v>1986 q4</v>
      </c>
    </row>
    <row r="6871" spans="1:3">
      <c r="A6871" s="62">
        <v>31756</v>
      </c>
      <c r="B6871">
        <v>0.59399999999999997</v>
      </c>
      <c r="C6871" t="str">
        <f t="shared" si="112"/>
        <v>1986 q4</v>
      </c>
    </row>
    <row r="6872" spans="1:3">
      <c r="A6872" s="62">
        <v>31757</v>
      </c>
      <c r="B6872">
        <v>0.59799999999999998</v>
      </c>
      <c r="C6872" t="str">
        <f t="shared" si="112"/>
        <v>1986 q4</v>
      </c>
    </row>
    <row r="6873" spans="1:3">
      <c r="A6873" s="62">
        <v>31758</v>
      </c>
      <c r="B6873">
        <v>0.59899999999999998</v>
      </c>
      <c r="C6873" t="str">
        <f t="shared" si="112"/>
        <v>1986 q4</v>
      </c>
    </row>
    <row r="6874" spans="1:3">
      <c r="A6874" s="62">
        <v>31761</v>
      </c>
      <c r="B6874">
        <v>0.60150000000000003</v>
      </c>
      <c r="C6874" t="str">
        <f t="shared" si="112"/>
        <v>1986 q4</v>
      </c>
    </row>
    <row r="6875" spans="1:3">
      <c r="A6875" s="62">
        <v>31762</v>
      </c>
      <c r="B6875">
        <v>0.59899999999999998</v>
      </c>
      <c r="C6875" t="str">
        <f t="shared" si="112"/>
        <v>1986 q4</v>
      </c>
    </row>
    <row r="6876" spans="1:3">
      <c r="A6876" s="62">
        <v>31763</v>
      </c>
      <c r="B6876">
        <v>0.60150000000000003</v>
      </c>
      <c r="C6876" t="str">
        <f t="shared" si="112"/>
        <v>1986 q4</v>
      </c>
    </row>
    <row r="6877" spans="1:3">
      <c r="A6877" s="62">
        <v>31764</v>
      </c>
      <c r="B6877">
        <v>0.60099999999999998</v>
      </c>
      <c r="C6877" t="str">
        <f t="shared" si="112"/>
        <v>1986 q4</v>
      </c>
    </row>
    <row r="6878" spans="1:3">
      <c r="A6878" s="62">
        <v>31765</v>
      </c>
      <c r="B6878">
        <v>0.60199999999999998</v>
      </c>
      <c r="C6878" t="str">
        <f t="shared" si="112"/>
        <v>1986 q4</v>
      </c>
    </row>
    <row r="6879" spans="1:3">
      <c r="A6879" s="62">
        <v>31768</v>
      </c>
      <c r="B6879">
        <v>0.59950000000000003</v>
      </c>
      <c r="C6879" t="str">
        <f t="shared" si="112"/>
        <v>1986 q4</v>
      </c>
    </row>
    <row r="6880" spans="1:3">
      <c r="A6880" s="62">
        <v>31769</v>
      </c>
      <c r="B6880">
        <v>0.59850000000000003</v>
      </c>
      <c r="C6880" t="str">
        <f t="shared" si="112"/>
        <v>1986 q4</v>
      </c>
    </row>
    <row r="6881" spans="1:3">
      <c r="A6881" s="62">
        <v>31770</v>
      </c>
      <c r="B6881">
        <v>0.60229999999999995</v>
      </c>
      <c r="C6881" t="str">
        <f t="shared" si="112"/>
        <v>1986 q4</v>
      </c>
    </row>
    <row r="6882" spans="1:3">
      <c r="A6882" s="62">
        <v>31775</v>
      </c>
      <c r="B6882">
        <v>0.60589999999999999</v>
      </c>
      <c r="C6882" t="str">
        <f t="shared" si="112"/>
        <v>1986 q4</v>
      </c>
    </row>
    <row r="6883" spans="1:3">
      <c r="A6883" s="62">
        <v>31776</v>
      </c>
      <c r="B6883">
        <v>0.60670000000000002</v>
      </c>
      <c r="C6883" t="str">
        <f t="shared" si="112"/>
        <v>1986 q4</v>
      </c>
    </row>
    <row r="6884" spans="1:3">
      <c r="A6884" s="62">
        <v>31777</v>
      </c>
      <c r="B6884">
        <v>0.61</v>
      </c>
      <c r="C6884" t="str">
        <f t="shared" si="112"/>
        <v>1986 q4</v>
      </c>
    </row>
    <row r="6885" spans="1:3">
      <c r="A6885" s="62">
        <v>31779</v>
      </c>
      <c r="B6885">
        <v>0.61350000000000005</v>
      </c>
      <c r="C6885" t="str">
        <f t="shared" si="112"/>
        <v>1987 q1</v>
      </c>
    </row>
    <row r="6886" spans="1:3">
      <c r="A6886" s="62">
        <v>31782</v>
      </c>
      <c r="B6886">
        <v>0.62250000000000005</v>
      </c>
      <c r="C6886" t="str">
        <f t="shared" si="112"/>
        <v>1987 q1</v>
      </c>
    </row>
    <row r="6887" spans="1:3">
      <c r="A6887" s="62">
        <v>31783</v>
      </c>
      <c r="B6887">
        <v>0.62</v>
      </c>
      <c r="C6887" t="str">
        <f t="shared" si="112"/>
        <v>1987 q1</v>
      </c>
    </row>
    <row r="6888" spans="1:3">
      <c r="A6888" s="62">
        <v>31784</v>
      </c>
      <c r="B6888">
        <v>0.61850000000000005</v>
      </c>
      <c r="C6888" t="str">
        <f t="shared" si="112"/>
        <v>1987 q1</v>
      </c>
    </row>
    <row r="6889" spans="1:3">
      <c r="A6889" s="62">
        <v>31785</v>
      </c>
      <c r="B6889">
        <v>0.61750000000000005</v>
      </c>
      <c r="C6889" t="str">
        <f t="shared" si="112"/>
        <v>1987 q1</v>
      </c>
    </row>
    <row r="6890" spans="1:3">
      <c r="A6890" s="62">
        <v>31786</v>
      </c>
      <c r="B6890">
        <v>0.61699999999999999</v>
      </c>
      <c r="C6890" t="str">
        <f t="shared" si="112"/>
        <v>1987 q1</v>
      </c>
    </row>
    <row r="6891" spans="1:3">
      <c r="A6891" s="62">
        <v>31789</v>
      </c>
      <c r="B6891">
        <v>0.61750000000000005</v>
      </c>
      <c r="C6891" t="str">
        <f t="shared" si="112"/>
        <v>1987 q1</v>
      </c>
    </row>
    <row r="6892" spans="1:3">
      <c r="A6892" s="62">
        <v>31790</v>
      </c>
      <c r="B6892">
        <v>0.61750000000000005</v>
      </c>
      <c r="C6892" t="str">
        <f t="shared" si="112"/>
        <v>1987 q1</v>
      </c>
    </row>
    <row r="6893" spans="1:3">
      <c r="A6893" s="62">
        <v>31791</v>
      </c>
      <c r="B6893">
        <v>0.621</v>
      </c>
      <c r="C6893" t="str">
        <f t="shared" si="112"/>
        <v>1987 q1</v>
      </c>
    </row>
    <row r="6894" spans="1:3">
      <c r="A6894" s="62">
        <v>31792</v>
      </c>
      <c r="B6894">
        <v>0.61350000000000005</v>
      </c>
      <c r="C6894" t="str">
        <f t="shared" si="112"/>
        <v>1987 q1</v>
      </c>
    </row>
    <row r="6895" spans="1:3">
      <c r="A6895" s="62">
        <v>31793</v>
      </c>
      <c r="B6895">
        <v>0.60599999999999998</v>
      </c>
      <c r="C6895" t="str">
        <f t="shared" si="112"/>
        <v>1987 q1</v>
      </c>
    </row>
    <row r="6896" spans="1:3">
      <c r="A6896" s="62">
        <v>31796</v>
      </c>
      <c r="B6896">
        <v>0.60750000000000004</v>
      </c>
      <c r="C6896" t="str">
        <f t="shared" si="112"/>
        <v>1987 q1</v>
      </c>
    </row>
    <row r="6897" spans="1:3">
      <c r="A6897" s="62">
        <v>31797</v>
      </c>
      <c r="B6897">
        <v>0.60199999999999998</v>
      </c>
      <c r="C6897" t="str">
        <f t="shared" si="112"/>
        <v>1987 q1</v>
      </c>
    </row>
    <row r="6898" spans="1:3">
      <c r="A6898" s="62">
        <v>31798</v>
      </c>
      <c r="B6898">
        <v>0.60799999999999998</v>
      </c>
      <c r="C6898" t="str">
        <f t="shared" si="112"/>
        <v>1987 q1</v>
      </c>
    </row>
    <row r="6899" spans="1:3">
      <c r="A6899" s="62">
        <v>31799</v>
      </c>
      <c r="B6899">
        <v>0.60799999999999998</v>
      </c>
      <c r="C6899" t="str">
        <f t="shared" si="112"/>
        <v>1987 q1</v>
      </c>
    </row>
    <row r="6900" spans="1:3">
      <c r="A6900" s="62">
        <v>31800</v>
      </c>
      <c r="B6900">
        <v>0.60499999999999998</v>
      </c>
      <c r="C6900" t="str">
        <f t="shared" si="112"/>
        <v>1987 q1</v>
      </c>
    </row>
    <row r="6901" spans="1:3">
      <c r="A6901" s="62">
        <v>31803</v>
      </c>
      <c r="B6901">
        <v>0.61599999999999999</v>
      </c>
      <c r="C6901" t="str">
        <f t="shared" si="112"/>
        <v>1987 q1</v>
      </c>
    </row>
    <row r="6902" spans="1:3">
      <c r="A6902" s="62">
        <v>31804</v>
      </c>
      <c r="B6902">
        <v>0.61450000000000005</v>
      </c>
      <c r="C6902" t="str">
        <f t="shared" si="112"/>
        <v>1987 q1</v>
      </c>
    </row>
    <row r="6903" spans="1:3">
      <c r="A6903" s="62">
        <v>31805</v>
      </c>
      <c r="B6903">
        <v>0.60750000000000004</v>
      </c>
      <c r="C6903" t="str">
        <f t="shared" si="112"/>
        <v>1987 q1</v>
      </c>
    </row>
    <row r="6904" spans="1:3">
      <c r="A6904" s="62">
        <v>31806</v>
      </c>
      <c r="B6904">
        <v>0.61199999999999999</v>
      </c>
      <c r="C6904" t="str">
        <f t="shared" si="112"/>
        <v>1987 q1</v>
      </c>
    </row>
    <row r="6905" spans="1:3">
      <c r="A6905" s="62">
        <v>31807</v>
      </c>
      <c r="B6905">
        <v>0.60399999999999998</v>
      </c>
      <c r="C6905" t="str">
        <f t="shared" si="112"/>
        <v>1987 q1</v>
      </c>
    </row>
    <row r="6906" spans="1:3">
      <c r="A6906" s="62">
        <v>31810</v>
      </c>
      <c r="B6906">
        <v>0.60599999999999998</v>
      </c>
      <c r="C6906" t="str">
        <f t="shared" si="112"/>
        <v>1987 q1</v>
      </c>
    </row>
    <row r="6907" spans="1:3">
      <c r="A6907" s="62">
        <v>31811</v>
      </c>
      <c r="B6907">
        <v>0.60850000000000004</v>
      </c>
      <c r="C6907" t="str">
        <f t="shared" si="112"/>
        <v>1987 q1</v>
      </c>
    </row>
    <row r="6908" spans="1:3">
      <c r="A6908" s="62">
        <v>31812</v>
      </c>
      <c r="B6908">
        <v>0.60950000000000004</v>
      </c>
      <c r="C6908" t="str">
        <f t="shared" si="112"/>
        <v>1987 q1</v>
      </c>
    </row>
    <row r="6909" spans="1:3">
      <c r="A6909" s="62">
        <v>31813</v>
      </c>
      <c r="B6909">
        <v>0.60899999999999999</v>
      </c>
      <c r="C6909" t="str">
        <f t="shared" si="112"/>
        <v>1987 q1</v>
      </c>
    </row>
    <row r="6910" spans="1:3">
      <c r="A6910" s="62">
        <v>31814</v>
      </c>
      <c r="B6910">
        <v>0.60899999999999999</v>
      </c>
      <c r="C6910" t="str">
        <f t="shared" si="112"/>
        <v>1987 q1</v>
      </c>
    </row>
    <row r="6911" spans="1:3">
      <c r="A6911" s="62">
        <v>31817</v>
      </c>
      <c r="B6911">
        <v>0.61099999999999999</v>
      </c>
      <c r="C6911" t="str">
        <f t="shared" si="112"/>
        <v>1987 q1</v>
      </c>
    </row>
    <row r="6912" spans="1:3">
      <c r="A6912" s="62">
        <v>31818</v>
      </c>
      <c r="B6912">
        <v>0.61199999999999999</v>
      </c>
      <c r="C6912" t="str">
        <f t="shared" si="112"/>
        <v>1987 q1</v>
      </c>
    </row>
    <row r="6913" spans="1:3">
      <c r="A6913" s="62">
        <v>31819</v>
      </c>
      <c r="B6913">
        <v>0.61150000000000004</v>
      </c>
      <c r="C6913" t="str">
        <f t="shared" si="112"/>
        <v>1987 q1</v>
      </c>
    </row>
    <row r="6914" spans="1:3">
      <c r="A6914" s="62">
        <v>31820</v>
      </c>
      <c r="B6914">
        <v>0.60899999999999999</v>
      </c>
      <c r="C6914" t="str">
        <f t="shared" si="112"/>
        <v>1987 q1</v>
      </c>
    </row>
    <row r="6915" spans="1:3">
      <c r="A6915" s="62">
        <v>31821</v>
      </c>
      <c r="B6915">
        <v>0.60799999999999998</v>
      </c>
      <c r="C6915" t="str">
        <f t="shared" si="112"/>
        <v>1987 q1</v>
      </c>
    </row>
    <row r="6916" spans="1:3">
      <c r="A6916" s="62">
        <v>31825</v>
      </c>
      <c r="B6916">
        <v>0.61550000000000005</v>
      </c>
      <c r="C6916" t="str">
        <f t="shared" si="112"/>
        <v>1987 q1</v>
      </c>
    </row>
    <row r="6917" spans="1:3">
      <c r="A6917" s="62">
        <v>31826</v>
      </c>
      <c r="B6917">
        <v>0.63</v>
      </c>
      <c r="C6917" t="str">
        <f t="shared" si="112"/>
        <v>1987 q1</v>
      </c>
    </row>
    <row r="6918" spans="1:3">
      <c r="A6918" s="62">
        <v>31827</v>
      </c>
      <c r="B6918">
        <v>0.63049999999999995</v>
      </c>
      <c r="C6918" t="str">
        <f t="shared" si="112"/>
        <v>1987 q1</v>
      </c>
    </row>
    <row r="6919" spans="1:3">
      <c r="A6919" s="62">
        <v>31828</v>
      </c>
      <c r="B6919">
        <v>0.63500000000000001</v>
      </c>
      <c r="C6919" t="str">
        <f t="shared" si="112"/>
        <v>1987 q1</v>
      </c>
    </row>
    <row r="6920" spans="1:3">
      <c r="A6920" s="62">
        <v>31831</v>
      </c>
      <c r="B6920">
        <v>0.62649999999999995</v>
      </c>
      <c r="C6920" t="str">
        <f t="shared" si="112"/>
        <v>1987 q1</v>
      </c>
    </row>
    <row r="6921" spans="1:3">
      <c r="A6921" s="62">
        <v>31832</v>
      </c>
      <c r="B6921">
        <v>0.62429999999999997</v>
      </c>
      <c r="C6921" t="str">
        <f t="shared" si="112"/>
        <v>1987 q1</v>
      </c>
    </row>
    <row r="6922" spans="1:3">
      <c r="A6922" s="62">
        <v>31833</v>
      </c>
      <c r="B6922">
        <v>0.63390000000000002</v>
      </c>
      <c r="C6922" t="str">
        <f t="shared" si="112"/>
        <v>1987 q1</v>
      </c>
    </row>
    <row r="6923" spans="1:3">
      <c r="A6923" s="62">
        <v>31834</v>
      </c>
      <c r="B6923">
        <v>0.62749999999999995</v>
      </c>
      <c r="C6923" t="str">
        <f t="shared" si="112"/>
        <v>1987 q1</v>
      </c>
    </row>
    <row r="6924" spans="1:3">
      <c r="A6924" s="62">
        <v>31835</v>
      </c>
      <c r="B6924">
        <v>0.63400000000000001</v>
      </c>
      <c r="C6924" t="str">
        <f t="shared" si="112"/>
        <v>1987 q1</v>
      </c>
    </row>
    <row r="6925" spans="1:3">
      <c r="A6925" s="62">
        <v>31838</v>
      </c>
      <c r="B6925">
        <v>0.63149999999999995</v>
      </c>
      <c r="C6925" t="str">
        <f t="shared" si="112"/>
        <v>1987 q1</v>
      </c>
    </row>
    <row r="6926" spans="1:3">
      <c r="A6926" s="62">
        <v>31839</v>
      </c>
      <c r="B6926">
        <v>0.63149999999999995</v>
      </c>
      <c r="C6926" t="str">
        <f t="shared" si="112"/>
        <v>1987 q1</v>
      </c>
    </row>
    <row r="6927" spans="1:3">
      <c r="A6927" s="62">
        <v>31840</v>
      </c>
      <c r="B6927">
        <v>0.62949999999999995</v>
      </c>
      <c r="C6927" t="str">
        <f t="shared" si="112"/>
        <v>1987 q1</v>
      </c>
    </row>
    <row r="6928" spans="1:3">
      <c r="A6928" s="62">
        <v>31841</v>
      </c>
      <c r="B6928">
        <v>0.63200000000000001</v>
      </c>
      <c r="C6928" t="str">
        <f t="shared" si="112"/>
        <v>1987 q1</v>
      </c>
    </row>
    <row r="6929" spans="1:3">
      <c r="A6929" s="62">
        <v>31842</v>
      </c>
      <c r="B6929">
        <v>0.63200000000000001</v>
      </c>
      <c r="C6929" t="str">
        <f t="shared" si="112"/>
        <v>1987 q1</v>
      </c>
    </row>
    <row r="6930" spans="1:3">
      <c r="A6930" s="62">
        <v>31845</v>
      </c>
      <c r="B6930">
        <v>0.629</v>
      </c>
      <c r="C6930" t="str">
        <f t="shared" ref="C6930:C6993" si="113">YEAR(A6930)&amp;" q"&amp;ROUNDUP(MONTH(A6930)/3,0)</f>
        <v>1987 q1</v>
      </c>
    </row>
    <row r="6931" spans="1:3">
      <c r="A6931" s="62">
        <v>31846</v>
      </c>
      <c r="B6931">
        <v>0.63400000000000001</v>
      </c>
      <c r="C6931" t="str">
        <f t="shared" si="113"/>
        <v>1987 q1</v>
      </c>
    </row>
    <row r="6932" spans="1:3">
      <c r="A6932" s="62">
        <v>31847</v>
      </c>
      <c r="B6932">
        <v>0.63549999999999995</v>
      </c>
      <c r="C6932" t="str">
        <f t="shared" si="113"/>
        <v>1987 q1</v>
      </c>
    </row>
    <row r="6933" spans="1:3">
      <c r="A6933" s="62">
        <v>31848</v>
      </c>
      <c r="B6933">
        <v>0.63849999999999996</v>
      </c>
      <c r="C6933" t="str">
        <f t="shared" si="113"/>
        <v>1987 q1</v>
      </c>
    </row>
    <row r="6934" spans="1:3">
      <c r="A6934" s="62">
        <v>31849</v>
      </c>
      <c r="B6934">
        <v>0.63600000000000001</v>
      </c>
      <c r="C6934" t="str">
        <f t="shared" si="113"/>
        <v>1987 q1</v>
      </c>
    </row>
    <row r="6935" spans="1:3">
      <c r="A6935" s="62">
        <v>31852</v>
      </c>
      <c r="B6935">
        <v>0.63349999999999995</v>
      </c>
      <c r="C6935" t="str">
        <f t="shared" si="113"/>
        <v>1987 q1</v>
      </c>
    </row>
    <row r="6936" spans="1:3">
      <c r="A6936" s="62">
        <v>31853</v>
      </c>
      <c r="B6936">
        <v>0.63600000000000001</v>
      </c>
      <c r="C6936" t="str">
        <f t="shared" si="113"/>
        <v>1987 q1</v>
      </c>
    </row>
    <row r="6937" spans="1:3">
      <c r="A6937" s="62">
        <v>31854</v>
      </c>
      <c r="B6937">
        <v>0.63549999999999995</v>
      </c>
      <c r="C6937" t="str">
        <f t="shared" si="113"/>
        <v>1987 q1</v>
      </c>
    </row>
    <row r="6938" spans="1:3">
      <c r="A6938" s="62">
        <v>31855</v>
      </c>
      <c r="B6938">
        <v>0.63849999999999996</v>
      </c>
      <c r="C6938" t="str">
        <f t="shared" si="113"/>
        <v>1987 q1</v>
      </c>
    </row>
    <row r="6939" spans="1:3">
      <c r="A6939" s="62">
        <v>31856</v>
      </c>
      <c r="B6939">
        <v>0.64449999999999996</v>
      </c>
      <c r="C6939" t="str">
        <f t="shared" si="113"/>
        <v>1987 q1</v>
      </c>
    </row>
    <row r="6940" spans="1:3">
      <c r="A6940" s="62">
        <v>31859</v>
      </c>
      <c r="B6940">
        <v>0.64900000000000002</v>
      </c>
      <c r="C6940" t="str">
        <f t="shared" si="113"/>
        <v>1987 q1</v>
      </c>
    </row>
    <row r="6941" spans="1:3">
      <c r="A6941" s="62">
        <v>31860</v>
      </c>
      <c r="B6941">
        <v>0.64700000000000002</v>
      </c>
      <c r="C6941" t="str">
        <f t="shared" si="113"/>
        <v>1987 q1</v>
      </c>
    </row>
    <row r="6942" spans="1:3">
      <c r="A6942" s="62">
        <v>31861</v>
      </c>
      <c r="B6942">
        <v>0.64500000000000002</v>
      </c>
      <c r="C6942" t="str">
        <f t="shared" si="113"/>
        <v>1987 q1</v>
      </c>
    </row>
    <row r="6943" spans="1:3">
      <c r="A6943" s="62">
        <v>31862</v>
      </c>
      <c r="B6943">
        <v>0.64300000000000002</v>
      </c>
      <c r="C6943" t="str">
        <f t="shared" si="113"/>
        <v>1987 q1</v>
      </c>
    </row>
    <row r="6944" spans="1:3">
      <c r="A6944" s="62">
        <v>31863</v>
      </c>
      <c r="B6944">
        <v>0.64400000000000002</v>
      </c>
      <c r="C6944" t="str">
        <f t="shared" si="113"/>
        <v>1987 q1</v>
      </c>
    </row>
    <row r="6945" spans="1:3">
      <c r="A6945" s="62">
        <v>31866</v>
      </c>
      <c r="B6945">
        <v>0.64049999999999996</v>
      </c>
      <c r="C6945" t="str">
        <f t="shared" si="113"/>
        <v>1987 q1</v>
      </c>
    </row>
    <row r="6946" spans="1:3">
      <c r="A6946" s="62">
        <v>31867</v>
      </c>
      <c r="B6946">
        <v>0.62450000000000006</v>
      </c>
      <c r="C6946" t="str">
        <f t="shared" si="113"/>
        <v>1987 q1</v>
      </c>
    </row>
    <row r="6947" spans="1:3">
      <c r="A6947" s="62">
        <v>31868</v>
      </c>
      <c r="B6947">
        <v>0.623</v>
      </c>
      <c r="C6947" t="str">
        <f t="shared" si="113"/>
        <v>1987 q2</v>
      </c>
    </row>
    <row r="6948" spans="1:3">
      <c r="A6948" s="62">
        <v>31869</v>
      </c>
      <c r="B6948">
        <v>0.624</v>
      </c>
      <c r="C6948" t="str">
        <f t="shared" si="113"/>
        <v>1987 q2</v>
      </c>
    </row>
    <row r="6949" spans="1:3">
      <c r="A6949" s="62">
        <v>31870</v>
      </c>
      <c r="B6949">
        <v>0.623</v>
      </c>
      <c r="C6949" t="str">
        <f t="shared" si="113"/>
        <v>1987 q2</v>
      </c>
    </row>
    <row r="6950" spans="1:3">
      <c r="A6950" s="62">
        <v>31873</v>
      </c>
      <c r="B6950">
        <v>0.62649999999999995</v>
      </c>
      <c r="C6950" t="str">
        <f t="shared" si="113"/>
        <v>1987 q2</v>
      </c>
    </row>
    <row r="6951" spans="1:3">
      <c r="A6951" s="62">
        <v>31874</v>
      </c>
      <c r="B6951">
        <v>0.623</v>
      </c>
      <c r="C6951" t="str">
        <f t="shared" si="113"/>
        <v>1987 q2</v>
      </c>
    </row>
    <row r="6952" spans="1:3">
      <c r="A6952" s="62">
        <v>31875</v>
      </c>
      <c r="B6952">
        <v>0.62250000000000005</v>
      </c>
      <c r="C6952" t="str">
        <f t="shared" si="113"/>
        <v>1987 q2</v>
      </c>
    </row>
    <row r="6953" spans="1:3">
      <c r="A6953" s="62">
        <v>31876</v>
      </c>
      <c r="B6953">
        <v>0.624</v>
      </c>
      <c r="C6953" t="str">
        <f t="shared" si="113"/>
        <v>1987 q2</v>
      </c>
    </row>
    <row r="6954" spans="1:3">
      <c r="A6954" s="62">
        <v>31877</v>
      </c>
      <c r="B6954">
        <v>0.626</v>
      </c>
      <c r="C6954" t="str">
        <f t="shared" si="113"/>
        <v>1987 q2</v>
      </c>
    </row>
    <row r="6955" spans="1:3">
      <c r="A6955" s="62">
        <v>31880</v>
      </c>
      <c r="B6955">
        <v>0.62549999999999994</v>
      </c>
      <c r="C6955" t="str">
        <f t="shared" si="113"/>
        <v>1987 q2</v>
      </c>
    </row>
    <row r="6956" spans="1:3">
      <c r="A6956" s="62">
        <v>31881</v>
      </c>
      <c r="B6956">
        <v>0.626</v>
      </c>
      <c r="C6956" t="str">
        <f t="shared" si="113"/>
        <v>1987 q2</v>
      </c>
    </row>
    <row r="6957" spans="1:3">
      <c r="A6957" s="62">
        <v>31882</v>
      </c>
      <c r="B6957">
        <v>0.62849999999999995</v>
      </c>
      <c r="C6957" t="str">
        <f t="shared" si="113"/>
        <v>1987 q2</v>
      </c>
    </row>
    <row r="6958" spans="1:3">
      <c r="A6958" s="62">
        <v>31883</v>
      </c>
      <c r="B6958">
        <v>0.63200000000000001</v>
      </c>
      <c r="C6958" t="str">
        <f t="shared" si="113"/>
        <v>1987 q2</v>
      </c>
    </row>
    <row r="6959" spans="1:3">
      <c r="A6959" s="62">
        <v>31887</v>
      </c>
      <c r="B6959">
        <v>0.63400000000000001</v>
      </c>
      <c r="C6959" t="str">
        <f t="shared" si="113"/>
        <v>1987 q2</v>
      </c>
    </row>
    <row r="6960" spans="1:3">
      <c r="A6960" s="62">
        <v>31888</v>
      </c>
      <c r="B6960">
        <v>0.63349999999999995</v>
      </c>
      <c r="C6960" t="str">
        <f t="shared" si="113"/>
        <v>1987 q2</v>
      </c>
    </row>
    <row r="6961" spans="1:3">
      <c r="A6961" s="62">
        <v>31889</v>
      </c>
      <c r="B6961">
        <v>0.62150000000000005</v>
      </c>
      <c r="C6961" t="str">
        <f t="shared" si="113"/>
        <v>1987 q2</v>
      </c>
    </row>
    <row r="6962" spans="1:3">
      <c r="A6962" s="62">
        <v>31890</v>
      </c>
      <c r="B6962">
        <v>0.61499999999999999</v>
      </c>
      <c r="C6962" t="str">
        <f t="shared" si="113"/>
        <v>1987 q2</v>
      </c>
    </row>
    <row r="6963" spans="1:3">
      <c r="A6963" s="62">
        <v>31891</v>
      </c>
      <c r="B6963">
        <v>0.621</v>
      </c>
      <c r="C6963" t="str">
        <f t="shared" si="113"/>
        <v>1987 q2</v>
      </c>
    </row>
    <row r="6964" spans="1:3">
      <c r="A6964" s="62">
        <v>31894</v>
      </c>
      <c r="B6964">
        <v>0.61950000000000005</v>
      </c>
      <c r="C6964" t="str">
        <f t="shared" si="113"/>
        <v>1987 q2</v>
      </c>
    </row>
    <row r="6965" spans="1:3">
      <c r="A6965" s="62">
        <v>31895</v>
      </c>
      <c r="B6965">
        <v>0.62050000000000005</v>
      </c>
      <c r="C6965" t="str">
        <f t="shared" si="113"/>
        <v>1987 q2</v>
      </c>
    </row>
    <row r="6966" spans="1:3">
      <c r="A6966" s="62">
        <v>31896</v>
      </c>
      <c r="B6966">
        <v>0.61809999999999998</v>
      </c>
      <c r="C6966" t="str">
        <f t="shared" si="113"/>
        <v>1987 q2</v>
      </c>
    </row>
    <row r="6967" spans="1:3">
      <c r="A6967" s="62">
        <v>31897</v>
      </c>
      <c r="B6967">
        <v>0.62180000000000002</v>
      </c>
      <c r="C6967" t="str">
        <f t="shared" si="113"/>
        <v>1987 q2</v>
      </c>
    </row>
    <row r="6968" spans="1:3">
      <c r="A6968" s="62">
        <v>31898</v>
      </c>
      <c r="B6968">
        <v>0.625</v>
      </c>
      <c r="C6968" t="str">
        <f t="shared" si="113"/>
        <v>1987 q2</v>
      </c>
    </row>
    <row r="6969" spans="1:3">
      <c r="A6969" s="62">
        <v>31901</v>
      </c>
      <c r="B6969">
        <v>0.63600000000000001</v>
      </c>
      <c r="C6969" t="str">
        <f t="shared" si="113"/>
        <v>1987 q2</v>
      </c>
    </row>
    <row r="6970" spans="1:3">
      <c r="A6970" s="62">
        <v>31902</v>
      </c>
      <c r="B6970">
        <v>0.64200000000000002</v>
      </c>
      <c r="C6970" t="str">
        <f t="shared" si="113"/>
        <v>1987 q2</v>
      </c>
    </row>
    <row r="6971" spans="1:3">
      <c r="A6971" s="62">
        <v>31903</v>
      </c>
      <c r="B6971">
        <v>0.64749999999999996</v>
      </c>
      <c r="C6971" t="str">
        <f t="shared" si="113"/>
        <v>1987 q2</v>
      </c>
    </row>
    <row r="6972" spans="1:3">
      <c r="A6972" s="62">
        <v>31904</v>
      </c>
      <c r="B6972">
        <v>0.65649999999999997</v>
      </c>
      <c r="C6972" t="str">
        <f t="shared" si="113"/>
        <v>1987 q2</v>
      </c>
    </row>
    <row r="6973" spans="1:3">
      <c r="A6973" s="62">
        <v>31905</v>
      </c>
      <c r="B6973">
        <v>0.65749999999999997</v>
      </c>
      <c r="C6973" t="str">
        <f t="shared" si="113"/>
        <v>1987 q2</v>
      </c>
    </row>
    <row r="6974" spans="1:3">
      <c r="A6974" s="62">
        <v>31908</v>
      </c>
      <c r="B6974">
        <v>0.67449999999999999</v>
      </c>
      <c r="C6974" t="str">
        <f t="shared" si="113"/>
        <v>1987 q2</v>
      </c>
    </row>
    <row r="6975" spans="1:3">
      <c r="A6975" s="62">
        <v>31909</v>
      </c>
      <c r="B6975">
        <v>0.66949999999999998</v>
      </c>
      <c r="C6975" t="str">
        <f t="shared" si="113"/>
        <v>1987 q2</v>
      </c>
    </row>
    <row r="6976" spans="1:3">
      <c r="A6976" s="62">
        <v>31910</v>
      </c>
      <c r="B6976">
        <v>0.66649999999999998</v>
      </c>
      <c r="C6976" t="str">
        <f t="shared" si="113"/>
        <v>1987 q2</v>
      </c>
    </row>
    <row r="6977" spans="1:3">
      <c r="A6977" s="62">
        <v>31911</v>
      </c>
      <c r="B6977">
        <v>0.66800000000000004</v>
      </c>
      <c r="C6977" t="str">
        <f t="shared" si="113"/>
        <v>1987 q2</v>
      </c>
    </row>
    <row r="6978" spans="1:3">
      <c r="A6978" s="62">
        <v>31912</v>
      </c>
      <c r="B6978">
        <v>0.67900000000000005</v>
      </c>
      <c r="C6978" t="str">
        <f t="shared" si="113"/>
        <v>1987 q2</v>
      </c>
    </row>
    <row r="6979" spans="1:3">
      <c r="A6979" s="62">
        <v>31915</v>
      </c>
      <c r="B6979">
        <v>0.65449999999999997</v>
      </c>
      <c r="C6979" t="str">
        <f t="shared" si="113"/>
        <v>1987 q2</v>
      </c>
    </row>
    <row r="6980" spans="1:3">
      <c r="A6980" s="62">
        <v>31916</v>
      </c>
      <c r="B6980">
        <v>0.66</v>
      </c>
      <c r="C6980" t="str">
        <f t="shared" si="113"/>
        <v>1987 q2</v>
      </c>
    </row>
    <row r="6981" spans="1:3">
      <c r="A6981" s="62">
        <v>31917</v>
      </c>
      <c r="B6981">
        <v>0.66500000000000004</v>
      </c>
      <c r="C6981" t="str">
        <f t="shared" si="113"/>
        <v>1987 q2</v>
      </c>
    </row>
    <row r="6982" spans="1:3">
      <c r="A6982" s="62">
        <v>31918</v>
      </c>
      <c r="B6982">
        <v>0.66600000000000004</v>
      </c>
      <c r="C6982" t="str">
        <f t="shared" si="113"/>
        <v>1987 q2</v>
      </c>
    </row>
    <row r="6983" spans="1:3">
      <c r="A6983" s="62">
        <v>31919</v>
      </c>
      <c r="B6983">
        <v>0.66700000000000004</v>
      </c>
      <c r="C6983" t="str">
        <f t="shared" si="113"/>
        <v>1987 q2</v>
      </c>
    </row>
    <row r="6984" spans="1:3">
      <c r="A6984" s="62">
        <v>31923</v>
      </c>
      <c r="B6984">
        <v>0.64900000000000002</v>
      </c>
      <c r="C6984" t="str">
        <f t="shared" si="113"/>
        <v>1987 q2</v>
      </c>
    </row>
    <row r="6985" spans="1:3">
      <c r="A6985" s="62">
        <v>31924</v>
      </c>
      <c r="B6985">
        <v>0.65449999999999997</v>
      </c>
      <c r="C6985" t="str">
        <f t="shared" si="113"/>
        <v>1987 q2</v>
      </c>
    </row>
    <row r="6986" spans="1:3">
      <c r="A6986" s="62">
        <v>31925</v>
      </c>
      <c r="B6986">
        <v>0.66100000000000003</v>
      </c>
      <c r="C6986" t="str">
        <f t="shared" si="113"/>
        <v>1987 q2</v>
      </c>
    </row>
    <row r="6987" spans="1:3">
      <c r="A6987" s="62">
        <v>31926</v>
      </c>
      <c r="B6987">
        <v>0.65900000000000003</v>
      </c>
      <c r="C6987" t="str">
        <f t="shared" si="113"/>
        <v>1987 q2</v>
      </c>
    </row>
    <row r="6988" spans="1:3">
      <c r="A6988" s="62">
        <v>31929</v>
      </c>
      <c r="B6988">
        <v>0.66900000000000004</v>
      </c>
      <c r="C6988" t="str">
        <f t="shared" si="113"/>
        <v>1987 q2</v>
      </c>
    </row>
    <row r="6989" spans="1:3">
      <c r="A6989" s="62">
        <v>31930</v>
      </c>
      <c r="B6989">
        <v>0.69299999999999995</v>
      </c>
      <c r="C6989" t="str">
        <f t="shared" si="113"/>
        <v>1987 q2</v>
      </c>
    </row>
    <row r="6990" spans="1:3">
      <c r="A6990" s="62">
        <v>31931</v>
      </c>
      <c r="B6990">
        <v>0.68400000000000005</v>
      </c>
      <c r="C6990" t="str">
        <f t="shared" si="113"/>
        <v>1987 q2</v>
      </c>
    </row>
    <row r="6991" spans="1:3">
      <c r="A6991" s="62">
        <v>31932</v>
      </c>
      <c r="B6991">
        <v>0.69750000000000001</v>
      </c>
      <c r="C6991" t="str">
        <f t="shared" si="113"/>
        <v>1987 q2</v>
      </c>
    </row>
    <row r="6992" spans="1:3">
      <c r="A6992" s="62">
        <v>31933</v>
      </c>
      <c r="B6992">
        <v>0.6905</v>
      </c>
      <c r="C6992" t="str">
        <f t="shared" si="113"/>
        <v>1987 q2</v>
      </c>
    </row>
    <row r="6993" spans="1:3">
      <c r="A6993" s="62">
        <v>31936</v>
      </c>
      <c r="B6993">
        <v>0.69650000000000001</v>
      </c>
      <c r="C6993" t="str">
        <f t="shared" si="113"/>
        <v>1987 q2</v>
      </c>
    </row>
    <row r="6994" spans="1:3">
      <c r="A6994" s="62">
        <v>31937</v>
      </c>
      <c r="B6994">
        <v>0.70099999999999996</v>
      </c>
      <c r="C6994" t="str">
        <f t="shared" ref="C6994:C7057" si="114">YEAR(A6994)&amp;" q"&amp;ROUNDUP(MONTH(A6994)/3,0)</f>
        <v>1987 q2</v>
      </c>
    </row>
    <row r="6995" spans="1:3">
      <c r="A6995" s="62">
        <v>31938</v>
      </c>
      <c r="B6995">
        <v>0.69650000000000001</v>
      </c>
      <c r="C6995" t="str">
        <f t="shared" si="114"/>
        <v>1987 q2</v>
      </c>
    </row>
    <row r="6996" spans="1:3">
      <c r="A6996" s="62">
        <v>31939</v>
      </c>
      <c r="B6996">
        <v>0.71</v>
      </c>
      <c r="C6996" t="str">
        <f t="shared" si="114"/>
        <v>1987 q2</v>
      </c>
    </row>
    <row r="6997" spans="1:3">
      <c r="A6997" s="62">
        <v>31940</v>
      </c>
      <c r="B6997">
        <v>0.71</v>
      </c>
      <c r="C6997" t="str">
        <f t="shared" si="114"/>
        <v>1987 q2</v>
      </c>
    </row>
    <row r="6998" spans="1:3">
      <c r="A6998" s="62">
        <v>31943</v>
      </c>
      <c r="B6998">
        <v>0.71</v>
      </c>
      <c r="C6998" t="str">
        <f t="shared" si="114"/>
        <v>1987 q2</v>
      </c>
    </row>
    <row r="6999" spans="1:3">
      <c r="A6999" s="62">
        <v>31944</v>
      </c>
      <c r="B6999">
        <v>0.70799999999999996</v>
      </c>
      <c r="C6999" t="str">
        <f t="shared" si="114"/>
        <v>1987 q2</v>
      </c>
    </row>
    <row r="7000" spans="1:3">
      <c r="A7000" s="62">
        <v>31945</v>
      </c>
      <c r="B7000">
        <v>0.7</v>
      </c>
      <c r="C7000" t="str">
        <f t="shared" si="114"/>
        <v>1987 q2</v>
      </c>
    </row>
    <row r="7001" spans="1:3">
      <c r="A7001" s="62">
        <v>31946</v>
      </c>
      <c r="B7001">
        <v>0.69799999999999995</v>
      </c>
      <c r="C7001" t="str">
        <f t="shared" si="114"/>
        <v>1987 q2</v>
      </c>
    </row>
    <row r="7002" spans="1:3">
      <c r="A7002" s="62">
        <v>31947</v>
      </c>
      <c r="B7002">
        <v>0.6855</v>
      </c>
      <c r="C7002" t="str">
        <f t="shared" si="114"/>
        <v>1987 q2</v>
      </c>
    </row>
    <row r="7003" spans="1:3">
      <c r="A7003" s="62">
        <v>31950</v>
      </c>
      <c r="B7003">
        <v>0.68100000000000005</v>
      </c>
      <c r="C7003" t="str">
        <f t="shared" si="114"/>
        <v>1987 q2</v>
      </c>
    </row>
    <row r="7004" spans="1:3">
      <c r="A7004" s="62">
        <v>31951</v>
      </c>
      <c r="B7004">
        <v>0.68899999999999995</v>
      </c>
      <c r="C7004" t="str">
        <f t="shared" si="114"/>
        <v>1987 q2</v>
      </c>
    </row>
    <row r="7005" spans="1:3">
      <c r="A7005" s="62">
        <v>31952</v>
      </c>
      <c r="B7005">
        <v>0.69899999999999995</v>
      </c>
      <c r="C7005" t="str">
        <f t="shared" si="114"/>
        <v>1987 q2</v>
      </c>
    </row>
    <row r="7006" spans="1:3">
      <c r="A7006" s="62">
        <v>31953</v>
      </c>
      <c r="B7006">
        <v>0.71350000000000002</v>
      </c>
      <c r="C7006" t="str">
        <f t="shared" si="114"/>
        <v>1987 q2</v>
      </c>
    </row>
    <row r="7007" spans="1:3">
      <c r="A7007" s="62">
        <v>31954</v>
      </c>
      <c r="B7007">
        <v>0.71220000000000006</v>
      </c>
      <c r="C7007" t="str">
        <f t="shared" si="114"/>
        <v>1987 q2</v>
      </c>
    </row>
    <row r="7008" spans="1:3">
      <c r="A7008" s="62">
        <v>31957</v>
      </c>
      <c r="B7008">
        <v>0.70589999999999997</v>
      </c>
      <c r="C7008" t="str">
        <f t="shared" si="114"/>
        <v>1987 q2</v>
      </c>
    </row>
    <row r="7009" spans="1:3">
      <c r="A7009" s="62">
        <v>31958</v>
      </c>
      <c r="B7009">
        <v>0.71630000000000005</v>
      </c>
      <c r="C7009" t="str">
        <f t="shared" si="114"/>
        <v>1987 q2</v>
      </c>
    </row>
    <row r="7010" spans="1:3">
      <c r="A7010" s="62">
        <v>31959</v>
      </c>
      <c r="B7010">
        <v>0.72799999999999998</v>
      </c>
      <c r="C7010" t="str">
        <f t="shared" si="114"/>
        <v>1987 q3</v>
      </c>
    </row>
    <row r="7011" spans="1:3">
      <c r="A7011" s="62">
        <v>31960</v>
      </c>
      <c r="B7011">
        <v>0.73850000000000005</v>
      </c>
      <c r="C7011" t="str">
        <f t="shared" si="114"/>
        <v>1987 q3</v>
      </c>
    </row>
    <row r="7012" spans="1:3">
      <c r="A7012" s="62">
        <v>31964</v>
      </c>
      <c r="B7012">
        <v>0.74850000000000005</v>
      </c>
      <c r="C7012" t="str">
        <f t="shared" si="114"/>
        <v>1987 q3</v>
      </c>
    </row>
    <row r="7013" spans="1:3">
      <c r="A7013" s="62">
        <v>31965</v>
      </c>
      <c r="B7013">
        <v>0.75149999999999995</v>
      </c>
      <c r="C7013" t="str">
        <f t="shared" si="114"/>
        <v>1987 q3</v>
      </c>
    </row>
    <row r="7014" spans="1:3">
      <c r="A7014" s="62">
        <v>31966</v>
      </c>
      <c r="B7014">
        <v>0.74450000000000005</v>
      </c>
      <c r="C7014" t="str">
        <f t="shared" si="114"/>
        <v>1987 q3</v>
      </c>
    </row>
    <row r="7015" spans="1:3">
      <c r="A7015" s="62">
        <v>31967</v>
      </c>
      <c r="B7015">
        <v>0.75349999999999995</v>
      </c>
      <c r="C7015" t="str">
        <f t="shared" si="114"/>
        <v>1987 q3</v>
      </c>
    </row>
    <row r="7016" spans="1:3">
      <c r="A7016" s="62">
        <v>31968</v>
      </c>
      <c r="B7016">
        <v>0.748</v>
      </c>
      <c r="C7016" t="str">
        <f t="shared" si="114"/>
        <v>1987 q3</v>
      </c>
    </row>
    <row r="7017" spans="1:3">
      <c r="A7017" s="62">
        <v>31971</v>
      </c>
      <c r="B7017">
        <v>0.745</v>
      </c>
      <c r="C7017" t="str">
        <f t="shared" si="114"/>
        <v>1987 q3</v>
      </c>
    </row>
    <row r="7018" spans="1:3">
      <c r="A7018" s="62">
        <v>31972</v>
      </c>
      <c r="B7018">
        <v>0.73299999999999998</v>
      </c>
      <c r="C7018" t="str">
        <f t="shared" si="114"/>
        <v>1987 q3</v>
      </c>
    </row>
    <row r="7019" spans="1:3">
      <c r="A7019" s="62">
        <v>31973</v>
      </c>
      <c r="B7019">
        <v>0.72</v>
      </c>
      <c r="C7019" t="str">
        <f t="shared" si="114"/>
        <v>1987 q3</v>
      </c>
    </row>
    <row r="7020" spans="1:3">
      <c r="A7020" s="62">
        <v>31974</v>
      </c>
      <c r="B7020">
        <v>0.73499999999999999</v>
      </c>
      <c r="C7020" t="str">
        <f t="shared" si="114"/>
        <v>1987 q3</v>
      </c>
    </row>
    <row r="7021" spans="1:3">
      <c r="A7021" s="62">
        <v>31975</v>
      </c>
      <c r="B7021">
        <v>0.71950000000000003</v>
      </c>
      <c r="C7021" t="str">
        <f t="shared" si="114"/>
        <v>1987 q3</v>
      </c>
    </row>
    <row r="7022" spans="1:3">
      <c r="A7022" s="62">
        <v>31978</v>
      </c>
      <c r="B7022">
        <v>0.72350000000000003</v>
      </c>
      <c r="C7022" t="str">
        <f t="shared" si="114"/>
        <v>1987 q3</v>
      </c>
    </row>
    <row r="7023" spans="1:3">
      <c r="A7023" s="62">
        <v>31979</v>
      </c>
      <c r="B7023">
        <v>0.73350000000000004</v>
      </c>
      <c r="C7023" t="str">
        <f t="shared" si="114"/>
        <v>1987 q3</v>
      </c>
    </row>
    <row r="7024" spans="1:3">
      <c r="A7024" s="62">
        <v>31980</v>
      </c>
      <c r="B7024">
        <v>0.748</v>
      </c>
      <c r="C7024" t="str">
        <f t="shared" si="114"/>
        <v>1987 q3</v>
      </c>
    </row>
    <row r="7025" spans="1:3">
      <c r="A7025" s="62">
        <v>31981</v>
      </c>
      <c r="B7025">
        <v>0.751</v>
      </c>
      <c r="C7025" t="str">
        <f t="shared" si="114"/>
        <v>1987 q3</v>
      </c>
    </row>
    <row r="7026" spans="1:3">
      <c r="A7026" s="62">
        <v>31982</v>
      </c>
      <c r="B7026">
        <v>0.754</v>
      </c>
      <c r="C7026" t="str">
        <f t="shared" si="114"/>
        <v>1987 q3</v>
      </c>
    </row>
    <row r="7027" spans="1:3">
      <c r="A7027" s="62">
        <v>31985</v>
      </c>
      <c r="B7027">
        <v>0.74950000000000006</v>
      </c>
      <c r="C7027" t="str">
        <f t="shared" si="114"/>
        <v>1987 q3</v>
      </c>
    </row>
    <row r="7028" spans="1:3">
      <c r="A7028" s="62">
        <v>31986</v>
      </c>
      <c r="B7028">
        <v>0.76849999999999996</v>
      </c>
      <c r="C7028" t="str">
        <f t="shared" si="114"/>
        <v>1987 q3</v>
      </c>
    </row>
    <row r="7029" spans="1:3">
      <c r="A7029" s="62">
        <v>31987</v>
      </c>
      <c r="B7029">
        <v>0.76700000000000002</v>
      </c>
      <c r="C7029" t="str">
        <f t="shared" si="114"/>
        <v>1987 q3</v>
      </c>
    </row>
    <row r="7030" spans="1:3">
      <c r="A7030" s="62">
        <v>31988</v>
      </c>
      <c r="B7030">
        <v>0.78</v>
      </c>
      <c r="C7030" t="str">
        <f t="shared" si="114"/>
        <v>1987 q3</v>
      </c>
    </row>
    <row r="7031" spans="1:3">
      <c r="A7031" s="62">
        <v>31989</v>
      </c>
      <c r="B7031">
        <v>0.78149999999999997</v>
      </c>
      <c r="C7031" t="str">
        <f t="shared" si="114"/>
        <v>1987 q3</v>
      </c>
    </row>
    <row r="7032" spans="1:3">
      <c r="A7032" s="62">
        <v>31992</v>
      </c>
      <c r="B7032">
        <v>0.78100000000000003</v>
      </c>
      <c r="C7032" t="str">
        <f t="shared" si="114"/>
        <v>1987 q3</v>
      </c>
    </row>
    <row r="7033" spans="1:3">
      <c r="A7033" s="62">
        <v>31993</v>
      </c>
      <c r="B7033">
        <v>0.78349999999999997</v>
      </c>
      <c r="C7033" t="str">
        <f t="shared" si="114"/>
        <v>1987 q3</v>
      </c>
    </row>
    <row r="7034" spans="1:3">
      <c r="A7034" s="62">
        <v>31994</v>
      </c>
      <c r="B7034">
        <v>0.77649999999999997</v>
      </c>
      <c r="C7034" t="str">
        <f t="shared" si="114"/>
        <v>1987 q3</v>
      </c>
    </row>
    <row r="7035" spans="1:3">
      <c r="A7035" s="62">
        <v>31995</v>
      </c>
      <c r="B7035">
        <v>0.76849999999999996</v>
      </c>
      <c r="C7035" t="str">
        <f t="shared" si="114"/>
        <v>1987 q3</v>
      </c>
    </row>
    <row r="7036" spans="1:3">
      <c r="A7036" s="62">
        <v>31996</v>
      </c>
      <c r="B7036">
        <v>0.77300000000000002</v>
      </c>
      <c r="C7036" t="str">
        <f t="shared" si="114"/>
        <v>1987 q3</v>
      </c>
    </row>
    <row r="7037" spans="1:3">
      <c r="A7037" s="62">
        <v>31999</v>
      </c>
      <c r="B7037">
        <v>0.78600000000000003</v>
      </c>
      <c r="C7037" t="str">
        <f t="shared" si="114"/>
        <v>1987 q3</v>
      </c>
    </row>
    <row r="7038" spans="1:3">
      <c r="A7038" s="62">
        <v>32000</v>
      </c>
      <c r="B7038">
        <v>0.79400000000000004</v>
      </c>
      <c r="C7038" t="str">
        <f t="shared" si="114"/>
        <v>1987 q3</v>
      </c>
    </row>
    <row r="7039" spans="1:3">
      <c r="A7039" s="62">
        <v>32001</v>
      </c>
      <c r="B7039">
        <v>0.78900000000000003</v>
      </c>
      <c r="C7039" t="str">
        <f t="shared" si="114"/>
        <v>1987 q3</v>
      </c>
    </row>
    <row r="7040" spans="1:3">
      <c r="A7040" s="62">
        <v>32002</v>
      </c>
      <c r="B7040">
        <v>0.77500000000000002</v>
      </c>
      <c r="C7040" t="str">
        <f t="shared" si="114"/>
        <v>1987 q3</v>
      </c>
    </row>
    <row r="7041" spans="1:3">
      <c r="A7041" s="62">
        <v>32003</v>
      </c>
      <c r="B7041">
        <v>0.78049999999999997</v>
      </c>
      <c r="C7041" t="str">
        <f t="shared" si="114"/>
        <v>1987 q3</v>
      </c>
    </row>
    <row r="7042" spans="1:3">
      <c r="A7042" s="62">
        <v>32006</v>
      </c>
      <c r="B7042">
        <v>0.78600000000000003</v>
      </c>
      <c r="C7042" t="str">
        <f t="shared" si="114"/>
        <v>1987 q3</v>
      </c>
    </row>
    <row r="7043" spans="1:3">
      <c r="A7043" s="62">
        <v>32007</v>
      </c>
      <c r="B7043">
        <v>0.78</v>
      </c>
      <c r="C7043" t="str">
        <f t="shared" si="114"/>
        <v>1987 q3</v>
      </c>
    </row>
    <row r="7044" spans="1:3">
      <c r="A7044" s="62">
        <v>32008</v>
      </c>
      <c r="B7044">
        <v>0.77700000000000002</v>
      </c>
      <c r="C7044" t="str">
        <f t="shared" si="114"/>
        <v>1987 q3</v>
      </c>
    </row>
    <row r="7045" spans="1:3">
      <c r="A7045" s="62">
        <v>32009</v>
      </c>
      <c r="B7045">
        <v>0.77349999999999997</v>
      </c>
      <c r="C7045" t="str">
        <f t="shared" si="114"/>
        <v>1987 q3</v>
      </c>
    </row>
    <row r="7046" spans="1:3">
      <c r="A7046" s="62">
        <v>32010</v>
      </c>
      <c r="B7046">
        <v>0.74550000000000005</v>
      </c>
      <c r="C7046" t="str">
        <f t="shared" si="114"/>
        <v>1987 q3</v>
      </c>
    </row>
    <row r="7047" spans="1:3">
      <c r="A7047" s="62">
        <v>32013</v>
      </c>
      <c r="B7047">
        <v>0.76049999999999995</v>
      </c>
      <c r="C7047" t="str">
        <f t="shared" si="114"/>
        <v>1987 q3</v>
      </c>
    </row>
    <row r="7048" spans="1:3">
      <c r="A7048" s="62">
        <v>32014</v>
      </c>
      <c r="B7048">
        <v>0.75</v>
      </c>
      <c r="C7048" t="str">
        <f t="shared" si="114"/>
        <v>1987 q3</v>
      </c>
    </row>
    <row r="7049" spans="1:3">
      <c r="A7049" s="62">
        <v>32015</v>
      </c>
      <c r="B7049">
        <v>0.75309999999999999</v>
      </c>
      <c r="C7049" t="str">
        <f t="shared" si="114"/>
        <v>1987 q3</v>
      </c>
    </row>
    <row r="7050" spans="1:3">
      <c r="A7050" s="62">
        <v>32016</v>
      </c>
      <c r="B7050">
        <v>0.75900000000000001</v>
      </c>
      <c r="C7050" t="str">
        <f t="shared" si="114"/>
        <v>1987 q3</v>
      </c>
    </row>
    <row r="7051" spans="1:3">
      <c r="A7051" s="62">
        <v>32017</v>
      </c>
      <c r="B7051">
        <v>0.74750000000000005</v>
      </c>
      <c r="C7051" t="str">
        <f t="shared" si="114"/>
        <v>1987 q3</v>
      </c>
    </row>
    <row r="7052" spans="1:3">
      <c r="A7052" s="62">
        <v>32020</v>
      </c>
      <c r="B7052">
        <v>0.75490000000000002</v>
      </c>
      <c r="C7052" t="str">
        <f t="shared" si="114"/>
        <v>1987 q3</v>
      </c>
    </row>
    <row r="7053" spans="1:3">
      <c r="A7053" s="62">
        <v>32021</v>
      </c>
      <c r="B7053">
        <v>0.74950000000000006</v>
      </c>
      <c r="C7053" t="str">
        <f t="shared" si="114"/>
        <v>1987 q3</v>
      </c>
    </row>
    <row r="7054" spans="1:3">
      <c r="A7054" s="62">
        <v>32022</v>
      </c>
      <c r="B7054">
        <v>0.74199999999999999</v>
      </c>
      <c r="C7054" t="str">
        <f t="shared" si="114"/>
        <v>1987 q3</v>
      </c>
    </row>
    <row r="7055" spans="1:3">
      <c r="A7055" s="62">
        <v>32023</v>
      </c>
      <c r="B7055">
        <v>0.745</v>
      </c>
      <c r="C7055" t="str">
        <f t="shared" si="114"/>
        <v>1987 q3</v>
      </c>
    </row>
    <row r="7056" spans="1:3">
      <c r="A7056" s="62">
        <v>32024</v>
      </c>
      <c r="B7056">
        <v>0.75900000000000001</v>
      </c>
      <c r="C7056" t="str">
        <f t="shared" si="114"/>
        <v>1987 q3</v>
      </c>
    </row>
    <row r="7057" spans="1:3">
      <c r="A7057" s="62">
        <v>32028</v>
      </c>
      <c r="B7057">
        <v>0.79149999999999998</v>
      </c>
      <c r="C7057" t="str">
        <f t="shared" si="114"/>
        <v>1987 q3</v>
      </c>
    </row>
    <row r="7058" spans="1:3">
      <c r="A7058" s="62">
        <v>32029</v>
      </c>
      <c r="B7058">
        <v>0.78449999999999998</v>
      </c>
      <c r="C7058" t="str">
        <f t="shared" ref="C7058:C7121" si="115">YEAR(A7058)&amp;" q"&amp;ROUNDUP(MONTH(A7058)/3,0)</f>
        <v>1987 q3</v>
      </c>
    </row>
    <row r="7059" spans="1:3">
      <c r="A7059" s="62">
        <v>32030</v>
      </c>
      <c r="B7059">
        <v>0.79700000000000004</v>
      </c>
      <c r="C7059" t="str">
        <f t="shared" si="115"/>
        <v>1987 q3</v>
      </c>
    </row>
    <row r="7060" spans="1:3">
      <c r="A7060" s="62">
        <v>32031</v>
      </c>
      <c r="B7060">
        <v>0.80200000000000005</v>
      </c>
      <c r="C7060" t="str">
        <f t="shared" si="115"/>
        <v>1987 q3</v>
      </c>
    </row>
    <row r="7061" spans="1:3">
      <c r="A7061" s="62">
        <v>32034</v>
      </c>
      <c r="B7061">
        <v>0.79849999999999999</v>
      </c>
      <c r="C7061" t="str">
        <f t="shared" si="115"/>
        <v>1987 q3</v>
      </c>
    </row>
    <row r="7062" spans="1:3">
      <c r="A7062" s="62">
        <v>32035</v>
      </c>
      <c r="B7062">
        <v>0.79200000000000004</v>
      </c>
      <c r="C7062" t="str">
        <f t="shared" si="115"/>
        <v>1987 q3</v>
      </c>
    </row>
    <row r="7063" spans="1:3">
      <c r="A7063" s="62">
        <v>32036</v>
      </c>
      <c r="B7063">
        <v>0.8075</v>
      </c>
      <c r="C7063" t="str">
        <f t="shared" si="115"/>
        <v>1987 q3</v>
      </c>
    </row>
    <row r="7064" spans="1:3">
      <c r="A7064" s="62">
        <v>32037</v>
      </c>
      <c r="B7064">
        <v>0.82199999999999995</v>
      </c>
      <c r="C7064" t="str">
        <f t="shared" si="115"/>
        <v>1987 q3</v>
      </c>
    </row>
    <row r="7065" spans="1:3">
      <c r="A7065" s="62">
        <v>32038</v>
      </c>
      <c r="B7065">
        <v>0.81699999999999995</v>
      </c>
      <c r="C7065" t="str">
        <f t="shared" si="115"/>
        <v>1987 q3</v>
      </c>
    </row>
    <row r="7066" spans="1:3">
      <c r="A7066" s="62">
        <v>32041</v>
      </c>
      <c r="B7066">
        <v>0.8115</v>
      </c>
      <c r="C7066" t="str">
        <f t="shared" si="115"/>
        <v>1987 q3</v>
      </c>
    </row>
    <row r="7067" spans="1:3">
      <c r="A7067" s="62">
        <v>32042</v>
      </c>
      <c r="B7067">
        <v>0.80200000000000005</v>
      </c>
      <c r="C7067" t="str">
        <f t="shared" si="115"/>
        <v>1987 q3</v>
      </c>
    </row>
    <row r="7068" spans="1:3">
      <c r="A7068" s="62">
        <v>32043</v>
      </c>
      <c r="B7068">
        <v>0.81200000000000006</v>
      </c>
      <c r="C7068" t="str">
        <f t="shared" si="115"/>
        <v>1987 q3</v>
      </c>
    </row>
    <row r="7069" spans="1:3">
      <c r="A7069" s="62">
        <v>32044</v>
      </c>
      <c r="B7069">
        <v>0.8085</v>
      </c>
      <c r="C7069" t="str">
        <f t="shared" si="115"/>
        <v>1987 q3</v>
      </c>
    </row>
    <row r="7070" spans="1:3">
      <c r="A7070" s="62">
        <v>32045</v>
      </c>
      <c r="B7070">
        <v>0.8175</v>
      </c>
      <c r="C7070" t="str">
        <f t="shared" si="115"/>
        <v>1987 q3</v>
      </c>
    </row>
    <row r="7071" spans="1:3">
      <c r="A7071" s="62">
        <v>32048</v>
      </c>
      <c r="B7071">
        <v>0.8155</v>
      </c>
      <c r="C7071" t="str">
        <f t="shared" si="115"/>
        <v>1987 q3</v>
      </c>
    </row>
    <row r="7072" spans="1:3">
      <c r="A7072" s="62">
        <v>32049</v>
      </c>
      <c r="B7072">
        <v>0.8115</v>
      </c>
      <c r="C7072" t="str">
        <f t="shared" si="115"/>
        <v>1987 q3</v>
      </c>
    </row>
    <row r="7073" spans="1:3">
      <c r="A7073" s="62">
        <v>32050</v>
      </c>
      <c r="B7073">
        <v>0.79749999999999999</v>
      </c>
      <c r="C7073" t="str">
        <f t="shared" si="115"/>
        <v>1987 q3</v>
      </c>
    </row>
    <row r="7074" spans="1:3">
      <c r="A7074" s="62">
        <v>32051</v>
      </c>
      <c r="B7074">
        <v>0.79549999999999998</v>
      </c>
      <c r="C7074" t="str">
        <f t="shared" si="115"/>
        <v>1987 q4</v>
      </c>
    </row>
    <row r="7075" spans="1:3">
      <c r="A7075" s="62">
        <v>32052</v>
      </c>
      <c r="B7075">
        <v>0.81499999999999995</v>
      </c>
      <c r="C7075" t="str">
        <f t="shared" si="115"/>
        <v>1987 q4</v>
      </c>
    </row>
    <row r="7076" spans="1:3">
      <c r="A7076" s="62">
        <v>32055</v>
      </c>
      <c r="B7076">
        <v>0.83299999999999996</v>
      </c>
      <c r="C7076" t="str">
        <f t="shared" si="115"/>
        <v>1987 q4</v>
      </c>
    </row>
    <row r="7077" spans="1:3">
      <c r="A7077" s="62">
        <v>32056</v>
      </c>
      <c r="B7077">
        <v>0.83</v>
      </c>
      <c r="C7077" t="str">
        <f t="shared" si="115"/>
        <v>1987 q4</v>
      </c>
    </row>
    <row r="7078" spans="1:3">
      <c r="A7078" s="62">
        <v>32057</v>
      </c>
      <c r="B7078">
        <v>0.83399999999999996</v>
      </c>
      <c r="C7078" t="str">
        <f t="shared" si="115"/>
        <v>1987 q4</v>
      </c>
    </row>
    <row r="7079" spans="1:3">
      <c r="A7079" s="62">
        <v>32058</v>
      </c>
      <c r="B7079">
        <v>0.83850000000000002</v>
      </c>
      <c r="C7079" t="str">
        <f t="shared" si="115"/>
        <v>1987 q4</v>
      </c>
    </row>
    <row r="7080" spans="1:3">
      <c r="A7080" s="62">
        <v>32059</v>
      </c>
      <c r="B7080">
        <v>0.84899999999999998</v>
      </c>
      <c r="C7080" t="str">
        <f t="shared" si="115"/>
        <v>1987 q4</v>
      </c>
    </row>
    <row r="7081" spans="1:3">
      <c r="A7081" s="62">
        <v>32062</v>
      </c>
      <c r="B7081">
        <v>0.85699999999999998</v>
      </c>
      <c r="C7081" t="str">
        <f t="shared" si="115"/>
        <v>1987 q4</v>
      </c>
    </row>
    <row r="7082" spans="1:3">
      <c r="A7082" s="62">
        <v>32063</v>
      </c>
      <c r="B7082">
        <v>0.85250000000000004</v>
      </c>
      <c r="C7082" t="str">
        <f t="shared" si="115"/>
        <v>1987 q4</v>
      </c>
    </row>
    <row r="7083" spans="1:3">
      <c r="A7083" s="62">
        <v>32064</v>
      </c>
      <c r="B7083">
        <v>0.86499999999999999</v>
      </c>
      <c r="C7083" t="str">
        <f t="shared" si="115"/>
        <v>1987 q4</v>
      </c>
    </row>
    <row r="7084" spans="1:3">
      <c r="A7084" s="62">
        <v>32065</v>
      </c>
      <c r="B7084">
        <v>0.87350000000000005</v>
      </c>
      <c r="C7084" t="str">
        <f t="shared" si="115"/>
        <v>1987 q4</v>
      </c>
    </row>
    <row r="7085" spans="1:3">
      <c r="A7085" s="62">
        <v>32066</v>
      </c>
      <c r="B7085">
        <v>0.879</v>
      </c>
      <c r="C7085" t="str">
        <f t="shared" si="115"/>
        <v>1987 q4</v>
      </c>
    </row>
    <row r="7086" spans="1:3">
      <c r="A7086" s="62">
        <v>32069</v>
      </c>
      <c r="B7086">
        <v>0.84550000000000003</v>
      </c>
      <c r="C7086" t="str">
        <f t="shared" si="115"/>
        <v>1987 q4</v>
      </c>
    </row>
    <row r="7087" spans="1:3">
      <c r="A7087" s="62">
        <v>32070</v>
      </c>
      <c r="B7087">
        <v>0.746</v>
      </c>
      <c r="C7087" t="str">
        <f t="shared" si="115"/>
        <v>1987 q4</v>
      </c>
    </row>
    <row r="7088" spans="1:3">
      <c r="A7088" s="62">
        <v>32071</v>
      </c>
      <c r="B7088">
        <v>0.78</v>
      </c>
      <c r="C7088" t="str">
        <f t="shared" si="115"/>
        <v>1987 q4</v>
      </c>
    </row>
    <row r="7089" spans="1:3">
      <c r="A7089" s="62">
        <v>32072</v>
      </c>
      <c r="B7089">
        <v>0.79900000000000004</v>
      </c>
      <c r="C7089" t="str">
        <f t="shared" si="115"/>
        <v>1987 q4</v>
      </c>
    </row>
    <row r="7090" spans="1:3">
      <c r="A7090" s="62">
        <v>32073</v>
      </c>
      <c r="B7090">
        <v>0.81699999999999995</v>
      </c>
      <c r="C7090" t="str">
        <f t="shared" si="115"/>
        <v>1987 q4</v>
      </c>
    </row>
    <row r="7091" spans="1:3">
      <c r="A7091" s="62">
        <v>32076</v>
      </c>
      <c r="B7091">
        <v>0.78949999999999998</v>
      </c>
      <c r="C7091" t="str">
        <f t="shared" si="115"/>
        <v>1987 q4</v>
      </c>
    </row>
    <row r="7092" spans="1:3">
      <c r="A7092" s="62">
        <v>32077</v>
      </c>
      <c r="B7092">
        <v>0.80249999999999999</v>
      </c>
      <c r="C7092" t="str">
        <f t="shared" si="115"/>
        <v>1987 q4</v>
      </c>
    </row>
    <row r="7093" spans="1:3">
      <c r="A7093" s="62">
        <v>32078</v>
      </c>
      <c r="B7093">
        <v>0.81</v>
      </c>
      <c r="C7093" t="str">
        <f t="shared" si="115"/>
        <v>1987 q4</v>
      </c>
    </row>
    <row r="7094" spans="1:3">
      <c r="A7094" s="62">
        <v>32079</v>
      </c>
      <c r="B7094">
        <v>0.79649999999999999</v>
      </c>
      <c r="C7094" t="str">
        <f t="shared" si="115"/>
        <v>1987 q4</v>
      </c>
    </row>
    <row r="7095" spans="1:3">
      <c r="A7095" s="62">
        <v>32080</v>
      </c>
      <c r="B7095">
        <v>0.82150000000000001</v>
      </c>
      <c r="C7095" t="str">
        <f t="shared" si="115"/>
        <v>1987 q4</v>
      </c>
    </row>
    <row r="7096" spans="1:3">
      <c r="A7096" s="62">
        <v>32083</v>
      </c>
      <c r="B7096">
        <v>0.86050000000000004</v>
      </c>
      <c r="C7096" t="str">
        <f t="shared" si="115"/>
        <v>1987 q4</v>
      </c>
    </row>
    <row r="7097" spans="1:3">
      <c r="A7097" s="62">
        <v>32084</v>
      </c>
      <c r="B7097">
        <v>0.85599999999999998</v>
      </c>
      <c r="C7097" t="str">
        <f t="shared" si="115"/>
        <v>1987 q4</v>
      </c>
    </row>
    <row r="7098" spans="1:3">
      <c r="A7098" s="62">
        <v>32085</v>
      </c>
      <c r="B7098">
        <v>0.89249999999999996</v>
      </c>
      <c r="C7098" t="str">
        <f t="shared" si="115"/>
        <v>1987 q4</v>
      </c>
    </row>
    <row r="7099" spans="1:3">
      <c r="A7099" s="62">
        <v>32086</v>
      </c>
      <c r="B7099">
        <v>0.89900000000000002</v>
      </c>
      <c r="C7099" t="str">
        <f t="shared" si="115"/>
        <v>1987 q4</v>
      </c>
    </row>
    <row r="7100" spans="1:3">
      <c r="A7100" s="62">
        <v>32087</v>
      </c>
      <c r="B7100">
        <v>0.95499999999999996</v>
      </c>
      <c r="C7100" t="str">
        <f t="shared" si="115"/>
        <v>1987 q4</v>
      </c>
    </row>
    <row r="7101" spans="1:3">
      <c r="A7101" s="62">
        <v>32090</v>
      </c>
      <c r="B7101">
        <v>0.94699999999999995</v>
      </c>
      <c r="C7101" t="str">
        <f t="shared" si="115"/>
        <v>1987 q4</v>
      </c>
    </row>
    <row r="7102" spans="1:3">
      <c r="A7102" s="62">
        <v>32091</v>
      </c>
      <c r="B7102">
        <v>1.024</v>
      </c>
      <c r="C7102" t="str">
        <f t="shared" si="115"/>
        <v>1987 q4</v>
      </c>
    </row>
    <row r="7103" spans="1:3">
      <c r="A7103" s="62">
        <v>32092</v>
      </c>
      <c r="B7103">
        <v>1.0409999999999999</v>
      </c>
      <c r="C7103" t="str">
        <f t="shared" si="115"/>
        <v>1987 q4</v>
      </c>
    </row>
    <row r="7104" spans="1:3">
      <c r="A7104" s="62">
        <v>32093</v>
      </c>
      <c r="B7104">
        <v>1.022</v>
      </c>
      <c r="C7104" t="str">
        <f t="shared" si="115"/>
        <v>1987 q4</v>
      </c>
    </row>
    <row r="7105" spans="1:3">
      <c r="A7105" s="62">
        <v>32094</v>
      </c>
      <c r="B7105">
        <v>1.026</v>
      </c>
      <c r="C7105" t="str">
        <f t="shared" si="115"/>
        <v>1987 q4</v>
      </c>
    </row>
    <row r="7106" spans="1:3">
      <c r="A7106" s="62">
        <v>32097</v>
      </c>
      <c r="B7106">
        <v>0.98299999999999998</v>
      </c>
      <c r="C7106" t="str">
        <f t="shared" si="115"/>
        <v>1987 q4</v>
      </c>
    </row>
    <row r="7107" spans="1:3">
      <c r="A7107" s="62">
        <v>32098</v>
      </c>
      <c r="B7107">
        <v>1.0009999999999999</v>
      </c>
      <c r="C7107" t="str">
        <f t="shared" si="115"/>
        <v>1987 q4</v>
      </c>
    </row>
    <row r="7108" spans="1:3">
      <c r="A7108" s="62">
        <v>32099</v>
      </c>
      <c r="B7108">
        <v>1.0389999999999999</v>
      </c>
      <c r="C7108" t="str">
        <f t="shared" si="115"/>
        <v>1987 q4</v>
      </c>
    </row>
    <row r="7109" spans="1:3">
      <c r="A7109" s="62">
        <v>32100</v>
      </c>
      <c r="B7109">
        <v>1.0760000000000001</v>
      </c>
      <c r="C7109" t="str">
        <f t="shared" si="115"/>
        <v>1987 q4</v>
      </c>
    </row>
    <row r="7110" spans="1:3">
      <c r="A7110" s="62">
        <v>32101</v>
      </c>
      <c r="B7110">
        <v>1.06</v>
      </c>
      <c r="C7110" t="str">
        <f t="shared" si="115"/>
        <v>1987 q4</v>
      </c>
    </row>
    <row r="7111" spans="1:3">
      <c r="A7111" s="62">
        <v>32104</v>
      </c>
      <c r="B7111">
        <v>1.0640000000000001</v>
      </c>
      <c r="C7111" t="str">
        <f t="shared" si="115"/>
        <v>1987 q4</v>
      </c>
    </row>
    <row r="7112" spans="1:3">
      <c r="A7112" s="62">
        <v>32105</v>
      </c>
      <c r="B7112">
        <v>1.1062000000000001</v>
      </c>
      <c r="C7112" t="str">
        <f t="shared" si="115"/>
        <v>1987 q4</v>
      </c>
    </row>
    <row r="7113" spans="1:3">
      <c r="A7113" s="62">
        <v>32106</v>
      </c>
      <c r="B7113">
        <v>1.155</v>
      </c>
      <c r="C7113" t="str">
        <f t="shared" si="115"/>
        <v>1987 q4</v>
      </c>
    </row>
    <row r="7114" spans="1:3">
      <c r="A7114" s="62">
        <v>32108</v>
      </c>
      <c r="B7114">
        <v>1.1617999999999999</v>
      </c>
      <c r="C7114" t="str">
        <f t="shared" si="115"/>
        <v>1987 q4</v>
      </c>
    </row>
    <row r="7115" spans="1:3">
      <c r="A7115" s="62">
        <v>32111</v>
      </c>
      <c r="B7115">
        <v>1.0855999999999999</v>
      </c>
      <c r="C7115" t="str">
        <f t="shared" si="115"/>
        <v>1987 q4</v>
      </c>
    </row>
    <row r="7116" spans="1:3">
      <c r="A7116" s="62">
        <v>32112</v>
      </c>
      <c r="B7116">
        <v>1.119</v>
      </c>
      <c r="C7116" t="str">
        <f t="shared" si="115"/>
        <v>1987 q4</v>
      </c>
    </row>
    <row r="7117" spans="1:3">
      <c r="A7117" s="62">
        <v>32113</v>
      </c>
      <c r="B7117">
        <v>1.1060000000000001</v>
      </c>
      <c r="C7117" t="str">
        <f t="shared" si="115"/>
        <v>1987 q4</v>
      </c>
    </row>
    <row r="7118" spans="1:3">
      <c r="A7118" s="62">
        <v>32114</v>
      </c>
      <c r="B7118">
        <v>1.0845</v>
      </c>
      <c r="C7118" t="str">
        <f t="shared" si="115"/>
        <v>1987 q4</v>
      </c>
    </row>
    <row r="7119" spans="1:3">
      <c r="A7119" s="62">
        <v>32115</v>
      </c>
      <c r="B7119">
        <v>1.044</v>
      </c>
      <c r="C7119" t="str">
        <f t="shared" si="115"/>
        <v>1987 q4</v>
      </c>
    </row>
    <row r="7120" spans="1:3">
      <c r="A7120" s="62">
        <v>32118</v>
      </c>
      <c r="B7120">
        <v>1.1220000000000001</v>
      </c>
      <c r="C7120" t="str">
        <f t="shared" si="115"/>
        <v>1987 q4</v>
      </c>
    </row>
    <row r="7121" spans="1:3">
      <c r="A7121" s="62">
        <v>32119</v>
      </c>
      <c r="B7121">
        <v>1.1559999999999999</v>
      </c>
      <c r="C7121" t="str">
        <f t="shared" si="115"/>
        <v>1987 q4</v>
      </c>
    </row>
    <row r="7122" spans="1:3">
      <c r="A7122" s="62">
        <v>32120</v>
      </c>
      <c r="B7122">
        <v>1.1459999999999999</v>
      </c>
      <c r="C7122" t="str">
        <f t="shared" ref="C7122:C7185" si="116">YEAR(A7122)&amp;" q"&amp;ROUNDUP(MONTH(A7122)/3,0)</f>
        <v>1987 q4</v>
      </c>
    </row>
    <row r="7123" spans="1:3">
      <c r="A7123" s="62">
        <v>32121</v>
      </c>
      <c r="B7123">
        <v>1.179</v>
      </c>
      <c r="C7123" t="str">
        <f t="shared" si="116"/>
        <v>1987 q4</v>
      </c>
    </row>
    <row r="7124" spans="1:3">
      <c r="A7124" s="62">
        <v>32122</v>
      </c>
      <c r="B7124">
        <v>1.222</v>
      </c>
      <c r="C7124" t="str">
        <f t="shared" si="116"/>
        <v>1987 q4</v>
      </c>
    </row>
    <row r="7125" spans="1:3">
      <c r="A7125" s="62">
        <v>32125</v>
      </c>
      <c r="B7125">
        <v>1.24</v>
      </c>
      <c r="C7125" t="str">
        <f t="shared" si="116"/>
        <v>1987 q4</v>
      </c>
    </row>
    <row r="7126" spans="1:3">
      <c r="A7126" s="62">
        <v>32126</v>
      </c>
      <c r="B7126">
        <v>1.2350000000000001</v>
      </c>
      <c r="C7126" t="str">
        <f t="shared" si="116"/>
        <v>1987 q4</v>
      </c>
    </row>
    <row r="7127" spans="1:3">
      <c r="A7127" s="62">
        <v>32127</v>
      </c>
      <c r="B7127">
        <v>1.2450000000000001</v>
      </c>
      <c r="C7127" t="str">
        <f t="shared" si="116"/>
        <v>1987 q4</v>
      </c>
    </row>
    <row r="7128" spans="1:3">
      <c r="A7128" s="62">
        <v>32128</v>
      </c>
      <c r="B7128">
        <v>1.222</v>
      </c>
      <c r="C7128" t="str">
        <f t="shared" si="116"/>
        <v>1987 q4</v>
      </c>
    </row>
    <row r="7129" spans="1:3">
      <c r="A7129" s="62">
        <v>32129</v>
      </c>
      <c r="B7129">
        <v>1.254</v>
      </c>
      <c r="C7129" t="str">
        <f t="shared" si="116"/>
        <v>1987 q4</v>
      </c>
    </row>
    <row r="7130" spans="1:3">
      <c r="A7130" s="62">
        <v>32132</v>
      </c>
      <c r="B7130">
        <v>1.2949999999999999</v>
      </c>
      <c r="C7130" t="str">
        <f t="shared" si="116"/>
        <v>1987 q4</v>
      </c>
    </row>
    <row r="7131" spans="1:3">
      <c r="A7131" s="62">
        <v>32133</v>
      </c>
      <c r="B7131">
        <v>1.2989999999999999</v>
      </c>
      <c r="C7131" t="str">
        <f t="shared" si="116"/>
        <v>1987 q4</v>
      </c>
    </row>
    <row r="7132" spans="1:3">
      <c r="A7132" s="62">
        <v>32134</v>
      </c>
      <c r="B7132">
        <v>1.302</v>
      </c>
      <c r="C7132" t="str">
        <f t="shared" si="116"/>
        <v>1987 q4</v>
      </c>
    </row>
    <row r="7133" spans="1:3">
      <c r="A7133" s="62">
        <v>32135</v>
      </c>
      <c r="B7133">
        <v>1.37</v>
      </c>
      <c r="C7133" t="str">
        <f t="shared" si="116"/>
        <v>1987 q4</v>
      </c>
    </row>
    <row r="7134" spans="1:3">
      <c r="A7134" s="62">
        <v>32139</v>
      </c>
      <c r="B7134">
        <v>1.3140000000000001</v>
      </c>
      <c r="C7134" t="str">
        <f t="shared" si="116"/>
        <v>1987 q4</v>
      </c>
    </row>
    <row r="7135" spans="1:3">
      <c r="A7135" s="62">
        <v>32140</v>
      </c>
      <c r="B7135">
        <v>1.3101</v>
      </c>
      <c r="C7135" t="str">
        <f t="shared" si="116"/>
        <v>1987 q4</v>
      </c>
    </row>
    <row r="7136" spans="1:3">
      <c r="A7136" s="62">
        <v>32141</v>
      </c>
      <c r="B7136">
        <v>1.2938000000000001</v>
      </c>
      <c r="C7136" t="str">
        <f t="shared" si="116"/>
        <v>1987 q4</v>
      </c>
    </row>
    <row r="7137" spans="1:3">
      <c r="A7137" s="62">
        <v>32142</v>
      </c>
      <c r="B7137">
        <v>1.3111999999999999</v>
      </c>
      <c r="C7137" t="str">
        <f t="shared" si="116"/>
        <v>1987 q4</v>
      </c>
    </row>
    <row r="7138" spans="1:3">
      <c r="A7138" s="62">
        <v>32146</v>
      </c>
      <c r="B7138">
        <v>1.2549999999999999</v>
      </c>
      <c r="C7138" t="str">
        <f t="shared" si="116"/>
        <v>1988 q1</v>
      </c>
    </row>
    <row r="7139" spans="1:3">
      <c r="A7139" s="62">
        <v>32147</v>
      </c>
      <c r="B7139">
        <v>1.2290000000000001</v>
      </c>
      <c r="C7139" t="str">
        <f t="shared" si="116"/>
        <v>1988 q1</v>
      </c>
    </row>
    <row r="7140" spans="1:3">
      <c r="A7140" s="62">
        <v>32148</v>
      </c>
      <c r="B7140">
        <v>1.1830000000000001</v>
      </c>
      <c r="C7140" t="str">
        <f t="shared" si="116"/>
        <v>1988 q1</v>
      </c>
    </row>
    <row r="7141" spans="1:3">
      <c r="A7141" s="62">
        <v>32149</v>
      </c>
      <c r="B7141">
        <v>1.1579999999999999</v>
      </c>
      <c r="C7141" t="str">
        <f t="shared" si="116"/>
        <v>1988 q1</v>
      </c>
    </row>
    <row r="7142" spans="1:3">
      <c r="A7142" s="62">
        <v>32150</v>
      </c>
      <c r="B7142">
        <v>1.161</v>
      </c>
      <c r="C7142" t="str">
        <f t="shared" si="116"/>
        <v>1988 q1</v>
      </c>
    </row>
    <row r="7143" spans="1:3">
      <c r="A7143" s="62">
        <v>32153</v>
      </c>
      <c r="B7143">
        <v>1.1970000000000001</v>
      </c>
      <c r="C7143" t="str">
        <f t="shared" si="116"/>
        <v>1988 q1</v>
      </c>
    </row>
    <row r="7144" spans="1:3">
      <c r="A7144" s="62">
        <v>32154</v>
      </c>
      <c r="B7144">
        <v>1.1715</v>
      </c>
      <c r="C7144" t="str">
        <f t="shared" si="116"/>
        <v>1988 q1</v>
      </c>
    </row>
    <row r="7145" spans="1:3">
      <c r="A7145" s="62">
        <v>32155</v>
      </c>
      <c r="B7145">
        <v>1.0885</v>
      </c>
      <c r="C7145" t="str">
        <f t="shared" si="116"/>
        <v>1988 q1</v>
      </c>
    </row>
    <row r="7146" spans="1:3">
      <c r="A7146" s="62">
        <v>32156</v>
      </c>
      <c r="B7146">
        <v>1.0780000000000001</v>
      </c>
      <c r="C7146" t="str">
        <f t="shared" si="116"/>
        <v>1988 q1</v>
      </c>
    </row>
    <row r="7147" spans="1:3">
      <c r="A7147" s="62">
        <v>32157</v>
      </c>
      <c r="B7147">
        <v>1.0900000000000001</v>
      </c>
      <c r="C7147" t="str">
        <f t="shared" si="116"/>
        <v>1988 q1</v>
      </c>
    </row>
    <row r="7148" spans="1:3">
      <c r="A7148" s="62">
        <v>32160</v>
      </c>
      <c r="B7148">
        <v>1.143</v>
      </c>
      <c r="C7148" t="str">
        <f t="shared" si="116"/>
        <v>1988 q1</v>
      </c>
    </row>
    <row r="7149" spans="1:3">
      <c r="A7149" s="62">
        <v>32161</v>
      </c>
      <c r="B7149">
        <v>1.1279999999999999</v>
      </c>
      <c r="C7149" t="str">
        <f t="shared" si="116"/>
        <v>1988 q1</v>
      </c>
    </row>
    <row r="7150" spans="1:3">
      <c r="A7150" s="62">
        <v>32162</v>
      </c>
      <c r="B7150">
        <v>1.04</v>
      </c>
      <c r="C7150" t="str">
        <f t="shared" si="116"/>
        <v>1988 q1</v>
      </c>
    </row>
    <row r="7151" spans="1:3">
      <c r="A7151" s="62">
        <v>32163</v>
      </c>
      <c r="B7151">
        <v>1.0329999999999999</v>
      </c>
      <c r="C7151" t="str">
        <f t="shared" si="116"/>
        <v>1988 q1</v>
      </c>
    </row>
    <row r="7152" spans="1:3">
      <c r="A7152" s="62">
        <v>32164</v>
      </c>
      <c r="B7152">
        <v>1.081</v>
      </c>
      <c r="C7152" t="str">
        <f t="shared" si="116"/>
        <v>1988 q1</v>
      </c>
    </row>
    <row r="7153" spans="1:3">
      <c r="A7153" s="62">
        <v>32167</v>
      </c>
      <c r="B7153">
        <v>1.0029999999999999</v>
      </c>
      <c r="C7153" t="str">
        <f t="shared" si="116"/>
        <v>1988 q1</v>
      </c>
    </row>
    <row r="7154" spans="1:3">
      <c r="A7154" s="62">
        <v>32168</v>
      </c>
      <c r="B7154">
        <v>1.0329999999999999</v>
      </c>
      <c r="C7154" t="str">
        <f t="shared" si="116"/>
        <v>1988 q1</v>
      </c>
    </row>
    <row r="7155" spans="1:3">
      <c r="A7155" s="62">
        <v>32169</v>
      </c>
      <c r="B7155">
        <v>0.96199999999999997</v>
      </c>
      <c r="C7155" t="str">
        <f t="shared" si="116"/>
        <v>1988 q1</v>
      </c>
    </row>
    <row r="7156" spans="1:3">
      <c r="A7156" s="62">
        <v>32170</v>
      </c>
      <c r="B7156">
        <v>0.98099999999999998</v>
      </c>
      <c r="C7156" t="str">
        <f t="shared" si="116"/>
        <v>1988 q1</v>
      </c>
    </row>
    <row r="7157" spans="1:3">
      <c r="A7157" s="62">
        <v>32171</v>
      </c>
      <c r="B7157">
        <v>0.95750000000000002</v>
      </c>
      <c r="C7157" t="str">
        <f t="shared" si="116"/>
        <v>1988 q1</v>
      </c>
    </row>
    <row r="7158" spans="1:3">
      <c r="A7158" s="62">
        <v>32174</v>
      </c>
      <c r="B7158">
        <v>0.9</v>
      </c>
      <c r="C7158" t="str">
        <f t="shared" si="116"/>
        <v>1988 q1</v>
      </c>
    </row>
    <row r="7159" spans="1:3">
      <c r="A7159" s="62">
        <v>32175</v>
      </c>
      <c r="B7159">
        <v>0.91349999999999998</v>
      </c>
      <c r="C7159" t="str">
        <f t="shared" si="116"/>
        <v>1988 q1</v>
      </c>
    </row>
    <row r="7160" spans="1:3">
      <c r="A7160" s="62">
        <v>32176</v>
      </c>
      <c r="B7160">
        <v>0.9385</v>
      </c>
      <c r="C7160" t="str">
        <f t="shared" si="116"/>
        <v>1988 q1</v>
      </c>
    </row>
    <row r="7161" spans="1:3">
      <c r="A7161" s="62">
        <v>32177</v>
      </c>
      <c r="B7161">
        <v>0.96050000000000002</v>
      </c>
      <c r="C7161" t="str">
        <f t="shared" si="116"/>
        <v>1988 q1</v>
      </c>
    </row>
    <row r="7162" spans="1:3">
      <c r="A7162" s="62">
        <v>32178</v>
      </c>
      <c r="B7162">
        <v>0.95399999999999996</v>
      </c>
      <c r="C7162" t="str">
        <f t="shared" si="116"/>
        <v>1988 q1</v>
      </c>
    </row>
    <row r="7163" spans="1:3">
      <c r="A7163" s="62">
        <v>32181</v>
      </c>
      <c r="B7163">
        <v>0.95799999999999996</v>
      </c>
      <c r="C7163" t="str">
        <f t="shared" si="116"/>
        <v>1988 q1</v>
      </c>
    </row>
    <row r="7164" spans="1:3">
      <c r="A7164" s="62">
        <v>32182</v>
      </c>
      <c r="B7164">
        <v>0.97099999999999997</v>
      </c>
      <c r="C7164" t="str">
        <f t="shared" si="116"/>
        <v>1988 q1</v>
      </c>
    </row>
    <row r="7165" spans="1:3">
      <c r="A7165" s="62">
        <v>32183</v>
      </c>
      <c r="B7165">
        <v>1.0169999999999999</v>
      </c>
      <c r="C7165" t="str">
        <f t="shared" si="116"/>
        <v>1988 q1</v>
      </c>
    </row>
    <row r="7166" spans="1:3">
      <c r="A7166" s="62">
        <v>32184</v>
      </c>
      <c r="B7166">
        <v>1.01</v>
      </c>
      <c r="C7166" t="str">
        <f t="shared" si="116"/>
        <v>1988 q1</v>
      </c>
    </row>
    <row r="7167" spans="1:3">
      <c r="A7167" s="62">
        <v>32185</v>
      </c>
      <c r="B7167">
        <v>1.0285</v>
      </c>
      <c r="C7167" t="str">
        <f t="shared" si="116"/>
        <v>1988 q1</v>
      </c>
    </row>
    <row r="7168" spans="1:3">
      <c r="A7168" s="62">
        <v>32189</v>
      </c>
      <c r="B7168">
        <v>1.0580000000000001</v>
      </c>
      <c r="C7168" t="str">
        <f t="shared" si="116"/>
        <v>1988 q1</v>
      </c>
    </row>
    <row r="7169" spans="1:3">
      <c r="A7169" s="62">
        <v>32190</v>
      </c>
      <c r="B7169">
        <v>1.0449999999999999</v>
      </c>
      <c r="C7169" t="str">
        <f t="shared" si="116"/>
        <v>1988 q1</v>
      </c>
    </row>
    <row r="7170" spans="1:3">
      <c r="A7170" s="62">
        <v>32191</v>
      </c>
      <c r="B7170">
        <v>0.98750000000000004</v>
      </c>
      <c r="C7170" t="str">
        <f t="shared" si="116"/>
        <v>1988 q1</v>
      </c>
    </row>
    <row r="7171" spans="1:3">
      <c r="A7171" s="62">
        <v>32192</v>
      </c>
      <c r="B7171">
        <v>0.96699999999999997</v>
      </c>
      <c r="C7171" t="str">
        <f t="shared" si="116"/>
        <v>1988 q1</v>
      </c>
    </row>
    <row r="7172" spans="1:3">
      <c r="A7172" s="62">
        <v>32195</v>
      </c>
      <c r="B7172">
        <v>0.94</v>
      </c>
      <c r="C7172" t="str">
        <f t="shared" si="116"/>
        <v>1988 q1</v>
      </c>
    </row>
    <row r="7173" spans="1:3">
      <c r="A7173" s="62">
        <v>32196</v>
      </c>
      <c r="B7173">
        <v>0.91100000000000003</v>
      </c>
      <c r="C7173" t="str">
        <f t="shared" si="116"/>
        <v>1988 q1</v>
      </c>
    </row>
    <row r="7174" spans="1:3">
      <c r="A7174" s="62">
        <v>32197</v>
      </c>
      <c r="B7174">
        <v>0.92300000000000004</v>
      </c>
      <c r="C7174" t="str">
        <f t="shared" si="116"/>
        <v>1988 q1</v>
      </c>
    </row>
    <row r="7175" spans="1:3">
      <c r="A7175" s="62">
        <v>32198</v>
      </c>
      <c r="B7175">
        <v>0.93200000000000005</v>
      </c>
      <c r="C7175" t="str">
        <f t="shared" si="116"/>
        <v>1988 q1</v>
      </c>
    </row>
    <row r="7176" spans="1:3">
      <c r="A7176" s="62">
        <v>32199</v>
      </c>
      <c r="B7176">
        <v>0.85819999999999996</v>
      </c>
      <c r="C7176" t="str">
        <f t="shared" si="116"/>
        <v>1988 q1</v>
      </c>
    </row>
    <row r="7177" spans="1:3">
      <c r="A7177" s="62">
        <v>32202</v>
      </c>
      <c r="B7177">
        <v>0.87219999999999998</v>
      </c>
      <c r="C7177" t="str">
        <f t="shared" si="116"/>
        <v>1988 q1</v>
      </c>
    </row>
    <row r="7178" spans="1:3">
      <c r="A7178" s="62">
        <v>32203</v>
      </c>
      <c r="B7178">
        <v>0.88200000000000001</v>
      </c>
      <c r="C7178" t="str">
        <f t="shared" si="116"/>
        <v>1988 q1</v>
      </c>
    </row>
    <row r="7179" spans="1:3">
      <c r="A7179" s="62">
        <v>32204</v>
      </c>
      <c r="B7179">
        <v>0.89949999999999997</v>
      </c>
      <c r="C7179" t="str">
        <f t="shared" si="116"/>
        <v>1988 q1</v>
      </c>
    </row>
    <row r="7180" spans="1:3">
      <c r="A7180" s="62">
        <v>32205</v>
      </c>
      <c r="B7180">
        <v>0.91149999999999998</v>
      </c>
      <c r="C7180" t="str">
        <f t="shared" si="116"/>
        <v>1988 q1</v>
      </c>
    </row>
    <row r="7181" spans="1:3">
      <c r="A7181" s="62">
        <v>32206</v>
      </c>
      <c r="B7181">
        <v>0.93200000000000005</v>
      </c>
      <c r="C7181" t="str">
        <f t="shared" si="116"/>
        <v>1988 q1</v>
      </c>
    </row>
    <row r="7182" spans="1:3">
      <c r="A7182" s="62">
        <v>32209</v>
      </c>
      <c r="B7182">
        <v>0.9395</v>
      </c>
      <c r="C7182" t="str">
        <f t="shared" si="116"/>
        <v>1988 q1</v>
      </c>
    </row>
    <row r="7183" spans="1:3">
      <c r="A7183" s="62">
        <v>32210</v>
      </c>
      <c r="B7183">
        <v>0.91</v>
      </c>
      <c r="C7183" t="str">
        <f t="shared" si="116"/>
        <v>1988 q1</v>
      </c>
    </row>
    <row r="7184" spans="1:3">
      <c r="A7184" s="62">
        <v>32211</v>
      </c>
      <c r="B7184">
        <v>0.97250000000000003</v>
      </c>
      <c r="C7184" t="str">
        <f t="shared" si="116"/>
        <v>1988 q1</v>
      </c>
    </row>
    <row r="7185" spans="1:3">
      <c r="A7185" s="62">
        <v>32212</v>
      </c>
      <c r="B7185">
        <v>0.98150000000000004</v>
      </c>
      <c r="C7185" t="str">
        <f t="shared" si="116"/>
        <v>1988 q1</v>
      </c>
    </row>
    <row r="7186" spans="1:3">
      <c r="A7186" s="62">
        <v>32213</v>
      </c>
      <c r="B7186">
        <v>0.97899999999999998</v>
      </c>
      <c r="C7186" t="str">
        <f t="shared" ref="C7186:C7249" si="117">YEAR(A7186)&amp;" q"&amp;ROUNDUP(MONTH(A7186)/3,0)</f>
        <v>1988 q1</v>
      </c>
    </row>
    <row r="7187" spans="1:3">
      <c r="A7187" s="62">
        <v>32216</v>
      </c>
      <c r="B7187">
        <v>0.97750000000000004</v>
      </c>
      <c r="C7187" t="str">
        <f t="shared" si="117"/>
        <v>1988 q1</v>
      </c>
    </row>
    <row r="7188" spans="1:3">
      <c r="A7188" s="62">
        <v>32217</v>
      </c>
      <c r="B7188">
        <v>0.94499999999999995</v>
      </c>
      <c r="C7188" t="str">
        <f t="shared" si="117"/>
        <v>1988 q1</v>
      </c>
    </row>
    <row r="7189" spans="1:3">
      <c r="A7189" s="62">
        <v>32218</v>
      </c>
      <c r="B7189">
        <v>0.97550000000000003</v>
      </c>
      <c r="C7189" t="str">
        <f t="shared" si="117"/>
        <v>1988 q1</v>
      </c>
    </row>
    <row r="7190" spans="1:3">
      <c r="A7190" s="62">
        <v>32219</v>
      </c>
      <c r="B7190">
        <v>0.96850000000000003</v>
      </c>
      <c r="C7190" t="str">
        <f t="shared" si="117"/>
        <v>1988 q1</v>
      </c>
    </row>
    <row r="7191" spans="1:3">
      <c r="A7191" s="62">
        <v>32220</v>
      </c>
      <c r="B7191">
        <v>0.96499999999999997</v>
      </c>
      <c r="C7191" t="str">
        <f t="shared" si="117"/>
        <v>1988 q1</v>
      </c>
    </row>
    <row r="7192" spans="1:3">
      <c r="A7192" s="62">
        <v>32223</v>
      </c>
      <c r="B7192">
        <v>0.95</v>
      </c>
      <c r="C7192" t="str">
        <f t="shared" si="117"/>
        <v>1988 q1</v>
      </c>
    </row>
    <row r="7193" spans="1:3">
      <c r="A7193" s="62">
        <v>32224</v>
      </c>
      <c r="B7193">
        <v>0.96</v>
      </c>
      <c r="C7193" t="str">
        <f t="shared" si="117"/>
        <v>1988 q1</v>
      </c>
    </row>
    <row r="7194" spans="1:3">
      <c r="A7194" s="62">
        <v>32225</v>
      </c>
      <c r="B7194">
        <v>0.98699999999999999</v>
      </c>
      <c r="C7194" t="str">
        <f t="shared" si="117"/>
        <v>1988 q1</v>
      </c>
    </row>
    <row r="7195" spans="1:3">
      <c r="A7195" s="62">
        <v>32226</v>
      </c>
      <c r="B7195">
        <v>1.0389999999999999</v>
      </c>
      <c r="C7195" t="str">
        <f t="shared" si="117"/>
        <v>1988 q1</v>
      </c>
    </row>
    <row r="7196" spans="1:3">
      <c r="A7196" s="62">
        <v>32227</v>
      </c>
      <c r="B7196">
        <v>1.0305</v>
      </c>
      <c r="C7196" t="str">
        <f t="shared" si="117"/>
        <v>1988 q1</v>
      </c>
    </row>
    <row r="7197" spans="1:3">
      <c r="A7197" s="62">
        <v>32230</v>
      </c>
      <c r="B7197">
        <v>1.0049999999999999</v>
      </c>
      <c r="C7197" t="str">
        <f t="shared" si="117"/>
        <v>1988 q1</v>
      </c>
    </row>
    <row r="7198" spans="1:3">
      <c r="A7198" s="62">
        <v>32231</v>
      </c>
      <c r="B7198">
        <v>1.0325</v>
      </c>
      <c r="C7198" t="str">
        <f t="shared" si="117"/>
        <v>1988 q1</v>
      </c>
    </row>
    <row r="7199" spans="1:3">
      <c r="A7199" s="62">
        <v>32232</v>
      </c>
      <c r="B7199">
        <v>1.06</v>
      </c>
      <c r="C7199" t="str">
        <f t="shared" si="117"/>
        <v>1988 q1</v>
      </c>
    </row>
    <row r="7200" spans="1:3">
      <c r="A7200" s="62">
        <v>32233</v>
      </c>
      <c r="B7200">
        <v>1.0529999999999999</v>
      </c>
      <c r="C7200" t="str">
        <f t="shared" si="117"/>
        <v>1988 q1</v>
      </c>
    </row>
    <row r="7201" spans="1:3">
      <c r="A7201" s="62">
        <v>32237</v>
      </c>
      <c r="B7201">
        <v>1.0674999999999999</v>
      </c>
      <c r="C7201" t="str">
        <f t="shared" si="117"/>
        <v>1988 q2</v>
      </c>
    </row>
    <row r="7202" spans="1:3">
      <c r="A7202" s="62">
        <v>32238</v>
      </c>
      <c r="B7202">
        <v>1.06</v>
      </c>
      <c r="C7202" t="str">
        <f t="shared" si="117"/>
        <v>1988 q2</v>
      </c>
    </row>
    <row r="7203" spans="1:3">
      <c r="A7203" s="62">
        <v>32239</v>
      </c>
      <c r="B7203">
        <v>1.0375000000000001</v>
      </c>
      <c r="C7203" t="str">
        <f t="shared" si="117"/>
        <v>1988 q2</v>
      </c>
    </row>
    <row r="7204" spans="1:3">
      <c r="A7204" s="62">
        <v>32240</v>
      </c>
      <c r="B7204">
        <v>1.0629999999999999</v>
      </c>
      <c r="C7204" t="str">
        <f t="shared" si="117"/>
        <v>1988 q2</v>
      </c>
    </row>
    <row r="7205" spans="1:3">
      <c r="A7205" s="62">
        <v>32241</v>
      </c>
      <c r="B7205">
        <v>1.044</v>
      </c>
      <c r="C7205" t="str">
        <f t="shared" si="117"/>
        <v>1988 q2</v>
      </c>
    </row>
    <row r="7206" spans="1:3">
      <c r="A7206" s="62">
        <v>32244</v>
      </c>
      <c r="B7206">
        <v>1.002</v>
      </c>
      <c r="C7206" t="str">
        <f t="shared" si="117"/>
        <v>1988 q2</v>
      </c>
    </row>
    <row r="7207" spans="1:3">
      <c r="A7207" s="62">
        <v>32245</v>
      </c>
      <c r="B7207">
        <v>0.95650000000000002</v>
      </c>
      <c r="C7207" t="str">
        <f t="shared" si="117"/>
        <v>1988 q2</v>
      </c>
    </row>
    <row r="7208" spans="1:3">
      <c r="A7208" s="62">
        <v>32246</v>
      </c>
      <c r="B7208">
        <v>0.92949999999999999</v>
      </c>
      <c r="C7208" t="str">
        <f t="shared" si="117"/>
        <v>1988 q2</v>
      </c>
    </row>
    <row r="7209" spans="1:3">
      <c r="A7209" s="62">
        <v>32247</v>
      </c>
      <c r="B7209">
        <v>0.95950000000000002</v>
      </c>
      <c r="C7209" t="str">
        <f t="shared" si="117"/>
        <v>1988 q2</v>
      </c>
    </row>
    <row r="7210" spans="1:3">
      <c r="A7210" s="62">
        <v>32248</v>
      </c>
      <c r="B7210">
        <v>0.97450000000000003</v>
      </c>
      <c r="C7210" t="str">
        <f t="shared" si="117"/>
        <v>1988 q2</v>
      </c>
    </row>
    <row r="7211" spans="1:3">
      <c r="A7211" s="62">
        <v>32251</v>
      </c>
      <c r="B7211">
        <v>0.95699999999999996</v>
      </c>
      <c r="C7211" t="str">
        <f t="shared" si="117"/>
        <v>1988 q2</v>
      </c>
    </row>
    <row r="7212" spans="1:3">
      <c r="A7212" s="62">
        <v>32252</v>
      </c>
      <c r="B7212">
        <v>0.94899999999999995</v>
      </c>
      <c r="C7212" t="str">
        <f t="shared" si="117"/>
        <v>1988 q2</v>
      </c>
    </row>
    <row r="7213" spans="1:3">
      <c r="A7213" s="62">
        <v>32253</v>
      </c>
      <c r="B7213">
        <v>0.92200000000000004</v>
      </c>
      <c r="C7213" t="str">
        <f t="shared" si="117"/>
        <v>1988 q2</v>
      </c>
    </row>
    <row r="7214" spans="1:3">
      <c r="A7214" s="62">
        <v>32254</v>
      </c>
      <c r="B7214">
        <v>0.92</v>
      </c>
      <c r="C7214" t="str">
        <f t="shared" si="117"/>
        <v>1988 q2</v>
      </c>
    </row>
    <row r="7215" spans="1:3">
      <c r="A7215" s="62">
        <v>32255</v>
      </c>
      <c r="B7215">
        <v>0.93600000000000005</v>
      </c>
      <c r="C7215" t="str">
        <f t="shared" si="117"/>
        <v>1988 q2</v>
      </c>
    </row>
    <row r="7216" spans="1:3">
      <c r="A7216" s="62">
        <v>32258</v>
      </c>
      <c r="B7216">
        <v>0.90949999999999998</v>
      </c>
      <c r="C7216" t="str">
        <f t="shared" si="117"/>
        <v>1988 q2</v>
      </c>
    </row>
    <row r="7217" spans="1:3">
      <c r="A7217" s="62">
        <v>32259</v>
      </c>
      <c r="B7217">
        <v>0.88649999999999995</v>
      </c>
      <c r="C7217" t="str">
        <f t="shared" si="117"/>
        <v>1988 q2</v>
      </c>
    </row>
    <row r="7218" spans="1:3">
      <c r="A7218" s="62">
        <v>32260</v>
      </c>
      <c r="B7218">
        <v>0.90439999999999998</v>
      </c>
      <c r="C7218" t="str">
        <f t="shared" si="117"/>
        <v>1988 q2</v>
      </c>
    </row>
    <row r="7219" spans="1:3">
      <c r="A7219" s="62">
        <v>32261</v>
      </c>
      <c r="B7219">
        <v>0.88959999999999995</v>
      </c>
      <c r="C7219" t="str">
        <f t="shared" si="117"/>
        <v>1988 q2</v>
      </c>
    </row>
    <row r="7220" spans="1:3">
      <c r="A7220" s="62">
        <v>32262</v>
      </c>
      <c r="B7220">
        <v>0.9052</v>
      </c>
      <c r="C7220" t="str">
        <f t="shared" si="117"/>
        <v>1988 q2</v>
      </c>
    </row>
    <row r="7221" spans="1:3">
      <c r="A7221" s="62">
        <v>32265</v>
      </c>
      <c r="B7221">
        <v>0.89300000000000002</v>
      </c>
      <c r="C7221" t="str">
        <f t="shared" si="117"/>
        <v>1988 q2</v>
      </c>
    </row>
    <row r="7222" spans="1:3">
      <c r="A7222" s="62">
        <v>32266</v>
      </c>
      <c r="B7222">
        <v>0.90400000000000003</v>
      </c>
      <c r="C7222" t="str">
        <f t="shared" si="117"/>
        <v>1988 q2</v>
      </c>
    </row>
    <row r="7223" spans="1:3">
      <c r="A7223" s="62">
        <v>32267</v>
      </c>
      <c r="B7223">
        <v>0.92349999999999999</v>
      </c>
      <c r="C7223" t="str">
        <f t="shared" si="117"/>
        <v>1988 q2</v>
      </c>
    </row>
    <row r="7224" spans="1:3">
      <c r="A7224" s="62">
        <v>32268</v>
      </c>
      <c r="B7224">
        <v>0.90700000000000003</v>
      </c>
      <c r="C7224" t="str">
        <f t="shared" si="117"/>
        <v>1988 q2</v>
      </c>
    </row>
    <row r="7225" spans="1:3">
      <c r="A7225" s="62">
        <v>32269</v>
      </c>
      <c r="B7225">
        <v>0.92149999999999999</v>
      </c>
      <c r="C7225" t="str">
        <f t="shared" si="117"/>
        <v>1988 q2</v>
      </c>
    </row>
    <row r="7226" spans="1:3">
      <c r="A7226" s="62">
        <v>32272</v>
      </c>
      <c r="B7226">
        <v>0.94650000000000001</v>
      </c>
      <c r="C7226" t="str">
        <f t="shared" si="117"/>
        <v>1988 q2</v>
      </c>
    </row>
    <row r="7227" spans="1:3">
      <c r="A7227" s="62">
        <v>32273</v>
      </c>
      <c r="B7227">
        <v>0.95499999999999996</v>
      </c>
      <c r="C7227" t="str">
        <f t="shared" si="117"/>
        <v>1988 q2</v>
      </c>
    </row>
    <row r="7228" spans="1:3">
      <c r="A7228" s="62">
        <v>32274</v>
      </c>
      <c r="B7228">
        <v>0.94399999999999995</v>
      </c>
      <c r="C7228" t="str">
        <f t="shared" si="117"/>
        <v>1988 q2</v>
      </c>
    </row>
    <row r="7229" spans="1:3">
      <c r="A7229" s="62">
        <v>32275</v>
      </c>
      <c r="B7229">
        <v>0.96499999999999997</v>
      </c>
      <c r="C7229" t="str">
        <f t="shared" si="117"/>
        <v>1988 q2</v>
      </c>
    </row>
    <row r="7230" spans="1:3">
      <c r="A7230" s="62">
        <v>32276</v>
      </c>
      <c r="B7230">
        <v>0.96450000000000002</v>
      </c>
      <c r="C7230" t="str">
        <f t="shared" si="117"/>
        <v>1988 q2</v>
      </c>
    </row>
    <row r="7231" spans="1:3">
      <c r="A7231" s="62">
        <v>32279</v>
      </c>
      <c r="B7231">
        <v>0.94299999999999995</v>
      </c>
      <c r="C7231" t="str">
        <f t="shared" si="117"/>
        <v>1988 q2</v>
      </c>
    </row>
    <row r="7232" spans="1:3">
      <c r="A7232" s="62">
        <v>32280</v>
      </c>
      <c r="B7232">
        <v>0.95899999999999996</v>
      </c>
      <c r="C7232" t="str">
        <f t="shared" si="117"/>
        <v>1988 q2</v>
      </c>
    </row>
    <row r="7233" spans="1:3">
      <c r="A7233" s="62">
        <v>32281</v>
      </c>
      <c r="B7233">
        <v>0.95250000000000001</v>
      </c>
      <c r="C7233" t="str">
        <f t="shared" si="117"/>
        <v>1988 q2</v>
      </c>
    </row>
    <row r="7234" spans="1:3">
      <c r="A7234" s="62">
        <v>32282</v>
      </c>
      <c r="B7234">
        <v>0.95450000000000002</v>
      </c>
      <c r="C7234" t="str">
        <f t="shared" si="117"/>
        <v>1988 q2</v>
      </c>
    </row>
    <row r="7235" spans="1:3">
      <c r="A7235" s="62">
        <v>32283</v>
      </c>
      <c r="B7235">
        <v>0.95799999999999996</v>
      </c>
      <c r="C7235" t="str">
        <f t="shared" si="117"/>
        <v>1988 q2</v>
      </c>
    </row>
    <row r="7236" spans="1:3">
      <c r="A7236" s="62">
        <v>32286</v>
      </c>
      <c r="B7236">
        <v>0.9385</v>
      </c>
      <c r="C7236" t="str">
        <f t="shared" si="117"/>
        <v>1988 q2</v>
      </c>
    </row>
    <row r="7237" spans="1:3">
      <c r="A7237" s="62">
        <v>32287</v>
      </c>
      <c r="B7237">
        <v>0.89749999999999996</v>
      </c>
      <c r="C7237" t="str">
        <f t="shared" si="117"/>
        <v>1988 q2</v>
      </c>
    </row>
    <row r="7238" spans="1:3">
      <c r="A7238" s="62">
        <v>32288</v>
      </c>
      <c r="B7238">
        <v>0.89549999999999996</v>
      </c>
      <c r="C7238" t="str">
        <f t="shared" si="117"/>
        <v>1988 q2</v>
      </c>
    </row>
    <row r="7239" spans="1:3">
      <c r="A7239" s="62">
        <v>32289</v>
      </c>
      <c r="B7239">
        <v>0.90600000000000003</v>
      </c>
      <c r="C7239" t="str">
        <f t="shared" si="117"/>
        <v>1988 q2</v>
      </c>
    </row>
    <row r="7240" spans="1:3">
      <c r="A7240" s="62">
        <v>32290</v>
      </c>
      <c r="B7240">
        <v>0.88649999999999995</v>
      </c>
      <c r="C7240" t="str">
        <f t="shared" si="117"/>
        <v>1988 q2</v>
      </c>
    </row>
    <row r="7241" spans="1:3">
      <c r="A7241" s="62">
        <v>32294</v>
      </c>
      <c r="B7241">
        <v>0.91300000000000003</v>
      </c>
      <c r="C7241" t="str">
        <f t="shared" si="117"/>
        <v>1988 q2</v>
      </c>
    </row>
    <row r="7242" spans="1:3">
      <c r="A7242" s="62">
        <v>32295</v>
      </c>
      <c r="B7242">
        <v>0.9355</v>
      </c>
      <c r="C7242" t="str">
        <f t="shared" si="117"/>
        <v>1988 q2</v>
      </c>
    </row>
    <row r="7243" spans="1:3">
      <c r="A7243" s="62">
        <v>32296</v>
      </c>
      <c r="B7243">
        <v>1.0175000000000001</v>
      </c>
      <c r="C7243" t="str">
        <f t="shared" si="117"/>
        <v>1988 q2</v>
      </c>
    </row>
    <row r="7244" spans="1:3">
      <c r="A7244" s="62">
        <v>32297</v>
      </c>
      <c r="B7244">
        <v>1.0369999999999999</v>
      </c>
      <c r="C7244" t="str">
        <f t="shared" si="117"/>
        <v>1988 q2</v>
      </c>
    </row>
    <row r="7245" spans="1:3">
      <c r="A7245" s="62">
        <v>32300</v>
      </c>
      <c r="B7245">
        <v>1.02</v>
      </c>
      <c r="C7245" t="str">
        <f t="shared" si="117"/>
        <v>1988 q2</v>
      </c>
    </row>
    <row r="7246" spans="1:3">
      <c r="A7246" s="62">
        <v>32301</v>
      </c>
      <c r="B7246">
        <v>1.0649999999999999</v>
      </c>
      <c r="C7246" t="str">
        <f t="shared" si="117"/>
        <v>1988 q2</v>
      </c>
    </row>
    <row r="7247" spans="1:3">
      <c r="A7247" s="62">
        <v>32302</v>
      </c>
      <c r="B7247">
        <v>1.0515000000000001</v>
      </c>
      <c r="C7247" t="str">
        <f t="shared" si="117"/>
        <v>1988 q2</v>
      </c>
    </row>
    <row r="7248" spans="1:3">
      <c r="A7248" s="62">
        <v>32303</v>
      </c>
      <c r="B7248">
        <v>1.075</v>
      </c>
      <c r="C7248" t="str">
        <f t="shared" si="117"/>
        <v>1988 q2</v>
      </c>
    </row>
    <row r="7249" spans="1:3">
      <c r="A7249" s="62">
        <v>32304</v>
      </c>
      <c r="B7249">
        <v>1.091</v>
      </c>
      <c r="C7249" t="str">
        <f t="shared" si="117"/>
        <v>1988 q2</v>
      </c>
    </row>
    <row r="7250" spans="1:3">
      <c r="A7250" s="62">
        <v>32307</v>
      </c>
      <c r="B7250">
        <v>1.0765</v>
      </c>
      <c r="C7250" t="str">
        <f t="shared" ref="C7250:C7313" si="118">YEAR(A7250)&amp;" q"&amp;ROUNDUP(MONTH(A7250)/3,0)</f>
        <v>1988 q2</v>
      </c>
    </row>
    <row r="7251" spans="1:3">
      <c r="A7251" s="62">
        <v>32308</v>
      </c>
      <c r="B7251">
        <v>1.0385</v>
      </c>
      <c r="C7251" t="str">
        <f t="shared" si="118"/>
        <v>1988 q2</v>
      </c>
    </row>
    <row r="7252" spans="1:3">
      <c r="A7252" s="62">
        <v>32309</v>
      </c>
      <c r="B7252">
        <v>1.0489999999999999</v>
      </c>
      <c r="C7252" t="str">
        <f t="shared" si="118"/>
        <v>1988 q2</v>
      </c>
    </row>
    <row r="7253" spans="1:3">
      <c r="A7253" s="62">
        <v>32310</v>
      </c>
      <c r="B7253">
        <v>1.038</v>
      </c>
      <c r="C7253" t="str">
        <f t="shared" si="118"/>
        <v>1988 q2</v>
      </c>
    </row>
    <row r="7254" spans="1:3">
      <c r="A7254" s="62">
        <v>32311</v>
      </c>
      <c r="B7254">
        <v>1.04</v>
      </c>
      <c r="C7254" t="str">
        <f t="shared" si="118"/>
        <v>1988 q2</v>
      </c>
    </row>
    <row r="7255" spans="1:3">
      <c r="A7255" s="62">
        <v>32314</v>
      </c>
      <c r="B7255">
        <v>1.0245</v>
      </c>
      <c r="C7255" t="str">
        <f t="shared" si="118"/>
        <v>1988 q2</v>
      </c>
    </row>
    <row r="7256" spans="1:3">
      <c r="A7256" s="62">
        <v>32315</v>
      </c>
      <c r="B7256">
        <v>1.0834999999999999</v>
      </c>
      <c r="C7256" t="str">
        <f t="shared" si="118"/>
        <v>1988 q2</v>
      </c>
    </row>
    <row r="7257" spans="1:3">
      <c r="A7257" s="62">
        <v>32316</v>
      </c>
      <c r="B7257">
        <v>1.103</v>
      </c>
      <c r="C7257" t="str">
        <f t="shared" si="118"/>
        <v>1988 q2</v>
      </c>
    </row>
    <row r="7258" spans="1:3">
      <c r="A7258" s="62">
        <v>32317</v>
      </c>
      <c r="B7258">
        <v>1.0874999999999999</v>
      </c>
      <c r="C7258" t="str">
        <f t="shared" si="118"/>
        <v>1988 q2</v>
      </c>
    </row>
    <row r="7259" spans="1:3">
      <c r="A7259" s="62">
        <v>32318</v>
      </c>
      <c r="B7259">
        <v>1.0449999999999999</v>
      </c>
      <c r="C7259" t="str">
        <f t="shared" si="118"/>
        <v>1988 q2</v>
      </c>
    </row>
    <row r="7260" spans="1:3">
      <c r="A7260" s="62">
        <v>32321</v>
      </c>
      <c r="B7260">
        <v>1.0296000000000001</v>
      </c>
      <c r="C7260" t="str">
        <f t="shared" si="118"/>
        <v>1988 q2</v>
      </c>
    </row>
    <row r="7261" spans="1:3">
      <c r="A7261" s="62">
        <v>32322</v>
      </c>
      <c r="B7261">
        <v>1.0324</v>
      </c>
      <c r="C7261" t="str">
        <f t="shared" si="118"/>
        <v>1988 q2</v>
      </c>
    </row>
    <row r="7262" spans="1:3">
      <c r="A7262" s="62">
        <v>32323</v>
      </c>
      <c r="B7262">
        <v>1.0229999999999999</v>
      </c>
      <c r="C7262" t="str">
        <f t="shared" si="118"/>
        <v>1988 q2</v>
      </c>
    </row>
    <row r="7263" spans="1:3">
      <c r="A7263" s="62">
        <v>32324</v>
      </c>
      <c r="B7263">
        <v>0.99399999999999999</v>
      </c>
      <c r="C7263" t="str">
        <f t="shared" si="118"/>
        <v>1988 q2</v>
      </c>
    </row>
    <row r="7264" spans="1:3">
      <c r="A7264" s="62">
        <v>32325</v>
      </c>
      <c r="B7264">
        <v>0.93400000000000005</v>
      </c>
      <c r="C7264" t="str">
        <f t="shared" si="118"/>
        <v>1988 q3</v>
      </c>
    </row>
    <row r="7265" spans="1:3">
      <c r="A7265" s="62">
        <v>32329</v>
      </c>
      <c r="B7265">
        <v>0.95099999999999996</v>
      </c>
      <c r="C7265" t="str">
        <f t="shared" si="118"/>
        <v>1988 q3</v>
      </c>
    </row>
    <row r="7266" spans="1:3">
      <c r="A7266" s="62">
        <v>32330</v>
      </c>
      <c r="B7266">
        <v>0.95499999999999996</v>
      </c>
      <c r="C7266" t="str">
        <f t="shared" si="118"/>
        <v>1988 q3</v>
      </c>
    </row>
    <row r="7267" spans="1:3">
      <c r="A7267" s="62">
        <v>32331</v>
      </c>
      <c r="B7267">
        <v>0.96699999999999997</v>
      </c>
      <c r="C7267" t="str">
        <f t="shared" si="118"/>
        <v>1988 q3</v>
      </c>
    </row>
    <row r="7268" spans="1:3">
      <c r="A7268" s="62">
        <v>32332</v>
      </c>
      <c r="B7268">
        <v>0.96650000000000003</v>
      </c>
      <c r="C7268" t="str">
        <f t="shared" si="118"/>
        <v>1988 q3</v>
      </c>
    </row>
    <row r="7269" spans="1:3">
      <c r="A7269" s="62">
        <v>32335</v>
      </c>
      <c r="B7269">
        <v>0.93700000000000006</v>
      </c>
      <c r="C7269" t="str">
        <f t="shared" si="118"/>
        <v>1988 q3</v>
      </c>
    </row>
    <row r="7270" spans="1:3">
      <c r="A7270" s="62">
        <v>32336</v>
      </c>
      <c r="B7270">
        <v>0.91400000000000003</v>
      </c>
      <c r="C7270" t="str">
        <f t="shared" si="118"/>
        <v>1988 q3</v>
      </c>
    </row>
    <row r="7271" spans="1:3">
      <c r="A7271" s="62">
        <v>32337</v>
      </c>
      <c r="B7271">
        <v>0.94</v>
      </c>
      <c r="C7271" t="str">
        <f t="shared" si="118"/>
        <v>1988 q3</v>
      </c>
    </row>
    <row r="7272" spans="1:3">
      <c r="A7272" s="62">
        <v>32338</v>
      </c>
      <c r="B7272">
        <v>0.95</v>
      </c>
      <c r="C7272" t="str">
        <f t="shared" si="118"/>
        <v>1988 q3</v>
      </c>
    </row>
    <row r="7273" spans="1:3">
      <c r="A7273" s="62">
        <v>32339</v>
      </c>
      <c r="B7273">
        <v>0.92549999999999999</v>
      </c>
      <c r="C7273" t="str">
        <f t="shared" si="118"/>
        <v>1988 q3</v>
      </c>
    </row>
    <row r="7274" spans="1:3">
      <c r="A7274" s="62">
        <v>32342</v>
      </c>
      <c r="B7274">
        <v>0.92700000000000005</v>
      </c>
      <c r="C7274" t="str">
        <f t="shared" si="118"/>
        <v>1988 q3</v>
      </c>
    </row>
    <row r="7275" spans="1:3">
      <c r="A7275" s="62">
        <v>32343</v>
      </c>
      <c r="B7275">
        <v>0.97150000000000003</v>
      </c>
      <c r="C7275" t="str">
        <f t="shared" si="118"/>
        <v>1988 q3</v>
      </c>
    </row>
    <row r="7276" spans="1:3">
      <c r="A7276" s="62">
        <v>32344</v>
      </c>
      <c r="B7276">
        <v>0.99299999999999999</v>
      </c>
      <c r="C7276" t="str">
        <f t="shared" si="118"/>
        <v>1988 q3</v>
      </c>
    </row>
    <row r="7277" spans="1:3">
      <c r="A7277" s="62">
        <v>32345</v>
      </c>
      <c r="B7277">
        <v>0.97899999999999998</v>
      </c>
      <c r="C7277" t="str">
        <f t="shared" si="118"/>
        <v>1988 q3</v>
      </c>
    </row>
    <row r="7278" spans="1:3">
      <c r="A7278" s="62">
        <v>32346</v>
      </c>
      <c r="B7278">
        <v>0.98699999999999999</v>
      </c>
      <c r="C7278" t="str">
        <f t="shared" si="118"/>
        <v>1988 q3</v>
      </c>
    </row>
    <row r="7279" spans="1:3">
      <c r="A7279" s="62">
        <v>32349</v>
      </c>
      <c r="B7279">
        <v>0.96450000000000002</v>
      </c>
      <c r="C7279" t="str">
        <f t="shared" si="118"/>
        <v>1988 q3</v>
      </c>
    </row>
    <row r="7280" spans="1:3">
      <c r="A7280" s="62">
        <v>32350</v>
      </c>
      <c r="B7280">
        <v>0.94</v>
      </c>
      <c r="C7280" t="str">
        <f t="shared" si="118"/>
        <v>1988 q3</v>
      </c>
    </row>
    <row r="7281" spans="1:3">
      <c r="A7281" s="62">
        <v>32351</v>
      </c>
      <c r="B7281">
        <v>0.94950000000000001</v>
      </c>
      <c r="C7281" t="str">
        <f t="shared" si="118"/>
        <v>1988 q3</v>
      </c>
    </row>
    <row r="7282" spans="1:3">
      <c r="A7282" s="62">
        <v>32352</v>
      </c>
      <c r="B7282">
        <v>0.93899999999999995</v>
      </c>
      <c r="C7282" t="str">
        <f t="shared" si="118"/>
        <v>1988 q3</v>
      </c>
    </row>
    <row r="7283" spans="1:3">
      <c r="A7283" s="62">
        <v>32353</v>
      </c>
      <c r="B7283">
        <v>0.93</v>
      </c>
      <c r="C7283" t="str">
        <f t="shared" si="118"/>
        <v>1988 q3</v>
      </c>
    </row>
    <row r="7284" spans="1:3">
      <c r="A7284" s="62">
        <v>32356</v>
      </c>
      <c r="B7284">
        <v>0.90449999999999997</v>
      </c>
      <c r="C7284" t="str">
        <f t="shared" si="118"/>
        <v>1988 q3</v>
      </c>
    </row>
    <row r="7285" spans="1:3">
      <c r="A7285" s="62">
        <v>32357</v>
      </c>
      <c r="B7285">
        <v>0.89700000000000002</v>
      </c>
      <c r="C7285" t="str">
        <f t="shared" si="118"/>
        <v>1988 q3</v>
      </c>
    </row>
    <row r="7286" spans="1:3">
      <c r="A7286" s="62">
        <v>32358</v>
      </c>
      <c r="B7286">
        <v>0.91249999999999998</v>
      </c>
      <c r="C7286" t="str">
        <f t="shared" si="118"/>
        <v>1988 q3</v>
      </c>
    </row>
    <row r="7287" spans="1:3">
      <c r="A7287" s="62">
        <v>32359</v>
      </c>
      <c r="B7287">
        <v>0.93400000000000005</v>
      </c>
      <c r="C7287" t="str">
        <f t="shared" si="118"/>
        <v>1988 q3</v>
      </c>
    </row>
    <row r="7288" spans="1:3">
      <c r="A7288" s="62">
        <v>32360</v>
      </c>
      <c r="B7288">
        <v>0.94199999999999995</v>
      </c>
      <c r="C7288" t="str">
        <f t="shared" si="118"/>
        <v>1988 q3</v>
      </c>
    </row>
    <row r="7289" spans="1:3">
      <c r="A7289" s="62">
        <v>32363</v>
      </c>
      <c r="B7289">
        <v>0.92</v>
      </c>
      <c r="C7289" t="str">
        <f t="shared" si="118"/>
        <v>1988 q3</v>
      </c>
    </row>
    <row r="7290" spans="1:3">
      <c r="A7290" s="62">
        <v>32364</v>
      </c>
      <c r="B7290">
        <v>0.90900000000000003</v>
      </c>
      <c r="C7290" t="str">
        <f t="shared" si="118"/>
        <v>1988 q3</v>
      </c>
    </row>
    <row r="7291" spans="1:3">
      <c r="A7291" s="62">
        <v>32365</v>
      </c>
      <c r="B7291">
        <v>0.91600000000000004</v>
      </c>
      <c r="C7291" t="str">
        <f t="shared" si="118"/>
        <v>1988 q3</v>
      </c>
    </row>
    <row r="7292" spans="1:3">
      <c r="A7292" s="62">
        <v>32366</v>
      </c>
      <c r="B7292">
        <v>0.95350000000000001</v>
      </c>
      <c r="C7292" t="str">
        <f t="shared" si="118"/>
        <v>1988 q3</v>
      </c>
    </row>
    <row r="7293" spans="1:3">
      <c r="A7293" s="62">
        <v>32367</v>
      </c>
      <c r="B7293">
        <v>0.94</v>
      </c>
      <c r="C7293" t="str">
        <f t="shared" si="118"/>
        <v>1988 q3</v>
      </c>
    </row>
    <row r="7294" spans="1:3">
      <c r="A7294" s="62">
        <v>32370</v>
      </c>
      <c r="B7294">
        <v>0.94199999999999995</v>
      </c>
      <c r="C7294" t="str">
        <f t="shared" si="118"/>
        <v>1988 q3</v>
      </c>
    </row>
    <row r="7295" spans="1:3">
      <c r="A7295" s="62">
        <v>32371</v>
      </c>
      <c r="B7295">
        <v>0.9365</v>
      </c>
      <c r="C7295" t="str">
        <f t="shared" si="118"/>
        <v>1988 q3</v>
      </c>
    </row>
    <row r="7296" spans="1:3">
      <c r="A7296" s="62">
        <v>32372</v>
      </c>
      <c r="B7296">
        <v>0.94299999999999995</v>
      </c>
      <c r="C7296" t="str">
        <f t="shared" si="118"/>
        <v>1988 q3</v>
      </c>
    </row>
    <row r="7297" spans="1:3">
      <c r="A7297" s="62">
        <v>32373</v>
      </c>
      <c r="B7297">
        <v>0.97250000000000003</v>
      </c>
      <c r="C7297" t="str">
        <f t="shared" si="118"/>
        <v>1988 q3</v>
      </c>
    </row>
    <row r="7298" spans="1:3">
      <c r="A7298" s="62">
        <v>32374</v>
      </c>
      <c r="B7298">
        <v>0.97650000000000003</v>
      </c>
      <c r="C7298" t="str">
        <f t="shared" si="118"/>
        <v>1988 q3</v>
      </c>
    </row>
    <row r="7299" spans="1:3">
      <c r="A7299" s="62">
        <v>32377</v>
      </c>
      <c r="B7299">
        <v>1.0049999999999999</v>
      </c>
      <c r="C7299" t="str">
        <f t="shared" si="118"/>
        <v>1988 q3</v>
      </c>
    </row>
    <row r="7300" spans="1:3">
      <c r="A7300" s="62">
        <v>32378</v>
      </c>
      <c r="B7300">
        <v>1.0004999999999999</v>
      </c>
      <c r="C7300" t="str">
        <f t="shared" si="118"/>
        <v>1988 q3</v>
      </c>
    </row>
    <row r="7301" spans="1:3">
      <c r="A7301" s="62">
        <v>32379</v>
      </c>
      <c r="B7301">
        <v>1.008</v>
      </c>
      <c r="C7301" t="str">
        <f t="shared" si="118"/>
        <v>1988 q3</v>
      </c>
    </row>
    <row r="7302" spans="1:3">
      <c r="A7302" s="62">
        <v>32380</v>
      </c>
      <c r="B7302">
        <v>1.0225</v>
      </c>
      <c r="C7302" t="str">
        <f t="shared" si="118"/>
        <v>1988 q3</v>
      </c>
    </row>
    <row r="7303" spans="1:3">
      <c r="A7303" s="62">
        <v>32381</v>
      </c>
      <c r="B7303">
        <v>1.0259</v>
      </c>
      <c r="C7303" t="str">
        <f t="shared" si="118"/>
        <v>1988 q3</v>
      </c>
    </row>
    <row r="7304" spans="1:3">
      <c r="A7304" s="62">
        <v>32384</v>
      </c>
      <c r="B7304">
        <v>1.0161</v>
      </c>
      <c r="C7304" t="str">
        <f t="shared" si="118"/>
        <v>1988 q3</v>
      </c>
    </row>
    <row r="7305" spans="1:3">
      <c r="A7305" s="62">
        <v>32385</v>
      </c>
      <c r="B7305">
        <v>1.0034000000000001</v>
      </c>
      <c r="C7305" t="str">
        <f t="shared" si="118"/>
        <v>1988 q3</v>
      </c>
    </row>
    <row r="7306" spans="1:3">
      <c r="A7306" s="62">
        <v>32386</v>
      </c>
      <c r="B7306">
        <v>1.0156000000000001</v>
      </c>
      <c r="C7306" t="str">
        <f t="shared" si="118"/>
        <v>1988 q3</v>
      </c>
    </row>
    <row r="7307" spans="1:3">
      <c r="A7307" s="62">
        <v>32387</v>
      </c>
      <c r="B7307">
        <v>0.98799999999999999</v>
      </c>
      <c r="C7307" t="str">
        <f t="shared" si="118"/>
        <v>1988 q3</v>
      </c>
    </row>
    <row r="7308" spans="1:3">
      <c r="A7308" s="62">
        <v>32388</v>
      </c>
      <c r="B7308">
        <v>0.98499999999999999</v>
      </c>
      <c r="C7308" t="str">
        <f t="shared" si="118"/>
        <v>1988 q3</v>
      </c>
    </row>
    <row r="7309" spans="1:3">
      <c r="A7309" s="62">
        <v>32392</v>
      </c>
      <c r="B7309">
        <v>0.99199999999999999</v>
      </c>
      <c r="C7309" t="str">
        <f t="shared" si="118"/>
        <v>1988 q3</v>
      </c>
    </row>
    <row r="7310" spans="1:3">
      <c r="A7310" s="62">
        <v>32393</v>
      </c>
      <c r="B7310">
        <v>0.99350000000000005</v>
      </c>
      <c r="C7310" t="str">
        <f t="shared" si="118"/>
        <v>1988 q3</v>
      </c>
    </row>
    <row r="7311" spans="1:3">
      <c r="A7311" s="62">
        <v>32394</v>
      </c>
      <c r="B7311">
        <v>1.0009999999999999</v>
      </c>
      <c r="C7311" t="str">
        <f t="shared" si="118"/>
        <v>1988 q3</v>
      </c>
    </row>
    <row r="7312" spans="1:3">
      <c r="A7312" s="62">
        <v>32395</v>
      </c>
      <c r="B7312">
        <v>1.0135000000000001</v>
      </c>
      <c r="C7312" t="str">
        <f t="shared" si="118"/>
        <v>1988 q3</v>
      </c>
    </row>
    <row r="7313" spans="1:3">
      <c r="A7313" s="62">
        <v>32398</v>
      </c>
      <c r="B7313">
        <v>1.02</v>
      </c>
      <c r="C7313" t="str">
        <f t="shared" si="118"/>
        <v>1988 q3</v>
      </c>
    </row>
    <row r="7314" spans="1:3">
      <c r="A7314" s="62">
        <v>32399</v>
      </c>
      <c r="B7314">
        <v>1.0389999999999999</v>
      </c>
      <c r="C7314" t="str">
        <f t="shared" ref="C7314:C7377" si="119">YEAR(A7314)&amp;" q"&amp;ROUNDUP(MONTH(A7314)/3,0)</f>
        <v>1988 q3</v>
      </c>
    </row>
    <row r="7315" spans="1:3">
      <c r="A7315" s="62">
        <v>32400</v>
      </c>
      <c r="B7315">
        <v>1.0369999999999999</v>
      </c>
      <c r="C7315" t="str">
        <f t="shared" si="119"/>
        <v>1988 q3</v>
      </c>
    </row>
    <row r="7316" spans="1:3">
      <c r="A7316" s="62">
        <v>32401</v>
      </c>
      <c r="B7316">
        <v>1.0465</v>
      </c>
      <c r="C7316" t="str">
        <f t="shared" si="119"/>
        <v>1988 q3</v>
      </c>
    </row>
    <row r="7317" spans="1:3">
      <c r="A7317" s="62">
        <v>32402</v>
      </c>
      <c r="B7317">
        <v>1.04</v>
      </c>
      <c r="C7317" t="str">
        <f t="shared" si="119"/>
        <v>1988 q3</v>
      </c>
    </row>
    <row r="7318" spans="1:3">
      <c r="A7318" s="62">
        <v>32405</v>
      </c>
      <c r="B7318">
        <v>1.0329999999999999</v>
      </c>
      <c r="C7318" t="str">
        <f t="shared" si="119"/>
        <v>1988 q3</v>
      </c>
    </row>
    <row r="7319" spans="1:3">
      <c r="A7319" s="62">
        <v>32406</v>
      </c>
      <c r="B7319">
        <v>1.036</v>
      </c>
      <c r="C7319" t="str">
        <f t="shared" si="119"/>
        <v>1988 q3</v>
      </c>
    </row>
    <row r="7320" spans="1:3">
      <c r="A7320" s="62">
        <v>32407</v>
      </c>
      <c r="B7320">
        <v>1.01</v>
      </c>
      <c r="C7320" t="str">
        <f t="shared" si="119"/>
        <v>1988 q3</v>
      </c>
    </row>
    <row r="7321" spans="1:3">
      <c r="A7321" s="62">
        <v>32408</v>
      </c>
      <c r="B7321">
        <v>1.0395000000000001</v>
      </c>
      <c r="C7321" t="str">
        <f t="shared" si="119"/>
        <v>1988 q3</v>
      </c>
    </row>
    <row r="7322" spans="1:3">
      <c r="A7322" s="62">
        <v>32409</v>
      </c>
      <c r="B7322">
        <v>1.0669999999999999</v>
      </c>
      <c r="C7322" t="str">
        <f t="shared" si="119"/>
        <v>1988 q3</v>
      </c>
    </row>
    <row r="7323" spans="1:3">
      <c r="A7323" s="62">
        <v>32412</v>
      </c>
      <c r="B7323">
        <v>1.0654999999999999</v>
      </c>
      <c r="C7323" t="str">
        <f t="shared" si="119"/>
        <v>1988 q3</v>
      </c>
    </row>
    <row r="7324" spans="1:3">
      <c r="A7324" s="62">
        <v>32413</v>
      </c>
      <c r="B7324">
        <v>1.0825</v>
      </c>
      <c r="C7324" t="str">
        <f t="shared" si="119"/>
        <v>1988 q3</v>
      </c>
    </row>
    <row r="7325" spans="1:3">
      <c r="A7325" s="62">
        <v>32414</v>
      </c>
      <c r="B7325">
        <v>1.0705</v>
      </c>
      <c r="C7325" t="str">
        <f t="shared" si="119"/>
        <v>1988 q3</v>
      </c>
    </row>
    <row r="7326" spans="1:3">
      <c r="A7326" s="62">
        <v>32415</v>
      </c>
      <c r="B7326">
        <v>1.0945</v>
      </c>
      <c r="C7326" t="str">
        <f t="shared" si="119"/>
        <v>1988 q3</v>
      </c>
    </row>
    <row r="7327" spans="1:3">
      <c r="A7327" s="62">
        <v>32416</v>
      </c>
      <c r="B7327">
        <v>1.0960000000000001</v>
      </c>
      <c r="C7327" t="str">
        <f t="shared" si="119"/>
        <v>1988 q3</v>
      </c>
    </row>
    <row r="7328" spans="1:3">
      <c r="A7328" s="62">
        <v>32419</v>
      </c>
      <c r="B7328">
        <v>1.0914999999999999</v>
      </c>
      <c r="C7328" t="str">
        <f t="shared" si="119"/>
        <v>1988 q4</v>
      </c>
    </row>
    <row r="7329" spans="1:3">
      <c r="A7329" s="62">
        <v>32420</v>
      </c>
      <c r="B7329">
        <v>1.0994999999999999</v>
      </c>
      <c r="C7329" t="str">
        <f t="shared" si="119"/>
        <v>1988 q4</v>
      </c>
    </row>
    <row r="7330" spans="1:3">
      <c r="A7330" s="62">
        <v>32421</v>
      </c>
      <c r="B7330">
        <v>1.109</v>
      </c>
      <c r="C7330" t="str">
        <f t="shared" si="119"/>
        <v>1988 q4</v>
      </c>
    </row>
    <row r="7331" spans="1:3">
      <c r="A7331" s="62">
        <v>32422</v>
      </c>
      <c r="B7331">
        <v>1.1339999999999999</v>
      </c>
      <c r="C7331" t="str">
        <f t="shared" si="119"/>
        <v>1988 q4</v>
      </c>
    </row>
    <row r="7332" spans="1:3">
      <c r="A7332" s="62">
        <v>32423</v>
      </c>
      <c r="B7332">
        <v>1.1515</v>
      </c>
      <c r="C7332" t="str">
        <f t="shared" si="119"/>
        <v>1988 q4</v>
      </c>
    </row>
    <row r="7333" spans="1:3">
      <c r="A7333" s="62">
        <v>32426</v>
      </c>
      <c r="B7333">
        <v>1.1859999999999999</v>
      </c>
      <c r="C7333" t="str">
        <f t="shared" si="119"/>
        <v>1988 q4</v>
      </c>
    </row>
    <row r="7334" spans="1:3">
      <c r="A7334" s="62">
        <v>32427</v>
      </c>
      <c r="B7334">
        <v>1.2010000000000001</v>
      </c>
      <c r="C7334" t="str">
        <f t="shared" si="119"/>
        <v>1988 q4</v>
      </c>
    </row>
    <row r="7335" spans="1:3">
      <c r="A7335" s="62">
        <v>32428</v>
      </c>
      <c r="B7335">
        <v>1.2030000000000001</v>
      </c>
      <c r="C7335" t="str">
        <f t="shared" si="119"/>
        <v>1988 q4</v>
      </c>
    </row>
    <row r="7336" spans="1:3">
      <c r="A7336" s="62">
        <v>32429</v>
      </c>
      <c r="B7336">
        <v>1.196</v>
      </c>
      <c r="C7336" t="str">
        <f t="shared" si="119"/>
        <v>1988 q4</v>
      </c>
    </row>
    <row r="7337" spans="1:3">
      <c r="A7337" s="62">
        <v>32430</v>
      </c>
      <c r="B7337">
        <v>1.2535000000000001</v>
      </c>
      <c r="C7337" t="str">
        <f t="shared" si="119"/>
        <v>1988 q4</v>
      </c>
    </row>
    <row r="7338" spans="1:3">
      <c r="A7338" s="62">
        <v>32433</v>
      </c>
      <c r="B7338">
        <v>1.246</v>
      </c>
      <c r="C7338" t="str">
        <f t="shared" si="119"/>
        <v>1988 q4</v>
      </c>
    </row>
    <row r="7339" spans="1:3">
      <c r="A7339" s="62">
        <v>32434</v>
      </c>
      <c r="B7339">
        <v>1.278</v>
      </c>
      <c r="C7339" t="str">
        <f t="shared" si="119"/>
        <v>1988 q4</v>
      </c>
    </row>
    <row r="7340" spans="1:3">
      <c r="A7340" s="62">
        <v>32435</v>
      </c>
      <c r="B7340">
        <v>1.3334999999999999</v>
      </c>
      <c r="C7340" t="str">
        <f t="shared" si="119"/>
        <v>1988 q4</v>
      </c>
    </row>
    <row r="7341" spans="1:3">
      <c r="A7341" s="62">
        <v>32436</v>
      </c>
      <c r="B7341">
        <v>1.36</v>
      </c>
      <c r="C7341" t="str">
        <f t="shared" si="119"/>
        <v>1988 q4</v>
      </c>
    </row>
    <row r="7342" spans="1:3">
      <c r="A7342" s="62">
        <v>32437</v>
      </c>
      <c r="B7342">
        <v>1.3625</v>
      </c>
      <c r="C7342" t="str">
        <f t="shared" si="119"/>
        <v>1988 q4</v>
      </c>
    </row>
    <row r="7343" spans="1:3">
      <c r="A7343" s="62">
        <v>32440</v>
      </c>
      <c r="B7343">
        <v>1.3325</v>
      </c>
      <c r="C7343" t="str">
        <f t="shared" si="119"/>
        <v>1988 q4</v>
      </c>
    </row>
    <row r="7344" spans="1:3">
      <c r="A7344" s="62">
        <v>32441</v>
      </c>
      <c r="B7344">
        <v>1.3440000000000001</v>
      </c>
      <c r="C7344" t="str">
        <f t="shared" si="119"/>
        <v>1988 q4</v>
      </c>
    </row>
    <row r="7345" spans="1:3">
      <c r="A7345" s="62">
        <v>32442</v>
      </c>
      <c r="B7345">
        <v>1.31</v>
      </c>
      <c r="C7345" t="str">
        <f t="shared" si="119"/>
        <v>1988 q4</v>
      </c>
    </row>
    <row r="7346" spans="1:3">
      <c r="A7346" s="62">
        <v>32443</v>
      </c>
      <c r="B7346">
        <v>1.3265</v>
      </c>
      <c r="C7346" t="str">
        <f t="shared" si="119"/>
        <v>1988 q4</v>
      </c>
    </row>
    <row r="7347" spans="1:3">
      <c r="A7347" s="62">
        <v>32444</v>
      </c>
      <c r="B7347">
        <v>1.397</v>
      </c>
      <c r="C7347" t="str">
        <f t="shared" si="119"/>
        <v>1988 q4</v>
      </c>
    </row>
    <row r="7348" spans="1:3">
      <c r="A7348" s="62">
        <v>32447</v>
      </c>
      <c r="B7348">
        <v>1.4115</v>
      </c>
      <c r="C7348" t="str">
        <f t="shared" si="119"/>
        <v>1988 q4</v>
      </c>
    </row>
    <row r="7349" spans="1:3">
      <c r="A7349" s="62">
        <v>32448</v>
      </c>
      <c r="B7349">
        <v>1.419</v>
      </c>
      <c r="C7349" t="str">
        <f t="shared" si="119"/>
        <v>1988 q4</v>
      </c>
    </row>
    <row r="7350" spans="1:3">
      <c r="A7350" s="62">
        <v>32449</v>
      </c>
      <c r="B7350">
        <v>1.4630000000000001</v>
      </c>
      <c r="C7350" t="str">
        <f t="shared" si="119"/>
        <v>1988 q4</v>
      </c>
    </row>
    <row r="7351" spans="1:3">
      <c r="A7351" s="62">
        <v>32450</v>
      </c>
      <c r="B7351">
        <v>1.4319999999999999</v>
      </c>
      <c r="C7351" t="str">
        <f t="shared" si="119"/>
        <v>1988 q4</v>
      </c>
    </row>
    <row r="7352" spans="1:3">
      <c r="A7352" s="62">
        <v>32451</v>
      </c>
      <c r="B7352">
        <v>1.42</v>
      </c>
      <c r="C7352" t="str">
        <f t="shared" si="119"/>
        <v>1988 q4</v>
      </c>
    </row>
    <row r="7353" spans="1:3">
      <c r="A7353" s="62">
        <v>32454</v>
      </c>
      <c r="B7353">
        <v>1.389</v>
      </c>
      <c r="C7353" t="str">
        <f t="shared" si="119"/>
        <v>1988 q4</v>
      </c>
    </row>
    <row r="7354" spans="1:3">
      <c r="A7354" s="62">
        <v>32455</v>
      </c>
      <c r="B7354">
        <v>1.423</v>
      </c>
      <c r="C7354" t="str">
        <f t="shared" si="119"/>
        <v>1988 q4</v>
      </c>
    </row>
    <row r="7355" spans="1:3">
      <c r="A7355" s="62">
        <v>32456</v>
      </c>
      <c r="B7355">
        <v>1.456</v>
      </c>
      <c r="C7355" t="str">
        <f t="shared" si="119"/>
        <v>1988 q4</v>
      </c>
    </row>
    <row r="7356" spans="1:3">
      <c r="A7356" s="62">
        <v>32457</v>
      </c>
      <c r="B7356">
        <v>1.3674999999999999</v>
      </c>
      <c r="C7356" t="str">
        <f t="shared" si="119"/>
        <v>1988 q4</v>
      </c>
    </row>
    <row r="7357" spans="1:3">
      <c r="A7357" s="62">
        <v>32458</v>
      </c>
      <c r="B7357">
        <v>1.351</v>
      </c>
      <c r="C7357" t="str">
        <f t="shared" si="119"/>
        <v>1988 q4</v>
      </c>
    </row>
    <row r="7358" spans="1:3">
      <c r="A7358" s="62">
        <v>32461</v>
      </c>
      <c r="B7358">
        <v>1.36</v>
      </c>
      <c r="C7358" t="str">
        <f t="shared" si="119"/>
        <v>1988 q4</v>
      </c>
    </row>
    <row r="7359" spans="1:3">
      <c r="A7359" s="62">
        <v>32462</v>
      </c>
      <c r="B7359">
        <v>1.2989999999999999</v>
      </c>
      <c r="C7359" t="str">
        <f t="shared" si="119"/>
        <v>1988 q4</v>
      </c>
    </row>
    <row r="7360" spans="1:3">
      <c r="A7360" s="62">
        <v>32463</v>
      </c>
      <c r="B7360">
        <v>1.28</v>
      </c>
      <c r="C7360" t="str">
        <f t="shared" si="119"/>
        <v>1988 q4</v>
      </c>
    </row>
    <row r="7361" spans="1:3">
      <c r="A7361" s="62">
        <v>32464</v>
      </c>
      <c r="B7361">
        <v>1.333</v>
      </c>
      <c r="C7361" t="str">
        <f t="shared" si="119"/>
        <v>1988 q4</v>
      </c>
    </row>
    <row r="7362" spans="1:3">
      <c r="A7362" s="62">
        <v>32465</v>
      </c>
      <c r="B7362">
        <v>1.359</v>
      </c>
      <c r="C7362" t="str">
        <f t="shared" si="119"/>
        <v>1988 q4</v>
      </c>
    </row>
    <row r="7363" spans="1:3">
      <c r="A7363" s="62">
        <v>32468</v>
      </c>
      <c r="B7363">
        <v>1.345</v>
      </c>
      <c r="C7363" t="str">
        <f t="shared" si="119"/>
        <v>1988 q4</v>
      </c>
    </row>
    <row r="7364" spans="1:3">
      <c r="A7364" s="62">
        <v>32469</v>
      </c>
      <c r="B7364">
        <v>1.4279999999999999</v>
      </c>
      <c r="C7364" t="str">
        <f t="shared" si="119"/>
        <v>1988 q4</v>
      </c>
    </row>
    <row r="7365" spans="1:3">
      <c r="A7365" s="62">
        <v>32470</v>
      </c>
      <c r="B7365">
        <v>1.524</v>
      </c>
      <c r="C7365" t="str">
        <f t="shared" si="119"/>
        <v>1988 q4</v>
      </c>
    </row>
    <row r="7366" spans="1:3">
      <c r="A7366" s="62">
        <v>32475</v>
      </c>
      <c r="B7366">
        <v>1.506</v>
      </c>
      <c r="C7366" t="str">
        <f t="shared" si="119"/>
        <v>1988 q4</v>
      </c>
    </row>
    <row r="7367" spans="1:3">
      <c r="A7367" s="62">
        <v>32476</v>
      </c>
      <c r="B7367">
        <v>1.478</v>
      </c>
      <c r="C7367" t="str">
        <f t="shared" si="119"/>
        <v>1988 q4</v>
      </c>
    </row>
    <row r="7368" spans="1:3">
      <c r="A7368" s="62">
        <v>32477</v>
      </c>
      <c r="B7368">
        <v>1.472</v>
      </c>
      <c r="C7368" t="str">
        <f t="shared" si="119"/>
        <v>1988 q4</v>
      </c>
    </row>
    <row r="7369" spans="1:3">
      <c r="A7369" s="62">
        <v>32478</v>
      </c>
      <c r="B7369">
        <v>1.47</v>
      </c>
      <c r="C7369" t="str">
        <f t="shared" si="119"/>
        <v>1988 q4</v>
      </c>
    </row>
    <row r="7370" spans="1:3">
      <c r="A7370" s="62">
        <v>32479</v>
      </c>
      <c r="B7370">
        <v>1.4319999999999999</v>
      </c>
      <c r="C7370" t="str">
        <f t="shared" si="119"/>
        <v>1988 q4</v>
      </c>
    </row>
    <row r="7371" spans="1:3">
      <c r="A7371" s="62">
        <v>32482</v>
      </c>
      <c r="B7371">
        <v>1.4430000000000001</v>
      </c>
      <c r="C7371" t="str">
        <f t="shared" si="119"/>
        <v>1988 q4</v>
      </c>
    </row>
    <row r="7372" spans="1:3">
      <c r="A7372" s="62">
        <v>32483</v>
      </c>
      <c r="B7372">
        <v>1.448</v>
      </c>
      <c r="C7372" t="str">
        <f t="shared" si="119"/>
        <v>1988 q4</v>
      </c>
    </row>
    <row r="7373" spans="1:3">
      <c r="A7373" s="62">
        <v>32484</v>
      </c>
      <c r="B7373">
        <v>1.498</v>
      </c>
      <c r="C7373" t="str">
        <f t="shared" si="119"/>
        <v>1988 q4</v>
      </c>
    </row>
    <row r="7374" spans="1:3">
      <c r="A7374" s="62">
        <v>32485</v>
      </c>
      <c r="B7374">
        <v>1.56</v>
      </c>
      <c r="C7374" t="str">
        <f t="shared" si="119"/>
        <v>1988 q4</v>
      </c>
    </row>
    <row r="7375" spans="1:3">
      <c r="A7375" s="62">
        <v>32486</v>
      </c>
      <c r="B7375">
        <v>1.5249999999999999</v>
      </c>
      <c r="C7375" t="str">
        <f t="shared" si="119"/>
        <v>1988 q4</v>
      </c>
    </row>
    <row r="7376" spans="1:3">
      <c r="A7376" s="62">
        <v>32489</v>
      </c>
      <c r="B7376">
        <v>1.49</v>
      </c>
      <c r="C7376" t="str">
        <f t="shared" si="119"/>
        <v>1988 q4</v>
      </c>
    </row>
    <row r="7377" spans="1:3">
      <c r="A7377" s="62">
        <v>32490</v>
      </c>
      <c r="B7377">
        <v>1.42</v>
      </c>
      <c r="C7377" t="str">
        <f t="shared" si="119"/>
        <v>1988 q4</v>
      </c>
    </row>
    <row r="7378" spans="1:3">
      <c r="A7378" s="62">
        <v>32491</v>
      </c>
      <c r="B7378">
        <v>1.4470000000000001</v>
      </c>
      <c r="C7378" t="str">
        <f t="shared" ref="C7378:C7441" si="120">YEAR(A7378)&amp;" q"&amp;ROUNDUP(MONTH(A7378)/3,0)</f>
        <v>1988 q4</v>
      </c>
    </row>
    <row r="7379" spans="1:3">
      <c r="A7379" s="62">
        <v>32492</v>
      </c>
      <c r="B7379">
        <v>1.4430000000000001</v>
      </c>
      <c r="C7379" t="str">
        <f t="shared" si="120"/>
        <v>1988 q4</v>
      </c>
    </row>
    <row r="7380" spans="1:3">
      <c r="A7380" s="62">
        <v>32493</v>
      </c>
      <c r="B7380">
        <v>1.4319999999999999</v>
      </c>
      <c r="C7380" t="str">
        <f t="shared" si="120"/>
        <v>1988 q4</v>
      </c>
    </row>
    <row r="7381" spans="1:3">
      <c r="A7381" s="62">
        <v>32496</v>
      </c>
      <c r="B7381">
        <v>1.4624999999999999</v>
      </c>
      <c r="C7381" t="str">
        <f t="shared" si="120"/>
        <v>1988 q4</v>
      </c>
    </row>
    <row r="7382" spans="1:3">
      <c r="A7382" s="62">
        <v>32497</v>
      </c>
      <c r="B7382">
        <v>1.4950000000000001</v>
      </c>
      <c r="C7382" t="str">
        <f t="shared" si="120"/>
        <v>1988 q4</v>
      </c>
    </row>
    <row r="7383" spans="1:3">
      <c r="A7383" s="62">
        <v>32498</v>
      </c>
      <c r="B7383">
        <v>1.506</v>
      </c>
      <c r="C7383" t="str">
        <f t="shared" si="120"/>
        <v>1988 q4</v>
      </c>
    </row>
    <row r="7384" spans="1:3">
      <c r="A7384" s="62">
        <v>32499</v>
      </c>
      <c r="B7384">
        <v>1.504</v>
      </c>
      <c r="C7384" t="str">
        <f t="shared" si="120"/>
        <v>1988 q4</v>
      </c>
    </row>
    <row r="7385" spans="1:3">
      <c r="A7385" s="62">
        <v>32500</v>
      </c>
      <c r="B7385">
        <v>1.5269999999999999</v>
      </c>
      <c r="C7385" t="str">
        <f t="shared" si="120"/>
        <v>1988 q4</v>
      </c>
    </row>
    <row r="7386" spans="1:3">
      <c r="A7386" s="62">
        <v>32504</v>
      </c>
      <c r="B7386">
        <v>1.4843</v>
      </c>
      <c r="C7386" t="str">
        <f t="shared" si="120"/>
        <v>1988 q4</v>
      </c>
    </row>
    <row r="7387" spans="1:3">
      <c r="A7387" s="62">
        <v>32505</v>
      </c>
      <c r="B7387">
        <v>1.45</v>
      </c>
      <c r="C7387" t="str">
        <f t="shared" si="120"/>
        <v>1988 q4</v>
      </c>
    </row>
    <row r="7388" spans="1:3">
      <c r="A7388" s="62">
        <v>32506</v>
      </c>
      <c r="B7388">
        <v>1.4332</v>
      </c>
      <c r="C7388" t="str">
        <f t="shared" si="120"/>
        <v>1988 q4</v>
      </c>
    </row>
    <row r="7389" spans="1:3">
      <c r="A7389" s="62">
        <v>32507</v>
      </c>
      <c r="B7389">
        <v>1.387</v>
      </c>
      <c r="C7389" t="str">
        <f t="shared" si="120"/>
        <v>1988 q4</v>
      </c>
    </row>
    <row r="7390" spans="1:3">
      <c r="A7390" s="62">
        <v>32511</v>
      </c>
      <c r="B7390">
        <v>1.367</v>
      </c>
      <c r="C7390" t="str">
        <f t="shared" si="120"/>
        <v>1989 q1</v>
      </c>
    </row>
    <row r="7391" spans="1:3">
      <c r="A7391" s="62">
        <v>32512</v>
      </c>
      <c r="B7391">
        <v>1.4259999999999999</v>
      </c>
      <c r="C7391" t="str">
        <f t="shared" si="120"/>
        <v>1989 q1</v>
      </c>
    </row>
    <row r="7392" spans="1:3">
      <c r="A7392" s="62">
        <v>32513</v>
      </c>
      <c r="B7392">
        <v>1.41</v>
      </c>
      <c r="C7392" t="str">
        <f t="shared" si="120"/>
        <v>1989 q1</v>
      </c>
    </row>
    <row r="7393" spans="1:3">
      <c r="A7393" s="62">
        <v>32514</v>
      </c>
      <c r="B7393">
        <v>1.36</v>
      </c>
      <c r="C7393" t="str">
        <f t="shared" si="120"/>
        <v>1989 q1</v>
      </c>
    </row>
    <row r="7394" spans="1:3">
      <c r="A7394" s="62">
        <v>32517</v>
      </c>
      <c r="B7394">
        <v>1.3474999999999999</v>
      </c>
      <c r="C7394" t="str">
        <f t="shared" si="120"/>
        <v>1989 q1</v>
      </c>
    </row>
    <row r="7395" spans="1:3">
      <c r="A7395" s="62">
        <v>32518</v>
      </c>
      <c r="B7395">
        <v>1.347</v>
      </c>
      <c r="C7395" t="str">
        <f t="shared" si="120"/>
        <v>1989 q1</v>
      </c>
    </row>
    <row r="7396" spans="1:3">
      <c r="A7396" s="62">
        <v>32519</v>
      </c>
      <c r="B7396">
        <v>1.3454999999999999</v>
      </c>
      <c r="C7396" t="str">
        <f t="shared" si="120"/>
        <v>1989 q1</v>
      </c>
    </row>
    <row r="7397" spans="1:3">
      <c r="A7397" s="62">
        <v>32520</v>
      </c>
      <c r="B7397">
        <v>1.379</v>
      </c>
      <c r="C7397" t="str">
        <f t="shared" si="120"/>
        <v>1989 q1</v>
      </c>
    </row>
    <row r="7398" spans="1:3">
      <c r="A7398" s="62">
        <v>32521</v>
      </c>
      <c r="B7398">
        <v>1.431</v>
      </c>
      <c r="C7398" t="str">
        <f t="shared" si="120"/>
        <v>1989 q1</v>
      </c>
    </row>
    <row r="7399" spans="1:3">
      <c r="A7399" s="62">
        <v>32524</v>
      </c>
      <c r="B7399">
        <v>1.4804999999999999</v>
      </c>
      <c r="C7399" t="str">
        <f t="shared" si="120"/>
        <v>1989 q1</v>
      </c>
    </row>
    <row r="7400" spans="1:3">
      <c r="A7400" s="62">
        <v>32525</v>
      </c>
      <c r="B7400">
        <v>1.488</v>
      </c>
      <c r="C7400" t="str">
        <f t="shared" si="120"/>
        <v>1989 q1</v>
      </c>
    </row>
    <row r="7401" spans="1:3">
      <c r="A7401" s="62">
        <v>32526</v>
      </c>
      <c r="B7401">
        <v>1.4684999999999999</v>
      </c>
      <c r="C7401" t="str">
        <f t="shared" si="120"/>
        <v>1989 q1</v>
      </c>
    </row>
    <row r="7402" spans="1:3">
      <c r="A7402" s="62">
        <v>32527</v>
      </c>
      <c r="B7402">
        <v>1.47</v>
      </c>
      <c r="C7402" t="str">
        <f t="shared" si="120"/>
        <v>1989 q1</v>
      </c>
    </row>
    <row r="7403" spans="1:3">
      <c r="A7403" s="62">
        <v>32528</v>
      </c>
      <c r="B7403">
        <v>1.4764999999999999</v>
      </c>
      <c r="C7403" t="str">
        <f t="shared" si="120"/>
        <v>1989 q1</v>
      </c>
    </row>
    <row r="7404" spans="1:3">
      <c r="A7404" s="62">
        <v>32531</v>
      </c>
      <c r="B7404">
        <v>1.4955000000000001</v>
      </c>
      <c r="C7404" t="str">
        <f t="shared" si="120"/>
        <v>1989 q1</v>
      </c>
    </row>
    <row r="7405" spans="1:3">
      <c r="A7405" s="62">
        <v>32532</v>
      </c>
      <c r="B7405">
        <v>1.4804999999999999</v>
      </c>
      <c r="C7405" t="str">
        <f t="shared" si="120"/>
        <v>1989 q1</v>
      </c>
    </row>
    <row r="7406" spans="1:3">
      <c r="A7406" s="62">
        <v>32533</v>
      </c>
      <c r="B7406">
        <v>1.4510000000000001</v>
      </c>
      <c r="C7406" t="str">
        <f t="shared" si="120"/>
        <v>1989 q1</v>
      </c>
    </row>
    <row r="7407" spans="1:3">
      <c r="A7407" s="62">
        <v>32534</v>
      </c>
      <c r="B7407">
        <v>1.4415</v>
      </c>
      <c r="C7407" t="str">
        <f t="shared" si="120"/>
        <v>1989 q1</v>
      </c>
    </row>
    <row r="7408" spans="1:3">
      <c r="A7408" s="62">
        <v>32535</v>
      </c>
      <c r="B7408">
        <v>1.4724999999999999</v>
      </c>
      <c r="C7408" t="str">
        <f t="shared" si="120"/>
        <v>1989 q1</v>
      </c>
    </row>
    <row r="7409" spans="1:3">
      <c r="A7409" s="62">
        <v>32538</v>
      </c>
      <c r="B7409">
        <v>1.4245000000000001</v>
      </c>
      <c r="C7409" t="str">
        <f t="shared" si="120"/>
        <v>1989 q1</v>
      </c>
    </row>
    <row r="7410" spans="1:3">
      <c r="A7410" s="62">
        <v>32539</v>
      </c>
      <c r="B7410">
        <v>1.429</v>
      </c>
      <c r="C7410" t="str">
        <f t="shared" si="120"/>
        <v>1989 q1</v>
      </c>
    </row>
    <row r="7411" spans="1:3">
      <c r="A7411" s="62">
        <v>32540</v>
      </c>
      <c r="B7411">
        <v>1.363</v>
      </c>
      <c r="C7411" t="str">
        <f t="shared" si="120"/>
        <v>1989 q1</v>
      </c>
    </row>
    <row r="7412" spans="1:3">
      <c r="A7412" s="62">
        <v>32541</v>
      </c>
      <c r="B7412">
        <v>1.3485</v>
      </c>
      <c r="C7412" t="str">
        <f t="shared" si="120"/>
        <v>1989 q1</v>
      </c>
    </row>
    <row r="7413" spans="1:3">
      <c r="A7413" s="62">
        <v>32542</v>
      </c>
      <c r="B7413">
        <v>1.3234999999999999</v>
      </c>
      <c r="C7413" t="str">
        <f t="shared" si="120"/>
        <v>1989 q1</v>
      </c>
    </row>
    <row r="7414" spans="1:3">
      <c r="A7414" s="62">
        <v>32545</v>
      </c>
      <c r="B7414">
        <v>1.3015000000000001</v>
      </c>
      <c r="C7414" t="str">
        <f t="shared" si="120"/>
        <v>1989 q1</v>
      </c>
    </row>
    <row r="7415" spans="1:3">
      <c r="A7415" s="62">
        <v>32546</v>
      </c>
      <c r="B7415">
        <v>1.3149999999999999</v>
      </c>
      <c r="C7415" t="str">
        <f t="shared" si="120"/>
        <v>1989 q1</v>
      </c>
    </row>
    <row r="7416" spans="1:3">
      <c r="A7416" s="62">
        <v>32547</v>
      </c>
      <c r="B7416">
        <v>1.34</v>
      </c>
      <c r="C7416" t="str">
        <f t="shared" si="120"/>
        <v>1989 q1</v>
      </c>
    </row>
    <row r="7417" spans="1:3">
      <c r="A7417" s="62">
        <v>32548</v>
      </c>
      <c r="B7417">
        <v>1.3374999999999999</v>
      </c>
      <c r="C7417" t="str">
        <f t="shared" si="120"/>
        <v>1989 q1</v>
      </c>
    </row>
    <row r="7418" spans="1:3">
      <c r="A7418" s="62">
        <v>32549</v>
      </c>
      <c r="B7418">
        <v>1.3069999999999999</v>
      </c>
      <c r="C7418" t="str">
        <f t="shared" si="120"/>
        <v>1989 q1</v>
      </c>
    </row>
    <row r="7419" spans="1:3">
      <c r="A7419" s="62">
        <v>32552</v>
      </c>
      <c r="B7419">
        <v>1.26</v>
      </c>
      <c r="C7419" t="str">
        <f t="shared" si="120"/>
        <v>1989 q1</v>
      </c>
    </row>
    <row r="7420" spans="1:3">
      <c r="A7420" s="62">
        <v>32553</v>
      </c>
      <c r="B7420">
        <v>1.238</v>
      </c>
      <c r="C7420" t="str">
        <f t="shared" si="120"/>
        <v>1989 q1</v>
      </c>
    </row>
    <row r="7421" spans="1:3">
      <c r="A7421" s="62">
        <v>32554</v>
      </c>
      <c r="B7421">
        <v>1.2535000000000001</v>
      </c>
      <c r="C7421" t="str">
        <f t="shared" si="120"/>
        <v>1989 q1</v>
      </c>
    </row>
    <row r="7422" spans="1:3">
      <c r="A7422" s="62">
        <v>32555</v>
      </c>
      <c r="B7422">
        <v>1.272</v>
      </c>
      <c r="C7422" t="str">
        <f t="shared" si="120"/>
        <v>1989 q1</v>
      </c>
    </row>
    <row r="7423" spans="1:3">
      <c r="A7423" s="62">
        <v>32556</v>
      </c>
      <c r="B7423">
        <v>1.262</v>
      </c>
      <c r="C7423" t="str">
        <f t="shared" si="120"/>
        <v>1989 q1</v>
      </c>
    </row>
    <row r="7424" spans="1:3">
      <c r="A7424" s="62">
        <v>32560</v>
      </c>
      <c r="B7424">
        <v>1.345</v>
      </c>
      <c r="C7424" t="str">
        <f t="shared" si="120"/>
        <v>1989 q1</v>
      </c>
    </row>
    <row r="7425" spans="1:3">
      <c r="A7425" s="62">
        <v>32561</v>
      </c>
      <c r="B7425">
        <v>1.385</v>
      </c>
      <c r="C7425" t="str">
        <f t="shared" si="120"/>
        <v>1989 q1</v>
      </c>
    </row>
    <row r="7426" spans="1:3">
      <c r="A7426" s="62">
        <v>32562</v>
      </c>
      <c r="B7426">
        <v>1.3680000000000001</v>
      </c>
      <c r="C7426" t="str">
        <f t="shared" si="120"/>
        <v>1989 q1</v>
      </c>
    </row>
    <row r="7427" spans="1:3">
      <c r="A7427" s="62">
        <v>32563</v>
      </c>
      <c r="B7427">
        <v>1.3264</v>
      </c>
      <c r="C7427" t="str">
        <f t="shared" si="120"/>
        <v>1989 q1</v>
      </c>
    </row>
    <row r="7428" spans="1:3">
      <c r="A7428" s="62">
        <v>32566</v>
      </c>
      <c r="B7428">
        <v>1.3244</v>
      </c>
      <c r="C7428" t="str">
        <f t="shared" si="120"/>
        <v>1989 q1</v>
      </c>
    </row>
    <row r="7429" spans="1:3">
      <c r="A7429" s="62">
        <v>32567</v>
      </c>
      <c r="B7429">
        <v>1.323</v>
      </c>
      <c r="C7429" t="str">
        <f t="shared" si="120"/>
        <v>1989 q1</v>
      </c>
    </row>
    <row r="7430" spans="1:3">
      <c r="A7430" s="62">
        <v>32568</v>
      </c>
      <c r="B7430">
        <v>1.373</v>
      </c>
      <c r="C7430" t="str">
        <f t="shared" si="120"/>
        <v>1989 q1</v>
      </c>
    </row>
    <row r="7431" spans="1:3">
      <c r="A7431" s="62">
        <v>32569</v>
      </c>
      <c r="B7431">
        <v>1.4</v>
      </c>
      <c r="C7431" t="str">
        <f t="shared" si="120"/>
        <v>1989 q1</v>
      </c>
    </row>
    <row r="7432" spans="1:3">
      <c r="A7432" s="62">
        <v>32570</v>
      </c>
      <c r="B7432">
        <v>1.4370000000000001</v>
      </c>
      <c r="C7432" t="str">
        <f t="shared" si="120"/>
        <v>1989 q1</v>
      </c>
    </row>
    <row r="7433" spans="1:3">
      <c r="A7433" s="62">
        <v>32573</v>
      </c>
      <c r="B7433">
        <v>1.42</v>
      </c>
      <c r="C7433" t="str">
        <f t="shared" si="120"/>
        <v>1989 q1</v>
      </c>
    </row>
    <row r="7434" spans="1:3">
      <c r="A7434" s="62">
        <v>32574</v>
      </c>
      <c r="B7434">
        <v>1.44</v>
      </c>
      <c r="C7434" t="str">
        <f t="shared" si="120"/>
        <v>1989 q1</v>
      </c>
    </row>
    <row r="7435" spans="1:3">
      <c r="A7435" s="62">
        <v>32575</v>
      </c>
      <c r="B7435">
        <v>1.4039999999999999</v>
      </c>
      <c r="C7435" t="str">
        <f t="shared" si="120"/>
        <v>1989 q1</v>
      </c>
    </row>
    <row r="7436" spans="1:3">
      <c r="A7436" s="62">
        <v>32576</v>
      </c>
      <c r="B7436">
        <v>1.385</v>
      </c>
      <c r="C7436" t="str">
        <f t="shared" si="120"/>
        <v>1989 q1</v>
      </c>
    </row>
    <row r="7437" spans="1:3">
      <c r="A7437" s="62">
        <v>32577</v>
      </c>
      <c r="B7437">
        <v>1.4139999999999999</v>
      </c>
      <c r="C7437" t="str">
        <f t="shared" si="120"/>
        <v>1989 q1</v>
      </c>
    </row>
    <row r="7438" spans="1:3">
      <c r="A7438" s="62">
        <v>32580</v>
      </c>
      <c r="B7438">
        <v>1.363</v>
      </c>
      <c r="C7438" t="str">
        <f t="shared" si="120"/>
        <v>1989 q1</v>
      </c>
    </row>
    <row r="7439" spans="1:3">
      <c r="A7439" s="62">
        <v>32581</v>
      </c>
      <c r="B7439">
        <v>1.383</v>
      </c>
      <c r="C7439" t="str">
        <f t="shared" si="120"/>
        <v>1989 q1</v>
      </c>
    </row>
    <row r="7440" spans="1:3">
      <c r="A7440" s="62">
        <v>32582</v>
      </c>
      <c r="B7440">
        <v>1.355</v>
      </c>
      <c r="C7440" t="str">
        <f t="shared" si="120"/>
        <v>1989 q1</v>
      </c>
    </row>
    <row r="7441" spans="1:3">
      <c r="A7441" s="62">
        <v>32583</v>
      </c>
      <c r="B7441">
        <v>1.3360000000000001</v>
      </c>
      <c r="C7441" t="str">
        <f t="shared" si="120"/>
        <v>1989 q1</v>
      </c>
    </row>
    <row r="7442" spans="1:3">
      <c r="A7442" s="62">
        <v>32584</v>
      </c>
      <c r="B7442">
        <v>1.369</v>
      </c>
      <c r="C7442" t="str">
        <f t="shared" ref="C7442:C7505" si="121">YEAR(A7442)&amp;" q"&amp;ROUNDUP(MONTH(A7442)/3,0)</f>
        <v>1989 q1</v>
      </c>
    </row>
    <row r="7443" spans="1:3">
      <c r="A7443" s="62">
        <v>32587</v>
      </c>
      <c r="B7443">
        <v>1.3334999999999999</v>
      </c>
      <c r="C7443" t="str">
        <f t="shared" si="121"/>
        <v>1989 q1</v>
      </c>
    </row>
    <row r="7444" spans="1:3">
      <c r="A7444" s="62">
        <v>32588</v>
      </c>
      <c r="B7444">
        <v>1.3480000000000001</v>
      </c>
      <c r="C7444" t="str">
        <f t="shared" si="121"/>
        <v>1989 q1</v>
      </c>
    </row>
    <row r="7445" spans="1:3">
      <c r="A7445" s="62">
        <v>32589</v>
      </c>
      <c r="B7445">
        <v>1.351</v>
      </c>
      <c r="C7445" t="str">
        <f t="shared" si="121"/>
        <v>1989 q1</v>
      </c>
    </row>
    <row r="7446" spans="1:3">
      <c r="A7446" s="62">
        <v>32590</v>
      </c>
      <c r="B7446">
        <v>1.343</v>
      </c>
      <c r="C7446" t="str">
        <f t="shared" si="121"/>
        <v>1989 q1</v>
      </c>
    </row>
    <row r="7447" spans="1:3">
      <c r="A7447" s="62">
        <v>32594</v>
      </c>
      <c r="B7447">
        <v>1.377</v>
      </c>
      <c r="C7447" t="str">
        <f t="shared" si="121"/>
        <v>1989 q1</v>
      </c>
    </row>
    <row r="7448" spans="1:3">
      <c r="A7448" s="62">
        <v>32595</v>
      </c>
      <c r="B7448">
        <v>1.3740000000000001</v>
      </c>
      <c r="C7448" t="str">
        <f t="shared" si="121"/>
        <v>1989 q1</v>
      </c>
    </row>
    <row r="7449" spans="1:3">
      <c r="A7449" s="62">
        <v>32596</v>
      </c>
      <c r="B7449">
        <v>1.3640000000000001</v>
      </c>
      <c r="C7449" t="str">
        <f t="shared" si="121"/>
        <v>1989 q1</v>
      </c>
    </row>
    <row r="7450" spans="1:3">
      <c r="A7450" s="62">
        <v>32597</v>
      </c>
      <c r="B7450">
        <v>1.3240000000000001</v>
      </c>
      <c r="C7450" t="str">
        <f t="shared" si="121"/>
        <v>1989 q1</v>
      </c>
    </row>
    <row r="7451" spans="1:3">
      <c r="A7451" s="62">
        <v>32598</v>
      </c>
      <c r="B7451">
        <v>1.3260000000000001</v>
      </c>
      <c r="C7451" t="str">
        <f t="shared" si="121"/>
        <v>1989 q1</v>
      </c>
    </row>
    <row r="7452" spans="1:3">
      <c r="A7452" s="62">
        <v>32601</v>
      </c>
      <c r="B7452">
        <v>1.2689999999999999</v>
      </c>
      <c r="C7452" t="str">
        <f t="shared" si="121"/>
        <v>1989 q2</v>
      </c>
    </row>
    <row r="7453" spans="1:3">
      <c r="A7453" s="62">
        <v>32602</v>
      </c>
      <c r="B7453">
        <v>1.282</v>
      </c>
      <c r="C7453" t="str">
        <f t="shared" si="121"/>
        <v>1989 q2</v>
      </c>
    </row>
    <row r="7454" spans="1:3">
      <c r="A7454" s="62">
        <v>32603</v>
      </c>
      <c r="B7454">
        <v>1.2909999999999999</v>
      </c>
      <c r="C7454" t="str">
        <f t="shared" si="121"/>
        <v>1989 q2</v>
      </c>
    </row>
    <row r="7455" spans="1:3">
      <c r="A7455" s="62">
        <v>32604</v>
      </c>
      <c r="B7455">
        <v>1.2989999999999999</v>
      </c>
      <c r="C7455" t="str">
        <f t="shared" si="121"/>
        <v>1989 q2</v>
      </c>
    </row>
    <row r="7456" spans="1:3">
      <c r="A7456" s="62">
        <v>32605</v>
      </c>
      <c r="B7456">
        <v>1.3280000000000001</v>
      </c>
      <c r="C7456" t="str">
        <f t="shared" si="121"/>
        <v>1989 q2</v>
      </c>
    </row>
    <row r="7457" spans="1:3">
      <c r="A7457" s="62">
        <v>32608</v>
      </c>
      <c r="B7457">
        <v>1.4035</v>
      </c>
      <c r="C7457" t="str">
        <f t="shared" si="121"/>
        <v>1989 q2</v>
      </c>
    </row>
    <row r="7458" spans="1:3">
      <c r="A7458" s="62">
        <v>32609</v>
      </c>
      <c r="B7458">
        <v>1.4</v>
      </c>
      <c r="C7458" t="str">
        <f t="shared" si="121"/>
        <v>1989 q2</v>
      </c>
    </row>
    <row r="7459" spans="1:3">
      <c r="A7459" s="62">
        <v>32610</v>
      </c>
      <c r="B7459">
        <v>1.4219999999999999</v>
      </c>
      <c r="C7459" t="str">
        <f t="shared" si="121"/>
        <v>1989 q2</v>
      </c>
    </row>
    <row r="7460" spans="1:3">
      <c r="A7460" s="62">
        <v>32611</v>
      </c>
      <c r="B7460">
        <v>1.41</v>
      </c>
      <c r="C7460" t="str">
        <f t="shared" si="121"/>
        <v>1989 q2</v>
      </c>
    </row>
    <row r="7461" spans="1:3">
      <c r="A7461" s="62">
        <v>32612</v>
      </c>
      <c r="B7461">
        <v>1.4455</v>
      </c>
      <c r="C7461" t="str">
        <f t="shared" si="121"/>
        <v>1989 q2</v>
      </c>
    </row>
    <row r="7462" spans="1:3">
      <c r="A7462" s="62">
        <v>32615</v>
      </c>
      <c r="B7462">
        <v>1.4185000000000001</v>
      </c>
      <c r="C7462" t="str">
        <f t="shared" si="121"/>
        <v>1989 q2</v>
      </c>
    </row>
    <row r="7463" spans="1:3">
      <c r="A7463" s="62">
        <v>32616</v>
      </c>
      <c r="B7463">
        <v>1.409</v>
      </c>
      <c r="C7463" t="str">
        <f t="shared" si="121"/>
        <v>1989 q2</v>
      </c>
    </row>
    <row r="7464" spans="1:3">
      <c r="A7464" s="62">
        <v>32617</v>
      </c>
      <c r="B7464">
        <v>1.389</v>
      </c>
      <c r="C7464" t="str">
        <f t="shared" si="121"/>
        <v>1989 q2</v>
      </c>
    </row>
    <row r="7465" spans="1:3">
      <c r="A7465" s="62">
        <v>32618</v>
      </c>
      <c r="B7465">
        <v>1.3779999999999999</v>
      </c>
      <c r="C7465" t="str">
        <f t="shared" si="121"/>
        <v>1989 q2</v>
      </c>
    </row>
    <row r="7466" spans="1:3">
      <c r="A7466" s="62">
        <v>32619</v>
      </c>
      <c r="B7466">
        <v>1.3785000000000001</v>
      </c>
      <c r="C7466" t="str">
        <f t="shared" si="121"/>
        <v>1989 q2</v>
      </c>
    </row>
    <row r="7467" spans="1:3">
      <c r="A7467" s="62">
        <v>32622</v>
      </c>
      <c r="B7467">
        <v>1.3965000000000001</v>
      </c>
      <c r="C7467" t="str">
        <f t="shared" si="121"/>
        <v>1989 q2</v>
      </c>
    </row>
    <row r="7468" spans="1:3">
      <c r="A7468" s="62">
        <v>32623</v>
      </c>
      <c r="B7468">
        <v>1.3772</v>
      </c>
      <c r="C7468" t="str">
        <f t="shared" si="121"/>
        <v>1989 q2</v>
      </c>
    </row>
    <row r="7469" spans="1:3">
      <c r="A7469" s="62">
        <v>32624</v>
      </c>
      <c r="B7469">
        <v>1.3755999999999999</v>
      </c>
      <c r="C7469" t="str">
        <f t="shared" si="121"/>
        <v>1989 q2</v>
      </c>
    </row>
    <row r="7470" spans="1:3">
      <c r="A7470" s="62">
        <v>32625</v>
      </c>
      <c r="B7470">
        <v>1.3662000000000001</v>
      </c>
      <c r="C7470" t="str">
        <f t="shared" si="121"/>
        <v>1989 q2</v>
      </c>
    </row>
    <row r="7471" spans="1:3">
      <c r="A7471" s="62">
        <v>32626</v>
      </c>
      <c r="B7471">
        <v>1.3462000000000001</v>
      </c>
      <c r="C7471" t="str">
        <f t="shared" si="121"/>
        <v>1989 q2</v>
      </c>
    </row>
    <row r="7472" spans="1:3">
      <c r="A7472" s="62">
        <v>32629</v>
      </c>
      <c r="B7472">
        <v>1.323</v>
      </c>
      <c r="C7472" t="str">
        <f t="shared" si="121"/>
        <v>1989 q2</v>
      </c>
    </row>
    <row r="7473" spans="1:3">
      <c r="A7473" s="62">
        <v>32630</v>
      </c>
      <c r="B7473">
        <v>1.274</v>
      </c>
      <c r="C7473" t="str">
        <f t="shared" si="121"/>
        <v>1989 q2</v>
      </c>
    </row>
    <row r="7474" spans="1:3">
      <c r="A7474" s="62">
        <v>32631</v>
      </c>
      <c r="B7474">
        <v>1.27</v>
      </c>
      <c r="C7474" t="str">
        <f t="shared" si="121"/>
        <v>1989 q2</v>
      </c>
    </row>
    <row r="7475" spans="1:3">
      <c r="A7475" s="62">
        <v>32632</v>
      </c>
      <c r="B7475">
        <v>1.28</v>
      </c>
      <c r="C7475" t="str">
        <f t="shared" si="121"/>
        <v>1989 q2</v>
      </c>
    </row>
    <row r="7476" spans="1:3">
      <c r="A7476" s="62">
        <v>32633</v>
      </c>
      <c r="B7476">
        <v>1.2529999999999999</v>
      </c>
      <c r="C7476" t="str">
        <f t="shared" si="121"/>
        <v>1989 q2</v>
      </c>
    </row>
    <row r="7477" spans="1:3">
      <c r="A7477" s="62">
        <v>32636</v>
      </c>
      <c r="B7477">
        <v>1.216</v>
      </c>
      <c r="C7477" t="str">
        <f t="shared" si="121"/>
        <v>1989 q2</v>
      </c>
    </row>
    <row r="7478" spans="1:3">
      <c r="A7478" s="62">
        <v>32637</v>
      </c>
      <c r="B7478">
        <v>1.2210000000000001</v>
      </c>
      <c r="C7478" t="str">
        <f t="shared" si="121"/>
        <v>1989 q2</v>
      </c>
    </row>
    <row r="7479" spans="1:3">
      <c r="A7479" s="62">
        <v>32638</v>
      </c>
      <c r="B7479">
        <v>1.2250000000000001</v>
      </c>
      <c r="C7479" t="str">
        <f t="shared" si="121"/>
        <v>1989 q2</v>
      </c>
    </row>
    <row r="7480" spans="1:3">
      <c r="A7480" s="62">
        <v>32639</v>
      </c>
      <c r="B7480">
        <v>1.24</v>
      </c>
      <c r="C7480" t="str">
        <f t="shared" si="121"/>
        <v>1989 q2</v>
      </c>
    </row>
    <row r="7481" spans="1:3">
      <c r="A7481" s="62">
        <v>32640</v>
      </c>
      <c r="B7481">
        <v>1.2270000000000001</v>
      </c>
      <c r="C7481" t="str">
        <f t="shared" si="121"/>
        <v>1989 q2</v>
      </c>
    </row>
    <row r="7482" spans="1:3">
      <c r="A7482" s="62">
        <v>32643</v>
      </c>
      <c r="B7482">
        <v>1.1775</v>
      </c>
      <c r="C7482" t="str">
        <f t="shared" si="121"/>
        <v>1989 q2</v>
      </c>
    </row>
    <row r="7483" spans="1:3">
      <c r="A7483" s="62">
        <v>32644</v>
      </c>
      <c r="B7483">
        <v>1.1519999999999999</v>
      </c>
      <c r="C7483" t="str">
        <f t="shared" si="121"/>
        <v>1989 q2</v>
      </c>
    </row>
    <row r="7484" spans="1:3">
      <c r="A7484" s="62">
        <v>32645</v>
      </c>
      <c r="B7484">
        <v>1.177</v>
      </c>
      <c r="C7484" t="str">
        <f t="shared" si="121"/>
        <v>1989 q2</v>
      </c>
    </row>
    <row r="7485" spans="1:3">
      <c r="A7485" s="62">
        <v>32646</v>
      </c>
      <c r="B7485">
        <v>1.1659999999999999</v>
      </c>
      <c r="C7485" t="str">
        <f t="shared" si="121"/>
        <v>1989 q2</v>
      </c>
    </row>
    <row r="7486" spans="1:3">
      <c r="A7486" s="62">
        <v>32647</v>
      </c>
      <c r="B7486">
        <v>1.1859999999999999</v>
      </c>
      <c r="C7486" t="str">
        <f t="shared" si="121"/>
        <v>1989 q2</v>
      </c>
    </row>
    <row r="7487" spans="1:3">
      <c r="A7487" s="62">
        <v>32650</v>
      </c>
      <c r="B7487">
        <v>1.1254999999999999</v>
      </c>
      <c r="C7487" t="str">
        <f t="shared" si="121"/>
        <v>1989 q2</v>
      </c>
    </row>
    <row r="7488" spans="1:3">
      <c r="A7488" s="62">
        <v>32651</v>
      </c>
      <c r="B7488">
        <v>1.1060000000000001</v>
      </c>
      <c r="C7488" t="str">
        <f t="shared" si="121"/>
        <v>1989 q2</v>
      </c>
    </row>
    <row r="7489" spans="1:3">
      <c r="A7489" s="62">
        <v>32652</v>
      </c>
      <c r="B7489">
        <v>1.1000000000000001</v>
      </c>
      <c r="C7489" t="str">
        <f t="shared" si="121"/>
        <v>1989 q2</v>
      </c>
    </row>
    <row r="7490" spans="1:3">
      <c r="A7490" s="62">
        <v>32653</v>
      </c>
      <c r="B7490">
        <v>1.103</v>
      </c>
      <c r="C7490" t="str">
        <f t="shared" si="121"/>
        <v>1989 q2</v>
      </c>
    </row>
    <row r="7491" spans="1:3">
      <c r="A7491" s="62">
        <v>32654</v>
      </c>
      <c r="B7491">
        <v>1.1200000000000001</v>
      </c>
      <c r="C7491" t="str">
        <f t="shared" si="121"/>
        <v>1989 q2</v>
      </c>
    </row>
    <row r="7492" spans="1:3">
      <c r="A7492" s="62">
        <v>32658</v>
      </c>
      <c r="B7492">
        <v>1.145</v>
      </c>
      <c r="C7492" t="str">
        <f t="shared" si="121"/>
        <v>1989 q2</v>
      </c>
    </row>
    <row r="7493" spans="1:3">
      <c r="A7493" s="62">
        <v>32659</v>
      </c>
      <c r="B7493">
        <v>1.1435</v>
      </c>
      <c r="C7493" t="str">
        <f t="shared" si="121"/>
        <v>1989 q2</v>
      </c>
    </row>
    <row r="7494" spans="1:3">
      <c r="A7494" s="62">
        <v>32660</v>
      </c>
      <c r="B7494">
        <v>1.111</v>
      </c>
      <c r="C7494" t="str">
        <f t="shared" si="121"/>
        <v>1989 q2</v>
      </c>
    </row>
    <row r="7495" spans="1:3">
      <c r="A7495" s="62">
        <v>32661</v>
      </c>
      <c r="B7495">
        <v>1.115</v>
      </c>
      <c r="C7495" t="str">
        <f t="shared" si="121"/>
        <v>1989 q2</v>
      </c>
    </row>
    <row r="7496" spans="1:3">
      <c r="A7496" s="62">
        <v>32664</v>
      </c>
      <c r="B7496">
        <v>1.0720000000000001</v>
      </c>
      <c r="C7496" t="str">
        <f t="shared" si="121"/>
        <v>1989 q2</v>
      </c>
    </row>
    <row r="7497" spans="1:3">
      <c r="A7497" s="62">
        <v>32665</v>
      </c>
      <c r="B7497">
        <v>1.073</v>
      </c>
      <c r="C7497" t="str">
        <f t="shared" si="121"/>
        <v>1989 q2</v>
      </c>
    </row>
    <row r="7498" spans="1:3">
      <c r="A7498" s="62">
        <v>32666</v>
      </c>
      <c r="B7498">
        <v>1.0965</v>
      </c>
      <c r="C7498" t="str">
        <f t="shared" si="121"/>
        <v>1989 q2</v>
      </c>
    </row>
    <row r="7499" spans="1:3">
      <c r="A7499" s="62">
        <v>32667</v>
      </c>
      <c r="B7499">
        <v>1.1214999999999999</v>
      </c>
      <c r="C7499" t="str">
        <f t="shared" si="121"/>
        <v>1989 q2</v>
      </c>
    </row>
    <row r="7500" spans="1:3">
      <c r="A7500" s="62">
        <v>32668</v>
      </c>
      <c r="B7500">
        <v>1.1105</v>
      </c>
      <c r="C7500" t="str">
        <f t="shared" si="121"/>
        <v>1989 q2</v>
      </c>
    </row>
    <row r="7501" spans="1:3">
      <c r="A7501" s="62">
        <v>32671</v>
      </c>
      <c r="B7501">
        <v>1.0865</v>
      </c>
      <c r="C7501" t="str">
        <f t="shared" si="121"/>
        <v>1989 q2</v>
      </c>
    </row>
    <row r="7502" spans="1:3">
      <c r="A7502" s="62">
        <v>32672</v>
      </c>
      <c r="B7502">
        <v>1.0940000000000001</v>
      </c>
      <c r="C7502" t="str">
        <f t="shared" si="121"/>
        <v>1989 q2</v>
      </c>
    </row>
    <row r="7503" spans="1:3">
      <c r="A7503" s="62">
        <v>32673</v>
      </c>
      <c r="B7503">
        <v>1.1080000000000001</v>
      </c>
      <c r="C7503" t="str">
        <f t="shared" si="121"/>
        <v>1989 q2</v>
      </c>
    </row>
    <row r="7504" spans="1:3">
      <c r="A7504" s="62">
        <v>32674</v>
      </c>
      <c r="B7504">
        <v>1.1074999999999999</v>
      </c>
      <c r="C7504" t="str">
        <f t="shared" si="121"/>
        <v>1989 q2</v>
      </c>
    </row>
    <row r="7505" spans="1:3">
      <c r="A7505" s="62">
        <v>32675</v>
      </c>
      <c r="B7505">
        <v>1.1425000000000001</v>
      </c>
      <c r="C7505" t="str">
        <f t="shared" si="121"/>
        <v>1989 q2</v>
      </c>
    </row>
    <row r="7506" spans="1:3">
      <c r="A7506" s="62">
        <v>32678</v>
      </c>
      <c r="B7506">
        <v>1.1685000000000001</v>
      </c>
      <c r="C7506" t="str">
        <f t="shared" ref="C7506:C7569" si="122">YEAR(A7506)&amp;" q"&amp;ROUNDUP(MONTH(A7506)/3,0)</f>
        <v>1989 q2</v>
      </c>
    </row>
    <row r="7507" spans="1:3">
      <c r="A7507" s="62">
        <v>32679</v>
      </c>
      <c r="B7507">
        <v>1.1599999999999999</v>
      </c>
      <c r="C7507" t="str">
        <f t="shared" si="122"/>
        <v>1989 q2</v>
      </c>
    </row>
    <row r="7508" spans="1:3">
      <c r="A7508" s="62">
        <v>32680</v>
      </c>
      <c r="B7508">
        <v>1.081</v>
      </c>
      <c r="C7508" t="str">
        <f t="shared" si="122"/>
        <v>1989 q2</v>
      </c>
    </row>
    <row r="7509" spans="1:3">
      <c r="A7509" s="62">
        <v>32681</v>
      </c>
      <c r="B7509">
        <v>1.0740000000000001</v>
      </c>
      <c r="C7509" t="str">
        <f t="shared" si="122"/>
        <v>1989 q2</v>
      </c>
    </row>
    <row r="7510" spans="1:3">
      <c r="A7510" s="62">
        <v>32682</v>
      </c>
      <c r="B7510">
        <v>1.087</v>
      </c>
      <c r="C7510" t="str">
        <f t="shared" si="122"/>
        <v>1989 q2</v>
      </c>
    </row>
    <row r="7511" spans="1:3">
      <c r="A7511" s="62">
        <v>32685</v>
      </c>
      <c r="B7511">
        <v>1.0765</v>
      </c>
      <c r="C7511" t="str">
        <f t="shared" si="122"/>
        <v>1989 q2</v>
      </c>
    </row>
    <row r="7512" spans="1:3">
      <c r="A7512" s="62">
        <v>32686</v>
      </c>
      <c r="B7512">
        <v>1.0696000000000001</v>
      </c>
      <c r="C7512" t="str">
        <f t="shared" si="122"/>
        <v>1989 q2</v>
      </c>
    </row>
    <row r="7513" spans="1:3">
      <c r="A7513" s="62">
        <v>32687</v>
      </c>
      <c r="B7513">
        <v>1.0783</v>
      </c>
      <c r="C7513" t="str">
        <f t="shared" si="122"/>
        <v>1989 q2</v>
      </c>
    </row>
    <row r="7514" spans="1:3">
      <c r="A7514" s="62">
        <v>32688</v>
      </c>
      <c r="B7514">
        <v>1.0698000000000001</v>
      </c>
      <c r="C7514" t="str">
        <f t="shared" si="122"/>
        <v>1989 q2</v>
      </c>
    </row>
    <row r="7515" spans="1:3">
      <c r="A7515" s="62">
        <v>32689</v>
      </c>
      <c r="B7515">
        <v>1.0427999999999999</v>
      </c>
      <c r="C7515" t="str">
        <f t="shared" si="122"/>
        <v>1989 q2</v>
      </c>
    </row>
    <row r="7516" spans="1:3">
      <c r="A7516" s="62">
        <v>32692</v>
      </c>
      <c r="B7516">
        <v>1.0044999999999999</v>
      </c>
      <c r="C7516" t="str">
        <f t="shared" si="122"/>
        <v>1989 q3</v>
      </c>
    </row>
    <row r="7517" spans="1:3">
      <c r="A7517" s="62">
        <v>32694</v>
      </c>
      <c r="B7517">
        <v>1.008</v>
      </c>
      <c r="C7517" t="str">
        <f t="shared" si="122"/>
        <v>1989 q3</v>
      </c>
    </row>
    <row r="7518" spans="1:3">
      <c r="A7518" s="62">
        <v>32695</v>
      </c>
      <c r="B7518">
        <v>0.98799999999999999</v>
      </c>
      <c r="C7518" t="str">
        <f t="shared" si="122"/>
        <v>1989 q3</v>
      </c>
    </row>
    <row r="7519" spans="1:3">
      <c r="A7519" s="62">
        <v>32696</v>
      </c>
      <c r="B7519">
        <v>1.026</v>
      </c>
      <c r="C7519" t="str">
        <f t="shared" si="122"/>
        <v>1989 q3</v>
      </c>
    </row>
    <row r="7520" spans="1:3">
      <c r="A7520" s="62">
        <v>32699</v>
      </c>
      <c r="B7520">
        <v>1.016</v>
      </c>
      <c r="C7520" t="str">
        <f t="shared" si="122"/>
        <v>1989 q3</v>
      </c>
    </row>
    <row r="7521" spans="1:3">
      <c r="A7521" s="62">
        <v>32700</v>
      </c>
      <c r="B7521">
        <v>1.0169999999999999</v>
      </c>
      <c r="C7521" t="str">
        <f t="shared" si="122"/>
        <v>1989 q3</v>
      </c>
    </row>
    <row r="7522" spans="1:3">
      <c r="A7522" s="62">
        <v>32701</v>
      </c>
      <c r="B7522">
        <v>1.052</v>
      </c>
      <c r="C7522" t="str">
        <f t="shared" si="122"/>
        <v>1989 q3</v>
      </c>
    </row>
    <row r="7523" spans="1:3">
      <c r="A7523" s="62">
        <v>32702</v>
      </c>
      <c r="B7523">
        <v>1.0375000000000001</v>
      </c>
      <c r="C7523" t="str">
        <f t="shared" si="122"/>
        <v>1989 q3</v>
      </c>
    </row>
    <row r="7524" spans="1:3">
      <c r="A7524" s="62">
        <v>32703</v>
      </c>
      <c r="B7524">
        <v>1.0509999999999999</v>
      </c>
      <c r="C7524" t="str">
        <f t="shared" si="122"/>
        <v>1989 q3</v>
      </c>
    </row>
    <row r="7525" spans="1:3">
      <c r="A7525" s="62">
        <v>32706</v>
      </c>
      <c r="B7525">
        <v>1.056</v>
      </c>
      <c r="C7525" t="str">
        <f t="shared" si="122"/>
        <v>1989 q3</v>
      </c>
    </row>
    <row r="7526" spans="1:3">
      <c r="A7526" s="62">
        <v>32707</v>
      </c>
      <c r="B7526">
        <v>1.0900000000000001</v>
      </c>
      <c r="C7526" t="str">
        <f t="shared" si="122"/>
        <v>1989 q3</v>
      </c>
    </row>
    <row r="7527" spans="1:3">
      <c r="A7527" s="62">
        <v>32708</v>
      </c>
      <c r="B7527">
        <v>1.093</v>
      </c>
      <c r="C7527" t="str">
        <f t="shared" si="122"/>
        <v>1989 q3</v>
      </c>
    </row>
    <row r="7528" spans="1:3">
      <c r="A7528" s="62">
        <v>32709</v>
      </c>
      <c r="B7528">
        <v>1.087</v>
      </c>
      <c r="C7528" t="str">
        <f t="shared" si="122"/>
        <v>1989 q3</v>
      </c>
    </row>
    <row r="7529" spans="1:3">
      <c r="A7529" s="62">
        <v>32710</v>
      </c>
      <c r="B7529">
        <v>1.079</v>
      </c>
      <c r="C7529" t="str">
        <f t="shared" si="122"/>
        <v>1989 q3</v>
      </c>
    </row>
    <row r="7530" spans="1:3">
      <c r="A7530" s="62">
        <v>32713</v>
      </c>
      <c r="B7530">
        <v>1.1259999999999999</v>
      </c>
      <c r="C7530" t="str">
        <f t="shared" si="122"/>
        <v>1989 q3</v>
      </c>
    </row>
    <row r="7531" spans="1:3">
      <c r="A7531" s="62">
        <v>32714</v>
      </c>
      <c r="B7531">
        <v>1.1254999999999999</v>
      </c>
      <c r="C7531" t="str">
        <f t="shared" si="122"/>
        <v>1989 q3</v>
      </c>
    </row>
    <row r="7532" spans="1:3">
      <c r="A7532" s="62">
        <v>32715</v>
      </c>
      <c r="B7532">
        <v>1.1154999999999999</v>
      </c>
      <c r="C7532" t="str">
        <f t="shared" si="122"/>
        <v>1989 q3</v>
      </c>
    </row>
    <row r="7533" spans="1:3">
      <c r="A7533" s="62">
        <v>32716</v>
      </c>
      <c r="B7533">
        <v>1.1220000000000001</v>
      </c>
      <c r="C7533" t="str">
        <f t="shared" si="122"/>
        <v>1989 q3</v>
      </c>
    </row>
    <row r="7534" spans="1:3">
      <c r="A7534" s="62">
        <v>32717</v>
      </c>
      <c r="B7534">
        <v>1.0940000000000001</v>
      </c>
      <c r="C7534" t="str">
        <f t="shared" si="122"/>
        <v>1989 q3</v>
      </c>
    </row>
    <row r="7535" spans="1:3">
      <c r="A7535" s="62">
        <v>32720</v>
      </c>
      <c r="B7535">
        <v>1.115</v>
      </c>
      <c r="C7535" t="str">
        <f t="shared" si="122"/>
        <v>1989 q3</v>
      </c>
    </row>
    <row r="7536" spans="1:3">
      <c r="A7536" s="62">
        <v>32721</v>
      </c>
      <c r="B7536">
        <v>1.1180000000000001</v>
      </c>
      <c r="C7536" t="str">
        <f t="shared" si="122"/>
        <v>1989 q3</v>
      </c>
    </row>
    <row r="7537" spans="1:3">
      <c r="A7537" s="62">
        <v>32722</v>
      </c>
      <c r="B7537">
        <v>1.131</v>
      </c>
      <c r="C7537" t="str">
        <f t="shared" si="122"/>
        <v>1989 q3</v>
      </c>
    </row>
    <row r="7538" spans="1:3">
      <c r="A7538" s="62">
        <v>32723</v>
      </c>
      <c r="B7538">
        <v>1.1265000000000001</v>
      </c>
      <c r="C7538" t="str">
        <f t="shared" si="122"/>
        <v>1989 q3</v>
      </c>
    </row>
    <row r="7539" spans="1:3">
      <c r="A7539" s="62">
        <v>32724</v>
      </c>
      <c r="B7539">
        <v>1.1279999999999999</v>
      </c>
      <c r="C7539" t="str">
        <f t="shared" si="122"/>
        <v>1989 q3</v>
      </c>
    </row>
    <row r="7540" spans="1:3">
      <c r="A7540" s="62">
        <v>32727</v>
      </c>
      <c r="B7540">
        <v>1.1054999999999999</v>
      </c>
      <c r="C7540" t="str">
        <f t="shared" si="122"/>
        <v>1989 q3</v>
      </c>
    </row>
    <row r="7541" spans="1:3">
      <c r="A7541" s="62">
        <v>32728</v>
      </c>
      <c r="B7541">
        <v>1.101</v>
      </c>
      <c r="C7541" t="str">
        <f t="shared" si="122"/>
        <v>1989 q3</v>
      </c>
    </row>
    <row r="7542" spans="1:3">
      <c r="A7542" s="62">
        <v>32729</v>
      </c>
      <c r="B7542">
        <v>1.107</v>
      </c>
      <c r="C7542" t="str">
        <f t="shared" si="122"/>
        <v>1989 q3</v>
      </c>
    </row>
    <row r="7543" spans="1:3">
      <c r="A7543" s="62">
        <v>32730</v>
      </c>
      <c r="B7543">
        <v>1.1225000000000001</v>
      </c>
      <c r="C7543" t="str">
        <f t="shared" si="122"/>
        <v>1989 q3</v>
      </c>
    </row>
    <row r="7544" spans="1:3">
      <c r="A7544" s="62">
        <v>32731</v>
      </c>
      <c r="B7544">
        <v>1.17</v>
      </c>
      <c r="C7544" t="str">
        <f t="shared" si="122"/>
        <v>1989 q3</v>
      </c>
    </row>
    <row r="7545" spans="1:3">
      <c r="A7545" s="62">
        <v>32734</v>
      </c>
      <c r="B7545">
        <v>1.2</v>
      </c>
      <c r="C7545" t="str">
        <f t="shared" si="122"/>
        <v>1989 q3</v>
      </c>
    </row>
    <row r="7546" spans="1:3">
      <c r="A7546" s="62">
        <v>32735</v>
      </c>
      <c r="B7546">
        <v>1.2150000000000001</v>
      </c>
      <c r="C7546" t="str">
        <f t="shared" si="122"/>
        <v>1989 q3</v>
      </c>
    </row>
    <row r="7547" spans="1:3">
      <c r="A7547" s="62">
        <v>32736</v>
      </c>
      <c r="B7547">
        <v>1.2184999999999999</v>
      </c>
      <c r="C7547" t="str">
        <f t="shared" si="122"/>
        <v>1989 q3</v>
      </c>
    </row>
    <row r="7548" spans="1:3">
      <c r="A7548" s="62">
        <v>32737</v>
      </c>
      <c r="B7548">
        <v>1.2625</v>
      </c>
      <c r="C7548" t="str">
        <f t="shared" si="122"/>
        <v>1989 q3</v>
      </c>
    </row>
    <row r="7549" spans="1:3">
      <c r="A7549" s="62">
        <v>32738</v>
      </c>
      <c r="B7549">
        <v>1.2390000000000001</v>
      </c>
      <c r="C7549" t="str">
        <f t="shared" si="122"/>
        <v>1989 q3</v>
      </c>
    </row>
    <row r="7550" spans="1:3">
      <c r="A7550" s="62">
        <v>32741</v>
      </c>
      <c r="B7550">
        <v>1.2544999999999999</v>
      </c>
      <c r="C7550" t="str">
        <f t="shared" si="122"/>
        <v>1989 q3</v>
      </c>
    </row>
    <row r="7551" spans="1:3">
      <c r="A7551" s="62">
        <v>32742</v>
      </c>
      <c r="B7551">
        <v>1.2535000000000001</v>
      </c>
      <c r="C7551" t="str">
        <f t="shared" si="122"/>
        <v>1989 q3</v>
      </c>
    </row>
    <row r="7552" spans="1:3">
      <c r="A7552" s="62">
        <v>32743</v>
      </c>
      <c r="B7552">
        <v>1.2785</v>
      </c>
      <c r="C7552" t="str">
        <f t="shared" si="122"/>
        <v>1989 q3</v>
      </c>
    </row>
    <row r="7553" spans="1:3">
      <c r="A7553" s="62">
        <v>32744</v>
      </c>
      <c r="B7553">
        <v>1.3049999999999999</v>
      </c>
      <c r="C7553" t="str">
        <f t="shared" si="122"/>
        <v>1989 q3</v>
      </c>
    </row>
    <row r="7554" spans="1:3">
      <c r="A7554" s="62">
        <v>32745</v>
      </c>
      <c r="B7554">
        <v>1.363</v>
      </c>
      <c r="C7554" t="str">
        <f t="shared" si="122"/>
        <v>1989 q3</v>
      </c>
    </row>
    <row r="7555" spans="1:3">
      <c r="A7555" s="62">
        <v>32748</v>
      </c>
      <c r="B7555">
        <v>1.3473999999999999</v>
      </c>
      <c r="C7555" t="str">
        <f t="shared" si="122"/>
        <v>1989 q3</v>
      </c>
    </row>
    <row r="7556" spans="1:3">
      <c r="A7556" s="62">
        <v>32749</v>
      </c>
      <c r="B7556">
        <v>1.2629999999999999</v>
      </c>
      <c r="C7556" t="str">
        <f t="shared" si="122"/>
        <v>1989 q3</v>
      </c>
    </row>
    <row r="7557" spans="1:3">
      <c r="A7557" s="62">
        <v>32750</v>
      </c>
      <c r="B7557">
        <v>1.2696000000000001</v>
      </c>
      <c r="C7557" t="str">
        <f t="shared" si="122"/>
        <v>1989 q3</v>
      </c>
    </row>
    <row r="7558" spans="1:3">
      <c r="A7558" s="62">
        <v>32751</v>
      </c>
      <c r="B7558">
        <v>1.2955000000000001</v>
      </c>
      <c r="C7558" t="str">
        <f t="shared" si="122"/>
        <v>1989 q3</v>
      </c>
    </row>
    <row r="7559" spans="1:3">
      <c r="A7559" s="62">
        <v>32752</v>
      </c>
      <c r="B7559">
        <v>1.264</v>
      </c>
      <c r="C7559" t="str">
        <f t="shared" si="122"/>
        <v>1989 q3</v>
      </c>
    </row>
    <row r="7560" spans="1:3">
      <c r="A7560" s="62">
        <v>32756</v>
      </c>
      <c r="B7560">
        <v>1.2450000000000001</v>
      </c>
      <c r="C7560" t="str">
        <f t="shared" si="122"/>
        <v>1989 q3</v>
      </c>
    </row>
    <row r="7561" spans="1:3">
      <c r="A7561" s="62">
        <v>32757</v>
      </c>
      <c r="B7561">
        <v>1.2155</v>
      </c>
      <c r="C7561" t="str">
        <f t="shared" si="122"/>
        <v>1989 q3</v>
      </c>
    </row>
    <row r="7562" spans="1:3">
      <c r="A7562" s="62">
        <v>32758</v>
      </c>
      <c r="B7562">
        <v>1.248</v>
      </c>
      <c r="C7562" t="str">
        <f t="shared" si="122"/>
        <v>1989 q3</v>
      </c>
    </row>
    <row r="7563" spans="1:3">
      <c r="A7563" s="62">
        <v>32759</v>
      </c>
      <c r="B7563">
        <v>1.226</v>
      </c>
      <c r="C7563" t="str">
        <f t="shared" si="122"/>
        <v>1989 q3</v>
      </c>
    </row>
    <row r="7564" spans="1:3">
      <c r="A7564" s="62">
        <v>32762</v>
      </c>
      <c r="B7564">
        <v>1.256</v>
      </c>
      <c r="C7564" t="str">
        <f t="shared" si="122"/>
        <v>1989 q3</v>
      </c>
    </row>
    <row r="7565" spans="1:3">
      <c r="A7565" s="62">
        <v>32763</v>
      </c>
      <c r="B7565">
        <v>1.2569999999999999</v>
      </c>
      <c r="C7565" t="str">
        <f t="shared" si="122"/>
        <v>1989 q3</v>
      </c>
    </row>
    <row r="7566" spans="1:3">
      <c r="A7566" s="62">
        <v>32764</v>
      </c>
      <c r="B7566">
        <v>1.272</v>
      </c>
      <c r="C7566" t="str">
        <f t="shared" si="122"/>
        <v>1989 q3</v>
      </c>
    </row>
    <row r="7567" spans="1:3">
      <c r="A7567" s="62">
        <v>32765</v>
      </c>
      <c r="B7567">
        <v>1.2869999999999999</v>
      </c>
      <c r="C7567" t="str">
        <f t="shared" si="122"/>
        <v>1989 q3</v>
      </c>
    </row>
    <row r="7568" spans="1:3">
      <c r="A7568" s="62">
        <v>32766</v>
      </c>
      <c r="B7568">
        <v>1.2675000000000001</v>
      </c>
      <c r="C7568" t="str">
        <f t="shared" si="122"/>
        <v>1989 q3</v>
      </c>
    </row>
    <row r="7569" spans="1:3">
      <c r="A7569" s="62">
        <v>32769</v>
      </c>
      <c r="B7569">
        <v>1.2769999999999999</v>
      </c>
      <c r="C7569" t="str">
        <f t="shared" si="122"/>
        <v>1989 q3</v>
      </c>
    </row>
    <row r="7570" spans="1:3">
      <c r="A7570" s="62">
        <v>32770</v>
      </c>
      <c r="B7570">
        <v>1.2595000000000001</v>
      </c>
      <c r="C7570" t="str">
        <f t="shared" ref="C7570:C7633" si="123">YEAR(A7570)&amp;" q"&amp;ROUNDUP(MONTH(A7570)/3,0)</f>
        <v>1989 q3</v>
      </c>
    </row>
    <row r="7571" spans="1:3">
      <c r="A7571" s="62">
        <v>32771</v>
      </c>
      <c r="B7571">
        <v>1.2669999999999999</v>
      </c>
      <c r="C7571" t="str">
        <f t="shared" si="123"/>
        <v>1989 q3</v>
      </c>
    </row>
    <row r="7572" spans="1:3">
      <c r="A7572" s="62">
        <v>32772</v>
      </c>
      <c r="B7572">
        <v>1.2649999999999999</v>
      </c>
      <c r="C7572" t="str">
        <f t="shared" si="123"/>
        <v>1989 q3</v>
      </c>
    </row>
    <row r="7573" spans="1:3">
      <c r="A7573" s="62">
        <v>32773</v>
      </c>
      <c r="B7573">
        <v>1.254</v>
      </c>
      <c r="C7573" t="str">
        <f t="shared" si="123"/>
        <v>1989 q3</v>
      </c>
    </row>
    <row r="7574" spans="1:3">
      <c r="A7574" s="62">
        <v>32776</v>
      </c>
      <c r="B7574">
        <v>1.228</v>
      </c>
      <c r="C7574" t="str">
        <f t="shared" si="123"/>
        <v>1989 q3</v>
      </c>
    </row>
    <row r="7575" spans="1:3">
      <c r="A7575" s="62">
        <v>32777</v>
      </c>
      <c r="B7575">
        <v>1.1970000000000001</v>
      </c>
      <c r="C7575" t="str">
        <f t="shared" si="123"/>
        <v>1989 q3</v>
      </c>
    </row>
    <row r="7576" spans="1:3">
      <c r="A7576" s="62">
        <v>32778</v>
      </c>
      <c r="B7576">
        <v>1.212</v>
      </c>
      <c r="C7576" t="str">
        <f t="shared" si="123"/>
        <v>1989 q3</v>
      </c>
    </row>
    <row r="7577" spans="1:3">
      <c r="A7577" s="62">
        <v>32779</v>
      </c>
      <c r="B7577">
        <v>1.2075</v>
      </c>
      <c r="C7577" t="str">
        <f t="shared" si="123"/>
        <v>1989 q3</v>
      </c>
    </row>
    <row r="7578" spans="1:3">
      <c r="A7578" s="62">
        <v>32780</v>
      </c>
      <c r="B7578">
        <v>1.2290000000000001</v>
      </c>
      <c r="C7578" t="str">
        <f t="shared" si="123"/>
        <v>1989 q3</v>
      </c>
    </row>
    <row r="7579" spans="1:3">
      <c r="A7579" s="62">
        <v>32783</v>
      </c>
      <c r="B7579">
        <v>1.2675000000000001</v>
      </c>
      <c r="C7579" t="str">
        <f t="shared" si="123"/>
        <v>1989 q4</v>
      </c>
    </row>
    <row r="7580" spans="1:3">
      <c r="A7580" s="62">
        <v>32784</v>
      </c>
      <c r="B7580">
        <v>1.2595000000000001</v>
      </c>
      <c r="C7580" t="str">
        <f t="shared" si="123"/>
        <v>1989 q4</v>
      </c>
    </row>
    <row r="7581" spans="1:3">
      <c r="A7581" s="62">
        <v>32785</v>
      </c>
      <c r="B7581">
        <v>1.276</v>
      </c>
      <c r="C7581" t="str">
        <f t="shared" si="123"/>
        <v>1989 q4</v>
      </c>
    </row>
    <row r="7582" spans="1:3">
      <c r="A7582" s="62">
        <v>32786</v>
      </c>
      <c r="B7582">
        <v>1.2865</v>
      </c>
      <c r="C7582" t="str">
        <f t="shared" si="123"/>
        <v>1989 q4</v>
      </c>
    </row>
    <row r="7583" spans="1:3">
      <c r="A7583" s="62">
        <v>32787</v>
      </c>
      <c r="B7583">
        <v>1.3140000000000001</v>
      </c>
      <c r="C7583" t="str">
        <f t="shared" si="123"/>
        <v>1989 q4</v>
      </c>
    </row>
    <row r="7584" spans="1:3">
      <c r="A7584" s="62">
        <v>32790</v>
      </c>
      <c r="B7584">
        <v>1.3160000000000001</v>
      </c>
      <c r="C7584" t="str">
        <f t="shared" si="123"/>
        <v>1989 q4</v>
      </c>
    </row>
    <row r="7585" spans="1:3">
      <c r="A7585" s="62">
        <v>32791</v>
      </c>
      <c r="B7585">
        <v>1.2805</v>
      </c>
      <c r="C7585" t="str">
        <f t="shared" si="123"/>
        <v>1989 q4</v>
      </c>
    </row>
    <row r="7586" spans="1:3">
      <c r="A7586" s="62">
        <v>32792</v>
      </c>
      <c r="B7586">
        <v>1.286</v>
      </c>
      <c r="C7586" t="str">
        <f t="shared" si="123"/>
        <v>1989 q4</v>
      </c>
    </row>
    <row r="7587" spans="1:3">
      <c r="A7587" s="62">
        <v>32793</v>
      </c>
      <c r="B7587">
        <v>1.3035000000000001</v>
      </c>
      <c r="C7587" t="str">
        <f t="shared" si="123"/>
        <v>1989 q4</v>
      </c>
    </row>
    <row r="7588" spans="1:3">
      <c r="A7588" s="62">
        <v>32794</v>
      </c>
      <c r="B7588">
        <v>1.3049999999999999</v>
      </c>
      <c r="C7588" t="str">
        <f t="shared" si="123"/>
        <v>1989 q4</v>
      </c>
    </row>
    <row r="7589" spans="1:3">
      <c r="A7589" s="62">
        <v>32797</v>
      </c>
      <c r="B7589">
        <v>1.2745</v>
      </c>
      <c r="C7589" t="str">
        <f t="shared" si="123"/>
        <v>1989 q4</v>
      </c>
    </row>
    <row r="7590" spans="1:3">
      <c r="A7590" s="62">
        <v>32798</v>
      </c>
      <c r="B7590">
        <v>1.2829999999999999</v>
      </c>
      <c r="C7590" t="str">
        <f t="shared" si="123"/>
        <v>1989 q4</v>
      </c>
    </row>
    <row r="7591" spans="1:3">
      <c r="A7591" s="62">
        <v>32799</v>
      </c>
      <c r="B7591">
        <v>1.2645</v>
      </c>
      <c r="C7591" t="str">
        <f t="shared" si="123"/>
        <v>1989 q4</v>
      </c>
    </row>
    <row r="7592" spans="1:3">
      <c r="A7592" s="62">
        <v>32800</v>
      </c>
      <c r="B7592">
        <v>1.2795000000000001</v>
      </c>
      <c r="C7592" t="str">
        <f t="shared" si="123"/>
        <v>1989 q4</v>
      </c>
    </row>
    <row r="7593" spans="1:3">
      <c r="A7593" s="62">
        <v>32801</v>
      </c>
      <c r="B7593">
        <v>1.2344999999999999</v>
      </c>
      <c r="C7593" t="str">
        <f t="shared" si="123"/>
        <v>1989 q4</v>
      </c>
    </row>
    <row r="7594" spans="1:3">
      <c r="A7594" s="62">
        <v>32804</v>
      </c>
      <c r="B7594">
        <v>1.196</v>
      </c>
      <c r="C7594" t="str">
        <f t="shared" si="123"/>
        <v>1989 q4</v>
      </c>
    </row>
    <row r="7595" spans="1:3">
      <c r="A7595" s="62">
        <v>32805</v>
      </c>
      <c r="B7595">
        <v>1.151</v>
      </c>
      <c r="C7595" t="str">
        <f t="shared" si="123"/>
        <v>1989 q4</v>
      </c>
    </row>
    <row r="7596" spans="1:3">
      <c r="A7596" s="62">
        <v>32806</v>
      </c>
      <c r="B7596">
        <v>1.1555</v>
      </c>
      <c r="C7596" t="str">
        <f t="shared" si="123"/>
        <v>1989 q4</v>
      </c>
    </row>
    <row r="7597" spans="1:3">
      <c r="A7597" s="62">
        <v>32807</v>
      </c>
      <c r="B7597">
        <v>1.1419999999999999</v>
      </c>
      <c r="C7597" t="str">
        <f t="shared" si="123"/>
        <v>1989 q4</v>
      </c>
    </row>
    <row r="7598" spans="1:3">
      <c r="A7598" s="62">
        <v>32808</v>
      </c>
      <c r="B7598">
        <v>1.1579999999999999</v>
      </c>
      <c r="C7598" t="str">
        <f t="shared" si="123"/>
        <v>1989 q4</v>
      </c>
    </row>
    <row r="7599" spans="1:3">
      <c r="A7599" s="62">
        <v>32811</v>
      </c>
      <c r="B7599">
        <v>1.1279999999999999</v>
      </c>
      <c r="C7599" t="str">
        <f t="shared" si="123"/>
        <v>1989 q4</v>
      </c>
    </row>
    <row r="7600" spans="1:3">
      <c r="A7600" s="62">
        <v>32812</v>
      </c>
      <c r="B7600">
        <v>1.1399999999999999</v>
      </c>
      <c r="C7600" t="str">
        <f t="shared" si="123"/>
        <v>1989 q4</v>
      </c>
    </row>
    <row r="7601" spans="1:3">
      <c r="A7601" s="62">
        <v>32813</v>
      </c>
      <c r="B7601">
        <v>1.165</v>
      </c>
      <c r="C7601" t="str">
        <f t="shared" si="123"/>
        <v>1989 q4</v>
      </c>
    </row>
    <row r="7602" spans="1:3">
      <c r="A7602" s="62">
        <v>32814</v>
      </c>
      <c r="B7602">
        <v>1.1339999999999999</v>
      </c>
      <c r="C7602" t="str">
        <f t="shared" si="123"/>
        <v>1989 q4</v>
      </c>
    </row>
    <row r="7603" spans="1:3">
      <c r="A7603" s="62">
        <v>32815</v>
      </c>
      <c r="B7603">
        <v>1.125</v>
      </c>
      <c r="C7603" t="str">
        <f t="shared" si="123"/>
        <v>1989 q4</v>
      </c>
    </row>
    <row r="7604" spans="1:3">
      <c r="A7604" s="62">
        <v>32818</v>
      </c>
      <c r="B7604">
        <v>1.0960000000000001</v>
      </c>
      <c r="C7604" t="str">
        <f t="shared" si="123"/>
        <v>1989 q4</v>
      </c>
    </row>
    <row r="7605" spans="1:3">
      <c r="A7605" s="62">
        <v>32819</v>
      </c>
      <c r="B7605">
        <v>1.1114999999999999</v>
      </c>
      <c r="C7605" t="str">
        <f t="shared" si="123"/>
        <v>1989 q4</v>
      </c>
    </row>
    <row r="7606" spans="1:3">
      <c r="A7606" s="62">
        <v>32820</v>
      </c>
      <c r="B7606">
        <v>1.1405000000000001</v>
      </c>
      <c r="C7606" t="str">
        <f t="shared" si="123"/>
        <v>1989 q4</v>
      </c>
    </row>
    <row r="7607" spans="1:3">
      <c r="A7607" s="62">
        <v>32821</v>
      </c>
      <c r="B7607">
        <v>1.1519999999999999</v>
      </c>
      <c r="C7607" t="str">
        <f t="shared" si="123"/>
        <v>1989 q4</v>
      </c>
    </row>
    <row r="7608" spans="1:3">
      <c r="A7608" s="62">
        <v>32822</v>
      </c>
      <c r="B7608">
        <v>1.145</v>
      </c>
      <c r="C7608" t="str">
        <f t="shared" si="123"/>
        <v>1989 q4</v>
      </c>
    </row>
    <row r="7609" spans="1:3">
      <c r="A7609" s="62">
        <v>32825</v>
      </c>
      <c r="B7609">
        <v>1.167</v>
      </c>
      <c r="C7609" t="str">
        <f t="shared" si="123"/>
        <v>1989 q4</v>
      </c>
    </row>
    <row r="7610" spans="1:3">
      <c r="A7610" s="62">
        <v>32826</v>
      </c>
      <c r="B7610">
        <v>1.1279999999999999</v>
      </c>
      <c r="C7610" t="str">
        <f t="shared" si="123"/>
        <v>1989 q4</v>
      </c>
    </row>
    <row r="7611" spans="1:3">
      <c r="A7611" s="62">
        <v>32827</v>
      </c>
      <c r="B7611">
        <v>1.1214999999999999</v>
      </c>
      <c r="C7611" t="str">
        <f t="shared" si="123"/>
        <v>1989 q4</v>
      </c>
    </row>
    <row r="7612" spans="1:3">
      <c r="A7612" s="62">
        <v>32828</v>
      </c>
      <c r="B7612">
        <v>1.1140000000000001</v>
      </c>
      <c r="C7612" t="str">
        <f t="shared" si="123"/>
        <v>1989 q4</v>
      </c>
    </row>
    <row r="7613" spans="1:3">
      <c r="A7613" s="62">
        <v>32829</v>
      </c>
      <c r="B7613">
        <v>1.0880000000000001</v>
      </c>
      <c r="C7613" t="str">
        <f t="shared" si="123"/>
        <v>1989 q4</v>
      </c>
    </row>
    <row r="7614" spans="1:3">
      <c r="A7614" s="62">
        <v>32832</v>
      </c>
      <c r="B7614">
        <v>1.0609999999999999</v>
      </c>
      <c r="C7614" t="str">
        <f t="shared" si="123"/>
        <v>1989 q4</v>
      </c>
    </row>
    <row r="7615" spans="1:3">
      <c r="A7615" s="62">
        <v>32833</v>
      </c>
      <c r="B7615">
        <v>1.0834999999999999</v>
      </c>
      <c r="C7615" t="str">
        <f t="shared" si="123"/>
        <v>1989 q4</v>
      </c>
    </row>
    <row r="7616" spans="1:3">
      <c r="A7616" s="62">
        <v>32834</v>
      </c>
      <c r="B7616">
        <v>1.0640000000000001</v>
      </c>
      <c r="C7616" t="str">
        <f t="shared" si="123"/>
        <v>1989 q4</v>
      </c>
    </row>
    <row r="7617" spans="1:3">
      <c r="A7617" s="62">
        <v>32836</v>
      </c>
      <c r="B7617">
        <v>1.0720000000000001</v>
      </c>
      <c r="C7617" t="str">
        <f t="shared" si="123"/>
        <v>1989 q4</v>
      </c>
    </row>
    <row r="7618" spans="1:3">
      <c r="A7618" s="62">
        <v>32839</v>
      </c>
      <c r="B7618">
        <v>1.0854999999999999</v>
      </c>
      <c r="C7618" t="str">
        <f t="shared" si="123"/>
        <v>1989 q4</v>
      </c>
    </row>
    <row r="7619" spans="1:3">
      <c r="A7619" s="62">
        <v>32840</v>
      </c>
      <c r="B7619">
        <v>1.0998000000000001</v>
      </c>
      <c r="C7619" t="str">
        <f t="shared" si="123"/>
        <v>1989 q4</v>
      </c>
    </row>
    <row r="7620" spans="1:3">
      <c r="A7620" s="62">
        <v>32841</v>
      </c>
      <c r="B7620">
        <v>1.0952</v>
      </c>
      <c r="C7620" t="str">
        <f t="shared" si="123"/>
        <v>1989 q4</v>
      </c>
    </row>
    <row r="7621" spans="1:3">
      <c r="A7621" s="62">
        <v>32842</v>
      </c>
      <c r="B7621">
        <v>1.0991</v>
      </c>
      <c r="C7621" t="str">
        <f t="shared" si="123"/>
        <v>1989 q4</v>
      </c>
    </row>
    <row r="7622" spans="1:3">
      <c r="A7622" s="62">
        <v>32843</v>
      </c>
      <c r="B7622">
        <v>1.07</v>
      </c>
      <c r="C7622" t="str">
        <f t="shared" si="123"/>
        <v>1989 q4</v>
      </c>
    </row>
    <row r="7623" spans="1:3">
      <c r="A7623" s="62">
        <v>32846</v>
      </c>
      <c r="B7623">
        <v>1.06</v>
      </c>
      <c r="C7623" t="str">
        <f t="shared" si="123"/>
        <v>1989 q4</v>
      </c>
    </row>
    <row r="7624" spans="1:3">
      <c r="A7624" s="62">
        <v>32847</v>
      </c>
      <c r="B7624">
        <v>1.042</v>
      </c>
      <c r="C7624" t="str">
        <f t="shared" si="123"/>
        <v>1989 q4</v>
      </c>
    </row>
    <row r="7625" spans="1:3">
      <c r="A7625" s="62">
        <v>32848</v>
      </c>
      <c r="B7625">
        <v>1.05</v>
      </c>
      <c r="C7625" t="str">
        <f t="shared" si="123"/>
        <v>1989 q4</v>
      </c>
    </row>
    <row r="7626" spans="1:3">
      <c r="A7626" s="62">
        <v>32849</v>
      </c>
      <c r="B7626">
        <v>1.054</v>
      </c>
      <c r="C7626" t="str">
        <f t="shared" si="123"/>
        <v>1989 q4</v>
      </c>
    </row>
    <row r="7627" spans="1:3">
      <c r="A7627" s="62">
        <v>32850</v>
      </c>
      <c r="B7627">
        <v>1.0505</v>
      </c>
      <c r="C7627" t="str">
        <f t="shared" si="123"/>
        <v>1989 q4</v>
      </c>
    </row>
    <row r="7628" spans="1:3">
      <c r="A7628" s="62">
        <v>32853</v>
      </c>
      <c r="B7628">
        <v>1.0449999999999999</v>
      </c>
      <c r="C7628" t="str">
        <f t="shared" si="123"/>
        <v>1989 q4</v>
      </c>
    </row>
    <row r="7629" spans="1:3">
      <c r="A7629" s="62">
        <v>32854</v>
      </c>
      <c r="B7629">
        <v>1.026</v>
      </c>
      <c r="C7629" t="str">
        <f t="shared" si="123"/>
        <v>1989 q4</v>
      </c>
    </row>
    <row r="7630" spans="1:3">
      <c r="A7630" s="62">
        <v>32855</v>
      </c>
      <c r="B7630">
        <v>1.0620000000000001</v>
      </c>
      <c r="C7630" t="str">
        <f t="shared" si="123"/>
        <v>1989 q4</v>
      </c>
    </row>
    <row r="7631" spans="1:3">
      <c r="A7631" s="62">
        <v>32856</v>
      </c>
      <c r="B7631">
        <v>1.0425</v>
      </c>
      <c r="C7631" t="str">
        <f t="shared" si="123"/>
        <v>1989 q4</v>
      </c>
    </row>
    <row r="7632" spans="1:3">
      <c r="A7632" s="62">
        <v>32857</v>
      </c>
      <c r="B7632">
        <v>1.0580000000000001</v>
      </c>
      <c r="C7632" t="str">
        <f t="shared" si="123"/>
        <v>1989 q4</v>
      </c>
    </row>
    <row r="7633" spans="1:3">
      <c r="A7633" s="62">
        <v>32860</v>
      </c>
      <c r="B7633">
        <v>1.0409999999999999</v>
      </c>
      <c r="C7633" t="str">
        <f t="shared" si="123"/>
        <v>1989 q4</v>
      </c>
    </row>
    <row r="7634" spans="1:3">
      <c r="A7634" s="62">
        <v>32861</v>
      </c>
      <c r="B7634">
        <v>1.048</v>
      </c>
      <c r="C7634" t="str">
        <f t="shared" ref="C7634:C7697" si="124">YEAR(A7634)&amp;" q"&amp;ROUNDUP(MONTH(A7634)/3,0)</f>
        <v>1989 q4</v>
      </c>
    </row>
    <row r="7635" spans="1:3">
      <c r="A7635" s="62">
        <v>32862</v>
      </c>
      <c r="B7635">
        <v>1.0529999999999999</v>
      </c>
      <c r="C7635" t="str">
        <f t="shared" si="124"/>
        <v>1989 q4</v>
      </c>
    </row>
    <row r="7636" spans="1:3">
      <c r="A7636" s="62">
        <v>32863</v>
      </c>
      <c r="B7636">
        <v>1.0615000000000001</v>
      </c>
      <c r="C7636" t="str">
        <f t="shared" si="124"/>
        <v>1989 q4</v>
      </c>
    </row>
    <row r="7637" spans="1:3">
      <c r="A7637" s="62">
        <v>32864</v>
      </c>
      <c r="B7637">
        <v>1.075</v>
      </c>
      <c r="C7637" t="str">
        <f t="shared" si="124"/>
        <v>1989 q4</v>
      </c>
    </row>
    <row r="7638" spans="1:3">
      <c r="A7638" s="62">
        <v>32868</v>
      </c>
      <c r="B7638">
        <v>1.0774999999999999</v>
      </c>
      <c r="C7638" t="str">
        <f t="shared" si="124"/>
        <v>1989 q4</v>
      </c>
    </row>
    <row r="7639" spans="1:3">
      <c r="A7639" s="62">
        <v>32869</v>
      </c>
      <c r="B7639">
        <v>1.0620000000000001</v>
      </c>
      <c r="C7639" t="str">
        <f t="shared" si="124"/>
        <v>1989 q4</v>
      </c>
    </row>
    <row r="7640" spans="1:3">
      <c r="A7640" s="62">
        <v>32870</v>
      </c>
      <c r="B7640">
        <v>1.0626</v>
      </c>
      <c r="C7640" t="str">
        <f t="shared" si="124"/>
        <v>1989 q4</v>
      </c>
    </row>
    <row r="7641" spans="1:3">
      <c r="A7641" s="62">
        <v>32871</v>
      </c>
      <c r="B7641">
        <v>1.0650999999999999</v>
      </c>
      <c r="C7641" t="str">
        <f t="shared" si="124"/>
        <v>1989 q4</v>
      </c>
    </row>
    <row r="7642" spans="1:3">
      <c r="A7642" s="62">
        <v>32875</v>
      </c>
      <c r="B7642">
        <v>1.0620000000000001</v>
      </c>
      <c r="C7642" t="str">
        <f t="shared" si="124"/>
        <v>1990 q1</v>
      </c>
    </row>
    <row r="7643" spans="1:3">
      <c r="A7643" s="62">
        <v>32876</v>
      </c>
      <c r="B7643">
        <v>1.0965</v>
      </c>
      <c r="C7643" t="str">
        <f t="shared" si="124"/>
        <v>1990 q1</v>
      </c>
    </row>
    <row r="7644" spans="1:3">
      <c r="A7644" s="62">
        <v>32877</v>
      </c>
      <c r="B7644">
        <v>1.0854999999999999</v>
      </c>
      <c r="C7644" t="str">
        <f t="shared" si="124"/>
        <v>1990 q1</v>
      </c>
    </row>
    <row r="7645" spans="1:3">
      <c r="A7645" s="62">
        <v>32878</v>
      </c>
      <c r="B7645">
        <v>1.095</v>
      </c>
      <c r="C7645" t="str">
        <f t="shared" si="124"/>
        <v>1990 q1</v>
      </c>
    </row>
    <row r="7646" spans="1:3">
      <c r="A7646" s="62">
        <v>32881</v>
      </c>
      <c r="B7646">
        <v>1.1134999999999999</v>
      </c>
      <c r="C7646" t="str">
        <f t="shared" si="124"/>
        <v>1990 q1</v>
      </c>
    </row>
    <row r="7647" spans="1:3">
      <c r="A7647" s="62">
        <v>32882</v>
      </c>
      <c r="B7647">
        <v>1.1020000000000001</v>
      </c>
      <c r="C7647" t="str">
        <f t="shared" si="124"/>
        <v>1990 q1</v>
      </c>
    </row>
    <row r="7648" spans="1:3">
      <c r="A7648" s="62">
        <v>32883</v>
      </c>
      <c r="B7648">
        <v>1.081</v>
      </c>
      <c r="C7648" t="str">
        <f t="shared" si="124"/>
        <v>1990 q1</v>
      </c>
    </row>
    <row r="7649" spans="1:3">
      <c r="A7649" s="62">
        <v>32884</v>
      </c>
      <c r="B7649">
        <v>1.0920000000000001</v>
      </c>
      <c r="C7649" t="str">
        <f t="shared" si="124"/>
        <v>1990 q1</v>
      </c>
    </row>
    <row r="7650" spans="1:3">
      <c r="A7650" s="62">
        <v>32885</v>
      </c>
      <c r="B7650">
        <v>1.0589999999999999</v>
      </c>
      <c r="C7650" t="str">
        <f t="shared" si="124"/>
        <v>1990 q1</v>
      </c>
    </row>
    <row r="7651" spans="1:3">
      <c r="A7651" s="62">
        <v>32888</v>
      </c>
      <c r="B7651">
        <v>1.04</v>
      </c>
      <c r="C7651" t="str">
        <f t="shared" si="124"/>
        <v>1990 q1</v>
      </c>
    </row>
    <row r="7652" spans="1:3">
      <c r="A7652" s="62">
        <v>32889</v>
      </c>
      <c r="B7652">
        <v>1.0449999999999999</v>
      </c>
      <c r="C7652" t="str">
        <f t="shared" si="124"/>
        <v>1990 q1</v>
      </c>
    </row>
    <row r="7653" spans="1:3">
      <c r="A7653" s="62">
        <v>32890</v>
      </c>
      <c r="B7653">
        <v>1.04</v>
      </c>
      <c r="C7653" t="str">
        <f t="shared" si="124"/>
        <v>1990 q1</v>
      </c>
    </row>
    <row r="7654" spans="1:3">
      <c r="A7654" s="62">
        <v>32891</v>
      </c>
      <c r="B7654">
        <v>1.0235000000000001</v>
      </c>
      <c r="C7654" t="str">
        <f t="shared" si="124"/>
        <v>1990 q1</v>
      </c>
    </row>
    <row r="7655" spans="1:3">
      <c r="A7655" s="62">
        <v>32892</v>
      </c>
      <c r="B7655">
        <v>0.99299999999999999</v>
      </c>
      <c r="C7655" t="str">
        <f t="shared" si="124"/>
        <v>1990 q1</v>
      </c>
    </row>
    <row r="7656" spans="1:3">
      <c r="A7656" s="62">
        <v>32895</v>
      </c>
      <c r="B7656">
        <v>0.98750000000000004</v>
      </c>
      <c r="C7656" t="str">
        <f t="shared" si="124"/>
        <v>1990 q1</v>
      </c>
    </row>
    <row r="7657" spans="1:3">
      <c r="A7657" s="62">
        <v>32896</v>
      </c>
      <c r="B7657">
        <v>0.97450000000000003</v>
      </c>
      <c r="C7657" t="str">
        <f t="shared" si="124"/>
        <v>1990 q1</v>
      </c>
    </row>
    <row r="7658" spans="1:3">
      <c r="A7658" s="62">
        <v>32897</v>
      </c>
      <c r="B7658">
        <v>0.96599999999999997</v>
      </c>
      <c r="C7658" t="str">
        <f t="shared" si="124"/>
        <v>1990 q1</v>
      </c>
    </row>
    <row r="7659" spans="1:3">
      <c r="A7659" s="62">
        <v>32898</v>
      </c>
      <c r="B7659">
        <v>0.97699999999999998</v>
      </c>
      <c r="C7659" t="str">
        <f t="shared" si="124"/>
        <v>1990 q1</v>
      </c>
    </row>
    <row r="7660" spans="1:3">
      <c r="A7660" s="62">
        <v>32899</v>
      </c>
      <c r="B7660">
        <v>0.98350000000000004</v>
      </c>
      <c r="C7660" t="str">
        <f t="shared" si="124"/>
        <v>1990 q1</v>
      </c>
    </row>
    <row r="7661" spans="1:3">
      <c r="A7661" s="62">
        <v>32902</v>
      </c>
      <c r="B7661">
        <v>0.96750000000000003</v>
      </c>
      <c r="C7661" t="str">
        <f t="shared" si="124"/>
        <v>1990 q1</v>
      </c>
    </row>
    <row r="7662" spans="1:3">
      <c r="A7662" s="62">
        <v>32903</v>
      </c>
      <c r="B7662">
        <v>0.95650000000000002</v>
      </c>
      <c r="C7662" t="str">
        <f t="shared" si="124"/>
        <v>1990 q1</v>
      </c>
    </row>
    <row r="7663" spans="1:3">
      <c r="A7663" s="62">
        <v>32904</v>
      </c>
      <c r="B7663">
        <v>0.98599999999999999</v>
      </c>
      <c r="C7663" t="str">
        <f t="shared" si="124"/>
        <v>1990 q1</v>
      </c>
    </row>
    <row r="7664" spans="1:3">
      <c r="A7664" s="62">
        <v>32905</v>
      </c>
      <c r="B7664">
        <v>0.97699999999999998</v>
      </c>
      <c r="C7664" t="str">
        <f t="shared" si="124"/>
        <v>1990 q1</v>
      </c>
    </row>
    <row r="7665" spans="1:3">
      <c r="A7665" s="62">
        <v>32906</v>
      </c>
      <c r="B7665">
        <v>1.0004999999999999</v>
      </c>
      <c r="C7665" t="str">
        <f t="shared" si="124"/>
        <v>1990 q1</v>
      </c>
    </row>
    <row r="7666" spans="1:3">
      <c r="A7666" s="62">
        <v>32909</v>
      </c>
      <c r="B7666">
        <v>0.98699999999999999</v>
      </c>
      <c r="C7666" t="str">
        <f t="shared" si="124"/>
        <v>1990 q1</v>
      </c>
    </row>
    <row r="7667" spans="1:3">
      <c r="A7667" s="62">
        <v>32910</v>
      </c>
      <c r="B7667">
        <v>0.99199999999999999</v>
      </c>
      <c r="C7667" t="str">
        <f t="shared" si="124"/>
        <v>1990 q1</v>
      </c>
    </row>
    <row r="7668" spans="1:3">
      <c r="A7668" s="62">
        <v>32911</v>
      </c>
      <c r="B7668">
        <v>1.0004999999999999</v>
      </c>
      <c r="C7668" t="str">
        <f t="shared" si="124"/>
        <v>1990 q1</v>
      </c>
    </row>
    <row r="7669" spans="1:3">
      <c r="A7669" s="62">
        <v>32912</v>
      </c>
      <c r="B7669">
        <v>0.99750000000000005</v>
      </c>
      <c r="C7669" t="str">
        <f t="shared" si="124"/>
        <v>1990 q1</v>
      </c>
    </row>
    <row r="7670" spans="1:3">
      <c r="A7670" s="62">
        <v>32913</v>
      </c>
      <c r="B7670">
        <v>1.0125</v>
      </c>
      <c r="C7670" t="str">
        <f t="shared" si="124"/>
        <v>1990 q1</v>
      </c>
    </row>
    <row r="7671" spans="1:3">
      <c r="A7671" s="62">
        <v>32916</v>
      </c>
      <c r="B7671">
        <v>0.999</v>
      </c>
      <c r="C7671" t="str">
        <f t="shared" si="124"/>
        <v>1990 q1</v>
      </c>
    </row>
    <row r="7672" spans="1:3">
      <c r="A7672" s="62">
        <v>32917</v>
      </c>
      <c r="B7672">
        <v>1.042</v>
      </c>
      <c r="C7672" t="str">
        <f t="shared" si="124"/>
        <v>1990 q1</v>
      </c>
    </row>
    <row r="7673" spans="1:3">
      <c r="A7673" s="62">
        <v>32918</v>
      </c>
      <c r="B7673">
        <v>1.0569999999999999</v>
      </c>
      <c r="C7673" t="str">
        <f t="shared" si="124"/>
        <v>1990 q1</v>
      </c>
    </row>
    <row r="7674" spans="1:3">
      <c r="A7674" s="62">
        <v>32919</v>
      </c>
      <c r="B7674">
        <v>1.0705</v>
      </c>
      <c r="C7674" t="str">
        <f t="shared" si="124"/>
        <v>1990 q1</v>
      </c>
    </row>
    <row r="7675" spans="1:3">
      <c r="A7675" s="62">
        <v>32920</v>
      </c>
      <c r="B7675">
        <v>1.1134999999999999</v>
      </c>
      <c r="C7675" t="str">
        <f t="shared" si="124"/>
        <v>1990 q1</v>
      </c>
    </row>
    <row r="7676" spans="1:3">
      <c r="A7676" s="62">
        <v>32924</v>
      </c>
      <c r="B7676">
        <v>1.1299999999999999</v>
      </c>
      <c r="C7676" t="str">
        <f t="shared" si="124"/>
        <v>1990 q1</v>
      </c>
    </row>
    <row r="7677" spans="1:3">
      <c r="A7677" s="62">
        <v>32925</v>
      </c>
      <c r="B7677">
        <v>1.1419999999999999</v>
      </c>
      <c r="C7677" t="str">
        <f t="shared" si="124"/>
        <v>1990 q1</v>
      </c>
    </row>
    <row r="7678" spans="1:3">
      <c r="A7678" s="62">
        <v>32926</v>
      </c>
      <c r="B7678">
        <v>1.1479999999999999</v>
      </c>
      <c r="C7678" t="str">
        <f t="shared" si="124"/>
        <v>1990 q1</v>
      </c>
    </row>
    <row r="7679" spans="1:3">
      <c r="A7679" s="62">
        <v>32927</v>
      </c>
      <c r="B7679">
        <v>1.127</v>
      </c>
      <c r="C7679" t="str">
        <f t="shared" si="124"/>
        <v>1990 q1</v>
      </c>
    </row>
    <row r="7680" spans="1:3">
      <c r="A7680" s="62">
        <v>32930</v>
      </c>
      <c r="B7680">
        <v>1.1113</v>
      </c>
      <c r="C7680" t="str">
        <f t="shared" si="124"/>
        <v>1990 q1</v>
      </c>
    </row>
    <row r="7681" spans="1:3">
      <c r="A7681" s="62">
        <v>32931</v>
      </c>
      <c r="B7681">
        <v>1.0881000000000001</v>
      </c>
      <c r="C7681" t="str">
        <f t="shared" si="124"/>
        <v>1990 q1</v>
      </c>
    </row>
    <row r="7682" spans="1:3">
      <c r="A7682" s="62">
        <v>32932</v>
      </c>
      <c r="B7682">
        <v>1.0936999999999999</v>
      </c>
      <c r="C7682" t="str">
        <f t="shared" si="124"/>
        <v>1990 q1</v>
      </c>
    </row>
    <row r="7683" spans="1:3">
      <c r="A7683" s="62">
        <v>32933</v>
      </c>
      <c r="B7683">
        <v>1.0920000000000001</v>
      </c>
      <c r="C7683" t="str">
        <f t="shared" si="124"/>
        <v>1990 q1</v>
      </c>
    </row>
    <row r="7684" spans="1:3">
      <c r="A7684" s="62">
        <v>32934</v>
      </c>
      <c r="B7684">
        <v>1.137</v>
      </c>
      <c r="C7684" t="str">
        <f t="shared" si="124"/>
        <v>1990 q1</v>
      </c>
    </row>
    <row r="7685" spans="1:3">
      <c r="A7685" s="62">
        <v>32937</v>
      </c>
      <c r="B7685">
        <v>1.1679999999999999</v>
      </c>
      <c r="C7685" t="str">
        <f t="shared" si="124"/>
        <v>1990 q1</v>
      </c>
    </row>
    <row r="7686" spans="1:3">
      <c r="A7686" s="62">
        <v>32938</v>
      </c>
      <c r="B7686">
        <v>1.1535</v>
      </c>
      <c r="C7686" t="str">
        <f t="shared" si="124"/>
        <v>1990 q1</v>
      </c>
    </row>
    <row r="7687" spans="1:3">
      <c r="A7687" s="62">
        <v>32939</v>
      </c>
      <c r="B7687">
        <v>1.1465000000000001</v>
      </c>
      <c r="C7687" t="str">
        <f t="shared" si="124"/>
        <v>1990 q1</v>
      </c>
    </row>
    <row r="7688" spans="1:3">
      <c r="A7688" s="62">
        <v>32940</v>
      </c>
      <c r="B7688">
        <v>1.159</v>
      </c>
      <c r="C7688" t="str">
        <f t="shared" si="124"/>
        <v>1990 q1</v>
      </c>
    </row>
    <row r="7689" spans="1:3">
      <c r="A7689" s="62">
        <v>32941</v>
      </c>
      <c r="B7689">
        <v>1.155</v>
      </c>
      <c r="C7689" t="str">
        <f t="shared" si="124"/>
        <v>1990 q1</v>
      </c>
    </row>
    <row r="7690" spans="1:3">
      <c r="A7690" s="62">
        <v>32944</v>
      </c>
      <c r="B7690">
        <v>1.1495</v>
      </c>
      <c r="C7690" t="str">
        <f t="shared" si="124"/>
        <v>1990 q1</v>
      </c>
    </row>
    <row r="7691" spans="1:3">
      <c r="A7691" s="62">
        <v>32945</v>
      </c>
      <c r="B7691">
        <v>1.127</v>
      </c>
      <c r="C7691" t="str">
        <f t="shared" si="124"/>
        <v>1990 q1</v>
      </c>
    </row>
    <row r="7692" spans="1:3">
      <c r="A7692" s="62">
        <v>32946</v>
      </c>
      <c r="B7692">
        <v>1.1739999999999999</v>
      </c>
      <c r="C7692" t="str">
        <f t="shared" si="124"/>
        <v>1990 q1</v>
      </c>
    </row>
    <row r="7693" spans="1:3">
      <c r="A7693" s="62">
        <v>32947</v>
      </c>
      <c r="B7693">
        <v>1.1955</v>
      </c>
      <c r="C7693" t="str">
        <f t="shared" si="124"/>
        <v>1990 q1</v>
      </c>
    </row>
    <row r="7694" spans="1:3">
      <c r="A7694" s="62">
        <v>32948</v>
      </c>
      <c r="B7694">
        <v>1.1975</v>
      </c>
      <c r="C7694" t="str">
        <f t="shared" si="124"/>
        <v>1990 q1</v>
      </c>
    </row>
    <row r="7695" spans="1:3">
      <c r="A7695" s="62">
        <v>32951</v>
      </c>
      <c r="B7695">
        <v>1.1910000000000001</v>
      </c>
      <c r="C7695" t="str">
        <f t="shared" si="124"/>
        <v>1990 q1</v>
      </c>
    </row>
    <row r="7696" spans="1:3">
      <c r="A7696" s="62">
        <v>32952</v>
      </c>
      <c r="B7696">
        <v>1.173</v>
      </c>
      <c r="C7696" t="str">
        <f t="shared" si="124"/>
        <v>1990 q1</v>
      </c>
    </row>
    <row r="7697" spans="1:3">
      <c r="A7697" s="62">
        <v>32953</v>
      </c>
      <c r="B7697">
        <v>1.212</v>
      </c>
      <c r="C7697" t="str">
        <f t="shared" si="124"/>
        <v>1990 q1</v>
      </c>
    </row>
    <row r="7698" spans="1:3">
      <c r="A7698" s="62">
        <v>32954</v>
      </c>
      <c r="B7698">
        <v>1.181</v>
      </c>
      <c r="C7698" t="str">
        <f t="shared" ref="C7698:C7761" si="125">YEAR(A7698)&amp;" q"&amp;ROUNDUP(MONTH(A7698)/3,0)</f>
        <v>1990 q1</v>
      </c>
    </row>
    <row r="7699" spans="1:3">
      <c r="A7699" s="62">
        <v>32955</v>
      </c>
      <c r="B7699">
        <v>1.179</v>
      </c>
      <c r="C7699" t="str">
        <f t="shared" si="125"/>
        <v>1990 q1</v>
      </c>
    </row>
    <row r="7700" spans="1:3">
      <c r="A7700" s="62">
        <v>32958</v>
      </c>
      <c r="B7700">
        <v>1.147</v>
      </c>
      <c r="C7700" t="str">
        <f t="shared" si="125"/>
        <v>1990 q1</v>
      </c>
    </row>
    <row r="7701" spans="1:3">
      <c r="A7701" s="62">
        <v>32959</v>
      </c>
      <c r="B7701">
        <v>1.1225000000000001</v>
      </c>
      <c r="C7701" t="str">
        <f t="shared" si="125"/>
        <v>1990 q1</v>
      </c>
    </row>
    <row r="7702" spans="1:3">
      <c r="A7702" s="62">
        <v>32960</v>
      </c>
      <c r="B7702">
        <v>1.165</v>
      </c>
      <c r="C7702" t="str">
        <f t="shared" si="125"/>
        <v>1990 q1</v>
      </c>
    </row>
    <row r="7703" spans="1:3">
      <c r="A7703" s="62">
        <v>32961</v>
      </c>
      <c r="B7703">
        <v>1.179</v>
      </c>
      <c r="C7703" t="str">
        <f t="shared" si="125"/>
        <v>1990 q1</v>
      </c>
    </row>
    <row r="7704" spans="1:3">
      <c r="A7704" s="62">
        <v>32962</v>
      </c>
      <c r="B7704">
        <v>1.224</v>
      </c>
      <c r="C7704" t="str">
        <f t="shared" si="125"/>
        <v>1990 q1</v>
      </c>
    </row>
    <row r="7705" spans="1:3">
      <c r="A7705" s="62">
        <v>32965</v>
      </c>
      <c r="B7705">
        <v>1.2090000000000001</v>
      </c>
      <c r="C7705" t="str">
        <f t="shared" si="125"/>
        <v>1990 q2</v>
      </c>
    </row>
    <row r="7706" spans="1:3">
      <c r="A7706" s="62">
        <v>32966</v>
      </c>
      <c r="B7706">
        <v>1.2484999999999999</v>
      </c>
      <c r="C7706" t="str">
        <f t="shared" si="125"/>
        <v>1990 q2</v>
      </c>
    </row>
    <row r="7707" spans="1:3">
      <c r="A7707" s="62">
        <v>32967</v>
      </c>
      <c r="B7707">
        <v>1.2015</v>
      </c>
      <c r="C7707" t="str">
        <f t="shared" si="125"/>
        <v>1990 q2</v>
      </c>
    </row>
    <row r="7708" spans="1:3">
      <c r="A7708" s="62">
        <v>32968</v>
      </c>
      <c r="B7708">
        <v>1.1890000000000001</v>
      </c>
      <c r="C7708" t="str">
        <f t="shared" si="125"/>
        <v>1990 q2</v>
      </c>
    </row>
    <row r="7709" spans="1:3">
      <c r="A7709" s="62">
        <v>32969</v>
      </c>
      <c r="B7709">
        <v>1.2110000000000001</v>
      </c>
      <c r="C7709" t="str">
        <f t="shared" si="125"/>
        <v>1990 q2</v>
      </c>
    </row>
    <row r="7710" spans="1:3">
      <c r="A7710" s="62">
        <v>32972</v>
      </c>
      <c r="B7710">
        <v>1.167</v>
      </c>
      <c r="C7710" t="str">
        <f t="shared" si="125"/>
        <v>1990 q2</v>
      </c>
    </row>
    <row r="7711" spans="1:3">
      <c r="A7711" s="62">
        <v>32973</v>
      </c>
      <c r="B7711">
        <v>1.1935</v>
      </c>
      <c r="C7711" t="str">
        <f t="shared" si="125"/>
        <v>1990 q2</v>
      </c>
    </row>
    <row r="7712" spans="1:3">
      <c r="A7712" s="62">
        <v>32974</v>
      </c>
      <c r="B7712">
        <v>1.181</v>
      </c>
      <c r="C7712" t="str">
        <f t="shared" si="125"/>
        <v>1990 q2</v>
      </c>
    </row>
    <row r="7713" spans="1:3">
      <c r="A7713" s="62">
        <v>32975</v>
      </c>
      <c r="B7713">
        <v>1.1685000000000001</v>
      </c>
      <c r="C7713" t="str">
        <f t="shared" si="125"/>
        <v>1990 q2</v>
      </c>
    </row>
    <row r="7714" spans="1:3">
      <c r="A7714" s="62">
        <v>32979</v>
      </c>
      <c r="B7714">
        <v>1.165</v>
      </c>
      <c r="C7714" t="str">
        <f t="shared" si="125"/>
        <v>1990 q2</v>
      </c>
    </row>
    <row r="7715" spans="1:3">
      <c r="A7715" s="62">
        <v>32980</v>
      </c>
      <c r="B7715">
        <v>1.1625000000000001</v>
      </c>
      <c r="C7715" t="str">
        <f t="shared" si="125"/>
        <v>1990 q2</v>
      </c>
    </row>
    <row r="7716" spans="1:3">
      <c r="A7716" s="62">
        <v>32981</v>
      </c>
      <c r="B7716">
        <v>1.1619999999999999</v>
      </c>
      <c r="C7716" t="str">
        <f t="shared" si="125"/>
        <v>1990 q2</v>
      </c>
    </row>
    <row r="7717" spans="1:3">
      <c r="A7717" s="62">
        <v>32982</v>
      </c>
      <c r="B7717">
        <v>1.1659999999999999</v>
      </c>
      <c r="C7717" t="str">
        <f t="shared" si="125"/>
        <v>1990 q2</v>
      </c>
    </row>
    <row r="7718" spans="1:3">
      <c r="A7718" s="62">
        <v>32983</v>
      </c>
      <c r="B7718">
        <v>1.1254999999999999</v>
      </c>
      <c r="C7718" t="str">
        <f t="shared" si="125"/>
        <v>1990 q2</v>
      </c>
    </row>
    <row r="7719" spans="1:3">
      <c r="A7719" s="62">
        <v>32986</v>
      </c>
      <c r="B7719">
        <v>1.121</v>
      </c>
      <c r="C7719" t="str">
        <f t="shared" si="125"/>
        <v>1990 q2</v>
      </c>
    </row>
    <row r="7720" spans="1:3">
      <c r="A7720" s="62">
        <v>32987</v>
      </c>
      <c r="B7720">
        <v>1.155</v>
      </c>
      <c r="C7720" t="str">
        <f t="shared" si="125"/>
        <v>1990 q2</v>
      </c>
    </row>
    <row r="7721" spans="1:3">
      <c r="A7721" s="62">
        <v>32988</v>
      </c>
      <c r="B7721">
        <v>1.1821999999999999</v>
      </c>
      <c r="C7721" t="str">
        <f t="shared" si="125"/>
        <v>1990 q2</v>
      </c>
    </row>
    <row r="7722" spans="1:3">
      <c r="A7722" s="62">
        <v>32989</v>
      </c>
      <c r="B7722">
        <v>1.1684000000000001</v>
      </c>
      <c r="C7722" t="str">
        <f t="shared" si="125"/>
        <v>1990 q2</v>
      </c>
    </row>
    <row r="7723" spans="1:3">
      <c r="A7723" s="62">
        <v>32990</v>
      </c>
      <c r="B7723">
        <v>1.1479999999999999</v>
      </c>
      <c r="C7723" t="str">
        <f t="shared" si="125"/>
        <v>1990 q2</v>
      </c>
    </row>
    <row r="7724" spans="1:3">
      <c r="A7724" s="62">
        <v>32993</v>
      </c>
      <c r="B7724">
        <v>1.105</v>
      </c>
      <c r="C7724" t="str">
        <f t="shared" si="125"/>
        <v>1990 q2</v>
      </c>
    </row>
    <row r="7725" spans="1:3">
      <c r="A7725" s="62">
        <v>32994</v>
      </c>
      <c r="B7725">
        <v>1.133</v>
      </c>
      <c r="C7725" t="str">
        <f t="shared" si="125"/>
        <v>1990 q2</v>
      </c>
    </row>
    <row r="7726" spans="1:3">
      <c r="A7726" s="62">
        <v>32995</v>
      </c>
      <c r="B7726">
        <v>1.1214999999999999</v>
      </c>
      <c r="C7726" t="str">
        <f t="shared" si="125"/>
        <v>1990 q2</v>
      </c>
    </row>
    <row r="7727" spans="1:3">
      <c r="A7727" s="62">
        <v>32996</v>
      </c>
      <c r="B7727">
        <v>1.1160000000000001</v>
      </c>
      <c r="C7727" t="str">
        <f t="shared" si="125"/>
        <v>1990 q2</v>
      </c>
    </row>
    <row r="7728" spans="1:3">
      <c r="A7728" s="62">
        <v>32997</v>
      </c>
      <c r="B7728">
        <v>1.1125</v>
      </c>
      <c r="C7728" t="str">
        <f t="shared" si="125"/>
        <v>1990 q2</v>
      </c>
    </row>
    <row r="7729" spans="1:3">
      <c r="A7729" s="62">
        <v>33000</v>
      </c>
      <c r="B7729">
        <v>1.0965</v>
      </c>
      <c r="C7729" t="str">
        <f t="shared" si="125"/>
        <v>1990 q2</v>
      </c>
    </row>
    <row r="7730" spans="1:3">
      <c r="A7730" s="62">
        <v>33001</v>
      </c>
      <c r="B7730">
        <v>1.1214999999999999</v>
      </c>
      <c r="C7730" t="str">
        <f t="shared" si="125"/>
        <v>1990 q2</v>
      </c>
    </row>
    <row r="7731" spans="1:3">
      <c r="A7731" s="62">
        <v>33002</v>
      </c>
      <c r="B7731">
        <v>1.175</v>
      </c>
      <c r="C7731" t="str">
        <f t="shared" si="125"/>
        <v>1990 q2</v>
      </c>
    </row>
    <row r="7732" spans="1:3">
      <c r="A7732" s="62">
        <v>33003</v>
      </c>
      <c r="B7732">
        <v>1.1839999999999999</v>
      </c>
      <c r="C7732" t="str">
        <f t="shared" si="125"/>
        <v>1990 q2</v>
      </c>
    </row>
    <row r="7733" spans="1:3">
      <c r="A7733" s="62">
        <v>33004</v>
      </c>
      <c r="B7733">
        <v>1.1765000000000001</v>
      </c>
      <c r="C7733" t="str">
        <f t="shared" si="125"/>
        <v>1990 q2</v>
      </c>
    </row>
    <row r="7734" spans="1:3">
      <c r="A7734" s="62">
        <v>33007</v>
      </c>
      <c r="B7734">
        <v>1.1499999999999999</v>
      </c>
      <c r="C7734" t="str">
        <f t="shared" si="125"/>
        <v>1990 q2</v>
      </c>
    </row>
    <row r="7735" spans="1:3">
      <c r="A7735" s="62">
        <v>33008</v>
      </c>
      <c r="B7735">
        <v>1.141</v>
      </c>
      <c r="C7735" t="str">
        <f t="shared" si="125"/>
        <v>1990 q2</v>
      </c>
    </row>
    <row r="7736" spans="1:3">
      <c r="A7736" s="62">
        <v>33009</v>
      </c>
      <c r="B7736">
        <v>1.1439999999999999</v>
      </c>
      <c r="C7736" t="str">
        <f t="shared" si="125"/>
        <v>1990 q2</v>
      </c>
    </row>
    <row r="7737" spans="1:3">
      <c r="A7737" s="62">
        <v>33010</v>
      </c>
      <c r="B7737">
        <v>1.149</v>
      </c>
      <c r="C7737" t="str">
        <f t="shared" si="125"/>
        <v>1990 q2</v>
      </c>
    </row>
    <row r="7738" spans="1:3">
      <c r="A7738" s="62">
        <v>33011</v>
      </c>
      <c r="B7738">
        <v>1.1485000000000001</v>
      </c>
      <c r="C7738" t="str">
        <f t="shared" si="125"/>
        <v>1990 q2</v>
      </c>
    </row>
    <row r="7739" spans="1:3">
      <c r="A7739" s="62">
        <v>33014</v>
      </c>
      <c r="B7739">
        <v>1.1345000000000001</v>
      </c>
      <c r="C7739" t="str">
        <f t="shared" si="125"/>
        <v>1990 q2</v>
      </c>
    </row>
    <row r="7740" spans="1:3">
      <c r="A7740" s="62">
        <v>33015</v>
      </c>
      <c r="B7740">
        <v>1.1615</v>
      </c>
      <c r="C7740" t="str">
        <f t="shared" si="125"/>
        <v>1990 q2</v>
      </c>
    </row>
    <row r="7741" spans="1:3">
      <c r="A7741" s="62">
        <v>33016</v>
      </c>
      <c r="B7741">
        <v>1.1505000000000001</v>
      </c>
      <c r="C7741" t="str">
        <f t="shared" si="125"/>
        <v>1990 q2</v>
      </c>
    </row>
    <row r="7742" spans="1:3">
      <c r="A7742" s="62">
        <v>33017</v>
      </c>
      <c r="B7742">
        <v>1.1655</v>
      </c>
      <c r="C7742" t="str">
        <f t="shared" si="125"/>
        <v>1990 q2</v>
      </c>
    </row>
    <row r="7743" spans="1:3">
      <c r="A7743" s="62">
        <v>33018</v>
      </c>
      <c r="B7743">
        <v>1.1525000000000001</v>
      </c>
      <c r="C7743" t="str">
        <f t="shared" si="125"/>
        <v>1990 q2</v>
      </c>
    </row>
    <row r="7744" spans="1:3">
      <c r="A7744" s="62">
        <v>33022</v>
      </c>
      <c r="B7744">
        <v>1.125</v>
      </c>
      <c r="C7744" t="str">
        <f t="shared" si="125"/>
        <v>1990 q2</v>
      </c>
    </row>
    <row r="7745" spans="1:3">
      <c r="A7745" s="62">
        <v>33023</v>
      </c>
      <c r="B7745">
        <v>1.115</v>
      </c>
      <c r="C7745" t="str">
        <f t="shared" si="125"/>
        <v>1990 q2</v>
      </c>
    </row>
    <row r="7746" spans="1:3">
      <c r="A7746" s="62">
        <v>33024</v>
      </c>
      <c r="B7746">
        <v>1.1085</v>
      </c>
      <c r="C7746" t="str">
        <f t="shared" si="125"/>
        <v>1990 q2</v>
      </c>
    </row>
    <row r="7747" spans="1:3">
      <c r="A7747" s="62">
        <v>33025</v>
      </c>
      <c r="B7747">
        <v>1.1180000000000001</v>
      </c>
      <c r="C7747" t="str">
        <f t="shared" si="125"/>
        <v>1990 q2</v>
      </c>
    </row>
    <row r="7748" spans="1:3">
      <c r="A7748" s="62">
        <v>33028</v>
      </c>
      <c r="B7748">
        <v>1.1114999999999999</v>
      </c>
      <c r="C7748" t="str">
        <f t="shared" si="125"/>
        <v>1990 q2</v>
      </c>
    </row>
    <row r="7749" spans="1:3">
      <c r="A7749" s="62">
        <v>33029</v>
      </c>
      <c r="B7749">
        <v>1.131</v>
      </c>
      <c r="C7749" t="str">
        <f t="shared" si="125"/>
        <v>1990 q2</v>
      </c>
    </row>
    <row r="7750" spans="1:3">
      <c r="A7750" s="62">
        <v>33030</v>
      </c>
      <c r="B7750">
        <v>1.121</v>
      </c>
      <c r="C7750" t="str">
        <f t="shared" si="125"/>
        <v>1990 q2</v>
      </c>
    </row>
    <row r="7751" spans="1:3">
      <c r="A7751" s="62">
        <v>33031</v>
      </c>
      <c r="B7751">
        <v>1.1214999999999999</v>
      </c>
      <c r="C7751" t="str">
        <f t="shared" si="125"/>
        <v>1990 q2</v>
      </c>
    </row>
    <row r="7752" spans="1:3">
      <c r="A7752" s="62">
        <v>33032</v>
      </c>
      <c r="B7752">
        <v>1.1174999999999999</v>
      </c>
      <c r="C7752" t="str">
        <f t="shared" si="125"/>
        <v>1990 q2</v>
      </c>
    </row>
    <row r="7753" spans="1:3">
      <c r="A7753" s="62">
        <v>33035</v>
      </c>
      <c r="B7753">
        <v>1.0965</v>
      </c>
      <c r="C7753" t="str">
        <f t="shared" si="125"/>
        <v>1990 q2</v>
      </c>
    </row>
    <row r="7754" spans="1:3">
      <c r="A7754" s="62">
        <v>33036</v>
      </c>
      <c r="B7754">
        <v>1.1060000000000001</v>
      </c>
      <c r="C7754" t="str">
        <f t="shared" si="125"/>
        <v>1990 q2</v>
      </c>
    </row>
    <row r="7755" spans="1:3">
      <c r="A7755" s="62">
        <v>33037</v>
      </c>
      <c r="B7755">
        <v>1.0960000000000001</v>
      </c>
      <c r="C7755" t="str">
        <f t="shared" si="125"/>
        <v>1990 q2</v>
      </c>
    </row>
    <row r="7756" spans="1:3">
      <c r="A7756" s="62">
        <v>33038</v>
      </c>
      <c r="B7756">
        <v>1.1080000000000001</v>
      </c>
      <c r="C7756" t="str">
        <f t="shared" si="125"/>
        <v>1990 q2</v>
      </c>
    </row>
    <row r="7757" spans="1:3">
      <c r="A7757" s="62">
        <v>33039</v>
      </c>
      <c r="B7757">
        <v>1.1180000000000001</v>
      </c>
      <c r="C7757" t="str">
        <f t="shared" si="125"/>
        <v>1990 q2</v>
      </c>
    </row>
    <row r="7758" spans="1:3">
      <c r="A7758" s="62">
        <v>33042</v>
      </c>
      <c r="B7758">
        <v>1.139</v>
      </c>
      <c r="C7758" t="str">
        <f t="shared" si="125"/>
        <v>1990 q2</v>
      </c>
    </row>
    <row r="7759" spans="1:3">
      <c r="A7759" s="62">
        <v>33043</v>
      </c>
      <c r="B7759">
        <v>1.1299999999999999</v>
      </c>
      <c r="C7759" t="str">
        <f t="shared" si="125"/>
        <v>1990 q2</v>
      </c>
    </row>
    <row r="7760" spans="1:3">
      <c r="A7760" s="62">
        <v>33044</v>
      </c>
      <c r="B7760">
        <v>1.0985</v>
      </c>
      <c r="C7760" t="str">
        <f t="shared" si="125"/>
        <v>1990 q2</v>
      </c>
    </row>
    <row r="7761" spans="1:3">
      <c r="A7761" s="62">
        <v>33045</v>
      </c>
      <c r="B7761">
        <v>1.1060000000000001</v>
      </c>
      <c r="C7761" t="str">
        <f t="shared" si="125"/>
        <v>1990 q2</v>
      </c>
    </row>
    <row r="7762" spans="1:3">
      <c r="A7762" s="62">
        <v>33046</v>
      </c>
      <c r="B7762">
        <v>1.1120000000000001</v>
      </c>
      <c r="C7762" t="str">
        <f t="shared" ref="C7762:C7825" si="126">YEAR(A7762)&amp;" q"&amp;ROUNDUP(MONTH(A7762)/3,0)</f>
        <v>1990 q2</v>
      </c>
    </row>
    <row r="7763" spans="1:3">
      <c r="A7763" s="62">
        <v>33049</v>
      </c>
      <c r="B7763">
        <v>1.089</v>
      </c>
      <c r="C7763" t="str">
        <f t="shared" si="126"/>
        <v>1990 q2</v>
      </c>
    </row>
    <row r="7764" spans="1:3">
      <c r="A7764" s="62">
        <v>33050</v>
      </c>
      <c r="B7764">
        <v>1.0805</v>
      </c>
      <c r="C7764" t="str">
        <f t="shared" si="126"/>
        <v>1990 q2</v>
      </c>
    </row>
    <row r="7765" spans="1:3">
      <c r="A7765" s="62">
        <v>33051</v>
      </c>
      <c r="B7765">
        <v>1.0920000000000001</v>
      </c>
      <c r="C7765" t="str">
        <f t="shared" si="126"/>
        <v>1990 q2</v>
      </c>
    </row>
    <row r="7766" spans="1:3">
      <c r="A7766" s="62">
        <v>33052</v>
      </c>
      <c r="B7766">
        <v>1.137</v>
      </c>
      <c r="C7766" t="str">
        <f t="shared" si="126"/>
        <v>1990 q2</v>
      </c>
    </row>
    <row r="7767" spans="1:3">
      <c r="A7767" s="62">
        <v>33053</v>
      </c>
      <c r="B7767">
        <v>1.1429</v>
      </c>
      <c r="C7767" t="str">
        <f t="shared" si="126"/>
        <v>1990 q2</v>
      </c>
    </row>
    <row r="7768" spans="1:3">
      <c r="A7768" s="62">
        <v>33056</v>
      </c>
      <c r="B7768">
        <v>1.129</v>
      </c>
      <c r="C7768" t="str">
        <f t="shared" si="126"/>
        <v>1990 q3</v>
      </c>
    </row>
    <row r="7769" spans="1:3">
      <c r="A7769" s="62">
        <v>33057</v>
      </c>
      <c r="B7769">
        <v>1.131</v>
      </c>
      <c r="C7769" t="str">
        <f t="shared" si="126"/>
        <v>1990 q3</v>
      </c>
    </row>
    <row r="7770" spans="1:3">
      <c r="A7770" s="62">
        <v>33059</v>
      </c>
      <c r="B7770">
        <v>1.1605000000000001</v>
      </c>
      <c r="C7770" t="str">
        <f t="shared" si="126"/>
        <v>1990 q3</v>
      </c>
    </row>
    <row r="7771" spans="1:3">
      <c r="A7771" s="62">
        <v>33060</v>
      </c>
      <c r="B7771">
        <v>1.1819999999999999</v>
      </c>
      <c r="C7771" t="str">
        <f t="shared" si="126"/>
        <v>1990 q3</v>
      </c>
    </row>
    <row r="7772" spans="1:3">
      <c r="A7772" s="62">
        <v>33063</v>
      </c>
      <c r="B7772">
        <v>1.1735</v>
      </c>
      <c r="C7772" t="str">
        <f t="shared" si="126"/>
        <v>1990 q3</v>
      </c>
    </row>
    <row r="7773" spans="1:3">
      <c r="A7773" s="62">
        <v>33064</v>
      </c>
      <c r="B7773">
        <v>1.1675</v>
      </c>
      <c r="C7773" t="str">
        <f t="shared" si="126"/>
        <v>1990 q3</v>
      </c>
    </row>
    <row r="7774" spans="1:3">
      <c r="A7774" s="62">
        <v>33065</v>
      </c>
      <c r="B7774">
        <v>1.22</v>
      </c>
      <c r="C7774" t="str">
        <f t="shared" si="126"/>
        <v>1990 q3</v>
      </c>
    </row>
    <row r="7775" spans="1:3">
      <c r="A7775" s="62">
        <v>33066</v>
      </c>
      <c r="B7775">
        <v>1.2404999999999999</v>
      </c>
      <c r="C7775" t="str">
        <f t="shared" si="126"/>
        <v>1990 q3</v>
      </c>
    </row>
    <row r="7776" spans="1:3">
      <c r="A7776" s="62">
        <v>33067</v>
      </c>
      <c r="B7776">
        <v>1.2295</v>
      </c>
      <c r="C7776" t="str">
        <f t="shared" si="126"/>
        <v>1990 q3</v>
      </c>
    </row>
    <row r="7777" spans="1:3">
      <c r="A7777" s="62">
        <v>33070</v>
      </c>
      <c r="B7777">
        <v>1.22</v>
      </c>
      <c r="C7777" t="str">
        <f t="shared" si="126"/>
        <v>1990 q3</v>
      </c>
    </row>
    <row r="7778" spans="1:3">
      <c r="A7778" s="62">
        <v>33071</v>
      </c>
      <c r="B7778">
        <v>1.2</v>
      </c>
      <c r="C7778" t="str">
        <f t="shared" si="126"/>
        <v>1990 q3</v>
      </c>
    </row>
    <row r="7779" spans="1:3">
      <c r="A7779" s="62">
        <v>33072</v>
      </c>
      <c r="B7779">
        <v>1.1930000000000001</v>
      </c>
      <c r="C7779" t="str">
        <f t="shared" si="126"/>
        <v>1990 q3</v>
      </c>
    </row>
    <row r="7780" spans="1:3">
      <c r="A7780" s="62">
        <v>33073</v>
      </c>
      <c r="B7780">
        <v>1.179</v>
      </c>
      <c r="C7780" t="str">
        <f t="shared" si="126"/>
        <v>1990 q3</v>
      </c>
    </row>
    <row r="7781" spans="1:3">
      <c r="A7781" s="62">
        <v>33074</v>
      </c>
      <c r="B7781">
        <v>1.198</v>
      </c>
      <c r="C7781" t="str">
        <f t="shared" si="126"/>
        <v>1990 q3</v>
      </c>
    </row>
    <row r="7782" spans="1:3">
      <c r="A7782" s="62">
        <v>33077</v>
      </c>
      <c r="B7782">
        <v>1.1910000000000001</v>
      </c>
      <c r="C7782" t="str">
        <f t="shared" si="126"/>
        <v>1990 q3</v>
      </c>
    </row>
    <row r="7783" spans="1:3">
      <c r="A7783" s="62">
        <v>33078</v>
      </c>
      <c r="B7783">
        <v>1.204</v>
      </c>
      <c r="C7783" t="str">
        <f t="shared" si="126"/>
        <v>1990 q3</v>
      </c>
    </row>
    <row r="7784" spans="1:3">
      <c r="A7784" s="62">
        <v>33079</v>
      </c>
      <c r="B7784">
        <v>1.2164999999999999</v>
      </c>
      <c r="C7784" t="str">
        <f t="shared" si="126"/>
        <v>1990 q3</v>
      </c>
    </row>
    <row r="7785" spans="1:3">
      <c r="A7785" s="62">
        <v>33080</v>
      </c>
      <c r="B7785">
        <v>1.2290000000000001</v>
      </c>
      <c r="C7785" t="str">
        <f t="shared" si="126"/>
        <v>1990 q3</v>
      </c>
    </row>
    <row r="7786" spans="1:3">
      <c r="A7786" s="62">
        <v>33081</v>
      </c>
      <c r="B7786">
        <v>1.2589999999999999</v>
      </c>
      <c r="C7786" t="str">
        <f t="shared" si="126"/>
        <v>1990 q3</v>
      </c>
    </row>
    <row r="7787" spans="1:3">
      <c r="A7787" s="62">
        <v>33084</v>
      </c>
      <c r="B7787">
        <v>1.2355</v>
      </c>
      <c r="C7787" t="str">
        <f t="shared" si="126"/>
        <v>1990 q3</v>
      </c>
    </row>
    <row r="7788" spans="1:3">
      <c r="A7788" s="62">
        <v>33085</v>
      </c>
      <c r="B7788">
        <v>1.246</v>
      </c>
      <c r="C7788" t="str">
        <f t="shared" si="126"/>
        <v>1990 q3</v>
      </c>
    </row>
    <row r="7789" spans="1:3">
      <c r="A7789" s="62">
        <v>33086</v>
      </c>
      <c r="B7789">
        <v>1.2885</v>
      </c>
      <c r="C7789" t="str">
        <f t="shared" si="126"/>
        <v>1990 q3</v>
      </c>
    </row>
    <row r="7790" spans="1:3">
      <c r="A7790" s="62">
        <v>33087</v>
      </c>
      <c r="B7790">
        <v>1.2889999999999999</v>
      </c>
      <c r="C7790" t="str">
        <f t="shared" si="126"/>
        <v>1990 q3</v>
      </c>
    </row>
    <row r="7791" spans="1:3">
      <c r="A7791" s="62">
        <v>33088</v>
      </c>
      <c r="B7791">
        <v>1.2549999999999999</v>
      </c>
      <c r="C7791" t="str">
        <f t="shared" si="126"/>
        <v>1990 q3</v>
      </c>
    </row>
    <row r="7792" spans="1:3">
      <c r="A7792" s="62">
        <v>33091</v>
      </c>
      <c r="B7792">
        <v>1.2635000000000001</v>
      </c>
      <c r="C7792" t="str">
        <f t="shared" si="126"/>
        <v>1990 q3</v>
      </c>
    </row>
    <row r="7793" spans="1:3">
      <c r="A7793" s="62">
        <v>33092</v>
      </c>
      <c r="B7793">
        <v>1.2729999999999999</v>
      </c>
      <c r="C7793" t="str">
        <f t="shared" si="126"/>
        <v>1990 q3</v>
      </c>
    </row>
    <row r="7794" spans="1:3">
      <c r="A7794" s="62">
        <v>33093</v>
      </c>
      <c r="B7794">
        <v>1.3095000000000001</v>
      </c>
      <c r="C7794" t="str">
        <f t="shared" si="126"/>
        <v>1990 q3</v>
      </c>
    </row>
    <row r="7795" spans="1:3">
      <c r="A7795" s="62">
        <v>33094</v>
      </c>
      <c r="B7795">
        <v>1.3205</v>
      </c>
      <c r="C7795" t="str">
        <f t="shared" si="126"/>
        <v>1990 q3</v>
      </c>
    </row>
    <row r="7796" spans="1:3">
      <c r="A7796" s="62">
        <v>33095</v>
      </c>
      <c r="B7796">
        <v>1.32</v>
      </c>
      <c r="C7796" t="str">
        <f t="shared" si="126"/>
        <v>1990 q3</v>
      </c>
    </row>
    <row r="7797" spans="1:3">
      <c r="A7797" s="62">
        <v>33099</v>
      </c>
      <c r="B7797">
        <v>1.3285</v>
      </c>
      <c r="C7797" t="str">
        <f t="shared" si="126"/>
        <v>1990 q3</v>
      </c>
    </row>
    <row r="7798" spans="1:3">
      <c r="A7798" s="62">
        <v>33100</v>
      </c>
      <c r="B7798">
        <v>1.3354999999999999</v>
      </c>
      <c r="C7798" t="str">
        <f t="shared" si="126"/>
        <v>1990 q3</v>
      </c>
    </row>
    <row r="7799" spans="1:3">
      <c r="A7799" s="62">
        <v>33101</v>
      </c>
      <c r="B7799">
        <v>1.3265</v>
      </c>
      <c r="C7799" t="str">
        <f t="shared" si="126"/>
        <v>1990 q3</v>
      </c>
    </row>
    <row r="7800" spans="1:3">
      <c r="A7800" s="62">
        <v>33102</v>
      </c>
      <c r="B7800">
        <v>1.333</v>
      </c>
      <c r="C7800" t="str">
        <f t="shared" si="126"/>
        <v>1990 q3</v>
      </c>
    </row>
    <row r="7801" spans="1:3">
      <c r="A7801" s="62">
        <v>33105</v>
      </c>
      <c r="B7801">
        <v>1.3194999999999999</v>
      </c>
      <c r="C7801" t="str">
        <f t="shared" si="126"/>
        <v>1990 q3</v>
      </c>
    </row>
    <row r="7802" spans="1:3">
      <c r="A7802" s="62">
        <v>33106</v>
      </c>
      <c r="B7802">
        <v>1.3174999999999999</v>
      </c>
      <c r="C7802" t="str">
        <f t="shared" si="126"/>
        <v>1990 q3</v>
      </c>
    </row>
    <row r="7803" spans="1:3">
      <c r="A7803" s="62">
        <v>33107</v>
      </c>
      <c r="B7803">
        <v>1.2915000000000001</v>
      </c>
      <c r="C7803" t="str">
        <f t="shared" si="126"/>
        <v>1990 q3</v>
      </c>
    </row>
    <row r="7804" spans="1:3">
      <c r="A7804" s="62">
        <v>33108</v>
      </c>
      <c r="B7804">
        <v>1.2965</v>
      </c>
      <c r="C7804" t="str">
        <f t="shared" si="126"/>
        <v>1990 q3</v>
      </c>
    </row>
    <row r="7805" spans="1:3">
      <c r="A7805" s="62">
        <v>33109</v>
      </c>
      <c r="B7805">
        <v>1.2905</v>
      </c>
      <c r="C7805" t="str">
        <f t="shared" si="126"/>
        <v>1990 q3</v>
      </c>
    </row>
    <row r="7806" spans="1:3">
      <c r="A7806" s="62">
        <v>33112</v>
      </c>
      <c r="B7806">
        <v>1.3035000000000001</v>
      </c>
      <c r="C7806" t="str">
        <f t="shared" si="126"/>
        <v>1990 q3</v>
      </c>
    </row>
    <row r="7807" spans="1:3">
      <c r="A7807" s="62">
        <v>33113</v>
      </c>
      <c r="B7807">
        <v>1.278</v>
      </c>
      <c r="C7807" t="str">
        <f t="shared" si="126"/>
        <v>1990 q3</v>
      </c>
    </row>
    <row r="7808" spans="1:3">
      <c r="A7808" s="62">
        <v>33114</v>
      </c>
      <c r="B7808">
        <v>1.2771999999999999</v>
      </c>
      <c r="C7808" t="str">
        <f t="shared" si="126"/>
        <v>1990 q3</v>
      </c>
    </row>
    <row r="7809" spans="1:3">
      <c r="A7809" s="62">
        <v>33115</v>
      </c>
      <c r="B7809">
        <v>1.2682</v>
      </c>
      <c r="C7809" t="str">
        <f t="shared" si="126"/>
        <v>1990 q3</v>
      </c>
    </row>
    <row r="7810" spans="1:3">
      <c r="A7810" s="62">
        <v>33116</v>
      </c>
      <c r="B7810">
        <v>1.2585</v>
      </c>
      <c r="C7810" t="str">
        <f t="shared" si="126"/>
        <v>1990 q3</v>
      </c>
    </row>
    <row r="7811" spans="1:3">
      <c r="A7811" s="62">
        <v>33120</v>
      </c>
      <c r="B7811">
        <v>1.2375</v>
      </c>
      <c r="C7811" t="str">
        <f t="shared" si="126"/>
        <v>1990 q3</v>
      </c>
    </row>
    <row r="7812" spans="1:3">
      <c r="A7812" s="62">
        <v>33121</v>
      </c>
      <c r="B7812">
        <v>1.222</v>
      </c>
      <c r="C7812" t="str">
        <f t="shared" si="126"/>
        <v>1990 q3</v>
      </c>
    </row>
    <row r="7813" spans="1:3">
      <c r="A7813" s="62">
        <v>33122</v>
      </c>
      <c r="B7813">
        <v>1.234</v>
      </c>
      <c r="C7813" t="str">
        <f t="shared" si="126"/>
        <v>1990 q3</v>
      </c>
    </row>
    <row r="7814" spans="1:3">
      <c r="A7814" s="62">
        <v>33123</v>
      </c>
      <c r="B7814">
        <v>1.3035000000000001</v>
      </c>
      <c r="C7814" t="str">
        <f t="shared" si="126"/>
        <v>1990 q3</v>
      </c>
    </row>
    <row r="7815" spans="1:3">
      <c r="A7815" s="62">
        <v>33126</v>
      </c>
      <c r="B7815">
        <v>1.2829999999999999</v>
      </c>
      <c r="C7815" t="str">
        <f t="shared" si="126"/>
        <v>1990 q3</v>
      </c>
    </row>
    <row r="7816" spans="1:3">
      <c r="A7816" s="62">
        <v>33127</v>
      </c>
      <c r="B7816">
        <v>1.2855000000000001</v>
      </c>
      <c r="C7816" t="str">
        <f t="shared" si="126"/>
        <v>1990 q3</v>
      </c>
    </row>
    <row r="7817" spans="1:3">
      <c r="A7817" s="62">
        <v>33128</v>
      </c>
      <c r="B7817">
        <v>1.2875000000000001</v>
      </c>
      <c r="C7817" t="str">
        <f t="shared" si="126"/>
        <v>1990 q3</v>
      </c>
    </row>
    <row r="7818" spans="1:3">
      <c r="A7818" s="62">
        <v>33129</v>
      </c>
      <c r="B7818">
        <v>1.2695000000000001</v>
      </c>
      <c r="C7818" t="str">
        <f t="shared" si="126"/>
        <v>1990 q3</v>
      </c>
    </row>
    <row r="7819" spans="1:3">
      <c r="A7819" s="62">
        <v>33130</v>
      </c>
      <c r="B7819">
        <v>1.2825</v>
      </c>
      <c r="C7819" t="str">
        <f t="shared" si="126"/>
        <v>1990 q3</v>
      </c>
    </row>
    <row r="7820" spans="1:3">
      <c r="A7820" s="62">
        <v>33133</v>
      </c>
      <c r="B7820">
        <v>1.2775000000000001</v>
      </c>
      <c r="C7820" t="str">
        <f t="shared" si="126"/>
        <v>1990 q3</v>
      </c>
    </row>
    <row r="7821" spans="1:3">
      <c r="A7821" s="62">
        <v>33134</v>
      </c>
      <c r="B7821">
        <v>1.24</v>
      </c>
      <c r="C7821" t="str">
        <f t="shared" si="126"/>
        <v>1990 q3</v>
      </c>
    </row>
    <row r="7822" spans="1:3">
      <c r="A7822" s="62">
        <v>33135</v>
      </c>
      <c r="B7822">
        <v>1.1975</v>
      </c>
      <c r="C7822" t="str">
        <f t="shared" si="126"/>
        <v>1990 q3</v>
      </c>
    </row>
    <row r="7823" spans="1:3">
      <c r="A7823" s="62">
        <v>33136</v>
      </c>
      <c r="B7823">
        <v>1.1775</v>
      </c>
      <c r="C7823" t="str">
        <f t="shared" si="126"/>
        <v>1990 q3</v>
      </c>
    </row>
    <row r="7824" spans="1:3">
      <c r="A7824" s="62">
        <v>33137</v>
      </c>
      <c r="B7824">
        <v>1.1904999999999999</v>
      </c>
      <c r="C7824" t="str">
        <f t="shared" si="126"/>
        <v>1990 q3</v>
      </c>
    </row>
    <row r="7825" spans="1:3">
      <c r="A7825" s="62">
        <v>33140</v>
      </c>
      <c r="B7825">
        <v>1.1805000000000001</v>
      </c>
      <c r="C7825" t="str">
        <f t="shared" si="126"/>
        <v>1990 q3</v>
      </c>
    </row>
    <row r="7826" spans="1:3">
      <c r="A7826" s="62">
        <v>33141</v>
      </c>
      <c r="B7826">
        <v>1.175</v>
      </c>
      <c r="C7826" t="str">
        <f t="shared" ref="C7826:C7889" si="127">YEAR(A7826)&amp;" q"&amp;ROUNDUP(MONTH(A7826)/3,0)</f>
        <v>1990 q3</v>
      </c>
    </row>
    <row r="7827" spans="1:3">
      <c r="A7827" s="62">
        <v>33142</v>
      </c>
      <c r="B7827">
        <v>1.1759999999999999</v>
      </c>
      <c r="C7827" t="str">
        <f t="shared" si="127"/>
        <v>1990 q3</v>
      </c>
    </row>
    <row r="7828" spans="1:3">
      <c r="A7828" s="62">
        <v>33143</v>
      </c>
      <c r="B7828">
        <v>1.1984999999999999</v>
      </c>
      <c r="C7828" t="str">
        <f t="shared" si="127"/>
        <v>1990 q3</v>
      </c>
    </row>
    <row r="7829" spans="1:3">
      <c r="A7829" s="62">
        <v>33144</v>
      </c>
      <c r="B7829">
        <v>1.1879999999999999</v>
      </c>
      <c r="C7829" t="str">
        <f t="shared" si="127"/>
        <v>1990 q3</v>
      </c>
    </row>
    <row r="7830" spans="1:3">
      <c r="A7830" s="62">
        <v>33147</v>
      </c>
      <c r="B7830">
        <v>1.17</v>
      </c>
      <c r="C7830" t="str">
        <f t="shared" si="127"/>
        <v>1990 q4</v>
      </c>
    </row>
    <row r="7831" spans="1:3">
      <c r="A7831" s="62">
        <v>33148</v>
      </c>
      <c r="B7831">
        <v>1.1835</v>
      </c>
      <c r="C7831" t="str">
        <f t="shared" si="127"/>
        <v>1990 q4</v>
      </c>
    </row>
    <row r="7832" spans="1:3">
      <c r="A7832" s="62">
        <v>33149</v>
      </c>
      <c r="B7832">
        <v>1.21</v>
      </c>
      <c r="C7832" t="str">
        <f t="shared" si="127"/>
        <v>1990 q4</v>
      </c>
    </row>
    <row r="7833" spans="1:3">
      <c r="A7833" s="62">
        <v>33150</v>
      </c>
      <c r="B7833">
        <v>1.206</v>
      </c>
      <c r="C7833" t="str">
        <f t="shared" si="127"/>
        <v>1990 q4</v>
      </c>
    </row>
    <row r="7834" spans="1:3">
      <c r="A7834" s="62">
        <v>33151</v>
      </c>
      <c r="B7834">
        <v>1.2204999999999999</v>
      </c>
      <c r="C7834" t="str">
        <f t="shared" si="127"/>
        <v>1990 q4</v>
      </c>
    </row>
    <row r="7835" spans="1:3">
      <c r="A7835" s="62">
        <v>33154</v>
      </c>
      <c r="B7835">
        <v>1.2064999999999999</v>
      </c>
      <c r="C7835" t="str">
        <f t="shared" si="127"/>
        <v>1990 q4</v>
      </c>
    </row>
    <row r="7836" spans="1:3">
      <c r="A7836" s="62">
        <v>33155</v>
      </c>
      <c r="B7836">
        <v>1.181</v>
      </c>
      <c r="C7836" t="str">
        <f t="shared" si="127"/>
        <v>1990 q4</v>
      </c>
    </row>
    <row r="7837" spans="1:3">
      <c r="A7837" s="62">
        <v>33156</v>
      </c>
      <c r="B7837">
        <v>1.1935</v>
      </c>
      <c r="C7837" t="str">
        <f t="shared" si="127"/>
        <v>1990 q4</v>
      </c>
    </row>
    <row r="7838" spans="1:3">
      <c r="A7838" s="62">
        <v>33157</v>
      </c>
      <c r="B7838">
        <v>1.1575</v>
      </c>
      <c r="C7838" t="str">
        <f t="shared" si="127"/>
        <v>1990 q4</v>
      </c>
    </row>
    <row r="7839" spans="1:3">
      <c r="A7839" s="62">
        <v>33158</v>
      </c>
      <c r="B7839">
        <v>1.135</v>
      </c>
      <c r="C7839" t="str">
        <f t="shared" si="127"/>
        <v>1990 q4</v>
      </c>
    </row>
    <row r="7840" spans="1:3">
      <c r="A7840" s="62">
        <v>33161</v>
      </c>
      <c r="B7840">
        <v>1.1425000000000001</v>
      </c>
      <c r="C7840" t="str">
        <f t="shared" si="127"/>
        <v>1990 q4</v>
      </c>
    </row>
    <row r="7841" spans="1:3">
      <c r="A7841" s="62">
        <v>33162</v>
      </c>
      <c r="B7841">
        <v>1.1335</v>
      </c>
      <c r="C7841" t="str">
        <f t="shared" si="127"/>
        <v>1990 q4</v>
      </c>
    </row>
    <row r="7842" spans="1:3">
      <c r="A7842" s="62">
        <v>33163</v>
      </c>
      <c r="B7842">
        <v>1.121</v>
      </c>
      <c r="C7842" t="str">
        <f t="shared" si="127"/>
        <v>1990 q4</v>
      </c>
    </row>
    <row r="7843" spans="1:3">
      <c r="A7843" s="62">
        <v>33164</v>
      </c>
      <c r="B7843">
        <v>1.1399999999999999</v>
      </c>
      <c r="C7843" t="str">
        <f t="shared" si="127"/>
        <v>1990 q4</v>
      </c>
    </row>
    <row r="7844" spans="1:3">
      <c r="A7844" s="62">
        <v>33165</v>
      </c>
      <c r="B7844">
        <v>1.175</v>
      </c>
      <c r="C7844" t="str">
        <f t="shared" si="127"/>
        <v>1990 q4</v>
      </c>
    </row>
    <row r="7845" spans="1:3">
      <c r="A7845" s="62">
        <v>33168</v>
      </c>
      <c r="B7845">
        <v>1.173</v>
      </c>
      <c r="C7845" t="str">
        <f t="shared" si="127"/>
        <v>1990 q4</v>
      </c>
    </row>
    <row r="7846" spans="1:3">
      <c r="A7846" s="62">
        <v>33169</v>
      </c>
      <c r="B7846">
        <v>1.2264999999999999</v>
      </c>
      <c r="C7846" t="str">
        <f t="shared" si="127"/>
        <v>1990 q4</v>
      </c>
    </row>
    <row r="7847" spans="1:3">
      <c r="A7847" s="62">
        <v>33170</v>
      </c>
      <c r="B7847">
        <v>1.2044999999999999</v>
      </c>
      <c r="C7847" t="str">
        <f t="shared" si="127"/>
        <v>1990 q4</v>
      </c>
    </row>
    <row r="7848" spans="1:3">
      <c r="A7848" s="62">
        <v>33171</v>
      </c>
      <c r="B7848">
        <v>1.198</v>
      </c>
      <c r="C7848" t="str">
        <f t="shared" si="127"/>
        <v>1990 q4</v>
      </c>
    </row>
    <row r="7849" spans="1:3">
      <c r="A7849" s="62">
        <v>33172</v>
      </c>
      <c r="B7849">
        <v>1.198</v>
      </c>
      <c r="C7849" t="str">
        <f t="shared" si="127"/>
        <v>1990 q4</v>
      </c>
    </row>
    <row r="7850" spans="1:3">
      <c r="A7850" s="62">
        <v>33175</v>
      </c>
      <c r="B7850">
        <v>1.1719999999999999</v>
      </c>
      <c r="C7850" t="str">
        <f t="shared" si="127"/>
        <v>1990 q4</v>
      </c>
    </row>
    <row r="7851" spans="1:3">
      <c r="A7851" s="62">
        <v>33176</v>
      </c>
      <c r="B7851">
        <v>1.1565000000000001</v>
      </c>
      <c r="C7851" t="str">
        <f t="shared" si="127"/>
        <v>1990 q4</v>
      </c>
    </row>
    <row r="7852" spans="1:3">
      <c r="A7852" s="62">
        <v>33177</v>
      </c>
      <c r="B7852">
        <v>1.1575</v>
      </c>
      <c r="C7852" t="str">
        <f t="shared" si="127"/>
        <v>1990 q4</v>
      </c>
    </row>
    <row r="7853" spans="1:3">
      <c r="A7853" s="62">
        <v>33178</v>
      </c>
      <c r="B7853">
        <v>1.135</v>
      </c>
      <c r="C7853" t="str">
        <f t="shared" si="127"/>
        <v>1990 q4</v>
      </c>
    </row>
    <row r="7854" spans="1:3">
      <c r="A7854" s="62">
        <v>33179</v>
      </c>
      <c r="B7854">
        <v>1.1559999999999999</v>
      </c>
      <c r="C7854" t="str">
        <f t="shared" si="127"/>
        <v>1990 q4</v>
      </c>
    </row>
    <row r="7855" spans="1:3">
      <c r="A7855" s="62">
        <v>33182</v>
      </c>
      <c r="B7855">
        <v>1.137</v>
      </c>
      <c r="C7855" t="str">
        <f t="shared" si="127"/>
        <v>1990 q4</v>
      </c>
    </row>
    <row r="7856" spans="1:3">
      <c r="A7856" s="62">
        <v>33183</v>
      </c>
      <c r="B7856">
        <v>1.1495</v>
      </c>
      <c r="C7856" t="str">
        <f t="shared" si="127"/>
        <v>1990 q4</v>
      </c>
    </row>
    <row r="7857" spans="1:3">
      <c r="A7857" s="62">
        <v>33184</v>
      </c>
      <c r="B7857">
        <v>1.1495</v>
      </c>
      <c r="C7857" t="str">
        <f t="shared" si="127"/>
        <v>1990 q4</v>
      </c>
    </row>
    <row r="7858" spans="1:3">
      <c r="A7858" s="62">
        <v>33185</v>
      </c>
      <c r="B7858">
        <v>1.1379999999999999</v>
      </c>
      <c r="C7858" t="str">
        <f t="shared" si="127"/>
        <v>1990 q4</v>
      </c>
    </row>
    <row r="7859" spans="1:3">
      <c r="A7859" s="62">
        <v>33186</v>
      </c>
      <c r="B7859">
        <v>1.149</v>
      </c>
      <c r="C7859" t="str">
        <f t="shared" si="127"/>
        <v>1990 q4</v>
      </c>
    </row>
    <row r="7860" spans="1:3">
      <c r="A7860" s="62">
        <v>33189</v>
      </c>
      <c r="B7860">
        <v>1.1435</v>
      </c>
      <c r="C7860" t="str">
        <f t="shared" si="127"/>
        <v>1990 q4</v>
      </c>
    </row>
    <row r="7861" spans="1:3">
      <c r="A7861" s="62">
        <v>33190</v>
      </c>
      <c r="B7861">
        <v>1.1559999999999999</v>
      </c>
      <c r="C7861" t="str">
        <f t="shared" si="127"/>
        <v>1990 q4</v>
      </c>
    </row>
    <row r="7862" spans="1:3">
      <c r="A7862" s="62">
        <v>33191</v>
      </c>
      <c r="B7862">
        <v>1.151</v>
      </c>
      <c r="C7862" t="str">
        <f t="shared" si="127"/>
        <v>1990 q4</v>
      </c>
    </row>
    <row r="7863" spans="1:3">
      <c r="A7863" s="62">
        <v>33192</v>
      </c>
      <c r="B7863">
        <v>1.1645000000000001</v>
      </c>
      <c r="C7863" t="str">
        <f t="shared" si="127"/>
        <v>1990 q4</v>
      </c>
    </row>
    <row r="7864" spans="1:3">
      <c r="A7864" s="62">
        <v>33193</v>
      </c>
      <c r="B7864">
        <v>1.1765000000000001</v>
      </c>
      <c r="C7864" t="str">
        <f t="shared" si="127"/>
        <v>1990 q4</v>
      </c>
    </row>
    <row r="7865" spans="1:3">
      <c r="A7865" s="62">
        <v>33196</v>
      </c>
      <c r="B7865">
        <v>1.161</v>
      </c>
      <c r="C7865" t="str">
        <f t="shared" si="127"/>
        <v>1990 q4</v>
      </c>
    </row>
    <row r="7866" spans="1:3">
      <c r="A7866" s="62">
        <v>33197</v>
      </c>
      <c r="B7866">
        <v>1.1645000000000001</v>
      </c>
      <c r="C7866" t="str">
        <f t="shared" si="127"/>
        <v>1990 q4</v>
      </c>
    </row>
    <row r="7867" spans="1:3">
      <c r="A7867" s="62">
        <v>33198</v>
      </c>
      <c r="B7867">
        <v>1.151</v>
      </c>
      <c r="C7867" t="str">
        <f t="shared" si="127"/>
        <v>1990 q4</v>
      </c>
    </row>
    <row r="7868" spans="1:3">
      <c r="A7868" s="62">
        <v>33200</v>
      </c>
      <c r="B7868">
        <v>1.155</v>
      </c>
      <c r="C7868" t="str">
        <f t="shared" si="127"/>
        <v>1990 q4</v>
      </c>
    </row>
    <row r="7869" spans="1:3">
      <c r="A7869" s="62">
        <v>33203</v>
      </c>
      <c r="B7869">
        <v>1.1645000000000001</v>
      </c>
      <c r="C7869" t="str">
        <f t="shared" si="127"/>
        <v>1990 q4</v>
      </c>
    </row>
    <row r="7870" spans="1:3">
      <c r="A7870" s="62">
        <v>33204</v>
      </c>
      <c r="B7870">
        <v>1.1206</v>
      </c>
      <c r="C7870" t="str">
        <f t="shared" si="127"/>
        <v>1990 q4</v>
      </c>
    </row>
    <row r="7871" spans="1:3">
      <c r="A7871" s="62">
        <v>33205</v>
      </c>
      <c r="B7871">
        <v>1.1181000000000001</v>
      </c>
      <c r="C7871" t="str">
        <f t="shared" si="127"/>
        <v>1990 q4</v>
      </c>
    </row>
    <row r="7872" spans="1:3">
      <c r="A7872" s="62">
        <v>33206</v>
      </c>
      <c r="B7872">
        <v>1.1042000000000001</v>
      </c>
      <c r="C7872" t="str">
        <f t="shared" si="127"/>
        <v>1990 q4</v>
      </c>
    </row>
    <row r="7873" spans="1:3">
      <c r="A7873" s="62">
        <v>33207</v>
      </c>
      <c r="B7873">
        <v>1.0998000000000001</v>
      </c>
      <c r="C7873" t="str">
        <f t="shared" si="127"/>
        <v>1990 q4</v>
      </c>
    </row>
    <row r="7874" spans="1:3">
      <c r="A7874" s="62">
        <v>33210</v>
      </c>
      <c r="B7874">
        <v>1.105</v>
      </c>
      <c r="C7874" t="str">
        <f t="shared" si="127"/>
        <v>1990 q4</v>
      </c>
    </row>
    <row r="7875" spans="1:3">
      <c r="A7875" s="62">
        <v>33211</v>
      </c>
      <c r="B7875">
        <v>1.105</v>
      </c>
      <c r="C7875" t="str">
        <f t="shared" si="127"/>
        <v>1990 q4</v>
      </c>
    </row>
    <row r="7876" spans="1:3">
      <c r="A7876" s="62">
        <v>33212</v>
      </c>
      <c r="B7876">
        <v>1.105</v>
      </c>
      <c r="C7876" t="str">
        <f t="shared" si="127"/>
        <v>1990 q4</v>
      </c>
    </row>
    <row r="7877" spans="1:3">
      <c r="A7877" s="62">
        <v>33213</v>
      </c>
      <c r="B7877">
        <v>1.1225000000000001</v>
      </c>
      <c r="C7877" t="str">
        <f t="shared" si="127"/>
        <v>1990 q4</v>
      </c>
    </row>
    <row r="7878" spans="1:3">
      <c r="A7878" s="62">
        <v>33214</v>
      </c>
      <c r="B7878">
        <v>1.095</v>
      </c>
      <c r="C7878" t="str">
        <f t="shared" si="127"/>
        <v>1990 q4</v>
      </c>
    </row>
    <row r="7879" spans="1:3">
      <c r="A7879" s="62">
        <v>33217</v>
      </c>
      <c r="B7879">
        <v>1.1080000000000001</v>
      </c>
      <c r="C7879" t="str">
        <f t="shared" si="127"/>
        <v>1990 q4</v>
      </c>
    </row>
    <row r="7880" spans="1:3">
      <c r="A7880" s="62">
        <v>33218</v>
      </c>
      <c r="B7880">
        <v>1.095</v>
      </c>
      <c r="C7880" t="str">
        <f t="shared" si="127"/>
        <v>1990 q4</v>
      </c>
    </row>
    <row r="7881" spans="1:3">
      <c r="A7881" s="62">
        <v>33219</v>
      </c>
      <c r="B7881">
        <v>1.1080000000000001</v>
      </c>
      <c r="C7881" t="str">
        <f t="shared" si="127"/>
        <v>1990 q4</v>
      </c>
    </row>
    <row r="7882" spans="1:3">
      <c r="A7882" s="62">
        <v>33220</v>
      </c>
      <c r="B7882">
        <v>1.1125</v>
      </c>
      <c r="C7882" t="str">
        <f t="shared" si="127"/>
        <v>1990 q4</v>
      </c>
    </row>
    <row r="7883" spans="1:3">
      <c r="A7883" s="62">
        <v>33221</v>
      </c>
      <c r="B7883">
        <v>1.109</v>
      </c>
      <c r="C7883" t="str">
        <f t="shared" si="127"/>
        <v>1990 q4</v>
      </c>
    </row>
    <row r="7884" spans="1:3">
      <c r="A7884" s="62">
        <v>33224</v>
      </c>
      <c r="B7884">
        <v>1.111</v>
      </c>
      <c r="C7884" t="str">
        <f t="shared" si="127"/>
        <v>1990 q4</v>
      </c>
    </row>
    <row r="7885" spans="1:3">
      <c r="A7885" s="62">
        <v>33225</v>
      </c>
      <c r="B7885">
        <v>1.1120000000000001</v>
      </c>
      <c r="C7885" t="str">
        <f t="shared" si="127"/>
        <v>1990 q4</v>
      </c>
    </row>
    <row r="7886" spans="1:3">
      <c r="A7886" s="62">
        <v>33226</v>
      </c>
      <c r="B7886">
        <v>1.1160000000000001</v>
      </c>
      <c r="C7886" t="str">
        <f t="shared" si="127"/>
        <v>1990 q4</v>
      </c>
    </row>
    <row r="7887" spans="1:3">
      <c r="A7887" s="62">
        <v>33227</v>
      </c>
      <c r="B7887">
        <v>1.1240000000000001</v>
      </c>
      <c r="C7887" t="str">
        <f t="shared" si="127"/>
        <v>1990 q4</v>
      </c>
    </row>
    <row r="7888" spans="1:3">
      <c r="A7888" s="62">
        <v>33228</v>
      </c>
      <c r="B7888">
        <v>1.1234999999999999</v>
      </c>
      <c r="C7888" t="str">
        <f t="shared" si="127"/>
        <v>1990 q4</v>
      </c>
    </row>
    <row r="7889" spans="1:3">
      <c r="A7889" s="62">
        <v>33233</v>
      </c>
      <c r="B7889">
        <v>1.1262000000000001</v>
      </c>
      <c r="C7889" t="str">
        <f t="shared" si="127"/>
        <v>1990 q4</v>
      </c>
    </row>
    <row r="7890" spans="1:3">
      <c r="A7890" s="62">
        <v>33234</v>
      </c>
      <c r="B7890">
        <v>1.1238999999999999</v>
      </c>
      <c r="C7890" t="str">
        <f t="shared" ref="C7890:C7953" si="128">YEAR(A7890)&amp;" q"&amp;ROUNDUP(MONTH(A7890)/3,0)</f>
        <v>1990 q4</v>
      </c>
    </row>
    <row r="7891" spans="1:3">
      <c r="A7891" s="62">
        <v>33235</v>
      </c>
      <c r="B7891">
        <v>1.1477999999999999</v>
      </c>
      <c r="C7891" t="str">
        <f t="shared" si="128"/>
        <v>1990 q4</v>
      </c>
    </row>
    <row r="7892" spans="1:3">
      <c r="A7892" s="62">
        <v>33238</v>
      </c>
      <c r="B7892">
        <v>1.1714</v>
      </c>
      <c r="C7892" t="str">
        <f t="shared" si="128"/>
        <v>1990 q4</v>
      </c>
    </row>
    <row r="7893" spans="1:3">
      <c r="A7893" s="62">
        <v>33240</v>
      </c>
      <c r="B7893">
        <v>1.1930000000000001</v>
      </c>
      <c r="C7893" t="str">
        <f t="shared" si="128"/>
        <v>1991 q1</v>
      </c>
    </row>
    <row r="7894" spans="1:3">
      <c r="A7894" s="62">
        <v>33241</v>
      </c>
      <c r="B7894">
        <v>1.163</v>
      </c>
      <c r="C7894" t="str">
        <f t="shared" si="128"/>
        <v>1991 q1</v>
      </c>
    </row>
    <row r="7895" spans="1:3">
      <c r="A7895" s="62">
        <v>33242</v>
      </c>
      <c r="B7895">
        <v>1.159</v>
      </c>
      <c r="C7895" t="str">
        <f t="shared" si="128"/>
        <v>1991 q1</v>
      </c>
    </row>
    <row r="7896" spans="1:3">
      <c r="A7896" s="62">
        <v>33245</v>
      </c>
      <c r="B7896">
        <v>1.1679999999999999</v>
      </c>
      <c r="C7896" t="str">
        <f t="shared" si="128"/>
        <v>1991 q1</v>
      </c>
    </row>
    <row r="7897" spans="1:3">
      <c r="A7897" s="62">
        <v>33246</v>
      </c>
      <c r="B7897">
        <v>1.145</v>
      </c>
      <c r="C7897" t="str">
        <f t="shared" si="128"/>
        <v>1991 q1</v>
      </c>
    </row>
    <row r="7898" spans="1:3">
      <c r="A7898" s="62">
        <v>33247</v>
      </c>
      <c r="B7898">
        <v>1.1345000000000001</v>
      </c>
      <c r="C7898" t="str">
        <f t="shared" si="128"/>
        <v>1991 q1</v>
      </c>
    </row>
    <row r="7899" spans="1:3">
      <c r="A7899" s="62">
        <v>33248</v>
      </c>
      <c r="B7899">
        <v>1.131</v>
      </c>
      <c r="C7899" t="str">
        <f t="shared" si="128"/>
        <v>1991 q1</v>
      </c>
    </row>
    <row r="7900" spans="1:3">
      <c r="A7900" s="62">
        <v>33249</v>
      </c>
      <c r="B7900">
        <v>1.1285000000000001</v>
      </c>
      <c r="C7900" t="str">
        <f t="shared" si="128"/>
        <v>1991 q1</v>
      </c>
    </row>
    <row r="7901" spans="1:3">
      <c r="A7901" s="62">
        <v>33252</v>
      </c>
      <c r="B7901">
        <v>1.1060000000000001</v>
      </c>
      <c r="C7901" t="str">
        <f t="shared" si="128"/>
        <v>1991 q1</v>
      </c>
    </row>
    <row r="7902" spans="1:3">
      <c r="A7902" s="62">
        <v>33253</v>
      </c>
      <c r="B7902">
        <v>1.077</v>
      </c>
      <c r="C7902" t="str">
        <f t="shared" si="128"/>
        <v>1991 q1</v>
      </c>
    </row>
    <row r="7903" spans="1:3">
      <c r="A7903" s="62">
        <v>33254</v>
      </c>
      <c r="B7903">
        <v>1.0585</v>
      </c>
      <c r="C7903" t="str">
        <f t="shared" si="128"/>
        <v>1991 q1</v>
      </c>
    </row>
    <row r="7904" spans="1:3">
      <c r="A7904" s="62">
        <v>33255</v>
      </c>
      <c r="B7904">
        <v>1.0925</v>
      </c>
      <c r="C7904" t="str">
        <f t="shared" si="128"/>
        <v>1991 q1</v>
      </c>
    </row>
    <row r="7905" spans="1:3">
      <c r="A7905" s="62">
        <v>33256</v>
      </c>
      <c r="B7905">
        <v>1.0825</v>
      </c>
      <c r="C7905" t="str">
        <f t="shared" si="128"/>
        <v>1991 q1</v>
      </c>
    </row>
    <row r="7906" spans="1:3">
      <c r="A7906" s="62">
        <v>33259</v>
      </c>
      <c r="B7906">
        <v>1.0840000000000001</v>
      </c>
      <c r="C7906" t="str">
        <f t="shared" si="128"/>
        <v>1991 q1</v>
      </c>
    </row>
    <row r="7907" spans="1:3">
      <c r="A7907" s="62">
        <v>33260</v>
      </c>
      <c r="B7907">
        <v>1.0595000000000001</v>
      </c>
      <c r="C7907" t="str">
        <f t="shared" si="128"/>
        <v>1991 q1</v>
      </c>
    </row>
    <row r="7908" spans="1:3">
      <c r="A7908" s="62">
        <v>33261</v>
      </c>
      <c r="B7908">
        <v>1.0489999999999999</v>
      </c>
      <c r="C7908" t="str">
        <f t="shared" si="128"/>
        <v>1991 q1</v>
      </c>
    </row>
    <row r="7909" spans="1:3">
      <c r="A7909" s="62">
        <v>33262</v>
      </c>
      <c r="B7909">
        <v>1.0309999999999999</v>
      </c>
      <c r="C7909" t="str">
        <f t="shared" si="128"/>
        <v>1991 q1</v>
      </c>
    </row>
    <row r="7910" spans="1:3">
      <c r="A7910" s="62">
        <v>33263</v>
      </c>
      <c r="B7910">
        <v>1.042</v>
      </c>
      <c r="C7910" t="str">
        <f t="shared" si="128"/>
        <v>1991 q1</v>
      </c>
    </row>
    <row r="7911" spans="1:3">
      <c r="A7911" s="62">
        <v>33266</v>
      </c>
      <c r="B7911">
        <v>1.0549999999999999</v>
      </c>
      <c r="C7911" t="str">
        <f t="shared" si="128"/>
        <v>1991 q1</v>
      </c>
    </row>
    <row r="7912" spans="1:3">
      <c r="A7912" s="62">
        <v>33267</v>
      </c>
      <c r="B7912">
        <v>1.0535000000000001</v>
      </c>
      <c r="C7912" t="str">
        <f t="shared" si="128"/>
        <v>1991 q1</v>
      </c>
    </row>
    <row r="7913" spans="1:3">
      <c r="A7913" s="62">
        <v>33268</v>
      </c>
      <c r="B7913">
        <v>1.0669999999999999</v>
      </c>
      <c r="C7913" t="str">
        <f t="shared" si="128"/>
        <v>1991 q1</v>
      </c>
    </row>
    <row r="7914" spans="1:3">
      <c r="A7914" s="62">
        <v>33269</v>
      </c>
      <c r="B7914">
        <v>1.0640000000000001</v>
      </c>
      <c r="C7914" t="str">
        <f t="shared" si="128"/>
        <v>1991 q1</v>
      </c>
    </row>
    <row r="7915" spans="1:3">
      <c r="A7915" s="62">
        <v>33270</v>
      </c>
      <c r="B7915">
        <v>1.0669999999999999</v>
      </c>
      <c r="C7915" t="str">
        <f t="shared" si="128"/>
        <v>1991 q1</v>
      </c>
    </row>
    <row r="7916" spans="1:3">
      <c r="A7916" s="62">
        <v>33273</v>
      </c>
      <c r="B7916">
        <v>1.0580000000000001</v>
      </c>
      <c r="C7916" t="str">
        <f t="shared" si="128"/>
        <v>1991 q1</v>
      </c>
    </row>
    <row r="7917" spans="1:3">
      <c r="A7917" s="62">
        <v>33274</v>
      </c>
      <c r="B7917">
        <v>1.0674999999999999</v>
      </c>
      <c r="C7917" t="str">
        <f t="shared" si="128"/>
        <v>1991 q1</v>
      </c>
    </row>
    <row r="7918" spans="1:3">
      <c r="A7918" s="62">
        <v>33275</v>
      </c>
      <c r="B7918">
        <v>1.0780000000000001</v>
      </c>
      <c r="C7918" t="str">
        <f t="shared" si="128"/>
        <v>1991 q1</v>
      </c>
    </row>
    <row r="7919" spans="1:3">
      <c r="A7919" s="62">
        <v>33276</v>
      </c>
      <c r="B7919">
        <v>1.0745</v>
      </c>
      <c r="C7919" t="str">
        <f t="shared" si="128"/>
        <v>1991 q1</v>
      </c>
    </row>
    <row r="7920" spans="1:3">
      <c r="A7920" s="62">
        <v>33277</v>
      </c>
      <c r="B7920">
        <v>1.0945</v>
      </c>
      <c r="C7920" t="str">
        <f t="shared" si="128"/>
        <v>1991 q1</v>
      </c>
    </row>
    <row r="7921" spans="1:3">
      <c r="A7921" s="62">
        <v>33280</v>
      </c>
      <c r="B7921">
        <v>1.101</v>
      </c>
      <c r="C7921" t="str">
        <f t="shared" si="128"/>
        <v>1991 q1</v>
      </c>
    </row>
    <row r="7922" spans="1:3">
      <c r="A7922" s="62">
        <v>33281</v>
      </c>
      <c r="B7922">
        <v>1.1000000000000001</v>
      </c>
      <c r="C7922" t="str">
        <f t="shared" si="128"/>
        <v>1991 q1</v>
      </c>
    </row>
    <row r="7923" spans="1:3">
      <c r="A7923" s="62">
        <v>33282</v>
      </c>
      <c r="B7923">
        <v>1.1094999999999999</v>
      </c>
      <c r="C7923" t="str">
        <f t="shared" si="128"/>
        <v>1991 q1</v>
      </c>
    </row>
    <row r="7924" spans="1:3">
      <c r="A7924" s="62">
        <v>33283</v>
      </c>
      <c r="B7924">
        <v>1.0960000000000001</v>
      </c>
      <c r="C7924" t="str">
        <f t="shared" si="128"/>
        <v>1991 q1</v>
      </c>
    </row>
    <row r="7925" spans="1:3">
      <c r="A7925" s="62">
        <v>33284</v>
      </c>
      <c r="B7925">
        <v>1.1080000000000001</v>
      </c>
      <c r="C7925" t="str">
        <f t="shared" si="128"/>
        <v>1991 q1</v>
      </c>
    </row>
    <row r="7926" spans="1:3">
      <c r="A7926" s="62">
        <v>33288</v>
      </c>
      <c r="B7926">
        <v>1.1005</v>
      </c>
      <c r="C7926" t="str">
        <f t="shared" si="128"/>
        <v>1991 q1</v>
      </c>
    </row>
    <row r="7927" spans="1:3">
      <c r="A7927" s="62">
        <v>33289</v>
      </c>
      <c r="B7927">
        <v>1.0940000000000001</v>
      </c>
      <c r="C7927" t="str">
        <f t="shared" si="128"/>
        <v>1991 q1</v>
      </c>
    </row>
    <row r="7928" spans="1:3">
      <c r="A7928" s="62">
        <v>33290</v>
      </c>
      <c r="B7928">
        <v>1.1114999999999999</v>
      </c>
      <c r="C7928" t="str">
        <f t="shared" si="128"/>
        <v>1991 q1</v>
      </c>
    </row>
    <row r="7929" spans="1:3">
      <c r="A7929" s="62">
        <v>33291</v>
      </c>
      <c r="B7929">
        <v>1.1054999999999999</v>
      </c>
      <c r="C7929" t="str">
        <f t="shared" si="128"/>
        <v>1991 q1</v>
      </c>
    </row>
    <row r="7930" spans="1:3">
      <c r="A7930" s="62">
        <v>33294</v>
      </c>
      <c r="B7930">
        <v>1.1282000000000001</v>
      </c>
      <c r="C7930" t="str">
        <f t="shared" si="128"/>
        <v>1991 q1</v>
      </c>
    </row>
    <row r="7931" spans="1:3">
      <c r="A7931" s="62">
        <v>33295</v>
      </c>
      <c r="B7931">
        <v>1.1106</v>
      </c>
      <c r="C7931" t="str">
        <f t="shared" si="128"/>
        <v>1991 q1</v>
      </c>
    </row>
    <row r="7932" spans="1:3">
      <c r="A7932" s="62">
        <v>33296</v>
      </c>
      <c r="B7932">
        <v>1.1178999999999999</v>
      </c>
      <c r="C7932" t="str">
        <f t="shared" si="128"/>
        <v>1991 q1</v>
      </c>
    </row>
    <row r="7933" spans="1:3">
      <c r="A7933" s="62">
        <v>33297</v>
      </c>
      <c r="B7933">
        <v>1.1214</v>
      </c>
      <c r="C7933" t="str">
        <f t="shared" si="128"/>
        <v>1991 q1</v>
      </c>
    </row>
    <row r="7934" spans="1:3">
      <c r="A7934" s="62">
        <v>33298</v>
      </c>
      <c r="B7934">
        <v>1.109</v>
      </c>
      <c r="C7934" t="str">
        <f t="shared" si="128"/>
        <v>1991 q1</v>
      </c>
    </row>
    <row r="7935" spans="1:3">
      <c r="A7935" s="62">
        <v>33301</v>
      </c>
      <c r="B7935">
        <v>1.0994999999999999</v>
      </c>
      <c r="C7935" t="str">
        <f t="shared" si="128"/>
        <v>1991 q1</v>
      </c>
    </row>
    <row r="7936" spans="1:3">
      <c r="A7936" s="62">
        <v>33302</v>
      </c>
      <c r="B7936">
        <v>1.0974999999999999</v>
      </c>
      <c r="C7936" t="str">
        <f t="shared" si="128"/>
        <v>1991 q1</v>
      </c>
    </row>
    <row r="7937" spans="1:3">
      <c r="A7937" s="62">
        <v>33303</v>
      </c>
      <c r="B7937">
        <v>1.097</v>
      </c>
      <c r="C7937" t="str">
        <f t="shared" si="128"/>
        <v>1991 q1</v>
      </c>
    </row>
    <row r="7938" spans="1:3">
      <c r="A7938" s="62">
        <v>33304</v>
      </c>
      <c r="B7938">
        <v>1.0960000000000001</v>
      </c>
      <c r="C7938" t="str">
        <f t="shared" si="128"/>
        <v>1991 q1</v>
      </c>
    </row>
    <row r="7939" spans="1:3">
      <c r="A7939" s="62">
        <v>33305</v>
      </c>
      <c r="B7939">
        <v>1.0985</v>
      </c>
      <c r="C7939" t="str">
        <f t="shared" si="128"/>
        <v>1991 q1</v>
      </c>
    </row>
    <row r="7940" spans="1:3">
      <c r="A7940" s="62">
        <v>33308</v>
      </c>
      <c r="B7940">
        <v>1.075</v>
      </c>
      <c r="C7940" t="str">
        <f t="shared" si="128"/>
        <v>1991 q1</v>
      </c>
    </row>
    <row r="7941" spans="1:3">
      <c r="A7941" s="62">
        <v>33309</v>
      </c>
      <c r="B7941">
        <v>1.0825</v>
      </c>
      <c r="C7941" t="str">
        <f t="shared" si="128"/>
        <v>1991 q1</v>
      </c>
    </row>
    <row r="7942" spans="1:3">
      <c r="A7942" s="62">
        <v>33310</v>
      </c>
      <c r="B7942">
        <v>1.077</v>
      </c>
      <c r="C7942" t="str">
        <f t="shared" si="128"/>
        <v>1991 q1</v>
      </c>
    </row>
    <row r="7943" spans="1:3">
      <c r="A7943" s="62">
        <v>33311</v>
      </c>
      <c r="B7943">
        <v>1.073</v>
      </c>
      <c r="C7943" t="str">
        <f t="shared" si="128"/>
        <v>1991 q1</v>
      </c>
    </row>
    <row r="7944" spans="1:3">
      <c r="A7944" s="62">
        <v>33312</v>
      </c>
      <c r="B7944">
        <v>1.071</v>
      </c>
      <c r="C7944" t="str">
        <f t="shared" si="128"/>
        <v>1991 q1</v>
      </c>
    </row>
    <row r="7945" spans="1:3">
      <c r="A7945" s="62">
        <v>33315</v>
      </c>
      <c r="B7945">
        <v>1.0605</v>
      </c>
      <c r="C7945" t="str">
        <f t="shared" si="128"/>
        <v>1991 q1</v>
      </c>
    </row>
    <row r="7946" spans="1:3">
      <c r="A7946" s="62">
        <v>33316</v>
      </c>
      <c r="B7946">
        <v>1.0595000000000001</v>
      </c>
      <c r="C7946" t="str">
        <f t="shared" si="128"/>
        <v>1991 q1</v>
      </c>
    </row>
    <row r="7947" spans="1:3">
      <c r="A7947" s="62">
        <v>33317</v>
      </c>
      <c r="B7947">
        <v>1.0629999999999999</v>
      </c>
      <c r="C7947" t="str">
        <f t="shared" si="128"/>
        <v>1991 q1</v>
      </c>
    </row>
    <row r="7948" spans="1:3">
      <c r="A7948" s="62">
        <v>33318</v>
      </c>
      <c r="B7948">
        <v>1.0745</v>
      </c>
      <c r="C7948" t="str">
        <f t="shared" si="128"/>
        <v>1991 q1</v>
      </c>
    </row>
    <row r="7949" spans="1:3">
      <c r="A7949" s="62">
        <v>33319</v>
      </c>
      <c r="B7949">
        <v>1.0660000000000001</v>
      </c>
      <c r="C7949" t="str">
        <f t="shared" si="128"/>
        <v>1991 q1</v>
      </c>
    </row>
    <row r="7950" spans="1:3">
      <c r="A7950" s="62">
        <v>33322</v>
      </c>
      <c r="B7950">
        <v>1.0620000000000001</v>
      </c>
      <c r="C7950" t="str">
        <f t="shared" si="128"/>
        <v>1991 q1</v>
      </c>
    </row>
    <row r="7951" spans="1:3">
      <c r="A7951" s="62">
        <v>33323</v>
      </c>
      <c r="B7951">
        <v>1.069</v>
      </c>
      <c r="C7951" t="str">
        <f t="shared" si="128"/>
        <v>1991 q1</v>
      </c>
    </row>
    <row r="7952" spans="1:3">
      <c r="A7952" s="62">
        <v>33324</v>
      </c>
      <c r="B7952">
        <v>1.0629999999999999</v>
      </c>
      <c r="C7952" t="str">
        <f t="shared" si="128"/>
        <v>1991 q1</v>
      </c>
    </row>
    <row r="7953" spans="1:3">
      <c r="A7953" s="62">
        <v>33325</v>
      </c>
      <c r="B7953">
        <v>1.0620000000000001</v>
      </c>
      <c r="C7953" t="str">
        <f t="shared" si="128"/>
        <v>1991 q1</v>
      </c>
    </row>
    <row r="7954" spans="1:3">
      <c r="A7954" s="62">
        <v>33329</v>
      </c>
      <c r="B7954">
        <v>1.0629999999999999</v>
      </c>
      <c r="C7954" t="str">
        <f t="shared" ref="C7954:C8017" si="129">YEAR(A7954)&amp;" q"&amp;ROUNDUP(MONTH(A7954)/3,0)</f>
        <v>1991 q2</v>
      </c>
    </row>
    <row r="7955" spans="1:3">
      <c r="A7955" s="62">
        <v>33330</v>
      </c>
      <c r="B7955">
        <v>1.097</v>
      </c>
      <c r="C7955" t="str">
        <f t="shared" si="129"/>
        <v>1991 q2</v>
      </c>
    </row>
    <row r="7956" spans="1:3">
      <c r="A7956" s="62">
        <v>33331</v>
      </c>
      <c r="B7956">
        <v>1.0900000000000001</v>
      </c>
      <c r="C7956" t="str">
        <f t="shared" si="129"/>
        <v>1991 q2</v>
      </c>
    </row>
    <row r="7957" spans="1:3">
      <c r="A7957" s="62">
        <v>33332</v>
      </c>
      <c r="B7957">
        <v>1.0934999999999999</v>
      </c>
      <c r="C7957" t="str">
        <f t="shared" si="129"/>
        <v>1991 q2</v>
      </c>
    </row>
    <row r="7958" spans="1:3">
      <c r="A7958" s="62">
        <v>33333</v>
      </c>
      <c r="B7958">
        <v>1.0840000000000001</v>
      </c>
      <c r="C7958" t="str">
        <f t="shared" si="129"/>
        <v>1991 q2</v>
      </c>
    </row>
    <row r="7959" spans="1:3">
      <c r="A7959" s="62">
        <v>33336</v>
      </c>
      <c r="B7959">
        <v>1.0760000000000001</v>
      </c>
      <c r="C7959" t="str">
        <f t="shared" si="129"/>
        <v>1991 q2</v>
      </c>
    </row>
    <row r="7960" spans="1:3">
      <c r="A7960" s="62">
        <v>33337</v>
      </c>
      <c r="B7960">
        <v>1.0714999999999999</v>
      </c>
      <c r="C7960" t="str">
        <f t="shared" si="129"/>
        <v>1991 q2</v>
      </c>
    </row>
    <row r="7961" spans="1:3">
      <c r="A7961" s="62">
        <v>33338</v>
      </c>
      <c r="B7961">
        <v>1.0900000000000001</v>
      </c>
      <c r="C7961" t="str">
        <f t="shared" si="129"/>
        <v>1991 q2</v>
      </c>
    </row>
    <row r="7962" spans="1:3">
      <c r="A7962" s="62">
        <v>33339</v>
      </c>
      <c r="B7962">
        <v>1.087</v>
      </c>
      <c r="C7962" t="str">
        <f t="shared" si="129"/>
        <v>1991 q2</v>
      </c>
    </row>
    <row r="7963" spans="1:3">
      <c r="A7963" s="62">
        <v>33340</v>
      </c>
      <c r="B7963">
        <v>1.087</v>
      </c>
      <c r="C7963" t="str">
        <f t="shared" si="129"/>
        <v>1991 q2</v>
      </c>
    </row>
    <row r="7964" spans="1:3">
      <c r="A7964" s="62">
        <v>33343</v>
      </c>
      <c r="B7964">
        <v>1.083</v>
      </c>
      <c r="C7964" t="str">
        <f t="shared" si="129"/>
        <v>1991 q2</v>
      </c>
    </row>
    <row r="7965" spans="1:3">
      <c r="A7965" s="62">
        <v>33344</v>
      </c>
      <c r="B7965">
        <v>1.0854999999999999</v>
      </c>
      <c r="C7965" t="str">
        <f t="shared" si="129"/>
        <v>1991 q2</v>
      </c>
    </row>
    <row r="7966" spans="1:3">
      <c r="A7966" s="62">
        <v>33345</v>
      </c>
      <c r="B7966">
        <v>1.1100000000000001</v>
      </c>
      <c r="C7966" t="str">
        <f t="shared" si="129"/>
        <v>1991 q2</v>
      </c>
    </row>
    <row r="7967" spans="1:3">
      <c r="A7967" s="62">
        <v>33346</v>
      </c>
      <c r="B7967">
        <v>1.1140000000000001</v>
      </c>
      <c r="C7967" t="str">
        <f t="shared" si="129"/>
        <v>1991 q2</v>
      </c>
    </row>
    <row r="7968" spans="1:3">
      <c r="A7968" s="62">
        <v>33347</v>
      </c>
      <c r="B7968">
        <v>1.1085</v>
      </c>
      <c r="C7968" t="str">
        <f t="shared" si="129"/>
        <v>1991 q2</v>
      </c>
    </row>
    <row r="7969" spans="1:3">
      <c r="A7969" s="62">
        <v>33350</v>
      </c>
      <c r="B7969">
        <v>1.1025</v>
      </c>
      <c r="C7969" t="str">
        <f t="shared" si="129"/>
        <v>1991 q2</v>
      </c>
    </row>
    <row r="7970" spans="1:3">
      <c r="A7970" s="62">
        <v>33351</v>
      </c>
      <c r="B7970">
        <v>1.087</v>
      </c>
      <c r="C7970" t="str">
        <f t="shared" si="129"/>
        <v>1991 q2</v>
      </c>
    </row>
    <row r="7971" spans="1:3">
      <c r="A7971" s="62">
        <v>33352</v>
      </c>
      <c r="B7971">
        <v>1.0905</v>
      </c>
      <c r="C7971" t="str">
        <f t="shared" si="129"/>
        <v>1991 q2</v>
      </c>
    </row>
    <row r="7972" spans="1:3">
      <c r="A7972" s="62">
        <v>33353</v>
      </c>
      <c r="B7972">
        <v>1.0793999999999999</v>
      </c>
      <c r="C7972" t="str">
        <f t="shared" si="129"/>
        <v>1991 q2</v>
      </c>
    </row>
    <row r="7973" spans="1:3">
      <c r="A7973" s="62">
        <v>33354</v>
      </c>
      <c r="B7973">
        <v>1.0692999999999999</v>
      </c>
      <c r="C7973" t="str">
        <f t="shared" si="129"/>
        <v>1991 q2</v>
      </c>
    </row>
    <row r="7974" spans="1:3">
      <c r="A7974" s="62">
        <v>33357</v>
      </c>
      <c r="B7974">
        <v>1.0744</v>
      </c>
      <c r="C7974" t="str">
        <f t="shared" si="129"/>
        <v>1991 q2</v>
      </c>
    </row>
    <row r="7975" spans="1:3">
      <c r="A7975" s="62">
        <v>33358</v>
      </c>
      <c r="B7975">
        <v>1.0526</v>
      </c>
      <c r="C7975" t="str">
        <f t="shared" si="129"/>
        <v>1991 q2</v>
      </c>
    </row>
    <row r="7976" spans="1:3">
      <c r="A7976" s="62">
        <v>33359</v>
      </c>
      <c r="B7976">
        <v>1.0505</v>
      </c>
      <c r="C7976" t="str">
        <f t="shared" si="129"/>
        <v>1991 q2</v>
      </c>
    </row>
    <row r="7977" spans="1:3">
      <c r="A7977" s="62">
        <v>33360</v>
      </c>
      <c r="B7977">
        <v>1.0545</v>
      </c>
      <c r="C7977" t="str">
        <f t="shared" si="129"/>
        <v>1991 q2</v>
      </c>
    </row>
    <row r="7978" spans="1:3">
      <c r="A7978" s="62">
        <v>33361</v>
      </c>
      <c r="B7978">
        <v>1.0205</v>
      </c>
      <c r="C7978" t="str">
        <f t="shared" si="129"/>
        <v>1991 q2</v>
      </c>
    </row>
    <row r="7979" spans="1:3">
      <c r="A7979" s="62">
        <v>33364</v>
      </c>
      <c r="B7979">
        <v>1.012</v>
      </c>
      <c r="C7979" t="str">
        <f t="shared" si="129"/>
        <v>1991 q2</v>
      </c>
    </row>
    <row r="7980" spans="1:3">
      <c r="A7980" s="62">
        <v>33365</v>
      </c>
      <c r="B7980">
        <v>1.0209999999999999</v>
      </c>
      <c r="C7980" t="str">
        <f t="shared" si="129"/>
        <v>1991 q2</v>
      </c>
    </row>
    <row r="7981" spans="1:3">
      <c r="A7981" s="62">
        <v>33366</v>
      </c>
      <c r="B7981">
        <v>1.0249999999999999</v>
      </c>
      <c r="C7981" t="str">
        <f t="shared" si="129"/>
        <v>1991 q2</v>
      </c>
    </row>
    <row r="7982" spans="1:3">
      <c r="A7982" s="62">
        <v>33367</v>
      </c>
      <c r="B7982">
        <v>1.022</v>
      </c>
      <c r="C7982" t="str">
        <f t="shared" si="129"/>
        <v>1991 q2</v>
      </c>
    </row>
    <row r="7983" spans="1:3">
      <c r="A7983" s="62">
        <v>33368</v>
      </c>
      <c r="B7983">
        <v>1.0225</v>
      </c>
      <c r="C7983" t="str">
        <f t="shared" si="129"/>
        <v>1991 q2</v>
      </c>
    </row>
    <row r="7984" spans="1:3">
      <c r="A7984" s="62">
        <v>33371</v>
      </c>
      <c r="B7984">
        <v>0.99250000000000005</v>
      </c>
      <c r="C7984" t="str">
        <f t="shared" si="129"/>
        <v>1991 q2</v>
      </c>
    </row>
    <row r="7985" spans="1:3">
      <c r="A7985" s="62">
        <v>33372</v>
      </c>
      <c r="B7985">
        <v>0.97499999999999998</v>
      </c>
      <c r="C7985" t="str">
        <f t="shared" si="129"/>
        <v>1991 q2</v>
      </c>
    </row>
    <row r="7986" spans="1:3">
      <c r="A7986" s="62">
        <v>33373</v>
      </c>
      <c r="B7986">
        <v>0.98899999999999999</v>
      </c>
      <c r="C7986" t="str">
        <f t="shared" si="129"/>
        <v>1991 q2</v>
      </c>
    </row>
    <row r="7987" spans="1:3">
      <c r="A7987" s="62">
        <v>33374</v>
      </c>
      <c r="B7987">
        <v>0.98199999999999998</v>
      </c>
      <c r="C7987" t="str">
        <f t="shared" si="129"/>
        <v>1991 q2</v>
      </c>
    </row>
    <row r="7988" spans="1:3">
      <c r="A7988" s="62">
        <v>33375</v>
      </c>
      <c r="B7988">
        <v>0.98</v>
      </c>
      <c r="C7988" t="str">
        <f t="shared" si="129"/>
        <v>1991 q2</v>
      </c>
    </row>
    <row r="7989" spans="1:3">
      <c r="A7989" s="62">
        <v>33378</v>
      </c>
      <c r="B7989">
        <v>0.98799999999999999</v>
      </c>
      <c r="C7989" t="str">
        <f t="shared" si="129"/>
        <v>1991 q2</v>
      </c>
    </row>
    <row r="7990" spans="1:3">
      <c r="A7990" s="62">
        <v>33379</v>
      </c>
      <c r="B7990">
        <v>0.995</v>
      </c>
      <c r="C7990" t="str">
        <f t="shared" si="129"/>
        <v>1991 q2</v>
      </c>
    </row>
    <row r="7991" spans="1:3">
      <c r="A7991" s="62">
        <v>33380</v>
      </c>
      <c r="B7991">
        <v>0.98550000000000004</v>
      </c>
      <c r="C7991" t="str">
        <f t="shared" si="129"/>
        <v>1991 q2</v>
      </c>
    </row>
    <row r="7992" spans="1:3">
      <c r="A7992" s="62">
        <v>33381</v>
      </c>
      <c r="B7992">
        <v>0.99199999999999999</v>
      </c>
      <c r="C7992" t="str">
        <f t="shared" si="129"/>
        <v>1991 q2</v>
      </c>
    </row>
    <row r="7993" spans="1:3">
      <c r="A7993" s="62">
        <v>33382</v>
      </c>
      <c r="B7993">
        <v>0.99099999999999999</v>
      </c>
      <c r="C7993" t="str">
        <f t="shared" si="129"/>
        <v>1991 q2</v>
      </c>
    </row>
    <row r="7994" spans="1:3">
      <c r="A7994" s="62">
        <v>33386</v>
      </c>
      <c r="B7994">
        <v>0.99199999999999999</v>
      </c>
      <c r="C7994" t="str">
        <f t="shared" si="129"/>
        <v>1991 q2</v>
      </c>
    </row>
    <row r="7995" spans="1:3">
      <c r="A7995" s="62">
        <v>33387</v>
      </c>
      <c r="B7995">
        <v>0.98199999999999998</v>
      </c>
      <c r="C7995" t="str">
        <f t="shared" si="129"/>
        <v>1991 q2</v>
      </c>
    </row>
    <row r="7996" spans="1:3">
      <c r="A7996" s="62">
        <v>33388</v>
      </c>
      <c r="B7996">
        <v>0.96650000000000003</v>
      </c>
      <c r="C7996" t="str">
        <f t="shared" si="129"/>
        <v>1991 q2</v>
      </c>
    </row>
    <row r="7997" spans="1:3">
      <c r="A7997" s="62">
        <v>33389</v>
      </c>
      <c r="B7997">
        <v>0.96850000000000003</v>
      </c>
      <c r="C7997" t="str">
        <f t="shared" si="129"/>
        <v>1991 q2</v>
      </c>
    </row>
    <row r="7998" spans="1:3">
      <c r="A7998" s="62">
        <v>33392</v>
      </c>
      <c r="B7998">
        <v>0.97299999999999998</v>
      </c>
      <c r="C7998" t="str">
        <f t="shared" si="129"/>
        <v>1991 q2</v>
      </c>
    </row>
    <row r="7999" spans="1:3">
      <c r="A7999" s="62">
        <v>33393</v>
      </c>
      <c r="B7999">
        <v>0.99399999999999999</v>
      </c>
      <c r="C7999" t="str">
        <f t="shared" si="129"/>
        <v>1991 q2</v>
      </c>
    </row>
    <row r="8000" spans="1:3">
      <c r="A8000" s="62">
        <v>33394</v>
      </c>
      <c r="B8000">
        <v>1.012</v>
      </c>
      <c r="C8000" t="str">
        <f t="shared" si="129"/>
        <v>1991 q2</v>
      </c>
    </row>
    <row r="8001" spans="1:3">
      <c r="A8001" s="62">
        <v>33395</v>
      </c>
      <c r="B8001">
        <v>0.997</v>
      </c>
      <c r="C8001" t="str">
        <f t="shared" si="129"/>
        <v>1991 q2</v>
      </c>
    </row>
    <row r="8002" spans="1:3">
      <c r="A8002" s="62">
        <v>33396</v>
      </c>
      <c r="B8002">
        <v>0.996</v>
      </c>
      <c r="C8002" t="str">
        <f t="shared" si="129"/>
        <v>1991 q2</v>
      </c>
    </row>
    <row r="8003" spans="1:3">
      <c r="A8003" s="62">
        <v>33399</v>
      </c>
      <c r="B8003">
        <v>0.99199999999999999</v>
      </c>
      <c r="C8003" t="str">
        <f t="shared" si="129"/>
        <v>1991 q2</v>
      </c>
    </row>
    <row r="8004" spans="1:3">
      <c r="A8004" s="62">
        <v>33400</v>
      </c>
      <c r="B8004">
        <v>1.0069999999999999</v>
      </c>
      <c r="C8004" t="str">
        <f t="shared" si="129"/>
        <v>1991 q2</v>
      </c>
    </row>
    <row r="8005" spans="1:3">
      <c r="A8005" s="62">
        <v>33401</v>
      </c>
      <c r="B8005">
        <v>0.98750000000000004</v>
      </c>
      <c r="C8005" t="str">
        <f t="shared" si="129"/>
        <v>1991 q2</v>
      </c>
    </row>
    <row r="8006" spans="1:3">
      <c r="A8006" s="62">
        <v>33402</v>
      </c>
      <c r="B8006">
        <v>0.99150000000000005</v>
      </c>
      <c r="C8006" t="str">
        <f t="shared" si="129"/>
        <v>1991 q2</v>
      </c>
    </row>
    <row r="8007" spans="1:3">
      <c r="A8007" s="62">
        <v>33403</v>
      </c>
      <c r="B8007">
        <v>0.98950000000000005</v>
      </c>
      <c r="C8007" t="str">
        <f t="shared" si="129"/>
        <v>1991 q2</v>
      </c>
    </row>
    <row r="8008" spans="1:3">
      <c r="A8008" s="62">
        <v>33406</v>
      </c>
      <c r="B8008">
        <v>0.98750000000000004</v>
      </c>
      <c r="C8008" t="str">
        <f t="shared" si="129"/>
        <v>1991 q2</v>
      </c>
    </row>
    <row r="8009" spans="1:3">
      <c r="A8009" s="62">
        <v>33407</v>
      </c>
      <c r="B8009">
        <v>0.99050000000000005</v>
      </c>
      <c r="C8009" t="str">
        <f t="shared" si="129"/>
        <v>1991 q2</v>
      </c>
    </row>
    <row r="8010" spans="1:3">
      <c r="A8010" s="62">
        <v>33408</v>
      </c>
      <c r="B8010">
        <v>0.99250000000000005</v>
      </c>
      <c r="C8010" t="str">
        <f t="shared" si="129"/>
        <v>1991 q2</v>
      </c>
    </row>
    <row r="8011" spans="1:3">
      <c r="A8011" s="62">
        <v>33409</v>
      </c>
      <c r="B8011">
        <v>1.008</v>
      </c>
      <c r="C8011" t="str">
        <f t="shared" si="129"/>
        <v>1991 q2</v>
      </c>
    </row>
    <row r="8012" spans="1:3">
      <c r="A8012" s="62">
        <v>33410</v>
      </c>
      <c r="B8012">
        <v>1.0089999999999999</v>
      </c>
      <c r="C8012" t="str">
        <f t="shared" si="129"/>
        <v>1991 q2</v>
      </c>
    </row>
    <row r="8013" spans="1:3">
      <c r="A8013" s="62">
        <v>33413</v>
      </c>
      <c r="B8013">
        <v>1</v>
      </c>
      <c r="C8013" t="str">
        <f t="shared" si="129"/>
        <v>1991 q2</v>
      </c>
    </row>
    <row r="8014" spans="1:3">
      <c r="A8014" s="62">
        <v>33414</v>
      </c>
      <c r="B8014">
        <v>1.0128999999999999</v>
      </c>
      <c r="C8014" t="str">
        <f t="shared" si="129"/>
        <v>1991 q2</v>
      </c>
    </row>
    <row r="8015" spans="1:3">
      <c r="A8015" s="62">
        <v>33415</v>
      </c>
      <c r="B8015">
        <v>1.0146999999999999</v>
      </c>
      <c r="C8015" t="str">
        <f t="shared" si="129"/>
        <v>1991 q2</v>
      </c>
    </row>
    <row r="8016" spans="1:3">
      <c r="A8016" s="62">
        <v>33416</v>
      </c>
      <c r="B8016">
        <v>0.995</v>
      </c>
      <c r="C8016" t="str">
        <f t="shared" si="129"/>
        <v>1991 q2</v>
      </c>
    </row>
    <row r="8017" spans="1:3">
      <c r="A8017" s="62">
        <v>33417</v>
      </c>
      <c r="B8017">
        <v>1.0032000000000001</v>
      </c>
      <c r="C8017" t="str">
        <f t="shared" si="129"/>
        <v>1991 q2</v>
      </c>
    </row>
    <row r="8018" spans="1:3">
      <c r="A8018" s="62">
        <v>33420</v>
      </c>
      <c r="B8018">
        <v>1.012</v>
      </c>
      <c r="C8018" t="str">
        <f t="shared" ref="C8018:C8081" si="130">YEAR(A8018)&amp;" q"&amp;ROUNDUP(MONTH(A8018)/3,0)</f>
        <v>1991 q3</v>
      </c>
    </row>
    <row r="8019" spans="1:3">
      <c r="A8019" s="62">
        <v>33421</v>
      </c>
      <c r="B8019">
        <v>1.0345</v>
      </c>
      <c r="C8019" t="str">
        <f t="shared" si="130"/>
        <v>1991 q3</v>
      </c>
    </row>
    <row r="8020" spans="1:3">
      <c r="A8020" s="62">
        <v>33422</v>
      </c>
      <c r="B8020">
        <v>1.0155000000000001</v>
      </c>
      <c r="C8020" t="str">
        <f t="shared" si="130"/>
        <v>1991 q3</v>
      </c>
    </row>
    <row r="8021" spans="1:3">
      <c r="A8021" s="62">
        <v>33427</v>
      </c>
      <c r="B8021">
        <v>1.0155000000000001</v>
      </c>
      <c r="C8021" t="str">
        <f t="shared" si="130"/>
        <v>1991 q3</v>
      </c>
    </row>
    <row r="8022" spans="1:3">
      <c r="A8022" s="62">
        <v>33428</v>
      </c>
      <c r="B8022">
        <v>1.008</v>
      </c>
      <c r="C8022" t="str">
        <f t="shared" si="130"/>
        <v>1991 q3</v>
      </c>
    </row>
    <row r="8023" spans="1:3">
      <c r="A8023" s="62">
        <v>33429</v>
      </c>
      <c r="B8023">
        <v>0.99099999999999999</v>
      </c>
      <c r="C8023" t="str">
        <f t="shared" si="130"/>
        <v>1991 q3</v>
      </c>
    </row>
    <row r="8024" spans="1:3">
      <c r="A8024" s="62">
        <v>33430</v>
      </c>
      <c r="B8024">
        <v>0.97899999999999998</v>
      </c>
      <c r="C8024" t="str">
        <f t="shared" si="130"/>
        <v>1991 q3</v>
      </c>
    </row>
    <row r="8025" spans="1:3">
      <c r="A8025" s="62">
        <v>33431</v>
      </c>
      <c r="B8025">
        <v>0.98499999999999999</v>
      </c>
      <c r="C8025" t="str">
        <f t="shared" si="130"/>
        <v>1991 q3</v>
      </c>
    </row>
    <row r="8026" spans="1:3">
      <c r="A8026" s="62">
        <v>33434</v>
      </c>
      <c r="B8026">
        <v>0.98250000000000004</v>
      </c>
      <c r="C8026" t="str">
        <f t="shared" si="130"/>
        <v>1991 q3</v>
      </c>
    </row>
    <row r="8027" spans="1:3">
      <c r="A8027" s="62">
        <v>33435</v>
      </c>
      <c r="B8027">
        <v>0.98650000000000004</v>
      </c>
      <c r="C8027" t="str">
        <f t="shared" si="130"/>
        <v>1991 q3</v>
      </c>
    </row>
    <row r="8028" spans="1:3">
      <c r="A8028" s="62">
        <v>33436</v>
      </c>
      <c r="B8028">
        <v>0.99199999999999999</v>
      </c>
      <c r="C8028" t="str">
        <f t="shared" si="130"/>
        <v>1991 q3</v>
      </c>
    </row>
    <row r="8029" spans="1:3">
      <c r="A8029" s="62">
        <v>33437</v>
      </c>
      <c r="B8029">
        <v>0.98750000000000004</v>
      </c>
      <c r="C8029" t="str">
        <f t="shared" si="130"/>
        <v>1991 q3</v>
      </c>
    </row>
    <row r="8030" spans="1:3">
      <c r="A8030" s="62">
        <v>33438</v>
      </c>
      <c r="B8030">
        <v>0.998</v>
      </c>
      <c r="C8030" t="str">
        <f t="shared" si="130"/>
        <v>1991 q3</v>
      </c>
    </row>
    <row r="8031" spans="1:3">
      <c r="A8031" s="62">
        <v>33441</v>
      </c>
      <c r="B8031">
        <v>0.996</v>
      </c>
      <c r="C8031" t="str">
        <f t="shared" si="130"/>
        <v>1991 q3</v>
      </c>
    </row>
    <row r="8032" spans="1:3">
      <c r="A8032" s="62">
        <v>33442</v>
      </c>
      <c r="B8032">
        <v>0.995</v>
      </c>
      <c r="C8032" t="str">
        <f t="shared" si="130"/>
        <v>1991 q3</v>
      </c>
    </row>
    <row r="8033" spans="1:3">
      <c r="A8033" s="62">
        <v>33443</v>
      </c>
      <c r="B8033">
        <v>0.99050000000000005</v>
      </c>
      <c r="C8033" t="str">
        <f t="shared" si="130"/>
        <v>1991 q3</v>
      </c>
    </row>
    <row r="8034" spans="1:3">
      <c r="A8034" s="62">
        <v>33444</v>
      </c>
      <c r="B8034">
        <v>0.99850000000000005</v>
      </c>
      <c r="C8034" t="str">
        <f t="shared" si="130"/>
        <v>1991 q3</v>
      </c>
    </row>
    <row r="8035" spans="1:3">
      <c r="A8035" s="62">
        <v>33445</v>
      </c>
      <c r="B8035">
        <v>1.0115000000000001</v>
      </c>
      <c r="C8035" t="str">
        <f t="shared" si="130"/>
        <v>1991 q3</v>
      </c>
    </row>
    <row r="8036" spans="1:3">
      <c r="A8036" s="62">
        <v>33448</v>
      </c>
      <c r="B8036">
        <v>1.0069999999999999</v>
      </c>
      <c r="C8036" t="str">
        <f t="shared" si="130"/>
        <v>1991 q3</v>
      </c>
    </row>
    <row r="8037" spans="1:3">
      <c r="A8037" s="62">
        <v>33449</v>
      </c>
      <c r="B8037">
        <v>1.004</v>
      </c>
      <c r="C8037" t="str">
        <f t="shared" si="130"/>
        <v>1991 q3</v>
      </c>
    </row>
    <row r="8038" spans="1:3">
      <c r="A8038" s="62">
        <v>33450</v>
      </c>
      <c r="B8038">
        <v>1.0129999999999999</v>
      </c>
      <c r="C8038" t="str">
        <f t="shared" si="130"/>
        <v>1991 q3</v>
      </c>
    </row>
    <row r="8039" spans="1:3">
      <c r="A8039" s="62">
        <v>33451</v>
      </c>
      <c r="B8039">
        <v>1.008</v>
      </c>
      <c r="C8039" t="str">
        <f t="shared" si="130"/>
        <v>1991 q3</v>
      </c>
    </row>
    <row r="8040" spans="1:3">
      <c r="A8040" s="62">
        <v>33452</v>
      </c>
      <c r="B8040">
        <v>1.0075000000000001</v>
      </c>
      <c r="C8040" t="str">
        <f t="shared" si="130"/>
        <v>1991 q3</v>
      </c>
    </row>
    <row r="8041" spans="1:3">
      <c r="A8041" s="62">
        <v>33455</v>
      </c>
      <c r="B8041">
        <v>1.0145</v>
      </c>
      <c r="C8041" t="str">
        <f t="shared" si="130"/>
        <v>1991 q3</v>
      </c>
    </row>
    <row r="8042" spans="1:3">
      <c r="A8042" s="62">
        <v>33456</v>
      </c>
      <c r="B8042">
        <v>1.008</v>
      </c>
      <c r="C8042" t="str">
        <f t="shared" si="130"/>
        <v>1991 q3</v>
      </c>
    </row>
    <row r="8043" spans="1:3">
      <c r="A8043" s="62">
        <v>33457</v>
      </c>
      <c r="B8043">
        <v>1.0255000000000001</v>
      </c>
      <c r="C8043" t="str">
        <f t="shared" si="130"/>
        <v>1991 q3</v>
      </c>
    </row>
    <row r="8044" spans="1:3">
      <c r="A8044" s="62">
        <v>33458</v>
      </c>
      <c r="B8044">
        <v>1.0235000000000001</v>
      </c>
      <c r="C8044" t="str">
        <f t="shared" si="130"/>
        <v>1991 q3</v>
      </c>
    </row>
    <row r="8045" spans="1:3">
      <c r="A8045" s="62">
        <v>33459</v>
      </c>
      <c r="B8045">
        <v>1.0289999999999999</v>
      </c>
      <c r="C8045" t="str">
        <f t="shared" si="130"/>
        <v>1991 q3</v>
      </c>
    </row>
    <row r="8046" spans="1:3">
      <c r="A8046" s="62">
        <v>33462</v>
      </c>
      <c r="B8046">
        <v>1.008</v>
      </c>
      <c r="C8046" t="str">
        <f t="shared" si="130"/>
        <v>1991 q3</v>
      </c>
    </row>
    <row r="8047" spans="1:3">
      <c r="A8047" s="62">
        <v>33463</v>
      </c>
      <c r="B8047">
        <v>1.0135000000000001</v>
      </c>
      <c r="C8047" t="str">
        <f t="shared" si="130"/>
        <v>1991 q3</v>
      </c>
    </row>
    <row r="8048" spans="1:3">
      <c r="A8048" s="62">
        <v>33464</v>
      </c>
      <c r="B8048">
        <v>1.008</v>
      </c>
      <c r="C8048" t="str">
        <f t="shared" si="130"/>
        <v>1991 q3</v>
      </c>
    </row>
    <row r="8049" spans="1:3">
      <c r="A8049" s="62">
        <v>33465</v>
      </c>
      <c r="B8049">
        <v>1.0085</v>
      </c>
      <c r="C8049" t="str">
        <f t="shared" si="130"/>
        <v>1991 q3</v>
      </c>
    </row>
    <row r="8050" spans="1:3">
      <c r="A8050" s="62">
        <v>33466</v>
      </c>
      <c r="B8050">
        <v>0.99650000000000005</v>
      </c>
      <c r="C8050" t="str">
        <f t="shared" si="130"/>
        <v>1991 q3</v>
      </c>
    </row>
    <row r="8051" spans="1:3">
      <c r="A8051" s="62">
        <v>33469</v>
      </c>
      <c r="B8051">
        <v>0.99150000000000005</v>
      </c>
      <c r="C8051" t="str">
        <f t="shared" si="130"/>
        <v>1991 q3</v>
      </c>
    </row>
    <row r="8052" spans="1:3">
      <c r="A8052" s="62">
        <v>33470</v>
      </c>
      <c r="B8052">
        <v>0.99099999999999999</v>
      </c>
      <c r="C8052" t="str">
        <f t="shared" si="130"/>
        <v>1991 q3</v>
      </c>
    </row>
    <row r="8053" spans="1:3">
      <c r="A8053" s="62">
        <v>33471</v>
      </c>
      <c r="B8053">
        <v>1.0065</v>
      </c>
      <c r="C8053" t="str">
        <f t="shared" si="130"/>
        <v>1991 q3</v>
      </c>
    </row>
    <row r="8054" spans="1:3">
      <c r="A8054" s="62">
        <v>33472</v>
      </c>
      <c r="B8054">
        <v>1.008</v>
      </c>
      <c r="C8054" t="str">
        <f t="shared" si="130"/>
        <v>1991 q3</v>
      </c>
    </row>
    <row r="8055" spans="1:3">
      <c r="A8055" s="62">
        <v>33473</v>
      </c>
      <c r="B8055">
        <v>1.0109999999999999</v>
      </c>
      <c r="C8055" t="str">
        <f t="shared" si="130"/>
        <v>1991 q3</v>
      </c>
    </row>
    <row r="8056" spans="1:3">
      <c r="A8056" s="62">
        <v>33476</v>
      </c>
      <c r="B8056">
        <v>1.0115000000000001</v>
      </c>
      <c r="C8056" t="str">
        <f t="shared" si="130"/>
        <v>1991 q3</v>
      </c>
    </row>
    <row r="8057" spans="1:3">
      <c r="A8057" s="62">
        <v>33477</v>
      </c>
      <c r="B8057">
        <v>1.0268999999999999</v>
      </c>
      <c r="C8057" t="str">
        <f t="shared" si="130"/>
        <v>1991 q3</v>
      </c>
    </row>
    <row r="8058" spans="1:3">
      <c r="A8058" s="62">
        <v>33478</v>
      </c>
      <c r="B8058">
        <v>1.0325</v>
      </c>
      <c r="C8058" t="str">
        <f t="shared" si="130"/>
        <v>1991 q3</v>
      </c>
    </row>
    <row r="8059" spans="1:3">
      <c r="A8059" s="62">
        <v>33479</v>
      </c>
      <c r="B8059">
        <v>1.0319</v>
      </c>
      <c r="C8059" t="str">
        <f t="shared" si="130"/>
        <v>1991 q3</v>
      </c>
    </row>
    <row r="8060" spans="1:3">
      <c r="A8060" s="62">
        <v>33480</v>
      </c>
      <c r="B8060">
        <v>1.0338000000000001</v>
      </c>
      <c r="C8060" t="str">
        <f t="shared" si="130"/>
        <v>1991 q3</v>
      </c>
    </row>
    <row r="8061" spans="1:3">
      <c r="A8061" s="62">
        <v>33484</v>
      </c>
      <c r="B8061">
        <v>1.0329999999999999</v>
      </c>
      <c r="C8061" t="str">
        <f t="shared" si="130"/>
        <v>1991 q3</v>
      </c>
    </row>
    <row r="8062" spans="1:3">
      <c r="A8062" s="62">
        <v>33485</v>
      </c>
      <c r="B8062">
        <v>1.024</v>
      </c>
      <c r="C8062" t="str">
        <f t="shared" si="130"/>
        <v>1991 q3</v>
      </c>
    </row>
    <row r="8063" spans="1:3">
      <c r="A8063" s="62">
        <v>33486</v>
      </c>
      <c r="B8063">
        <v>1.0295000000000001</v>
      </c>
      <c r="C8063" t="str">
        <f t="shared" si="130"/>
        <v>1991 q3</v>
      </c>
    </row>
    <row r="8064" spans="1:3">
      <c r="A8064" s="62">
        <v>33487</v>
      </c>
      <c r="B8064">
        <v>1.0549999999999999</v>
      </c>
      <c r="C8064" t="str">
        <f t="shared" si="130"/>
        <v>1991 q3</v>
      </c>
    </row>
    <row r="8065" spans="1:3">
      <c r="A8065" s="62">
        <v>33490</v>
      </c>
      <c r="B8065">
        <v>1.0469999999999999</v>
      </c>
      <c r="C8065" t="str">
        <f t="shared" si="130"/>
        <v>1991 q3</v>
      </c>
    </row>
    <row r="8066" spans="1:3">
      <c r="A8066" s="62">
        <v>33491</v>
      </c>
      <c r="B8066">
        <v>1.0489999999999999</v>
      </c>
      <c r="C8066" t="str">
        <f t="shared" si="130"/>
        <v>1991 q3</v>
      </c>
    </row>
    <row r="8067" spans="1:3">
      <c r="A8067" s="62">
        <v>33492</v>
      </c>
      <c r="B8067">
        <v>1.0475000000000001</v>
      </c>
      <c r="C8067" t="str">
        <f t="shared" si="130"/>
        <v>1991 q3</v>
      </c>
    </row>
    <row r="8068" spans="1:3">
      <c r="A8068" s="62">
        <v>33493</v>
      </c>
      <c r="B8068">
        <v>1.0465</v>
      </c>
      <c r="C8068" t="str">
        <f t="shared" si="130"/>
        <v>1991 q3</v>
      </c>
    </row>
    <row r="8069" spans="1:3">
      <c r="A8069" s="62">
        <v>33494</v>
      </c>
      <c r="B8069">
        <v>1.0435000000000001</v>
      </c>
      <c r="C8069" t="str">
        <f t="shared" si="130"/>
        <v>1991 q3</v>
      </c>
    </row>
    <row r="8070" spans="1:3">
      <c r="A8070" s="62">
        <v>33497</v>
      </c>
      <c r="B8070">
        <v>1.0315000000000001</v>
      </c>
      <c r="C8070" t="str">
        <f t="shared" si="130"/>
        <v>1991 q3</v>
      </c>
    </row>
    <row r="8071" spans="1:3">
      <c r="A8071" s="62">
        <v>33498</v>
      </c>
      <c r="B8071">
        <v>1.0149999999999999</v>
      </c>
      <c r="C8071" t="str">
        <f t="shared" si="130"/>
        <v>1991 q3</v>
      </c>
    </row>
    <row r="8072" spans="1:3">
      <c r="A8072" s="62">
        <v>33499</v>
      </c>
      <c r="B8072">
        <v>1.0295000000000001</v>
      </c>
      <c r="C8072" t="str">
        <f t="shared" si="130"/>
        <v>1991 q3</v>
      </c>
    </row>
    <row r="8073" spans="1:3">
      <c r="A8073" s="62">
        <v>33500</v>
      </c>
      <c r="B8073">
        <v>1.032</v>
      </c>
      <c r="C8073" t="str">
        <f t="shared" si="130"/>
        <v>1991 q3</v>
      </c>
    </row>
    <row r="8074" spans="1:3">
      <c r="A8074" s="62">
        <v>33501</v>
      </c>
      <c r="B8074">
        <v>1.054</v>
      </c>
      <c r="C8074" t="str">
        <f t="shared" si="130"/>
        <v>1991 q3</v>
      </c>
    </row>
    <row r="8075" spans="1:3">
      <c r="A8075" s="62">
        <v>33504</v>
      </c>
      <c r="B8075">
        <v>1.0509999999999999</v>
      </c>
      <c r="C8075" t="str">
        <f t="shared" si="130"/>
        <v>1991 q3</v>
      </c>
    </row>
    <row r="8076" spans="1:3">
      <c r="A8076" s="62">
        <v>33505</v>
      </c>
      <c r="B8076">
        <v>1.0435000000000001</v>
      </c>
      <c r="C8076" t="str">
        <f t="shared" si="130"/>
        <v>1991 q3</v>
      </c>
    </row>
    <row r="8077" spans="1:3">
      <c r="A8077" s="62">
        <v>33506</v>
      </c>
      <c r="B8077">
        <v>1.0665</v>
      </c>
      <c r="C8077" t="str">
        <f t="shared" si="130"/>
        <v>1991 q3</v>
      </c>
    </row>
    <row r="8078" spans="1:3">
      <c r="A8078" s="62">
        <v>33507</v>
      </c>
      <c r="B8078">
        <v>1.0629999999999999</v>
      </c>
      <c r="C8078" t="str">
        <f t="shared" si="130"/>
        <v>1991 q3</v>
      </c>
    </row>
    <row r="8079" spans="1:3">
      <c r="A8079" s="62">
        <v>33508</v>
      </c>
      <c r="B8079">
        <v>1.0660000000000001</v>
      </c>
      <c r="C8079" t="str">
        <f t="shared" si="130"/>
        <v>1991 q3</v>
      </c>
    </row>
    <row r="8080" spans="1:3">
      <c r="A8080" s="62">
        <v>33511</v>
      </c>
      <c r="B8080">
        <v>1.048</v>
      </c>
      <c r="C8080" t="str">
        <f t="shared" si="130"/>
        <v>1991 q3</v>
      </c>
    </row>
    <row r="8081" spans="1:3">
      <c r="A8081" s="62">
        <v>33512</v>
      </c>
      <c r="B8081">
        <v>1.05</v>
      </c>
      <c r="C8081" t="str">
        <f t="shared" si="130"/>
        <v>1991 q4</v>
      </c>
    </row>
    <row r="8082" spans="1:3">
      <c r="A8082" s="62">
        <v>33513</v>
      </c>
      <c r="B8082">
        <v>1.0445</v>
      </c>
      <c r="C8082" t="str">
        <f t="shared" ref="C8082:C8145" si="131">YEAR(A8082)&amp;" q"&amp;ROUNDUP(MONTH(A8082)/3,0)</f>
        <v>1991 q4</v>
      </c>
    </row>
    <row r="8083" spans="1:3">
      <c r="A8083" s="62">
        <v>33514</v>
      </c>
      <c r="B8083">
        <v>1.0515000000000001</v>
      </c>
      <c r="C8083" t="str">
        <f t="shared" si="131"/>
        <v>1991 q4</v>
      </c>
    </row>
    <row r="8084" spans="1:3">
      <c r="A8084" s="62">
        <v>33515</v>
      </c>
      <c r="B8084">
        <v>1.0509999999999999</v>
      </c>
      <c r="C8084" t="str">
        <f t="shared" si="131"/>
        <v>1991 q4</v>
      </c>
    </row>
    <row r="8085" spans="1:3">
      <c r="A8085" s="62">
        <v>33518</v>
      </c>
      <c r="B8085">
        <v>1.0355000000000001</v>
      </c>
      <c r="C8085" t="str">
        <f t="shared" si="131"/>
        <v>1991 q4</v>
      </c>
    </row>
    <row r="8086" spans="1:3">
      <c r="A8086" s="62">
        <v>33519</v>
      </c>
      <c r="B8086">
        <v>1.06</v>
      </c>
      <c r="C8086" t="str">
        <f t="shared" si="131"/>
        <v>1991 q4</v>
      </c>
    </row>
    <row r="8087" spans="1:3">
      <c r="A8087" s="62">
        <v>33520</v>
      </c>
      <c r="B8087">
        <v>1.0645</v>
      </c>
      <c r="C8087" t="str">
        <f t="shared" si="131"/>
        <v>1991 q4</v>
      </c>
    </row>
    <row r="8088" spans="1:3">
      <c r="A8088" s="62">
        <v>33521</v>
      </c>
      <c r="B8088">
        <v>1.0485</v>
      </c>
      <c r="C8088" t="str">
        <f t="shared" si="131"/>
        <v>1991 q4</v>
      </c>
    </row>
    <row r="8089" spans="1:3">
      <c r="A8089" s="62">
        <v>33522</v>
      </c>
      <c r="B8089">
        <v>1.0555000000000001</v>
      </c>
      <c r="C8089" t="str">
        <f t="shared" si="131"/>
        <v>1991 q4</v>
      </c>
    </row>
    <row r="8090" spans="1:3">
      <c r="A8090" s="62">
        <v>33525</v>
      </c>
      <c r="B8090">
        <v>1.042</v>
      </c>
      <c r="C8090" t="str">
        <f t="shared" si="131"/>
        <v>1991 q4</v>
      </c>
    </row>
    <row r="8091" spans="1:3">
      <c r="A8091" s="62">
        <v>33526</v>
      </c>
      <c r="B8091">
        <v>1.0409999999999999</v>
      </c>
      <c r="C8091" t="str">
        <f t="shared" si="131"/>
        <v>1991 q4</v>
      </c>
    </row>
    <row r="8092" spans="1:3">
      <c r="A8092" s="62">
        <v>33527</v>
      </c>
      <c r="B8092">
        <v>1.0465</v>
      </c>
      <c r="C8092" t="str">
        <f t="shared" si="131"/>
        <v>1991 q4</v>
      </c>
    </row>
    <row r="8093" spans="1:3">
      <c r="A8093" s="62">
        <v>33528</v>
      </c>
      <c r="B8093">
        <v>1.0595000000000001</v>
      </c>
      <c r="C8093" t="str">
        <f t="shared" si="131"/>
        <v>1991 q4</v>
      </c>
    </row>
    <row r="8094" spans="1:3">
      <c r="A8094" s="62">
        <v>33529</v>
      </c>
      <c r="B8094">
        <v>1.0495000000000001</v>
      </c>
      <c r="C8094" t="str">
        <f t="shared" si="131"/>
        <v>1991 q4</v>
      </c>
    </row>
    <row r="8095" spans="1:3">
      <c r="A8095" s="62">
        <v>33532</v>
      </c>
      <c r="B8095">
        <v>1.048</v>
      </c>
      <c r="C8095" t="str">
        <f t="shared" si="131"/>
        <v>1991 q4</v>
      </c>
    </row>
    <row r="8096" spans="1:3">
      <c r="A8096" s="62">
        <v>33533</v>
      </c>
      <c r="B8096">
        <v>1.0489999999999999</v>
      </c>
      <c r="C8096" t="str">
        <f t="shared" si="131"/>
        <v>1991 q4</v>
      </c>
    </row>
    <row r="8097" spans="1:3">
      <c r="A8097" s="62">
        <v>33534</v>
      </c>
      <c r="B8097">
        <v>1.0535000000000001</v>
      </c>
      <c r="C8097" t="str">
        <f t="shared" si="131"/>
        <v>1991 q4</v>
      </c>
    </row>
    <row r="8098" spans="1:3">
      <c r="A8098" s="62">
        <v>33535</v>
      </c>
      <c r="B8098">
        <v>1.0525</v>
      </c>
      <c r="C8098" t="str">
        <f t="shared" si="131"/>
        <v>1991 q4</v>
      </c>
    </row>
    <row r="8099" spans="1:3">
      <c r="A8099" s="62">
        <v>33536</v>
      </c>
      <c r="B8099">
        <v>1.052</v>
      </c>
      <c r="C8099" t="str">
        <f t="shared" si="131"/>
        <v>1991 q4</v>
      </c>
    </row>
    <row r="8100" spans="1:3">
      <c r="A8100" s="62">
        <v>33539</v>
      </c>
      <c r="B8100">
        <v>1.0615000000000001</v>
      </c>
      <c r="C8100" t="str">
        <f t="shared" si="131"/>
        <v>1991 q4</v>
      </c>
    </row>
    <row r="8101" spans="1:3">
      <c r="A8101" s="62">
        <v>33540</v>
      </c>
      <c r="B8101">
        <v>1.0785</v>
      </c>
      <c r="C8101" t="str">
        <f t="shared" si="131"/>
        <v>1991 q4</v>
      </c>
    </row>
    <row r="8102" spans="1:3">
      <c r="A8102" s="62">
        <v>33541</v>
      </c>
      <c r="B8102">
        <v>1.0794999999999999</v>
      </c>
      <c r="C8102" t="str">
        <f t="shared" si="131"/>
        <v>1991 q4</v>
      </c>
    </row>
    <row r="8103" spans="1:3">
      <c r="A8103" s="62">
        <v>33542</v>
      </c>
      <c r="B8103">
        <v>1.0660000000000001</v>
      </c>
      <c r="C8103" t="str">
        <f t="shared" si="131"/>
        <v>1991 q4</v>
      </c>
    </row>
    <row r="8104" spans="1:3">
      <c r="A8104" s="62">
        <v>33543</v>
      </c>
      <c r="B8104">
        <v>1.0665</v>
      </c>
      <c r="C8104" t="str">
        <f t="shared" si="131"/>
        <v>1991 q4</v>
      </c>
    </row>
    <row r="8105" spans="1:3">
      <c r="A8105" s="62">
        <v>33546</v>
      </c>
      <c r="B8105">
        <v>1.0714999999999999</v>
      </c>
      <c r="C8105" t="str">
        <f t="shared" si="131"/>
        <v>1991 q4</v>
      </c>
    </row>
    <row r="8106" spans="1:3">
      <c r="A8106" s="62">
        <v>33547</v>
      </c>
      <c r="B8106">
        <v>1.0654999999999999</v>
      </c>
      <c r="C8106" t="str">
        <f t="shared" si="131"/>
        <v>1991 q4</v>
      </c>
    </row>
    <row r="8107" spans="1:3">
      <c r="A8107" s="62">
        <v>33548</v>
      </c>
      <c r="B8107">
        <v>1.0645</v>
      </c>
      <c r="C8107" t="str">
        <f t="shared" si="131"/>
        <v>1991 q4</v>
      </c>
    </row>
    <row r="8108" spans="1:3">
      <c r="A8108" s="62">
        <v>33549</v>
      </c>
      <c r="B8108">
        <v>1.0585</v>
      </c>
      <c r="C8108" t="str">
        <f t="shared" si="131"/>
        <v>1991 q4</v>
      </c>
    </row>
    <row r="8109" spans="1:3">
      <c r="A8109" s="62">
        <v>33550</v>
      </c>
      <c r="B8109">
        <v>1.054</v>
      </c>
      <c r="C8109" t="str">
        <f t="shared" si="131"/>
        <v>1991 q4</v>
      </c>
    </row>
    <row r="8110" spans="1:3">
      <c r="A8110" s="62">
        <v>33553</v>
      </c>
      <c r="B8110">
        <v>1.04</v>
      </c>
      <c r="C8110" t="str">
        <f t="shared" si="131"/>
        <v>1991 q4</v>
      </c>
    </row>
    <row r="8111" spans="1:3">
      <c r="A8111" s="62">
        <v>33554</v>
      </c>
      <c r="B8111">
        <v>1.046</v>
      </c>
      <c r="C8111" t="str">
        <f t="shared" si="131"/>
        <v>1991 q4</v>
      </c>
    </row>
    <row r="8112" spans="1:3">
      <c r="A8112" s="62">
        <v>33555</v>
      </c>
      <c r="B8112">
        <v>1.0435000000000001</v>
      </c>
      <c r="C8112" t="str">
        <f t="shared" si="131"/>
        <v>1991 q4</v>
      </c>
    </row>
    <row r="8113" spans="1:3">
      <c r="A8113" s="62">
        <v>33556</v>
      </c>
      <c r="B8113">
        <v>1.0625</v>
      </c>
      <c r="C8113" t="str">
        <f t="shared" si="131"/>
        <v>1991 q4</v>
      </c>
    </row>
    <row r="8114" spans="1:3">
      <c r="A8114" s="62">
        <v>33557</v>
      </c>
      <c r="B8114">
        <v>1.0625</v>
      </c>
      <c r="C8114" t="str">
        <f t="shared" si="131"/>
        <v>1991 q4</v>
      </c>
    </row>
    <row r="8115" spans="1:3">
      <c r="A8115" s="62">
        <v>33560</v>
      </c>
      <c r="B8115">
        <v>1.0509999999999999</v>
      </c>
      <c r="C8115" t="str">
        <f t="shared" si="131"/>
        <v>1991 q4</v>
      </c>
    </row>
    <row r="8116" spans="1:3">
      <c r="A8116" s="62">
        <v>33561</v>
      </c>
      <c r="B8116">
        <v>1.0375000000000001</v>
      </c>
      <c r="C8116" t="str">
        <f t="shared" si="131"/>
        <v>1991 q4</v>
      </c>
    </row>
    <row r="8117" spans="1:3">
      <c r="A8117" s="62">
        <v>33562</v>
      </c>
      <c r="B8117">
        <v>1.036</v>
      </c>
      <c r="C8117" t="str">
        <f t="shared" si="131"/>
        <v>1991 q4</v>
      </c>
    </row>
    <row r="8118" spans="1:3">
      <c r="A8118" s="62">
        <v>33563</v>
      </c>
      <c r="B8118">
        <v>1.0345</v>
      </c>
      <c r="C8118" t="str">
        <f t="shared" si="131"/>
        <v>1991 q4</v>
      </c>
    </row>
    <row r="8119" spans="1:3">
      <c r="A8119" s="62">
        <v>33564</v>
      </c>
      <c r="B8119">
        <v>1.0309999999999999</v>
      </c>
      <c r="C8119" t="str">
        <f t="shared" si="131"/>
        <v>1991 q4</v>
      </c>
    </row>
    <row r="8120" spans="1:3">
      <c r="A8120" s="62">
        <v>33567</v>
      </c>
      <c r="B8120">
        <v>1.0427</v>
      </c>
      <c r="C8120" t="str">
        <f t="shared" si="131"/>
        <v>1991 q4</v>
      </c>
    </row>
    <row r="8121" spans="1:3">
      <c r="A8121" s="62">
        <v>33568</v>
      </c>
      <c r="B8121">
        <v>1.0448999999999999</v>
      </c>
      <c r="C8121" t="str">
        <f t="shared" si="131"/>
        <v>1991 q4</v>
      </c>
    </row>
    <row r="8122" spans="1:3">
      <c r="A8122" s="62">
        <v>33569</v>
      </c>
      <c r="B8122">
        <v>1.0395000000000001</v>
      </c>
      <c r="C8122" t="str">
        <f t="shared" si="131"/>
        <v>1991 q4</v>
      </c>
    </row>
    <row r="8123" spans="1:3">
      <c r="A8123" s="62">
        <v>33571</v>
      </c>
      <c r="B8123">
        <v>1.0227999999999999</v>
      </c>
      <c r="C8123" t="str">
        <f t="shared" si="131"/>
        <v>1991 q4</v>
      </c>
    </row>
    <row r="8124" spans="1:3">
      <c r="A8124" s="62">
        <v>33574</v>
      </c>
      <c r="B8124">
        <v>1.0129999999999999</v>
      </c>
      <c r="C8124" t="str">
        <f t="shared" si="131"/>
        <v>1991 q4</v>
      </c>
    </row>
    <row r="8125" spans="1:3">
      <c r="A8125" s="62">
        <v>33575</v>
      </c>
      <c r="B8125">
        <v>1.0129999999999999</v>
      </c>
      <c r="C8125" t="str">
        <f t="shared" si="131"/>
        <v>1991 q4</v>
      </c>
    </row>
    <row r="8126" spans="1:3">
      <c r="A8126" s="62">
        <v>33576</v>
      </c>
      <c r="B8126">
        <v>1.004</v>
      </c>
      <c r="C8126" t="str">
        <f t="shared" si="131"/>
        <v>1991 q4</v>
      </c>
    </row>
    <row r="8127" spans="1:3">
      <c r="A8127" s="62">
        <v>33577</v>
      </c>
      <c r="B8127">
        <v>0.98599999999999999</v>
      </c>
      <c r="C8127" t="str">
        <f t="shared" si="131"/>
        <v>1991 q4</v>
      </c>
    </row>
    <row r="8128" spans="1:3">
      <c r="A8128" s="62">
        <v>33578</v>
      </c>
      <c r="B8128">
        <v>0.98799999999999999</v>
      </c>
      <c r="C8128" t="str">
        <f t="shared" si="131"/>
        <v>1991 q4</v>
      </c>
    </row>
    <row r="8129" spans="1:3">
      <c r="A8129" s="62">
        <v>33581</v>
      </c>
      <c r="B8129">
        <v>0.98499999999999999</v>
      </c>
      <c r="C8129" t="str">
        <f t="shared" si="131"/>
        <v>1991 q4</v>
      </c>
    </row>
    <row r="8130" spans="1:3">
      <c r="A8130" s="62">
        <v>33582</v>
      </c>
      <c r="B8130">
        <v>0.97</v>
      </c>
      <c r="C8130" t="str">
        <f t="shared" si="131"/>
        <v>1991 q4</v>
      </c>
    </row>
    <row r="8131" spans="1:3">
      <c r="A8131" s="62">
        <v>33583</v>
      </c>
      <c r="B8131">
        <v>0.98</v>
      </c>
      <c r="C8131" t="str">
        <f t="shared" si="131"/>
        <v>1991 q4</v>
      </c>
    </row>
    <row r="8132" spans="1:3">
      <c r="A8132" s="62">
        <v>33584</v>
      </c>
      <c r="B8132">
        <v>0.97750000000000004</v>
      </c>
      <c r="C8132" t="str">
        <f t="shared" si="131"/>
        <v>1991 q4</v>
      </c>
    </row>
    <row r="8133" spans="1:3">
      <c r="A8133" s="62">
        <v>33585</v>
      </c>
      <c r="B8133">
        <v>0.97750000000000004</v>
      </c>
      <c r="C8133" t="str">
        <f t="shared" si="131"/>
        <v>1991 q4</v>
      </c>
    </row>
    <row r="8134" spans="1:3">
      <c r="A8134" s="62">
        <v>33588</v>
      </c>
      <c r="B8134">
        <v>0.97699999999999998</v>
      </c>
      <c r="C8134" t="str">
        <f t="shared" si="131"/>
        <v>1991 q4</v>
      </c>
    </row>
    <row r="8135" spans="1:3">
      <c r="A8135" s="62">
        <v>33589</v>
      </c>
      <c r="B8135">
        <v>0.98</v>
      </c>
      <c r="C8135" t="str">
        <f t="shared" si="131"/>
        <v>1991 q4</v>
      </c>
    </row>
    <row r="8136" spans="1:3">
      <c r="A8136" s="62">
        <v>33590</v>
      </c>
      <c r="B8136">
        <v>0.98099999999999998</v>
      </c>
      <c r="C8136" t="str">
        <f t="shared" si="131"/>
        <v>1991 q4</v>
      </c>
    </row>
    <row r="8137" spans="1:3">
      <c r="A8137" s="62">
        <v>33591</v>
      </c>
      <c r="B8137">
        <v>0.97</v>
      </c>
      <c r="C8137" t="str">
        <f t="shared" si="131"/>
        <v>1991 q4</v>
      </c>
    </row>
    <row r="8138" spans="1:3">
      <c r="A8138" s="62">
        <v>33592</v>
      </c>
      <c r="B8138">
        <v>0.96899999999999997</v>
      </c>
      <c r="C8138" t="str">
        <f t="shared" si="131"/>
        <v>1991 q4</v>
      </c>
    </row>
    <row r="8139" spans="1:3">
      <c r="A8139" s="62">
        <v>33595</v>
      </c>
      <c r="B8139">
        <v>0.97699999999999998</v>
      </c>
      <c r="C8139" t="str">
        <f t="shared" si="131"/>
        <v>1991 q4</v>
      </c>
    </row>
    <row r="8140" spans="1:3">
      <c r="A8140" s="62">
        <v>33596</v>
      </c>
      <c r="B8140">
        <v>0.98250000000000004</v>
      </c>
      <c r="C8140" t="str">
        <f t="shared" si="131"/>
        <v>1991 q4</v>
      </c>
    </row>
    <row r="8141" spans="1:3">
      <c r="A8141" s="62">
        <v>33598</v>
      </c>
      <c r="B8141">
        <v>0.98240000000000005</v>
      </c>
      <c r="C8141" t="str">
        <f t="shared" si="131"/>
        <v>1991 q4</v>
      </c>
    </row>
    <row r="8142" spans="1:3">
      <c r="A8142" s="62">
        <v>33599</v>
      </c>
      <c r="B8142">
        <v>0.98899999999999999</v>
      </c>
      <c r="C8142" t="str">
        <f t="shared" si="131"/>
        <v>1991 q4</v>
      </c>
    </row>
    <row r="8143" spans="1:3">
      <c r="A8143" s="62">
        <v>33602</v>
      </c>
      <c r="B8143">
        <v>0.98150000000000004</v>
      </c>
      <c r="C8143" t="str">
        <f t="shared" si="131"/>
        <v>1991 q4</v>
      </c>
    </row>
    <row r="8144" spans="1:3">
      <c r="A8144" s="62">
        <v>33603</v>
      </c>
      <c r="B8144">
        <v>0.9738</v>
      </c>
      <c r="C8144" t="str">
        <f t="shared" si="131"/>
        <v>1991 q4</v>
      </c>
    </row>
    <row r="8145" spans="1:3">
      <c r="A8145" s="62">
        <v>33605</v>
      </c>
      <c r="B8145">
        <v>0.95699999999999996</v>
      </c>
      <c r="C8145" t="str">
        <f t="shared" si="131"/>
        <v>1992 q1</v>
      </c>
    </row>
    <row r="8146" spans="1:3">
      <c r="A8146" s="62">
        <v>33606</v>
      </c>
      <c r="B8146">
        <v>0.96050000000000002</v>
      </c>
      <c r="C8146" t="str">
        <f t="shared" ref="C8146:C8209" si="132">YEAR(A8146)&amp;" q"&amp;ROUNDUP(MONTH(A8146)/3,0)</f>
        <v>1992 q1</v>
      </c>
    </row>
    <row r="8147" spans="1:3">
      <c r="A8147" s="62">
        <v>33609</v>
      </c>
      <c r="B8147">
        <v>0.96050000000000002</v>
      </c>
      <c r="C8147" t="str">
        <f t="shared" si="132"/>
        <v>1992 q1</v>
      </c>
    </row>
    <row r="8148" spans="1:3">
      <c r="A8148" s="62">
        <v>33610</v>
      </c>
      <c r="B8148">
        <v>0.95150000000000001</v>
      </c>
      <c r="C8148" t="str">
        <f t="shared" si="132"/>
        <v>1992 q1</v>
      </c>
    </row>
    <row r="8149" spans="1:3">
      <c r="A8149" s="62">
        <v>33611</v>
      </c>
      <c r="B8149">
        <v>0.94550000000000001</v>
      </c>
      <c r="C8149" t="str">
        <f t="shared" si="132"/>
        <v>1992 q1</v>
      </c>
    </row>
    <row r="8150" spans="1:3">
      <c r="A8150" s="62">
        <v>33612</v>
      </c>
      <c r="B8150">
        <v>0.94350000000000001</v>
      </c>
      <c r="C8150" t="str">
        <f t="shared" si="132"/>
        <v>1992 q1</v>
      </c>
    </row>
    <row r="8151" spans="1:3">
      <c r="A8151" s="62">
        <v>33613</v>
      </c>
      <c r="B8151">
        <v>0.95050000000000001</v>
      </c>
      <c r="C8151" t="str">
        <f t="shared" si="132"/>
        <v>1992 q1</v>
      </c>
    </row>
    <row r="8152" spans="1:3">
      <c r="A8152" s="62">
        <v>33616</v>
      </c>
      <c r="B8152">
        <v>0.94799999999999995</v>
      </c>
      <c r="C8152" t="str">
        <f t="shared" si="132"/>
        <v>1992 q1</v>
      </c>
    </row>
    <row r="8153" spans="1:3">
      <c r="A8153" s="62">
        <v>33617</v>
      </c>
      <c r="B8153">
        <v>0.94699999999999995</v>
      </c>
      <c r="C8153" t="str">
        <f t="shared" si="132"/>
        <v>1992 q1</v>
      </c>
    </row>
    <row r="8154" spans="1:3">
      <c r="A8154" s="62">
        <v>33618</v>
      </c>
      <c r="B8154">
        <v>0.95850000000000002</v>
      </c>
      <c r="C8154" t="str">
        <f t="shared" si="132"/>
        <v>1992 q1</v>
      </c>
    </row>
    <row r="8155" spans="1:3">
      <c r="A8155" s="62">
        <v>33619</v>
      </c>
      <c r="B8155">
        <v>0.97050000000000003</v>
      </c>
      <c r="C8155" t="str">
        <f t="shared" si="132"/>
        <v>1992 q1</v>
      </c>
    </row>
    <row r="8156" spans="1:3">
      <c r="A8156" s="62">
        <v>33620</v>
      </c>
      <c r="B8156">
        <v>0.97299999999999998</v>
      </c>
      <c r="C8156" t="str">
        <f t="shared" si="132"/>
        <v>1992 q1</v>
      </c>
    </row>
    <row r="8157" spans="1:3">
      <c r="A8157" s="62">
        <v>33623</v>
      </c>
      <c r="B8157">
        <v>0.97150000000000003</v>
      </c>
      <c r="C8157" t="str">
        <f t="shared" si="132"/>
        <v>1992 q1</v>
      </c>
    </row>
    <row r="8158" spans="1:3">
      <c r="A8158" s="62">
        <v>33624</v>
      </c>
      <c r="B8158">
        <v>0.96950000000000003</v>
      </c>
      <c r="C8158" t="str">
        <f t="shared" si="132"/>
        <v>1992 q1</v>
      </c>
    </row>
    <row r="8159" spans="1:3">
      <c r="A8159" s="62">
        <v>33625</v>
      </c>
      <c r="B8159">
        <v>0.97599999999999998</v>
      </c>
      <c r="C8159" t="str">
        <f t="shared" si="132"/>
        <v>1992 q1</v>
      </c>
    </row>
    <row r="8160" spans="1:3">
      <c r="A8160" s="62">
        <v>33626</v>
      </c>
      <c r="B8160">
        <v>0.97</v>
      </c>
      <c r="C8160" t="str">
        <f t="shared" si="132"/>
        <v>1992 q1</v>
      </c>
    </row>
    <row r="8161" spans="1:3">
      <c r="A8161" s="62">
        <v>33627</v>
      </c>
      <c r="B8161">
        <v>0.98899999999999999</v>
      </c>
      <c r="C8161" t="str">
        <f t="shared" si="132"/>
        <v>1992 q1</v>
      </c>
    </row>
    <row r="8162" spans="1:3">
      <c r="A8162" s="62">
        <v>33630</v>
      </c>
      <c r="B8162">
        <v>0.98399999999999999</v>
      </c>
      <c r="C8162" t="str">
        <f t="shared" si="132"/>
        <v>1992 q1</v>
      </c>
    </row>
    <row r="8163" spans="1:3">
      <c r="A8163" s="62">
        <v>33631</v>
      </c>
      <c r="B8163">
        <v>0.99</v>
      </c>
      <c r="C8163" t="str">
        <f t="shared" si="132"/>
        <v>1992 q1</v>
      </c>
    </row>
    <row r="8164" spans="1:3">
      <c r="A8164" s="62">
        <v>33632</v>
      </c>
      <c r="B8164">
        <v>0.99099999999999999</v>
      </c>
      <c r="C8164" t="str">
        <f t="shared" si="132"/>
        <v>1992 q1</v>
      </c>
    </row>
    <row r="8165" spans="1:3">
      <c r="A8165" s="62">
        <v>33633</v>
      </c>
      <c r="B8165">
        <v>0.99</v>
      </c>
      <c r="C8165" t="str">
        <f t="shared" si="132"/>
        <v>1992 q1</v>
      </c>
    </row>
    <row r="8166" spans="1:3">
      <c r="A8166" s="62">
        <v>33634</v>
      </c>
      <c r="B8166">
        <v>0.98599999999999999</v>
      </c>
      <c r="C8166" t="str">
        <f t="shared" si="132"/>
        <v>1992 q1</v>
      </c>
    </row>
    <row r="8167" spans="1:3">
      <c r="A8167" s="62">
        <v>33637</v>
      </c>
      <c r="B8167">
        <v>0.97599999999999998</v>
      </c>
      <c r="C8167" t="str">
        <f t="shared" si="132"/>
        <v>1992 q1</v>
      </c>
    </row>
    <row r="8168" spans="1:3">
      <c r="A8168" s="62">
        <v>33638</v>
      </c>
      <c r="B8168">
        <v>0.97550000000000003</v>
      </c>
      <c r="C8168" t="str">
        <f t="shared" si="132"/>
        <v>1992 q1</v>
      </c>
    </row>
    <row r="8169" spans="1:3">
      <c r="A8169" s="62">
        <v>33639</v>
      </c>
      <c r="B8169">
        <v>0.98299999999999998</v>
      </c>
      <c r="C8169" t="str">
        <f t="shared" si="132"/>
        <v>1992 q1</v>
      </c>
    </row>
    <row r="8170" spans="1:3">
      <c r="A8170" s="62">
        <v>33640</v>
      </c>
      <c r="B8170">
        <v>0.98150000000000004</v>
      </c>
      <c r="C8170" t="str">
        <f t="shared" si="132"/>
        <v>1992 q1</v>
      </c>
    </row>
    <row r="8171" spans="1:3">
      <c r="A8171" s="62">
        <v>33641</v>
      </c>
      <c r="B8171">
        <v>0.98450000000000004</v>
      </c>
      <c r="C8171" t="str">
        <f t="shared" si="132"/>
        <v>1992 q1</v>
      </c>
    </row>
    <row r="8172" spans="1:3">
      <c r="A8172" s="62">
        <v>33644</v>
      </c>
      <c r="B8172">
        <v>0.98250000000000004</v>
      </c>
      <c r="C8172" t="str">
        <f t="shared" si="132"/>
        <v>1992 q1</v>
      </c>
    </row>
    <row r="8173" spans="1:3">
      <c r="A8173" s="62">
        <v>33645</v>
      </c>
      <c r="B8173">
        <v>0.98599999999999999</v>
      </c>
      <c r="C8173" t="str">
        <f t="shared" si="132"/>
        <v>1992 q1</v>
      </c>
    </row>
    <row r="8174" spans="1:3">
      <c r="A8174" s="62">
        <v>33646</v>
      </c>
      <c r="B8174">
        <v>1.0165</v>
      </c>
      <c r="C8174" t="str">
        <f t="shared" si="132"/>
        <v>1992 q1</v>
      </c>
    </row>
    <row r="8175" spans="1:3">
      <c r="A8175" s="62">
        <v>33647</v>
      </c>
      <c r="B8175">
        <v>1.0189999999999999</v>
      </c>
      <c r="C8175" t="str">
        <f t="shared" si="132"/>
        <v>1992 q1</v>
      </c>
    </row>
    <row r="8176" spans="1:3">
      <c r="A8176" s="62">
        <v>33648</v>
      </c>
      <c r="B8176">
        <v>1.024</v>
      </c>
      <c r="C8176" t="str">
        <f t="shared" si="132"/>
        <v>1992 q1</v>
      </c>
    </row>
    <row r="8177" spans="1:3">
      <c r="A8177" s="62">
        <v>33652</v>
      </c>
      <c r="B8177">
        <v>1.0225</v>
      </c>
      <c r="C8177" t="str">
        <f t="shared" si="132"/>
        <v>1992 q1</v>
      </c>
    </row>
    <row r="8178" spans="1:3">
      <c r="A8178" s="62">
        <v>33653</v>
      </c>
      <c r="B8178">
        <v>1.0095000000000001</v>
      </c>
      <c r="C8178" t="str">
        <f t="shared" si="132"/>
        <v>1992 q1</v>
      </c>
    </row>
    <row r="8179" spans="1:3">
      <c r="A8179" s="62">
        <v>33654</v>
      </c>
      <c r="B8179">
        <v>1.0155000000000001</v>
      </c>
      <c r="C8179" t="str">
        <f t="shared" si="132"/>
        <v>1992 q1</v>
      </c>
    </row>
    <row r="8180" spans="1:3">
      <c r="A8180" s="62">
        <v>33655</v>
      </c>
      <c r="B8180">
        <v>1.0109999999999999</v>
      </c>
      <c r="C8180" t="str">
        <f t="shared" si="132"/>
        <v>1992 q1</v>
      </c>
    </row>
    <row r="8181" spans="1:3">
      <c r="A8181" s="62">
        <v>33658</v>
      </c>
      <c r="B8181">
        <v>1.0215000000000001</v>
      </c>
      <c r="C8181" t="str">
        <f t="shared" si="132"/>
        <v>1992 q1</v>
      </c>
    </row>
    <row r="8182" spans="1:3">
      <c r="A8182" s="62">
        <v>33659</v>
      </c>
      <c r="B8182">
        <v>1.0190999999999999</v>
      </c>
      <c r="C8182" t="str">
        <f t="shared" si="132"/>
        <v>1992 q1</v>
      </c>
    </row>
    <row r="8183" spans="1:3">
      <c r="A8183" s="62">
        <v>33660</v>
      </c>
      <c r="B8183">
        <v>1.0293000000000001</v>
      </c>
      <c r="C8183" t="str">
        <f t="shared" si="132"/>
        <v>1992 q1</v>
      </c>
    </row>
    <row r="8184" spans="1:3">
      <c r="A8184" s="62">
        <v>33661</v>
      </c>
      <c r="B8184">
        <v>1.032</v>
      </c>
      <c r="C8184" t="str">
        <f t="shared" si="132"/>
        <v>1992 q1</v>
      </c>
    </row>
    <row r="8185" spans="1:3">
      <c r="A8185" s="62">
        <v>33662</v>
      </c>
      <c r="B8185">
        <v>1.0315000000000001</v>
      </c>
      <c r="C8185" t="str">
        <f t="shared" si="132"/>
        <v>1992 q1</v>
      </c>
    </row>
    <row r="8186" spans="1:3">
      <c r="A8186" s="62">
        <v>33665</v>
      </c>
      <c r="B8186">
        <v>1.024</v>
      </c>
      <c r="C8186" t="str">
        <f t="shared" si="132"/>
        <v>1992 q1</v>
      </c>
    </row>
    <row r="8187" spans="1:3">
      <c r="A8187" s="62">
        <v>33666</v>
      </c>
      <c r="B8187">
        <v>1.0215000000000001</v>
      </c>
      <c r="C8187" t="str">
        <f t="shared" si="132"/>
        <v>1992 q1</v>
      </c>
    </row>
    <row r="8188" spans="1:3">
      <c r="A8188" s="62">
        <v>33667</v>
      </c>
      <c r="B8188">
        <v>1.0245</v>
      </c>
      <c r="C8188" t="str">
        <f t="shared" si="132"/>
        <v>1992 q1</v>
      </c>
    </row>
    <row r="8189" spans="1:3">
      <c r="A8189" s="62">
        <v>33668</v>
      </c>
      <c r="B8189">
        <v>1.0175000000000001</v>
      </c>
      <c r="C8189" t="str">
        <f t="shared" si="132"/>
        <v>1992 q1</v>
      </c>
    </row>
    <row r="8190" spans="1:3">
      <c r="A8190" s="62">
        <v>33669</v>
      </c>
      <c r="B8190">
        <v>1.0115000000000001</v>
      </c>
      <c r="C8190" t="str">
        <f t="shared" si="132"/>
        <v>1992 q1</v>
      </c>
    </row>
    <row r="8191" spans="1:3">
      <c r="A8191" s="62">
        <v>33672</v>
      </c>
      <c r="B8191">
        <v>1.0089999999999999</v>
      </c>
      <c r="C8191" t="str">
        <f t="shared" si="132"/>
        <v>1992 q1</v>
      </c>
    </row>
    <row r="8192" spans="1:3">
      <c r="A8192" s="62">
        <v>33673</v>
      </c>
      <c r="B8192">
        <v>1.0205</v>
      </c>
      <c r="C8192" t="str">
        <f t="shared" si="132"/>
        <v>1992 q1</v>
      </c>
    </row>
    <row r="8193" spans="1:3">
      <c r="A8193" s="62">
        <v>33674</v>
      </c>
      <c r="B8193">
        <v>1.012</v>
      </c>
      <c r="C8193" t="str">
        <f t="shared" si="132"/>
        <v>1992 q1</v>
      </c>
    </row>
    <row r="8194" spans="1:3">
      <c r="A8194" s="62">
        <v>33675</v>
      </c>
      <c r="B8194">
        <v>1.0085</v>
      </c>
      <c r="C8194" t="str">
        <f t="shared" si="132"/>
        <v>1992 q1</v>
      </c>
    </row>
    <row r="8195" spans="1:3">
      <c r="A8195" s="62">
        <v>33676</v>
      </c>
      <c r="B8195">
        <v>1.0109999999999999</v>
      </c>
      <c r="C8195" t="str">
        <f t="shared" si="132"/>
        <v>1992 q1</v>
      </c>
    </row>
    <row r="8196" spans="1:3">
      <c r="A8196" s="62">
        <v>33679</v>
      </c>
      <c r="B8196">
        <v>1.0089999999999999</v>
      </c>
      <c r="C8196" t="str">
        <f t="shared" si="132"/>
        <v>1992 q1</v>
      </c>
    </row>
    <row r="8197" spans="1:3">
      <c r="A8197" s="62">
        <v>33680</v>
      </c>
      <c r="B8197">
        <v>1.0189999999999999</v>
      </c>
      <c r="C8197" t="str">
        <f t="shared" si="132"/>
        <v>1992 q1</v>
      </c>
    </row>
    <row r="8198" spans="1:3">
      <c r="A8198" s="62">
        <v>33681</v>
      </c>
      <c r="B8198">
        <v>1.0195000000000001</v>
      </c>
      <c r="C8198" t="str">
        <f t="shared" si="132"/>
        <v>1992 q1</v>
      </c>
    </row>
    <row r="8199" spans="1:3">
      <c r="A8199" s="62">
        <v>33682</v>
      </c>
      <c r="B8199">
        <v>1.0195000000000001</v>
      </c>
      <c r="C8199" t="str">
        <f t="shared" si="132"/>
        <v>1992 q1</v>
      </c>
    </row>
    <row r="8200" spans="1:3">
      <c r="A8200" s="62">
        <v>33683</v>
      </c>
      <c r="B8200">
        <v>1.008</v>
      </c>
      <c r="C8200" t="str">
        <f t="shared" si="132"/>
        <v>1992 q1</v>
      </c>
    </row>
    <row r="8201" spans="1:3">
      <c r="A8201" s="62">
        <v>33686</v>
      </c>
      <c r="B8201">
        <v>1.0125</v>
      </c>
      <c r="C8201" t="str">
        <f t="shared" si="132"/>
        <v>1992 q1</v>
      </c>
    </row>
    <row r="8202" spans="1:3">
      <c r="A8202" s="62">
        <v>33687</v>
      </c>
      <c r="B8202">
        <v>1.014</v>
      </c>
      <c r="C8202" t="str">
        <f t="shared" si="132"/>
        <v>1992 q1</v>
      </c>
    </row>
    <row r="8203" spans="1:3">
      <c r="A8203" s="62">
        <v>33688</v>
      </c>
      <c r="B8203">
        <v>1.0105</v>
      </c>
      <c r="C8203" t="str">
        <f t="shared" si="132"/>
        <v>1992 q1</v>
      </c>
    </row>
    <row r="8204" spans="1:3">
      <c r="A8204" s="62">
        <v>33689</v>
      </c>
      <c r="B8204">
        <v>1.0129999999999999</v>
      </c>
      <c r="C8204" t="str">
        <f t="shared" si="132"/>
        <v>1992 q1</v>
      </c>
    </row>
    <row r="8205" spans="1:3">
      <c r="A8205" s="62">
        <v>33690</v>
      </c>
      <c r="B8205">
        <v>1.012</v>
      </c>
      <c r="C8205" t="str">
        <f t="shared" si="132"/>
        <v>1992 q1</v>
      </c>
    </row>
    <row r="8206" spans="1:3">
      <c r="A8206" s="62">
        <v>33693</v>
      </c>
      <c r="B8206">
        <v>1.0129999999999999</v>
      </c>
      <c r="C8206" t="str">
        <f t="shared" si="132"/>
        <v>1992 q1</v>
      </c>
    </row>
    <row r="8207" spans="1:3">
      <c r="A8207" s="62">
        <v>33694</v>
      </c>
      <c r="B8207">
        <v>1.0165</v>
      </c>
      <c r="C8207" t="str">
        <f t="shared" si="132"/>
        <v>1992 q1</v>
      </c>
    </row>
    <row r="8208" spans="1:3">
      <c r="A8208" s="62">
        <v>33695</v>
      </c>
      <c r="B8208">
        <v>1.0269999999999999</v>
      </c>
      <c r="C8208" t="str">
        <f t="shared" si="132"/>
        <v>1992 q2</v>
      </c>
    </row>
    <row r="8209" spans="1:3">
      <c r="A8209" s="62">
        <v>33696</v>
      </c>
      <c r="B8209">
        <v>1.0349999999999999</v>
      </c>
      <c r="C8209" t="str">
        <f t="shared" si="132"/>
        <v>1992 q2</v>
      </c>
    </row>
    <row r="8210" spans="1:3">
      <c r="A8210" s="62">
        <v>33697</v>
      </c>
      <c r="B8210">
        <v>1.0305</v>
      </c>
      <c r="C8210" t="str">
        <f t="shared" ref="C8210:C8273" si="133">YEAR(A8210)&amp;" q"&amp;ROUNDUP(MONTH(A8210)/3,0)</f>
        <v>1992 q2</v>
      </c>
    </row>
    <row r="8211" spans="1:3">
      <c r="A8211" s="62">
        <v>33700</v>
      </c>
      <c r="B8211">
        <v>1.0269999999999999</v>
      </c>
      <c r="C8211" t="str">
        <f t="shared" si="133"/>
        <v>1992 q2</v>
      </c>
    </row>
    <row r="8212" spans="1:3">
      <c r="A8212" s="62">
        <v>33701</v>
      </c>
      <c r="B8212">
        <v>1.024</v>
      </c>
      <c r="C8212" t="str">
        <f t="shared" si="133"/>
        <v>1992 q2</v>
      </c>
    </row>
    <row r="8213" spans="1:3">
      <c r="A8213" s="62">
        <v>33702</v>
      </c>
      <c r="B8213">
        <v>1.0035000000000001</v>
      </c>
      <c r="C8213" t="str">
        <f t="shared" si="133"/>
        <v>1992 q2</v>
      </c>
    </row>
    <row r="8214" spans="1:3">
      <c r="A8214" s="62">
        <v>33703</v>
      </c>
      <c r="B8214">
        <v>1.0075000000000001</v>
      </c>
      <c r="C8214" t="str">
        <f t="shared" si="133"/>
        <v>1992 q2</v>
      </c>
    </row>
    <row r="8215" spans="1:3">
      <c r="A8215" s="62">
        <v>33704</v>
      </c>
      <c r="B8215">
        <v>0.999</v>
      </c>
      <c r="C8215" t="str">
        <f t="shared" si="133"/>
        <v>1992 q2</v>
      </c>
    </row>
    <row r="8216" spans="1:3">
      <c r="A8216" s="62">
        <v>33707</v>
      </c>
      <c r="B8216">
        <v>0.99350000000000005</v>
      </c>
      <c r="C8216" t="str">
        <f t="shared" si="133"/>
        <v>1992 q2</v>
      </c>
    </row>
    <row r="8217" spans="1:3">
      <c r="A8217" s="62">
        <v>33708</v>
      </c>
      <c r="B8217">
        <v>0.99399999999999999</v>
      </c>
      <c r="C8217" t="str">
        <f t="shared" si="133"/>
        <v>1992 q2</v>
      </c>
    </row>
    <row r="8218" spans="1:3">
      <c r="A8218" s="62">
        <v>33709</v>
      </c>
      <c r="B8218">
        <v>0.99550000000000005</v>
      </c>
      <c r="C8218" t="str">
        <f t="shared" si="133"/>
        <v>1992 q2</v>
      </c>
    </row>
    <row r="8219" spans="1:3">
      <c r="A8219" s="62">
        <v>33710</v>
      </c>
      <c r="B8219">
        <v>0.98950000000000005</v>
      </c>
      <c r="C8219" t="str">
        <f t="shared" si="133"/>
        <v>1992 q2</v>
      </c>
    </row>
    <row r="8220" spans="1:3">
      <c r="A8220" s="62">
        <v>33714</v>
      </c>
      <c r="B8220">
        <v>0.98550000000000004</v>
      </c>
      <c r="C8220" t="str">
        <f t="shared" si="133"/>
        <v>1992 q2</v>
      </c>
    </row>
    <row r="8221" spans="1:3">
      <c r="A8221" s="62">
        <v>33715</v>
      </c>
      <c r="B8221">
        <v>0.995</v>
      </c>
      <c r="C8221" t="str">
        <f t="shared" si="133"/>
        <v>1992 q2</v>
      </c>
    </row>
    <row r="8222" spans="1:3">
      <c r="A8222" s="62">
        <v>33716</v>
      </c>
      <c r="B8222">
        <v>0.99550000000000005</v>
      </c>
      <c r="C8222" t="str">
        <f t="shared" si="133"/>
        <v>1992 q2</v>
      </c>
    </row>
    <row r="8223" spans="1:3">
      <c r="A8223" s="62">
        <v>33717</v>
      </c>
      <c r="B8223">
        <v>1.0009999999999999</v>
      </c>
      <c r="C8223" t="str">
        <f t="shared" si="133"/>
        <v>1992 q2</v>
      </c>
    </row>
    <row r="8224" spans="1:3">
      <c r="A8224" s="62">
        <v>33718</v>
      </c>
      <c r="B8224">
        <v>1.0015000000000001</v>
      </c>
      <c r="C8224" t="str">
        <f t="shared" si="133"/>
        <v>1992 q2</v>
      </c>
    </row>
    <row r="8225" spans="1:3">
      <c r="A8225" s="62">
        <v>33721</v>
      </c>
      <c r="B8225">
        <v>0.99829999999999997</v>
      </c>
      <c r="C8225" t="str">
        <f t="shared" si="133"/>
        <v>1992 q2</v>
      </c>
    </row>
    <row r="8226" spans="1:3">
      <c r="A8226" s="62">
        <v>33722</v>
      </c>
      <c r="B8226">
        <v>1.004</v>
      </c>
      <c r="C8226" t="str">
        <f t="shared" si="133"/>
        <v>1992 q2</v>
      </c>
    </row>
    <row r="8227" spans="1:3">
      <c r="A8227" s="62">
        <v>33723</v>
      </c>
      <c r="B8227">
        <v>0.99829999999999997</v>
      </c>
      <c r="C8227" t="str">
        <f t="shared" si="133"/>
        <v>1992 q2</v>
      </c>
    </row>
    <row r="8228" spans="1:3">
      <c r="A8228" s="62">
        <v>33724</v>
      </c>
      <c r="B8228">
        <v>1.0033000000000001</v>
      </c>
      <c r="C8228" t="str">
        <f t="shared" si="133"/>
        <v>1992 q2</v>
      </c>
    </row>
    <row r="8229" spans="1:3">
      <c r="A8229" s="62">
        <v>33725</v>
      </c>
      <c r="B8229">
        <v>0.998</v>
      </c>
      <c r="C8229" t="str">
        <f t="shared" si="133"/>
        <v>1992 q2</v>
      </c>
    </row>
    <row r="8230" spans="1:3">
      <c r="A8230" s="62">
        <v>33728</v>
      </c>
      <c r="B8230">
        <v>1.0049999999999999</v>
      </c>
      <c r="C8230" t="str">
        <f t="shared" si="133"/>
        <v>1992 q2</v>
      </c>
    </row>
    <row r="8231" spans="1:3">
      <c r="A8231" s="62">
        <v>33729</v>
      </c>
      <c r="B8231">
        <v>1.0004999999999999</v>
      </c>
      <c r="C8231" t="str">
        <f t="shared" si="133"/>
        <v>1992 q2</v>
      </c>
    </row>
    <row r="8232" spans="1:3">
      <c r="A8232" s="62">
        <v>33730</v>
      </c>
      <c r="B8232">
        <v>1.0044999999999999</v>
      </c>
      <c r="C8232" t="str">
        <f t="shared" si="133"/>
        <v>1992 q2</v>
      </c>
    </row>
    <row r="8233" spans="1:3">
      <c r="A8233" s="62">
        <v>33731</v>
      </c>
      <c r="B8233">
        <v>1.012</v>
      </c>
      <c r="C8233" t="str">
        <f t="shared" si="133"/>
        <v>1992 q2</v>
      </c>
    </row>
    <row r="8234" spans="1:3">
      <c r="A8234" s="62">
        <v>33732</v>
      </c>
      <c r="B8234">
        <v>1.0125</v>
      </c>
      <c r="C8234" t="str">
        <f t="shared" si="133"/>
        <v>1992 q2</v>
      </c>
    </row>
    <row r="8235" spans="1:3">
      <c r="A8235" s="62">
        <v>33735</v>
      </c>
      <c r="B8235">
        <v>1.014</v>
      </c>
      <c r="C8235" t="str">
        <f t="shared" si="133"/>
        <v>1992 q2</v>
      </c>
    </row>
    <row r="8236" spans="1:3">
      <c r="A8236" s="62">
        <v>33736</v>
      </c>
      <c r="B8236">
        <v>1.0109999999999999</v>
      </c>
      <c r="C8236" t="str">
        <f t="shared" si="133"/>
        <v>1992 q2</v>
      </c>
    </row>
    <row r="8237" spans="1:3">
      <c r="A8237" s="62">
        <v>33737</v>
      </c>
      <c r="B8237">
        <v>1.0069999999999999</v>
      </c>
      <c r="C8237" t="str">
        <f t="shared" si="133"/>
        <v>1992 q2</v>
      </c>
    </row>
    <row r="8238" spans="1:3">
      <c r="A8238" s="62">
        <v>33738</v>
      </c>
      <c r="B8238">
        <v>1.0035000000000001</v>
      </c>
      <c r="C8238" t="str">
        <f t="shared" si="133"/>
        <v>1992 q2</v>
      </c>
    </row>
    <row r="8239" spans="1:3">
      <c r="A8239" s="62">
        <v>33739</v>
      </c>
      <c r="B8239">
        <v>1.0049999999999999</v>
      </c>
      <c r="C8239" t="str">
        <f t="shared" si="133"/>
        <v>1992 q2</v>
      </c>
    </row>
    <row r="8240" spans="1:3">
      <c r="A8240" s="62">
        <v>33742</v>
      </c>
      <c r="B8240">
        <v>1.006</v>
      </c>
      <c r="C8240" t="str">
        <f t="shared" si="133"/>
        <v>1992 q2</v>
      </c>
    </row>
    <row r="8241" spans="1:3">
      <c r="A8241" s="62">
        <v>33743</v>
      </c>
      <c r="B8241">
        <v>1.0115000000000001</v>
      </c>
      <c r="C8241" t="str">
        <f t="shared" si="133"/>
        <v>1992 q2</v>
      </c>
    </row>
    <row r="8242" spans="1:3">
      <c r="A8242" s="62">
        <v>33744</v>
      </c>
      <c r="B8242">
        <v>1.0095000000000001</v>
      </c>
      <c r="C8242" t="str">
        <f t="shared" si="133"/>
        <v>1992 q2</v>
      </c>
    </row>
    <row r="8243" spans="1:3">
      <c r="A8243" s="62">
        <v>33745</v>
      </c>
      <c r="B8243">
        <v>1.0109999999999999</v>
      </c>
      <c r="C8243" t="str">
        <f t="shared" si="133"/>
        <v>1992 q2</v>
      </c>
    </row>
    <row r="8244" spans="1:3">
      <c r="A8244" s="62">
        <v>33746</v>
      </c>
      <c r="B8244">
        <v>1.0135000000000001</v>
      </c>
      <c r="C8244" t="str">
        <f t="shared" si="133"/>
        <v>1992 q2</v>
      </c>
    </row>
    <row r="8245" spans="1:3">
      <c r="A8245" s="62">
        <v>33750</v>
      </c>
      <c r="B8245">
        <v>1.0109999999999999</v>
      </c>
      <c r="C8245" t="str">
        <f t="shared" si="133"/>
        <v>1992 q2</v>
      </c>
    </row>
    <row r="8246" spans="1:3">
      <c r="A8246" s="62">
        <v>33751</v>
      </c>
      <c r="B8246">
        <v>1.008</v>
      </c>
      <c r="C8246" t="str">
        <f t="shared" si="133"/>
        <v>1992 q2</v>
      </c>
    </row>
    <row r="8247" spans="1:3">
      <c r="A8247" s="62">
        <v>33752</v>
      </c>
      <c r="B8247">
        <v>1.0085</v>
      </c>
      <c r="C8247" t="str">
        <f t="shared" si="133"/>
        <v>1992 q2</v>
      </c>
    </row>
    <row r="8248" spans="1:3">
      <c r="A8248" s="62">
        <v>33753</v>
      </c>
      <c r="B8248">
        <v>1.0109999999999999</v>
      </c>
      <c r="C8248" t="str">
        <f t="shared" si="133"/>
        <v>1992 q2</v>
      </c>
    </row>
    <row r="8249" spans="1:3">
      <c r="A8249" s="62">
        <v>33756</v>
      </c>
      <c r="B8249">
        <v>1.0229999999999999</v>
      </c>
      <c r="C8249" t="str">
        <f t="shared" si="133"/>
        <v>1992 q2</v>
      </c>
    </row>
    <row r="8250" spans="1:3">
      <c r="A8250" s="62">
        <v>33757</v>
      </c>
      <c r="B8250">
        <v>1.0235000000000001</v>
      </c>
      <c r="C8250" t="str">
        <f t="shared" si="133"/>
        <v>1992 q2</v>
      </c>
    </row>
    <row r="8251" spans="1:3">
      <c r="A8251" s="62">
        <v>33758</v>
      </c>
      <c r="B8251">
        <v>1.0209999999999999</v>
      </c>
      <c r="C8251" t="str">
        <f t="shared" si="133"/>
        <v>1992 q2</v>
      </c>
    </row>
    <row r="8252" spans="1:3">
      <c r="A8252" s="62">
        <v>33759</v>
      </c>
      <c r="B8252">
        <v>1.044</v>
      </c>
      <c r="C8252" t="str">
        <f t="shared" si="133"/>
        <v>1992 q2</v>
      </c>
    </row>
    <row r="8253" spans="1:3">
      <c r="A8253" s="62">
        <v>33760</v>
      </c>
      <c r="B8253">
        <v>1.042</v>
      </c>
      <c r="C8253" t="str">
        <f t="shared" si="133"/>
        <v>1992 q2</v>
      </c>
    </row>
    <row r="8254" spans="1:3">
      <c r="A8254" s="62">
        <v>33763</v>
      </c>
      <c r="B8254">
        <v>1.0385</v>
      </c>
      <c r="C8254" t="str">
        <f t="shared" si="133"/>
        <v>1992 q2</v>
      </c>
    </row>
    <row r="8255" spans="1:3">
      <c r="A8255" s="62">
        <v>33764</v>
      </c>
      <c r="B8255">
        <v>1.04</v>
      </c>
      <c r="C8255" t="str">
        <f t="shared" si="133"/>
        <v>1992 q2</v>
      </c>
    </row>
    <row r="8256" spans="1:3">
      <c r="A8256" s="62">
        <v>33765</v>
      </c>
      <c r="B8256">
        <v>1.0329999999999999</v>
      </c>
      <c r="C8256" t="str">
        <f t="shared" si="133"/>
        <v>1992 q2</v>
      </c>
    </row>
    <row r="8257" spans="1:3">
      <c r="A8257" s="62">
        <v>33766</v>
      </c>
      <c r="B8257">
        <v>1.0295000000000001</v>
      </c>
      <c r="C8257" t="str">
        <f t="shared" si="133"/>
        <v>1992 q2</v>
      </c>
    </row>
    <row r="8258" spans="1:3">
      <c r="A8258" s="62">
        <v>33767</v>
      </c>
      <c r="B8258">
        <v>1.034</v>
      </c>
      <c r="C8258" t="str">
        <f t="shared" si="133"/>
        <v>1992 q2</v>
      </c>
    </row>
    <row r="8259" spans="1:3">
      <c r="A8259" s="62">
        <v>33770</v>
      </c>
      <c r="B8259">
        <v>1.0345</v>
      </c>
      <c r="C8259" t="str">
        <f t="shared" si="133"/>
        <v>1992 q2</v>
      </c>
    </row>
    <row r="8260" spans="1:3">
      <c r="A8260" s="62">
        <v>33771</v>
      </c>
      <c r="B8260">
        <v>1.0355000000000001</v>
      </c>
      <c r="C8260" t="str">
        <f t="shared" si="133"/>
        <v>1992 q2</v>
      </c>
    </row>
    <row r="8261" spans="1:3">
      <c r="A8261" s="62">
        <v>33772</v>
      </c>
      <c r="B8261">
        <v>1.042</v>
      </c>
      <c r="C8261" t="str">
        <f t="shared" si="133"/>
        <v>1992 q2</v>
      </c>
    </row>
    <row r="8262" spans="1:3">
      <c r="A8262" s="62">
        <v>33773</v>
      </c>
      <c r="B8262">
        <v>1.044</v>
      </c>
      <c r="C8262" t="str">
        <f t="shared" si="133"/>
        <v>1992 q2</v>
      </c>
    </row>
    <row r="8263" spans="1:3">
      <c r="A8263" s="62">
        <v>33774</v>
      </c>
      <c r="B8263">
        <v>1.0475000000000001</v>
      </c>
      <c r="C8263" t="str">
        <f t="shared" si="133"/>
        <v>1992 q2</v>
      </c>
    </row>
    <row r="8264" spans="1:3">
      <c r="A8264" s="62">
        <v>33777</v>
      </c>
      <c r="B8264">
        <v>1.044</v>
      </c>
      <c r="C8264" t="str">
        <f t="shared" si="133"/>
        <v>1992 q2</v>
      </c>
    </row>
    <row r="8265" spans="1:3">
      <c r="A8265" s="62">
        <v>33778</v>
      </c>
      <c r="B8265">
        <v>1.048</v>
      </c>
      <c r="C8265" t="str">
        <f t="shared" si="133"/>
        <v>1992 q2</v>
      </c>
    </row>
    <row r="8266" spans="1:3">
      <c r="A8266" s="62">
        <v>33779</v>
      </c>
      <c r="B8266">
        <v>1.0685</v>
      </c>
      <c r="C8266" t="str">
        <f t="shared" si="133"/>
        <v>1992 q2</v>
      </c>
    </row>
    <row r="8267" spans="1:3">
      <c r="A8267" s="62">
        <v>33780</v>
      </c>
      <c r="B8267">
        <v>1.0778000000000001</v>
      </c>
      <c r="C8267" t="str">
        <f t="shared" si="133"/>
        <v>1992 q2</v>
      </c>
    </row>
    <row r="8268" spans="1:3">
      <c r="A8268" s="62">
        <v>33781</v>
      </c>
      <c r="B8268">
        <v>1.0750999999999999</v>
      </c>
      <c r="C8268" t="str">
        <f t="shared" si="133"/>
        <v>1992 q2</v>
      </c>
    </row>
    <row r="8269" spans="1:3">
      <c r="A8269" s="62">
        <v>33784</v>
      </c>
      <c r="B8269">
        <v>1.1066</v>
      </c>
      <c r="C8269" t="str">
        <f t="shared" si="133"/>
        <v>1992 q2</v>
      </c>
    </row>
    <row r="8270" spans="1:3">
      <c r="A8270" s="62">
        <v>33785</v>
      </c>
      <c r="B8270">
        <v>1.0966</v>
      </c>
      <c r="C8270" t="str">
        <f t="shared" si="133"/>
        <v>1992 q2</v>
      </c>
    </row>
    <row r="8271" spans="1:3">
      <c r="A8271" s="62">
        <v>33786</v>
      </c>
      <c r="B8271">
        <v>1.0985</v>
      </c>
      <c r="C8271" t="str">
        <f t="shared" si="133"/>
        <v>1992 q3</v>
      </c>
    </row>
    <row r="8272" spans="1:3">
      <c r="A8272" s="62">
        <v>33787</v>
      </c>
      <c r="B8272">
        <v>1.1200000000000001</v>
      </c>
      <c r="C8272" t="str">
        <f t="shared" si="133"/>
        <v>1992 q3</v>
      </c>
    </row>
    <row r="8273" spans="1:3">
      <c r="A8273" s="62">
        <v>33791</v>
      </c>
      <c r="B8273">
        <v>1.1165</v>
      </c>
      <c r="C8273" t="str">
        <f t="shared" si="133"/>
        <v>1992 q3</v>
      </c>
    </row>
    <row r="8274" spans="1:3">
      <c r="A8274" s="62">
        <v>33792</v>
      </c>
      <c r="B8274">
        <v>1.133</v>
      </c>
      <c r="C8274" t="str">
        <f t="shared" ref="C8274:C8337" si="134">YEAR(A8274)&amp;" q"&amp;ROUNDUP(MONTH(A8274)/3,0)</f>
        <v>1992 q3</v>
      </c>
    </row>
    <row r="8275" spans="1:3">
      <c r="A8275" s="62">
        <v>33793</v>
      </c>
      <c r="B8275">
        <v>1.1305000000000001</v>
      </c>
      <c r="C8275" t="str">
        <f t="shared" si="134"/>
        <v>1992 q3</v>
      </c>
    </row>
    <row r="8276" spans="1:3">
      <c r="A8276" s="62">
        <v>33794</v>
      </c>
      <c r="B8276">
        <v>1.1154999999999999</v>
      </c>
      <c r="C8276" t="str">
        <f t="shared" si="134"/>
        <v>1992 q3</v>
      </c>
    </row>
    <row r="8277" spans="1:3">
      <c r="A8277" s="62">
        <v>33795</v>
      </c>
      <c r="B8277">
        <v>1.1345000000000001</v>
      </c>
      <c r="C8277" t="str">
        <f t="shared" si="134"/>
        <v>1992 q3</v>
      </c>
    </row>
    <row r="8278" spans="1:3">
      <c r="A8278" s="62">
        <v>33798</v>
      </c>
      <c r="B8278">
        <v>1.1274999999999999</v>
      </c>
      <c r="C8278" t="str">
        <f t="shared" si="134"/>
        <v>1992 q3</v>
      </c>
    </row>
    <row r="8279" spans="1:3">
      <c r="A8279" s="62">
        <v>33799</v>
      </c>
      <c r="B8279">
        <v>1.1439999999999999</v>
      </c>
      <c r="C8279" t="str">
        <f t="shared" si="134"/>
        <v>1992 q3</v>
      </c>
    </row>
    <row r="8280" spans="1:3">
      <c r="A8280" s="62">
        <v>33800</v>
      </c>
      <c r="B8280">
        <v>1.1579999999999999</v>
      </c>
      <c r="C8280" t="str">
        <f t="shared" si="134"/>
        <v>1992 q3</v>
      </c>
    </row>
    <row r="8281" spans="1:3">
      <c r="A8281" s="62">
        <v>33801</v>
      </c>
      <c r="B8281">
        <v>1.1635</v>
      </c>
      <c r="C8281" t="str">
        <f t="shared" si="134"/>
        <v>1992 q3</v>
      </c>
    </row>
    <row r="8282" spans="1:3">
      <c r="A8282" s="62">
        <v>33802</v>
      </c>
      <c r="B8282">
        <v>1.1519999999999999</v>
      </c>
      <c r="C8282" t="str">
        <f t="shared" si="134"/>
        <v>1992 q3</v>
      </c>
    </row>
    <row r="8283" spans="1:3">
      <c r="A8283" s="62">
        <v>33805</v>
      </c>
      <c r="B8283">
        <v>1.1499999999999999</v>
      </c>
      <c r="C8283" t="str">
        <f t="shared" si="134"/>
        <v>1992 q3</v>
      </c>
    </row>
    <row r="8284" spans="1:3">
      <c r="A8284" s="62">
        <v>33806</v>
      </c>
      <c r="B8284">
        <v>1.155</v>
      </c>
      <c r="C8284" t="str">
        <f t="shared" si="134"/>
        <v>1992 q3</v>
      </c>
    </row>
    <row r="8285" spans="1:3">
      <c r="A8285" s="62">
        <v>33807</v>
      </c>
      <c r="B8285">
        <v>1.1515</v>
      </c>
      <c r="C8285" t="str">
        <f t="shared" si="134"/>
        <v>1992 q3</v>
      </c>
    </row>
    <row r="8286" spans="1:3">
      <c r="A8286" s="62">
        <v>33808</v>
      </c>
      <c r="B8286">
        <v>1.155</v>
      </c>
      <c r="C8286" t="str">
        <f t="shared" si="134"/>
        <v>1992 q3</v>
      </c>
    </row>
    <row r="8287" spans="1:3">
      <c r="A8287" s="62">
        <v>33809</v>
      </c>
      <c r="B8287">
        <v>1.153</v>
      </c>
      <c r="C8287" t="str">
        <f t="shared" si="134"/>
        <v>1992 q3</v>
      </c>
    </row>
    <row r="8288" spans="1:3">
      <c r="A8288" s="62">
        <v>33812</v>
      </c>
      <c r="B8288">
        <v>1.1475</v>
      </c>
      <c r="C8288" t="str">
        <f t="shared" si="134"/>
        <v>1992 q3</v>
      </c>
    </row>
    <row r="8289" spans="1:3">
      <c r="A8289" s="62">
        <v>33813</v>
      </c>
      <c r="B8289">
        <v>1.149</v>
      </c>
      <c r="C8289" t="str">
        <f t="shared" si="134"/>
        <v>1992 q3</v>
      </c>
    </row>
    <row r="8290" spans="1:3">
      <c r="A8290" s="62">
        <v>33814</v>
      </c>
      <c r="B8290">
        <v>1.1395</v>
      </c>
      <c r="C8290" t="str">
        <f t="shared" si="134"/>
        <v>1992 q3</v>
      </c>
    </row>
    <row r="8291" spans="1:3">
      <c r="A8291" s="62">
        <v>33815</v>
      </c>
      <c r="B8291">
        <v>1.1335</v>
      </c>
      <c r="C8291" t="str">
        <f t="shared" si="134"/>
        <v>1992 q3</v>
      </c>
    </row>
    <row r="8292" spans="1:3">
      <c r="A8292" s="62">
        <v>33816</v>
      </c>
      <c r="B8292">
        <v>1.125</v>
      </c>
      <c r="C8292" t="str">
        <f t="shared" si="134"/>
        <v>1992 q3</v>
      </c>
    </row>
    <row r="8293" spans="1:3">
      <c r="A8293" s="62">
        <v>33819</v>
      </c>
      <c r="B8293">
        <v>1.1205000000000001</v>
      </c>
      <c r="C8293" t="str">
        <f t="shared" si="134"/>
        <v>1992 q3</v>
      </c>
    </row>
    <row r="8294" spans="1:3">
      <c r="A8294" s="62">
        <v>33820</v>
      </c>
      <c r="B8294">
        <v>1.1259999999999999</v>
      </c>
      <c r="C8294" t="str">
        <f t="shared" si="134"/>
        <v>1992 q3</v>
      </c>
    </row>
    <row r="8295" spans="1:3">
      <c r="A8295" s="62">
        <v>33821</v>
      </c>
      <c r="B8295">
        <v>1.1305000000000001</v>
      </c>
      <c r="C8295" t="str">
        <f t="shared" si="134"/>
        <v>1992 q3</v>
      </c>
    </row>
    <row r="8296" spans="1:3">
      <c r="A8296" s="62">
        <v>33822</v>
      </c>
      <c r="B8296">
        <v>1.1335</v>
      </c>
      <c r="C8296" t="str">
        <f t="shared" si="134"/>
        <v>1992 q3</v>
      </c>
    </row>
    <row r="8297" spans="1:3">
      <c r="A8297" s="62">
        <v>33823</v>
      </c>
      <c r="B8297">
        <v>1.1379999999999999</v>
      </c>
      <c r="C8297" t="str">
        <f t="shared" si="134"/>
        <v>1992 q3</v>
      </c>
    </row>
    <row r="8298" spans="1:3">
      <c r="A8298" s="62">
        <v>33826</v>
      </c>
      <c r="B8298">
        <v>1.1265000000000001</v>
      </c>
      <c r="C8298" t="str">
        <f t="shared" si="134"/>
        <v>1992 q3</v>
      </c>
    </row>
    <row r="8299" spans="1:3">
      <c r="A8299" s="62">
        <v>33827</v>
      </c>
      <c r="B8299">
        <v>1.1265000000000001</v>
      </c>
      <c r="C8299" t="str">
        <f t="shared" si="134"/>
        <v>1992 q3</v>
      </c>
    </row>
    <row r="8300" spans="1:3">
      <c r="A8300" s="62">
        <v>33828</v>
      </c>
      <c r="B8300">
        <v>1.1134999999999999</v>
      </c>
      <c r="C8300" t="str">
        <f t="shared" si="134"/>
        <v>1992 q3</v>
      </c>
    </row>
    <row r="8301" spans="1:3">
      <c r="A8301" s="62">
        <v>33829</v>
      </c>
      <c r="B8301">
        <v>1.1165</v>
      </c>
      <c r="C8301" t="str">
        <f t="shared" si="134"/>
        <v>1992 q3</v>
      </c>
    </row>
    <row r="8302" spans="1:3">
      <c r="A8302" s="62">
        <v>33830</v>
      </c>
      <c r="B8302">
        <v>1.113</v>
      </c>
      <c r="C8302" t="str">
        <f t="shared" si="134"/>
        <v>1992 q3</v>
      </c>
    </row>
    <row r="8303" spans="1:3">
      <c r="A8303" s="62">
        <v>33833</v>
      </c>
      <c r="B8303">
        <v>1.1539999999999999</v>
      </c>
      <c r="C8303" t="str">
        <f t="shared" si="134"/>
        <v>1992 q3</v>
      </c>
    </row>
    <row r="8304" spans="1:3">
      <c r="A8304" s="62">
        <v>33834</v>
      </c>
      <c r="B8304">
        <v>1.149</v>
      </c>
      <c r="C8304" t="str">
        <f t="shared" si="134"/>
        <v>1992 q3</v>
      </c>
    </row>
    <row r="8305" spans="1:3">
      <c r="A8305" s="62">
        <v>33835</v>
      </c>
      <c r="B8305">
        <v>1.1455</v>
      </c>
      <c r="C8305" t="str">
        <f t="shared" si="134"/>
        <v>1992 q3</v>
      </c>
    </row>
    <row r="8306" spans="1:3">
      <c r="A8306" s="62">
        <v>33836</v>
      </c>
      <c r="B8306">
        <v>1.1365000000000001</v>
      </c>
      <c r="C8306" t="str">
        <f t="shared" si="134"/>
        <v>1992 q3</v>
      </c>
    </row>
    <row r="8307" spans="1:3">
      <c r="A8307" s="62">
        <v>33837</v>
      </c>
      <c r="B8307">
        <v>1.133</v>
      </c>
      <c r="C8307" t="str">
        <f t="shared" si="134"/>
        <v>1992 q3</v>
      </c>
    </row>
    <row r="8308" spans="1:3">
      <c r="A8308" s="62">
        <v>33840</v>
      </c>
      <c r="B8308">
        <v>1.137</v>
      </c>
      <c r="C8308" t="str">
        <f t="shared" si="134"/>
        <v>1992 q3</v>
      </c>
    </row>
    <row r="8309" spans="1:3">
      <c r="A8309" s="62">
        <v>33841</v>
      </c>
      <c r="B8309">
        <v>1.123</v>
      </c>
      <c r="C8309" t="str">
        <f t="shared" si="134"/>
        <v>1992 q3</v>
      </c>
    </row>
    <row r="8310" spans="1:3">
      <c r="A8310" s="62">
        <v>33842</v>
      </c>
      <c r="B8310">
        <v>1.1174999999999999</v>
      </c>
      <c r="C8310" t="str">
        <f t="shared" si="134"/>
        <v>1992 q3</v>
      </c>
    </row>
    <row r="8311" spans="1:3">
      <c r="A8311" s="62">
        <v>33843</v>
      </c>
      <c r="B8311">
        <v>1.1193</v>
      </c>
      <c r="C8311" t="str">
        <f t="shared" si="134"/>
        <v>1992 q3</v>
      </c>
    </row>
    <row r="8312" spans="1:3">
      <c r="A8312" s="62">
        <v>33844</v>
      </c>
      <c r="B8312">
        <v>1.1066</v>
      </c>
      <c r="C8312" t="str">
        <f t="shared" si="134"/>
        <v>1992 q3</v>
      </c>
    </row>
    <row r="8313" spans="1:3">
      <c r="A8313" s="62">
        <v>33847</v>
      </c>
      <c r="B8313">
        <v>1.1057999999999999</v>
      </c>
      <c r="C8313" t="str">
        <f t="shared" si="134"/>
        <v>1992 q3</v>
      </c>
    </row>
    <row r="8314" spans="1:3">
      <c r="A8314" s="62">
        <v>33848</v>
      </c>
      <c r="B8314">
        <v>1.125</v>
      </c>
      <c r="C8314" t="str">
        <f t="shared" si="134"/>
        <v>1992 q3</v>
      </c>
    </row>
    <row r="8315" spans="1:3">
      <c r="A8315" s="62">
        <v>33849</v>
      </c>
      <c r="B8315">
        <v>1.1245000000000001</v>
      </c>
      <c r="C8315" t="str">
        <f t="shared" si="134"/>
        <v>1992 q3</v>
      </c>
    </row>
    <row r="8316" spans="1:3">
      <c r="A8316" s="62">
        <v>33850</v>
      </c>
      <c r="B8316">
        <v>1.1125</v>
      </c>
      <c r="C8316" t="str">
        <f t="shared" si="134"/>
        <v>1992 q3</v>
      </c>
    </row>
    <row r="8317" spans="1:3">
      <c r="A8317" s="62">
        <v>33851</v>
      </c>
      <c r="B8317">
        <v>1.125</v>
      </c>
      <c r="C8317" t="str">
        <f t="shared" si="134"/>
        <v>1992 q3</v>
      </c>
    </row>
    <row r="8318" spans="1:3">
      <c r="A8318" s="62">
        <v>33855</v>
      </c>
      <c r="B8318">
        <v>1.1045</v>
      </c>
      <c r="C8318" t="str">
        <f t="shared" si="134"/>
        <v>1992 q3</v>
      </c>
    </row>
    <row r="8319" spans="1:3">
      <c r="A8319" s="62">
        <v>33856</v>
      </c>
      <c r="B8319">
        <v>1.0980000000000001</v>
      </c>
      <c r="C8319" t="str">
        <f t="shared" si="134"/>
        <v>1992 q3</v>
      </c>
    </row>
    <row r="8320" spans="1:3">
      <c r="A8320" s="62">
        <v>33857</v>
      </c>
      <c r="B8320">
        <v>1.0694999999999999</v>
      </c>
      <c r="C8320" t="str">
        <f t="shared" si="134"/>
        <v>1992 q3</v>
      </c>
    </row>
    <row r="8321" spans="1:3">
      <c r="A8321" s="62">
        <v>33858</v>
      </c>
      <c r="B8321">
        <v>1.07</v>
      </c>
      <c r="C8321" t="str">
        <f t="shared" si="134"/>
        <v>1992 q3</v>
      </c>
    </row>
    <row r="8322" spans="1:3">
      <c r="A8322" s="62">
        <v>33861</v>
      </c>
      <c r="B8322">
        <v>1.0845</v>
      </c>
      <c r="C8322" t="str">
        <f t="shared" si="134"/>
        <v>1992 q3</v>
      </c>
    </row>
    <row r="8323" spans="1:3">
      <c r="A8323" s="62">
        <v>33862</v>
      </c>
      <c r="B8323">
        <v>1.079</v>
      </c>
      <c r="C8323" t="str">
        <f t="shared" si="134"/>
        <v>1992 q3</v>
      </c>
    </row>
    <row r="8324" spans="1:3">
      <c r="A8324" s="62">
        <v>33863</v>
      </c>
      <c r="B8324">
        <v>1.0840000000000001</v>
      </c>
      <c r="C8324" t="str">
        <f t="shared" si="134"/>
        <v>1992 q3</v>
      </c>
    </row>
    <row r="8325" spans="1:3">
      <c r="A8325" s="62">
        <v>33864</v>
      </c>
      <c r="B8325">
        <v>1.0845</v>
      </c>
      <c r="C8325" t="str">
        <f t="shared" si="134"/>
        <v>1992 q3</v>
      </c>
    </row>
    <row r="8326" spans="1:3">
      <c r="A8326" s="62">
        <v>33865</v>
      </c>
      <c r="B8326">
        <v>1.0880000000000001</v>
      </c>
      <c r="C8326" t="str">
        <f t="shared" si="134"/>
        <v>1992 q3</v>
      </c>
    </row>
    <row r="8327" spans="1:3">
      <c r="A8327" s="62">
        <v>33868</v>
      </c>
      <c r="B8327">
        <v>1.0840000000000001</v>
      </c>
      <c r="C8327" t="str">
        <f t="shared" si="134"/>
        <v>1992 q3</v>
      </c>
    </row>
    <row r="8328" spans="1:3">
      <c r="A8328" s="62">
        <v>33869</v>
      </c>
      <c r="B8328">
        <v>1.0705</v>
      </c>
      <c r="C8328" t="str">
        <f t="shared" si="134"/>
        <v>1992 q3</v>
      </c>
    </row>
    <row r="8329" spans="1:3">
      <c r="A8329" s="62">
        <v>33870</v>
      </c>
      <c r="B8329">
        <v>1.0669999999999999</v>
      </c>
      <c r="C8329" t="str">
        <f t="shared" si="134"/>
        <v>1992 q3</v>
      </c>
    </row>
    <row r="8330" spans="1:3">
      <c r="A8330" s="62">
        <v>33871</v>
      </c>
      <c r="B8330">
        <v>1.0745</v>
      </c>
      <c r="C8330" t="str">
        <f t="shared" si="134"/>
        <v>1992 q3</v>
      </c>
    </row>
    <row r="8331" spans="1:3">
      <c r="A8331" s="62">
        <v>33872</v>
      </c>
      <c r="B8331">
        <v>1.0669999999999999</v>
      </c>
      <c r="C8331" t="str">
        <f t="shared" si="134"/>
        <v>1992 q3</v>
      </c>
    </row>
    <row r="8332" spans="1:3">
      <c r="A8332" s="62">
        <v>33875</v>
      </c>
      <c r="B8332">
        <v>1.048</v>
      </c>
      <c r="C8332" t="str">
        <f t="shared" si="134"/>
        <v>1992 q3</v>
      </c>
    </row>
    <row r="8333" spans="1:3">
      <c r="A8333" s="62">
        <v>33876</v>
      </c>
      <c r="B8333">
        <v>1.0529999999999999</v>
      </c>
      <c r="C8333" t="str">
        <f t="shared" si="134"/>
        <v>1992 q3</v>
      </c>
    </row>
    <row r="8334" spans="1:3">
      <c r="A8334" s="62">
        <v>33877</v>
      </c>
      <c r="B8334">
        <v>1.0475000000000001</v>
      </c>
      <c r="C8334" t="str">
        <f t="shared" si="134"/>
        <v>1992 q3</v>
      </c>
    </row>
    <row r="8335" spans="1:3">
      <c r="A8335" s="62">
        <v>33878</v>
      </c>
      <c r="B8335">
        <v>1.0329999999999999</v>
      </c>
      <c r="C8335" t="str">
        <f t="shared" si="134"/>
        <v>1992 q4</v>
      </c>
    </row>
    <row r="8336" spans="1:3">
      <c r="A8336" s="62">
        <v>33879</v>
      </c>
      <c r="B8336">
        <v>1.014</v>
      </c>
      <c r="C8336" t="str">
        <f t="shared" si="134"/>
        <v>1992 q4</v>
      </c>
    </row>
    <row r="8337" spans="1:3">
      <c r="A8337" s="62">
        <v>33882</v>
      </c>
      <c r="B8337">
        <v>1.0145</v>
      </c>
      <c r="C8337" t="str">
        <f t="shared" si="134"/>
        <v>1992 q4</v>
      </c>
    </row>
    <row r="8338" spans="1:3">
      <c r="A8338" s="62">
        <v>33883</v>
      </c>
      <c r="B8338">
        <v>1.0255000000000001</v>
      </c>
      <c r="C8338" t="str">
        <f t="shared" ref="C8338:C8401" si="135">YEAR(A8338)&amp;" q"&amp;ROUNDUP(MONTH(A8338)/3,0)</f>
        <v>1992 q4</v>
      </c>
    </row>
    <row r="8339" spans="1:3">
      <c r="A8339" s="62">
        <v>33884</v>
      </c>
      <c r="B8339">
        <v>1.0169999999999999</v>
      </c>
      <c r="C8339" t="str">
        <f t="shared" si="135"/>
        <v>1992 q4</v>
      </c>
    </row>
    <row r="8340" spans="1:3">
      <c r="A8340" s="62">
        <v>33885</v>
      </c>
      <c r="B8340">
        <v>1.0149999999999999</v>
      </c>
      <c r="C8340" t="str">
        <f t="shared" si="135"/>
        <v>1992 q4</v>
      </c>
    </row>
    <row r="8341" spans="1:3">
      <c r="A8341" s="62">
        <v>33886</v>
      </c>
      <c r="B8341">
        <v>1.016</v>
      </c>
      <c r="C8341" t="str">
        <f t="shared" si="135"/>
        <v>1992 q4</v>
      </c>
    </row>
    <row r="8342" spans="1:3">
      <c r="A8342" s="62">
        <v>33889</v>
      </c>
      <c r="B8342">
        <v>1.0044999999999999</v>
      </c>
      <c r="C8342" t="str">
        <f t="shared" si="135"/>
        <v>1992 q4</v>
      </c>
    </row>
    <row r="8343" spans="1:3">
      <c r="A8343" s="62">
        <v>33890</v>
      </c>
      <c r="B8343">
        <v>1.0004999999999999</v>
      </c>
      <c r="C8343" t="str">
        <f t="shared" si="135"/>
        <v>1992 q4</v>
      </c>
    </row>
    <row r="8344" spans="1:3">
      <c r="A8344" s="62">
        <v>33891</v>
      </c>
      <c r="B8344">
        <v>1</v>
      </c>
      <c r="C8344" t="str">
        <f t="shared" si="135"/>
        <v>1992 q4</v>
      </c>
    </row>
    <row r="8345" spans="1:3">
      <c r="A8345" s="62">
        <v>33892</v>
      </c>
      <c r="B8345">
        <v>1.006</v>
      </c>
      <c r="C8345" t="str">
        <f t="shared" si="135"/>
        <v>1992 q4</v>
      </c>
    </row>
    <row r="8346" spans="1:3">
      <c r="A8346" s="62">
        <v>33893</v>
      </c>
      <c r="B8346">
        <v>1</v>
      </c>
      <c r="C8346" t="str">
        <f t="shared" si="135"/>
        <v>1992 q4</v>
      </c>
    </row>
    <row r="8347" spans="1:3">
      <c r="A8347" s="62">
        <v>33896</v>
      </c>
      <c r="B8347">
        <v>0.996</v>
      </c>
      <c r="C8347" t="str">
        <f t="shared" si="135"/>
        <v>1992 q4</v>
      </c>
    </row>
    <row r="8348" spans="1:3">
      <c r="A8348" s="62">
        <v>33897</v>
      </c>
      <c r="B8348">
        <v>1.0044999999999999</v>
      </c>
      <c r="C8348" t="str">
        <f t="shared" si="135"/>
        <v>1992 q4</v>
      </c>
    </row>
    <row r="8349" spans="1:3">
      <c r="A8349" s="62">
        <v>33898</v>
      </c>
      <c r="B8349">
        <v>1.0075000000000001</v>
      </c>
      <c r="C8349" t="str">
        <f t="shared" si="135"/>
        <v>1992 q4</v>
      </c>
    </row>
    <row r="8350" spans="1:3">
      <c r="A8350" s="62">
        <v>33899</v>
      </c>
      <c r="B8350">
        <v>1.0004999999999999</v>
      </c>
      <c r="C8350" t="str">
        <f t="shared" si="135"/>
        <v>1992 q4</v>
      </c>
    </row>
    <row r="8351" spans="1:3">
      <c r="A8351" s="62">
        <v>33900</v>
      </c>
      <c r="B8351">
        <v>0.99099999999999999</v>
      </c>
      <c r="C8351" t="str">
        <f t="shared" si="135"/>
        <v>1992 q4</v>
      </c>
    </row>
    <row r="8352" spans="1:3">
      <c r="A8352" s="62">
        <v>33903</v>
      </c>
      <c r="B8352">
        <v>1.0009999999999999</v>
      </c>
      <c r="C8352" t="str">
        <f t="shared" si="135"/>
        <v>1992 q4</v>
      </c>
    </row>
    <row r="8353" spans="1:3">
      <c r="A8353" s="62">
        <v>33904</v>
      </c>
      <c r="B8353">
        <v>1.0049999999999999</v>
      </c>
      <c r="C8353" t="str">
        <f t="shared" si="135"/>
        <v>1992 q4</v>
      </c>
    </row>
    <row r="8354" spans="1:3">
      <c r="A8354" s="62">
        <v>33905</v>
      </c>
      <c r="B8354">
        <v>1.012</v>
      </c>
      <c r="C8354" t="str">
        <f t="shared" si="135"/>
        <v>1992 q4</v>
      </c>
    </row>
    <row r="8355" spans="1:3">
      <c r="A8355" s="62">
        <v>33906</v>
      </c>
      <c r="B8355">
        <v>1.0195000000000001</v>
      </c>
      <c r="C8355" t="str">
        <f t="shared" si="135"/>
        <v>1992 q4</v>
      </c>
    </row>
    <row r="8356" spans="1:3">
      <c r="A8356" s="62">
        <v>33907</v>
      </c>
      <c r="B8356">
        <v>1.014</v>
      </c>
      <c r="C8356" t="str">
        <f t="shared" si="135"/>
        <v>1992 q4</v>
      </c>
    </row>
    <row r="8357" spans="1:3">
      <c r="A8357" s="62">
        <v>33910</v>
      </c>
      <c r="B8357">
        <v>0.99450000000000005</v>
      </c>
      <c r="C8357" t="str">
        <f t="shared" si="135"/>
        <v>1992 q4</v>
      </c>
    </row>
    <row r="8358" spans="1:3">
      <c r="A8358" s="62">
        <v>33911</v>
      </c>
      <c r="B8358">
        <v>0.99650000000000005</v>
      </c>
      <c r="C8358" t="str">
        <f t="shared" si="135"/>
        <v>1992 q4</v>
      </c>
    </row>
    <row r="8359" spans="1:3">
      <c r="A8359" s="62">
        <v>33912</v>
      </c>
      <c r="B8359">
        <v>0.99150000000000005</v>
      </c>
      <c r="C8359" t="str">
        <f t="shared" si="135"/>
        <v>1992 q4</v>
      </c>
    </row>
    <row r="8360" spans="1:3">
      <c r="A8360" s="62">
        <v>33913</v>
      </c>
      <c r="B8360">
        <v>0.97799999999999998</v>
      </c>
      <c r="C8360" t="str">
        <f t="shared" si="135"/>
        <v>1992 q4</v>
      </c>
    </row>
    <row r="8361" spans="1:3">
      <c r="A8361" s="62">
        <v>33914</v>
      </c>
      <c r="B8361">
        <v>0.96350000000000002</v>
      </c>
      <c r="C8361" t="str">
        <f t="shared" si="135"/>
        <v>1992 q4</v>
      </c>
    </row>
    <row r="8362" spans="1:3">
      <c r="A8362" s="62">
        <v>33917</v>
      </c>
      <c r="B8362">
        <v>0.94799999999999995</v>
      </c>
      <c r="C8362" t="str">
        <f t="shared" si="135"/>
        <v>1992 q4</v>
      </c>
    </row>
    <row r="8363" spans="1:3">
      <c r="A8363" s="62">
        <v>33918</v>
      </c>
      <c r="B8363">
        <v>0.95599999999999996</v>
      </c>
      <c r="C8363" t="str">
        <f t="shared" si="135"/>
        <v>1992 q4</v>
      </c>
    </row>
    <row r="8364" spans="1:3">
      <c r="A8364" s="62">
        <v>33919</v>
      </c>
      <c r="B8364">
        <v>0.96599999999999997</v>
      </c>
      <c r="C8364" t="str">
        <f t="shared" si="135"/>
        <v>1992 q4</v>
      </c>
    </row>
    <row r="8365" spans="1:3">
      <c r="A8365" s="62">
        <v>33920</v>
      </c>
      <c r="B8365">
        <v>0.95399999999999996</v>
      </c>
      <c r="C8365" t="str">
        <f t="shared" si="135"/>
        <v>1992 q4</v>
      </c>
    </row>
    <row r="8366" spans="1:3">
      <c r="A8366" s="62">
        <v>33921</v>
      </c>
      <c r="B8366">
        <v>0.94699999999999995</v>
      </c>
      <c r="C8366" t="str">
        <f t="shared" si="135"/>
        <v>1992 q4</v>
      </c>
    </row>
    <row r="8367" spans="1:3">
      <c r="A8367" s="62">
        <v>33924</v>
      </c>
      <c r="B8367">
        <v>0.95899999999999996</v>
      </c>
      <c r="C8367" t="str">
        <f t="shared" si="135"/>
        <v>1992 q4</v>
      </c>
    </row>
    <row r="8368" spans="1:3">
      <c r="A8368" s="62">
        <v>33925</v>
      </c>
      <c r="B8368">
        <v>0.95650000000000002</v>
      </c>
      <c r="C8368" t="str">
        <f t="shared" si="135"/>
        <v>1992 q4</v>
      </c>
    </row>
    <row r="8369" spans="1:3">
      <c r="A8369" s="62">
        <v>33926</v>
      </c>
      <c r="B8369">
        <v>0.95550000000000002</v>
      </c>
      <c r="C8369" t="str">
        <f t="shared" si="135"/>
        <v>1992 q4</v>
      </c>
    </row>
    <row r="8370" spans="1:3">
      <c r="A8370" s="62">
        <v>33927</v>
      </c>
      <c r="B8370">
        <v>0.95499999999999996</v>
      </c>
      <c r="C8370" t="str">
        <f t="shared" si="135"/>
        <v>1992 q4</v>
      </c>
    </row>
    <row r="8371" spans="1:3">
      <c r="A8371" s="62">
        <v>33928</v>
      </c>
      <c r="B8371">
        <v>0.95399999999999996</v>
      </c>
      <c r="C8371" t="str">
        <f t="shared" si="135"/>
        <v>1992 q4</v>
      </c>
    </row>
    <row r="8372" spans="1:3">
      <c r="A8372" s="62">
        <v>33931</v>
      </c>
      <c r="B8372">
        <v>0.95550000000000002</v>
      </c>
      <c r="C8372" t="str">
        <f t="shared" si="135"/>
        <v>1992 q4</v>
      </c>
    </row>
    <row r="8373" spans="1:3">
      <c r="A8373" s="62">
        <v>33932</v>
      </c>
      <c r="B8373">
        <v>0.95630000000000004</v>
      </c>
      <c r="C8373" t="str">
        <f t="shared" si="135"/>
        <v>1992 q4</v>
      </c>
    </row>
    <row r="8374" spans="1:3">
      <c r="A8374" s="62">
        <v>33933</v>
      </c>
      <c r="B8374">
        <v>0.96050000000000002</v>
      </c>
      <c r="C8374" t="str">
        <f t="shared" si="135"/>
        <v>1992 q4</v>
      </c>
    </row>
    <row r="8375" spans="1:3">
      <c r="A8375" s="62">
        <v>33935</v>
      </c>
      <c r="B8375">
        <v>0.98499999999999999</v>
      </c>
      <c r="C8375" t="str">
        <f t="shared" si="135"/>
        <v>1992 q4</v>
      </c>
    </row>
    <row r="8376" spans="1:3">
      <c r="A8376" s="62">
        <v>33938</v>
      </c>
      <c r="B8376">
        <v>0.98</v>
      </c>
      <c r="C8376" t="str">
        <f t="shared" si="135"/>
        <v>1992 q4</v>
      </c>
    </row>
    <row r="8377" spans="1:3">
      <c r="A8377" s="62">
        <v>33939</v>
      </c>
      <c r="B8377">
        <v>0.96950000000000003</v>
      </c>
      <c r="C8377" t="str">
        <f t="shared" si="135"/>
        <v>1992 q4</v>
      </c>
    </row>
    <row r="8378" spans="1:3">
      <c r="A8378" s="62">
        <v>33940</v>
      </c>
      <c r="B8378">
        <v>0.97399999999999998</v>
      </c>
      <c r="C8378" t="str">
        <f t="shared" si="135"/>
        <v>1992 q4</v>
      </c>
    </row>
    <row r="8379" spans="1:3">
      <c r="A8379" s="62">
        <v>33941</v>
      </c>
      <c r="B8379">
        <v>0.96899999999999997</v>
      </c>
      <c r="C8379" t="str">
        <f t="shared" si="135"/>
        <v>1992 q4</v>
      </c>
    </row>
    <row r="8380" spans="1:3">
      <c r="A8380" s="62">
        <v>33942</v>
      </c>
      <c r="B8380">
        <v>0.97299999999999998</v>
      </c>
      <c r="C8380" t="str">
        <f t="shared" si="135"/>
        <v>1992 q4</v>
      </c>
    </row>
    <row r="8381" spans="1:3">
      <c r="A8381" s="62">
        <v>33945</v>
      </c>
      <c r="B8381">
        <v>0.99099999999999999</v>
      </c>
      <c r="C8381" t="str">
        <f t="shared" si="135"/>
        <v>1992 q4</v>
      </c>
    </row>
    <row r="8382" spans="1:3">
      <c r="A8382" s="62">
        <v>33946</v>
      </c>
      <c r="B8382">
        <v>0.98699999999999999</v>
      </c>
      <c r="C8382" t="str">
        <f t="shared" si="135"/>
        <v>1992 q4</v>
      </c>
    </row>
    <row r="8383" spans="1:3">
      <c r="A8383" s="62">
        <v>33947</v>
      </c>
      <c r="B8383">
        <v>0.98299999999999998</v>
      </c>
      <c r="C8383" t="str">
        <f t="shared" si="135"/>
        <v>1992 q4</v>
      </c>
    </row>
    <row r="8384" spans="1:3">
      <c r="A8384" s="62">
        <v>33948</v>
      </c>
      <c r="B8384">
        <v>0.97599999999999998</v>
      </c>
      <c r="C8384" t="str">
        <f t="shared" si="135"/>
        <v>1992 q4</v>
      </c>
    </row>
    <row r="8385" spans="1:3">
      <c r="A8385" s="62">
        <v>33949</v>
      </c>
      <c r="B8385">
        <v>0.97899999999999998</v>
      </c>
      <c r="C8385" t="str">
        <f t="shared" si="135"/>
        <v>1992 q4</v>
      </c>
    </row>
    <row r="8386" spans="1:3">
      <c r="A8386" s="62">
        <v>33952</v>
      </c>
      <c r="B8386">
        <v>0.98150000000000004</v>
      </c>
      <c r="C8386" t="str">
        <f t="shared" si="135"/>
        <v>1992 q4</v>
      </c>
    </row>
    <row r="8387" spans="1:3">
      <c r="A8387" s="62">
        <v>33953</v>
      </c>
      <c r="B8387">
        <v>0.99150000000000005</v>
      </c>
      <c r="C8387" t="str">
        <f t="shared" si="135"/>
        <v>1992 q4</v>
      </c>
    </row>
    <row r="8388" spans="1:3">
      <c r="A8388" s="62">
        <v>33954</v>
      </c>
      <c r="B8388">
        <v>0.98850000000000005</v>
      </c>
      <c r="C8388" t="str">
        <f t="shared" si="135"/>
        <v>1992 q4</v>
      </c>
    </row>
    <row r="8389" spans="1:3">
      <c r="A8389" s="62">
        <v>33955</v>
      </c>
      <c r="B8389">
        <v>0.98850000000000005</v>
      </c>
      <c r="C8389" t="str">
        <f t="shared" si="135"/>
        <v>1992 q4</v>
      </c>
    </row>
    <row r="8390" spans="1:3">
      <c r="A8390" s="62">
        <v>33956</v>
      </c>
      <c r="B8390">
        <v>0.99750000000000005</v>
      </c>
      <c r="C8390" t="str">
        <f t="shared" si="135"/>
        <v>1992 q4</v>
      </c>
    </row>
    <row r="8391" spans="1:3">
      <c r="A8391" s="62">
        <v>33959</v>
      </c>
      <c r="B8391">
        <v>1.0125</v>
      </c>
      <c r="C8391" t="str">
        <f t="shared" si="135"/>
        <v>1992 q4</v>
      </c>
    </row>
    <row r="8392" spans="1:3">
      <c r="A8392" s="62">
        <v>33960</v>
      </c>
      <c r="B8392">
        <v>1.014</v>
      </c>
      <c r="C8392" t="str">
        <f t="shared" si="135"/>
        <v>1992 q4</v>
      </c>
    </row>
    <row r="8393" spans="1:3">
      <c r="A8393" s="62">
        <v>33961</v>
      </c>
      <c r="B8393">
        <v>1.0035000000000001</v>
      </c>
      <c r="C8393" t="str">
        <f t="shared" si="135"/>
        <v>1992 q4</v>
      </c>
    </row>
    <row r="8394" spans="1:3">
      <c r="A8394" s="62">
        <v>33962</v>
      </c>
      <c r="B8394">
        <v>1.016</v>
      </c>
      <c r="C8394" t="str">
        <f t="shared" si="135"/>
        <v>1992 q4</v>
      </c>
    </row>
    <row r="8395" spans="1:3">
      <c r="A8395" s="62">
        <v>33966</v>
      </c>
      <c r="B8395">
        <v>1.0136000000000001</v>
      </c>
      <c r="C8395" t="str">
        <f t="shared" si="135"/>
        <v>1992 q4</v>
      </c>
    </row>
    <row r="8396" spans="1:3">
      <c r="A8396" s="62">
        <v>33967</v>
      </c>
      <c r="B8396">
        <v>1.0219</v>
      </c>
      <c r="C8396" t="str">
        <f t="shared" si="135"/>
        <v>1992 q4</v>
      </c>
    </row>
    <row r="8397" spans="1:3">
      <c r="A8397" s="62">
        <v>33968</v>
      </c>
      <c r="B8397">
        <v>1.0246999999999999</v>
      </c>
      <c r="C8397" t="str">
        <f t="shared" si="135"/>
        <v>1992 q4</v>
      </c>
    </row>
    <row r="8398" spans="1:3">
      <c r="A8398" s="62">
        <v>33969</v>
      </c>
      <c r="B8398">
        <v>1.0344</v>
      </c>
      <c r="C8398" t="str">
        <f t="shared" si="135"/>
        <v>1992 q4</v>
      </c>
    </row>
    <row r="8399" spans="1:3">
      <c r="A8399" s="62">
        <v>33973</v>
      </c>
      <c r="B8399">
        <v>1.0640000000000001</v>
      </c>
      <c r="C8399" t="str">
        <f t="shared" si="135"/>
        <v>1993 q1</v>
      </c>
    </row>
    <row r="8400" spans="1:3">
      <c r="A8400" s="62">
        <v>33974</v>
      </c>
      <c r="B8400">
        <v>1.0605</v>
      </c>
      <c r="C8400" t="str">
        <f t="shared" si="135"/>
        <v>1993 q1</v>
      </c>
    </row>
    <row r="8401" spans="1:3">
      <c r="A8401" s="62">
        <v>33975</v>
      </c>
      <c r="B8401">
        <v>1.0595000000000001</v>
      </c>
      <c r="C8401" t="str">
        <f t="shared" si="135"/>
        <v>1993 q1</v>
      </c>
    </row>
    <row r="8402" spans="1:3">
      <c r="A8402" s="62">
        <v>33976</v>
      </c>
      <c r="B8402">
        <v>1.0615000000000001</v>
      </c>
      <c r="C8402" t="str">
        <f t="shared" ref="C8402:C8465" si="136">YEAR(A8402)&amp;" q"&amp;ROUNDUP(MONTH(A8402)/3,0)</f>
        <v>1993 q1</v>
      </c>
    </row>
    <row r="8403" spans="1:3">
      <c r="A8403" s="62">
        <v>33977</v>
      </c>
      <c r="B8403">
        <v>1.0760000000000001</v>
      </c>
      <c r="C8403" t="str">
        <f t="shared" si="136"/>
        <v>1993 q1</v>
      </c>
    </row>
    <row r="8404" spans="1:3">
      <c r="A8404" s="62">
        <v>33980</v>
      </c>
      <c r="B8404">
        <v>1.0405</v>
      </c>
      <c r="C8404" t="str">
        <f t="shared" si="136"/>
        <v>1993 q1</v>
      </c>
    </row>
    <row r="8405" spans="1:3">
      <c r="A8405" s="62">
        <v>33981</v>
      </c>
      <c r="B8405">
        <v>0.97550000000000003</v>
      </c>
      <c r="C8405" t="str">
        <f t="shared" si="136"/>
        <v>1993 q1</v>
      </c>
    </row>
    <row r="8406" spans="1:3">
      <c r="A8406" s="62">
        <v>33982</v>
      </c>
      <c r="B8406">
        <v>0.98650000000000004</v>
      </c>
      <c r="C8406" t="str">
        <f t="shared" si="136"/>
        <v>1993 q1</v>
      </c>
    </row>
    <row r="8407" spans="1:3">
      <c r="A8407" s="62">
        <v>33983</v>
      </c>
      <c r="B8407">
        <v>0.99</v>
      </c>
      <c r="C8407" t="str">
        <f t="shared" si="136"/>
        <v>1993 q1</v>
      </c>
    </row>
    <row r="8408" spans="1:3">
      <c r="A8408" s="62">
        <v>33984</v>
      </c>
      <c r="B8408">
        <v>0.98799999999999999</v>
      </c>
      <c r="C8408" t="str">
        <f t="shared" si="136"/>
        <v>1993 q1</v>
      </c>
    </row>
    <row r="8409" spans="1:3">
      <c r="A8409" s="62">
        <v>33987</v>
      </c>
      <c r="B8409">
        <v>0.98599999999999999</v>
      </c>
      <c r="C8409" t="str">
        <f t="shared" si="136"/>
        <v>1993 q1</v>
      </c>
    </row>
    <row r="8410" spans="1:3">
      <c r="A8410" s="62">
        <v>33988</v>
      </c>
      <c r="B8410">
        <v>0.99199999999999999</v>
      </c>
      <c r="C8410" t="str">
        <f t="shared" si="136"/>
        <v>1993 q1</v>
      </c>
    </row>
    <row r="8411" spans="1:3">
      <c r="A8411" s="62">
        <v>33989</v>
      </c>
      <c r="B8411">
        <v>0.98950000000000005</v>
      </c>
      <c r="C8411" t="str">
        <f t="shared" si="136"/>
        <v>1993 q1</v>
      </c>
    </row>
    <row r="8412" spans="1:3">
      <c r="A8412" s="62">
        <v>33990</v>
      </c>
      <c r="B8412">
        <v>0.99199999999999999</v>
      </c>
      <c r="C8412" t="str">
        <f t="shared" si="136"/>
        <v>1993 q1</v>
      </c>
    </row>
    <row r="8413" spans="1:3">
      <c r="A8413" s="62">
        <v>33991</v>
      </c>
      <c r="B8413">
        <v>0.99399999999999999</v>
      </c>
      <c r="C8413" t="str">
        <f t="shared" si="136"/>
        <v>1993 q1</v>
      </c>
    </row>
    <row r="8414" spans="1:3">
      <c r="A8414" s="62">
        <v>33994</v>
      </c>
      <c r="B8414">
        <v>0.99550000000000005</v>
      </c>
      <c r="C8414" t="str">
        <f t="shared" si="136"/>
        <v>1993 q1</v>
      </c>
    </row>
    <row r="8415" spans="1:3">
      <c r="A8415" s="62">
        <v>33995</v>
      </c>
      <c r="B8415">
        <v>1.0044999999999999</v>
      </c>
      <c r="C8415" t="str">
        <f t="shared" si="136"/>
        <v>1993 q1</v>
      </c>
    </row>
    <row r="8416" spans="1:3">
      <c r="A8416" s="62">
        <v>33996</v>
      </c>
      <c r="B8416">
        <v>1.006</v>
      </c>
      <c r="C8416" t="str">
        <f t="shared" si="136"/>
        <v>1993 q1</v>
      </c>
    </row>
    <row r="8417" spans="1:3">
      <c r="A8417" s="62">
        <v>33997</v>
      </c>
      <c r="B8417">
        <v>1.0035000000000001</v>
      </c>
      <c r="C8417" t="str">
        <f t="shared" si="136"/>
        <v>1993 q1</v>
      </c>
    </row>
    <row r="8418" spans="1:3">
      <c r="A8418" s="62">
        <v>33998</v>
      </c>
      <c r="B8418">
        <v>0.98950000000000005</v>
      </c>
      <c r="C8418" t="str">
        <f t="shared" si="136"/>
        <v>1993 q1</v>
      </c>
    </row>
    <row r="8419" spans="1:3">
      <c r="A8419" s="62">
        <v>34001</v>
      </c>
      <c r="B8419">
        <v>0.98950000000000005</v>
      </c>
      <c r="C8419" t="str">
        <f t="shared" si="136"/>
        <v>1993 q1</v>
      </c>
    </row>
    <row r="8420" spans="1:3">
      <c r="A8420" s="62">
        <v>34002</v>
      </c>
      <c r="B8420">
        <v>0.99199999999999999</v>
      </c>
      <c r="C8420" t="str">
        <f t="shared" si="136"/>
        <v>1993 q1</v>
      </c>
    </row>
    <row r="8421" spans="1:3">
      <c r="A8421" s="62">
        <v>34003</v>
      </c>
      <c r="B8421">
        <v>0.99250000000000005</v>
      </c>
      <c r="C8421" t="str">
        <f t="shared" si="136"/>
        <v>1993 q1</v>
      </c>
    </row>
    <row r="8422" spans="1:3">
      <c r="A8422" s="62">
        <v>34004</v>
      </c>
      <c r="B8422">
        <v>0.99950000000000006</v>
      </c>
      <c r="C8422" t="str">
        <f t="shared" si="136"/>
        <v>1993 q1</v>
      </c>
    </row>
    <row r="8423" spans="1:3">
      <c r="A8423" s="62">
        <v>34005</v>
      </c>
      <c r="B8423">
        <v>0.999</v>
      </c>
      <c r="C8423" t="str">
        <f t="shared" si="136"/>
        <v>1993 q1</v>
      </c>
    </row>
    <row r="8424" spans="1:3">
      <c r="A8424" s="62">
        <v>34008</v>
      </c>
      <c r="B8424">
        <v>1.0049999999999999</v>
      </c>
      <c r="C8424" t="str">
        <f t="shared" si="136"/>
        <v>1993 q1</v>
      </c>
    </row>
    <row r="8425" spans="1:3">
      <c r="A8425" s="62">
        <v>34009</v>
      </c>
      <c r="B8425">
        <v>0.997</v>
      </c>
      <c r="C8425" t="str">
        <f t="shared" si="136"/>
        <v>1993 q1</v>
      </c>
    </row>
    <row r="8426" spans="1:3">
      <c r="A8426" s="62">
        <v>34010</v>
      </c>
      <c r="B8426">
        <v>0.98950000000000005</v>
      </c>
      <c r="C8426" t="str">
        <f t="shared" si="136"/>
        <v>1993 q1</v>
      </c>
    </row>
    <row r="8427" spans="1:3">
      <c r="A8427" s="62">
        <v>34011</v>
      </c>
      <c r="B8427">
        <v>0.99250000000000005</v>
      </c>
      <c r="C8427" t="str">
        <f t="shared" si="136"/>
        <v>1993 q1</v>
      </c>
    </row>
    <row r="8428" spans="1:3">
      <c r="A8428" s="62">
        <v>34012</v>
      </c>
      <c r="B8428">
        <v>0.98499999999999999</v>
      </c>
      <c r="C8428" t="str">
        <f t="shared" si="136"/>
        <v>1993 q1</v>
      </c>
    </row>
    <row r="8429" spans="1:3">
      <c r="A8429" s="62">
        <v>34016</v>
      </c>
      <c r="B8429">
        <v>0.98750000000000004</v>
      </c>
      <c r="C8429" t="str">
        <f t="shared" si="136"/>
        <v>1993 q1</v>
      </c>
    </row>
    <row r="8430" spans="1:3">
      <c r="A8430" s="62">
        <v>34017</v>
      </c>
      <c r="B8430">
        <v>0.98950000000000005</v>
      </c>
      <c r="C8430" t="str">
        <f t="shared" si="136"/>
        <v>1993 q1</v>
      </c>
    </row>
    <row r="8431" spans="1:3">
      <c r="A8431" s="62">
        <v>34018</v>
      </c>
      <c r="B8431">
        <v>0.99</v>
      </c>
      <c r="C8431" t="str">
        <f t="shared" si="136"/>
        <v>1993 q1</v>
      </c>
    </row>
    <row r="8432" spans="1:3">
      <c r="A8432" s="62">
        <v>34019</v>
      </c>
      <c r="B8432">
        <v>0.98750000000000004</v>
      </c>
      <c r="C8432" t="str">
        <f t="shared" si="136"/>
        <v>1993 q1</v>
      </c>
    </row>
    <row r="8433" spans="1:3">
      <c r="A8433" s="62">
        <v>34022</v>
      </c>
      <c r="B8433">
        <v>0.98699999999999999</v>
      </c>
      <c r="C8433" t="str">
        <f t="shared" si="136"/>
        <v>1993 q1</v>
      </c>
    </row>
    <row r="8434" spans="1:3">
      <c r="A8434" s="62">
        <v>34023</v>
      </c>
      <c r="B8434">
        <v>0.97809999999999997</v>
      </c>
      <c r="C8434" t="str">
        <f t="shared" si="136"/>
        <v>1993 q1</v>
      </c>
    </row>
    <row r="8435" spans="1:3">
      <c r="A8435" s="62">
        <v>34024</v>
      </c>
      <c r="B8435">
        <v>0.96189999999999998</v>
      </c>
      <c r="C8435" t="str">
        <f t="shared" si="136"/>
        <v>1993 q1</v>
      </c>
    </row>
    <row r="8436" spans="1:3">
      <c r="A8436" s="62">
        <v>34025</v>
      </c>
      <c r="B8436">
        <v>0.95330000000000004</v>
      </c>
      <c r="C8436" t="str">
        <f t="shared" si="136"/>
        <v>1993 q1</v>
      </c>
    </row>
    <row r="8437" spans="1:3">
      <c r="A8437" s="62">
        <v>34026</v>
      </c>
      <c r="B8437">
        <v>0.9577</v>
      </c>
      <c r="C8437" t="str">
        <f t="shared" si="136"/>
        <v>1993 q1</v>
      </c>
    </row>
    <row r="8438" spans="1:3">
      <c r="A8438" s="62">
        <v>34029</v>
      </c>
      <c r="B8438">
        <v>0.94399999999999995</v>
      </c>
      <c r="C8438" t="str">
        <f t="shared" si="136"/>
        <v>1993 q1</v>
      </c>
    </row>
    <row r="8439" spans="1:3">
      <c r="A8439" s="62">
        <v>34030</v>
      </c>
      <c r="B8439">
        <v>0.94799999999999995</v>
      </c>
      <c r="C8439" t="str">
        <f t="shared" si="136"/>
        <v>1993 q1</v>
      </c>
    </row>
    <row r="8440" spans="1:3">
      <c r="A8440" s="62">
        <v>34031</v>
      </c>
      <c r="B8440">
        <v>0.95499999999999996</v>
      </c>
      <c r="C8440" t="str">
        <f t="shared" si="136"/>
        <v>1993 q1</v>
      </c>
    </row>
    <row r="8441" spans="1:3">
      <c r="A8441" s="62">
        <v>34032</v>
      </c>
      <c r="B8441">
        <v>0.94750000000000001</v>
      </c>
      <c r="C8441" t="str">
        <f t="shared" si="136"/>
        <v>1993 q1</v>
      </c>
    </row>
    <row r="8442" spans="1:3">
      <c r="A8442" s="62">
        <v>34033</v>
      </c>
      <c r="B8442">
        <v>0.95499999999999996</v>
      </c>
      <c r="C8442" t="str">
        <f t="shared" si="136"/>
        <v>1993 q1</v>
      </c>
    </row>
    <row r="8443" spans="1:3">
      <c r="A8443" s="62">
        <v>34036</v>
      </c>
      <c r="B8443">
        <v>0.95699999999999996</v>
      </c>
      <c r="C8443" t="str">
        <f t="shared" si="136"/>
        <v>1993 q1</v>
      </c>
    </row>
    <row r="8444" spans="1:3">
      <c r="A8444" s="62">
        <v>34037</v>
      </c>
      <c r="B8444">
        <v>0.95250000000000001</v>
      </c>
      <c r="C8444" t="str">
        <f t="shared" si="136"/>
        <v>1993 q1</v>
      </c>
    </row>
    <row r="8445" spans="1:3">
      <c r="A8445" s="62">
        <v>34038</v>
      </c>
      <c r="B8445">
        <v>0.96299999999999997</v>
      </c>
      <c r="C8445" t="str">
        <f t="shared" si="136"/>
        <v>1993 q1</v>
      </c>
    </row>
    <row r="8446" spans="1:3">
      <c r="A8446" s="62">
        <v>34039</v>
      </c>
      <c r="B8446">
        <v>0.97699999999999998</v>
      </c>
      <c r="C8446" t="str">
        <f t="shared" si="136"/>
        <v>1993 q1</v>
      </c>
    </row>
    <row r="8447" spans="1:3">
      <c r="A8447" s="62">
        <v>34040</v>
      </c>
      <c r="B8447">
        <v>0.98650000000000004</v>
      </c>
      <c r="C8447" t="str">
        <f t="shared" si="136"/>
        <v>1993 q1</v>
      </c>
    </row>
    <row r="8448" spans="1:3">
      <c r="A8448" s="62">
        <v>34043</v>
      </c>
      <c r="B8448">
        <v>0.96699999999999997</v>
      </c>
      <c r="C8448" t="str">
        <f t="shared" si="136"/>
        <v>1993 q1</v>
      </c>
    </row>
    <row r="8449" spans="1:3">
      <c r="A8449" s="62">
        <v>34044</v>
      </c>
      <c r="B8449">
        <v>0.97099999999999997</v>
      </c>
      <c r="C8449" t="str">
        <f t="shared" si="136"/>
        <v>1993 q1</v>
      </c>
    </row>
    <row r="8450" spans="1:3">
      <c r="A8450" s="62">
        <v>34045</v>
      </c>
      <c r="B8450">
        <v>0.96499999999999997</v>
      </c>
      <c r="C8450" t="str">
        <f t="shared" si="136"/>
        <v>1993 q1</v>
      </c>
    </row>
    <row r="8451" spans="1:3">
      <c r="A8451" s="62">
        <v>34046</v>
      </c>
      <c r="B8451">
        <v>0.97450000000000003</v>
      </c>
      <c r="C8451" t="str">
        <f t="shared" si="136"/>
        <v>1993 q1</v>
      </c>
    </row>
    <row r="8452" spans="1:3">
      <c r="A8452" s="62">
        <v>34047</v>
      </c>
      <c r="B8452">
        <v>0.97750000000000004</v>
      </c>
      <c r="C8452" t="str">
        <f t="shared" si="136"/>
        <v>1993 q1</v>
      </c>
    </row>
    <row r="8453" spans="1:3">
      <c r="A8453" s="62">
        <v>34050</v>
      </c>
      <c r="B8453">
        <v>0.97750000000000004</v>
      </c>
      <c r="C8453" t="str">
        <f t="shared" si="136"/>
        <v>1993 q1</v>
      </c>
    </row>
    <row r="8454" spans="1:3">
      <c r="A8454" s="62">
        <v>34051</v>
      </c>
      <c r="B8454">
        <v>0.97699999999999998</v>
      </c>
      <c r="C8454" t="str">
        <f t="shared" si="136"/>
        <v>1993 q1</v>
      </c>
    </row>
    <row r="8455" spans="1:3">
      <c r="A8455" s="62">
        <v>34052</v>
      </c>
      <c r="B8455">
        <v>0.97</v>
      </c>
      <c r="C8455" t="str">
        <f t="shared" si="136"/>
        <v>1993 q1</v>
      </c>
    </row>
    <row r="8456" spans="1:3">
      <c r="A8456" s="62">
        <v>34053</v>
      </c>
      <c r="B8456">
        <v>0.97650000000000003</v>
      </c>
      <c r="C8456" t="str">
        <f t="shared" si="136"/>
        <v>1993 q1</v>
      </c>
    </row>
    <row r="8457" spans="1:3">
      <c r="A8457" s="62">
        <v>34054</v>
      </c>
      <c r="B8457">
        <v>0.96050000000000002</v>
      </c>
      <c r="C8457" t="str">
        <f t="shared" si="136"/>
        <v>1993 q1</v>
      </c>
    </row>
    <row r="8458" spans="1:3">
      <c r="A8458" s="62">
        <v>34057</v>
      </c>
      <c r="B8458">
        <v>0.95899999999999996</v>
      </c>
      <c r="C8458" t="str">
        <f t="shared" si="136"/>
        <v>1993 q1</v>
      </c>
    </row>
    <row r="8459" spans="1:3">
      <c r="A8459" s="62">
        <v>34058</v>
      </c>
      <c r="B8459">
        <v>0.96199999999999997</v>
      </c>
      <c r="C8459" t="str">
        <f t="shared" si="136"/>
        <v>1993 q1</v>
      </c>
    </row>
    <row r="8460" spans="1:3">
      <c r="A8460" s="62">
        <v>34059</v>
      </c>
      <c r="B8460">
        <v>0.96199999999999997</v>
      </c>
      <c r="C8460" t="str">
        <f t="shared" si="136"/>
        <v>1993 q1</v>
      </c>
    </row>
    <row r="8461" spans="1:3">
      <c r="A8461" s="62">
        <v>34060</v>
      </c>
      <c r="B8461">
        <v>0.96299999999999997</v>
      </c>
      <c r="C8461" t="str">
        <f t="shared" si="136"/>
        <v>1993 q2</v>
      </c>
    </row>
    <row r="8462" spans="1:3">
      <c r="A8462" s="62">
        <v>34061</v>
      </c>
      <c r="B8462">
        <v>0.95250000000000001</v>
      </c>
      <c r="C8462" t="str">
        <f t="shared" si="136"/>
        <v>1993 q2</v>
      </c>
    </row>
    <row r="8463" spans="1:3">
      <c r="A8463" s="62">
        <v>34064</v>
      </c>
      <c r="B8463">
        <v>0.94550000000000001</v>
      </c>
      <c r="C8463" t="str">
        <f t="shared" si="136"/>
        <v>1993 q2</v>
      </c>
    </row>
    <row r="8464" spans="1:3">
      <c r="A8464" s="62">
        <v>34065</v>
      </c>
      <c r="B8464">
        <v>0.92500000000000004</v>
      </c>
      <c r="C8464" t="str">
        <f t="shared" si="136"/>
        <v>1993 q2</v>
      </c>
    </row>
    <row r="8465" spans="1:3">
      <c r="A8465" s="62">
        <v>34066</v>
      </c>
      <c r="B8465">
        <v>0.88300000000000001</v>
      </c>
      <c r="C8465" t="str">
        <f t="shared" si="136"/>
        <v>1993 q2</v>
      </c>
    </row>
    <row r="8466" spans="1:3">
      <c r="A8466" s="62">
        <v>34067</v>
      </c>
      <c r="B8466">
        <v>0.89349999999999996</v>
      </c>
      <c r="C8466" t="str">
        <f t="shared" ref="C8466:C8529" si="137">YEAR(A8466)&amp;" q"&amp;ROUNDUP(MONTH(A8466)/3,0)</f>
        <v>1993 q2</v>
      </c>
    </row>
    <row r="8467" spans="1:3">
      <c r="A8467" s="62">
        <v>34071</v>
      </c>
      <c r="B8467">
        <v>0.90300000000000002</v>
      </c>
      <c r="C8467" t="str">
        <f t="shared" si="137"/>
        <v>1993 q2</v>
      </c>
    </row>
    <row r="8468" spans="1:3">
      <c r="A8468" s="62">
        <v>34072</v>
      </c>
      <c r="B8468">
        <v>0.90500000000000003</v>
      </c>
      <c r="C8468" t="str">
        <f t="shared" si="137"/>
        <v>1993 q2</v>
      </c>
    </row>
    <row r="8469" spans="1:3">
      <c r="A8469" s="62">
        <v>34073</v>
      </c>
      <c r="B8469">
        <v>0.88600000000000001</v>
      </c>
      <c r="C8469" t="str">
        <f t="shared" si="137"/>
        <v>1993 q2</v>
      </c>
    </row>
    <row r="8470" spans="1:3">
      <c r="A8470" s="62">
        <v>34074</v>
      </c>
      <c r="B8470">
        <v>0.874</v>
      </c>
      <c r="C8470" t="str">
        <f t="shared" si="137"/>
        <v>1993 q2</v>
      </c>
    </row>
    <row r="8471" spans="1:3">
      <c r="A8471" s="62">
        <v>34075</v>
      </c>
      <c r="B8471">
        <v>0.83899999999999997</v>
      </c>
      <c r="C8471" t="str">
        <f t="shared" si="137"/>
        <v>1993 q2</v>
      </c>
    </row>
    <row r="8472" spans="1:3">
      <c r="A8472" s="62">
        <v>34078</v>
      </c>
      <c r="B8472">
        <v>0.84350000000000003</v>
      </c>
      <c r="C8472" t="str">
        <f t="shared" si="137"/>
        <v>1993 q2</v>
      </c>
    </row>
    <row r="8473" spans="1:3">
      <c r="A8473" s="62">
        <v>34079</v>
      </c>
      <c r="B8473">
        <v>0.8165</v>
      </c>
      <c r="C8473" t="str">
        <f t="shared" si="137"/>
        <v>1993 q2</v>
      </c>
    </row>
    <row r="8474" spans="1:3">
      <c r="A8474" s="62">
        <v>34080</v>
      </c>
      <c r="B8474">
        <v>0.82799999999999996</v>
      </c>
      <c r="C8474" t="str">
        <f t="shared" si="137"/>
        <v>1993 q2</v>
      </c>
    </row>
    <row r="8475" spans="1:3">
      <c r="A8475" s="62">
        <v>34081</v>
      </c>
      <c r="B8475">
        <v>0.83399999999999996</v>
      </c>
      <c r="C8475" t="str">
        <f t="shared" si="137"/>
        <v>1993 q2</v>
      </c>
    </row>
    <row r="8476" spans="1:3">
      <c r="A8476" s="62">
        <v>34082</v>
      </c>
      <c r="B8476">
        <v>0.85</v>
      </c>
      <c r="C8476" t="str">
        <f t="shared" si="137"/>
        <v>1993 q2</v>
      </c>
    </row>
    <row r="8477" spans="1:3">
      <c r="A8477" s="62">
        <v>34085</v>
      </c>
      <c r="B8477">
        <v>0.84950000000000003</v>
      </c>
      <c r="C8477" t="str">
        <f t="shared" si="137"/>
        <v>1993 q2</v>
      </c>
    </row>
    <row r="8478" spans="1:3">
      <c r="A8478" s="62">
        <v>34086</v>
      </c>
      <c r="B8478">
        <v>0.84889999999999999</v>
      </c>
      <c r="C8478" t="str">
        <f t="shared" si="137"/>
        <v>1993 q2</v>
      </c>
    </row>
    <row r="8479" spans="1:3">
      <c r="A8479" s="62">
        <v>34087</v>
      </c>
      <c r="B8479">
        <v>0.83550000000000002</v>
      </c>
      <c r="C8479" t="str">
        <f t="shared" si="137"/>
        <v>1993 q2</v>
      </c>
    </row>
    <row r="8480" spans="1:3">
      <c r="A8480" s="62">
        <v>34088</v>
      </c>
      <c r="B8480">
        <v>0.83050000000000002</v>
      </c>
      <c r="C8480" t="str">
        <f t="shared" si="137"/>
        <v>1993 q2</v>
      </c>
    </row>
    <row r="8481" spans="1:3">
      <c r="A8481" s="62">
        <v>34089</v>
      </c>
      <c r="B8481">
        <v>0.84340000000000004</v>
      </c>
      <c r="C8481" t="str">
        <f t="shared" si="137"/>
        <v>1993 q2</v>
      </c>
    </row>
    <row r="8482" spans="1:3">
      <c r="A8482" s="62">
        <v>34092</v>
      </c>
      <c r="B8482">
        <v>0.83399999999999996</v>
      </c>
      <c r="C8482" t="str">
        <f t="shared" si="137"/>
        <v>1993 q2</v>
      </c>
    </row>
    <row r="8483" spans="1:3">
      <c r="A8483" s="62">
        <v>34093</v>
      </c>
      <c r="B8483">
        <v>0.81699999999999995</v>
      </c>
      <c r="C8483" t="str">
        <f t="shared" si="137"/>
        <v>1993 q2</v>
      </c>
    </row>
    <row r="8484" spans="1:3">
      <c r="A8484" s="62">
        <v>34094</v>
      </c>
      <c r="B8484">
        <v>0.8155</v>
      </c>
      <c r="C8484" t="str">
        <f t="shared" si="137"/>
        <v>1993 q2</v>
      </c>
    </row>
    <row r="8485" spans="1:3">
      <c r="A8485" s="62">
        <v>34095</v>
      </c>
      <c r="B8485">
        <v>0.78149999999999997</v>
      </c>
      <c r="C8485" t="str">
        <f t="shared" si="137"/>
        <v>1993 q2</v>
      </c>
    </row>
    <row r="8486" spans="1:3">
      <c r="A8486" s="62">
        <v>34096</v>
      </c>
      <c r="B8486">
        <v>0.77549999999999997</v>
      </c>
      <c r="C8486" t="str">
        <f t="shared" si="137"/>
        <v>1993 q2</v>
      </c>
    </row>
    <row r="8487" spans="1:3">
      <c r="A8487" s="62">
        <v>34099</v>
      </c>
      <c r="B8487">
        <v>0.78249999999999997</v>
      </c>
      <c r="C8487" t="str">
        <f t="shared" si="137"/>
        <v>1993 q2</v>
      </c>
    </row>
    <row r="8488" spans="1:3">
      <c r="A8488" s="62">
        <v>34100</v>
      </c>
      <c r="B8488">
        <v>0.79600000000000004</v>
      </c>
      <c r="C8488" t="str">
        <f t="shared" si="137"/>
        <v>1993 q2</v>
      </c>
    </row>
    <row r="8489" spans="1:3">
      <c r="A8489" s="62">
        <v>34101</v>
      </c>
      <c r="B8489">
        <v>0.82250000000000001</v>
      </c>
      <c r="C8489" t="str">
        <f t="shared" si="137"/>
        <v>1993 q2</v>
      </c>
    </row>
    <row r="8490" spans="1:3">
      <c r="A8490" s="62">
        <v>34102</v>
      </c>
      <c r="B8490">
        <v>0.83199999999999996</v>
      </c>
      <c r="C8490" t="str">
        <f t="shared" si="137"/>
        <v>1993 q2</v>
      </c>
    </row>
    <row r="8491" spans="1:3">
      <c r="A8491" s="62">
        <v>34103</v>
      </c>
      <c r="B8491">
        <v>0.79649999999999999</v>
      </c>
      <c r="C8491" t="str">
        <f t="shared" si="137"/>
        <v>1993 q2</v>
      </c>
    </row>
    <row r="8492" spans="1:3">
      <c r="A8492" s="62">
        <v>34106</v>
      </c>
      <c r="B8492">
        <v>0.79449999999999998</v>
      </c>
      <c r="C8492" t="str">
        <f t="shared" si="137"/>
        <v>1993 q2</v>
      </c>
    </row>
    <row r="8493" spans="1:3">
      <c r="A8493" s="62">
        <v>34107</v>
      </c>
      <c r="B8493">
        <v>0.80400000000000005</v>
      </c>
      <c r="C8493" t="str">
        <f t="shared" si="137"/>
        <v>1993 q2</v>
      </c>
    </row>
    <row r="8494" spans="1:3">
      <c r="A8494" s="62">
        <v>34108</v>
      </c>
      <c r="B8494">
        <v>0.80800000000000005</v>
      </c>
      <c r="C8494" t="str">
        <f t="shared" si="137"/>
        <v>1993 q2</v>
      </c>
    </row>
    <row r="8495" spans="1:3">
      <c r="A8495" s="62">
        <v>34109</v>
      </c>
      <c r="B8495">
        <v>0.82550000000000001</v>
      </c>
      <c r="C8495" t="str">
        <f t="shared" si="137"/>
        <v>1993 q2</v>
      </c>
    </row>
    <row r="8496" spans="1:3">
      <c r="A8496" s="62">
        <v>34110</v>
      </c>
      <c r="B8496">
        <v>0.82250000000000001</v>
      </c>
      <c r="C8496" t="str">
        <f t="shared" si="137"/>
        <v>1993 q2</v>
      </c>
    </row>
    <row r="8497" spans="1:3">
      <c r="A8497" s="62">
        <v>34113</v>
      </c>
      <c r="B8497">
        <v>0.8165</v>
      </c>
      <c r="C8497" t="str">
        <f t="shared" si="137"/>
        <v>1993 q2</v>
      </c>
    </row>
    <row r="8498" spans="1:3">
      <c r="A8498" s="62">
        <v>34114</v>
      </c>
      <c r="B8498">
        <v>0.82350000000000001</v>
      </c>
      <c r="C8498" t="str">
        <f t="shared" si="137"/>
        <v>1993 q2</v>
      </c>
    </row>
    <row r="8499" spans="1:3">
      <c r="A8499" s="62">
        <v>34115</v>
      </c>
      <c r="B8499">
        <v>0.82199999999999995</v>
      </c>
      <c r="C8499" t="str">
        <f t="shared" si="137"/>
        <v>1993 q2</v>
      </c>
    </row>
    <row r="8500" spans="1:3">
      <c r="A8500" s="62">
        <v>34116</v>
      </c>
      <c r="B8500">
        <v>0.79549999999999998</v>
      </c>
      <c r="C8500" t="str">
        <f t="shared" si="137"/>
        <v>1993 q2</v>
      </c>
    </row>
    <row r="8501" spans="1:3">
      <c r="A8501" s="62">
        <v>34117</v>
      </c>
      <c r="B8501">
        <v>0.79849999999999999</v>
      </c>
      <c r="C8501" t="str">
        <f t="shared" si="137"/>
        <v>1993 q2</v>
      </c>
    </row>
    <row r="8502" spans="1:3">
      <c r="A8502" s="62">
        <v>34121</v>
      </c>
      <c r="B8502">
        <v>0.80400000000000005</v>
      </c>
      <c r="C8502" t="str">
        <f t="shared" si="137"/>
        <v>1993 q2</v>
      </c>
    </row>
    <row r="8503" spans="1:3">
      <c r="A8503" s="62">
        <v>34122</v>
      </c>
      <c r="B8503">
        <v>0.81399999999999995</v>
      </c>
      <c r="C8503" t="str">
        <f t="shared" si="137"/>
        <v>1993 q2</v>
      </c>
    </row>
    <row r="8504" spans="1:3">
      <c r="A8504" s="62">
        <v>34123</v>
      </c>
      <c r="B8504">
        <v>0.84299999999999997</v>
      </c>
      <c r="C8504" t="str">
        <f t="shared" si="137"/>
        <v>1993 q2</v>
      </c>
    </row>
    <row r="8505" spans="1:3">
      <c r="A8505" s="62">
        <v>34124</v>
      </c>
      <c r="B8505">
        <v>0.8145</v>
      </c>
      <c r="C8505" t="str">
        <f t="shared" si="137"/>
        <v>1993 q2</v>
      </c>
    </row>
    <row r="8506" spans="1:3">
      <c r="A8506" s="62">
        <v>34127</v>
      </c>
      <c r="B8506">
        <v>0.8175</v>
      </c>
      <c r="C8506" t="str">
        <f t="shared" si="137"/>
        <v>1993 q2</v>
      </c>
    </row>
    <row r="8507" spans="1:3">
      <c r="A8507" s="62">
        <v>34128</v>
      </c>
      <c r="B8507">
        <v>0.81699999999999995</v>
      </c>
      <c r="C8507" t="str">
        <f t="shared" si="137"/>
        <v>1993 q2</v>
      </c>
    </row>
    <row r="8508" spans="1:3">
      <c r="A8508" s="62">
        <v>34129</v>
      </c>
      <c r="B8508">
        <v>0.83099999999999996</v>
      </c>
      <c r="C8508" t="str">
        <f t="shared" si="137"/>
        <v>1993 q2</v>
      </c>
    </row>
    <row r="8509" spans="1:3">
      <c r="A8509" s="62">
        <v>34130</v>
      </c>
      <c r="B8509">
        <v>0.82150000000000001</v>
      </c>
      <c r="C8509" t="str">
        <f t="shared" si="137"/>
        <v>1993 q2</v>
      </c>
    </row>
    <row r="8510" spans="1:3">
      <c r="A8510" s="62">
        <v>34131</v>
      </c>
      <c r="B8510">
        <v>0.82699999999999996</v>
      </c>
      <c r="C8510" t="str">
        <f t="shared" si="137"/>
        <v>1993 q2</v>
      </c>
    </row>
    <row r="8511" spans="1:3">
      <c r="A8511" s="62">
        <v>34134</v>
      </c>
      <c r="B8511">
        <v>0.82699999999999996</v>
      </c>
      <c r="C8511" t="str">
        <f t="shared" si="137"/>
        <v>1993 q2</v>
      </c>
    </row>
    <row r="8512" spans="1:3">
      <c r="A8512" s="62">
        <v>34135</v>
      </c>
      <c r="B8512">
        <v>0.82550000000000001</v>
      </c>
      <c r="C8512" t="str">
        <f t="shared" si="137"/>
        <v>1993 q2</v>
      </c>
    </row>
    <row r="8513" spans="1:3">
      <c r="A8513" s="62">
        <v>34136</v>
      </c>
      <c r="B8513">
        <v>0.83150000000000002</v>
      </c>
      <c r="C8513" t="str">
        <f t="shared" si="137"/>
        <v>1993 q2</v>
      </c>
    </row>
    <row r="8514" spans="1:3">
      <c r="A8514" s="62">
        <v>34137</v>
      </c>
      <c r="B8514">
        <v>0.83350000000000002</v>
      </c>
      <c r="C8514" t="str">
        <f t="shared" si="137"/>
        <v>1993 q2</v>
      </c>
    </row>
    <row r="8515" spans="1:3">
      <c r="A8515" s="62">
        <v>34138</v>
      </c>
      <c r="B8515">
        <v>0.84050000000000002</v>
      </c>
      <c r="C8515" t="str">
        <f t="shared" si="137"/>
        <v>1993 q2</v>
      </c>
    </row>
    <row r="8516" spans="1:3">
      <c r="A8516" s="62">
        <v>34141</v>
      </c>
      <c r="B8516">
        <v>0.84399999999999997</v>
      </c>
      <c r="C8516" t="str">
        <f t="shared" si="137"/>
        <v>1993 q2</v>
      </c>
    </row>
    <row r="8517" spans="1:3">
      <c r="A8517" s="62">
        <v>34142</v>
      </c>
      <c r="B8517">
        <v>0.83650000000000002</v>
      </c>
      <c r="C8517" t="str">
        <f t="shared" si="137"/>
        <v>1993 q2</v>
      </c>
    </row>
    <row r="8518" spans="1:3">
      <c r="A8518" s="62">
        <v>34143</v>
      </c>
      <c r="B8518">
        <v>0.83750000000000002</v>
      </c>
      <c r="C8518" t="str">
        <f t="shared" si="137"/>
        <v>1993 q2</v>
      </c>
    </row>
    <row r="8519" spans="1:3">
      <c r="A8519" s="62">
        <v>34144</v>
      </c>
      <c r="B8519">
        <v>0.84</v>
      </c>
      <c r="C8519" t="str">
        <f t="shared" si="137"/>
        <v>1993 q2</v>
      </c>
    </row>
    <row r="8520" spans="1:3">
      <c r="A8520" s="62">
        <v>34145</v>
      </c>
      <c r="B8520">
        <v>0.84119999999999995</v>
      </c>
      <c r="C8520" t="str">
        <f t="shared" si="137"/>
        <v>1993 q2</v>
      </c>
    </row>
    <row r="8521" spans="1:3">
      <c r="A8521" s="62">
        <v>34148</v>
      </c>
      <c r="B8521">
        <v>0.84050000000000002</v>
      </c>
      <c r="C8521" t="str">
        <f t="shared" si="137"/>
        <v>1993 q2</v>
      </c>
    </row>
    <row r="8522" spans="1:3">
      <c r="A8522" s="62">
        <v>34149</v>
      </c>
      <c r="B8522">
        <v>0.85560000000000003</v>
      </c>
      <c r="C8522" t="str">
        <f t="shared" si="137"/>
        <v>1993 q2</v>
      </c>
    </row>
    <row r="8523" spans="1:3">
      <c r="A8523" s="62">
        <v>34150</v>
      </c>
      <c r="B8523">
        <v>0.86360000000000003</v>
      </c>
      <c r="C8523" t="str">
        <f t="shared" si="137"/>
        <v>1993 q2</v>
      </c>
    </row>
    <row r="8524" spans="1:3">
      <c r="A8524" s="62">
        <v>34151</v>
      </c>
      <c r="B8524">
        <v>0.871</v>
      </c>
      <c r="C8524" t="str">
        <f t="shared" si="137"/>
        <v>1993 q3</v>
      </c>
    </row>
    <row r="8525" spans="1:3">
      <c r="A8525" s="62">
        <v>34152</v>
      </c>
      <c r="B8525">
        <v>0.87749999999999995</v>
      </c>
      <c r="C8525" t="str">
        <f t="shared" si="137"/>
        <v>1993 q3</v>
      </c>
    </row>
    <row r="8526" spans="1:3">
      <c r="A8526" s="62">
        <v>34156</v>
      </c>
      <c r="B8526">
        <v>0.87350000000000005</v>
      </c>
      <c r="C8526" t="str">
        <f t="shared" si="137"/>
        <v>1993 q3</v>
      </c>
    </row>
    <row r="8527" spans="1:3">
      <c r="A8527" s="62">
        <v>34157</v>
      </c>
      <c r="B8527">
        <v>0.88649999999999995</v>
      </c>
      <c r="C8527" t="str">
        <f t="shared" si="137"/>
        <v>1993 q3</v>
      </c>
    </row>
    <row r="8528" spans="1:3">
      <c r="A8528" s="62">
        <v>34158</v>
      </c>
      <c r="B8528">
        <v>0.89649999999999996</v>
      </c>
      <c r="C8528" t="str">
        <f t="shared" si="137"/>
        <v>1993 q3</v>
      </c>
    </row>
    <row r="8529" spans="1:3">
      <c r="A8529" s="62">
        <v>34159</v>
      </c>
      <c r="B8529">
        <v>0.879</v>
      </c>
      <c r="C8529" t="str">
        <f t="shared" si="137"/>
        <v>1993 q3</v>
      </c>
    </row>
    <row r="8530" spans="1:3">
      <c r="A8530" s="62">
        <v>34162</v>
      </c>
      <c r="B8530">
        <v>0.86199999999999999</v>
      </c>
      <c r="C8530" t="str">
        <f t="shared" ref="C8530:C8593" si="138">YEAR(A8530)&amp;" q"&amp;ROUNDUP(MONTH(A8530)/3,0)</f>
        <v>1993 q3</v>
      </c>
    </row>
    <row r="8531" spans="1:3">
      <c r="A8531" s="62">
        <v>34163</v>
      </c>
      <c r="B8531">
        <v>0.85150000000000003</v>
      </c>
      <c r="C8531" t="str">
        <f t="shared" si="138"/>
        <v>1993 q3</v>
      </c>
    </row>
    <row r="8532" spans="1:3">
      <c r="A8532" s="62">
        <v>34164</v>
      </c>
      <c r="B8532">
        <v>0.85650000000000004</v>
      </c>
      <c r="C8532" t="str">
        <f t="shared" si="138"/>
        <v>1993 q3</v>
      </c>
    </row>
    <row r="8533" spans="1:3">
      <c r="A8533" s="62">
        <v>34165</v>
      </c>
      <c r="B8533">
        <v>0.84199999999999997</v>
      </c>
      <c r="C8533" t="str">
        <f t="shared" si="138"/>
        <v>1993 q3</v>
      </c>
    </row>
    <row r="8534" spans="1:3">
      <c r="A8534" s="62">
        <v>34166</v>
      </c>
      <c r="B8534">
        <v>0.85350000000000004</v>
      </c>
      <c r="C8534" t="str">
        <f t="shared" si="138"/>
        <v>1993 q3</v>
      </c>
    </row>
    <row r="8535" spans="1:3">
      <c r="A8535" s="62">
        <v>34169</v>
      </c>
      <c r="B8535">
        <v>0.85150000000000003</v>
      </c>
      <c r="C8535" t="str">
        <f t="shared" si="138"/>
        <v>1993 q3</v>
      </c>
    </row>
    <row r="8536" spans="1:3">
      <c r="A8536" s="62">
        <v>34170</v>
      </c>
      <c r="B8536">
        <v>0.84899999999999998</v>
      </c>
      <c r="C8536" t="str">
        <f t="shared" si="138"/>
        <v>1993 q3</v>
      </c>
    </row>
    <row r="8537" spans="1:3">
      <c r="A8537" s="62">
        <v>34171</v>
      </c>
      <c r="B8537">
        <v>0.84199999999999997</v>
      </c>
      <c r="C8537" t="str">
        <f t="shared" si="138"/>
        <v>1993 q3</v>
      </c>
    </row>
    <row r="8538" spans="1:3">
      <c r="A8538" s="62">
        <v>34172</v>
      </c>
      <c r="B8538">
        <v>0.84550000000000003</v>
      </c>
      <c r="C8538" t="str">
        <f t="shared" si="138"/>
        <v>1993 q3</v>
      </c>
    </row>
    <row r="8539" spans="1:3">
      <c r="A8539" s="62">
        <v>34173</v>
      </c>
      <c r="B8539">
        <v>0.85650000000000004</v>
      </c>
      <c r="C8539" t="str">
        <f t="shared" si="138"/>
        <v>1993 q3</v>
      </c>
    </row>
    <row r="8540" spans="1:3">
      <c r="A8540" s="62">
        <v>34176</v>
      </c>
      <c r="B8540">
        <v>0.85599999999999998</v>
      </c>
      <c r="C8540" t="str">
        <f t="shared" si="138"/>
        <v>1993 q3</v>
      </c>
    </row>
    <row r="8541" spans="1:3">
      <c r="A8541" s="62">
        <v>34177</v>
      </c>
      <c r="B8541">
        <v>0.86899999999999999</v>
      </c>
      <c r="C8541" t="str">
        <f t="shared" si="138"/>
        <v>1993 q3</v>
      </c>
    </row>
    <row r="8542" spans="1:3">
      <c r="A8542" s="62">
        <v>34178</v>
      </c>
      <c r="B8542">
        <v>0.874</v>
      </c>
      <c r="C8542" t="str">
        <f t="shared" si="138"/>
        <v>1993 q3</v>
      </c>
    </row>
    <row r="8543" spans="1:3">
      <c r="A8543" s="62">
        <v>34179</v>
      </c>
      <c r="B8543">
        <v>0.87649999999999995</v>
      </c>
      <c r="C8543" t="str">
        <f t="shared" si="138"/>
        <v>1993 q3</v>
      </c>
    </row>
    <row r="8544" spans="1:3">
      <c r="A8544" s="62">
        <v>34180</v>
      </c>
      <c r="B8544">
        <v>0.88300000000000001</v>
      </c>
      <c r="C8544" t="str">
        <f t="shared" si="138"/>
        <v>1993 q3</v>
      </c>
    </row>
    <row r="8545" spans="1:3">
      <c r="A8545" s="62">
        <v>34183</v>
      </c>
      <c r="B8545">
        <v>0.875</v>
      </c>
      <c r="C8545" t="str">
        <f t="shared" si="138"/>
        <v>1993 q3</v>
      </c>
    </row>
    <row r="8546" spans="1:3">
      <c r="A8546" s="62">
        <v>34184</v>
      </c>
      <c r="B8546">
        <v>0.86350000000000005</v>
      </c>
      <c r="C8546" t="str">
        <f t="shared" si="138"/>
        <v>1993 q3</v>
      </c>
    </row>
    <row r="8547" spans="1:3">
      <c r="A8547" s="62">
        <v>34185</v>
      </c>
      <c r="B8547">
        <v>0.872</v>
      </c>
      <c r="C8547" t="str">
        <f t="shared" si="138"/>
        <v>1993 q3</v>
      </c>
    </row>
    <row r="8548" spans="1:3">
      <c r="A8548" s="62">
        <v>34186</v>
      </c>
      <c r="B8548">
        <v>0.86499999999999999</v>
      </c>
      <c r="C8548" t="str">
        <f t="shared" si="138"/>
        <v>1993 q3</v>
      </c>
    </row>
    <row r="8549" spans="1:3">
      <c r="A8549" s="62">
        <v>34187</v>
      </c>
      <c r="B8549">
        <v>0.85699999999999998</v>
      </c>
      <c r="C8549" t="str">
        <f t="shared" si="138"/>
        <v>1993 q3</v>
      </c>
    </row>
    <row r="8550" spans="1:3">
      <c r="A8550" s="62">
        <v>34190</v>
      </c>
      <c r="B8550">
        <v>0.83599999999999997</v>
      </c>
      <c r="C8550" t="str">
        <f t="shared" si="138"/>
        <v>1993 q3</v>
      </c>
    </row>
    <row r="8551" spans="1:3">
      <c r="A8551" s="62">
        <v>34191</v>
      </c>
      <c r="B8551">
        <v>0.83350000000000002</v>
      </c>
      <c r="C8551" t="str">
        <f t="shared" si="138"/>
        <v>1993 q3</v>
      </c>
    </row>
    <row r="8552" spans="1:3">
      <c r="A8552" s="62">
        <v>34192</v>
      </c>
      <c r="B8552">
        <v>0.83699999999999997</v>
      </c>
      <c r="C8552" t="str">
        <f t="shared" si="138"/>
        <v>1993 q3</v>
      </c>
    </row>
    <row r="8553" spans="1:3">
      <c r="A8553" s="62">
        <v>34193</v>
      </c>
      <c r="B8553">
        <v>0.84450000000000003</v>
      </c>
      <c r="C8553" t="str">
        <f t="shared" si="138"/>
        <v>1993 q3</v>
      </c>
    </row>
    <row r="8554" spans="1:3">
      <c r="A8554" s="62">
        <v>34194</v>
      </c>
      <c r="B8554">
        <v>0.83850000000000002</v>
      </c>
      <c r="C8554" t="str">
        <f t="shared" si="138"/>
        <v>1993 q3</v>
      </c>
    </row>
    <row r="8555" spans="1:3">
      <c r="A8555" s="62">
        <v>34197</v>
      </c>
      <c r="B8555">
        <v>0.84450000000000003</v>
      </c>
      <c r="C8555" t="str">
        <f t="shared" si="138"/>
        <v>1993 q3</v>
      </c>
    </row>
    <row r="8556" spans="1:3">
      <c r="A8556" s="62">
        <v>34198</v>
      </c>
      <c r="B8556">
        <v>0.84350000000000003</v>
      </c>
      <c r="C8556" t="str">
        <f t="shared" si="138"/>
        <v>1993 q3</v>
      </c>
    </row>
    <row r="8557" spans="1:3">
      <c r="A8557" s="62">
        <v>34199</v>
      </c>
      <c r="B8557">
        <v>0.83550000000000002</v>
      </c>
      <c r="C8557" t="str">
        <f t="shared" si="138"/>
        <v>1993 q3</v>
      </c>
    </row>
    <row r="8558" spans="1:3">
      <c r="A8558" s="62">
        <v>34200</v>
      </c>
      <c r="B8558">
        <v>0.84150000000000003</v>
      </c>
      <c r="C8558" t="str">
        <f t="shared" si="138"/>
        <v>1993 q3</v>
      </c>
    </row>
    <row r="8559" spans="1:3">
      <c r="A8559" s="62">
        <v>34201</v>
      </c>
      <c r="B8559">
        <v>0.84950000000000003</v>
      </c>
      <c r="C8559" t="str">
        <f t="shared" si="138"/>
        <v>1993 q3</v>
      </c>
    </row>
    <row r="8560" spans="1:3">
      <c r="A8560" s="62">
        <v>34204</v>
      </c>
      <c r="B8560">
        <v>0.86199999999999999</v>
      </c>
      <c r="C8560" t="str">
        <f t="shared" si="138"/>
        <v>1993 q3</v>
      </c>
    </row>
    <row r="8561" spans="1:3">
      <c r="A8561" s="62">
        <v>34205</v>
      </c>
      <c r="B8561">
        <v>0.86399999999999999</v>
      </c>
      <c r="C8561" t="str">
        <f t="shared" si="138"/>
        <v>1993 q3</v>
      </c>
    </row>
    <row r="8562" spans="1:3">
      <c r="A8562" s="62">
        <v>34206</v>
      </c>
      <c r="B8562">
        <v>0.85050000000000003</v>
      </c>
      <c r="C8562" t="str">
        <f t="shared" si="138"/>
        <v>1993 q3</v>
      </c>
    </row>
    <row r="8563" spans="1:3">
      <c r="A8563" s="62">
        <v>34207</v>
      </c>
      <c r="B8563">
        <v>0.84909999999999997</v>
      </c>
      <c r="C8563" t="str">
        <f t="shared" si="138"/>
        <v>1993 q3</v>
      </c>
    </row>
    <row r="8564" spans="1:3">
      <c r="A8564" s="62">
        <v>34208</v>
      </c>
      <c r="B8564">
        <v>0.85680000000000001</v>
      </c>
      <c r="C8564" t="str">
        <f t="shared" si="138"/>
        <v>1993 q3</v>
      </c>
    </row>
    <row r="8565" spans="1:3">
      <c r="A8565" s="62">
        <v>34211</v>
      </c>
      <c r="B8565">
        <v>0.85699999999999998</v>
      </c>
      <c r="C8565" t="str">
        <f t="shared" si="138"/>
        <v>1993 q3</v>
      </c>
    </row>
    <row r="8566" spans="1:3">
      <c r="A8566" s="62">
        <v>34212</v>
      </c>
      <c r="B8566">
        <v>0.85919999999999996</v>
      </c>
      <c r="C8566" t="str">
        <f t="shared" si="138"/>
        <v>1993 q3</v>
      </c>
    </row>
    <row r="8567" spans="1:3">
      <c r="A8567" s="62">
        <v>34214</v>
      </c>
      <c r="B8567">
        <v>0.86750000000000005</v>
      </c>
      <c r="C8567" t="str">
        <f t="shared" si="138"/>
        <v>1993 q3</v>
      </c>
    </row>
    <row r="8568" spans="1:3">
      <c r="A8568" s="62">
        <v>34215</v>
      </c>
      <c r="B8568">
        <v>0.86650000000000005</v>
      </c>
      <c r="C8568" t="str">
        <f t="shared" si="138"/>
        <v>1993 q3</v>
      </c>
    </row>
    <row r="8569" spans="1:3">
      <c r="A8569" s="62">
        <v>34219</v>
      </c>
      <c r="B8569">
        <v>0.85850000000000004</v>
      </c>
      <c r="C8569" t="str">
        <f t="shared" si="138"/>
        <v>1993 q3</v>
      </c>
    </row>
    <row r="8570" spans="1:3">
      <c r="A8570" s="62">
        <v>34220</v>
      </c>
      <c r="B8570">
        <v>0.85</v>
      </c>
      <c r="C8570" t="str">
        <f t="shared" si="138"/>
        <v>1993 q3</v>
      </c>
    </row>
    <row r="8571" spans="1:3">
      <c r="A8571" s="62">
        <v>34221</v>
      </c>
      <c r="B8571">
        <v>0.82799999999999996</v>
      </c>
      <c r="C8571" t="str">
        <f t="shared" si="138"/>
        <v>1993 q3</v>
      </c>
    </row>
    <row r="8572" spans="1:3">
      <c r="A8572" s="62">
        <v>34222</v>
      </c>
      <c r="B8572">
        <v>0.83</v>
      </c>
      <c r="C8572" t="str">
        <f t="shared" si="138"/>
        <v>1993 q3</v>
      </c>
    </row>
    <row r="8573" spans="1:3">
      <c r="A8573" s="62">
        <v>34225</v>
      </c>
      <c r="B8573">
        <v>0.82899999999999996</v>
      </c>
      <c r="C8573" t="str">
        <f t="shared" si="138"/>
        <v>1993 q3</v>
      </c>
    </row>
    <row r="8574" spans="1:3">
      <c r="A8574" s="62">
        <v>34226</v>
      </c>
      <c r="B8574">
        <v>0.82850000000000001</v>
      </c>
      <c r="C8574" t="str">
        <f t="shared" si="138"/>
        <v>1993 q3</v>
      </c>
    </row>
    <row r="8575" spans="1:3">
      <c r="A8575" s="62">
        <v>34227</v>
      </c>
      <c r="B8575">
        <v>0.82450000000000001</v>
      </c>
      <c r="C8575" t="str">
        <f t="shared" si="138"/>
        <v>1993 q3</v>
      </c>
    </row>
    <row r="8576" spans="1:3">
      <c r="A8576" s="62">
        <v>34228</v>
      </c>
      <c r="B8576">
        <v>0.8105</v>
      </c>
      <c r="C8576" t="str">
        <f t="shared" si="138"/>
        <v>1993 q3</v>
      </c>
    </row>
    <row r="8577" spans="1:3">
      <c r="A8577" s="62">
        <v>34229</v>
      </c>
      <c r="B8577">
        <v>0.78649999999999998</v>
      </c>
      <c r="C8577" t="str">
        <f t="shared" si="138"/>
        <v>1993 q3</v>
      </c>
    </row>
    <row r="8578" spans="1:3">
      <c r="A8578" s="62">
        <v>34232</v>
      </c>
      <c r="B8578">
        <v>0.77049999999999996</v>
      </c>
      <c r="C8578" t="str">
        <f t="shared" si="138"/>
        <v>1993 q3</v>
      </c>
    </row>
    <row r="8579" spans="1:3">
      <c r="A8579" s="62">
        <v>34233</v>
      </c>
      <c r="B8579">
        <v>0.78600000000000003</v>
      </c>
      <c r="C8579" t="str">
        <f t="shared" si="138"/>
        <v>1993 q3</v>
      </c>
    </row>
    <row r="8580" spans="1:3">
      <c r="A8580" s="62">
        <v>34234</v>
      </c>
      <c r="B8580">
        <v>0.78049999999999997</v>
      </c>
      <c r="C8580" t="str">
        <f t="shared" si="138"/>
        <v>1993 q3</v>
      </c>
    </row>
    <row r="8581" spans="1:3">
      <c r="A8581" s="62">
        <v>34235</v>
      </c>
      <c r="B8581">
        <v>0.77549999999999997</v>
      </c>
      <c r="C8581" t="str">
        <f t="shared" si="138"/>
        <v>1993 q3</v>
      </c>
    </row>
    <row r="8582" spans="1:3">
      <c r="A8582" s="62">
        <v>34236</v>
      </c>
      <c r="B8582">
        <v>0.78700000000000003</v>
      </c>
      <c r="C8582" t="str">
        <f t="shared" si="138"/>
        <v>1993 q3</v>
      </c>
    </row>
    <row r="8583" spans="1:3">
      <c r="A8583" s="62">
        <v>34239</v>
      </c>
      <c r="B8583">
        <v>0.78300000000000003</v>
      </c>
      <c r="C8583" t="str">
        <f t="shared" si="138"/>
        <v>1993 q3</v>
      </c>
    </row>
    <row r="8584" spans="1:3">
      <c r="A8584" s="62">
        <v>34240</v>
      </c>
      <c r="B8584">
        <v>0.76300000000000001</v>
      </c>
      <c r="C8584" t="str">
        <f t="shared" si="138"/>
        <v>1993 q3</v>
      </c>
    </row>
    <row r="8585" spans="1:3">
      <c r="A8585" s="62">
        <v>34241</v>
      </c>
      <c r="B8585">
        <v>0.76149999999999995</v>
      </c>
      <c r="C8585" t="str">
        <f t="shared" si="138"/>
        <v>1993 q3</v>
      </c>
    </row>
    <row r="8586" spans="1:3">
      <c r="A8586" s="62">
        <v>34242</v>
      </c>
      <c r="B8586">
        <v>0.749</v>
      </c>
      <c r="C8586" t="str">
        <f t="shared" si="138"/>
        <v>1993 q3</v>
      </c>
    </row>
    <row r="8587" spans="1:3">
      <c r="A8587" s="62">
        <v>34243</v>
      </c>
      <c r="B8587">
        <v>0.754</v>
      </c>
      <c r="C8587" t="str">
        <f t="shared" si="138"/>
        <v>1993 q4</v>
      </c>
    </row>
    <row r="8588" spans="1:3">
      <c r="A8588" s="62">
        <v>34246</v>
      </c>
      <c r="B8588">
        <v>0.75049999999999994</v>
      </c>
      <c r="C8588" t="str">
        <f t="shared" si="138"/>
        <v>1993 q4</v>
      </c>
    </row>
    <row r="8589" spans="1:3">
      <c r="A8589" s="62">
        <v>34247</v>
      </c>
      <c r="B8589">
        <v>0.75900000000000001</v>
      </c>
      <c r="C8589" t="str">
        <f t="shared" si="138"/>
        <v>1993 q4</v>
      </c>
    </row>
    <row r="8590" spans="1:3">
      <c r="A8590" s="62">
        <v>34248</v>
      </c>
      <c r="B8590">
        <v>0.751</v>
      </c>
      <c r="C8590" t="str">
        <f t="shared" si="138"/>
        <v>1993 q4</v>
      </c>
    </row>
    <row r="8591" spans="1:3">
      <c r="A8591" s="62">
        <v>34249</v>
      </c>
      <c r="B8591">
        <v>0.752</v>
      </c>
      <c r="C8591" t="str">
        <f t="shared" si="138"/>
        <v>1993 q4</v>
      </c>
    </row>
    <row r="8592" spans="1:3">
      <c r="A8592" s="62">
        <v>34250</v>
      </c>
      <c r="B8592">
        <v>0.75600000000000001</v>
      </c>
      <c r="C8592" t="str">
        <f t="shared" si="138"/>
        <v>1993 q4</v>
      </c>
    </row>
    <row r="8593" spans="1:3">
      <c r="A8593" s="62">
        <v>34253</v>
      </c>
      <c r="B8593">
        <v>0.76749999999999996</v>
      </c>
      <c r="C8593" t="str">
        <f t="shared" si="138"/>
        <v>1993 q4</v>
      </c>
    </row>
    <row r="8594" spans="1:3">
      <c r="A8594" s="62">
        <v>34254</v>
      </c>
      <c r="B8594">
        <v>0.752</v>
      </c>
      <c r="C8594" t="str">
        <f t="shared" ref="C8594:C8657" si="139">YEAR(A8594)&amp;" q"&amp;ROUNDUP(MONTH(A8594)/3,0)</f>
        <v>1993 q4</v>
      </c>
    </row>
    <row r="8595" spans="1:3">
      <c r="A8595" s="62">
        <v>34255</v>
      </c>
      <c r="B8595">
        <v>0.76900000000000002</v>
      </c>
      <c r="C8595" t="str">
        <f t="shared" si="139"/>
        <v>1993 q4</v>
      </c>
    </row>
    <row r="8596" spans="1:3">
      <c r="A8596" s="62">
        <v>34256</v>
      </c>
      <c r="B8596">
        <v>0.754</v>
      </c>
      <c r="C8596" t="str">
        <f t="shared" si="139"/>
        <v>1993 q4</v>
      </c>
    </row>
    <row r="8597" spans="1:3">
      <c r="A8597" s="62">
        <v>34257</v>
      </c>
      <c r="B8597">
        <v>0.753</v>
      </c>
      <c r="C8597" t="str">
        <f t="shared" si="139"/>
        <v>1993 q4</v>
      </c>
    </row>
    <row r="8598" spans="1:3">
      <c r="A8598" s="62">
        <v>34260</v>
      </c>
      <c r="B8598">
        <v>0.73850000000000005</v>
      </c>
      <c r="C8598" t="str">
        <f t="shared" si="139"/>
        <v>1993 q4</v>
      </c>
    </row>
    <row r="8599" spans="1:3">
      <c r="A8599" s="62">
        <v>34261</v>
      </c>
      <c r="B8599">
        <v>0.73150000000000004</v>
      </c>
      <c r="C8599" t="str">
        <f t="shared" si="139"/>
        <v>1993 q4</v>
      </c>
    </row>
    <row r="8600" spans="1:3">
      <c r="A8600" s="62">
        <v>34262</v>
      </c>
      <c r="B8600">
        <v>0.73150000000000004</v>
      </c>
      <c r="C8600" t="str">
        <f t="shared" si="139"/>
        <v>1993 q4</v>
      </c>
    </row>
    <row r="8601" spans="1:3">
      <c r="A8601" s="62">
        <v>34263</v>
      </c>
      <c r="B8601">
        <v>0.73050000000000004</v>
      </c>
      <c r="C8601" t="str">
        <f t="shared" si="139"/>
        <v>1993 q4</v>
      </c>
    </row>
    <row r="8602" spans="1:3">
      <c r="A8602" s="62">
        <v>34264</v>
      </c>
      <c r="B8602">
        <v>0.72950000000000004</v>
      </c>
      <c r="C8602" t="str">
        <f t="shared" si="139"/>
        <v>1993 q4</v>
      </c>
    </row>
    <row r="8603" spans="1:3">
      <c r="A8603" s="62">
        <v>34267</v>
      </c>
      <c r="B8603">
        <v>0.73099999999999998</v>
      </c>
      <c r="C8603" t="str">
        <f t="shared" si="139"/>
        <v>1993 q4</v>
      </c>
    </row>
    <row r="8604" spans="1:3">
      <c r="A8604" s="62">
        <v>34268</v>
      </c>
      <c r="B8604">
        <v>0.72599999999999998</v>
      </c>
      <c r="C8604" t="str">
        <f t="shared" si="139"/>
        <v>1993 q4</v>
      </c>
    </row>
    <row r="8605" spans="1:3">
      <c r="A8605" s="62">
        <v>34269</v>
      </c>
      <c r="B8605">
        <v>0.72599999999999998</v>
      </c>
      <c r="C8605" t="str">
        <f t="shared" si="139"/>
        <v>1993 q4</v>
      </c>
    </row>
    <row r="8606" spans="1:3">
      <c r="A8606" s="62">
        <v>34270</v>
      </c>
      <c r="B8606">
        <v>0.73</v>
      </c>
      <c r="C8606" t="str">
        <f t="shared" si="139"/>
        <v>1993 q4</v>
      </c>
    </row>
    <row r="8607" spans="1:3">
      <c r="A8607" s="62">
        <v>34271</v>
      </c>
      <c r="B8607">
        <v>0.73150000000000004</v>
      </c>
      <c r="C8607" t="str">
        <f t="shared" si="139"/>
        <v>1993 q4</v>
      </c>
    </row>
    <row r="8608" spans="1:3">
      <c r="A8608" s="62">
        <v>34274</v>
      </c>
      <c r="B8608">
        <v>0.72899999999999998</v>
      </c>
      <c r="C8608" t="str">
        <f t="shared" si="139"/>
        <v>1993 q4</v>
      </c>
    </row>
    <row r="8609" spans="1:3">
      <c r="A8609" s="62">
        <v>34275</v>
      </c>
      <c r="B8609">
        <v>0.73850000000000005</v>
      </c>
      <c r="C8609" t="str">
        <f t="shared" si="139"/>
        <v>1993 q4</v>
      </c>
    </row>
    <row r="8610" spans="1:3">
      <c r="A8610" s="62">
        <v>34276</v>
      </c>
      <c r="B8610">
        <v>0.73550000000000004</v>
      </c>
      <c r="C8610" t="str">
        <f t="shared" si="139"/>
        <v>1993 q4</v>
      </c>
    </row>
    <row r="8611" spans="1:3">
      <c r="A8611" s="62">
        <v>34277</v>
      </c>
      <c r="B8611">
        <v>0.74450000000000005</v>
      </c>
      <c r="C8611" t="str">
        <f t="shared" si="139"/>
        <v>1993 q4</v>
      </c>
    </row>
    <row r="8612" spans="1:3">
      <c r="A8612" s="62">
        <v>34278</v>
      </c>
      <c r="B8612">
        <v>0.748</v>
      </c>
      <c r="C8612" t="str">
        <f t="shared" si="139"/>
        <v>1993 q4</v>
      </c>
    </row>
    <row r="8613" spans="1:3">
      <c r="A8613" s="62">
        <v>34281</v>
      </c>
      <c r="B8613">
        <v>0.751</v>
      </c>
      <c r="C8613" t="str">
        <f t="shared" si="139"/>
        <v>1993 q4</v>
      </c>
    </row>
    <row r="8614" spans="1:3">
      <c r="A8614" s="62">
        <v>34282</v>
      </c>
      <c r="B8614">
        <v>0.74750000000000005</v>
      </c>
      <c r="C8614" t="str">
        <f t="shared" si="139"/>
        <v>1993 q4</v>
      </c>
    </row>
    <row r="8615" spans="1:3">
      <c r="A8615" s="62">
        <v>34283</v>
      </c>
      <c r="B8615">
        <v>0.74850000000000005</v>
      </c>
      <c r="C8615" t="str">
        <f t="shared" si="139"/>
        <v>1993 q4</v>
      </c>
    </row>
    <row r="8616" spans="1:3">
      <c r="A8616" s="62">
        <v>34284</v>
      </c>
      <c r="B8616">
        <v>0.75</v>
      </c>
      <c r="C8616" t="str">
        <f t="shared" si="139"/>
        <v>1993 q4</v>
      </c>
    </row>
    <row r="8617" spans="1:3">
      <c r="A8617" s="62">
        <v>34285</v>
      </c>
      <c r="B8617">
        <v>0.74750000000000005</v>
      </c>
      <c r="C8617" t="str">
        <f t="shared" si="139"/>
        <v>1993 q4</v>
      </c>
    </row>
    <row r="8618" spans="1:3">
      <c r="A8618" s="62">
        <v>34288</v>
      </c>
      <c r="B8618">
        <v>0.74099999999999999</v>
      </c>
      <c r="C8618" t="str">
        <f t="shared" si="139"/>
        <v>1993 q4</v>
      </c>
    </row>
    <row r="8619" spans="1:3">
      <c r="A8619" s="62">
        <v>34289</v>
      </c>
      <c r="B8619">
        <v>0.73350000000000004</v>
      </c>
      <c r="C8619" t="str">
        <f t="shared" si="139"/>
        <v>1993 q4</v>
      </c>
    </row>
    <row r="8620" spans="1:3">
      <c r="A8620" s="62">
        <v>34290</v>
      </c>
      <c r="B8620">
        <v>0.73150000000000004</v>
      </c>
      <c r="C8620" t="str">
        <f t="shared" si="139"/>
        <v>1993 q4</v>
      </c>
    </row>
    <row r="8621" spans="1:3">
      <c r="A8621" s="62">
        <v>34291</v>
      </c>
      <c r="B8621">
        <v>0.73299999999999998</v>
      </c>
      <c r="C8621" t="str">
        <f t="shared" si="139"/>
        <v>1993 q4</v>
      </c>
    </row>
    <row r="8622" spans="1:3">
      <c r="A8622" s="62">
        <v>34292</v>
      </c>
      <c r="B8622">
        <v>0.74299999999999999</v>
      </c>
      <c r="C8622" t="str">
        <f t="shared" si="139"/>
        <v>1993 q4</v>
      </c>
    </row>
    <row r="8623" spans="1:3">
      <c r="A8623" s="62">
        <v>34295</v>
      </c>
      <c r="B8623">
        <v>0.74399999999999999</v>
      </c>
      <c r="C8623" t="str">
        <f t="shared" si="139"/>
        <v>1993 q4</v>
      </c>
    </row>
    <row r="8624" spans="1:3">
      <c r="A8624" s="62">
        <v>34296</v>
      </c>
      <c r="B8624">
        <v>0.74050000000000005</v>
      </c>
      <c r="C8624" t="str">
        <f t="shared" si="139"/>
        <v>1993 q4</v>
      </c>
    </row>
    <row r="8625" spans="1:3">
      <c r="A8625" s="62">
        <v>34297</v>
      </c>
      <c r="B8625">
        <v>0.74299999999999999</v>
      </c>
      <c r="C8625" t="str">
        <f t="shared" si="139"/>
        <v>1993 q4</v>
      </c>
    </row>
    <row r="8626" spans="1:3">
      <c r="A8626" s="62">
        <v>34302</v>
      </c>
      <c r="B8626">
        <v>0.7379</v>
      </c>
      <c r="C8626" t="str">
        <f t="shared" si="139"/>
        <v>1993 q4</v>
      </c>
    </row>
    <row r="8627" spans="1:3">
      <c r="A8627" s="62">
        <v>34303</v>
      </c>
      <c r="B8627">
        <v>0.74409999999999998</v>
      </c>
      <c r="C8627" t="str">
        <f t="shared" si="139"/>
        <v>1993 q4</v>
      </c>
    </row>
    <row r="8628" spans="1:3">
      <c r="A8628" s="62">
        <v>34304</v>
      </c>
      <c r="B8628">
        <v>0.76100000000000001</v>
      </c>
      <c r="C8628" t="str">
        <f t="shared" si="139"/>
        <v>1993 q4</v>
      </c>
    </row>
    <row r="8629" spans="1:3">
      <c r="A8629" s="62">
        <v>34305</v>
      </c>
      <c r="B8629">
        <v>0.76100000000000001</v>
      </c>
      <c r="C8629" t="str">
        <f t="shared" si="139"/>
        <v>1993 q4</v>
      </c>
    </row>
    <row r="8630" spans="1:3">
      <c r="A8630" s="62">
        <v>34306</v>
      </c>
      <c r="B8630">
        <v>0.76</v>
      </c>
      <c r="C8630" t="str">
        <f t="shared" si="139"/>
        <v>1993 q4</v>
      </c>
    </row>
    <row r="8631" spans="1:3">
      <c r="A8631" s="62">
        <v>34309</v>
      </c>
      <c r="B8631">
        <v>0.76849999999999996</v>
      </c>
      <c r="C8631" t="str">
        <f t="shared" si="139"/>
        <v>1993 q4</v>
      </c>
    </row>
    <row r="8632" spans="1:3">
      <c r="A8632" s="62">
        <v>34310</v>
      </c>
      <c r="B8632">
        <v>0.77</v>
      </c>
      <c r="C8632" t="str">
        <f t="shared" si="139"/>
        <v>1993 q4</v>
      </c>
    </row>
    <row r="8633" spans="1:3">
      <c r="A8633" s="62">
        <v>34311</v>
      </c>
      <c r="B8633">
        <v>0.77049999999999996</v>
      </c>
      <c r="C8633" t="str">
        <f t="shared" si="139"/>
        <v>1993 q4</v>
      </c>
    </row>
    <row r="8634" spans="1:3">
      <c r="A8634" s="62">
        <v>34312</v>
      </c>
      <c r="B8634">
        <v>0.76700000000000002</v>
      </c>
      <c r="C8634" t="str">
        <f t="shared" si="139"/>
        <v>1993 q4</v>
      </c>
    </row>
    <row r="8635" spans="1:3">
      <c r="A8635" s="62">
        <v>34313</v>
      </c>
      <c r="B8635">
        <v>0.79649999999999999</v>
      </c>
      <c r="C8635" t="str">
        <f t="shared" si="139"/>
        <v>1993 q4</v>
      </c>
    </row>
    <row r="8636" spans="1:3">
      <c r="A8636" s="62">
        <v>34316</v>
      </c>
      <c r="B8636">
        <v>0.80049999999999999</v>
      </c>
      <c r="C8636" t="str">
        <f t="shared" si="139"/>
        <v>1993 q4</v>
      </c>
    </row>
    <row r="8637" spans="1:3">
      <c r="A8637" s="62">
        <v>34317</v>
      </c>
      <c r="B8637">
        <v>0.78900000000000003</v>
      </c>
      <c r="C8637" t="str">
        <f t="shared" si="139"/>
        <v>1993 q4</v>
      </c>
    </row>
    <row r="8638" spans="1:3">
      <c r="A8638" s="62">
        <v>34318</v>
      </c>
      <c r="B8638">
        <v>0.78649999999999998</v>
      </c>
      <c r="C8638" t="str">
        <f t="shared" si="139"/>
        <v>1993 q4</v>
      </c>
    </row>
    <row r="8639" spans="1:3">
      <c r="A8639" s="62">
        <v>34319</v>
      </c>
      <c r="B8639">
        <v>0.78849999999999998</v>
      </c>
      <c r="C8639" t="str">
        <f t="shared" si="139"/>
        <v>1993 q4</v>
      </c>
    </row>
    <row r="8640" spans="1:3">
      <c r="A8640" s="62">
        <v>34320</v>
      </c>
      <c r="B8640">
        <v>0.79949999999999999</v>
      </c>
      <c r="C8640" t="str">
        <f t="shared" si="139"/>
        <v>1993 q4</v>
      </c>
    </row>
    <row r="8641" spans="1:3">
      <c r="A8641" s="62">
        <v>34323</v>
      </c>
      <c r="B8641">
        <v>0.8085</v>
      </c>
      <c r="C8641" t="str">
        <f t="shared" si="139"/>
        <v>1993 q4</v>
      </c>
    </row>
    <row r="8642" spans="1:3">
      <c r="A8642" s="62">
        <v>34324</v>
      </c>
      <c r="B8642">
        <v>0.8155</v>
      </c>
      <c r="C8642" t="str">
        <f t="shared" si="139"/>
        <v>1993 q4</v>
      </c>
    </row>
    <row r="8643" spans="1:3">
      <c r="A8643" s="62">
        <v>34325</v>
      </c>
      <c r="B8643">
        <v>0.8105</v>
      </c>
      <c r="C8643" t="str">
        <f t="shared" si="139"/>
        <v>1993 q4</v>
      </c>
    </row>
    <row r="8644" spans="1:3">
      <c r="A8644" s="62">
        <v>34326</v>
      </c>
      <c r="B8644">
        <v>0.8095</v>
      </c>
      <c r="C8644" t="str">
        <f t="shared" si="139"/>
        <v>1993 q4</v>
      </c>
    </row>
    <row r="8645" spans="1:3">
      <c r="A8645" s="62">
        <v>34330</v>
      </c>
      <c r="B8645">
        <v>0.81469999999999998</v>
      </c>
      <c r="C8645" t="str">
        <f t="shared" si="139"/>
        <v>1993 q4</v>
      </c>
    </row>
    <row r="8646" spans="1:3">
      <c r="A8646" s="62">
        <v>34331</v>
      </c>
      <c r="B8646">
        <v>0.81850000000000001</v>
      </c>
      <c r="C8646" t="str">
        <f t="shared" si="139"/>
        <v>1993 q4</v>
      </c>
    </row>
    <row r="8647" spans="1:3">
      <c r="A8647" s="62">
        <v>34332</v>
      </c>
      <c r="B8647">
        <v>0.82740000000000002</v>
      </c>
      <c r="C8647" t="str">
        <f t="shared" si="139"/>
        <v>1993 q4</v>
      </c>
    </row>
    <row r="8648" spans="1:3">
      <c r="A8648" s="62">
        <v>34333</v>
      </c>
      <c r="B8648">
        <v>0.83230000000000004</v>
      </c>
      <c r="C8648" t="str">
        <f t="shared" si="139"/>
        <v>1993 q4</v>
      </c>
    </row>
    <row r="8649" spans="1:3">
      <c r="A8649" s="62">
        <v>34337</v>
      </c>
      <c r="B8649">
        <v>0.80249999999999999</v>
      </c>
      <c r="C8649" t="str">
        <f t="shared" si="139"/>
        <v>1994 q1</v>
      </c>
    </row>
    <row r="8650" spans="1:3">
      <c r="A8650" s="62">
        <v>34338</v>
      </c>
      <c r="B8650">
        <v>0.79849999999999999</v>
      </c>
      <c r="C8650" t="str">
        <f t="shared" si="139"/>
        <v>1994 q1</v>
      </c>
    </row>
    <row r="8651" spans="1:3">
      <c r="A8651" s="62">
        <v>34339</v>
      </c>
      <c r="B8651">
        <v>0.80100000000000005</v>
      </c>
      <c r="C8651" t="str">
        <f t="shared" si="139"/>
        <v>1994 q1</v>
      </c>
    </row>
    <row r="8652" spans="1:3">
      <c r="A8652" s="62">
        <v>34340</v>
      </c>
      <c r="B8652">
        <v>0.79849999999999999</v>
      </c>
      <c r="C8652" t="str">
        <f t="shared" si="139"/>
        <v>1994 q1</v>
      </c>
    </row>
    <row r="8653" spans="1:3">
      <c r="A8653" s="62">
        <v>34341</v>
      </c>
      <c r="B8653">
        <v>0.78600000000000003</v>
      </c>
      <c r="C8653" t="str">
        <f t="shared" si="139"/>
        <v>1994 q1</v>
      </c>
    </row>
    <row r="8654" spans="1:3">
      <c r="A8654" s="62">
        <v>34344</v>
      </c>
      <c r="B8654">
        <v>0.81200000000000006</v>
      </c>
      <c r="C8654" t="str">
        <f t="shared" si="139"/>
        <v>1994 q1</v>
      </c>
    </row>
    <row r="8655" spans="1:3">
      <c r="A8655" s="62">
        <v>34345</v>
      </c>
      <c r="B8655">
        <v>0.81200000000000006</v>
      </c>
      <c r="C8655" t="str">
        <f t="shared" si="139"/>
        <v>1994 q1</v>
      </c>
    </row>
    <row r="8656" spans="1:3">
      <c r="A8656" s="62">
        <v>34346</v>
      </c>
      <c r="B8656">
        <v>0.8135</v>
      </c>
      <c r="C8656" t="str">
        <f t="shared" si="139"/>
        <v>1994 q1</v>
      </c>
    </row>
    <row r="8657" spans="1:3">
      <c r="A8657" s="62">
        <v>34347</v>
      </c>
      <c r="B8657">
        <v>0.82950000000000002</v>
      </c>
      <c r="C8657" t="str">
        <f t="shared" si="139"/>
        <v>1994 q1</v>
      </c>
    </row>
    <row r="8658" spans="1:3">
      <c r="A8658" s="62">
        <v>34348</v>
      </c>
      <c r="B8658">
        <v>0.84499999999999997</v>
      </c>
      <c r="C8658" t="str">
        <f t="shared" ref="C8658:C8721" si="140">YEAR(A8658)&amp;" q"&amp;ROUNDUP(MONTH(A8658)/3,0)</f>
        <v>1994 q1</v>
      </c>
    </row>
    <row r="8659" spans="1:3">
      <c r="A8659" s="62">
        <v>34351</v>
      </c>
      <c r="B8659">
        <v>0.85</v>
      </c>
      <c r="C8659" t="str">
        <f t="shared" si="140"/>
        <v>1994 q1</v>
      </c>
    </row>
    <row r="8660" spans="1:3">
      <c r="A8660" s="62">
        <v>34352</v>
      </c>
      <c r="B8660">
        <v>0.86699999999999999</v>
      </c>
      <c r="C8660" t="str">
        <f t="shared" si="140"/>
        <v>1994 q1</v>
      </c>
    </row>
    <row r="8661" spans="1:3">
      <c r="A8661" s="62">
        <v>34353</v>
      </c>
      <c r="B8661">
        <v>0.86699999999999999</v>
      </c>
      <c r="C8661" t="str">
        <f t="shared" si="140"/>
        <v>1994 q1</v>
      </c>
    </row>
    <row r="8662" spans="1:3">
      <c r="A8662" s="62">
        <v>34354</v>
      </c>
      <c r="B8662">
        <v>0.86599999999999999</v>
      </c>
      <c r="C8662" t="str">
        <f t="shared" si="140"/>
        <v>1994 q1</v>
      </c>
    </row>
    <row r="8663" spans="1:3">
      <c r="A8663" s="62">
        <v>34355</v>
      </c>
      <c r="B8663">
        <v>0.85650000000000004</v>
      </c>
      <c r="C8663" t="str">
        <f t="shared" si="140"/>
        <v>1994 q1</v>
      </c>
    </row>
    <row r="8664" spans="1:3">
      <c r="A8664" s="62">
        <v>34358</v>
      </c>
      <c r="B8664">
        <v>0.86550000000000005</v>
      </c>
      <c r="C8664" t="str">
        <f t="shared" si="140"/>
        <v>1994 q1</v>
      </c>
    </row>
    <row r="8665" spans="1:3">
      <c r="A8665" s="62">
        <v>34359</v>
      </c>
      <c r="B8665">
        <v>0.86499999999999999</v>
      </c>
      <c r="C8665" t="str">
        <f t="shared" si="140"/>
        <v>1994 q1</v>
      </c>
    </row>
    <row r="8666" spans="1:3">
      <c r="A8666" s="62">
        <v>34360</v>
      </c>
      <c r="B8666">
        <v>0.86850000000000005</v>
      </c>
      <c r="C8666" t="str">
        <f t="shared" si="140"/>
        <v>1994 q1</v>
      </c>
    </row>
    <row r="8667" spans="1:3">
      <c r="A8667" s="62">
        <v>34361</v>
      </c>
      <c r="B8667">
        <v>0.86799999999999999</v>
      </c>
      <c r="C8667" t="str">
        <f t="shared" si="140"/>
        <v>1994 q1</v>
      </c>
    </row>
    <row r="8668" spans="1:3">
      <c r="A8668" s="62">
        <v>34362</v>
      </c>
      <c r="B8668">
        <v>0.85699999999999998</v>
      </c>
      <c r="C8668" t="str">
        <f t="shared" si="140"/>
        <v>1994 q1</v>
      </c>
    </row>
    <row r="8669" spans="1:3">
      <c r="A8669" s="62">
        <v>34365</v>
      </c>
      <c r="B8669">
        <v>0.86799999999999999</v>
      </c>
      <c r="C8669" t="str">
        <f t="shared" si="140"/>
        <v>1994 q1</v>
      </c>
    </row>
    <row r="8670" spans="1:3">
      <c r="A8670" s="62">
        <v>34366</v>
      </c>
      <c r="B8670">
        <v>0.89600000000000002</v>
      </c>
      <c r="C8670" t="str">
        <f t="shared" si="140"/>
        <v>1994 q1</v>
      </c>
    </row>
    <row r="8671" spans="1:3">
      <c r="A8671" s="62">
        <v>34367</v>
      </c>
      <c r="B8671">
        <v>0.90300000000000002</v>
      </c>
      <c r="C8671" t="str">
        <f t="shared" si="140"/>
        <v>1994 q1</v>
      </c>
    </row>
    <row r="8672" spans="1:3">
      <c r="A8672" s="62">
        <v>34368</v>
      </c>
      <c r="B8672">
        <v>0.89900000000000002</v>
      </c>
      <c r="C8672" t="str">
        <f t="shared" si="140"/>
        <v>1994 q1</v>
      </c>
    </row>
    <row r="8673" spans="1:3">
      <c r="A8673" s="62">
        <v>34369</v>
      </c>
      <c r="B8673">
        <v>0.89</v>
      </c>
      <c r="C8673" t="str">
        <f t="shared" si="140"/>
        <v>1994 q1</v>
      </c>
    </row>
    <row r="8674" spans="1:3">
      <c r="A8674" s="62">
        <v>34372</v>
      </c>
      <c r="B8674">
        <v>0.89300000000000002</v>
      </c>
      <c r="C8674" t="str">
        <f t="shared" si="140"/>
        <v>1994 q1</v>
      </c>
    </row>
    <row r="8675" spans="1:3">
      <c r="A8675" s="62">
        <v>34373</v>
      </c>
      <c r="B8675">
        <v>0.87050000000000005</v>
      </c>
      <c r="C8675" t="str">
        <f t="shared" si="140"/>
        <v>1994 q1</v>
      </c>
    </row>
    <row r="8676" spans="1:3">
      <c r="A8676" s="62">
        <v>34374</v>
      </c>
      <c r="B8676">
        <v>0.86850000000000005</v>
      </c>
      <c r="C8676" t="str">
        <f t="shared" si="140"/>
        <v>1994 q1</v>
      </c>
    </row>
    <row r="8677" spans="1:3">
      <c r="A8677" s="62">
        <v>34375</v>
      </c>
      <c r="B8677">
        <v>0.85599999999999998</v>
      </c>
      <c r="C8677" t="str">
        <f t="shared" si="140"/>
        <v>1994 q1</v>
      </c>
    </row>
    <row r="8678" spans="1:3">
      <c r="A8678" s="62">
        <v>34376</v>
      </c>
      <c r="B8678">
        <v>0.84150000000000003</v>
      </c>
      <c r="C8678" t="str">
        <f t="shared" si="140"/>
        <v>1994 q1</v>
      </c>
    </row>
    <row r="8679" spans="1:3">
      <c r="A8679" s="62">
        <v>34379</v>
      </c>
      <c r="B8679">
        <v>0.85</v>
      </c>
      <c r="C8679" t="str">
        <f t="shared" si="140"/>
        <v>1994 q1</v>
      </c>
    </row>
    <row r="8680" spans="1:3">
      <c r="A8680" s="62">
        <v>34380</v>
      </c>
      <c r="B8680">
        <v>0.86250000000000004</v>
      </c>
      <c r="C8680" t="str">
        <f t="shared" si="140"/>
        <v>1994 q1</v>
      </c>
    </row>
    <row r="8681" spans="1:3">
      <c r="A8681" s="62">
        <v>34381</v>
      </c>
      <c r="B8681">
        <v>0.86599999999999999</v>
      </c>
      <c r="C8681" t="str">
        <f t="shared" si="140"/>
        <v>1994 q1</v>
      </c>
    </row>
    <row r="8682" spans="1:3">
      <c r="A8682" s="62">
        <v>34382</v>
      </c>
      <c r="B8682">
        <v>0.88049999999999995</v>
      </c>
      <c r="C8682" t="str">
        <f t="shared" si="140"/>
        <v>1994 q1</v>
      </c>
    </row>
    <row r="8683" spans="1:3">
      <c r="A8683" s="62">
        <v>34383</v>
      </c>
      <c r="B8683">
        <v>0.86</v>
      </c>
      <c r="C8683" t="str">
        <f t="shared" si="140"/>
        <v>1994 q1</v>
      </c>
    </row>
    <row r="8684" spans="1:3">
      <c r="A8684" s="62">
        <v>34387</v>
      </c>
      <c r="B8684">
        <v>0.86299999999999999</v>
      </c>
      <c r="C8684" t="str">
        <f t="shared" si="140"/>
        <v>1994 q1</v>
      </c>
    </row>
    <row r="8685" spans="1:3">
      <c r="A8685" s="62">
        <v>34388</v>
      </c>
      <c r="B8685">
        <v>0.86050000000000004</v>
      </c>
      <c r="C8685" t="str">
        <f t="shared" si="140"/>
        <v>1994 q1</v>
      </c>
    </row>
    <row r="8686" spans="1:3">
      <c r="A8686" s="62">
        <v>34389</v>
      </c>
      <c r="B8686">
        <v>0.86929999999999996</v>
      </c>
      <c r="C8686" t="str">
        <f t="shared" si="140"/>
        <v>1994 q1</v>
      </c>
    </row>
    <row r="8687" spans="1:3">
      <c r="A8687" s="62">
        <v>34390</v>
      </c>
      <c r="B8687">
        <v>0.85660000000000003</v>
      </c>
      <c r="C8687" t="str">
        <f t="shared" si="140"/>
        <v>1994 q1</v>
      </c>
    </row>
    <row r="8688" spans="1:3">
      <c r="A8688" s="62">
        <v>34393</v>
      </c>
      <c r="B8688">
        <v>0.86580000000000001</v>
      </c>
      <c r="C8688" t="str">
        <f t="shared" si="140"/>
        <v>1994 q1</v>
      </c>
    </row>
    <row r="8689" spans="1:3">
      <c r="A8689" s="62">
        <v>34394</v>
      </c>
      <c r="B8689">
        <v>0.85899999999999999</v>
      </c>
      <c r="C8689" t="str">
        <f t="shared" si="140"/>
        <v>1994 q1</v>
      </c>
    </row>
    <row r="8690" spans="1:3">
      <c r="A8690" s="62">
        <v>34395</v>
      </c>
      <c r="B8690">
        <v>0.87250000000000005</v>
      </c>
      <c r="C8690" t="str">
        <f t="shared" si="140"/>
        <v>1994 q1</v>
      </c>
    </row>
    <row r="8691" spans="1:3">
      <c r="A8691" s="62">
        <v>34396</v>
      </c>
      <c r="B8691">
        <v>0.87549999999999994</v>
      </c>
      <c r="C8691" t="str">
        <f t="shared" si="140"/>
        <v>1994 q1</v>
      </c>
    </row>
    <row r="8692" spans="1:3">
      <c r="A8692" s="62">
        <v>34397</v>
      </c>
      <c r="B8692">
        <v>0.89549999999999996</v>
      </c>
      <c r="C8692" t="str">
        <f t="shared" si="140"/>
        <v>1994 q1</v>
      </c>
    </row>
    <row r="8693" spans="1:3">
      <c r="A8693" s="62">
        <v>34400</v>
      </c>
      <c r="B8693">
        <v>0.88500000000000001</v>
      </c>
      <c r="C8693" t="str">
        <f t="shared" si="140"/>
        <v>1994 q1</v>
      </c>
    </row>
    <row r="8694" spans="1:3">
      <c r="A8694" s="62">
        <v>34401</v>
      </c>
      <c r="B8694">
        <v>0.88749999999999996</v>
      </c>
      <c r="C8694" t="str">
        <f t="shared" si="140"/>
        <v>1994 q1</v>
      </c>
    </row>
    <row r="8695" spans="1:3">
      <c r="A8695" s="62">
        <v>34402</v>
      </c>
      <c r="B8695">
        <v>0.88449999999999995</v>
      </c>
      <c r="C8695" t="str">
        <f t="shared" si="140"/>
        <v>1994 q1</v>
      </c>
    </row>
    <row r="8696" spans="1:3">
      <c r="A8696" s="62">
        <v>34403</v>
      </c>
      <c r="B8696">
        <v>0.88949999999999996</v>
      </c>
      <c r="C8696" t="str">
        <f t="shared" si="140"/>
        <v>1994 q1</v>
      </c>
    </row>
    <row r="8697" spans="1:3">
      <c r="A8697" s="62">
        <v>34404</v>
      </c>
      <c r="B8697">
        <v>0.90849999999999997</v>
      </c>
      <c r="C8697" t="str">
        <f t="shared" si="140"/>
        <v>1994 q1</v>
      </c>
    </row>
    <row r="8698" spans="1:3">
      <c r="A8698" s="62">
        <v>34407</v>
      </c>
      <c r="B8698">
        <v>0.90900000000000003</v>
      </c>
      <c r="C8698" t="str">
        <f t="shared" si="140"/>
        <v>1994 q1</v>
      </c>
    </row>
    <row r="8699" spans="1:3">
      <c r="A8699" s="62">
        <v>34408</v>
      </c>
      <c r="B8699">
        <v>0.92049999999999998</v>
      </c>
      <c r="C8699" t="str">
        <f t="shared" si="140"/>
        <v>1994 q1</v>
      </c>
    </row>
    <row r="8700" spans="1:3">
      <c r="A8700" s="62">
        <v>34409</v>
      </c>
      <c r="B8700">
        <v>0.93149999999999999</v>
      </c>
      <c r="C8700" t="str">
        <f t="shared" si="140"/>
        <v>1994 q1</v>
      </c>
    </row>
    <row r="8701" spans="1:3">
      <c r="A8701" s="62">
        <v>34410</v>
      </c>
      <c r="B8701">
        <v>0.91800000000000004</v>
      </c>
      <c r="C8701" t="str">
        <f t="shared" si="140"/>
        <v>1994 q1</v>
      </c>
    </row>
    <row r="8702" spans="1:3">
      <c r="A8702" s="62">
        <v>34411</v>
      </c>
      <c r="B8702">
        <v>0.92200000000000004</v>
      </c>
      <c r="C8702" t="str">
        <f t="shared" si="140"/>
        <v>1994 q1</v>
      </c>
    </row>
    <row r="8703" spans="1:3">
      <c r="A8703" s="62">
        <v>34414</v>
      </c>
      <c r="B8703">
        <v>0.90700000000000003</v>
      </c>
      <c r="C8703" t="str">
        <f t="shared" si="140"/>
        <v>1994 q1</v>
      </c>
    </row>
    <row r="8704" spans="1:3">
      <c r="A8704" s="62">
        <v>34415</v>
      </c>
      <c r="B8704">
        <v>0.91</v>
      </c>
      <c r="C8704" t="str">
        <f t="shared" si="140"/>
        <v>1994 q1</v>
      </c>
    </row>
    <row r="8705" spans="1:3">
      <c r="A8705" s="62">
        <v>34416</v>
      </c>
      <c r="B8705">
        <v>0.90900000000000003</v>
      </c>
      <c r="C8705" t="str">
        <f t="shared" si="140"/>
        <v>1994 q1</v>
      </c>
    </row>
    <row r="8706" spans="1:3">
      <c r="A8706" s="62">
        <v>34417</v>
      </c>
      <c r="B8706">
        <v>0.89800000000000002</v>
      </c>
      <c r="C8706" t="str">
        <f t="shared" si="140"/>
        <v>1994 q1</v>
      </c>
    </row>
    <row r="8707" spans="1:3">
      <c r="A8707" s="62">
        <v>34418</v>
      </c>
      <c r="B8707">
        <v>0.91300000000000003</v>
      </c>
      <c r="C8707" t="str">
        <f t="shared" si="140"/>
        <v>1994 q1</v>
      </c>
    </row>
    <row r="8708" spans="1:3">
      <c r="A8708" s="62">
        <v>34421</v>
      </c>
      <c r="B8708">
        <v>0.90649999999999997</v>
      </c>
      <c r="C8708" t="str">
        <f t="shared" si="140"/>
        <v>1994 q1</v>
      </c>
    </row>
    <row r="8709" spans="1:3">
      <c r="A8709" s="62">
        <v>34422</v>
      </c>
      <c r="B8709">
        <v>0.89349999999999996</v>
      </c>
      <c r="C8709" t="str">
        <f t="shared" si="140"/>
        <v>1994 q1</v>
      </c>
    </row>
    <row r="8710" spans="1:3">
      <c r="A8710" s="62">
        <v>34423</v>
      </c>
      <c r="B8710">
        <v>0.86450000000000005</v>
      </c>
      <c r="C8710" t="str">
        <f t="shared" si="140"/>
        <v>1994 q1</v>
      </c>
    </row>
    <row r="8711" spans="1:3">
      <c r="A8711" s="62">
        <v>34424</v>
      </c>
      <c r="B8711">
        <v>0.86750000000000005</v>
      </c>
      <c r="C8711" t="str">
        <f t="shared" si="140"/>
        <v>1994 q1</v>
      </c>
    </row>
    <row r="8712" spans="1:3">
      <c r="A8712" s="62">
        <v>34428</v>
      </c>
      <c r="B8712">
        <v>0.878</v>
      </c>
      <c r="C8712" t="str">
        <f t="shared" si="140"/>
        <v>1994 q2</v>
      </c>
    </row>
    <row r="8713" spans="1:3">
      <c r="A8713" s="62">
        <v>34429</v>
      </c>
      <c r="B8713">
        <v>0.87</v>
      </c>
      <c r="C8713" t="str">
        <f t="shared" si="140"/>
        <v>1994 q2</v>
      </c>
    </row>
    <row r="8714" spans="1:3">
      <c r="A8714" s="62">
        <v>34430</v>
      </c>
      <c r="B8714">
        <v>0.85699999999999998</v>
      </c>
      <c r="C8714" t="str">
        <f t="shared" si="140"/>
        <v>1994 q2</v>
      </c>
    </row>
    <row r="8715" spans="1:3">
      <c r="A8715" s="62">
        <v>34431</v>
      </c>
      <c r="B8715">
        <v>0.86799999999999999</v>
      </c>
      <c r="C8715" t="str">
        <f t="shared" si="140"/>
        <v>1994 q2</v>
      </c>
    </row>
    <row r="8716" spans="1:3">
      <c r="A8716" s="62">
        <v>34432</v>
      </c>
      <c r="B8716">
        <v>0.86599999999999999</v>
      </c>
      <c r="C8716" t="str">
        <f t="shared" si="140"/>
        <v>1994 q2</v>
      </c>
    </row>
    <row r="8717" spans="1:3">
      <c r="A8717" s="62">
        <v>34435</v>
      </c>
      <c r="B8717">
        <v>0.87350000000000005</v>
      </c>
      <c r="C8717" t="str">
        <f t="shared" si="140"/>
        <v>1994 q2</v>
      </c>
    </row>
    <row r="8718" spans="1:3">
      <c r="A8718" s="62">
        <v>34436</v>
      </c>
      <c r="B8718">
        <v>0.87350000000000005</v>
      </c>
      <c r="C8718" t="str">
        <f t="shared" si="140"/>
        <v>1994 q2</v>
      </c>
    </row>
    <row r="8719" spans="1:3">
      <c r="A8719" s="62">
        <v>34437</v>
      </c>
      <c r="B8719">
        <v>0.87150000000000005</v>
      </c>
      <c r="C8719" t="str">
        <f t="shared" si="140"/>
        <v>1994 q2</v>
      </c>
    </row>
    <row r="8720" spans="1:3">
      <c r="A8720" s="62">
        <v>34438</v>
      </c>
      <c r="B8720">
        <v>0.86850000000000005</v>
      </c>
      <c r="C8720" t="str">
        <f t="shared" si="140"/>
        <v>1994 q2</v>
      </c>
    </row>
    <row r="8721" spans="1:3">
      <c r="A8721" s="62">
        <v>34439</v>
      </c>
      <c r="B8721">
        <v>0.87150000000000005</v>
      </c>
      <c r="C8721" t="str">
        <f t="shared" si="140"/>
        <v>1994 q2</v>
      </c>
    </row>
    <row r="8722" spans="1:3">
      <c r="A8722" s="62">
        <v>34442</v>
      </c>
      <c r="B8722">
        <v>0.87050000000000005</v>
      </c>
      <c r="C8722" t="str">
        <f t="shared" ref="C8722:C8785" si="141">YEAR(A8722)&amp;" q"&amp;ROUNDUP(MONTH(A8722)/3,0)</f>
        <v>1994 q2</v>
      </c>
    </row>
    <row r="8723" spans="1:3">
      <c r="A8723" s="62">
        <v>34443</v>
      </c>
      <c r="B8723">
        <v>0.875</v>
      </c>
      <c r="C8723" t="str">
        <f t="shared" si="141"/>
        <v>1994 q2</v>
      </c>
    </row>
    <row r="8724" spans="1:3">
      <c r="A8724" s="62">
        <v>34444</v>
      </c>
      <c r="B8724">
        <v>0.86850000000000005</v>
      </c>
      <c r="C8724" t="str">
        <f t="shared" si="141"/>
        <v>1994 q2</v>
      </c>
    </row>
    <row r="8725" spans="1:3">
      <c r="A8725" s="62">
        <v>34445</v>
      </c>
      <c r="B8725">
        <v>0.88700000000000001</v>
      </c>
      <c r="C8725" t="str">
        <f t="shared" si="141"/>
        <v>1994 q2</v>
      </c>
    </row>
    <row r="8726" spans="1:3">
      <c r="A8726" s="62">
        <v>34446</v>
      </c>
      <c r="B8726">
        <v>0.89449999999999996</v>
      </c>
      <c r="C8726" t="str">
        <f t="shared" si="141"/>
        <v>1994 q2</v>
      </c>
    </row>
    <row r="8727" spans="1:3">
      <c r="A8727" s="62">
        <v>34449</v>
      </c>
      <c r="B8727">
        <v>0.89200000000000002</v>
      </c>
      <c r="C8727" t="str">
        <f t="shared" si="141"/>
        <v>1994 q2</v>
      </c>
    </row>
    <row r="8728" spans="1:3">
      <c r="A8728" s="62">
        <v>34450</v>
      </c>
      <c r="B8728">
        <v>0.8901</v>
      </c>
      <c r="C8728" t="str">
        <f t="shared" si="141"/>
        <v>1994 q2</v>
      </c>
    </row>
    <row r="8729" spans="1:3">
      <c r="A8729" s="62">
        <v>34452</v>
      </c>
      <c r="B8729">
        <v>0.91239999999999999</v>
      </c>
      <c r="C8729" t="str">
        <f t="shared" si="141"/>
        <v>1994 q2</v>
      </c>
    </row>
    <row r="8730" spans="1:3">
      <c r="A8730" s="62">
        <v>34453</v>
      </c>
      <c r="B8730">
        <v>0.91469999999999996</v>
      </c>
      <c r="C8730" t="str">
        <f t="shared" si="141"/>
        <v>1994 q2</v>
      </c>
    </row>
    <row r="8731" spans="1:3">
      <c r="A8731" s="62">
        <v>34456</v>
      </c>
      <c r="B8731">
        <v>0.93049999999999999</v>
      </c>
      <c r="C8731" t="str">
        <f t="shared" si="141"/>
        <v>1994 q2</v>
      </c>
    </row>
    <row r="8732" spans="1:3">
      <c r="A8732" s="62">
        <v>34457</v>
      </c>
      <c r="B8732">
        <v>0.93300000000000005</v>
      </c>
      <c r="C8732" t="str">
        <f t="shared" si="141"/>
        <v>1994 q2</v>
      </c>
    </row>
    <row r="8733" spans="1:3">
      <c r="A8733" s="62">
        <v>34458</v>
      </c>
      <c r="B8733">
        <v>0.92500000000000004</v>
      </c>
      <c r="C8733" t="str">
        <f t="shared" si="141"/>
        <v>1994 q2</v>
      </c>
    </row>
    <row r="8734" spans="1:3">
      <c r="A8734" s="62">
        <v>34459</v>
      </c>
      <c r="B8734">
        <v>0.92649999999999999</v>
      </c>
      <c r="C8734" t="str">
        <f t="shared" si="141"/>
        <v>1994 q2</v>
      </c>
    </row>
    <row r="8735" spans="1:3">
      <c r="A8735" s="62">
        <v>34460</v>
      </c>
      <c r="B8735">
        <v>0.95450000000000002</v>
      </c>
      <c r="C8735" t="str">
        <f t="shared" si="141"/>
        <v>1994 q2</v>
      </c>
    </row>
    <row r="8736" spans="1:3">
      <c r="A8736" s="62">
        <v>34463</v>
      </c>
      <c r="B8736">
        <v>0.97550000000000003</v>
      </c>
      <c r="C8736" t="str">
        <f t="shared" si="141"/>
        <v>1994 q2</v>
      </c>
    </row>
    <row r="8737" spans="1:3">
      <c r="A8737" s="62">
        <v>34464</v>
      </c>
      <c r="B8737">
        <v>0.96</v>
      </c>
      <c r="C8737" t="str">
        <f t="shared" si="141"/>
        <v>1994 q2</v>
      </c>
    </row>
    <row r="8738" spans="1:3">
      <c r="A8738" s="62">
        <v>34465</v>
      </c>
      <c r="B8738">
        <v>0.98</v>
      </c>
      <c r="C8738" t="str">
        <f t="shared" si="141"/>
        <v>1994 q2</v>
      </c>
    </row>
    <row r="8739" spans="1:3">
      <c r="A8739" s="62">
        <v>34466</v>
      </c>
      <c r="B8739">
        <v>0.98099999999999998</v>
      </c>
      <c r="C8739" t="str">
        <f t="shared" si="141"/>
        <v>1994 q2</v>
      </c>
    </row>
    <row r="8740" spans="1:3">
      <c r="A8740" s="62">
        <v>34467</v>
      </c>
      <c r="B8740">
        <v>1.018</v>
      </c>
      <c r="C8740" t="str">
        <f t="shared" si="141"/>
        <v>1994 q2</v>
      </c>
    </row>
    <row r="8741" spans="1:3">
      <c r="A8741" s="62">
        <v>34470</v>
      </c>
      <c r="B8741">
        <v>1.02</v>
      </c>
      <c r="C8741" t="str">
        <f t="shared" si="141"/>
        <v>1994 q2</v>
      </c>
    </row>
    <row r="8742" spans="1:3">
      <c r="A8742" s="62">
        <v>34471</v>
      </c>
      <c r="B8742">
        <v>1.0405</v>
      </c>
      <c r="C8742" t="str">
        <f t="shared" si="141"/>
        <v>1994 q2</v>
      </c>
    </row>
    <row r="8743" spans="1:3">
      <c r="A8743" s="62">
        <v>34472</v>
      </c>
      <c r="B8743">
        <v>1.0515000000000001</v>
      </c>
      <c r="C8743" t="str">
        <f t="shared" si="141"/>
        <v>1994 q2</v>
      </c>
    </row>
    <row r="8744" spans="1:3">
      <c r="A8744" s="62">
        <v>34473</v>
      </c>
      <c r="B8744">
        <v>1.0435000000000001</v>
      </c>
      <c r="C8744" t="str">
        <f t="shared" si="141"/>
        <v>1994 q2</v>
      </c>
    </row>
    <row r="8745" spans="1:3">
      <c r="A8745" s="62">
        <v>34474</v>
      </c>
      <c r="B8745">
        <v>1.0245</v>
      </c>
      <c r="C8745" t="str">
        <f t="shared" si="141"/>
        <v>1994 q2</v>
      </c>
    </row>
    <row r="8746" spans="1:3">
      <c r="A8746" s="62">
        <v>34477</v>
      </c>
      <c r="B8746">
        <v>1.0634999999999999</v>
      </c>
      <c r="C8746" t="str">
        <f t="shared" si="141"/>
        <v>1994 q2</v>
      </c>
    </row>
    <row r="8747" spans="1:3">
      <c r="A8747" s="62">
        <v>34478</v>
      </c>
      <c r="B8747">
        <v>1.0555000000000001</v>
      </c>
      <c r="C8747" t="str">
        <f t="shared" si="141"/>
        <v>1994 q2</v>
      </c>
    </row>
    <row r="8748" spans="1:3">
      <c r="A8748" s="62">
        <v>34479</v>
      </c>
      <c r="B8748">
        <v>1.0329999999999999</v>
      </c>
      <c r="C8748" t="str">
        <f t="shared" si="141"/>
        <v>1994 q2</v>
      </c>
    </row>
    <row r="8749" spans="1:3">
      <c r="A8749" s="62">
        <v>34480</v>
      </c>
      <c r="B8749">
        <v>1.02</v>
      </c>
      <c r="C8749" t="str">
        <f t="shared" si="141"/>
        <v>1994 q2</v>
      </c>
    </row>
    <row r="8750" spans="1:3">
      <c r="A8750" s="62">
        <v>34481</v>
      </c>
      <c r="B8750">
        <v>1.0305</v>
      </c>
      <c r="C8750" t="str">
        <f t="shared" si="141"/>
        <v>1994 q2</v>
      </c>
    </row>
    <row r="8751" spans="1:3">
      <c r="A8751" s="62">
        <v>34485</v>
      </c>
      <c r="B8751">
        <v>1.0375000000000001</v>
      </c>
      <c r="C8751" t="str">
        <f t="shared" si="141"/>
        <v>1994 q2</v>
      </c>
    </row>
    <row r="8752" spans="1:3">
      <c r="A8752" s="62">
        <v>34486</v>
      </c>
      <c r="B8752">
        <v>1.01</v>
      </c>
      <c r="C8752" t="str">
        <f t="shared" si="141"/>
        <v>1994 q2</v>
      </c>
    </row>
    <row r="8753" spans="1:3">
      <c r="A8753" s="62">
        <v>34487</v>
      </c>
      <c r="B8753">
        <v>1.0189999999999999</v>
      </c>
      <c r="C8753" t="str">
        <f t="shared" si="141"/>
        <v>1994 q2</v>
      </c>
    </row>
    <row r="8754" spans="1:3">
      <c r="A8754" s="62">
        <v>34488</v>
      </c>
      <c r="B8754">
        <v>1.0309999999999999</v>
      </c>
      <c r="C8754" t="str">
        <f t="shared" si="141"/>
        <v>1994 q2</v>
      </c>
    </row>
    <row r="8755" spans="1:3">
      <c r="A8755" s="62">
        <v>34491</v>
      </c>
      <c r="B8755">
        <v>1.0195000000000001</v>
      </c>
      <c r="C8755" t="str">
        <f t="shared" si="141"/>
        <v>1994 q2</v>
      </c>
    </row>
    <row r="8756" spans="1:3">
      <c r="A8756" s="62">
        <v>34492</v>
      </c>
      <c r="B8756">
        <v>1.0680000000000001</v>
      </c>
      <c r="C8756" t="str">
        <f t="shared" si="141"/>
        <v>1994 q2</v>
      </c>
    </row>
    <row r="8757" spans="1:3">
      <c r="A8757" s="62">
        <v>34493</v>
      </c>
      <c r="B8757">
        <v>1.0854999999999999</v>
      </c>
      <c r="C8757" t="str">
        <f t="shared" si="141"/>
        <v>1994 q2</v>
      </c>
    </row>
    <row r="8758" spans="1:3">
      <c r="A8758" s="62">
        <v>34494</v>
      </c>
      <c r="B8758">
        <v>1.0945</v>
      </c>
      <c r="C8758" t="str">
        <f t="shared" si="141"/>
        <v>1994 q2</v>
      </c>
    </row>
    <row r="8759" spans="1:3">
      <c r="A8759" s="62">
        <v>34495</v>
      </c>
      <c r="B8759">
        <v>1.093</v>
      </c>
      <c r="C8759" t="str">
        <f t="shared" si="141"/>
        <v>1994 q2</v>
      </c>
    </row>
    <row r="8760" spans="1:3">
      <c r="A8760" s="62">
        <v>34498</v>
      </c>
      <c r="B8760">
        <v>1.1160000000000001</v>
      </c>
      <c r="C8760" t="str">
        <f t="shared" si="141"/>
        <v>1994 q2</v>
      </c>
    </row>
    <row r="8761" spans="1:3">
      <c r="A8761" s="62">
        <v>34499</v>
      </c>
      <c r="B8761">
        <v>1.0994999999999999</v>
      </c>
      <c r="C8761" t="str">
        <f t="shared" si="141"/>
        <v>1994 q2</v>
      </c>
    </row>
    <row r="8762" spans="1:3">
      <c r="A8762" s="62">
        <v>34500</v>
      </c>
      <c r="B8762">
        <v>1.103</v>
      </c>
      <c r="C8762" t="str">
        <f t="shared" si="141"/>
        <v>1994 q2</v>
      </c>
    </row>
    <row r="8763" spans="1:3">
      <c r="A8763" s="62">
        <v>34501</v>
      </c>
      <c r="B8763">
        <v>1.113</v>
      </c>
      <c r="C8763" t="str">
        <f t="shared" si="141"/>
        <v>1994 q2</v>
      </c>
    </row>
    <row r="8764" spans="1:3">
      <c r="A8764" s="62">
        <v>34502</v>
      </c>
      <c r="B8764">
        <v>1.1359999999999999</v>
      </c>
      <c r="C8764" t="str">
        <f t="shared" si="141"/>
        <v>1994 q2</v>
      </c>
    </row>
    <row r="8765" spans="1:3">
      <c r="A8765" s="62">
        <v>34505</v>
      </c>
      <c r="B8765">
        <v>1.1214999999999999</v>
      </c>
      <c r="C8765" t="str">
        <f t="shared" si="141"/>
        <v>1994 q2</v>
      </c>
    </row>
    <row r="8766" spans="1:3">
      <c r="A8766" s="62">
        <v>34506</v>
      </c>
      <c r="B8766">
        <v>1.1174999999999999</v>
      </c>
      <c r="C8766" t="str">
        <f t="shared" si="141"/>
        <v>1994 q2</v>
      </c>
    </row>
    <row r="8767" spans="1:3">
      <c r="A8767" s="62">
        <v>34507</v>
      </c>
      <c r="B8767">
        <v>1.1319999999999999</v>
      </c>
      <c r="C8767" t="str">
        <f t="shared" si="141"/>
        <v>1994 q2</v>
      </c>
    </row>
    <row r="8768" spans="1:3">
      <c r="A8768" s="62">
        <v>34508</v>
      </c>
      <c r="B8768">
        <v>1.1305000000000001</v>
      </c>
      <c r="C8768" t="str">
        <f t="shared" si="141"/>
        <v>1994 q2</v>
      </c>
    </row>
    <row r="8769" spans="1:3">
      <c r="A8769" s="62">
        <v>34509</v>
      </c>
      <c r="B8769">
        <v>1.1174999999999999</v>
      </c>
      <c r="C8769" t="str">
        <f t="shared" si="141"/>
        <v>1994 q2</v>
      </c>
    </row>
    <row r="8770" spans="1:3">
      <c r="A8770" s="62">
        <v>34512</v>
      </c>
      <c r="B8770">
        <v>1.1054999999999999</v>
      </c>
      <c r="C8770" t="str">
        <f t="shared" si="141"/>
        <v>1994 q2</v>
      </c>
    </row>
    <row r="8771" spans="1:3">
      <c r="A8771" s="62">
        <v>34513</v>
      </c>
      <c r="B8771">
        <v>1.0623</v>
      </c>
      <c r="C8771" t="str">
        <f t="shared" si="141"/>
        <v>1994 q2</v>
      </c>
    </row>
    <row r="8772" spans="1:3">
      <c r="A8772" s="62">
        <v>34514</v>
      </c>
      <c r="B8772">
        <v>1.0666</v>
      </c>
      <c r="C8772" t="str">
        <f t="shared" si="141"/>
        <v>1994 q2</v>
      </c>
    </row>
    <row r="8773" spans="1:3">
      <c r="A8773" s="62">
        <v>34515</v>
      </c>
      <c r="B8773">
        <v>1.0803</v>
      </c>
      <c r="C8773" t="str">
        <f t="shared" si="141"/>
        <v>1994 q2</v>
      </c>
    </row>
    <row r="8774" spans="1:3">
      <c r="A8774" s="62">
        <v>34516</v>
      </c>
      <c r="B8774">
        <v>1.1114999999999999</v>
      </c>
      <c r="C8774" t="str">
        <f t="shared" si="141"/>
        <v>1994 q3</v>
      </c>
    </row>
    <row r="8775" spans="1:3">
      <c r="A8775" s="62">
        <v>34520</v>
      </c>
      <c r="B8775">
        <v>1.125</v>
      </c>
      <c r="C8775" t="str">
        <f t="shared" si="141"/>
        <v>1994 q3</v>
      </c>
    </row>
    <row r="8776" spans="1:3">
      <c r="A8776" s="62">
        <v>34521</v>
      </c>
      <c r="B8776">
        <v>1.1134999999999999</v>
      </c>
      <c r="C8776" t="str">
        <f t="shared" si="141"/>
        <v>1994 q3</v>
      </c>
    </row>
    <row r="8777" spans="1:3">
      <c r="A8777" s="62">
        <v>34522</v>
      </c>
      <c r="B8777">
        <v>1.1020000000000001</v>
      </c>
      <c r="C8777" t="str">
        <f t="shared" si="141"/>
        <v>1994 q3</v>
      </c>
    </row>
    <row r="8778" spans="1:3">
      <c r="A8778" s="62">
        <v>34523</v>
      </c>
      <c r="B8778">
        <v>1.0965</v>
      </c>
      <c r="C8778" t="str">
        <f t="shared" si="141"/>
        <v>1994 q3</v>
      </c>
    </row>
    <row r="8779" spans="1:3">
      <c r="A8779" s="62">
        <v>34526</v>
      </c>
      <c r="B8779">
        <v>1.1025</v>
      </c>
      <c r="C8779" t="str">
        <f t="shared" si="141"/>
        <v>1994 q3</v>
      </c>
    </row>
    <row r="8780" spans="1:3">
      <c r="A8780" s="62">
        <v>34527</v>
      </c>
      <c r="B8780">
        <v>1.1060000000000001</v>
      </c>
      <c r="C8780" t="str">
        <f t="shared" si="141"/>
        <v>1994 q3</v>
      </c>
    </row>
    <row r="8781" spans="1:3">
      <c r="A8781" s="62">
        <v>34528</v>
      </c>
      <c r="B8781">
        <v>1.109</v>
      </c>
      <c r="C8781" t="str">
        <f t="shared" si="141"/>
        <v>1994 q3</v>
      </c>
    </row>
    <row r="8782" spans="1:3">
      <c r="A8782" s="62">
        <v>34529</v>
      </c>
      <c r="B8782">
        <v>1.1274999999999999</v>
      </c>
      <c r="C8782" t="str">
        <f t="shared" si="141"/>
        <v>1994 q3</v>
      </c>
    </row>
    <row r="8783" spans="1:3">
      <c r="A8783" s="62">
        <v>34530</v>
      </c>
      <c r="B8783">
        <v>1.125</v>
      </c>
      <c r="C8783" t="str">
        <f t="shared" si="141"/>
        <v>1994 q3</v>
      </c>
    </row>
    <row r="8784" spans="1:3">
      <c r="A8784" s="62">
        <v>34533</v>
      </c>
      <c r="B8784">
        <v>1.1245000000000001</v>
      </c>
      <c r="C8784" t="str">
        <f t="shared" si="141"/>
        <v>1994 q3</v>
      </c>
    </row>
    <row r="8785" spans="1:3">
      <c r="A8785" s="62">
        <v>34534</v>
      </c>
      <c r="B8785">
        <v>1.1619999999999999</v>
      </c>
      <c r="C8785" t="str">
        <f t="shared" si="141"/>
        <v>1994 q3</v>
      </c>
    </row>
    <row r="8786" spans="1:3">
      <c r="A8786" s="62">
        <v>34535</v>
      </c>
      <c r="B8786">
        <v>1.1515</v>
      </c>
      <c r="C8786" t="str">
        <f t="shared" ref="C8786:C8849" si="142">YEAR(A8786)&amp;" q"&amp;ROUNDUP(MONTH(A8786)/3,0)</f>
        <v>1994 q3</v>
      </c>
    </row>
    <row r="8787" spans="1:3">
      <c r="A8787" s="62">
        <v>34536</v>
      </c>
      <c r="B8787">
        <v>1.151</v>
      </c>
      <c r="C8787" t="str">
        <f t="shared" si="142"/>
        <v>1994 q3</v>
      </c>
    </row>
    <row r="8788" spans="1:3">
      <c r="A8788" s="62">
        <v>34537</v>
      </c>
      <c r="B8788">
        <v>1.1439999999999999</v>
      </c>
      <c r="C8788" t="str">
        <f t="shared" si="142"/>
        <v>1994 q3</v>
      </c>
    </row>
    <row r="8789" spans="1:3">
      <c r="A8789" s="62">
        <v>34540</v>
      </c>
      <c r="B8789">
        <v>1.151</v>
      </c>
      <c r="C8789" t="str">
        <f t="shared" si="142"/>
        <v>1994 q3</v>
      </c>
    </row>
    <row r="8790" spans="1:3">
      <c r="A8790" s="62">
        <v>34541</v>
      </c>
      <c r="B8790">
        <v>1.1134999999999999</v>
      </c>
      <c r="C8790" t="str">
        <f t="shared" si="142"/>
        <v>1994 q3</v>
      </c>
    </row>
    <row r="8791" spans="1:3">
      <c r="A8791" s="62">
        <v>34542</v>
      </c>
      <c r="B8791">
        <v>1.1114999999999999</v>
      </c>
      <c r="C8791" t="str">
        <f t="shared" si="142"/>
        <v>1994 q3</v>
      </c>
    </row>
    <row r="8792" spans="1:3">
      <c r="A8792" s="62">
        <v>34543</v>
      </c>
      <c r="B8792">
        <v>1.103</v>
      </c>
      <c r="C8792" t="str">
        <f t="shared" si="142"/>
        <v>1994 q3</v>
      </c>
    </row>
    <row r="8793" spans="1:3">
      <c r="A8793" s="62">
        <v>34544</v>
      </c>
      <c r="B8793">
        <v>1.1140000000000001</v>
      </c>
      <c r="C8793" t="str">
        <f t="shared" si="142"/>
        <v>1994 q3</v>
      </c>
    </row>
    <row r="8794" spans="1:3">
      <c r="A8794" s="62">
        <v>34547</v>
      </c>
      <c r="B8794">
        <v>1.0965</v>
      </c>
      <c r="C8794" t="str">
        <f t="shared" si="142"/>
        <v>1994 q3</v>
      </c>
    </row>
    <row r="8795" spans="1:3">
      <c r="A8795" s="62">
        <v>34548</v>
      </c>
      <c r="B8795">
        <v>1.1014999999999999</v>
      </c>
      <c r="C8795" t="str">
        <f t="shared" si="142"/>
        <v>1994 q3</v>
      </c>
    </row>
    <row r="8796" spans="1:3">
      <c r="A8796" s="62">
        <v>34549</v>
      </c>
      <c r="B8796">
        <v>1.0665</v>
      </c>
      <c r="C8796" t="str">
        <f t="shared" si="142"/>
        <v>1994 q3</v>
      </c>
    </row>
    <row r="8797" spans="1:3">
      <c r="A8797" s="62">
        <v>34550</v>
      </c>
      <c r="B8797">
        <v>1.0740000000000001</v>
      </c>
      <c r="C8797" t="str">
        <f t="shared" si="142"/>
        <v>1994 q3</v>
      </c>
    </row>
    <row r="8798" spans="1:3">
      <c r="A8798" s="62">
        <v>34551</v>
      </c>
      <c r="B8798">
        <v>1.0685</v>
      </c>
      <c r="C8798" t="str">
        <f t="shared" si="142"/>
        <v>1994 q3</v>
      </c>
    </row>
    <row r="8799" spans="1:3">
      <c r="A8799" s="62">
        <v>34554</v>
      </c>
      <c r="B8799">
        <v>1.0860000000000001</v>
      </c>
      <c r="C8799" t="str">
        <f t="shared" si="142"/>
        <v>1994 q3</v>
      </c>
    </row>
    <row r="8800" spans="1:3">
      <c r="A8800" s="62">
        <v>34555</v>
      </c>
      <c r="B8800">
        <v>1.0725</v>
      </c>
      <c r="C8800" t="str">
        <f t="shared" si="142"/>
        <v>1994 q3</v>
      </c>
    </row>
    <row r="8801" spans="1:3">
      <c r="A8801" s="62">
        <v>34556</v>
      </c>
      <c r="B8801">
        <v>1.0894999999999999</v>
      </c>
      <c r="C8801" t="str">
        <f t="shared" si="142"/>
        <v>1994 q3</v>
      </c>
    </row>
    <row r="8802" spans="1:3">
      <c r="A8802" s="62">
        <v>34557</v>
      </c>
      <c r="B8802">
        <v>1.0985</v>
      </c>
      <c r="C8802" t="str">
        <f t="shared" si="142"/>
        <v>1994 q3</v>
      </c>
    </row>
    <row r="8803" spans="1:3">
      <c r="A8803" s="62">
        <v>34558</v>
      </c>
      <c r="B8803">
        <v>1.0845</v>
      </c>
      <c r="C8803" t="str">
        <f t="shared" si="142"/>
        <v>1994 q3</v>
      </c>
    </row>
    <row r="8804" spans="1:3">
      <c r="A8804" s="62">
        <v>34561</v>
      </c>
      <c r="B8804">
        <v>1.0860000000000001</v>
      </c>
      <c r="C8804" t="str">
        <f t="shared" si="142"/>
        <v>1994 q3</v>
      </c>
    </row>
    <row r="8805" spans="1:3">
      <c r="A8805" s="62">
        <v>34562</v>
      </c>
      <c r="B8805">
        <v>1.08</v>
      </c>
      <c r="C8805" t="str">
        <f t="shared" si="142"/>
        <v>1994 q3</v>
      </c>
    </row>
    <row r="8806" spans="1:3">
      <c r="A8806" s="62">
        <v>34563</v>
      </c>
      <c r="B8806">
        <v>1.0940000000000001</v>
      </c>
      <c r="C8806" t="str">
        <f t="shared" si="142"/>
        <v>1994 q3</v>
      </c>
    </row>
    <row r="8807" spans="1:3">
      <c r="A8807" s="62">
        <v>34564</v>
      </c>
      <c r="B8807">
        <v>1.093</v>
      </c>
      <c r="C8807" t="str">
        <f t="shared" si="142"/>
        <v>1994 q3</v>
      </c>
    </row>
    <row r="8808" spans="1:3">
      <c r="A8808" s="62">
        <v>34565</v>
      </c>
      <c r="B8808">
        <v>1.0840000000000001</v>
      </c>
      <c r="C8808" t="str">
        <f t="shared" si="142"/>
        <v>1994 q3</v>
      </c>
    </row>
    <row r="8809" spans="1:3">
      <c r="A8809" s="62">
        <v>34568</v>
      </c>
      <c r="B8809">
        <v>1.0669999999999999</v>
      </c>
      <c r="C8809" t="str">
        <f t="shared" si="142"/>
        <v>1994 q3</v>
      </c>
    </row>
    <row r="8810" spans="1:3">
      <c r="A8810" s="62">
        <v>34569</v>
      </c>
      <c r="B8810">
        <v>1.0754999999999999</v>
      </c>
      <c r="C8810" t="str">
        <f t="shared" si="142"/>
        <v>1994 q3</v>
      </c>
    </row>
    <row r="8811" spans="1:3">
      <c r="A8811" s="62">
        <v>34570</v>
      </c>
      <c r="B8811">
        <v>1.0954999999999999</v>
      </c>
      <c r="C8811" t="str">
        <f t="shared" si="142"/>
        <v>1994 q3</v>
      </c>
    </row>
    <row r="8812" spans="1:3">
      <c r="A8812" s="62">
        <v>34571</v>
      </c>
      <c r="B8812">
        <v>1.0925</v>
      </c>
      <c r="C8812" t="str">
        <f t="shared" si="142"/>
        <v>1994 q3</v>
      </c>
    </row>
    <row r="8813" spans="1:3">
      <c r="A8813" s="62">
        <v>34572</v>
      </c>
      <c r="B8813">
        <v>1.1175999999999999</v>
      </c>
      <c r="C8813" t="str">
        <f t="shared" si="142"/>
        <v>1994 q3</v>
      </c>
    </row>
    <row r="8814" spans="1:3">
      <c r="A8814" s="62">
        <v>34575</v>
      </c>
      <c r="B8814">
        <v>1.1297999999999999</v>
      </c>
      <c r="C8814" t="str">
        <f t="shared" si="142"/>
        <v>1994 q3</v>
      </c>
    </row>
    <row r="8815" spans="1:3">
      <c r="A8815" s="62">
        <v>34576</v>
      </c>
      <c r="B8815">
        <v>1.1367</v>
      </c>
      <c r="C8815" t="str">
        <f t="shared" si="142"/>
        <v>1994 q3</v>
      </c>
    </row>
    <row r="8816" spans="1:3">
      <c r="A8816" s="62">
        <v>34577</v>
      </c>
      <c r="B8816">
        <v>1.159</v>
      </c>
      <c r="C8816" t="str">
        <f t="shared" si="142"/>
        <v>1994 q3</v>
      </c>
    </row>
    <row r="8817" spans="1:3">
      <c r="A8817" s="62">
        <v>34578</v>
      </c>
      <c r="B8817">
        <v>1.1419999999999999</v>
      </c>
      <c r="C8817" t="str">
        <f t="shared" si="142"/>
        <v>1994 q3</v>
      </c>
    </row>
    <row r="8818" spans="1:3">
      <c r="A8818" s="62">
        <v>34579</v>
      </c>
      <c r="B8818">
        <v>1.145</v>
      </c>
      <c r="C8818" t="str">
        <f t="shared" si="142"/>
        <v>1994 q3</v>
      </c>
    </row>
    <row r="8819" spans="1:3">
      <c r="A8819" s="62">
        <v>34583</v>
      </c>
      <c r="B8819">
        <v>1.1475</v>
      </c>
      <c r="C8819" t="str">
        <f t="shared" si="142"/>
        <v>1994 q3</v>
      </c>
    </row>
    <row r="8820" spans="1:3">
      <c r="A8820" s="62">
        <v>34584</v>
      </c>
      <c r="B8820">
        <v>1.1475</v>
      </c>
      <c r="C8820" t="str">
        <f t="shared" si="142"/>
        <v>1994 q3</v>
      </c>
    </row>
    <row r="8821" spans="1:3">
      <c r="A8821" s="62">
        <v>34585</v>
      </c>
      <c r="B8821">
        <v>1.1459999999999999</v>
      </c>
      <c r="C8821" t="str">
        <f t="shared" si="142"/>
        <v>1994 q3</v>
      </c>
    </row>
    <row r="8822" spans="1:3">
      <c r="A8822" s="62">
        <v>34586</v>
      </c>
      <c r="B8822">
        <v>1.1485000000000001</v>
      </c>
      <c r="C8822" t="str">
        <f t="shared" si="142"/>
        <v>1994 q3</v>
      </c>
    </row>
    <row r="8823" spans="1:3">
      <c r="A8823" s="62">
        <v>34589</v>
      </c>
      <c r="B8823">
        <v>1.1685000000000001</v>
      </c>
      <c r="C8823" t="str">
        <f t="shared" si="142"/>
        <v>1994 q3</v>
      </c>
    </row>
    <row r="8824" spans="1:3">
      <c r="A8824" s="62">
        <v>34590</v>
      </c>
      <c r="B8824">
        <v>1.1535</v>
      </c>
      <c r="C8824" t="str">
        <f t="shared" si="142"/>
        <v>1994 q3</v>
      </c>
    </row>
    <row r="8825" spans="1:3">
      <c r="A8825" s="62">
        <v>34591</v>
      </c>
      <c r="B8825">
        <v>1.1579999999999999</v>
      </c>
      <c r="C8825" t="str">
        <f t="shared" si="142"/>
        <v>1994 q3</v>
      </c>
    </row>
    <row r="8826" spans="1:3">
      <c r="A8826" s="62">
        <v>34592</v>
      </c>
      <c r="B8826">
        <v>1.1479999999999999</v>
      </c>
      <c r="C8826" t="str">
        <f t="shared" si="142"/>
        <v>1994 q3</v>
      </c>
    </row>
    <row r="8827" spans="1:3">
      <c r="A8827" s="62">
        <v>34593</v>
      </c>
      <c r="B8827">
        <v>1.1725000000000001</v>
      </c>
      <c r="C8827" t="str">
        <f t="shared" si="142"/>
        <v>1994 q3</v>
      </c>
    </row>
    <row r="8828" spans="1:3">
      <c r="A8828" s="62">
        <v>34596</v>
      </c>
      <c r="B8828">
        <v>1.1739999999999999</v>
      </c>
      <c r="C8828" t="str">
        <f t="shared" si="142"/>
        <v>1994 q3</v>
      </c>
    </row>
    <row r="8829" spans="1:3">
      <c r="A8829" s="62">
        <v>34597</v>
      </c>
      <c r="B8829">
        <v>1.1719999999999999</v>
      </c>
      <c r="C8829" t="str">
        <f t="shared" si="142"/>
        <v>1994 q3</v>
      </c>
    </row>
    <row r="8830" spans="1:3">
      <c r="A8830" s="62">
        <v>34598</v>
      </c>
      <c r="B8830">
        <v>1.17</v>
      </c>
      <c r="C8830" t="str">
        <f t="shared" si="142"/>
        <v>1994 q3</v>
      </c>
    </row>
    <row r="8831" spans="1:3">
      <c r="A8831" s="62">
        <v>34599</v>
      </c>
      <c r="B8831">
        <v>1.175</v>
      </c>
      <c r="C8831" t="str">
        <f t="shared" si="142"/>
        <v>1994 q3</v>
      </c>
    </row>
    <row r="8832" spans="1:3">
      <c r="A8832" s="62">
        <v>34600</v>
      </c>
      <c r="B8832">
        <v>1.1875</v>
      </c>
      <c r="C8832" t="str">
        <f t="shared" si="142"/>
        <v>1994 q3</v>
      </c>
    </row>
    <row r="8833" spans="1:3">
      <c r="A8833" s="62">
        <v>34603</v>
      </c>
      <c r="B8833">
        <v>1.18</v>
      </c>
      <c r="C8833" t="str">
        <f t="shared" si="142"/>
        <v>1994 q3</v>
      </c>
    </row>
    <row r="8834" spans="1:3">
      <c r="A8834" s="62">
        <v>34604</v>
      </c>
      <c r="B8834">
        <v>1.1835</v>
      </c>
      <c r="C8834" t="str">
        <f t="shared" si="142"/>
        <v>1994 q3</v>
      </c>
    </row>
    <row r="8835" spans="1:3">
      <c r="A8835" s="62">
        <v>34605</v>
      </c>
      <c r="B8835">
        <v>1.181</v>
      </c>
      <c r="C8835" t="str">
        <f t="shared" si="142"/>
        <v>1994 q3</v>
      </c>
    </row>
    <row r="8836" spans="1:3">
      <c r="A8836" s="62">
        <v>34606</v>
      </c>
      <c r="B8836">
        <v>1.1615</v>
      </c>
      <c r="C8836" t="str">
        <f t="shared" si="142"/>
        <v>1994 q3</v>
      </c>
    </row>
    <row r="8837" spans="1:3">
      <c r="A8837" s="62">
        <v>34607</v>
      </c>
      <c r="B8837">
        <v>1.1254999999999999</v>
      </c>
      <c r="C8837" t="str">
        <f t="shared" si="142"/>
        <v>1994 q3</v>
      </c>
    </row>
    <row r="8838" spans="1:3">
      <c r="A8838" s="62">
        <v>34610</v>
      </c>
      <c r="B8838">
        <v>1.145</v>
      </c>
      <c r="C8838" t="str">
        <f t="shared" si="142"/>
        <v>1994 q4</v>
      </c>
    </row>
    <row r="8839" spans="1:3">
      <c r="A8839" s="62">
        <v>34611</v>
      </c>
      <c r="B8839">
        <v>1.1535</v>
      </c>
      <c r="C8839" t="str">
        <f t="shared" si="142"/>
        <v>1994 q4</v>
      </c>
    </row>
    <row r="8840" spans="1:3">
      <c r="A8840" s="62">
        <v>34612</v>
      </c>
      <c r="B8840">
        <v>1.159</v>
      </c>
      <c r="C8840" t="str">
        <f t="shared" si="142"/>
        <v>1994 q4</v>
      </c>
    </row>
    <row r="8841" spans="1:3">
      <c r="A8841" s="62">
        <v>34613</v>
      </c>
      <c r="B8841">
        <v>1.1635</v>
      </c>
      <c r="C8841" t="str">
        <f t="shared" si="142"/>
        <v>1994 q4</v>
      </c>
    </row>
    <row r="8842" spans="1:3">
      <c r="A8842" s="62">
        <v>34614</v>
      </c>
      <c r="B8842">
        <v>1.1465000000000001</v>
      </c>
      <c r="C8842" t="str">
        <f t="shared" si="142"/>
        <v>1994 q4</v>
      </c>
    </row>
    <row r="8843" spans="1:3">
      <c r="A8843" s="62">
        <v>34617</v>
      </c>
      <c r="B8843">
        <v>1.1485000000000001</v>
      </c>
      <c r="C8843" t="str">
        <f t="shared" si="142"/>
        <v>1994 q4</v>
      </c>
    </row>
    <row r="8844" spans="1:3">
      <c r="A8844" s="62">
        <v>34618</v>
      </c>
      <c r="B8844">
        <v>1.1435</v>
      </c>
      <c r="C8844" t="str">
        <f t="shared" si="142"/>
        <v>1994 q4</v>
      </c>
    </row>
    <row r="8845" spans="1:3">
      <c r="A8845" s="62">
        <v>34619</v>
      </c>
      <c r="B8845">
        <v>1.1479999999999999</v>
      </c>
      <c r="C8845" t="str">
        <f t="shared" si="142"/>
        <v>1994 q4</v>
      </c>
    </row>
    <row r="8846" spans="1:3">
      <c r="A8846" s="62">
        <v>34620</v>
      </c>
      <c r="B8846">
        <v>1.137</v>
      </c>
      <c r="C8846" t="str">
        <f t="shared" si="142"/>
        <v>1994 q4</v>
      </c>
    </row>
    <row r="8847" spans="1:3">
      <c r="A8847" s="62">
        <v>34621</v>
      </c>
      <c r="B8847">
        <v>1.1419999999999999</v>
      </c>
      <c r="C8847" t="str">
        <f t="shared" si="142"/>
        <v>1994 q4</v>
      </c>
    </row>
    <row r="8848" spans="1:3">
      <c r="A8848" s="62">
        <v>34624</v>
      </c>
      <c r="B8848">
        <v>1.1375</v>
      </c>
      <c r="C8848" t="str">
        <f t="shared" si="142"/>
        <v>1994 q4</v>
      </c>
    </row>
    <row r="8849" spans="1:3">
      <c r="A8849" s="62">
        <v>34625</v>
      </c>
      <c r="B8849">
        <v>1.1459999999999999</v>
      </c>
      <c r="C8849" t="str">
        <f t="shared" si="142"/>
        <v>1994 q4</v>
      </c>
    </row>
    <row r="8850" spans="1:3">
      <c r="A8850" s="62">
        <v>34626</v>
      </c>
      <c r="B8850">
        <v>1.1859999999999999</v>
      </c>
      <c r="C8850" t="str">
        <f t="shared" ref="C8850:C8913" si="143">YEAR(A8850)&amp;" q"&amp;ROUNDUP(MONTH(A8850)/3,0)</f>
        <v>1994 q4</v>
      </c>
    </row>
    <row r="8851" spans="1:3">
      <c r="A8851" s="62">
        <v>34627</v>
      </c>
      <c r="B8851">
        <v>1.1759999999999999</v>
      </c>
      <c r="C8851" t="str">
        <f t="shared" si="143"/>
        <v>1994 q4</v>
      </c>
    </row>
    <row r="8852" spans="1:3">
      <c r="A8852" s="62">
        <v>34628</v>
      </c>
      <c r="B8852">
        <v>1.1695</v>
      </c>
      <c r="C8852" t="str">
        <f t="shared" si="143"/>
        <v>1994 q4</v>
      </c>
    </row>
    <row r="8853" spans="1:3">
      <c r="A8853" s="62">
        <v>34631</v>
      </c>
      <c r="B8853">
        <v>1.179</v>
      </c>
      <c r="C8853" t="str">
        <f t="shared" si="143"/>
        <v>1994 q4</v>
      </c>
    </row>
    <row r="8854" spans="1:3">
      <c r="A8854" s="62">
        <v>34632</v>
      </c>
      <c r="B8854">
        <v>1.1924999999999999</v>
      </c>
      <c r="C8854" t="str">
        <f t="shared" si="143"/>
        <v>1994 q4</v>
      </c>
    </row>
    <row r="8855" spans="1:3">
      <c r="A8855" s="62">
        <v>34633</v>
      </c>
      <c r="B8855">
        <v>1.22</v>
      </c>
      <c r="C8855" t="str">
        <f t="shared" si="143"/>
        <v>1994 q4</v>
      </c>
    </row>
    <row r="8856" spans="1:3">
      <c r="A8856" s="62">
        <v>34634</v>
      </c>
      <c r="B8856">
        <v>1.2335</v>
      </c>
      <c r="C8856" t="str">
        <f t="shared" si="143"/>
        <v>1994 q4</v>
      </c>
    </row>
    <row r="8857" spans="1:3">
      <c r="A8857" s="62">
        <v>34635</v>
      </c>
      <c r="B8857">
        <v>1.2344999999999999</v>
      </c>
      <c r="C8857" t="str">
        <f t="shared" si="143"/>
        <v>1994 q4</v>
      </c>
    </row>
    <row r="8858" spans="1:3">
      <c r="A8858" s="62">
        <v>34638</v>
      </c>
      <c r="B8858">
        <v>1.226</v>
      </c>
      <c r="C8858" t="str">
        <f t="shared" si="143"/>
        <v>1994 q4</v>
      </c>
    </row>
    <row r="8859" spans="1:3">
      <c r="A8859" s="62">
        <v>34639</v>
      </c>
      <c r="B8859">
        <v>1.256</v>
      </c>
      <c r="C8859" t="str">
        <f t="shared" si="143"/>
        <v>1994 q4</v>
      </c>
    </row>
    <row r="8860" spans="1:3">
      <c r="A8860" s="62">
        <v>34640</v>
      </c>
      <c r="B8860">
        <v>1.2629999999999999</v>
      </c>
      <c r="C8860" t="str">
        <f t="shared" si="143"/>
        <v>1994 q4</v>
      </c>
    </row>
    <row r="8861" spans="1:3">
      <c r="A8861" s="62">
        <v>34641</v>
      </c>
      <c r="B8861">
        <v>1.2370000000000001</v>
      </c>
      <c r="C8861" t="str">
        <f t="shared" si="143"/>
        <v>1994 q4</v>
      </c>
    </row>
    <row r="8862" spans="1:3">
      <c r="A8862" s="62">
        <v>34642</v>
      </c>
      <c r="B8862">
        <v>1.2669999999999999</v>
      </c>
      <c r="C8862" t="str">
        <f t="shared" si="143"/>
        <v>1994 q4</v>
      </c>
    </row>
    <row r="8863" spans="1:3">
      <c r="A8863" s="62">
        <v>34645</v>
      </c>
      <c r="B8863">
        <v>1.2404999999999999</v>
      </c>
      <c r="C8863" t="str">
        <f t="shared" si="143"/>
        <v>1994 q4</v>
      </c>
    </row>
    <row r="8864" spans="1:3">
      <c r="A8864" s="62">
        <v>34646</v>
      </c>
      <c r="B8864">
        <v>1.2390000000000001</v>
      </c>
      <c r="C8864" t="str">
        <f t="shared" si="143"/>
        <v>1994 q4</v>
      </c>
    </row>
    <row r="8865" spans="1:3">
      <c r="A8865" s="62">
        <v>34647</v>
      </c>
      <c r="B8865">
        <v>1.2270000000000001</v>
      </c>
      <c r="C8865" t="str">
        <f t="shared" si="143"/>
        <v>1994 q4</v>
      </c>
    </row>
    <row r="8866" spans="1:3">
      <c r="A8866" s="62">
        <v>34648</v>
      </c>
      <c r="B8866">
        <v>1.2335</v>
      </c>
      <c r="C8866" t="str">
        <f t="shared" si="143"/>
        <v>1994 q4</v>
      </c>
    </row>
    <row r="8867" spans="1:3">
      <c r="A8867" s="62">
        <v>34649</v>
      </c>
      <c r="B8867">
        <v>1.2444999999999999</v>
      </c>
      <c r="C8867" t="str">
        <f t="shared" si="143"/>
        <v>1994 q4</v>
      </c>
    </row>
    <row r="8868" spans="1:3">
      <c r="A8868" s="62">
        <v>34652</v>
      </c>
      <c r="B8868">
        <v>1.2749999999999999</v>
      </c>
      <c r="C8868" t="str">
        <f t="shared" si="143"/>
        <v>1994 q4</v>
      </c>
    </row>
    <row r="8869" spans="1:3">
      <c r="A8869" s="62">
        <v>34653</v>
      </c>
      <c r="B8869">
        <v>1.2905</v>
      </c>
      <c r="C8869" t="str">
        <f t="shared" si="143"/>
        <v>1994 q4</v>
      </c>
    </row>
    <row r="8870" spans="1:3">
      <c r="A8870" s="62">
        <v>34654</v>
      </c>
      <c r="B8870">
        <v>1.3434999999999999</v>
      </c>
      <c r="C8870" t="str">
        <f t="shared" si="143"/>
        <v>1994 q4</v>
      </c>
    </row>
    <row r="8871" spans="1:3">
      <c r="A8871" s="62">
        <v>34655</v>
      </c>
      <c r="B8871">
        <v>1.3454999999999999</v>
      </c>
      <c r="C8871" t="str">
        <f t="shared" si="143"/>
        <v>1994 q4</v>
      </c>
    </row>
    <row r="8872" spans="1:3">
      <c r="A8872" s="62">
        <v>34656</v>
      </c>
      <c r="B8872">
        <v>1.3454999999999999</v>
      </c>
      <c r="C8872" t="str">
        <f t="shared" si="143"/>
        <v>1994 q4</v>
      </c>
    </row>
    <row r="8873" spans="1:3">
      <c r="A8873" s="62">
        <v>34659</v>
      </c>
      <c r="B8873">
        <v>1.3634999999999999</v>
      </c>
      <c r="C8873" t="str">
        <f t="shared" si="143"/>
        <v>1994 q4</v>
      </c>
    </row>
    <row r="8874" spans="1:3">
      <c r="A8874" s="62">
        <v>34660</v>
      </c>
      <c r="B8874">
        <v>1.3225</v>
      </c>
      <c r="C8874" t="str">
        <f t="shared" si="143"/>
        <v>1994 q4</v>
      </c>
    </row>
    <row r="8875" spans="1:3">
      <c r="A8875" s="62">
        <v>34661</v>
      </c>
      <c r="B8875">
        <v>1.2999000000000001</v>
      </c>
      <c r="C8875" t="str">
        <f t="shared" si="143"/>
        <v>1994 q4</v>
      </c>
    </row>
    <row r="8876" spans="1:3">
      <c r="A8876" s="62">
        <v>34666</v>
      </c>
      <c r="B8876">
        <v>1.3071999999999999</v>
      </c>
      <c r="C8876" t="str">
        <f t="shared" si="143"/>
        <v>1994 q4</v>
      </c>
    </row>
    <row r="8877" spans="1:3">
      <c r="A8877" s="62">
        <v>34667</v>
      </c>
      <c r="B8877">
        <v>1.3498000000000001</v>
      </c>
      <c r="C8877" t="str">
        <f t="shared" si="143"/>
        <v>1994 q4</v>
      </c>
    </row>
    <row r="8878" spans="1:3">
      <c r="A8878" s="62">
        <v>34668</v>
      </c>
      <c r="B8878">
        <v>1.3551</v>
      </c>
      <c r="C8878" t="str">
        <f t="shared" si="143"/>
        <v>1994 q4</v>
      </c>
    </row>
    <row r="8879" spans="1:3">
      <c r="A8879" s="62">
        <v>34669</v>
      </c>
      <c r="B8879">
        <v>1.3685</v>
      </c>
      <c r="C8879" t="str">
        <f t="shared" si="143"/>
        <v>1994 q4</v>
      </c>
    </row>
    <row r="8880" spans="1:3">
      <c r="A8880" s="62">
        <v>34670</v>
      </c>
      <c r="B8880">
        <v>1.369</v>
      </c>
      <c r="C8880" t="str">
        <f t="shared" si="143"/>
        <v>1994 q4</v>
      </c>
    </row>
    <row r="8881" spans="1:3">
      <c r="A8881" s="62">
        <v>34673</v>
      </c>
      <c r="B8881">
        <v>1.3480000000000001</v>
      </c>
      <c r="C8881" t="str">
        <f t="shared" si="143"/>
        <v>1994 q4</v>
      </c>
    </row>
    <row r="8882" spans="1:3">
      <c r="A8882" s="62">
        <v>34674</v>
      </c>
      <c r="B8882">
        <v>1.3385</v>
      </c>
      <c r="C8882" t="str">
        <f t="shared" si="143"/>
        <v>1994 q4</v>
      </c>
    </row>
    <row r="8883" spans="1:3">
      <c r="A8883" s="62">
        <v>34675</v>
      </c>
      <c r="B8883">
        <v>1.3234999999999999</v>
      </c>
      <c r="C8883" t="str">
        <f t="shared" si="143"/>
        <v>1994 q4</v>
      </c>
    </row>
    <row r="8884" spans="1:3">
      <c r="A8884" s="62">
        <v>34676</v>
      </c>
      <c r="B8884">
        <v>1.3580000000000001</v>
      </c>
      <c r="C8884" t="str">
        <f t="shared" si="143"/>
        <v>1994 q4</v>
      </c>
    </row>
    <row r="8885" spans="1:3">
      <c r="A8885" s="62">
        <v>34677</v>
      </c>
      <c r="B8885">
        <v>1.3440000000000001</v>
      </c>
      <c r="C8885" t="str">
        <f t="shared" si="143"/>
        <v>1994 q4</v>
      </c>
    </row>
    <row r="8886" spans="1:3">
      <c r="A8886" s="62">
        <v>34680</v>
      </c>
      <c r="B8886">
        <v>1.3460000000000001</v>
      </c>
      <c r="C8886" t="str">
        <f t="shared" si="143"/>
        <v>1994 q4</v>
      </c>
    </row>
    <row r="8887" spans="1:3">
      <c r="A8887" s="62">
        <v>34681</v>
      </c>
      <c r="B8887">
        <v>1.3385</v>
      </c>
      <c r="C8887" t="str">
        <f t="shared" si="143"/>
        <v>1994 q4</v>
      </c>
    </row>
    <row r="8888" spans="1:3">
      <c r="A8888" s="62">
        <v>34682</v>
      </c>
      <c r="B8888">
        <v>1.3594999999999999</v>
      </c>
      <c r="C8888" t="str">
        <f t="shared" si="143"/>
        <v>1994 q4</v>
      </c>
    </row>
    <row r="8889" spans="1:3">
      <c r="A8889" s="62">
        <v>34683</v>
      </c>
      <c r="B8889">
        <v>1.3885000000000001</v>
      </c>
      <c r="C8889" t="str">
        <f t="shared" si="143"/>
        <v>1994 q4</v>
      </c>
    </row>
    <row r="8890" spans="1:3">
      <c r="A8890" s="62">
        <v>34684</v>
      </c>
      <c r="B8890">
        <v>1.3875</v>
      </c>
      <c r="C8890" t="str">
        <f t="shared" si="143"/>
        <v>1994 q4</v>
      </c>
    </row>
    <row r="8891" spans="1:3">
      <c r="A8891" s="62">
        <v>34687</v>
      </c>
      <c r="B8891">
        <v>1.3620000000000001</v>
      </c>
      <c r="C8891" t="str">
        <f t="shared" si="143"/>
        <v>1994 q4</v>
      </c>
    </row>
    <row r="8892" spans="1:3">
      <c r="A8892" s="62">
        <v>34688</v>
      </c>
      <c r="B8892">
        <v>1.355</v>
      </c>
      <c r="C8892" t="str">
        <f t="shared" si="143"/>
        <v>1994 q4</v>
      </c>
    </row>
    <row r="8893" spans="1:3">
      <c r="A8893" s="62">
        <v>34689</v>
      </c>
      <c r="B8893">
        <v>1.3694999999999999</v>
      </c>
      <c r="C8893" t="str">
        <f t="shared" si="143"/>
        <v>1994 q4</v>
      </c>
    </row>
    <row r="8894" spans="1:3">
      <c r="A8894" s="62">
        <v>34690</v>
      </c>
      <c r="B8894">
        <v>1.3694999999999999</v>
      </c>
      <c r="C8894" t="str">
        <f t="shared" si="143"/>
        <v>1994 q4</v>
      </c>
    </row>
    <row r="8895" spans="1:3">
      <c r="A8895" s="62">
        <v>34691</v>
      </c>
      <c r="B8895">
        <v>1.361</v>
      </c>
      <c r="C8895" t="str">
        <f t="shared" si="143"/>
        <v>1994 q4</v>
      </c>
    </row>
    <row r="8896" spans="1:3">
      <c r="A8896" s="62">
        <v>34695</v>
      </c>
      <c r="B8896">
        <v>1.3685</v>
      </c>
      <c r="C8896" t="str">
        <f t="shared" si="143"/>
        <v>1994 q4</v>
      </c>
    </row>
    <row r="8897" spans="1:3">
      <c r="A8897" s="62">
        <v>34696</v>
      </c>
      <c r="B8897">
        <v>1.3837999999999999</v>
      </c>
      <c r="C8897" t="str">
        <f t="shared" si="143"/>
        <v>1994 q4</v>
      </c>
    </row>
    <row r="8898" spans="1:3">
      <c r="A8898" s="62">
        <v>34697</v>
      </c>
      <c r="B8898">
        <v>1.3825000000000001</v>
      </c>
      <c r="C8898" t="str">
        <f t="shared" si="143"/>
        <v>1994 q4</v>
      </c>
    </row>
    <row r="8899" spans="1:3">
      <c r="A8899" s="62">
        <v>34698</v>
      </c>
      <c r="B8899">
        <v>1.3895</v>
      </c>
      <c r="C8899" t="str">
        <f t="shared" si="143"/>
        <v>1994 q4</v>
      </c>
    </row>
    <row r="8900" spans="1:3">
      <c r="A8900" s="62">
        <v>34702</v>
      </c>
      <c r="B8900">
        <v>1.337</v>
      </c>
      <c r="C8900" t="str">
        <f t="shared" si="143"/>
        <v>1995 q1</v>
      </c>
    </row>
    <row r="8901" spans="1:3">
      <c r="A8901" s="62">
        <v>34703</v>
      </c>
      <c r="B8901">
        <v>1.327</v>
      </c>
      <c r="C8901" t="str">
        <f t="shared" si="143"/>
        <v>1995 q1</v>
      </c>
    </row>
    <row r="8902" spans="1:3">
      <c r="A8902" s="62">
        <v>34704</v>
      </c>
      <c r="B8902">
        <v>1.3480000000000001</v>
      </c>
      <c r="C8902" t="str">
        <f t="shared" si="143"/>
        <v>1995 q1</v>
      </c>
    </row>
    <row r="8903" spans="1:3">
      <c r="A8903" s="62">
        <v>34705</v>
      </c>
      <c r="B8903">
        <v>1.363</v>
      </c>
      <c r="C8903" t="str">
        <f t="shared" si="143"/>
        <v>1995 q1</v>
      </c>
    </row>
    <row r="8904" spans="1:3">
      <c r="A8904" s="62">
        <v>34708</v>
      </c>
      <c r="B8904">
        <v>1.3905000000000001</v>
      </c>
      <c r="C8904" t="str">
        <f t="shared" si="143"/>
        <v>1995 q1</v>
      </c>
    </row>
    <row r="8905" spans="1:3">
      <c r="A8905" s="62">
        <v>34709</v>
      </c>
      <c r="B8905">
        <v>1.393</v>
      </c>
      <c r="C8905" t="str">
        <f t="shared" si="143"/>
        <v>1995 q1</v>
      </c>
    </row>
    <row r="8906" spans="1:3">
      <c r="A8906" s="62">
        <v>34710</v>
      </c>
      <c r="B8906">
        <v>1.3759999999999999</v>
      </c>
      <c r="C8906" t="str">
        <f t="shared" si="143"/>
        <v>1995 q1</v>
      </c>
    </row>
    <row r="8907" spans="1:3">
      <c r="A8907" s="62">
        <v>34711</v>
      </c>
      <c r="B8907">
        <v>1.38</v>
      </c>
      <c r="C8907" t="str">
        <f t="shared" si="143"/>
        <v>1995 q1</v>
      </c>
    </row>
    <row r="8908" spans="1:3">
      <c r="A8908" s="62">
        <v>34712</v>
      </c>
      <c r="B8908">
        <v>1.3794999999999999</v>
      </c>
      <c r="C8908" t="str">
        <f t="shared" si="143"/>
        <v>1995 q1</v>
      </c>
    </row>
    <row r="8909" spans="1:3">
      <c r="A8909" s="62">
        <v>34715</v>
      </c>
      <c r="B8909">
        <v>1.3565</v>
      </c>
      <c r="C8909" t="str">
        <f t="shared" si="143"/>
        <v>1995 q1</v>
      </c>
    </row>
    <row r="8910" spans="1:3">
      <c r="A8910" s="62">
        <v>34716</v>
      </c>
      <c r="B8910">
        <v>1.3885000000000001</v>
      </c>
      <c r="C8910" t="str">
        <f t="shared" si="143"/>
        <v>1995 q1</v>
      </c>
    </row>
    <row r="8911" spans="1:3">
      <c r="A8911" s="62">
        <v>34717</v>
      </c>
      <c r="B8911">
        <v>1.3959999999999999</v>
      </c>
      <c r="C8911" t="str">
        <f t="shared" si="143"/>
        <v>1995 q1</v>
      </c>
    </row>
    <row r="8912" spans="1:3">
      <c r="A8912" s="62">
        <v>34718</v>
      </c>
      <c r="B8912">
        <v>1.427</v>
      </c>
      <c r="C8912" t="str">
        <f t="shared" si="143"/>
        <v>1995 q1</v>
      </c>
    </row>
    <row r="8913" spans="1:3">
      <c r="A8913" s="62">
        <v>34719</v>
      </c>
      <c r="B8913">
        <v>1.4139999999999999</v>
      </c>
      <c r="C8913" t="str">
        <f t="shared" si="143"/>
        <v>1995 q1</v>
      </c>
    </row>
    <row r="8914" spans="1:3">
      <c r="A8914" s="62">
        <v>34722</v>
      </c>
      <c r="B8914">
        <v>1.4035</v>
      </c>
      <c r="C8914" t="str">
        <f t="shared" ref="C8914:C8977" si="144">YEAR(A8914)&amp;" q"&amp;ROUNDUP(MONTH(A8914)/3,0)</f>
        <v>1995 q1</v>
      </c>
    </row>
    <row r="8915" spans="1:3">
      <c r="A8915" s="62">
        <v>34723</v>
      </c>
      <c r="B8915">
        <v>1.417</v>
      </c>
      <c r="C8915" t="str">
        <f t="shared" si="144"/>
        <v>1995 q1</v>
      </c>
    </row>
    <row r="8916" spans="1:3">
      <c r="A8916" s="62">
        <v>34724</v>
      </c>
      <c r="B8916">
        <v>1.3835</v>
      </c>
      <c r="C8916" t="str">
        <f t="shared" si="144"/>
        <v>1995 q1</v>
      </c>
    </row>
    <row r="8917" spans="1:3">
      <c r="A8917" s="62">
        <v>34725</v>
      </c>
      <c r="B8917">
        <v>1.3995</v>
      </c>
      <c r="C8917" t="str">
        <f t="shared" si="144"/>
        <v>1995 q1</v>
      </c>
    </row>
    <row r="8918" spans="1:3">
      <c r="A8918" s="62">
        <v>34726</v>
      </c>
      <c r="B8918">
        <v>1.3819999999999999</v>
      </c>
      <c r="C8918" t="str">
        <f t="shared" si="144"/>
        <v>1995 q1</v>
      </c>
    </row>
    <row r="8919" spans="1:3">
      <c r="A8919" s="62">
        <v>34729</v>
      </c>
      <c r="B8919">
        <v>1.3759999999999999</v>
      </c>
      <c r="C8919" t="str">
        <f t="shared" si="144"/>
        <v>1995 q1</v>
      </c>
    </row>
    <row r="8920" spans="1:3">
      <c r="A8920" s="62">
        <v>34730</v>
      </c>
      <c r="B8920">
        <v>1.363</v>
      </c>
      <c r="C8920" t="str">
        <f t="shared" si="144"/>
        <v>1995 q1</v>
      </c>
    </row>
    <row r="8921" spans="1:3">
      <c r="A8921" s="62">
        <v>34731</v>
      </c>
      <c r="B8921">
        <v>1.3220000000000001</v>
      </c>
      <c r="C8921" t="str">
        <f t="shared" si="144"/>
        <v>1995 q1</v>
      </c>
    </row>
    <row r="8922" spans="1:3">
      <c r="A8922" s="62">
        <v>34732</v>
      </c>
      <c r="B8922">
        <v>1.337</v>
      </c>
      <c r="C8922" t="str">
        <f t="shared" si="144"/>
        <v>1995 q1</v>
      </c>
    </row>
    <row r="8923" spans="1:3">
      <c r="A8923" s="62">
        <v>34733</v>
      </c>
      <c r="B8923">
        <v>1.3125</v>
      </c>
      <c r="C8923" t="str">
        <f t="shared" si="144"/>
        <v>1995 q1</v>
      </c>
    </row>
    <row r="8924" spans="1:3">
      <c r="A8924" s="62">
        <v>34736</v>
      </c>
      <c r="B8924">
        <v>1.3180000000000001</v>
      </c>
      <c r="C8924" t="str">
        <f t="shared" si="144"/>
        <v>1995 q1</v>
      </c>
    </row>
    <row r="8925" spans="1:3">
      <c r="A8925" s="62">
        <v>34737</v>
      </c>
      <c r="B8925">
        <v>1.2945</v>
      </c>
      <c r="C8925" t="str">
        <f t="shared" si="144"/>
        <v>1995 q1</v>
      </c>
    </row>
    <row r="8926" spans="1:3">
      <c r="A8926" s="62">
        <v>34738</v>
      </c>
      <c r="B8926">
        <v>1.3009999999999999</v>
      </c>
      <c r="C8926" t="str">
        <f t="shared" si="144"/>
        <v>1995 q1</v>
      </c>
    </row>
    <row r="8927" spans="1:3">
      <c r="A8927" s="62">
        <v>34739</v>
      </c>
      <c r="B8927">
        <v>1.3154999999999999</v>
      </c>
      <c r="C8927" t="str">
        <f t="shared" si="144"/>
        <v>1995 q1</v>
      </c>
    </row>
    <row r="8928" spans="1:3">
      <c r="A8928" s="62">
        <v>34740</v>
      </c>
      <c r="B8928">
        <v>1.3440000000000001</v>
      </c>
      <c r="C8928" t="str">
        <f t="shared" si="144"/>
        <v>1995 q1</v>
      </c>
    </row>
    <row r="8929" spans="1:3">
      <c r="A8929" s="62">
        <v>34743</v>
      </c>
      <c r="B8929">
        <v>1.3274999999999999</v>
      </c>
      <c r="C8929" t="str">
        <f t="shared" si="144"/>
        <v>1995 q1</v>
      </c>
    </row>
    <row r="8930" spans="1:3">
      <c r="A8930" s="62">
        <v>34744</v>
      </c>
      <c r="B8930">
        <v>1.3420000000000001</v>
      </c>
      <c r="C8930" t="str">
        <f t="shared" si="144"/>
        <v>1995 q1</v>
      </c>
    </row>
    <row r="8931" spans="1:3">
      <c r="A8931" s="62">
        <v>34745</v>
      </c>
      <c r="B8931">
        <v>1.3345</v>
      </c>
      <c r="C8931" t="str">
        <f t="shared" si="144"/>
        <v>1995 q1</v>
      </c>
    </row>
    <row r="8932" spans="1:3">
      <c r="A8932" s="62">
        <v>34746</v>
      </c>
      <c r="B8932">
        <v>1.3460000000000001</v>
      </c>
      <c r="C8932" t="str">
        <f t="shared" si="144"/>
        <v>1995 q1</v>
      </c>
    </row>
    <row r="8933" spans="1:3">
      <c r="A8933" s="62">
        <v>34747</v>
      </c>
      <c r="B8933">
        <v>1.3334999999999999</v>
      </c>
      <c r="C8933" t="str">
        <f t="shared" si="144"/>
        <v>1995 q1</v>
      </c>
    </row>
    <row r="8934" spans="1:3">
      <c r="A8934" s="62">
        <v>34751</v>
      </c>
      <c r="B8934">
        <v>1.3340000000000001</v>
      </c>
      <c r="C8934" t="str">
        <f t="shared" si="144"/>
        <v>1995 q1</v>
      </c>
    </row>
    <row r="8935" spans="1:3">
      <c r="A8935" s="62">
        <v>34752</v>
      </c>
      <c r="B8935">
        <v>1.3145</v>
      </c>
      <c r="C8935" t="str">
        <f t="shared" si="144"/>
        <v>1995 q1</v>
      </c>
    </row>
    <row r="8936" spans="1:3">
      <c r="A8936" s="62">
        <v>34753</v>
      </c>
      <c r="B8936">
        <v>1.3192999999999999</v>
      </c>
      <c r="C8936" t="str">
        <f t="shared" si="144"/>
        <v>1995 q1</v>
      </c>
    </row>
    <row r="8937" spans="1:3">
      <c r="A8937" s="62">
        <v>34754</v>
      </c>
      <c r="B8937">
        <v>1.3199000000000001</v>
      </c>
      <c r="C8937" t="str">
        <f t="shared" si="144"/>
        <v>1995 q1</v>
      </c>
    </row>
    <row r="8938" spans="1:3">
      <c r="A8938" s="62">
        <v>34757</v>
      </c>
      <c r="B8938">
        <v>1.3170999999999999</v>
      </c>
      <c r="C8938" t="str">
        <f t="shared" si="144"/>
        <v>1995 q1</v>
      </c>
    </row>
    <row r="8939" spans="1:3">
      <c r="A8939" s="62">
        <v>34758</v>
      </c>
      <c r="B8939">
        <v>1.2886</v>
      </c>
      <c r="C8939" t="str">
        <f t="shared" si="144"/>
        <v>1995 q1</v>
      </c>
    </row>
    <row r="8940" spans="1:3">
      <c r="A8940" s="62">
        <v>34759</v>
      </c>
      <c r="B8940">
        <v>1.31</v>
      </c>
      <c r="C8940" t="str">
        <f t="shared" si="144"/>
        <v>1995 q1</v>
      </c>
    </row>
    <row r="8941" spans="1:3">
      <c r="A8941" s="62">
        <v>34760</v>
      </c>
      <c r="B8941">
        <v>1.3165</v>
      </c>
      <c r="C8941" t="str">
        <f t="shared" si="144"/>
        <v>1995 q1</v>
      </c>
    </row>
    <row r="8942" spans="1:3">
      <c r="A8942" s="62">
        <v>34761</v>
      </c>
      <c r="B8942">
        <v>1.3274999999999999</v>
      </c>
      <c r="C8942" t="str">
        <f t="shared" si="144"/>
        <v>1995 q1</v>
      </c>
    </row>
    <row r="8943" spans="1:3">
      <c r="A8943" s="62">
        <v>34764</v>
      </c>
      <c r="B8943">
        <v>1.319</v>
      </c>
      <c r="C8943" t="str">
        <f t="shared" si="144"/>
        <v>1995 q1</v>
      </c>
    </row>
    <row r="8944" spans="1:3">
      <c r="A8944" s="62">
        <v>34765</v>
      </c>
      <c r="B8944">
        <v>1.329</v>
      </c>
      <c r="C8944" t="str">
        <f t="shared" si="144"/>
        <v>1995 q1</v>
      </c>
    </row>
    <row r="8945" spans="1:3">
      <c r="A8945" s="62">
        <v>34766</v>
      </c>
      <c r="B8945">
        <v>1.3420000000000001</v>
      </c>
      <c r="C8945" t="str">
        <f t="shared" si="144"/>
        <v>1995 q1</v>
      </c>
    </row>
    <row r="8946" spans="1:3">
      <c r="A8946" s="62">
        <v>34767</v>
      </c>
      <c r="B8946">
        <v>1.3380000000000001</v>
      </c>
      <c r="C8946" t="str">
        <f t="shared" si="144"/>
        <v>1995 q1</v>
      </c>
    </row>
    <row r="8947" spans="1:3">
      <c r="A8947" s="62">
        <v>34768</v>
      </c>
      <c r="B8947">
        <v>1.3380000000000001</v>
      </c>
      <c r="C8947" t="str">
        <f t="shared" si="144"/>
        <v>1995 q1</v>
      </c>
    </row>
    <row r="8948" spans="1:3">
      <c r="A8948" s="62">
        <v>34771</v>
      </c>
      <c r="B8948">
        <v>1.349</v>
      </c>
      <c r="C8948" t="str">
        <f t="shared" si="144"/>
        <v>1995 q1</v>
      </c>
    </row>
    <row r="8949" spans="1:3">
      <c r="A8949" s="62">
        <v>34772</v>
      </c>
      <c r="B8949">
        <v>1.3480000000000001</v>
      </c>
      <c r="C8949" t="str">
        <f t="shared" si="144"/>
        <v>1995 q1</v>
      </c>
    </row>
    <row r="8950" spans="1:3">
      <c r="A8950" s="62">
        <v>34773</v>
      </c>
      <c r="B8950">
        <v>1.339</v>
      </c>
      <c r="C8950" t="str">
        <f t="shared" si="144"/>
        <v>1995 q1</v>
      </c>
    </row>
    <row r="8951" spans="1:3">
      <c r="A8951" s="62">
        <v>34774</v>
      </c>
      <c r="B8951">
        <v>1.3445</v>
      </c>
      <c r="C8951" t="str">
        <f t="shared" si="144"/>
        <v>1995 q1</v>
      </c>
    </row>
    <row r="8952" spans="1:3">
      <c r="A8952" s="62">
        <v>34775</v>
      </c>
      <c r="B8952">
        <v>1.3425</v>
      </c>
      <c r="C8952" t="str">
        <f t="shared" si="144"/>
        <v>1995 q1</v>
      </c>
    </row>
    <row r="8953" spans="1:3">
      <c r="A8953" s="62">
        <v>34778</v>
      </c>
      <c r="B8953">
        <v>1.3494999999999999</v>
      </c>
      <c r="C8953" t="str">
        <f t="shared" si="144"/>
        <v>1995 q1</v>
      </c>
    </row>
    <row r="8954" spans="1:3">
      <c r="A8954" s="62">
        <v>34779</v>
      </c>
      <c r="B8954">
        <v>1.3440000000000001</v>
      </c>
      <c r="C8954" t="str">
        <f t="shared" si="144"/>
        <v>1995 q1</v>
      </c>
    </row>
    <row r="8955" spans="1:3">
      <c r="A8955" s="62">
        <v>34780</v>
      </c>
      <c r="B8955">
        <v>1.383</v>
      </c>
      <c r="C8955" t="str">
        <f t="shared" si="144"/>
        <v>1995 q1</v>
      </c>
    </row>
    <row r="8956" spans="1:3">
      <c r="A8956" s="62">
        <v>34781</v>
      </c>
      <c r="B8956">
        <v>1.38</v>
      </c>
      <c r="C8956" t="str">
        <f t="shared" si="144"/>
        <v>1995 q1</v>
      </c>
    </row>
    <row r="8957" spans="1:3">
      <c r="A8957" s="62">
        <v>34782</v>
      </c>
      <c r="B8957">
        <v>1.389</v>
      </c>
      <c r="C8957" t="str">
        <f t="shared" si="144"/>
        <v>1995 q1</v>
      </c>
    </row>
    <row r="8958" spans="1:3">
      <c r="A8958" s="62">
        <v>34785</v>
      </c>
      <c r="B8958">
        <v>1.3875</v>
      </c>
      <c r="C8958" t="str">
        <f t="shared" si="144"/>
        <v>1995 q1</v>
      </c>
    </row>
    <row r="8959" spans="1:3">
      <c r="A8959" s="62">
        <v>34786</v>
      </c>
      <c r="B8959">
        <v>1.3779999999999999</v>
      </c>
      <c r="C8959" t="str">
        <f t="shared" si="144"/>
        <v>1995 q1</v>
      </c>
    </row>
    <row r="8960" spans="1:3">
      <c r="A8960" s="62">
        <v>34787</v>
      </c>
      <c r="B8960">
        <v>1.373</v>
      </c>
      <c r="C8960" t="str">
        <f t="shared" si="144"/>
        <v>1995 q1</v>
      </c>
    </row>
    <row r="8961" spans="1:3">
      <c r="A8961" s="62">
        <v>34788</v>
      </c>
      <c r="B8961">
        <v>1.3855</v>
      </c>
      <c r="C8961" t="str">
        <f t="shared" si="144"/>
        <v>1995 q1</v>
      </c>
    </row>
    <row r="8962" spans="1:3">
      <c r="A8962" s="62">
        <v>34789</v>
      </c>
      <c r="B8962">
        <v>1.367</v>
      </c>
      <c r="C8962" t="str">
        <f t="shared" si="144"/>
        <v>1995 q1</v>
      </c>
    </row>
    <row r="8963" spans="1:3">
      <c r="A8963" s="62">
        <v>34792</v>
      </c>
      <c r="B8963">
        <v>1.3839999999999999</v>
      </c>
      <c r="C8963" t="str">
        <f t="shared" si="144"/>
        <v>1995 q2</v>
      </c>
    </row>
    <row r="8964" spans="1:3">
      <c r="A8964" s="62">
        <v>34793</v>
      </c>
      <c r="B8964">
        <v>1.3725000000000001</v>
      </c>
      <c r="C8964" t="str">
        <f t="shared" si="144"/>
        <v>1995 q2</v>
      </c>
    </row>
    <row r="8965" spans="1:3">
      <c r="A8965" s="62">
        <v>34794</v>
      </c>
      <c r="B8965">
        <v>1.3725000000000001</v>
      </c>
      <c r="C8965" t="str">
        <f t="shared" si="144"/>
        <v>1995 q2</v>
      </c>
    </row>
    <row r="8966" spans="1:3">
      <c r="A8966" s="62">
        <v>34795</v>
      </c>
      <c r="B8966">
        <v>1.3654999999999999</v>
      </c>
      <c r="C8966" t="str">
        <f t="shared" si="144"/>
        <v>1995 q2</v>
      </c>
    </row>
    <row r="8967" spans="1:3">
      <c r="A8967" s="62">
        <v>34796</v>
      </c>
      <c r="B8967">
        <v>1.3740000000000001</v>
      </c>
      <c r="C8967" t="str">
        <f t="shared" si="144"/>
        <v>1995 q2</v>
      </c>
    </row>
    <row r="8968" spans="1:3">
      <c r="A8968" s="62">
        <v>34799</v>
      </c>
      <c r="B8968">
        <v>1.3654999999999999</v>
      </c>
      <c r="C8968" t="str">
        <f t="shared" si="144"/>
        <v>1995 q2</v>
      </c>
    </row>
    <row r="8969" spans="1:3">
      <c r="A8969" s="62">
        <v>34800</v>
      </c>
      <c r="B8969">
        <v>1.3614999999999999</v>
      </c>
      <c r="C8969" t="str">
        <f t="shared" si="144"/>
        <v>1995 q2</v>
      </c>
    </row>
    <row r="8970" spans="1:3">
      <c r="A8970" s="62">
        <v>34801</v>
      </c>
      <c r="B8970">
        <v>1.3514999999999999</v>
      </c>
      <c r="C8970" t="str">
        <f t="shared" si="144"/>
        <v>1995 q2</v>
      </c>
    </row>
    <row r="8971" spans="1:3">
      <c r="A8971" s="62">
        <v>34802</v>
      </c>
      <c r="B8971">
        <v>1.355</v>
      </c>
      <c r="C8971" t="str">
        <f t="shared" si="144"/>
        <v>1995 q2</v>
      </c>
    </row>
    <row r="8972" spans="1:3">
      <c r="A8972" s="62">
        <v>34806</v>
      </c>
      <c r="B8972">
        <v>1.3580000000000001</v>
      </c>
      <c r="C8972" t="str">
        <f t="shared" si="144"/>
        <v>1995 q2</v>
      </c>
    </row>
    <row r="8973" spans="1:3">
      <c r="A8973" s="62">
        <v>34807</v>
      </c>
      <c r="B8973">
        <v>1.347</v>
      </c>
      <c r="C8973" t="str">
        <f t="shared" si="144"/>
        <v>1995 q2</v>
      </c>
    </row>
    <row r="8974" spans="1:3">
      <c r="A8974" s="62">
        <v>34808</v>
      </c>
      <c r="B8974">
        <v>1.294</v>
      </c>
      <c r="C8974" t="str">
        <f t="shared" si="144"/>
        <v>1995 q2</v>
      </c>
    </row>
    <row r="8975" spans="1:3">
      <c r="A8975" s="62">
        <v>34809</v>
      </c>
      <c r="B8975">
        <v>1.3</v>
      </c>
      <c r="C8975" t="str">
        <f t="shared" si="144"/>
        <v>1995 q2</v>
      </c>
    </row>
    <row r="8976" spans="1:3">
      <c r="A8976" s="62">
        <v>34810</v>
      </c>
      <c r="B8976">
        <v>1.3165</v>
      </c>
      <c r="C8976" t="str">
        <f t="shared" si="144"/>
        <v>1995 q2</v>
      </c>
    </row>
    <row r="8977" spans="1:3">
      <c r="A8977" s="62">
        <v>34813</v>
      </c>
      <c r="B8977">
        <v>1.2825</v>
      </c>
      <c r="C8977" t="str">
        <f t="shared" si="144"/>
        <v>1995 q2</v>
      </c>
    </row>
    <row r="8978" spans="1:3">
      <c r="A8978" s="62">
        <v>34814</v>
      </c>
      <c r="B8978">
        <v>1.2572000000000001</v>
      </c>
      <c r="C8978" t="str">
        <f t="shared" ref="C8978:C9041" si="145">YEAR(A8978)&amp;" q"&amp;ROUNDUP(MONTH(A8978)/3,0)</f>
        <v>1995 q2</v>
      </c>
    </row>
    <row r="8979" spans="1:3">
      <c r="A8979" s="62">
        <v>34815</v>
      </c>
      <c r="B8979">
        <v>1.2588999999999999</v>
      </c>
      <c r="C8979" t="str">
        <f t="shared" si="145"/>
        <v>1995 q2</v>
      </c>
    </row>
    <row r="8980" spans="1:3">
      <c r="A8980" s="62">
        <v>34816</v>
      </c>
      <c r="B8980">
        <v>1.2581</v>
      </c>
      <c r="C8980" t="str">
        <f t="shared" si="145"/>
        <v>1995 q2</v>
      </c>
    </row>
    <row r="8981" spans="1:3">
      <c r="A8981" s="62">
        <v>34817</v>
      </c>
      <c r="B8981">
        <v>1.2750999999999999</v>
      </c>
      <c r="C8981" t="str">
        <f t="shared" si="145"/>
        <v>1995 q2</v>
      </c>
    </row>
    <row r="8982" spans="1:3">
      <c r="A8982" s="62">
        <v>34820</v>
      </c>
      <c r="B8982">
        <v>1.252</v>
      </c>
      <c r="C8982" t="str">
        <f t="shared" si="145"/>
        <v>1995 q2</v>
      </c>
    </row>
    <row r="8983" spans="1:3">
      <c r="A8983" s="62">
        <v>34821</v>
      </c>
      <c r="B8983">
        <v>1.246</v>
      </c>
      <c r="C8983" t="str">
        <f t="shared" si="145"/>
        <v>1995 q2</v>
      </c>
    </row>
    <row r="8984" spans="1:3">
      <c r="A8984" s="62">
        <v>34822</v>
      </c>
      <c r="B8984">
        <v>1.254</v>
      </c>
      <c r="C8984" t="str">
        <f t="shared" si="145"/>
        <v>1995 q2</v>
      </c>
    </row>
    <row r="8985" spans="1:3">
      <c r="A8985" s="62">
        <v>34823</v>
      </c>
      <c r="B8985">
        <v>1.2244999999999999</v>
      </c>
      <c r="C8985" t="str">
        <f t="shared" si="145"/>
        <v>1995 q2</v>
      </c>
    </row>
    <row r="8986" spans="1:3">
      <c r="A8986" s="62">
        <v>34824</v>
      </c>
      <c r="B8986">
        <v>1.226</v>
      </c>
      <c r="C8986" t="str">
        <f t="shared" si="145"/>
        <v>1995 q2</v>
      </c>
    </row>
    <row r="8987" spans="1:3">
      <c r="A8987" s="62">
        <v>34827</v>
      </c>
      <c r="B8987">
        <v>1.2310000000000001</v>
      </c>
      <c r="C8987" t="str">
        <f t="shared" si="145"/>
        <v>1995 q2</v>
      </c>
    </row>
    <row r="8988" spans="1:3">
      <c r="A8988" s="62">
        <v>34828</v>
      </c>
      <c r="B8988">
        <v>1.2384999999999999</v>
      </c>
      <c r="C8988" t="str">
        <f t="shared" si="145"/>
        <v>1995 q2</v>
      </c>
    </row>
    <row r="8989" spans="1:3">
      <c r="A8989" s="62">
        <v>34829</v>
      </c>
      <c r="B8989">
        <v>1.2424999999999999</v>
      </c>
      <c r="C8989" t="str">
        <f t="shared" si="145"/>
        <v>1995 q2</v>
      </c>
    </row>
    <row r="8990" spans="1:3">
      <c r="A8990" s="62">
        <v>34830</v>
      </c>
      <c r="B8990">
        <v>1.254</v>
      </c>
      <c r="C8990" t="str">
        <f t="shared" si="145"/>
        <v>1995 q2</v>
      </c>
    </row>
    <row r="8991" spans="1:3">
      <c r="A8991" s="62">
        <v>34831</v>
      </c>
      <c r="B8991">
        <v>1.2495000000000001</v>
      </c>
      <c r="C8991" t="str">
        <f t="shared" si="145"/>
        <v>1995 q2</v>
      </c>
    </row>
    <row r="8992" spans="1:3">
      <c r="A8992" s="62">
        <v>34834</v>
      </c>
      <c r="B8992">
        <v>1.2455000000000001</v>
      </c>
      <c r="C8992" t="str">
        <f t="shared" si="145"/>
        <v>1995 q2</v>
      </c>
    </row>
    <row r="8993" spans="1:3">
      <c r="A8993" s="62">
        <v>34835</v>
      </c>
      <c r="B8993">
        <v>1.25</v>
      </c>
      <c r="C8993" t="str">
        <f t="shared" si="145"/>
        <v>1995 q2</v>
      </c>
    </row>
    <row r="8994" spans="1:3">
      <c r="A8994" s="62">
        <v>34836</v>
      </c>
      <c r="B8994">
        <v>1.2455000000000001</v>
      </c>
      <c r="C8994" t="str">
        <f t="shared" si="145"/>
        <v>1995 q2</v>
      </c>
    </row>
    <row r="8995" spans="1:3">
      <c r="A8995" s="62">
        <v>34837</v>
      </c>
      <c r="B8995">
        <v>1.2495000000000001</v>
      </c>
      <c r="C8995" t="str">
        <f t="shared" si="145"/>
        <v>1995 q2</v>
      </c>
    </row>
    <row r="8996" spans="1:3">
      <c r="A8996" s="62">
        <v>34838</v>
      </c>
      <c r="B8996">
        <v>1.2509999999999999</v>
      </c>
      <c r="C8996" t="str">
        <f t="shared" si="145"/>
        <v>1995 q2</v>
      </c>
    </row>
    <row r="8997" spans="1:3">
      <c r="A8997" s="62">
        <v>34841</v>
      </c>
      <c r="B8997">
        <v>1.2424999999999999</v>
      </c>
      <c r="C8997" t="str">
        <f t="shared" si="145"/>
        <v>1995 q2</v>
      </c>
    </row>
    <row r="8998" spans="1:3">
      <c r="A8998" s="62">
        <v>34842</v>
      </c>
      <c r="B8998">
        <v>1.2855000000000001</v>
      </c>
      <c r="C8998" t="str">
        <f t="shared" si="145"/>
        <v>1995 q2</v>
      </c>
    </row>
    <row r="8999" spans="1:3">
      <c r="A8999" s="62">
        <v>34843</v>
      </c>
      <c r="B8999">
        <v>1.3095000000000001</v>
      </c>
      <c r="C8999" t="str">
        <f t="shared" si="145"/>
        <v>1995 q2</v>
      </c>
    </row>
    <row r="9000" spans="1:3">
      <c r="A9000" s="62">
        <v>34844</v>
      </c>
      <c r="B9000">
        <v>1.2989999999999999</v>
      </c>
      <c r="C9000" t="str">
        <f t="shared" si="145"/>
        <v>1995 q2</v>
      </c>
    </row>
    <row r="9001" spans="1:3">
      <c r="A9001" s="62">
        <v>34845</v>
      </c>
      <c r="B9001">
        <v>1.3109999999999999</v>
      </c>
      <c r="C9001" t="str">
        <f t="shared" si="145"/>
        <v>1995 q2</v>
      </c>
    </row>
    <row r="9002" spans="1:3">
      <c r="A9002" s="62">
        <v>34849</v>
      </c>
      <c r="B9002">
        <v>1.3049999999999999</v>
      </c>
      <c r="C9002" t="str">
        <f t="shared" si="145"/>
        <v>1995 q2</v>
      </c>
    </row>
    <row r="9003" spans="1:3">
      <c r="A9003" s="62">
        <v>34850</v>
      </c>
      <c r="B9003">
        <v>1.31</v>
      </c>
      <c r="C9003" t="str">
        <f t="shared" si="145"/>
        <v>1995 q2</v>
      </c>
    </row>
    <row r="9004" spans="1:3">
      <c r="A9004" s="62">
        <v>34851</v>
      </c>
      <c r="B9004">
        <v>1.335</v>
      </c>
      <c r="C9004" t="str">
        <f t="shared" si="145"/>
        <v>1995 q2</v>
      </c>
    </row>
    <row r="9005" spans="1:3">
      <c r="A9005" s="62">
        <v>34852</v>
      </c>
      <c r="B9005">
        <v>1.3385</v>
      </c>
      <c r="C9005" t="str">
        <f t="shared" si="145"/>
        <v>1995 q2</v>
      </c>
    </row>
    <row r="9006" spans="1:3">
      <c r="A9006" s="62">
        <v>34855</v>
      </c>
      <c r="B9006">
        <v>1.3405</v>
      </c>
      <c r="C9006" t="str">
        <f t="shared" si="145"/>
        <v>1995 q2</v>
      </c>
    </row>
    <row r="9007" spans="1:3">
      <c r="A9007" s="62">
        <v>34856</v>
      </c>
      <c r="B9007">
        <v>1.32</v>
      </c>
      <c r="C9007" t="str">
        <f t="shared" si="145"/>
        <v>1995 q2</v>
      </c>
    </row>
    <row r="9008" spans="1:3">
      <c r="A9008" s="62">
        <v>34857</v>
      </c>
      <c r="B9008">
        <v>1.337</v>
      </c>
      <c r="C9008" t="str">
        <f t="shared" si="145"/>
        <v>1995 q2</v>
      </c>
    </row>
    <row r="9009" spans="1:3">
      <c r="A9009" s="62">
        <v>34858</v>
      </c>
      <c r="B9009">
        <v>1.32</v>
      </c>
      <c r="C9009" t="str">
        <f t="shared" si="145"/>
        <v>1995 q2</v>
      </c>
    </row>
    <row r="9010" spans="1:3">
      <c r="A9010" s="62">
        <v>34859</v>
      </c>
      <c r="B9010">
        <v>1.347</v>
      </c>
      <c r="C9010" t="str">
        <f t="shared" si="145"/>
        <v>1995 q2</v>
      </c>
    </row>
    <row r="9011" spans="1:3">
      <c r="A9011" s="62">
        <v>34862</v>
      </c>
      <c r="B9011">
        <v>1.343</v>
      </c>
      <c r="C9011" t="str">
        <f t="shared" si="145"/>
        <v>1995 q2</v>
      </c>
    </row>
    <row r="9012" spans="1:3">
      <c r="A9012" s="62">
        <v>34863</v>
      </c>
      <c r="B9012">
        <v>1.3285</v>
      </c>
      <c r="C9012" t="str">
        <f t="shared" si="145"/>
        <v>1995 q2</v>
      </c>
    </row>
    <row r="9013" spans="1:3">
      <c r="A9013" s="62">
        <v>34864</v>
      </c>
      <c r="B9013">
        <v>1.3485</v>
      </c>
      <c r="C9013" t="str">
        <f t="shared" si="145"/>
        <v>1995 q2</v>
      </c>
    </row>
    <row r="9014" spans="1:3">
      <c r="A9014" s="62">
        <v>34865</v>
      </c>
      <c r="B9014">
        <v>1.3895</v>
      </c>
      <c r="C9014" t="str">
        <f t="shared" si="145"/>
        <v>1995 q2</v>
      </c>
    </row>
    <row r="9015" spans="1:3">
      <c r="A9015" s="62">
        <v>34866</v>
      </c>
      <c r="B9015">
        <v>1.3985000000000001</v>
      </c>
      <c r="C9015" t="str">
        <f t="shared" si="145"/>
        <v>1995 q2</v>
      </c>
    </row>
    <row r="9016" spans="1:3">
      <c r="A9016" s="62">
        <v>34869</v>
      </c>
      <c r="B9016">
        <v>1.395</v>
      </c>
      <c r="C9016" t="str">
        <f t="shared" si="145"/>
        <v>1995 q2</v>
      </c>
    </row>
    <row r="9017" spans="1:3">
      <c r="A9017" s="62">
        <v>34870</v>
      </c>
      <c r="B9017">
        <v>1.4019999999999999</v>
      </c>
      <c r="C9017" t="str">
        <f t="shared" si="145"/>
        <v>1995 q2</v>
      </c>
    </row>
    <row r="9018" spans="1:3">
      <c r="A9018" s="62">
        <v>34871</v>
      </c>
      <c r="B9018">
        <v>1.4079999999999999</v>
      </c>
      <c r="C9018" t="str">
        <f t="shared" si="145"/>
        <v>1995 q2</v>
      </c>
    </row>
    <row r="9019" spans="1:3">
      <c r="A9019" s="62">
        <v>34872</v>
      </c>
      <c r="B9019">
        <v>1.4575</v>
      </c>
      <c r="C9019" t="str">
        <f t="shared" si="145"/>
        <v>1995 q2</v>
      </c>
    </row>
    <row r="9020" spans="1:3">
      <c r="A9020" s="62">
        <v>34873</v>
      </c>
      <c r="B9020">
        <v>1.423</v>
      </c>
      <c r="C9020" t="str">
        <f t="shared" si="145"/>
        <v>1995 q2</v>
      </c>
    </row>
    <row r="9021" spans="1:3">
      <c r="A9021" s="62">
        <v>34876</v>
      </c>
      <c r="B9021">
        <v>1.407</v>
      </c>
      <c r="C9021" t="str">
        <f t="shared" si="145"/>
        <v>1995 q2</v>
      </c>
    </row>
    <row r="9022" spans="1:3">
      <c r="A9022" s="62">
        <v>34877</v>
      </c>
      <c r="B9022">
        <v>1.3677999999999999</v>
      </c>
      <c r="C9022" t="str">
        <f t="shared" si="145"/>
        <v>1995 q2</v>
      </c>
    </row>
    <row r="9023" spans="1:3">
      <c r="A9023" s="62">
        <v>34878</v>
      </c>
      <c r="B9023">
        <v>1.3784000000000001</v>
      </c>
      <c r="C9023" t="str">
        <f t="shared" si="145"/>
        <v>1995 q2</v>
      </c>
    </row>
    <row r="9024" spans="1:3">
      <c r="A9024" s="62">
        <v>34879</v>
      </c>
      <c r="B9024">
        <v>1.3758999999999999</v>
      </c>
      <c r="C9024" t="str">
        <f t="shared" si="145"/>
        <v>1995 q2</v>
      </c>
    </row>
    <row r="9025" spans="1:3">
      <c r="A9025" s="62">
        <v>34880</v>
      </c>
      <c r="B9025">
        <v>1.3712</v>
      </c>
      <c r="C9025" t="str">
        <f t="shared" si="145"/>
        <v>1995 q2</v>
      </c>
    </row>
    <row r="9026" spans="1:3">
      <c r="A9026" s="62">
        <v>34885</v>
      </c>
      <c r="B9026">
        <v>1.3614999999999999</v>
      </c>
      <c r="C9026" t="str">
        <f t="shared" si="145"/>
        <v>1995 q3</v>
      </c>
    </row>
    <row r="9027" spans="1:3">
      <c r="A9027" s="62">
        <v>34886</v>
      </c>
      <c r="B9027">
        <v>1.3585</v>
      </c>
      <c r="C9027" t="str">
        <f t="shared" si="145"/>
        <v>1995 q3</v>
      </c>
    </row>
    <row r="9028" spans="1:3">
      <c r="A9028" s="62">
        <v>34887</v>
      </c>
      <c r="B9028">
        <v>1.3680000000000001</v>
      </c>
      <c r="C9028" t="str">
        <f t="shared" si="145"/>
        <v>1995 q3</v>
      </c>
    </row>
    <row r="9029" spans="1:3">
      <c r="A9029" s="62">
        <v>34890</v>
      </c>
      <c r="B9029">
        <v>1.3725000000000001</v>
      </c>
      <c r="C9029" t="str">
        <f t="shared" si="145"/>
        <v>1995 q3</v>
      </c>
    </row>
    <row r="9030" spans="1:3">
      <c r="A9030" s="62">
        <v>34891</v>
      </c>
      <c r="B9030">
        <v>1.391</v>
      </c>
      <c r="C9030" t="str">
        <f t="shared" si="145"/>
        <v>1995 q3</v>
      </c>
    </row>
    <row r="9031" spans="1:3">
      <c r="A9031" s="62">
        <v>34892</v>
      </c>
      <c r="B9031">
        <v>1.4055</v>
      </c>
      <c r="C9031" t="str">
        <f t="shared" si="145"/>
        <v>1995 q3</v>
      </c>
    </row>
    <row r="9032" spans="1:3">
      <c r="A9032" s="62">
        <v>34893</v>
      </c>
      <c r="B9032">
        <v>1.3935</v>
      </c>
      <c r="C9032" t="str">
        <f t="shared" si="145"/>
        <v>1995 q3</v>
      </c>
    </row>
    <row r="9033" spans="1:3">
      <c r="A9033" s="62">
        <v>34894</v>
      </c>
      <c r="B9033">
        <v>1.4059999999999999</v>
      </c>
      <c r="C9033" t="str">
        <f t="shared" si="145"/>
        <v>1995 q3</v>
      </c>
    </row>
    <row r="9034" spans="1:3">
      <c r="A9034" s="62">
        <v>34897</v>
      </c>
      <c r="B9034">
        <v>1.3875</v>
      </c>
      <c r="C9034" t="str">
        <f t="shared" si="145"/>
        <v>1995 q3</v>
      </c>
    </row>
    <row r="9035" spans="1:3">
      <c r="A9035" s="62">
        <v>34898</v>
      </c>
      <c r="B9035">
        <v>1.3859999999999999</v>
      </c>
      <c r="C9035" t="str">
        <f t="shared" si="145"/>
        <v>1995 q3</v>
      </c>
    </row>
    <row r="9036" spans="1:3">
      <c r="A9036" s="62">
        <v>34899</v>
      </c>
      <c r="B9036">
        <v>1.3474999999999999</v>
      </c>
      <c r="C9036" t="str">
        <f t="shared" si="145"/>
        <v>1995 q3</v>
      </c>
    </row>
    <row r="9037" spans="1:3">
      <c r="A9037" s="62">
        <v>34900</v>
      </c>
      <c r="B9037">
        <v>1.339</v>
      </c>
      <c r="C9037" t="str">
        <f t="shared" si="145"/>
        <v>1995 q3</v>
      </c>
    </row>
    <row r="9038" spans="1:3">
      <c r="A9038" s="62">
        <v>34901</v>
      </c>
      <c r="B9038">
        <v>1.3169999999999999</v>
      </c>
      <c r="C9038" t="str">
        <f t="shared" si="145"/>
        <v>1995 q3</v>
      </c>
    </row>
    <row r="9039" spans="1:3">
      <c r="A9039" s="62">
        <v>34904</v>
      </c>
      <c r="B9039">
        <v>1.32</v>
      </c>
      <c r="C9039" t="str">
        <f t="shared" si="145"/>
        <v>1995 q3</v>
      </c>
    </row>
    <row r="9040" spans="1:3">
      <c r="A9040" s="62">
        <v>34905</v>
      </c>
      <c r="B9040">
        <v>1.3254999999999999</v>
      </c>
      <c r="C9040" t="str">
        <f t="shared" si="145"/>
        <v>1995 q3</v>
      </c>
    </row>
    <row r="9041" spans="1:3">
      <c r="A9041" s="62">
        <v>34906</v>
      </c>
      <c r="B9041">
        <v>1.33</v>
      </c>
      <c r="C9041" t="str">
        <f t="shared" si="145"/>
        <v>1995 q3</v>
      </c>
    </row>
    <row r="9042" spans="1:3">
      <c r="A9042" s="62">
        <v>34907</v>
      </c>
      <c r="B9042">
        <v>1.331</v>
      </c>
      <c r="C9042" t="str">
        <f t="shared" ref="C9042:C9105" si="146">YEAR(A9042)&amp;" q"&amp;ROUNDUP(MONTH(A9042)/3,0)</f>
        <v>1995 q3</v>
      </c>
    </row>
    <row r="9043" spans="1:3">
      <c r="A9043" s="62">
        <v>34908</v>
      </c>
      <c r="B9043">
        <v>1.3445</v>
      </c>
      <c r="C9043" t="str">
        <f t="shared" si="146"/>
        <v>1995 q3</v>
      </c>
    </row>
    <row r="9044" spans="1:3">
      <c r="A9044" s="62">
        <v>34911</v>
      </c>
      <c r="B9044">
        <v>1.353</v>
      </c>
      <c r="C9044" t="str">
        <f t="shared" si="146"/>
        <v>1995 q3</v>
      </c>
    </row>
    <row r="9045" spans="1:3">
      <c r="A9045" s="62">
        <v>34912</v>
      </c>
      <c r="B9045">
        <v>1.347</v>
      </c>
      <c r="C9045" t="str">
        <f t="shared" si="146"/>
        <v>1995 q3</v>
      </c>
    </row>
    <row r="9046" spans="1:3">
      <c r="A9046" s="62">
        <v>34913</v>
      </c>
      <c r="B9046">
        <v>1.397</v>
      </c>
      <c r="C9046" t="str">
        <f t="shared" si="146"/>
        <v>1995 q3</v>
      </c>
    </row>
    <row r="9047" spans="1:3">
      <c r="A9047" s="62">
        <v>34914</v>
      </c>
      <c r="B9047">
        <v>1.3919999999999999</v>
      </c>
      <c r="C9047" t="str">
        <f t="shared" si="146"/>
        <v>1995 q3</v>
      </c>
    </row>
    <row r="9048" spans="1:3">
      <c r="A9048" s="62">
        <v>34915</v>
      </c>
      <c r="B9048">
        <v>1.3905000000000001</v>
      </c>
      <c r="C9048" t="str">
        <f t="shared" si="146"/>
        <v>1995 q3</v>
      </c>
    </row>
    <row r="9049" spans="1:3">
      <c r="A9049" s="62">
        <v>34918</v>
      </c>
      <c r="B9049">
        <v>1.3725000000000001</v>
      </c>
      <c r="C9049" t="str">
        <f t="shared" si="146"/>
        <v>1995 q3</v>
      </c>
    </row>
    <row r="9050" spans="1:3">
      <c r="A9050" s="62">
        <v>34919</v>
      </c>
      <c r="B9050">
        <v>1.361</v>
      </c>
      <c r="C9050" t="str">
        <f t="shared" si="146"/>
        <v>1995 q3</v>
      </c>
    </row>
    <row r="9051" spans="1:3">
      <c r="A9051" s="62">
        <v>34920</v>
      </c>
      <c r="B9051">
        <v>1.3685</v>
      </c>
      <c r="C9051" t="str">
        <f t="shared" si="146"/>
        <v>1995 q3</v>
      </c>
    </row>
    <row r="9052" spans="1:3">
      <c r="A9052" s="62">
        <v>34921</v>
      </c>
      <c r="B9052">
        <v>1.3640000000000001</v>
      </c>
      <c r="C9052" t="str">
        <f t="shared" si="146"/>
        <v>1995 q3</v>
      </c>
    </row>
    <row r="9053" spans="1:3">
      <c r="A9053" s="62">
        <v>34922</v>
      </c>
      <c r="B9053">
        <v>1.3685</v>
      </c>
      <c r="C9053" t="str">
        <f t="shared" si="146"/>
        <v>1995 q3</v>
      </c>
    </row>
    <row r="9054" spans="1:3">
      <c r="A9054" s="62">
        <v>34925</v>
      </c>
      <c r="B9054">
        <v>1.365</v>
      </c>
      <c r="C9054" t="str">
        <f t="shared" si="146"/>
        <v>1995 q3</v>
      </c>
    </row>
    <row r="9055" spans="1:3">
      <c r="A9055" s="62">
        <v>34926</v>
      </c>
      <c r="B9055">
        <v>1.3895</v>
      </c>
      <c r="C9055" t="str">
        <f t="shared" si="146"/>
        <v>1995 q3</v>
      </c>
    </row>
    <row r="9056" spans="1:3">
      <c r="A9056" s="62">
        <v>34927</v>
      </c>
      <c r="B9056">
        <v>1.4175</v>
      </c>
      <c r="C9056" t="str">
        <f t="shared" si="146"/>
        <v>1995 q3</v>
      </c>
    </row>
    <row r="9057" spans="1:3">
      <c r="A9057" s="62">
        <v>34928</v>
      </c>
      <c r="B9057">
        <v>1.413</v>
      </c>
      <c r="C9057" t="str">
        <f t="shared" si="146"/>
        <v>1995 q3</v>
      </c>
    </row>
    <row r="9058" spans="1:3">
      <c r="A9058" s="62">
        <v>34929</v>
      </c>
      <c r="B9058">
        <v>1.4205000000000001</v>
      </c>
      <c r="C9058" t="str">
        <f t="shared" si="146"/>
        <v>1995 q3</v>
      </c>
    </row>
    <row r="9059" spans="1:3">
      <c r="A9059" s="62">
        <v>34932</v>
      </c>
      <c r="B9059">
        <v>1.4005000000000001</v>
      </c>
      <c r="C9059" t="str">
        <f t="shared" si="146"/>
        <v>1995 q3</v>
      </c>
    </row>
    <row r="9060" spans="1:3">
      <c r="A9060" s="62">
        <v>34933</v>
      </c>
      <c r="B9060">
        <v>1.3985000000000001</v>
      </c>
      <c r="C9060" t="str">
        <f t="shared" si="146"/>
        <v>1995 q3</v>
      </c>
    </row>
    <row r="9061" spans="1:3">
      <c r="A9061" s="62">
        <v>34934</v>
      </c>
      <c r="B9061">
        <v>1.387</v>
      </c>
      <c r="C9061" t="str">
        <f t="shared" si="146"/>
        <v>1995 q3</v>
      </c>
    </row>
    <row r="9062" spans="1:3">
      <c r="A9062" s="62">
        <v>34935</v>
      </c>
      <c r="B9062">
        <v>1.3955</v>
      </c>
      <c r="C9062" t="str">
        <f t="shared" si="146"/>
        <v>1995 q3</v>
      </c>
    </row>
    <row r="9063" spans="1:3">
      <c r="A9063" s="62">
        <v>34936</v>
      </c>
      <c r="B9063">
        <v>1.3765000000000001</v>
      </c>
      <c r="C9063" t="str">
        <f t="shared" si="146"/>
        <v>1995 q3</v>
      </c>
    </row>
    <row r="9064" spans="1:3">
      <c r="A9064" s="62">
        <v>34939</v>
      </c>
      <c r="B9064">
        <v>1.3653999999999999</v>
      </c>
      <c r="C9064" t="str">
        <f t="shared" si="146"/>
        <v>1995 q3</v>
      </c>
    </row>
    <row r="9065" spans="1:3">
      <c r="A9065" s="62">
        <v>34940</v>
      </c>
      <c r="B9065">
        <v>1.3420000000000001</v>
      </c>
      <c r="C9065" t="str">
        <f t="shared" si="146"/>
        <v>1995 q3</v>
      </c>
    </row>
    <row r="9066" spans="1:3">
      <c r="A9066" s="62">
        <v>34941</v>
      </c>
      <c r="B9066">
        <v>1.3147</v>
      </c>
      <c r="C9066" t="str">
        <f t="shared" si="146"/>
        <v>1995 q3</v>
      </c>
    </row>
    <row r="9067" spans="1:3">
      <c r="A9067" s="62">
        <v>34942</v>
      </c>
      <c r="B9067">
        <v>1.3211999999999999</v>
      </c>
      <c r="C9067" t="str">
        <f t="shared" si="146"/>
        <v>1995 q3</v>
      </c>
    </row>
    <row r="9068" spans="1:3">
      <c r="A9068" s="62">
        <v>34943</v>
      </c>
      <c r="B9068">
        <v>1.3205</v>
      </c>
      <c r="C9068" t="str">
        <f t="shared" si="146"/>
        <v>1995 q3</v>
      </c>
    </row>
    <row r="9069" spans="1:3">
      <c r="A9069" s="62">
        <v>34947</v>
      </c>
      <c r="B9069">
        <v>1.3149999999999999</v>
      </c>
      <c r="C9069" t="str">
        <f t="shared" si="146"/>
        <v>1995 q3</v>
      </c>
    </row>
    <row r="9070" spans="1:3">
      <c r="A9070" s="62">
        <v>34948</v>
      </c>
      <c r="B9070">
        <v>1.325</v>
      </c>
      <c r="C9070" t="str">
        <f t="shared" si="146"/>
        <v>1995 q3</v>
      </c>
    </row>
    <row r="9071" spans="1:3">
      <c r="A9071" s="62">
        <v>34949</v>
      </c>
      <c r="B9071">
        <v>1.3174999999999999</v>
      </c>
      <c r="C9071" t="str">
        <f t="shared" si="146"/>
        <v>1995 q3</v>
      </c>
    </row>
    <row r="9072" spans="1:3">
      <c r="A9072" s="62">
        <v>34950</v>
      </c>
      <c r="B9072">
        <v>1.3069999999999999</v>
      </c>
      <c r="C9072" t="str">
        <f t="shared" si="146"/>
        <v>1995 q3</v>
      </c>
    </row>
    <row r="9073" spans="1:3">
      <c r="A9073" s="62">
        <v>34953</v>
      </c>
      <c r="B9073">
        <v>1.3234999999999999</v>
      </c>
      <c r="C9073" t="str">
        <f t="shared" si="146"/>
        <v>1995 q3</v>
      </c>
    </row>
    <row r="9074" spans="1:3">
      <c r="A9074" s="62">
        <v>34954</v>
      </c>
      <c r="B9074">
        <v>1.2915000000000001</v>
      </c>
      <c r="C9074" t="str">
        <f t="shared" si="146"/>
        <v>1995 q3</v>
      </c>
    </row>
    <row r="9075" spans="1:3">
      <c r="A9075" s="62">
        <v>34955</v>
      </c>
      <c r="B9075">
        <v>1.2789999999999999</v>
      </c>
      <c r="C9075" t="str">
        <f t="shared" si="146"/>
        <v>1995 q3</v>
      </c>
    </row>
    <row r="9076" spans="1:3">
      <c r="A9076" s="62">
        <v>34956</v>
      </c>
      <c r="B9076">
        <v>1.2769999999999999</v>
      </c>
      <c r="C9076" t="str">
        <f t="shared" si="146"/>
        <v>1995 q3</v>
      </c>
    </row>
    <row r="9077" spans="1:3">
      <c r="A9077" s="62">
        <v>34957</v>
      </c>
      <c r="B9077">
        <v>1.2875000000000001</v>
      </c>
      <c r="C9077" t="str">
        <f t="shared" si="146"/>
        <v>1995 q3</v>
      </c>
    </row>
    <row r="9078" spans="1:3">
      <c r="A9078" s="62">
        <v>34960</v>
      </c>
      <c r="B9078">
        <v>1.2875000000000001</v>
      </c>
      <c r="C9078" t="str">
        <f t="shared" si="146"/>
        <v>1995 q3</v>
      </c>
    </row>
    <row r="9079" spans="1:3">
      <c r="A9079" s="62">
        <v>34961</v>
      </c>
      <c r="B9079">
        <v>1.3055000000000001</v>
      </c>
      <c r="C9079" t="str">
        <f t="shared" si="146"/>
        <v>1995 q3</v>
      </c>
    </row>
    <row r="9080" spans="1:3">
      <c r="A9080" s="62">
        <v>34962</v>
      </c>
      <c r="B9080">
        <v>1.3015000000000001</v>
      </c>
      <c r="C9080" t="str">
        <f t="shared" si="146"/>
        <v>1995 q3</v>
      </c>
    </row>
    <row r="9081" spans="1:3">
      <c r="A9081" s="62">
        <v>34963</v>
      </c>
      <c r="B9081">
        <v>1.3260000000000001</v>
      </c>
      <c r="C9081" t="str">
        <f t="shared" si="146"/>
        <v>1995 q3</v>
      </c>
    </row>
    <row r="9082" spans="1:3">
      <c r="A9082" s="62">
        <v>34964</v>
      </c>
      <c r="B9082">
        <v>1.323</v>
      </c>
      <c r="C9082" t="str">
        <f t="shared" si="146"/>
        <v>1995 q3</v>
      </c>
    </row>
    <row r="9083" spans="1:3">
      <c r="A9083" s="62">
        <v>34967</v>
      </c>
      <c r="B9083">
        <v>1.3145</v>
      </c>
      <c r="C9083" t="str">
        <f t="shared" si="146"/>
        <v>1995 q3</v>
      </c>
    </row>
    <row r="9084" spans="1:3">
      <c r="A9084" s="62">
        <v>34968</v>
      </c>
      <c r="B9084">
        <v>1.3220000000000001</v>
      </c>
      <c r="C9084" t="str">
        <f t="shared" si="146"/>
        <v>1995 q3</v>
      </c>
    </row>
    <row r="9085" spans="1:3">
      <c r="A9085" s="62">
        <v>34969</v>
      </c>
      <c r="B9085">
        <v>1.298</v>
      </c>
      <c r="C9085" t="str">
        <f t="shared" si="146"/>
        <v>1995 q3</v>
      </c>
    </row>
    <row r="9086" spans="1:3">
      <c r="A9086" s="62">
        <v>34970</v>
      </c>
      <c r="B9086">
        <v>1.3134999999999999</v>
      </c>
      <c r="C9086" t="str">
        <f t="shared" si="146"/>
        <v>1995 q3</v>
      </c>
    </row>
    <row r="9087" spans="1:3">
      <c r="A9087" s="62">
        <v>34971</v>
      </c>
      <c r="B9087">
        <v>1.3165</v>
      </c>
      <c r="C9087" t="str">
        <f t="shared" si="146"/>
        <v>1995 q3</v>
      </c>
    </row>
    <row r="9088" spans="1:3">
      <c r="A9088" s="62">
        <v>34974</v>
      </c>
      <c r="B9088">
        <v>1.3005</v>
      </c>
      <c r="C9088" t="str">
        <f t="shared" si="146"/>
        <v>1995 q4</v>
      </c>
    </row>
    <row r="9089" spans="1:3">
      <c r="A9089" s="62">
        <v>34975</v>
      </c>
      <c r="B9089">
        <v>1.2945</v>
      </c>
      <c r="C9089" t="str">
        <f t="shared" si="146"/>
        <v>1995 q4</v>
      </c>
    </row>
    <row r="9090" spans="1:3">
      <c r="A9090" s="62">
        <v>34976</v>
      </c>
      <c r="B9090">
        <v>1.3065</v>
      </c>
      <c r="C9090" t="str">
        <f t="shared" si="146"/>
        <v>1995 q4</v>
      </c>
    </row>
    <row r="9091" spans="1:3">
      <c r="A9091" s="62">
        <v>34977</v>
      </c>
      <c r="B9091">
        <v>1.2775000000000001</v>
      </c>
      <c r="C9091" t="str">
        <f t="shared" si="146"/>
        <v>1995 q4</v>
      </c>
    </row>
    <row r="9092" spans="1:3">
      <c r="A9092" s="62">
        <v>34978</v>
      </c>
      <c r="B9092">
        <v>1.2749999999999999</v>
      </c>
      <c r="C9092" t="str">
        <f t="shared" si="146"/>
        <v>1995 q4</v>
      </c>
    </row>
    <row r="9093" spans="1:3">
      <c r="A9093" s="62">
        <v>34981</v>
      </c>
      <c r="B9093">
        <v>1.2669999999999999</v>
      </c>
      <c r="C9093" t="str">
        <f t="shared" si="146"/>
        <v>1995 q4</v>
      </c>
    </row>
    <row r="9094" spans="1:3">
      <c r="A9094" s="62">
        <v>34982</v>
      </c>
      <c r="B9094">
        <v>1.236</v>
      </c>
      <c r="C9094" t="str">
        <f t="shared" si="146"/>
        <v>1995 q4</v>
      </c>
    </row>
    <row r="9095" spans="1:3">
      <c r="A9095" s="62">
        <v>34983</v>
      </c>
      <c r="B9095">
        <v>1.2504999999999999</v>
      </c>
      <c r="C9095" t="str">
        <f t="shared" si="146"/>
        <v>1995 q4</v>
      </c>
    </row>
    <row r="9096" spans="1:3">
      <c r="A9096" s="62">
        <v>34984</v>
      </c>
      <c r="B9096">
        <v>1.27</v>
      </c>
      <c r="C9096" t="str">
        <f t="shared" si="146"/>
        <v>1995 q4</v>
      </c>
    </row>
    <row r="9097" spans="1:3">
      <c r="A9097" s="62">
        <v>34985</v>
      </c>
      <c r="B9097">
        <v>1.266</v>
      </c>
      <c r="C9097" t="str">
        <f t="shared" si="146"/>
        <v>1995 q4</v>
      </c>
    </row>
    <row r="9098" spans="1:3">
      <c r="A9098" s="62">
        <v>34988</v>
      </c>
      <c r="B9098">
        <v>1.2705</v>
      </c>
      <c r="C9098" t="str">
        <f t="shared" si="146"/>
        <v>1995 q4</v>
      </c>
    </row>
    <row r="9099" spans="1:3">
      <c r="A9099" s="62">
        <v>34989</v>
      </c>
      <c r="B9099">
        <v>1.2384999999999999</v>
      </c>
      <c r="C9099" t="str">
        <f t="shared" si="146"/>
        <v>1995 q4</v>
      </c>
    </row>
    <row r="9100" spans="1:3">
      <c r="A9100" s="62">
        <v>34990</v>
      </c>
      <c r="B9100">
        <v>1.2110000000000001</v>
      </c>
      <c r="C9100" t="str">
        <f t="shared" si="146"/>
        <v>1995 q4</v>
      </c>
    </row>
    <row r="9101" spans="1:3">
      <c r="A9101" s="62">
        <v>34991</v>
      </c>
      <c r="B9101">
        <v>1.2484999999999999</v>
      </c>
      <c r="C9101" t="str">
        <f t="shared" si="146"/>
        <v>1995 q4</v>
      </c>
    </row>
    <row r="9102" spans="1:3">
      <c r="A9102" s="62">
        <v>34992</v>
      </c>
      <c r="B9102">
        <v>1.2304999999999999</v>
      </c>
      <c r="C9102" t="str">
        <f t="shared" si="146"/>
        <v>1995 q4</v>
      </c>
    </row>
    <row r="9103" spans="1:3">
      <c r="A9103" s="62">
        <v>34995</v>
      </c>
      <c r="B9103">
        <v>1.2535000000000001</v>
      </c>
      <c r="C9103" t="str">
        <f t="shared" si="146"/>
        <v>1995 q4</v>
      </c>
    </row>
    <row r="9104" spans="1:3">
      <c r="A9104" s="62">
        <v>34996</v>
      </c>
      <c r="B9104">
        <v>1.2395</v>
      </c>
      <c r="C9104" t="str">
        <f t="shared" si="146"/>
        <v>1995 q4</v>
      </c>
    </row>
    <row r="9105" spans="1:3">
      <c r="A9105" s="62">
        <v>34997</v>
      </c>
      <c r="B9105">
        <v>1.244</v>
      </c>
      <c r="C9105" t="str">
        <f t="shared" si="146"/>
        <v>1995 q4</v>
      </c>
    </row>
    <row r="9106" spans="1:3">
      <c r="A9106" s="62">
        <v>34998</v>
      </c>
      <c r="B9106">
        <v>1.25</v>
      </c>
      <c r="C9106" t="str">
        <f t="shared" ref="C9106:C9169" si="147">YEAR(A9106)&amp;" q"&amp;ROUNDUP(MONTH(A9106)/3,0)</f>
        <v>1995 q4</v>
      </c>
    </row>
    <row r="9107" spans="1:3">
      <c r="A9107" s="62">
        <v>34999</v>
      </c>
      <c r="B9107">
        <v>1.2370000000000001</v>
      </c>
      <c r="C9107" t="str">
        <f t="shared" si="147"/>
        <v>1995 q4</v>
      </c>
    </row>
    <row r="9108" spans="1:3">
      <c r="A9108" s="62">
        <v>35002</v>
      </c>
      <c r="B9108">
        <v>1.2364999999999999</v>
      </c>
      <c r="C9108" t="str">
        <f t="shared" si="147"/>
        <v>1995 q4</v>
      </c>
    </row>
    <row r="9109" spans="1:3">
      <c r="A9109" s="62">
        <v>35003</v>
      </c>
      <c r="B9109">
        <v>1.2475000000000001</v>
      </c>
      <c r="C9109" t="str">
        <f t="shared" si="147"/>
        <v>1995 q4</v>
      </c>
    </row>
    <row r="9110" spans="1:3">
      <c r="A9110" s="62">
        <v>35004</v>
      </c>
      <c r="B9110">
        <v>1.2885</v>
      </c>
      <c r="C9110" t="str">
        <f t="shared" si="147"/>
        <v>1995 q4</v>
      </c>
    </row>
    <row r="9111" spans="1:3">
      <c r="A9111" s="62">
        <v>35005</v>
      </c>
      <c r="B9111">
        <v>1.325</v>
      </c>
      <c r="C9111" t="str">
        <f t="shared" si="147"/>
        <v>1995 q4</v>
      </c>
    </row>
    <row r="9112" spans="1:3">
      <c r="A9112" s="62">
        <v>35006</v>
      </c>
      <c r="B9112">
        <v>1.3294999999999999</v>
      </c>
      <c r="C9112" t="str">
        <f t="shared" si="147"/>
        <v>1995 q4</v>
      </c>
    </row>
    <row r="9113" spans="1:3">
      <c r="A9113" s="62">
        <v>35009</v>
      </c>
      <c r="B9113">
        <v>1.323</v>
      </c>
      <c r="C9113" t="str">
        <f t="shared" si="147"/>
        <v>1995 q4</v>
      </c>
    </row>
    <row r="9114" spans="1:3">
      <c r="A9114" s="62">
        <v>35010</v>
      </c>
      <c r="B9114">
        <v>1.3405</v>
      </c>
      <c r="C9114" t="str">
        <f t="shared" si="147"/>
        <v>1995 q4</v>
      </c>
    </row>
    <row r="9115" spans="1:3">
      <c r="A9115" s="62">
        <v>35011</v>
      </c>
      <c r="B9115">
        <v>1.321</v>
      </c>
      <c r="C9115" t="str">
        <f t="shared" si="147"/>
        <v>1995 q4</v>
      </c>
    </row>
    <row r="9116" spans="1:3">
      <c r="A9116" s="62">
        <v>35012</v>
      </c>
      <c r="B9116">
        <v>1.3354999999999999</v>
      </c>
      <c r="C9116" t="str">
        <f t="shared" si="147"/>
        <v>1995 q4</v>
      </c>
    </row>
    <row r="9117" spans="1:3">
      <c r="A9117" s="62">
        <v>35013</v>
      </c>
      <c r="B9117">
        <v>1.3505</v>
      </c>
      <c r="C9117" t="str">
        <f t="shared" si="147"/>
        <v>1995 q4</v>
      </c>
    </row>
    <row r="9118" spans="1:3">
      <c r="A9118" s="62">
        <v>35016</v>
      </c>
      <c r="B9118">
        <v>1.335</v>
      </c>
      <c r="C9118" t="str">
        <f t="shared" si="147"/>
        <v>1995 q4</v>
      </c>
    </row>
    <row r="9119" spans="1:3">
      <c r="A9119" s="62">
        <v>35017</v>
      </c>
      <c r="B9119">
        <v>1.3180000000000001</v>
      </c>
      <c r="C9119" t="str">
        <f t="shared" si="147"/>
        <v>1995 q4</v>
      </c>
    </row>
    <row r="9120" spans="1:3">
      <c r="A9120" s="62">
        <v>35018</v>
      </c>
      <c r="B9120">
        <v>1.302</v>
      </c>
      <c r="C9120" t="str">
        <f t="shared" si="147"/>
        <v>1995 q4</v>
      </c>
    </row>
    <row r="9121" spans="1:3">
      <c r="A9121" s="62">
        <v>35019</v>
      </c>
      <c r="B9121">
        <v>1.3154999999999999</v>
      </c>
      <c r="C9121" t="str">
        <f t="shared" si="147"/>
        <v>1995 q4</v>
      </c>
    </row>
    <row r="9122" spans="1:3">
      <c r="A9122" s="62">
        <v>35020</v>
      </c>
      <c r="B9122">
        <v>1.3149999999999999</v>
      </c>
      <c r="C9122" t="str">
        <f t="shared" si="147"/>
        <v>1995 q4</v>
      </c>
    </row>
    <row r="9123" spans="1:3">
      <c r="A9123" s="62">
        <v>35023</v>
      </c>
      <c r="B9123">
        <v>1.3314999999999999</v>
      </c>
      <c r="C9123" t="str">
        <f t="shared" si="147"/>
        <v>1995 q4</v>
      </c>
    </row>
    <row r="9124" spans="1:3">
      <c r="A9124" s="62">
        <v>35024</v>
      </c>
      <c r="B9124">
        <v>1.3174999999999999</v>
      </c>
      <c r="C9124" t="str">
        <f t="shared" si="147"/>
        <v>1995 q4</v>
      </c>
    </row>
    <row r="9125" spans="1:3">
      <c r="A9125" s="62">
        <v>35025</v>
      </c>
      <c r="B9125">
        <v>1.3145</v>
      </c>
      <c r="C9125" t="str">
        <f t="shared" si="147"/>
        <v>1995 q4</v>
      </c>
    </row>
    <row r="9126" spans="1:3">
      <c r="A9126" s="62">
        <v>35030</v>
      </c>
      <c r="B9126">
        <v>1.3098000000000001</v>
      </c>
      <c r="C9126" t="str">
        <f t="shared" si="147"/>
        <v>1995 q4</v>
      </c>
    </row>
    <row r="9127" spans="1:3">
      <c r="A9127" s="62">
        <v>35031</v>
      </c>
      <c r="B9127">
        <v>1.298</v>
      </c>
      <c r="C9127" t="str">
        <f t="shared" si="147"/>
        <v>1995 q4</v>
      </c>
    </row>
    <row r="9128" spans="1:3">
      <c r="A9128" s="62">
        <v>35032</v>
      </c>
      <c r="B9128">
        <v>1.2937000000000001</v>
      </c>
      <c r="C9128" t="str">
        <f t="shared" si="147"/>
        <v>1995 q4</v>
      </c>
    </row>
    <row r="9129" spans="1:3">
      <c r="A9129" s="62">
        <v>35033</v>
      </c>
      <c r="B9129">
        <v>1.3017000000000001</v>
      </c>
      <c r="C9129" t="str">
        <f t="shared" si="147"/>
        <v>1995 q4</v>
      </c>
    </row>
    <row r="9130" spans="1:3">
      <c r="A9130" s="62">
        <v>35034</v>
      </c>
      <c r="B9130">
        <v>1.2809999999999999</v>
      </c>
      <c r="C9130" t="str">
        <f t="shared" si="147"/>
        <v>1995 q4</v>
      </c>
    </row>
    <row r="9131" spans="1:3">
      <c r="A9131" s="62">
        <v>35037</v>
      </c>
      <c r="B9131">
        <v>1.276</v>
      </c>
      <c r="C9131" t="str">
        <f t="shared" si="147"/>
        <v>1995 q4</v>
      </c>
    </row>
    <row r="9132" spans="1:3">
      <c r="A9132" s="62">
        <v>35038</v>
      </c>
      <c r="B9132">
        <v>1.2715000000000001</v>
      </c>
      <c r="C9132" t="str">
        <f t="shared" si="147"/>
        <v>1995 q4</v>
      </c>
    </row>
    <row r="9133" spans="1:3">
      <c r="A9133" s="62">
        <v>35039</v>
      </c>
      <c r="B9133">
        <v>1.2504999999999999</v>
      </c>
      <c r="C9133" t="str">
        <f t="shared" si="147"/>
        <v>1995 q4</v>
      </c>
    </row>
    <row r="9134" spans="1:3">
      <c r="A9134" s="62">
        <v>35040</v>
      </c>
      <c r="B9134">
        <v>1.2785</v>
      </c>
      <c r="C9134" t="str">
        <f t="shared" si="147"/>
        <v>1995 q4</v>
      </c>
    </row>
    <row r="9135" spans="1:3">
      <c r="A9135" s="62">
        <v>35041</v>
      </c>
      <c r="B9135">
        <v>1.274</v>
      </c>
      <c r="C9135" t="str">
        <f t="shared" si="147"/>
        <v>1995 q4</v>
      </c>
    </row>
    <row r="9136" spans="1:3">
      <c r="A9136" s="62">
        <v>35044</v>
      </c>
      <c r="B9136">
        <v>1.2965</v>
      </c>
      <c r="C9136" t="str">
        <f t="shared" si="147"/>
        <v>1995 q4</v>
      </c>
    </row>
    <row r="9137" spans="1:3">
      <c r="A9137" s="62">
        <v>35045</v>
      </c>
      <c r="B9137">
        <v>1.284</v>
      </c>
      <c r="C9137" t="str">
        <f t="shared" si="147"/>
        <v>1995 q4</v>
      </c>
    </row>
    <row r="9138" spans="1:3">
      <c r="A9138" s="62">
        <v>35046</v>
      </c>
      <c r="B9138">
        <v>1.306</v>
      </c>
      <c r="C9138" t="str">
        <f t="shared" si="147"/>
        <v>1995 q4</v>
      </c>
    </row>
    <row r="9139" spans="1:3">
      <c r="A9139" s="62">
        <v>35047</v>
      </c>
      <c r="B9139">
        <v>1.3445</v>
      </c>
      <c r="C9139" t="str">
        <f t="shared" si="147"/>
        <v>1995 q4</v>
      </c>
    </row>
    <row r="9140" spans="1:3">
      <c r="A9140" s="62">
        <v>35048</v>
      </c>
      <c r="B9140">
        <v>1.3009999999999999</v>
      </c>
      <c r="C9140" t="str">
        <f t="shared" si="147"/>
        <v>1995 q4</v>
      </c>
    </row>
    <row r="9141" spans="1:3">
      <c r="A9141" s="62">
        <v>35051</v>
      </c>
      <c r="B9141">
        <v>1.292</v>
      </c>
      <c r="C9141" t="str">
        <f t="shared" si="147"/>
        <v>1995 q4</v>
      </c>
    </row>
    <row r="9142" spans="1:3">
      <c r="A9142" s="62">
        <v>35052</v>
      </c>
      <c r="B9142">
        <v>1.278</v>
      </c>
      <c r="C9142" t="str">
        <f t="shared" si="147"/>
        <v>1995 q4</v>
      </c>
    </row>
    <row r="9143" spans="1:3">
      <c r="A9143" s="62">
        <v>35053</v>
      </c>
      <c r="B9143">
        <v>1.2905</v>
      </c>
      <c r="C9143" t="str">
        <f t="shared" si="147"/>
        <v>1995 q4</v>
      </c>
    </row>
    <row r="9144" spans="1:3">
      <c r="A9144" s="62">
        <v>35054</v>
      </c>
      <c r="B9144">
        <v>1.294</v>
      </c>
      <c r="C9144" t="str">
        <f t="shared" si="147"/>
        <v>1995 q4</v>
      </c>
    </row>
    <row r="9145" spans="1:3">
      <c r="A9145" s="62">
        <v>35055</v>
      </c>
      <c r="B9145">
        <v>1.2775000000000001</v>
      </c>
      <c r="C9145" t="str">
        <f t="shared" si="147"/>
        <v>1995 q4</v>
      </c>
    </row>
    <row r="9146" spans="1:3">
      <c r="A9146" s="62">
        <v>35059</v>
      </c>
      <c r="B9146">
        <v>1.2656000000000001</v>
      </c>
      <c r="C9146" t="str">
        <f t="shared" si="147"/>
        <v>1995 q4</v>
      </c>
    </row>
    <row r="9147" spans="1:3">
      <c r="A9147" s="62">
        <v>35060</v>
      </c>
      <c r="B9147">
        <v>1.2487999999999999</v>
      </c>
      <c r="C9147" t="str">
        <f t="shared" si="147"/>
        <v>1995 q4</v>
      </c>
    </row>
    <row r="9148" spans="1:3">
      <c r="A9148" s="62">
        <v>35061</v>
      </c>
      <c r="B9148">
        <v>1.2377</v>
      </c>
      <c r="C9148" t="str">
        <f t="shared" si="147"/>
        <v>1995 q4</v>
      </c>
    </row>
    <row r="9149" spans="1:3">
      <c r="A9149" s="62">
        <v>35062</v>
      </c>
      <c r="B9149">
        <v>1.2165999999999999</v>
      </c>
      <c r="C9149" t="str">
        <f t="shared" si="147"/>
        <v>1995 q4</v>
      </c>
    </row>
    <row r="9150" spans="1:3">
      <c r="A9150" s="62">
        <v>35066</v>
      </c>
      <c r="B9150">
        <v>1.181</v>
      </c>
      <c r="C9150" t="str">
        <f t="shared" si="147"/>
        <v>1996 q1</v>
      </c>
    </row>
    <row r="9151" spans="1:3">
      <c r="A9151" s="62">
        <v>35067</v>
      </c>
      <c r="B9151">
        <v>1.169</v>
      </c>
      <c r="C9151" t="str">
        <f t="shared" si="147"/>
        <v>1996 q1</v>
      </c>
    </row>
    <row r="9152" spans="1:3">
      <c r="A9152" s="62">
        <v>35068</v>
      </c>
      <c r="B9152">
        <v>1.147</v>
      </c>
      <c r="C9152" t="str">
        <f t="shared" si="147"/>
        <v>1996 q1</v>
      </c>
    </row>
    <row r="9153" spans="1:3">
      <c r="A9153" s="62">
        <v>35069</v>
      </c>
      <c r="B9153">
        <v>1.1705000000000001</v>
      </c>
      <c r="C9153" t="str">
        <f t="shared" si="147"/>
        <v>1996 q1</v>
      </c>
    </row>
    <row r="9154" spans="1:3">
      <c r="A9154" s="62">
        <v>35073</v>
      </c>
      <c r="B9154">
        <v>1.1405000000000001</v>
      </c>
      <c r="C9154" t="str">
        <f t="shared" si="147"/>
        <v>1996 q1</v>
      </c>
    </row>
    <row r="9155" spans="1:3">
      <c r="A9155" s="62">
        <v>35074</v>
      </c>
      <c r="B9155">
        <v>1.1479999999999999</v>
      </c>
      <c r="C9155" t="str">
        <f t="shared" si="147"/>
        <v>1996 q1</v>
      </c>
    </row>
    <row r="9156" spans="1:3">
      <c r="A9156" s="62">
        <v>35075</v>
      </c>
      <c r="B9156">
        <v>1.1535</v>
      </c>
      <c r="C9156" t="str">
        <f t="shared" si="147"/>
        <v>1996 q1</v>
      </c>
    </row>
    <row r="9157" spans="1:3">
      <c r="A9157" s="62">
        <v>35076</v>
      </c>
      <c r="B9157">
        <v>1.127</v>
      </c>
      <c r="C9157" t="str">
        <f t="shared" si="147"/>
        <v>1996 q1</v>
      </c>
    </row>
    <row r="9158" spans="1:3">
      <c r="A9158" s="62">
        <v>35079</v>
      </c>
      <c r="B9158">
        <v>1.1165</v>
      </c>
      <c r="C9158" t="str">
        <f t="shared" si="147"/>
        <v>1996 q1</v>
      </c>
    </row>
    <row r="9159" spans="1:3">
      <c r="A9159" s="62">
        <v>35080</v>
      </c>
      <c r="B9159">
        <v>1.1254999999999999</v>
      </c>
      <c r="C9159" t="str">
        <f t="shared" si="147"/>
        <v>1996 q1</v>
      </c>
    </row>
    <row r="9160" spans="1:3">
      <c r="A9160" s="62">
        <v>35081</v>
      </c>
      <c r="B9160">
        <v>1.1165</v>
      </c>
      <c r="C9160" t="str">
        <f t="shared" si="147"/>
        <v>1996 q1</v>
      </c>
    </row>
    <row r="9161" spans="1:3">
      <c r="A9161" s="62">
        <v>35082</v>
      </c>
      <c r="B9161">
        <v>1.1479999999999999</v>
      </c>
      <c r="C9161" t="str">
        <f t="shared" si="147"/>
        <v>1996 q1</v>
      </c>
    </row>
    <row r="9162" spans="1:3">
      <c r="A9162" s="62">
        <v>35083</v>
      </c>
      <c r="B9162">
        <v>1.1214999999999999</v>
      </c>
      <c r="C9162" t="str">
        <f t="shared" si="147"/>
        <v>1996 q1</v>
      </c>
    </row>
    <row r="9163" spans="1:3">
      <c r="A9163" s="62">
        <v>35086</v>
      </c>
      <c r="B9163">
        <v>1.1274999999999999</v>
      </c>
      <c r="C9163" t="str">
        <f t="shared" si="147"/>
        <v>1996 q1</v>
      </c>
    </row>
    <row r="9164" spans="1:3">
      <c r="A9164" s="62">
        <v>35087</v>
      </c>
      <c r="B9164">
        <v>1.1525000000000001</v>
      </c>
      <c r="C9164" t="str">
        <f t="shared" si="147"/>
        <v>1996 q1</v>
      </c>
    </row>
    <row r="9165" spans="1:3">
      <c r="A9165" s="62">
        <v>35088</v>
      </c>
      <c r="B9165">
        <v>1.1619999999999999</v>
      </c>
      <c r="C9165" t="str">
        <f t="shared" si="147"/>
        <v>1996 q1</v>
      </c>
    </row>
    <row r="9166" spans="1:3">
      <c r="A9166" s="62">
        <v>35089</v>
      </c>
      <c r="B9166">
        <v>1.1359999999999999</v>
      </c>
      <c r="C9166" t="str">
        <f t="shared" si="147"/>
        <v>1996 q1</v>
      </c>
    </row>
    <row r="9167" spans="1:3">
      <c r="A9167" s="62">
        <v>35090</v>
      </c>
      <c r="B9167">
        <v>1.129</v>
      </c>
      <c r="C9167" t="str">
        <f t="shared" si="147"/>
        <v>1996 q1</v>
      </c>
    </row>
    <row r="9168" spans="1:3">
      <c r="A9168" s="62">
        <v>35093</v>
      </c>
      <c r="B9168">
        <v>1.131</v>
      </c>
      <c r="C9168" t="str">
        <f t="shared" si="147"/>
        <v>1996 q1</v>
      </c>
    </row>
    <row r="9169" spans="1:3">
      <c r="A9169" s="62">
        <v>35094</v>
      </c>
      <c r="B9169">
        <v>1.1545000000000001</v>
      </c>
      <c r="C9169" t="str">
        <f t="shared" si="147"/>
        <v>1996 q1</v>
      </c>
    </row>
    <row r="9170" spans="1:3">
      <c r="A9170" s="62">
        <v>35095</v>
      </c>
      <c r="B9170">
        <v>1.1479999999999999</v>
      </c>
      <c r="C9170" t="str">
        <f t="shared" ref="C9170:C9233" si="148">YEAR(A9170)&amp;" q"&amp;ROUNDUP(MONTH(A9170)/3,0)</f>
        <v>1996 q1</v>
      </c>
    </row>
    <row r="9171" spans="1:3">
      <c r="A9171" s="62">
        <v>35096</v>
      </c>
      <c r="B9171">
        <v>1.1739999999999999</v>
      </c>
      <c r="C9171" t="str">
        <f t="shared" si="148"/>
        <v>1996 q1</v>
      </c>
    </row>
    <row r="9172" spans="1:3">
      <c r="A9172" s="62">
        <v>35097</v>
      </c>
      <c r="B9172">
        <v>1.1739999999999999</v>
      </c>
      <c r="C9172" t="str">
        <f t="shared" si="148"/>
        <v>1996 q1</v>
      </c>
    </row>
    <row r="9173" spans="1:3">
      <c r="A9173" s="62">
        <v>35100</v>
      </c>
      <c r="B9173">
        <v>1.1645000000000001</v>
      </c>
      <c r="C9173" t="str">
        <f t="shared" si="148"/>
        <v>1996 q1</v>
      </c>
    </row>
    <row r="9174" spans="1:3">
      <c r="A9174" s="62">
        <v>35101</v>
      </c>
      <c r="B9174">
        <v>1.1635</v>
      </c>
      <c r="C9174" t="str">
        <f t="shared" si="148"/>
        <v>1996 q1</v>
      </c>
    </row>
    <row r="9175" spans="1:3">
      <c r="A9175" s="62">
        <v>35102</v>
      </c>
      <c r="B9175">
        <v>1.181</v>
      </c>
      <c r="C9175" t="str">
        <f t="shared" si="148"/>
        <v>1996 q1</v>
      </c>
    </row>
    <row r="9176" spans="1:3">
      <c r="A9176" s="62">
        <v>35103</v>
      </c>
      <c r="B9176">
        <v>1.1719999999999999</v>
      </c>
      <c r="C9176" t="str">
        <f t="shared" si="148"/>
        <v>1996 q1</v>
      </c>
    </row>
    <row r="9177" spans="1:3">
      <c r="A9177" s="62">
        <v>35104</v>
      </c>
      <c r="B9177">
        <v>1.1719999999999999</v>
      </c>
      <c r="C9177" t="str">
        <f t="shared" si="148"/>
        <v>1996 q1</v>
      </c>
    </row>
    <row r="9178" spans="1:3">
      <c r="A9178" s="62">
        <v>35107</v>
      </c>
      <c r="B9178">
        <v>1.1579999999999999</v>
      </c>
      <c r="C9178" t="str">
        <f t="shared" si="148"/>
        <v>1996 q1</v>
      </c>
    </row>
    <row r="9179" spans="1:3">
      <c r="A9179" s="62">
        <v>35108</v>
      </c>
      <c r="B9179">
        <v>1.1339999999999999</v>
      </c>
      <c r="C9179" t="str">
        <f t="shared" si="148"/>
        <v>1996 q1</v>
      </c>
    </row>
    <row r="9180" spans="1:3">
      <c r="A9180" s="62">
        <v>35109</v>
      </c>
      <c r="B9180">
        <v>1.141</v>
      </c>
      <c r="C9180" t="str">
        <f t="shared" si="148"/>
        <v>1996 q1</v>
      </c>
    </row>
    <row r="9181" spans="1:3">
      <c r="A9181" s="62">
        <v>35110</v>
      </c>
      <c r="B9181">
        <v>1.1365000000000001</v>
      </c>
      <c r="C9181" t="str">
        <f t="shared" si="148"/>
        <v>1996 q1</v>
      </c>
    </row>
    <row r="9182" spans="1:3">
      <c r="A9182" s="62">
        <v>35111</v>
      </c>
      <c r="B9182">
        <v>1.125</v>
      </c>
      <c r="C9182" t="str">
        <f t="shared" si="148"/>
        <v>1996 q1</v>
      </c>
    </row>
    <row r="9183" spans="1:3">
      <c r="A9183" s="62">
        <v>35115</v>
      </c>
      <c r="B9183">
        <v>1.1375</v>
      </c>
      <c r="C9183" t="str">
        <f t="shared" si="148"/>
        <v>1996 q1</v>
      </c>
    </row>
    <row r="9184" spans="1:3">
      <c r="A9184" s="62">
        <v>35116</v>
      </c>
      <c r="B9184">
        <v>1.1405000000000001</v>
      </c>
      <c r="C9184" t="str">
        <f t="shared" si="148"/>
        <v>1996 q1</v>
      </c>
    </row>
    <row r="9185" spans="1:3">
      <c r="A9185" s="62">
        <v>35117</v>
      </c>
      <c r="B9185">
        <v>1.1599999999999999</v>
      </c>
      <c r="C9185" t="str">
        <f t="shared" si="148"/>
        <v>1996 q1</v>
      </c>
    </row>
    <row r="9186" spans="1:3">
      <c r="A9186" s="62">
        <v>35118</v>
      </c>
      <c r="B9186">
        <v>1.1619999999999999</v>
      </c>
      <c r="C9186" t="str">
        <f t="shared" si="148"/>
        <v>1996 q1</v>
      </c>
    </row>
    <row r="9187" spans="1:3">
      <c r="A9187" s="62">
        <v>35121</v>
      </c>
      <c r="B9187">
        <v>1.1460999999999999</v>
      </c>
      <c r="C9187" t="str">
        <f t="shared" si="148"/>
        <v>1996 q1</v>
      </c>
    </row>
    <row r="9188" spans="1:3">
      <c r="A9188" s="62">
        <v>35122</v>
      </c>
      <c r="B9188">
        <v>1.1521999999999999</v>
      </c>
      <c r="C9188" t="str">
        <f t="shared" si="148"/>
        <v>1996 q1</v>
      </c>
    </row>
    <row r="9189" spans="1:3">
      <c r="A9189" s="62">
        <v>35123</v>
      </c>
      <c r="B9189">
        <v>1.1341000000000001</v>
      </c>
      <c r="C9189" t="str">
        <f t="shared" si="148"/>
        <v>1996 q1</v>
      </c>
    </row>
    <row r="9190" spans="1:3">
      <c r="A9190" s="62">
        <v>35124</v>
      </c>
      <c r="B9190">
        <v>1.1558999999999999</v>
      </c>
      <c r="C9190" t="str">
        <f t="shared" si="148"/>
        <v>1996 q1</v>
      </c>
    </row>
    <row r="9191" spans="1:3">
      <c r="A9191" s="62">
        <v>35125</v>
      </c>
      <c r="B9191">
        <v>1.1619999999999999</v>
      </c>
      <c r="C9191" t="str">
        <f t="shared" si="148"/>
        <v>1996 q1</v>
      </c>
    </row>
    <row r="9192" spans="1:3">
      <c r="A9192" s="62">
        <v>35128</v>
      </c>
      <c r="B9192">
        <v>1.1785000000000001</v>
      </c>
      <c r="C9192" t="str">
        <f t="shared" si="148"/>
        <v>1996 q1</v>
      </c>
    </row>
    <row r="9193" spans="1:3">
      <c r="A9193" s="62">
        <v>35129</v>
      </c>
      <c r="B9193">
        <v>1.1645000000000001</v>
      </c>
      <c r="C9193" t="str">
        <f t="shared" si="148"/>
        <v>1996 q1</v>
      </c>
    </row>
    <row r="9194" spans="1:3">
      <c r="A9194" s="62">
        <v>35130</v>
      </c>
      <c r="B9194">
        <v>1.1685000000000001</v>
      </c>
      <c r="C9194" t="str">
        <f t="shared" si="148"/>
        <v>1996 q1</v>
      </c>
    </row>
    <row r="9195" spans="1:3">
      <c r="A9195" s="62">
        <v>35131</v>
      </c>
      <c r="B9195">
        <v>1.1719999999999999</v>
      </c>
      <c r="C9195" t="str">
        <f t="shared" si="148"/>
        <v>1996 q1</v>
      </c>
    </row>
    <row r="9196" spans="1:3">
      <c r="A9196" s="62">
        <v>35132</v>
      </c>
      <c r="B9196">
        <v>1.1990000000000001</v>
      </c>
      <c r="C9196" t="str">
        <f t="shared" si="148"/>
        <v>1996 q1</v>
      </c>
    </row>
    <row r="9197" spans="1:3">
      <c r="A9197" s="62">
        <v>35135</v>
      </c>
      <c r="B9197">
        <v>1.19</v>
      </c>
      <c r="C9197" t="str">
        <f t="shared" si="148"/>
        <v>1996 q1</v>
      </c>
    </row>
    <row r="9198" spans="1:3">
      <c r="A9198" s="62">
        <v>35136</v>
      </c>
      <c r="B9198">
        <v>1.1964999999999999</v>
      </c>
      <c r="C9198" t="str">
        <f t="shared" si="148"/>
        <v>1996 q1</v>
      </c>
    </row>
    <row r="9199" spans="1:3">
      <c r="A9199" s="62">
        <v>35137</v>
      </c>
      <c r="B9199">
        <v>1.1884999999999999</v>
      </c>
      <c r="C9199" t="str">
        <f t="shared" si="148"/>
        <v>1996 q1</v>
      </c>
    </row>
    <row r="9200" spans="1:3">
      <c r="A9200" s="62">
        <v>35138</v>
      </c>
      <c r="B9200">
        <v>1.1719999999999999</v>
      </c>
      <c r="C9200" t="str">
        <f t="shared" si="148"/>
        <v>1996 q1</v>
      </c>
    </row>
    <row r="9201" spans="1:3">
      <c r="A9201" s="62">
        <v>35139</v>
      </c>
      <c r="B9201">
        <v>1.1695</v>
      </c>
      <c r="C9201" t="str">
        <f t="shared" si="148"/>
        <v>1996 q1</v>
      </c>
    </row>
    <row r="9202" spans="1:3">
      <c r="A9202" s="62">
        <v>35142</v>
      </c>
      <c r="B9202">
        <v>1.1805000000000001</v>
      </c>
      <c r="C9202" t="str">
        <f t="shared" si="148"/>
        <v>1996 q1</v>
      </c>
    </row>
    <row r="9203" spans="1:3">
      <c r="A9203" s="62">
        <v>35143</v>
      </c>
      <c r="B9203">
        <v>1.1685000000000001</v>
      </c>
      <c r="C9203" t="str">
        <f t="shared" si="148"/>
        <v>1996 q1</v>
      </c>
    </row>
    <row r="9204" spans="1:3">
      <c r="A9204" s="62">
        <v>35144</v>
      </c>
      <c r="B9204">
        <v>1.171</v>
      </c>
      <c r="C9204" t="str">
        <f t="shared" si="148"/>
        <v>1996 q1</v>
      </c>
    </row>
    <row r="9205" spans="1:3">
      <c r="A9205" s="62">
        <v>35145</v>
      </c>
      <c r="B9205">
        <v>1.169</v>
      </c>
      <c r="C9205" t="str">
        <f t="shared" si="148"/>
        <v>1996 q1</v>
      </c>
    </row>
    <row r="9206" spans="1:3">
      <c r="A9206" s="62">
        <v>35146</v>
      </c>
      <c r="B9206">
        <v>1.1515</v>
      </c>
      <c r="C9206" t="str">
        <f t="shared" si="148"/>
        <v>1996 q1</v>
      </c>
    </row>
    <row r="9207" spans="1:3">
      <c r="A9207" s="62">
        <v>35149</v>
      </c>
      <c r="B9207">
        <v>1.149</v>
      </c>
      <c r="C9207" t="str">
        <f t="shared" si="148"/>
        <v>1996 q1</v>
      </c>
    </row>
    <row r="9208" spans="1:3">
      <c r="A9208" s="62">
        <v>35150</v>
      </c>
      <c r="B9208">
        <v>1.1619999999999999</v>
      </c>
      <c r="C9208" t="str">
        <f t="shared" si="148"/>
        <v>1996 q1</v>
      </c>
    </row>
    <row r="9209" spans="1:3">
      <c r="A9209" s="62">
        <v>35151</v>
      </c>
      <c r="B9209">
        <v>1.1559999999999999</v>
      </c>
      <c r="C9209" t="str">
        <f t="shared" si="148"/>
        <v>1996 q1</v>
      </c>
    </row>
    <row r="9210" spans="1:3">
      <c r="A9210" s="62">
        <v>35152</v>
      </c>
      <c r="B9210">
        <v>1.1625000000000001</v>
      </c>
      <c r="C9210" t="str">
        <f t="shared" si="148"/>
        <v>1996 q1</v>
      </c>
    </row>
    <row r="9211" spans="1:3">
      <c r="A9211" s="62">
        <v>35153</v>
      </c>
      <c r="B9211">
        <v>1.165</v>
      </c>
      <c r="C9211" t="str">
        <f t="shared" si="148"/>
        <v>1996 q1</v>
      </c>
    </row>
    <row r="9212" spans="1:3">
      <c r="A9212" s="62">
        <v>35156</v>
      </c>
      <c r="B9212">
        <v>1.1455</v>
      </c>
      <c r="C9212" t="str">
        <f t="shared" si="148"/>
        <v>1996 q2</v>
      </c>
    </row>
    <row r="9213" spans="1:3">
      <c r="A9213" s="62">
        <v>35157</v>
      </c>
      <c r="B9213">
        <v>1.1355</v>
      </c>
      <c r="C9213" t="str">
        <f t="shared" si="148"/>
        <v>1996 q2</v>
      </c>
    </row>
    <row r="9214" spans="1:3">
      <c r="A9214" s="62">
        <v>35158</v>
      </c>
      <c r="B9214">
        <v>1.1265000000000001</v>
      </c>
      <c r="C9214" t="str">
        <f t="shared" si="148"/>
        <v>1996 q2</v>
      </c>
    </row>
    <row r="9215" spans="1:3">
      <c r="A9215" s="62">
        <v>35159</v>
      </c>
      <c r="B9215">
        <v>1.1335</v>
      </c>
      <c r="C9215" t="str">
        <f t="shared" si="148"/>
        <v>1996 q2</v>
      </c>
    </row>
    <row r="9216" spans="1:3">
      <c r="A9216" s="62">
        <v>35163</v>
      </c>
      <c r="B9216">
        <v>1.1335</v>
      </c>
      <c r="C9216" t="str">
        <f t="shared" si="148"/>
        <v>1996 q2</v>
      </c>
    </row>
    <row r="9217" spans="1:3">
      <c r="A9217" s="62">
        <v>35164</v>
      </c>
      <c r="B9217">
        <v>1.1305000000000001</v>
      </c>
      <c r="C9217" t="str">
        <f t="shared" si="148"/>
        <v>1996 q2</v>
      </c>
    </row>
    <row r="9218" spans="1:3">
      <c r="A9218" s="62">
        <v>35165</v>
      </c>
      <c r="B9218">
        <v>1.1539999999999999</v>
      </c>
      <c r="C9218" t="str">
        <f t="shared" si="148"/>
        <v>1996 q2</v>
      </c>
    </row>
    <row r="9219" spans="1:3">
      <c r="A9219" s="62">
        <v>35166</v>
      </c>
      <c r="B9219">
        <v>1.1879999999999999</v>
      </c>
      <c r="C9219" t="str">
        <f t="shared" si="148"/>
        <v>1996 q2</v>
      </c>
    </row>
    <row r="9220" spans="1:3">
      <c r="A9220" s="62">
        <v>35167</v>
      </c>
      <c r="B9220">
        <v>1.194</v>
      </c>
      <c r="C9220" t="str">
        <f t="shared" si="148"/>
        <v>1996 q2</v>
      </c>
    </row>
    <row r="9221" spans="1:3">
      <c r="A9221" s="62">
        <v>35170</v>
      </c>
      <c r="B9221">
        <v>1.1775</v>
      </c>
      <c r="C9221" t="str">
        <f t="shared" si="148"/>
        <v>1996 q2</v>
      </c>
    </row>
    <row r="9222" spans="1:3">
      <c r="A9222" s="62">
        <v>35171</v>
      </c>
      <c r="B9222">
        <v>1.1839999999999999</v>
      </c>
      <c r="C9222" t="str">
        <f t="shared" si="148"/>
        <v>1996 q2</v>
      </c>
    </row>
    <row r="9223" spans="1:3">
      <c r="A9223" s="62">
        <v>35172</v>
      </c>
      <c r="B9223">
        <v>1.196</v>
      </c>
      <c r="C9223" t="str">
        <f t="shared" si="148"/>
        <v>1996 q2</v>
      </c>
    </row>
    <row r="9224" spans="1:3">
      <c r="A9224" s="62">
        <v>35173</v>
      </c>
      <c r="B9224">
        <v>1.206</v>
      </c>
      <c r="C9224" t="str">
        <f t="shared" si="148"/>
        <v>1996 q2</v>
      </c>
    </row>
    <row r="9225" spans="1:3">
      <c r="A9225" s="62">
        <v>35174</v>
      </c>
      <c r="B9225">
        <v>1.23</v>
      </c>
      <c r="C9225" t="str">
        <f t="shared" si="148"/>
        <v>1996 q2</v>
      </c>
    </row>
    <row r="9226" spans="1:3">
      <c r="A9226" s="62">
        <v>35177</v>
      </c>
      <c r="B9226">
        <v>1.2275</v>
      </c>
      <c r="C9226" t="str">
        <f t="shared" si="148"/>
        <v>1996 q2</v>
      </c>
    </row>
    <row r="9227" spans="1:3">
      <c r="A9227" s="62">
        <v>35178</v>
      </c>
      <c r="B9227">
        <v>1.2170000000000001</v>
      </c>
      <c r="C9227" t="str">
        <f t="shared" si="148"/>
        <v>1996 q2</v>
      </c>
    </row>
    <row r="9228" spans="1:3">
      <c r="A9228" s="62">
        <v>35179</v>
      </c>
      <c r="B9228">
        <v>1.2284999999999999</v>
      </c>
      <c r="C9228" t="str">
        <f t="shared" si="148"/>
        <v>1996 q2</v>
      </c>
    </row>
    <row r="9229" spans="1:3">
      <c r="A9229" s="62">
        <v>35180</v>
      </c>
      <c r="B9229">
        <v>1.2258</v>
      </c>
      <c r="C9229" t="str">
        <f t="shared" si="148"/>
        <v>1996 q2</v>
      </c>
    </row>
    <row r="9230" spans="1:3">
      <c r="A9230" s="62">
        <v>35181</v>
      </c>
      <c r="B9230">
        <v>1.2169000000000001</v>
      </c>
      <c r="C9230" t="str">
        <f t="shared" si="148"/>
        <v>1996 q2</v>
      </c>
    </row>
    <row r="9231" spans="1:3">
      <c r="A9231" s="62">
        <v>35184</v>
      </c>
      <c r="B9231">
        <v>1.2035</v>
      </c>
      <c r="C9231" t="str">
        <f t="shared" si="148"/>
        <v>1996 q2</v>
      </c>
    </row>
    <row r="9232" spans="1:3">
      <c r="A9232" s="62">
        <v>35185</v>
      </c>
      <c r="B9232">
        <v>1.1955</v>
      </c>
      <c r="C9232" t="str">
        <f t="shared" si="148"/>
        <v>1996 q2</v>
      </c>
    </row>
    <row r="9233" spans="1:3">
      <c r="A9233" s="62">
        <v>35186</v>
      </c>
      <c r="B9233">
        <v>1.206</v>
      </c>
      <c r="C9233" t="str">
        <f t="shared" si="148"/>
        <v>1996 q2</v>
      </c>
    </row>
    <row r="9234" spans="1:3">
      <c r="A9234" s="62">
        <v>35187</v>
      </c>
      <c r="B9234">
        <v>1.2004999999999999</v>
      </c>
      <c r="C9234" t="str">
        <f t="shared" ref="C9234:C9297" si="149">YEAR(A9234)&amp;" q"&amp;ROUNDUP(MONTH(A9234)/3,0)</f>
        <v>1996 q2</v>
      </c>
    </row>
    <row r="9235" spans="1:3">
      <c r="A9235" s="62">
        <v>35188</v>
      </c>
      <c r="B9235">
        <v>1.222</v>
      </c>
      <c r="C9235" t="str">
        <f t="shared" si="149"/>
        <v>1996 q2</v>
      </c>
    </row>
    <row r="9236" spans="1:3">
      <c r="A9236" s="62">
        <v>35191</v>
      </c>
      <c r="B9236">
        <v>1.2130000000000001</v>
      </c>
      <c r="C9236" t="str">
        <f t="shared" si="149"/>
        <v>1996 q2</v>
      </c>
    </row>
    <row r="9237" spans="1:3">
      <c r="A9237" s="62">
        <v>35192</v>
      </c>
      <c r="B9237">
        <v>1.2490000000000001</v>
      </c>
      <c r="C9237" t="str">
        <f t="shared" si="149"/>
        <v>1996 q2</v>
      </c>
    </row>
    <row r="9238" spans="1:3">
      <c r="A9238" s="62">
        <v>35193</v>
      </c>
      <c r="B9238">
        <v>1.2544999999999999</v>
      </c>
      <c r="C9238" t="str">
        <f t="shared" si="149"/>
        <v>1996 q2</v>
      </c>
    </row>
    <row r="9239" spans="1:3">
      <c r="A9239" s="62">
        <v>35194</v>
      </c>
      <c r="B9239">
        <v>1.2495000000000001</v>
      </c>
      <c r="C9239" t="str">
        <f t="shared" si="149"/>
        <v>1996 q2</v>
      </c>
    </row>
    <row r="9240" spans="1:3">
      <c r="A9240" s="62">
        <v>35195</v>
      </c>
      <c r="B9240">
        <v>1.2450000000000001</v>
      </c>
      <c r="C9240" t="str">
        <f t="shared" si="149"/>
        <v>1996 q2</v>
      </c>
    </row>
    <row r="9241" spans="1:3">
      <c r="A9241" s="62">
        <v>35198</v>
      </c>
      <c r="B9241">
        <v>1.2555000000000001</v>
      </c>
      <c r="C9241" t="str">
        <f t="shared" si="149"/>
        <v>1996 q2</v>
      </c>
    </row>
    <row r="9242" spans="1:3">
      <c r="A9242" s="62">
        <v>35199</v>
      </c>
      <c r="B9242">
        <v>1.2410000000000001</v>
      </c>
      <c r="C9242" t="str">
        <f t="shared" si="149"/>
        <v>1996 q2</v>
      </c>
    </row>
    <row r="9243" spans="1:3">
      <c r="A9243" s="62">
        <v>35200</v>
      </c>
      <c r="B9243">
        <v>1.2364999999999999</v>
      </c>
      <c r="C9243" t="str">
        <f t="shared" si="149"/>
        <v>1996 q2</v>
      </c>
    </row>
    <row r="9244" spans="1:3">
      <c r="A9244" s="62">
        <v>35201</v>
      </c>
      <c r="B9244">
        <v>1.2364999999999999</v>
      </c>
      <c r="C9244" t="str">
        <f t="shared" si="149"/>
        <v>1996 q2</v>
      </c>
    </row>
    <row r="9245" spans="1:3">
      <c r="A9245" s="62">
        <v>35202</v>
      </c>
      <c r="B9245">
        <v>1.1559999999999999</v>
      </c>
      <c r="C9245" t="str">
        <f t="shared" si="149"/>
        <v>1996 q2</v>
      </c>
    </row>
    <row r="9246" spans="1:3">
      <c r="A9246" s="62">
        <v>35205</v>
      </c>
      <c r="B9246">
        <v>1.1120000000000001</v>
      </c>
      <c r="C9246" t="str">
        <f t="shared" si="149"/>
        <v>1996 q2</v>
      </c>
    </row>
    <row r="9247" spans="1:3">
      <c r="A9247" s="62">
        <v>35206</v>
      </c>
      <c r="B9247">
        <v>1.1154999999999999</v>
      </c>
      <c r="C9247" t="str">
        <f t="shared" si="149"/>
        <v>1996 q2</v>
      </c>
    </row>
    <row r="9248" spans="1:3">
      <c r="A9248" s="62">
        <v>35207</v>
      </c>
      <c r="B9248">
        <v>1.1355</v>
      </c>
      <c r="C9248" t="str">
        <f t="shared" si="149"/>
        <v>1996 q2</v>
      </c>
    </row>
    <row r="9249" spans="1:3">
      <c r="A9249" s="62">
        <v>35208</v>
      </c>
      <c r="B9249">
        <v>1.1365000000000001</v>
      </c>
      <c r="C9249" t="str">
        <f t="shared" si="149"/>
        <v>1996 q2</v>
      </c>
    </row>
    <row r="9250" spans="1:3">
      <c r="A9250" s="62">
        <v>35209</v>
      </c>
      <c r="B9250">
        <v>1.1265000000000001</v>
      </c>
      <c r="C9250" t="str">
        <f t="shared" si="149"/>
        <v>1996 q2</v>
      </c>
    </row>
    <row r="9251" spans="1:3">
      <c r="A9251" s="62">
        <v>35213</v>
      </c>
      <c r="B9251">
        <v>1.1359999999999999</v>
      </c>
      <c r="C9251" t="str">
        <f t="shared" si="149"/>
        <v>1996 q2</v>
      </c>
    </row>
    <row r="9252" spans="1:3">
      <c r="A9252" s="62">
        <v>35214</v>
      </c>
      <c r="B9252">
        <v>1.1619999999999999</v>
      </c>
      <c r="C9252" t="str">
        <f t="shared" si="149"/>
        <v>1996 q2</v>
      </c>
    </row>
    <row r="9253" spans="1:3">
      <c r="A9253" s="62">
        <v>35215</v>
      </c>
      <c r="B9253">
        <v>1.155</v>
      </c>
      <c r="C9253" t="str">
        <f t="shared" si="149"/>
        <v>1996 q2</v>
      </c>
    </row>
    <row r="9254" spans="1:3">
      <c r="A9254" s="62">
        <v>35216</v>
      </c>
      <c r="B9254">
        <v>1.1499999999999999</v>
      </c>
      <c r="C9254" t="str">
        <f t="shared" si="149"/>
        <v>1996 q2</v>
      </c>
    </row>
    <row r="9255" spans="1:3">
      <c r="A9255" s="62">
        <v>35219</v>
      </c>
      <c r="B9255">
        <v>1.1365000000000001</v>
      </c>
      <c r="C9255" t="str">
        <f t="shared" si="149"/>
        <v>1996 q2</v>
      </c>
    </row>
    <row r="9256" spans="1:3">
      <c r="A9256" s="62">
        <v>35220</v>
      </c>
      <c r="B9256">
        <v>1.107</v>
      </c>
      <c r="C9256" t="str">
        <f t="shared" si="149"/>
        <v>1996 q2</v>
      </c>
    </row>
    <row r="9257" spans="1:3">
      <c r="A9257" s="62">
        <v>35221</v>
      </c>
      <c r="B9257">
        <v>1.0205</v>
      </c>
      <c r="C9257" t="str">
        <f t="shared" si="149"/>
        <v>1996 q2</v>
      </c>
    </row>
    <row r="9258" spans="1:3">
      <c r="A9258" s="62">
        <v>35222</v>
      </c>
      <c r="B9258">
        <v>1.0365</v>
      </c>
      <c r="C9258" t="str">
        <f t="shared" si="149"/>
        <v>1996 q2</v>
      </c>
    </row>
    <row r="9259" spans="1:3">
      <c r="A9259" s="62">
        <v>35223</v>
      </c>
      <c r="B9259">
        <v>1.071</v>
      </c>
      <c r="C9259" t="str">
        <f t="shared" si="149"/>
        <v>1996 q2</v>
      </c>
    </row>
    <row r="9260" spans="1:3">
      <c r="A9260" s="62">
        <v>35226</v>
      </c>
      <c r="B9260">
        <v>1.0794999999999999</v>
      </c>
      <c r="C9260" t="str">
        <f t="shared" si="149"/>
        <v>1996 q2</v>
      </c>
    </row>
    <row r="9261" spans="1:3">
      <c r="A9261" s="62">
        <v>35227</v>
      </c>
      <c r="B9261">
        <v>1.0129999999999999</v>
      </c>
      <c r="C9261" t="str">
        <f t="shared" si="149"/>
        <v>1996 q2</v>
      </c>
    </row>
    <row r="9262" spans="1:3">
      <c r="A9262" s="62">
        <v>35228</v>
      </c>
      <c r="B9262">
        <v>1.0509999999999999</v>
      </c>
      <c r="C9262" t="str">
        <f t="shared" si="149"/>
        <v>1996 q2</v>
      </c>
    </row>
    <row r="9263" spans="1:3">
      <c r="A9263" s="62">
        <v>35229</v>
      </c>
      <c r="B9263">
        <v>1.0415000000000001</v>
      </c>
      <c r="C9263" t="str">
        <f t="shared" si="149"/>
        <v>1996 q2</v>
      </c>
    </row>
    <row r="9264" spans="1:3">
      <c r="A9264" s="62">
        <v>35230</v>
      </c>
      <c r="B9264">
        <v>0.9385</v>
      </c>
      <c r="C9264" t="str">
        <f t="shared" si="149"/>
        <v>1996 q2</v>
      </c>
    </row>
    <row r="9265" spans="1:3">
      <c r="A9265" s="62">
        <v>35233</v>
      </c>
      <c r="B9265">
        <v>0.93899999999999995</v>
      </c>
      <c r="C9265" t="str">
        <f t="shared" si="149"/>
        <v>1996 q2</v>
      </c>
    </row>
    <row r="9266" spans="1:3">
      <c r="A9266" s="62">
        <v>35234</v>
      </c>
      <c r="B9266">
        <v>0.95</v>
      </c>
      <c r="C9266" t="str">
        <f t="shared" si="149"/>
        <v>1996 q2</v>
      </c>
    </row>
    <row r="9267" spans="1:3">
      <c r="A9267" s="62">
        <v>35235</v>
      </c>
      <c r="B9267">
        <v>0.97199999999999998</v>
      </c>
      <c r="C9267" t="str">
        <f t="shared" si="149"/>
        <v>1996 q2</v>
      </c>
    </row>
    <row r="9268" spans="1:3">
      <c r="A9268" s="62">
        <v>35236</v>
      </c>
      <c r="B9268">
        <v>0.94799999999999995</v>
      </c>
      <c r="C9268" t="str">
        <f t="shared" si="149"/>
        <v>1996 q2</v>
      </c>
    </row>
    <row r="9269" spans="1:3">
      <c r="A9269" s="62">
        <v>35237</v>
      </c>
      <c r="B9269">
        <v>0.91200000000000003</v>
      </c>
      <c r="C9269" t="str">
        <f t="shared" si="149"/>
        <v>1996 q2</v>
      </c>
    </row>
    <row r="9270" spans="1:3">
      <c r="A9270" s="62">
        <v>35240</v>
      </c>
      <c r="B9270">
        <v>0.89300000000000002</v>
      </c>
      <c r="C9270" t="str">
        <f t="shared" si="149"/>
        <v>1996 q2</v>
      </c>
    </row>
    <row r="9271" spans="1:3">
      <c r="A9271" s="62">
        <v>35241</v>
      </c>
      <c r="B9271">
        <v>0.84370000000000001</v>
      </c>
      <c r="C9271" t="str">
        <f t="shared" si="149"/>
        <v>1996 q2</v>
      </c>
    </row>
    <row r="9272" spans="1:3">
      <c r="A9272" s="62">
        <v>35242</v>
      </c>
      <c r="B9272">
        <v>0.87709999999999999</v>
      </c>
      <c r="C9272" t="str">
        <f t="shared" si="149"/>
        <v>1996 q2</v>
      </c>
    </row>
    <row r="9273" spans="1:3">
      <c r="A9273" s="62">
        <v>35243</v>
      </c>
      <c r="B9273">
        <v>0.9002</v>
      </c>
      <c r="C9273" t="str">
        <f t="shared" si="149"/>
        <v>1996 q2</v>
      </c>
    </row>
    <row r="9274" spans="1:3">
      <c r="A9274" s="62">
        <v>35244</v>
      </c>
      <c r="B9274">
        <v>0.90690000000000004</v>
      </c>
      <c r="C9274" t="str">
        <f t="shared" si="149"/>
        <v>1996 q2</v>
      </c>
    </row>
    <row r="9275" spans="1:3">
      <c r="A9275" s="62">
        <v>35247</v>
      </c>
      <c r="B9275">
        <v>0.88249999999999995</v>
      </c>
      <c r="C9275" t="str">
        <f t="shared" si="149"/>
        <v>1996 q3</v>
      </c>
    </row>
    <row r="9276" spans="1:3">
      <c r="A9276" s="62">
        <v>35248</v>
      </c>
      <c r="B9276">
        <v>0.88149999999999995</v>
      </c>
      <c r="C9276" t="str">
        <f t="shared" si="149"/>
        <v>1996 q3</v>
      </c>
    </row>
    <row r="9277" spans="1:3">
      <c r="A9277" s="62">
        <v>35249</v>
      </c>
      <c r="B9277">
        <v>0.878</v>
      </c>
      <c r="C9277" t="str">
        <f t="shared" si="149"/>
        <v>1996 q3</v>
      </c>
    </row>
    <row r="9278" spans="1:3">
      <c r="A9278" s="62">
        <v>35254</v>
      </c>
      <c r="B9278">
        <v>0.90549999999999997</v>
      </c>
      <c r="C9278" t="str">
        <f t="shared" si="149"/>
        <v>1996 q3</v>
      </c>
    </row>
    <row r="9279" spans="1:3">
      <c r="A9279" s="62">
        <v>35255</v>
      </c>
      <c r="B9279">
        <v>0.90800000000000003</v>
      </c>
      <c r="C9279" t="str">
        <f t="shared" si="149"/>
        <v>1996 q3</v>
      </c>
    </row>
    <row r="9280" spans="1:3">
      <c r="A9280" s="62">
        <v>35256</v>
      </c>
      <c r="B9280">
        <v>0.89700000000000002</v>
      </c>
      <c r="C9280" t="str">
        <f t="shared" si="149"/>
        <v>1996 q3</v>
      </c>
    </row>
    <row r="9281" spans="1:3">
      <c r="A9281" s="62">
        <v>35257</v>
      </c>
      <c r="B9281">
        <v>0.873</v>
      </c>
      <c r="C9281" t="str">
        <f t="shared" si="149"/>
        <v>1996 q3</v>
      </c>
    </row>
    <row r="9282" spans="1:3">
      <c r="A9282" s="62">
        <v>35258</v>
      </c>
      <c r="B9282">
        <v>0.88400000000000001</v>
      </c>
      <c r="C9282" t="str">
        <f t="shared" si="149"/>
        <v>1996 q3</v>
      </c>
    </row>
    <row r="9283" spans="1:3">
      <c r="A9283" s="62">
        <v>35261</v>
      </c>
      <c r="B9283">
        <v>0.86350000000000005</v>
      </c>
      <c r="C9283" t="str">
        <f t="shared" si="149"/>
        <v>1996 q3</v>
      </c>
    </row>
    <row r="9284" spans="1:3">
      <c r="A9284" s="62">
        <v>35262</v>
      </c>
      <c r="B9284">
        <v>0.876</v>
      </c>
      <c r="C9284" t="str">
        <f t="shared" si="149"/>
        <v>1996 q3</v>
      </c>
    </row>
    <row r="9285" spans="1:3">
      <c r="A9285" s="62">
        <v>35263</v>
      </c>
      <c r="B9285">
        <v>0.88449999999999995</v>
      </c>
      <c r="C9285" t="str">
        <f t="shared" si="149"/>
        <v>1996 q3</v>
      </c>
    </row>
    <row r="9286" spans="1:3">
      <c r="A9286" s="62">
        <v>35264</v>
      </c>
      <c r="B9286">
        <v>0.88049999999999995</v>
      </c>
      <c r="C9286" t="str">
        <f t="shared" si="149"/>
        <v>1996 q3</v>
      </c>
    </row>
    <row r="9287" spans="1:3">
      <c r="A9287" s="62">
        <v>35265</v>
      </c>
      <c r="B9287">
        <v>0.88200000000000001</v>
      </c>
      <c r="C9287" t="str">
        <f t="shared" si="149"/>
        <v>1996 q3</v>
      </c>
    </row>
    <row r="9288" spans="1:3">
      <c r="A9288" s="62">
        <v>35268</v>
      </c>
      <c r="B9288">
        <v>0.89400000000000002</v>
      </c>
      <c r="C9288" t="str">
        <f t="shared" si="149"/>
        <v>1996 q3</v>
      </c>
    </row>
    <row r="9289" spans="1:3">
      <c r="A9289" s="62">
        <v>35269</v>
      </c>
      <c r="B9289">
        <v>0.91949999999999998</v>
      </c>
      <c r="C9289" t="str">
        <f t="shared" si="149"/>
        <v>1996 q3</v>
      </c>
    </row>
    <row r="9290" spans="1:3">
      <c r="A9290" s="62">
        <v>35270</v>
      </c>
      <c r="B9290">
        <v>0.92800000000000005</v>
      </c>
      <c r="C9290" t="str">
        <f t="shared" si="149"/>
        <v>1996 q3</v>
      </c>
    </row>
    <row r="9291" spans="1:3">
      <c r="A9291" s="62">
        <v>35271</v>
      </c>
      <c r="B9291">
        <v>0.94799999999999995</v>
      </c>
      <c r="C9291" t="str">
        <f t="shared" si="149"/>
        <v>1996 q3</v>
      </c>
    </row>
    <row r="9292" spans="1:3">
      <c r="A9292" s="62">
        <v>35272</v>
      </c>
      <c r="B9292">
        <v>0.9365</v>
      </c>
      <c r="C9292" t="str">
        <f t="shared" si="149"/>
        <v>1996 q3</v>
      </c>
    </row>
    <row r="9293" spans="1:3">
      <c r="A9293" s="62">
        <v>35275</v>
      </c>
      <c r="B9293">
        <v>0.92149999999999999</v>
      </c>
      <c r="C9293" t="str">
        <f t="shared" si="149"/>
        <v>1996 q3</v>
      </c>
    </row>
    <row r="9294" spans="1:3">
      <c r="A9294" s="62">
        <v>35276</v>
      </c>
      <c r="B9294">
        <v>0.92200000000000004</v>
      </c>
      <c r="C9294" t="str">
        <f t="shared" si="149"/>
        <v>1996 q3</v>
      </c>
    </row>
    <row r="9295" spans="1:3">
      <c r="A9295" s="62">
        <v>35277</v>
      </c>
      <c r="B9295">
        <v>0.93200000000000005</v>
      </c>
      <c r="C9295" t="str">
        <f t="shared" si="149"/>
        <v>1996 q3</v>
      </c>
    </row>
    <row r="9296" spans="1:3">
      <c r="A9296" s="62">
        <v>35278</v>
      </c>
      <c r="B9296">
        <v>0.92449999999999999</v>
      </c>
      <c r="C9296" t="str">
        <f t="shared" si="149"/>
        <v>1996 q3</v>
      </c>
    </row>
    <row r="9297" spans="1:3">
      <c r="A9297" s="62">
        <v>35279</v>
      </c>
      <c r="B9297">
        <v>0.91449999999999998</v>
      </c>
      <c r="C9297" t="str">
        <f t="shared" si="149"/>
        <v>1996 q3</v>
      </c>
    </row>
    <row r="9298" spans="1:3">
      <c r="A9298" s="62">
        <v>35282</v>
      </c>
      <c r="B9298">
        <v>0.90200000000000002</v>
      </c>
      <c r="C9298" t="str">
        <f t="shared" ref="C9298:C9361" si="150">YEAR(A9298)&amp;" q"&amp;ROUNDUP(MONTH(A9298)/3,0)</f>
        <v>1996 q3</v>
      </c>
    </row>
    <row r="9299" spans="1:3">
      <c r="A9299" s="62">
        <v>35283</v>
      </c>
      <c r="B9299">
        <v>0.91949999999999998</v>
      </c>
      <c r="C9299" t="str">
        <f t="shared" si="150"/>
        <v>1996 q3</v>
      </c>
    </row>
    <row r="9300" spans="1:3">
      <c r="A9300" s="62">
        <v>35284</v>
      </c>
      <c r="B9300">
        <v>0.92500000000000004</v>
      </c>
      <c r="C9300" t="str">
        <f t="shared" si="150"/>
        <v>1996 q3</v>
      </c>
    </row>
    <row r="9301" spans="1:3">
      <c r="A9301" s="62">
        <v>35285</v>
      </c>
      <c r="B9301">
        <v>0.91500000000000004</v>
      </c>
      <c r="C9301" t="str">
        <f t="shared" si="150"/>
        <v>1996 q3</v>
      </c>
    </row>
    <row r="9302" spans="1:3">
      <c r="A9302" s="62">
        <v>35286</v>
      </c>
      <c r="B9302">
        <v>0.92100000000000004</v>
      </c>
      <c r="C9302" t="str">
        <f t="shared" si="150"/>
        <v>1996 q3</v>
      </c>
    </row>
    <row r="9303" spans="1:3">
      <c r="A9303" s="62">
        <v>35289</v>
      </c>
      <c r="B9303">
        <v>0.91200000000000003</v>
      </c>
      <c r="C9303" t="str">
        <f t="shared" si="150"/>
        <v>1996 q3</v>
      </c>
    </row>
    <row r="9304" spans="1:3">
      <c r="A9304" s="62">
        <v>35290</v>
      </c>
      <c r="B9304">
        <v>0.91300000000000003</v>
      </c>
      <c r="C9304" t="str">
        <f t="shared" si="150"/>
        <v>1996 q3</v>
      </c>
    </row>
    <row r="9305" spans="1:3">
      <c r="A9305" s="62">
        <v>35291</v>
      </c>
      <c r="B9305">
        <v>0.93</v>
      </c>
      <c r="C9305" t="str">
        <f t="shared" si="150"/>
        <v>1996 q3</v>
      </c>
    </row>
    <row r="9306" spans="1:3">
      <c r="A9306" s="62">
        <v>35292</v>
      </c>
      <c r="B9306">
        <v>0.92549999999999999</v>
      </c>
      <c r="C9306" t="str">
        <f t="shared" si="150"/>
        <v>1996 q3</v>
      </c>
    </row>
    <row r="9307" spans="1:3">
      <c r="A9307" s="62">
        <v>35293</v>
      </c>
      <c r="B9307">
        <v>0.90449999999999997</v>
      </c>
      <c r="C9307" t="str">
        <f t="shared" si="150"/>
        <v>1996 q3</v>
      </c>
    </row>
    <row r="9308" spans="1:3">
      <c r="A9308" s="62">
        <v>35296</v>
      </c>
      <c r="B9308">
        <v>0.9325</v>
      </c>
      <c r="C9308" t="str">
        <f t="shared" si="150"/>
        <v>1996 q3</v>
      </c>
    </row>
    <row r="9309" spans="1:3">
      <c r="A9309" s="62">
        <v>35297</v>
      </c>
      <c r="B9309">
        <v>0.90900000000000003</v>
      </c>
      <c r="C9309" t="str">
        <f t="shared" si="150"/>
        <v>1996 q3</v>
      </c>
    </row>
    <row r="9310" spans="1:3">
      <c r="A9310" s="62">
        <v>35298</v>
      </c>
      <c r="B9310">
        <v>0.91400000000000003</v>
      </c>
      <c r="C9310" t="str">
        <f t="shared" si="150"/>
        <v>1996 q3</v>
      </c>
    </row>
    <row r="9311" spans="1:3">
      <c r="A9311" s="62">
        <v>35299</v>
      </c>
      <c r="B9311">
        <v>0.90649999999999997</v>
      </c>
      <c r="C9311" t="str">
        <f t="shared" si="150"/>
        <v>1996 q3</v>
      </c>
    </row>
    <row r="9312" spans="1:3">
      <c r="A9312" s="62">
        <v>35300</v>
      </c>
      <c r="B9312">
        <v>0.91700000000000004</v>
      </c>
      <c r="C9312" t="str">
        <f t="shared" si="150"/>
        <v>1996 q3</v>
      </c>
    </row>
    <row r="9313" spans="1:3">
      <c r="A9313" s="62">
        <v>35303</v>
      </c>
      <c r="B9313">
        <v>0.91100000000000003</v>
      </c>
      <c r="C9313" t="str">
        <f t="shared" si="150"/>
        <v>1996 q3</v>
      </c>
    </row>
    <row r="9314" spans="1:3">
      <c r="A9314" s="62">
        <v>35304</v>
      </c>
      <c r="B9314">
        <v>0.90849999999999997</v>
      </c>
      <c r="C9314" t="str">
        <f t="shared" si="150"/>
        <v>1996 q3</v>
      </c>
    </row>
    <row r="9315" spans="1:3">
      <c r="A9315" s="62">
        <v>35305</v>
      </c>
      <c r="B9315">
        <v>0.90710000000000002</v>
      </c>
      <c r="C9315" t="str">
        <f t="shared" si="150"/>
        <v>1996 q3</v>
      </c>
    </row>
    <row r="9316" spans="1:3">
      <c r="A9316" s="62">
        <v>35306</v>
      </c>
      <c r="B9316">
        <v>0.91020000000000001</v>
      </c>
      <c r="C9316" t="str">
        <f t="shared" si="150"/>
        <v>1996 q3</v>
      </c>
    </row>
    <row r="9317" spans="1:3">
      <c r="A9317" s="62">
        <v>35307</v>
      </c>
      <c r="B9317">
        <v>0.95499999999999996</v>
      </c>
      <c r="C9317" t="str">
        <f t="shared" si="150"/>
        <v>1996 q3</v>
      </c>
    </row>
    <row r="9318" spans="1:3">
      <c r="A9318" s="62">
        <v>35311</v>
      </c>
      <c r="B9318">
        <v>0.95850000000000002</v>
      </c>
      <c r="C9318" t="str">
        <f t="shared" si="150"/>
        <v>1996 q3</v>
      </c>
    </row>
    <row r="9319" spans="1:3">
      <c r="A9319" s="62">
        <v>35312</v>
      </c>
      <c r="B9319">
        <v>0.94399999999999995</v>
      </c>
      <c r="C9319" t="str">
        <f t="shared" si="150"/>
        <v>1996 q3</v>
      </c>
    </row>
    <row r="9320" spans="1:3">
      <c r="A9320" s="62">
        <v>35313</v>
      </c>
      <c r="B9320">
        <v>0.89</v>
      </c>
      <c r="C9320" t="str">
        <f t="shared" si="150"/>
        <v>1996 q3</v>
      </c>
    </row>
    <row r="9321" spans="1:3">
      <c r="A9321" s="62">
        <v>35314</v>
      </c>
      <c r="B9321">
        <v>0.89800000000000002</v>
      </c>
      <c r="C9321" t="str">
        <f t="shared" si="150"/>
        <v>1996 q3</v>
      </c>
    </row>
    <row r="9322" spans="1:3">
      <c r="A9322" s="62">
        <v>35317</v>
      </c>
      <c r="B9322">
        <v>0.89849999999999997</v>
      </c>
      <c r="C9322" t="str">
        <f t="shared" si="150"/>
        <v>1996 q3</v>
      </c>
    </row>
    <row r="9323" spans="1:3">
      <c r="A9323" s="62">
        <v>35318</v>
      </c>
      <c r="B9323">
        <v>0.9</v>
      </c>
      <c r="C9323" t="str">
        <f t="shared" si="150"/>
        <v>1996 q3</v>
      </c>
    </row>
    <row r="9324" spans="1:3">
      <c r="A9324" s="62">
        <v>35319</v>
      </c>
      <c r="B9324">
        <v>0.87150000000000005</v>
      </c>
      <c r="C9324" t="str">
        <f t="shared" si="150"/>
        <v>1996 q3</v>
      </c>
    </row>
    <row r="9325" spans="1:3">
      <c r="A9325" s="62">
        <v>35320</v>
      </c>
      <c r="B9325">
        <v>0.85899999999999999</v>
      </c>
      <c r="C9325" t="str">
        <f t="shared" si="150"/>
        <v>1996 q3</v>
      </c>
    </row>
    <row r="9326" spans="1:3">
      <c r="A9326" s="62">
        <v>35321</v>
      </c>
      <c r="B9326">
        <v>0.86850000000000005</v>
      </c>
      <c r="C9326" t="str">
        <f t="shared" si="150"/>
        <v>1996 q3</v>
      </c>
    </row>
    <row r="9327" spans="1:3">
      <c r="A9327" s="62">
        <v>35324</v>
      </c>
      <c r="B9327">
        <v>0.86599999999999999</v>
      </c>
      <c r="C9327" t="str">
        <f t="shared" si="150"/>
        <v>1996 q3</v>
      </c>
    </row>
    <row r="9328" spans="1:3">
      <c r="A9328" s="62">
        <v>35325</v>
      </c>
      <c r="B9328">
        <v>0.879</v>
      </c>
      <c r="C9328" t="str">
        <f t="shared" si="150"/>
        <v>1996 q3</v>
      </c>
    </row>
    <row r="9329" spans="1:3">
      <c r="A9329" s="62">
        <v>35326</v>
      </c>
      <c r="B9329">
        <v>0.89649999999999996</v>
      </c>
      <c r="C9329" t="str">
        <f t="shared" si="150"/>
        <v>1996 q3</v>
      </c>
    </row>
    <row r="9330" spans="1:3">
      <c r="A9330" s="62">
        <v>35327</v>
      </c>
      <c r="B9330">
        <v>0.90200000000000002</v>
      </c>
      <c r="C9330" t="str">
        <f t="shared" si="150"/>
        <v>1996 q3</v>
      </c>
    </row>
    <row r="9331" spans="1:3">
      <c r="A9331" s="62">
        <v>35328</v>
      </c>
      <c r="B9331">
        <v>0.878</v>
      </c>
      <c r="C9331" t="str">
        <f t="shared" si="150"/>
        <v>1996 q3</v>
      </c>
    </row>
    <row r="9332" spans="1:3">
      <c r="A9332" s="62">
        <v>35331</v>
      </c>
      <c r="B9332">
        <v>0.87649999999999995</v>
      </c>
      <c r="C9332" t="str">
        <f t="shared" si="150"/>
        <v>1996 q3</v>
      </c>
    </row>
    <row r="9333" spans="1:3">
      <c r="A9333" s="62">
        <v>35332</v>
      </c>
      <c r="B9333">
        <v>0.89149999999999996</v>
      </c>
      <c r="C9333" t="str">
        <f t="shared" si="150"/>
        <v>1996 q3</v>
      </c>
    </row>
    <row r="9334" spans="1:3">
      <c r="A9334" s="62">
        <v>35333</v>
      </c>
      <c r="B9334">
        <v>0.89700000000000002</v>
      </c>
      <c r="C9334" t="str">
        <f t="shared" si="150"/>
        <v>1996 q3</v>
      </c>
    </row>
    <row r="9335" spans="1:3">
      <c r="A9335" s="62">
        <v>35334</v>
      </c>
      <c r="B9335">
        <v>0.90449999999999997</v>
      </c>
      <c r="C9335" t="str">
        <f t="shared" si="150"/>
        <v>1996 q3</v>
      </c>
    </row>
    <row r="9336" spans="1:3">
      <c r="A9336" s="62">
        <v>35335</v>
      </c>
      <c r="B9336">
        <v>0.91249999999999998</v>
      </c>
      <c r="C9336" t="str">
        <f t="shared" si="150"/>
        <v>1996 q3</v>
      </c>
    </row>
    <row r="9337" spans="1:3">
      <c r="A9337" s="62">
        <v>35338</v>
      </c>
      <c r="B9337">
        <v>0.90100000000000002</v>
      </c>
      <c r="C9337" t="str">
        <f t="shared" si="150"/>
        <v>1996 q3</v>
      </c>
    </row>
    <row r="9338" spans="1:3">
      <c r="A9338" s="62">
        <v>35339</v>
      </c>
      <c r="B9338">
        <v>0.87849999999999995</v>
      </c>
      <c r="C9338" t="str">
        <f t="shared" si="150"/>
        <v>1996 q4</v>
      </c>
    </row>
    <row r="9339" spans="1:3">
      <c r="A9339" s="62">
        <v>35340</v>
      </c>
      <c r="B9339">
        <v>0.89100000000000001</v>
      </c>
      <c r="C9339" t="str">
        <f t="shared" si="150"/>
        <v>1996 q4</v>
      </c>
    </row>
    <row r="9340" spans="1:3">
      <c r="A9340" s="62">
        <v>35341</v>
      </c>
      <c r="B9340">
        <v>0.88849999999999996</v>
      </c>
      <c r="C9340" t="str">
        <f t="shared" si="150"/>
        <v>1996 q4</v>
      </c>
    </row>
    <row r="9341" spans="1:3">
      <c r="A9341" s="62">
        <v>35342</v>
      </c>
      <c r="B9341">
        <v>0.89149999999999996</v>
      </c>
      <c r="C9341" t="str">
        <f t="shared" si="150"/>
        <v>1996 q4</v>
      </c>
    </row>
    <row r="9342" spans="1:3">
      <c r="A9342" s="62">
        <v>35345</v>
      </c>
      <c r="B9342">
        <v>0.88449999999999995</v>
      </c>
      <c r="C9342" t="str">
        <f t="shared" si="150"/>
        <v>1996 q4</v>
      </c>
    </row>
    <row r="9343" spans="1:3">
      <c r="A9343" s="62">
        <v>35346</v>
      </c>
      <c r="B9343">
        <v>0.91649999999999998</v>
      </c>
      <c r="C9343" t="str">
        <f t="shared" si="150"/>
        <v>1996 q4</v>
      </c>
    </row>
    <row r="9344" spans="1:3">
      <c r="A9344" s="62">
        <v>35347</v>
      </c>
      <c r="B9344">
        <v>0.90349999999999997</v>
      </c>
      <c r="C9344" t="str">
        <f t="shared" si="150"/>
        <v>1996 q4</v>
      </c>
    </row>
    <row r="9345" spans="1:3">
      <c r="A9345" s="62">
        <v>35348</v>
      </c>
      <c r="B9345">
        <v>0.92249999999999999</v>
      </c>
      <c r="C9345" t="str">
        <f t="shared" si="150"/>
        <v>1996 q4</v>
      </c>
    </row>
    <row r="9346" spans="1:3">
      <c r="A9346" s="62">
        <v>35349</v>
      </c>
      <c r="B9346">
        <v>0.91500000000000004</v>
      </c>
      <c r="C9346" t="str">
        <f t="shared" si="150"/>
        <v>1996 q4</v>
      </c>
    </row>
    <row r="9347" spans="1:3">
      <c r="A9347" s="62">
        <v>35352</v>
      </c>
      <c r="B9347">
        <v>0.90100000000000002</v>
      </c>
      <c r="C9347" t="str">
        <f t="shared" si="150"/>
        <v>1996 q4</v>
      </c>
    </row>
    <row r="9348" spans="1:3">
      <c r="A9348" s="62">
        <v>35353</v>
      </c>
      <c r="B9348">
        <v>0.90600000000000003</v>
      </c>
      <c r="C9348" t="str">
        <f t="shared" si="150"/>
        <v>1996 q4</v>
      </c>
    </row>
    <row r="9349" spans="1:3">
      <c r="A9349" s="62">
        <v>35354</v>
      </c>
      <c r="B9349">
        <v>0.88649999999999995</v>
      </c>
      <c r="C9349" t="str">
        <f t="shared" si="150"/>
        <v>1996 q4</v>
      </c>
    </row>
    <row r="9350" spans="1:3">
      <c r="A9350" s="62">
        <v>35355</v>
      </c>
      <c r="B9350">
        <v>0.90900000000000003</v>
      </c>
      <c r="C9350" t="str">
        <f t="shared" si="150"/>
        <v>1996 q4</v>
      </c>
    </row>
    <row r="9351" spans="1:3">
      <c r="A9351" s="62">
        <v>35356</v>
      </c>
      <c r="B9351">
        <v>0.91549999999999998</v>
      </c>
      <c r="C9351" t="str">
        <f t="shared" si="150"/>
        <v>1996 q4</v>
      </c>
    </row>
    <row r="9352" spans="1:3">
      <c r="A9352" s="62">
        <v>35359</v>
      </c>
      <c r="B9352">
        <v>0.93</v>
      </c>
      <c r="C9352" t="str">
        <f t="shared" si="150"/>
        <v>1996 q4</v>
      </c>
    </row>
    <row r="9353" spans="1:3">
      <c r="A9353" s="62">
        <v>35360</v>
      </c>
      <c r="B9353">
        <v>0.92449999999999999</v>
      </c>
      <c r="C9353" t="str">
        <f t="shared" si="150"/>
        <v>1996 q4</v>
      </c>
    </row>
    <row r="9354" spans="1:3">
      <c r="A9354" s="62">
        <v>35361</v>
      </c>
      <c r="B9354">
        <v>0.92949999999999999</v>
      </c>
      <c r="C9354" t="str">
        <f t="shared" si="150"/>
        <v>1996 q4</v>
      </c>
    </row>
    <row r="9355" spans="1:3">
      <c r="A9355" s="62">
        <v>35362</v>
      </c>
      <c r="B9355">
        <v>0.94950000000000001</v>
      </c>
      <c r="C9355" t="str">
        <f t="shared" si="150"/>
        <v>1996 q4</v>
      </c>
    </row>
    <row r="9356" spans="1:3">
      <c r="A9356" s="62">
        <v>35363</v>
      </c>
      <c r="B9356">
        <v>0.97150000000000003</v>
      </c>
      <c r="C9356" t="str">
        <f t="shared" si="150"/>
        <v>1996 q4</v>
      </c>
    </row>
    <row r="9357" spans="1:3">
      <c r="A9357" s="62">
        <v>35366</v>
      </c>
      <c r="B9357">
        <v>0.95450000000000002</v>
      </c>
      <c r="C9357" t="str">
        <f t="shared" si="150"/>
        <v>1996 q4</v>
      </c>
    </row>
    <row r="9358" spans="1:3">
      <c r="A9358" s="62">
        <v>35367</v>
      </c>
      <c r="B9358">
        <v>0.90400000000000003</v>
      </c>
      <c r="C9358" t="str">
        <f t="shared" si="150"/>
        <v>1996 q4</v>
      </c>
    </row>
    <row r="9359" spans="1:3">
      <c r="A9359" s="62">
        <v>35368</v>
      </c>
      <c r="B9359">
        <v>0.92800000000000005</v>
      </c>
      <c r="C9359" t="str">
        <f t="shared" si="150"/>
        <v>1996 q4</v>
      </c>
    </row>
    <row r="9360" spans="1:3">
      <c r="A9360" s="62">
        <v>35369</v>
      </c>
      <c r="B9360">
        <v>0.91300000000000003</v>
      </c>
      <c r="C9360" t="str">
        <f t="shared" si="150"/>
        <v>1996 q4</v>
      </c>
    </row>
    <row r="9361" spans="1:3">
      <c r="A9361" s="62">
        <v>35370</v>
      </c>
      <c r="B9361">
        <v>0.92649999999999999</v>
      </c>
      <c r="C9361" t="str">
        <f t="shared" si="150"/>
        <v>1996 q4</v>
      </c>
    </row>
    <row r="9362" spans="1:3">
      <c r="A9362" s="62">
        <v>35373</v>
      </c>
      <c r="B9362">
        <v>0.9345</v>
      </c>
      <c r="C9362" t="str">
        <f t="shared" ref="C9362:C9425" si="151">YEAR(A9362)&amp;" q"&amp;ROUNDUP(MONTH(A9362)/3,0)</f>
        <v>1996 q4</v>
      </c>
    </row>
    <row r="9363" spans="1:3">
      <c r="A9363" s="62">
        <v>35374</v>
      </c>
      <c r="B9363">
        <v>0.92049999999999998</v>
      </c>
      <c r="C9363" t="str">
        <f t="shared" si="151"/>
        <v>1996 q4</v>
      </c>
    </row>
    <row r="9364" spans="1:3">
      <c r="A9364" s="62">
        <v>35375</v>
      </c>
      <c r="B9364">
        <v>0.92649999999999999</v>
      </c>
      <c r="C9364" t="str">
        <f t="shared" si="151"/>
        <v>1996 q4</v>
      </c>
    </row>
    <row r="9365" spans="1:3">
      <c r="A9365" s="62">
        <v>35376</v>
      </c>
      <c r="B9365">
        <v>0.95550000000000002</v>
      </c>
      <c r="C9365" t="str">
        <f t="shared" si="151"/>
        <v>1996 q4</v>
      </c>
    </row>
    <row r="9366" spans="1:3">
      <c r="A9366" s="62">
        <v>35377</v>
      </c>
      <c r="B9366">
        <v>0.94350000000000001</v>
      </c>
      <c r="C9366" t="str">
        <f t="shared" si="151"/>
        <v>1996 q4</v>
      </c>
    </row>
    <row r="9367" spans="1:3">
      <c r="A9367" s="62">
        <v>35380</v>
      </c>
      <c r="B9367">
        <v>0.95599999999999996</v>
      </c>
      <c r="C9367" t="str">
        <f t="shared" si="151"/>
        <v>1996 q4</v>
      </c>
    </row>
    <row r="9368" spans="1:3">
      <c r="A9368" s="62">
        <v>35381</v>
      </c>
      <c r="B9368">
        <v>0.97950000000000004</v>
      </c>
      <c r="C9368" t="str">
        <f t="shared" si="151"/>
        <v>1996 q4</v>
      </c>
    </row>
    <row r="9369" spans="1:3">
      <c r="A9369" s="62">
        <v>35382</v>
      </c>
      <c r="B9369">
        <v>0.97899999999999998</v>
      </c>
      <c r="C9369" t="str">
        <f t="shared" si="151"/>
        <v>1996 q4</v>
      </c>
    </row>
    <row r="9370" spans="1:3">
      <c r="A9370" s="62">
        <v>35383</v>
      </c>
      <c r="B9370">
        <v>0.95850000000000002</v>
      </c>
      <c r="C9370" t="str">
        <f t="shared" si="151"/>
        <v>1996 q4</v>
      </c>
    </row>
    <row r="9371" spans="1:3">
      <c r="A9371" s="62">
        <v>35384</v>
      </c>
      <c r="B9371">
        <v>1.0145</v>
      </c>
      <c r="C9371" t="str">
        <f t="shared" si="151"/>
        <v>1996 q4</v>
      </c>
    </row>
    <row r="9372" spans="1:3">
      <c r="A9372" s="62">
        <v>35387</v>
      </c>
      <c r="B9372">
        <v>1.0565</v>
      </c>
      <c r="C9372" t="str">
        <f t="shared" si="151"/>
        <v>1996 q4</v>
      </c>
    </row>
    <row r="9373" spans="1:3">
      <c r="A9373" s="62">
        <v>35388</v>
      </c>
      <c r="B9373">
        <v>1.0625</v>
      </c>
      <c r="C9373" t="str">
        <f t="shared" si="151"/>
        <v>1996 q4</v>
      </c>
    </row>
    <row r="9374" spans="1:3">
      <c r="A9374" s="62">
        <v>35389</v>
      </c>
      <c r="B9374">
        <v>1.0555000000000001</v>
      </c>
      <c r="C9374" t="str">
        <f t="shared" si="151"/>
        <v>1996 q4</v>
      </c>
    </row>
    <row r="9375" spans="1:3">
      <c r="A9375" s="62">
        <v>35390</v>
      </c>
      <c r="B9375">
        <v>1.0585</v>
      </c>
      <c r="C9375" t="str">
        <f t="shared" si="151"/>
        <v>1996 q4</v>
      </c>
    </row>
    <row r="9376" spans="1:3">
      <c r="A9376" s="62">
        <v>35391</v>
      </c>
      <c r="B9376">
        <v>1.0431999999999999</v>
      </c>
      <c r="C9376" t="str">
        <f t="shared" si="151"/>
        <v>1996 q4</v>
      </c>
    </row>
    <row r="9377" spans="1:3">
      <c r="A9377" s="62">
        <v>35394</v>
      </c>
      <c r="B9377">
        <v>1.0538000000000001</v>
      </c>
      <c r="C9377" t="str">
        <f t="shared" si="151"/>
        <v>1996 q4</v>
      </c>
    </row>
    <row r="9378" spans="1:3">
      <c r="A9378" s="62">
        <v>35395</v>
      </c>
      <c r="B9378">
        <v>1.0757000000000001</v>
      </c>
      <c r="C9378" t="str">
        <f t="shared" si="151"/>
        <v>1996 q4</v>
      </c>
    </row>
    <row r="9379" spans="1:3">
      <c r="A9379" s="62">
        <v>35396</v>
      </c>
      <c r="B9379">
        <v>1.091</v>
      </c>
      <c r="C9379" t="str">
        <f t="shared" si="151"/>
        <v>1996 q4</v>
      </c>
    </row>
    <row r="9380" spans="1:3">
      <c r="A9380" s="62">
        <v>35401</v>
      </c>
      <c r="B9380">
        <v>1.0329999999999999</v>
      </c>
      <c r="C9380" t="str">
        <f t="shared" si="151"/>
        <v>1996 q4</v>
      </c>
    </row>
    <row r="9381" spans="1:3">
      <c r="A9381" s="62">
        <v>35402</v>
      </c>
      <c r="B9381">
        <v>1.0365</v>
      </c>
      <c r="C9381" t="str">
        <f t="shared" si="151"/>
        <v>1996 q4</v>
      </c>
    </row>
    <row r="9382" spans="1:3">
      <c r="A9382" s="62">
        <v>35403</v>
      </c>
      <c r="B9382">
        <v>1.0425</v>
      </c>
      <c r="C9382" t="str">
        <f t="shared" si="151"/>
        <v>1996 q4</v>
      </c>
    </row>
    <row r="9383" spans="1:3">
      <c r="A9383" s="62">
        <v>35404</v>
      </c>
      <c r="B9383">
        <v>1.0345</v>
      </c>
      <c r="C9383" t="str">
        <f t="shared" si="151"/>
        <v>1996 q4</v>
      </c>
    </row>
    <row r="9384" spans="1:3">
      <c r="A9384" s="62">
        <v>35405</v>
      </c>
      <c r="B9384">
        <v>1.0295000000000001</v>
      </c>
      <c r="C9384" t="str">
        <f t="shared" si="151"/>
        <v>1996 q4</v>
      </c>
    </row>
    <row r="9385" spans="1:3">
      <c r="A9385" s="62">
        <v>35408</v>
      </c>
      <c r="B9385">
        <v>1.0149999999999999</v>
      </c>
      <c r="C9385" t="str">
        <f t="shared" si="151"/>
        <v>1996 q4</v>
      </c>
    </row>
    <row r="9386" spans="1:3">
      <c r="A9386" s="62">
        <v>35409</v>
      </c>
      <c r="B9386">
        <v>1.0215000000000001</v>
      </c>
      <c r="C9386" t="str">
        <f t="shared" si="151"/>
        <v>1996 q4</v>
      </c>
    </row>
    <row r="9387" spans="1:3">
      <c r="A9387" s="62">
        <v>35410</v>
      </c>
      <c r="B9387">
        <v>1.026</v>
      </c>
      <c r="C9387" t="str">
        <f t="shared" si="151"/>
        <v>1996 q4</v>
      </c>
    </row>
    <row r="9388" spans="1:3">
      <c r="A9388" s="62">
        <v>35411</v>
      </c>
      <c r="B9388">
        <v>1.0169999999999999</v>
      </c>
      <c r="C9388" t="str">
        <f t="shared" si="151"/>
        <v>1996 q4</v>
      </c>
    </row>
    <row r="9389" spans="1:3">
      <c r="A9389" s="62">
        <v>35412</v>
      </c>
      <c r="B9389">
        <v>1.0155000000000001</v>
      </c>
      <c r="C9389" t="str">
        <f t="shared" si="151"/>
        <v>1996 q4</v>
      </c>
    </row>
    <row r="9390" spans="1:3">
      <c r="A9390" s="62">
        <v>35415</v>
      </c>
      <c r="B9390">
        <v>0.98650000000000004</v>
      </c>
      <c r="C9390" t="str">
        <f t="shared" si="151"/>
        <v>1996 q4</v>
      </c>
    </row>
    <row r="9391" spans="1:3">
      <c r="A9391" s="62">
        <v>35416</v>
      </c>
      <c r="B9391">
        <v>0.97850000000000004</v>
      </c>
      <c r="C9391" t="str">
        <f t="shared" si="151"/>
        <v>1996 q4</v>
      </c>
    </row>
    <row r="9392" spans="1:3">
      <c r="A9392" s="62">
        <v>35417</v>
      </c>
      <c r="B9392">
        <v>1.006</v>
      </c>
      <c r="C9392" t="str">
        <f t="shared" si="151"/>
        <v>1996 q4</v>
      </c>
    </row>
    <row r="9393" spans="1:3">
      <c r="A9393" s="62">
        <v>35418</v>
      </c>
      <c r="B9393">
        <v>1.0229999999999999</v>
      </c>
      <c r="C9393" t="str">
        <f t="shared" si="151"/>
        <v>1996 q4</v>
      </c>
    </row>
    <row r="9394" spans="1:3">
      <c r="A9394" s="62">
        <v>35419</v>
      </c>
      <c r="B9394">
        <v>1.02</v>
      </c>
      <c r="C9394" t="str">
        <f t="shared" si="151"/>
        <v>1996 q4</v>
      </c>
    </row>
    <row r="9395" spans="1:3">
      <c r="A9395" s="62">
        <v>35422</v>
      </c>
      <c r="B9395">
        <v>1.0115000000000001</v>
      </c>
      <c r="C9395" t="str">
        <f t="shared" si="151"/>
        <v>1996 q4</v>
      </c>
    </row>
    <row r="9396" spans="1:3">
      <c r="A9396" s="62">
        <v>35423</v>
      </c>
      <c r="B9396">
        <v>1.016</v>
      </c>
      <c r="C9396" t="str">
        <f t="shared" si="151"/>
        <v>1996 q4</v>
      </c>
    </row>
    <row r="9397" spans="1:3">
      <c r="A9397" s="62">
        <v>35425</v>
      </c>
      <c r="B9397">
        <v>1.0158</v>
      </c>
      <c r="C9397" t="str">
        <f t="shared" si="151"/>
        <v>1996 q4</v>
      </c>
    </row>
    <row r="9398" spans="1:3">
      <c r="A9398" s="62">
        <v>35426</v>
      </c>
      <c r="B9398">
        <v>1.0034000000000001</v>
      </c>
      <c r="C9398" t="str">
        <f t="shared" si="151"/>
        <v>1996 q4</v>
      </c>
    </row>
    <row r="9399" spans="1:3">
      <c r="A9399" s="62">
        <v>35429</v>
      </c>
      <c r="B9399">
        <v>0.99250000000000005</v>
      </c>
      <c r="C9399" t="str">
        <f t="shared" si="151"/>
        <v>1996 q4</v>
      </c>
    </row>
    <row r="9400" spans="1:3">
      <c r="A9400" s="62">
        <v>35430</v>
      </c>
      <c r="B9400">
        <v>1.0077</v>
      </c>
      <c r="C9400" t="str">
        <f t="shared" si="151"/>
        <v>1996 q4</v>
      </c>
    </row>
    <row r="9401" spans="1:3">
      <c r="A9401" s="62">
        <v>35432</v>
      </c>
      <c r="B9401">
        <v>1.0215000000000001</v>
      </c>
      <c r="C9401" t="str">
        <f t="shared" si="151"/>
        <v>1997 q1</v>
      </c>
    </row>
    <row r="9402" spans="1:3">
      <c r="A9402" s="62">
        <v>35433</v>
      </c>
      <c r="B9402">
        <v>1.0229999999999999</v>
      </c>
      <c r="C9402" t="str">
        <f t="shared" si="151"/>
        <v>1997 q1</v>
      </c>
    </row>
    <row r="9403" spans="1:3">
      <c r="A9403" s="62">
        <v>35436</v>
      </c>
      <c r="B9403">
        <v>1.0155000000000001</v>
      </c>
      <c r="C9403" t="str">
        <f t="shared" si="151"/>
        <v>1997 q1</v>
      </c>
    </row>
    <row r="9404" spans="1:3">
      <c r="A9404" s="62">
        <v>35437</v>
      </c>
      <c r="B9404">
        <v>1.0515000000000001</v>
      </c>
      <c r="C9404" t="str">
        <f t="shared" si="151"/>
        <v>1997 q1</v>
      </c>
    </row>
    <row r="9405" spans="1:3">
      <c r="A9405" s="62">
        <v>35438</v>
      </c>
      <c r="B9405">
        <v>1.048</v>
      </c>
      <c r="C9405" t="str">
        <f t="shared" si="151"/>
        <v>1997 q1</v>
      </c>
    </row>
    <row r="9406" spans="1:3">
      <c r="A9406" s="62">
        <v>35439</v>
      </c>
      <c r="B9406">
        <v>1.0654999999999999</v>
      </c>
      <c r="C9406" t="str">
        <f t="shared" si="151"/>
        <v>1997 q1</v>
      </c>
    </row>
    <row r="9407" spans="1:3">
      <c r="A9407" s="62">
        <v>35440</v>
      </c>
      <c r="B9407">
        <v>1.0609999999999999</v>
      </c>
      <c r="C9407" t="str">
        <f t="shared" si="151"/>
        <v>1997 q1</v>
      </c>
    </row>
    <row r="9408" spans="1:3">
      <c r="A9408" s="62">
        <v>35443</v>
      </c>
      <c r="B9408">
        <v>1.0634999999999999</v>
      </c>
      <c r="C9408" t="str">
        <f t="shared" si="151"/>
        <v>1997 q1</v>
      </c>
    </row>
    <row r="9409" spans="1:3">
      <c r="A9409" s="62">
        <v>35444</v>
      </c>
      <c r="B9409">
        <v>1.0545</v>
      </c>
      <c r="C9409" t="str">
        <f t="shared" si="151"/>
        <v>1997 q1</v>
      </c>
    </row>
    <row r="9410" spans="1:3">
      <c r="A9410" s="62">
        <v>35445</v>
      </c>
      <c r="B9410">
        <v>1.069</v>
      </c>
      <c r="C9410" t="str">
        <f t="shared" si="151"/>
        <v>1997 q1</v>
      </c>
    </row>
    <row r="9411" spans="1:3">
      <c r="A9411" s="62">
        <v>35446</v>
      </c>
      <c r="B9411">
        <v>1.0580000000000001</v>
      </c>
      <c r="C9411" t="str">
        <f t="shared" si="151"/>
        <v>1997 q1</v>
      </c>
    </row>
    <row r="9412" spans="1:3">
      <c r="A9412" s="62">
        <v>35447</v>
      </c>
      <c r="B9412">
        <v>1.0585</v>
      </c>
      <c r="C9412" t="str">
        <f t="shared" si="151"/>
        <v>1997 q1</v>
      </c>
    </row>
    <row r="9413" spans="1:3">
      <c r="A9413" s="62">
        <v>35450</v>
      </c>
      <c r="B9413">
        <v>1.0754999999999999</v>
      </c>
      <c r="C9413" t="str">
        <f t="shared" si="151"/>
        <v>1997 q1</v>
      </c>
    </row>
    <row r="9414" spans="1:3">
      <c r="A9414" s="62">
        <v>35451</v>
      </c>
      <c r="B9414">
        <v>1.0625</v>
      </c>
      <c r="C9414" t="str">
        <f t="shared" si="151"/>
        <v>1997 q1</v>
      </c>
    </row>
    <row r="9415" spans="1:3">
      <c r="A9415" s="62">
        <v>35452</v>
      </c>
      <c r="B9415">
        <v>1.073</v>
      </c>
      <c r="C9415" t="str">
        <f t="shared" si="151"/>
        <v>1997 q1</v>
      </c>
    </row>
    <row r="9416" spans="1:3">
      <c r="A9416" s="62">
        <v>35453</v>
      </c>
      <c r="B9416">
        <v>1.071</v>
      </c>
      <c r="C9416" t="str">
        <f t="shared" si="151"/>
        <v>1997 q1</v>
      </c>
    </row>
    <row r="9417" spans="1:3">
      <c r="A9417" s="62">
        <v>35454</v>
      </c>
      <c r="B9417">
        <v>1.0665</v>
      </c>
      <c r="C9417" t="str">
        <f t="shared" si="151"/>
        <v>1997 q1</v>
      </c>
    </row>
    <row r="9418" spans="1:3">
      <c r="A9418" s="62">
        <v>35457</v>
      </c>
      <c r="B9418">
        <v>1.0589999999999999</v>
      </c>
      <c r="C9418" t="str">
        <f t="shared" si="151"/>
        <v>1997 q1</v>
      </c>
    </row>
    <row r="9419" spans="1:3">
      <c r="A9419" s="62">
        <v>35458</v>
      </c>
      <c r="B9419">
        <v>1.0615000000000001</v>
      </c>
      <c r="C9419" t="str">
        <f t="shared" si="151"/>
        <v>1997 q1</v>
      </c>
    </row>
    <row r="9420" spans="1:3">
      <c r="A9420" s="62">
        <v>35459</v>
      </c>
      <c r="B9420">
        <v>1.0249999999999999</v>
      </c>
      <c r="C9420" t="str">
        <f t="shared" si="151"/>
        <v>1997 q1</v>
      </c>
    </row>
    <row r="9421" spans="1:3">
      <c r="A9421" s="62">
        <v>35460</v>
      </c>
      <c r="B9421">
        <v>1.012</v>
      </c>
      <c r="C9421" t="str">
        <f t="shared" si="151"/>
        <v>1997 q1</v>
      </c>
    </row>
    <row r="9422" spans="1:3">
      <c r="A9422" s="62">
        <v>35461</v>
      </c>
      <c r="B9422">
        <v>1.0375000000000001</v>
      </c>
      <c r="C9422" t="str">
        <f t="shared" si="151"/>
        <v>1997 q1</v>
      </c>
    </row>
    <row r="9423" spans="1:3">
      <c r="A9423" s="62">
        <v>35464</v>
      </c>
      <c r="B9423">
        <v>1.0245</v>
      </c>
      <c r="C9423" t="str">
        <f t="shared" si="151"/>
        <v>1997 q1</v>
      </c>
    </row>
    <row r="9424" spans="1:3">
      <c r="A9424" s="62">
        <v>35465</v>
      </c>
      <c r="B9424">
        <v>1.04</v>
      </c>
      <c r="C9424" t="str">
        <f t="shared" si="151"/>
        <v>1997 q1</v>
      </c>
    </row>
    <row r="9425" spans="1:3">
      <c r="A9425" s="62">
        <v>35466</v>
      </c>
      <c r="B9425">
        <v>1.0874999999999999</v>
      </c>
      <c r="C9425" t="str">
        <f t="shared" si="151"/>
        <v>1997 q1</v>
      </c>
    </row>
    <row r="9426" spans="1:3">
      <c r="A9426" s="62">
        <v>35467</v>
      </c>
      <c r="B9426">
        <v>1.0860000000000001</v>
      </c>
      <c r="C9426" t="str">
        <f t="shared" ref="C9426:C9489" si="152">YEAR(A9426)&amp;" q"&amp;ROUNDUP(MONTH(A9426)/3,0)</f>
        <v>1997 q1</v>
      </c>
    </row>
    <row r="9427" spans="1:3">
      <c r="A9427" s="62">
        <v>35468</v>
      </c>
      <c r="B9427">
        <v>1.0714999999999999</v>
      </c>
      <c r="C9427" t="str">
        <f t="shared" si="152"/>
        <v>1997 q1</v>
      </c>
    </row>
    <row r="9428" spans="1:3">
      <c r="A9428" s="62">
        <v>35471</v>
      </c>
      <c r="B9428">
        <v>1.0714999999999999</v>
      </c>
      <c r="C9428" t="str">
        <f t="shared" si="152"/>
        <v>1997 q1</v>
      </c>
    </row>
    <row r="9429" spans="1:3">
      <c r="A9429" s="62">
        <v>35472</v>
      </c>
      <c r="B9429">
        <v>1.06</v>
      </c>
      <c r="C9429" t="str">
        <f t="shared" si="152"/>
        <v>1997 q1</v>
      </c>
    </row>
    <row r="9430" spans="1:3">
      <c r="A9430" s="62">
        <v>35473</v>
      </c>
      <c r="B9430">
        <v>1.0794999999999999</v>
      </c>
      <c r="C9430" t="str">
        <f t="shared" si="152"/>
        <v>1997 q1</v>
      </c>
    </row>
    <row r="9431" spans="1:3">
      <c r="A9431" s="62">
        <v>35474</v>
      </c>
      <c r="B9431">
        <v>1.0805</v>
      </c>
      <c r="C9431" t="str">
        <f t="shared" si="152"/>
        <v>1997 q1</v>
      </c>
    </row>
    <row r="9432" spans="1:3">
      <c r="A9432" s="62">
        <v>35475</v>
      </c>
      <c r="B9432">
        <v>1.077</v>
      </c>
      <c r="C9432" t="str">
        <f t="shared" si="152"/>
        <v>1997 q1</v>
      </c>
    </row>
    <row r="9433" spans="1:3">
      <c r="A9433" s="62">
        <v>35479</v>
      </c>
      <c r="B9433">
        <v>1.0960000000000001</v>
      </c>
      <c r="C9433" t="str">
        <f t="shared" si="152"/>
        <v>1997 q1</v>
      </c>
    </row>
    <row r="9434" spans="1:3">
      <c r="A9434" s="62">
        <v>35480</v>
      </c>
      <c r="B9434">
        <v>1.117</v>
      </c>
      <c r="C9434" t="str">
        <f t="shared" si="152"/>
        <v>1997 q1</v>
      </c>
    </row>
    <row r="9435" spans="1:3">
      <c r="A9435" s="62">
        <v>35481</v>
      </c>
      <c r="B9435">
        <v>1.1140000000000001</v>
      </c>
      <c r="C9435" t="str">
        <f t="shared" si="152"/>
        <v>1997 q1</v>
      </c>
    </row>
    <row r="9436" spans="1:3">
      <c r="A9436" s="62">
        <v>35482</v>
      </c>
      <c r="B9436">
        <v>1.133</v>
      </c>
      <c r="C9436" t="str">
        <f t="shared" si="152"/>
        <v>1997 q1</v>
      </c>
    </row>
    <row r="9437" spans="1:3">
      <c r="A9437" s="62">
        <v>35485</v>
      </c>
      <c r="B9437">
        <v>1.137</v>
      </c>
      <c r="C9437" t="str">
        <f t="shared" si="152"/>
        <v>1997 q1</v>
      </c>
    </row>
    <row r="9438" spans="1:3">
      <c r="A9438" s="62">
        <v>35486</v>
      </c>
      <c r="B9438">
        <v>1.1101000000000001</v>
      </c>
      <c r="C9438" t="str">
        <f t="shared" si="152"/>
        <v>1997 q1</v>
      </c>
    </row>
    <row r="9439" spans="1:3">
      <c r="A9439" s="62">
        <v>35487</v>
      </c>
      <c r="B9439">
        <v>1.1396999999999999</v>
      </c>
      <c r="C9439" t="str">
        <f t="shared" si="152"/>
        <v>1997 q1</v>
      </c>
    </row>
    <row r="9440" spans="1:3">
      <c r="A9440" s="62">
        <v>35488</v>
      </c>
      <c r="B9440">
        <v>1.1238999999999999</v>
      </c>
      <c r="C9440" t="str">
        <f t="shared" si="152"/>
        <v>1997 q1</v>
      </c>
    </row>
    <row r="9441" spans="1:3">
      <c r="A9441" s="62">
        <v>35489</v>
      </c>
      <c r="B9441">
        <v>1.1147</v>
      </c>
      <c r="C9441" t="str">
        <f t="shared" si="152"/>
        <v>1997 q1</v>
      </c>
    </row>
    <row r="9442" spans="1:3">
      <c r="A9442" s="62">
        <v>35492</v>
      </c>
      <c r="B9442">
        <v>1.1274999999999999</v>
      </c>
      <c r="C9442" t="str">
        <f t="shared" si="152"/>
        <v>1997 q1</v>
      </c>
    </row>
    <row r="9443" spans="1:3">
      <c r="A9443" s="62">
        <v>35493</v>
      </c>
      <c r="B9443">
        <v>1.1299999999999999</v>
      </c>
      <c r="C9443" t="str">
        <f t="shared" si="152"/>
        <v>1997 q1</v>
      </c>
    </row>
    <row r="9444" spans="1:3">
      <c r="A9444" s="62">
        <v>35494</v>
      </c>
      <c r="B9444">
        <v>1.1040000000000001</v>
      </c>
      <c r="C9444" t="str">
        <f t="shared" si="152"/>
        <v>1997 q1</v>
      </c>
    </row>
    <row r="9445" spans="1:3">
      <c r="A9445" s="62">
        <v>35495</v>
      </c>
      <c r="B9445">
        <v>1.1220000000000001</v>
      </c>
      <c r="C9445" t="str">
        <f t="shared" si="152"/>
        <v>1997 q1</v>
      </c>
    </row>
    <row r="9446" spans="1:3">
      <c r="A9446" s="62">
        <v>35496</v>
      </c>
      <c r="B9446">
        <v>1.1140000000000001</v>
      </c>
      <c r="C9446" t="str">
        <f t="shared" si="152"/>
        <v>1997 q1</v>
      </c>
    </row>
    <row r="9447" spans="1:3">
      <c r="A9447" s="62">
        <v>35499</v>
      </c>
      <c r="B9447">
        <v>1.0994999999999999</v>
      </c>
      <c r="C9447" t="str">
        <f t="shared" si="152"/>
        <v>1997 q1</v>
      </c>
    </row>
    <row r="9448" spans="1:3">
      <c r="A9448" s="62">
        <v>35500</v>
      </c>
      <c r="B9448">
        <v>1.1065</v>
      </c>
      <c r="C9448" t="str">
        <f t="shared" si="152"/>
        <v>1997 q1</v>
      </c>
    </row>
    <row r="9449" spans="1:3">
      <c r="A9449" s="62">
        <v>35501</v>
      </c>
      <c r="B9449">
        <v>1.0885</v>
      </c>
      <c r="C9449" t="str">
        <f t="shared" si="152"/>
        <v>1997 q1</v>
      </c>
    </row>
    <row r="9450" spans="1:3">
      <c r="A9450" s="62">
        <v>35502</v>
      </c>
      <c r="B9450">
        <v>1.0934999999999999</v>
      </c>
      <c r="C9450" t="str">
        <f t="shared" si="152"/>
        <v>1997 q1</v>
      </c>
    </row>
    <row r="9451" spans="1:3">
      <c r="A9451" s="62">
        <v>35503</v>
      </c>
      <c r="B9451">
        <v>1.1120000000000001</v>
      </c>
      <c r="C9451" t="str">
        <f t="shared" si="152"/>
        <v>1997 q1</v>
      </c>
    </row>
    <row r="9452" spans="1:3">
      <c r="A9452" s="62">
        <v>35506</v>
      </c>
      <c r="B9452">
        <v>1.0965</v>
      </c>
      <c r="C9452" t="str">
        <f t="shared" si="152"/>
        <v>1997 q1</v>
      </c>
    </row>
    <row r="9453" spans="1:3">
      <c r="A9453" s="62">
        <v>35507</v>
      </c>
      <c r="B9453">
        <v>1.0874999999999999</v>
      </c>
      <c r="C9453" t="str">
        <f t="shared" si="152"/>
        <v>1997 q1</v>
      </c>
    </row>
    <row r="9454" spans="1:3">
      <c r="A9454" s="62">
        <v>35508</v>
      </c>
      <c r="B9454">
        <v>1.0880000000000001</v>
      </c>
      <c r="C9454" t="str">
        <f t="shared" si="152"/>
        <v>1997 q1</v>
      </c>
    </row>
    <row r="9455" spans="1:3">
      <c r="A9455" s="62">
        <v>35509</v>
      </c>
      <c r="B9455">
        <v>1.105</v>
      </c>
      <c r="C9455" t="str">
        <f t="shared" si="152"/>
        <v>1997 q1</v>
      </c>
    </row>
    <row r="9456" spans="1:3">
      <c r="A9456" s="62">
        <v>35510</v>
      </c>
      <c r="B9456">
        <v>1.121</v>
      </c>
      <c r="C9456" t="str">
        <f t="shared" si="152"/>
        <v>1997 q1</v>
      </c>
    </row>
    <row r="9457" spans="1:3">
      <c r="A9457" s="62">
        <v>35513</v>
      </c>
      <c r="B9457">
        <v>1.1094999999999999</v>
      </c>
      <c r="C9457" t="str">
        <f t="shared" si="152"/>
        <v>1997 q1</v>
      </c>
    </row>
    <row r="9458" spans="1:3">
      <c r="A9458" s="62">
        <v>35514</v>
      </c>
      <c r="B9458">
        <v>1.129</v>
      </c>
      <c r="C9458" t="str">
        <f t="shared" si="152"/>
        <v>1997 q1</v>
      </c>
    </row>
    <row r="9459" spans="1:3">
      <c r="A9459" s="62">
        <v>35515</v>
      </c>
      <c r="B9459">
        <v>1.1065</v>
      </c>
      <c r="C9459" t="str">
        <f t="shared" si="152"/>
        <v>1997 q1</v>
      </c>
    </row>
    <row r="9460" spans="1:3">
      <c r="A9460" s="62">
        <v>35516</v>
      </c>
      <c r="B9460">
        <v>1.1194999999999999</v>
      </c>
      <c r="C9460" t="str">
        <f t="shared" si="152"/>
        <v>1997 q1</v>
      </c>
    </row>
    <row r="9461" spans="1:3">
      <c r="A9461" s="62">
        <v>35520</v>
      </c>
      <c r="B9461">
        <v>1.1299999999999999</v>
      </c>
      <c r="C9461" t="str">
        <f t="shared" si="152"/>
        <v>1997 q1</v>
      </c>
    </row>
    <row r="9462" spans="1:3">
      <c r="A9462" s="62">
        <v>35521</v>
      </c>
      <c r="B9462">
        <v>1.1165</v>
      </c>
      <c r="C9462" t="str">
        <f t="shared" si="152"/>
        <v>1997 q2</v>
      </c>
    </row>
    <row r="9463" spans="1:3">
      <c r="A9463" s="62">
        <v>35522</v>
      </c>
      <c r="B9463">
        <v>1.1154999999999999</v>
      </c>
      <c r="C9463" t="str">
        <f t="shared" si="152"/>
        <v>1997 q2</v>
      </c>
    </row>
    <row r="9464" spans="1:3">
      <c r="A9464" s="62">
        <v>35523</v>
      </c>
      <c r="B9464">
        <v>1.0680000000000001</v>
      </c>
      <c r="C9464" t="str">
        <f t="shared" si="152"/>
        <v>1997 q2</v>
      </c>
    </row>
    <row r="9465" spans="1:3">
      <c r="A9465" s="62">
        <v>35524</v>
      </c>
      <c r="B9465">
        <v>1.083</v>
      </c>
      <c r="C9465" t="str">
        <f t="shared" si="152"/>
        <v>1997 q2</v>
      </c>
    </row>
    <row r="9466" spans="1:3">
      <c r="A9466" s="62">
        <v>35527</v>
      </c>
      <c r="B9466">
        <v>1.0475000000000001</v>
      </c>
      <c r="C9466" t="str">
        <f t="shared" si="152"/>
        <v>1997 q2</v>
      </c>
    </row>
    <row r="9467" spans="1:3">
      <c r="A9467" s="62">
        <v>35528</v>
      </c>
      <c r="B9467">
        <v>1.069</v>
      </c>
      <c r="C9467" t="str">
        <f t="shared" si="152"/>
        <v>1997 q2</v>
      </c>
    </row>
    <row r="9468" spans="1:3">
      <c r="A9468" s="62">
        <v>35529</v>
      </c>
      <c r="B9468">
        <v>1.0765</v>
      </c>
      <c r="C9468" t="str">
        <f t="shared" si="152"/>
        <v>1997 q2</v>
      </c>
    </row>
    <row r="9469" spans="1:3">
      <c r="A9469" s="62">
        <v>35530</v>
      </c>
      <c r="B9469">
        <v>1.0774999999999999</v>
      </c>
      <c r="C9469" t="str">
        <f t="shared" si="152"/>
        <v>1997 q2</v>
      </c>
    </row>
    <row r="9470" spans="1:3">
      <c r="A9470" s="62">
        <v>35531</v>
      </c>
      <c r="B9470">
        <v>1.0645</v>
      </c>
      <c r="C9470" t="str">
        <f t="shared" si="152"/>
        <v>1997 q2</v>
      </c>
    </row>
    <row r="9471" spans="1:3">
      <c r="A9471" s="62">
        <v>35534</v>
      </c>
      <c r="B9471">
        <v>1.0545</v>
      </c>
      <c r="C9471" t="str">
        <f t="shared" si="152"/>
        <v>1997 q2</v>
      </c>
    </row>
    <row r="9472" spans="1:3">
      <c r="A9472" s="62">
        <v>35535</v>
      </c>
      <c r="B9472">
        <v>1.0625</v>
      </c>
      <c r="C9472" t="str">
        <f t="shared" si="152"/>
        <v>1997 q2</v>
      </c>
    </row>
    <row r="9473" spans="1:3">
      <c r="A9473" s="62">
        <v>35536</v>
      </c>
      <c r="B9473">
        <v>1.0515000000000001</v>
      </c>
      <c r="C9473" t="str">
        <f t="shared" si="152"/>
        <v>1997 q2</v>
      </c>
    </row>
    <row r="9474" spans="1:3">
      <c r="A9474" s="62">
        <v>35537</v>
      </c>
      <c r="B9474">
        <v>1.0555000000000001</v>
      </c>
      <c r="C9474" t="str">
        <f t="shared" si="152"/>
        <v>1997 q2</v>
      </c>
    </row>
    <row r="9475" spans="1:3">
      <c r="A9475" s="62">
        <v>35538</v>
      </c>
      <c r="B9475">
        <v>1.0680000000000001</v>
      </c>
      <c r="C9475" t="str">
        <f t="shared" si="152"/>
        <v>1997 q2</v>
      </c>
    </row>
    <row r="9476" spans="1:3">
      <c r="A9476" s="62">
        <v>35541</v>
      </c>
      <c r="B9476">
        <v>1.0720000000000001</v>
      </c>
      <c r="C9476" t="str">
        <f t="shared" si="152"/>
        <v>1997 q2</v>
      </c>
    </row>
    <row r="9477" spans="1:3">
      <c r="A9477" s="62">
        <v>35542</v>
      </c>
      <c r="B9477">
        <v>1.099</v>
      </c>
      <c r="C9477" t="str">
        <f t="shared" si="152"/>
        <v>1997 q2</v>
      </c>
    </row>
    <row r="9478" spans="1:3">
      <c r="A9478" s="62">
        <v>35543</v>
      </c>
      <c r="B9478">
        <v>1.1279999999999999</v>
      </c>
      <c r="C9478" t="str">
        <f t="shared" si="152"/>
        <v>1997 q2</v>
      </c>
    </row>
    <row r="9479" spans="1:3">
      <c r="A9479" s="62">
        <v>35544</v>
      </c>
      <c r="B9479">
        <v>1.1234999999999999</v>
      </c>
      <c r="C9479" t="str">
        <f t="shared" si="152"/>
        <v>1997 q2</v>
      </c>
    </row>
    <row r="9480" spans="1:3">
      <c r="A9480" s="62">
        <v>35545</v>
      </c>
      <c r="B9480">
        <v>1.1234999999999999</v>
      </c>
      <c r="C9480" t="str">
        <f t="shared" si="152"/>
        <v>1997 q2</v>
      </c>
    </row>
    <row r="9481" spans="1:3">
      <c r="A9481" s="62">
        <v>35548</v>
      </c>
      <c r="B9481">
        <v>1.1104000000000001</v>
      </c>
      <c r="C9481" t="str">
        <f t="shared" si="152"/>
        <v>1997 q2</v>
      </c>
    </row>
    <row r="9482" spans="1:3">
      <c r="A9482" s="62">
        <v>35549</v>
      </c>
      <c r="B9482">
        <v>1.0994999999999999</v>
      </c>
      <c r="C9482" t="str">
        <f t="shared" si="152"/>
        <v>1997 q2</v>
      </c>
    </row>
    <row r="9483" spans="1:3">
      <c r="A9483" s="62">
        <v>35550</v>
      </c>
      <c r="B9483">
        <v>1.1157999999999999</v>
      </c>
      <c r="C9483" t="str">
        <f t="shared" si="152"/>
        <v>1997 q2</v>
      </c>
    </row>
    <row r="9484" spans="1:3">
      <c r="A9484" s="62">
        <v>35551</v>
      </c>
      <c r="B9484">
        <v>1.0985</v>
      </c>
      <c r="C9484" t="str">
        <f t="shared" si="152"/>
        <v>1997 q2</v>
      </c>
    </row>
    <row r="9485" spans="1:3">
      <c r="A9485" s="62">
        <v>35552</v>
      </c>
      <c r="B9485">
        <v>1.1025</v>
      </c>
      <c r="C9485" t="str">
        <f t="shared" si="152"/>
        <v>1997 q2</v>
      </c>
    </row>
    <row r="9486" spans="1:3">
      <c r="A9486" s="62">
        <v>35555</v>
      </c>
      <c r="B9486">
        <v>1.1045</v>
      </c>
      <c r="C9486" t="str">
        <f t="shared" si="152"/>
        <v>1997 q2</v>
      </c>
    </row>
    <row r="9487" spans="1:3">
      <c r="A9487" s="62">
        <v>35556</v>
      </c>
      <c r="B9487">
        <v>1.0905</v>
      </c>
      <c r="C9487" t="str">
        <f t="shared" si="152"/>
        <v>1997 q2</v>
      </c>
    </row>
    <row r="9488" spans="1:3">
      <c r="A9488" s="62">
        <v>35557</v>
      </c>
      <c r="B9488">
        <v>1.1045</v>
      </c>
      <c r="C9488" t="str">
        <f t="shared" si="152"/>
        <v>1997 q2</v>
      </c>
    </row>
    <row r="9489" spans="1:3">
      <c r="A9489" s="62">
        <v>35558</v>
      </c>
      <c r="B9489">
        <v>1.1145</v>
      </c>
      <c r="C9489" t="str">
        <f t="shared" si="152"/>
        <v>1997 q2</v>
      </c>
    </row>
    <row r="9490" spans="1:3">
      <c r="A9490" s="62">
        <v>35559</v>
      </c>
      <c r="B9490">
        <v>1.1160000000000001</v>
      </c>
      <c r="C9490" t="str">
        <f t="shared" ref="C9490:C9553" si="153">YEAR(A9490)&amp;" q"&amp;ROUNDUP(MONTH(A9490)/3,0)</f>
        <v>1997 q2</v>
      </c>
    </row>
    <row r="9491" spans="1:3">
      <c r="A9491" s="62">
        <v>35562</v>
      </c>
      <c r="B9491">
        <v>1.131</v>
      </c>
      <c r="C9491" t="str">
        <f t="shared" si="153"/>
        <v>1997 q2</v>
      </c>
    </row>
    <row r="9492" spans="1:3">
      <c r="A9492" s="62">
        <v>35563</v>
      </c>
      <c r="B9492">
        <v>1.131</v>
      </c>
      <c r="C9492" t="str">
        <f t="shared" si="153"/>
        <v>1997 q2</v>
      </c>
    </row>
    <row r="9493" spans="1:3">
      <c r="A9493" s="62">
        <v>35564</v>
      </c>
      <c r="B9493">
        <v>1.1379999999999999</v>
      </c>
      <c r="C9493" t="str">
        <f t="shared" si="153"/>
        <v>1997 q2</v>
      </c>
    </row>
    <row r="9494" spans="1:3">
      <c r="A9494" s="62">
        <v>35565</v>
      </c>
      <c r="B9494">
        <v>1.1639999999999999</v>
      </c>
      <c r="C9494" t="str">
        <f t="shared" si="153"/>
        <v>1997 q2</v>
      </c>
    </row>
    <row r="9495" spans="1:3">
      <c r="A9495" s="62">
        <v>35566</v>
      </c>
      <c r="B9495">
        <v>1.1619999999999999</v>
      </c>
      <c r="C9495" t="str">
        <f t="shared" si="153"/>
        <v>1997 q2</v>
      </c>
    </row>
    <row r="9496" spans="1:3">
      <c r="A9496" s="62">
        <v>35569</v>
      </c>
      <c r="B9496">
        <v>1.1585000000000001</v>
      </c>
      <c r="C9496" t="str">
        <f t="shared" si="153"/>
        <v>1997 q2</v>
      </c>
    </row>
    <row r="9497" spans="1:3">
      <c r="A9497" s="62">
        <v>35570</v>
      </c>
      <c r="B9497">
        <v>1.1785000000000001</v>
      </c>
      <c r="C9497" t="str">
        <f t="shared" si="153"/>
        <v>1997 q2</v>
      </c>
    </row>
    <row r="9498" spans="1:3">
      <c r="A9498" s="62">
        <v>35571</v>
      </c>
      <c r="B9498">
        <v>1.1819999999999999</v>
      </c>
      <c r="C9498" t="str">
        <f t="shared" si="153"/>
        <v>1997 q2</v>
      </c>
    </row>
    <row r="9499" spans="1:3">
      <c r="A9499" s="62">
        <v>35572</v>
      </c>
      <c r="B9499">
        <v>1.1895</v>
      </c>
      <c r="C9499" t="str">
        <f t="shared" si="153"/>
        <v>1997 q2</v>
      </c>
    </row>
    <row r="9500" spans="1:3">
      <c r="A9500" s="62">
        <v>35573</v>
      </c>
      <c r="B9500">
        <v>1.1875</v>
      </c>
      <c r="C9500" t="str">
        <f t="shared" si="153"/>
        <v>1997 q2</v>
      </c>
    </row>
    <row r="9501" spans="1:3">
      <c r="A9501" s="62">
        <v>35577</v>
      </c>
      <c r="B9501">
        <v>1.1839999999999999</v>
      </c>
      <c r="C9501" t="str">
        <f t="shared" si="153"/>
        <v>1997 q2</v>
      </c>
    </row>
    <row r="9502" spans="1:3">
      <c r="A9502" s="62">
        <v>35578</v>
      </c>
      <c r="B9502">
        <v>1.1944999999999999</v>
      </c>
      <c r="C9502" t="str">
        <f t="shared" si="153"/>
        <v>1997 q2</v>
      </c>
    </row>
    <row r="9503" spans="1:3">
      <c r="A9503" s="62">
        <v>35579</v>
      </c>
      <c r="B9503">
        <v>1.1924999999999999</v>
      </c>
      <c r="C9503" t="str">
        <f t="shared" si="153"/>
        <v>1997 q2</v>
      </c>
    </row>
    <row r="9504" spans="1:3">
      <c r="A9504" s="62">
        <v>35580</v>
      </c>
      <c r="B9504">
        <v>1.1910000000000001</v>
      </c>
      <c r="C9504" t="str">
        <f t="shared" si="153"/>
        <v>1997 q2</v>
      </c>
    </row>
    <row r="9505" spans="1:3">
      <c r="A9505" s="62">
        <v>35583</v>
      </c>
      <c r="B9505">
        <v>1.1715</v>
      </c>
      <c r="C9505" t="str">
        <f t="shared" si="153"/>
        <v>1997 q2</v>
      </c>
    </row>
    <row r="9506" spans="1:3">
      <c r="A9506" s="62">
        <v>35584</v>
      </c>
      <c r="B9506">
        <v>1.171</v>
      </c>
      <c r="C9506" t="str">
        <f t="shared" si="153"/>
        <v>1997 q2</v>
      </c>
    </row>
    <row r="9507" spans="1:3">
      <c r="A9507" s="62">
        <v>35585</v>
      </c>
      <c r="B9507">
        <v>1.1565000000000001</v>
      </c>
      <c r="C9507" t="str">
        <f t="shared" si="153"/>
        <v>1997 q2</v>
      </c>
    </row>
    <row r="9508" spans="1:3">
      <c r="A9508" s="62">
        <v>35586</v>
      </c>
      <c r="B9508">
        <v>1.17</v>
      </c>
      <c r="C9508" t="str">
        <f t="shared" si="153"/>
        <v>1997 q2</v>
      </c>
    </row>
    <row r="9509" spans="1:3">
      <c r="A9509" s="62">
        <v>35587</v>
      </c>
      <c r="B9509">
        <v>1.1715</v>
      </c>
      <c r="C9509" t="str">
        <f t="shared" si="153"/>
        <v>1997 q2</v>
      </c>
    </row>
    <row r="9510" spans="1:3">
      <c r="A9510" s="62">
        <v>35590</v>
      </c>
      <c r="B9510">
        <v>1.1755</v>
      </c>
      <c r="C9510" t="str">
        <f t="shared" si="153"/>
        <v>1997 q2</v>
      </c>
    </row>
    <row r="9511" spans="1:3">
      <c r="A9511" s="62">
        <v>35591</v>
      </c>
      <c r="B9511">
        <v>1.2010000000000001</v>
      </c>
      <c r="C9511" t="str">
        <f t="shared" si="153"/>
        <v>1997 q2</v>
      </c>
    </row>
    <row r="9512" spans="1:3">
      <c r="A9512" s="62">
        <v>35592</v>
      </c>
      <c r="B9512">
        <v>1.218</v>
      </c>
      <c r="C9512" t="str">
        <f t="shared" si="153"/>
        <v>1997 q2</v>
      </c>
    </row>
    <row r="9513" spans="1:3">
      <c r="A9513" s="62">
        <v>35593</v>
      </c>
      <c r="B9513">
        <v>1.2135</v>
      </c>
      <c r="C9513" t="str">
        <f t="shared" si="153"/>
        <v>1997 q2</v>
      </c>
    </row>
    <row r="9514" spans="1:3">
      <c r="A9514" s="62">
        <v>35594</v>
      </c>
      <c r="B9514">
        <v>1.206</v>
      </c>
      <c r="C9514" t="str">
        <f t="shared" si="153"/>
        <v>1997 q2</v>
      </c>
    </row>
    <row r="9515" spans="1:3">
      <c r="A9515" s="62">
        <v>35597</v>
      </c>
      <c r="B9515">
        <v>1.222</v>
      </c>
      <c r="C9515" t="str">
        <f t="shared" si="153"/>
        <v>1997 q2</v>
      </c>
    </row>
    <row r="9516" spans="1:3">
      <c r="A9516" s="62">
        <v>35598</v>
      </c>
      <c r="B9516">
        <v>1.212</v>
      </c>
      <c r="C9516" t="str">
        <f t="shared" si="153"/>
        <v>1997 q2</v>
      </c>
    </row>
    <row r="9517" spans="1:3">
      <c r="A9517" s="62">
        <v>35599</v>
      </c>
      <c r="B9517">
        <v>1.2195</v>
      </c>
      <c r="C9517" t="str">
        <f t="shared" si="153"/>
        <v>1997 q2</v>
      </c>
    </row>
    <row r="9518" spans="1:3">
      <c r="A9518" s="62">
        <v>35600</v>
      </c>
      <c r="B9518">
        <v>1.2215</v>
      </c>
      <c r="C9518" t="str">
        <f t="shared" si="153"/>
        <v>1997 q2</v>
      </c>
    </row>
    <row r="9519" spans="1:3">
      <c r="A9519" s="62">
        <v>35601</v>
      </c>
      <c r="B9519">
        <v>1.181</v>
      </c>
      <c r="C9519" t="str">
        <f t="shared" si="153"/>
        <v>1997 q2</v>
      </c>
    </row>
    <row r="9520" spans="1:3">
      <c r="A9520" s="62">
        <v>35604</v>
      </c>
      <c r="B9520">
        <v>1.1819999999999999</v>
      </c>
      <c r="C9520" t="str">
        <f t="shared" si="153"/>
        <v>1997 q2</v>
      </c>
    </row>
    <row r="9521" spans="1:3">
      <c r="A9521" s="62">
        <v>35605</v>
      </c>
      <c r="B9521">
        <v>1.1214999999999999</v>
      </c>
      <c r="C9521" t="str">
        <f t="shared" si="153"/>
        <v>1997 q2</v>
      </c>
    </row>
    <row r="9522" spans="1:3">
      <c r="A9522" s="62">
        <v>35606</v>
      </c>
      <c r="B9522">
        <v>1.0911999999999999</v>
      </c>
      <c r="C9522" t="str">
        <f t="shared" si="153"/>
        <v>1997 q2</v>
      </c>
    </row>
    <row r="9523" spans="1:3">
      <c r="A9523" s="62">
        <v>35607</v>
      </c>
      <c r="B9523">
        <v>1.1153</v>
      </c>
      <c r="C9523" t="str">
        <f t="shared" si="153"/>
        <v>1997 q2</v>
      </c>
    </row>
    <row r="9524" spans="1:3">
      <c r="A9524" s="62">
        <v>35608</v>
      </c>
      <c r="B9524">
        <v>1.1231</v>
      </c>
      <c r="C9524" t="str">
        <f t="shared" si="153"/>
        <v>1997 q2</v>
      </c>
    </row>
    <row r="9525" spans="1:3">
      <c r="A9525" s="62">
        <v>35611</v>
      </c>
      <c r="B9525">
        <v>1.1245000000000001</v>
      </c>
      <c r="C9525" t="str">
        <f t="shared" si="153"/>
        <v>1997 q2</v>
      </c>
    </row>
    <row r="9526" spans="1:3">
      <c r="A9526" s="62">
        <v>35612</v>
      </c>
      <c r="B9526">
        <v>1.1005</v>
      </c>
      <c r="C9526" t="str">
        <f t="shared" si="153"/>
        <v>1997 q3</v>
      </c>
    </row>
    <row r="9527" spans="1:3">
      <c r="A9527" s="62">
        <v>35613</v>
      </c>
      <c r="B9527">
        <v>1.119</v>
      </c>
      <c r="C9527" t="str">
        <f t="shared" si="153"/>
        <v>1997 q3</v>
      </c>
    </row>
    <row r="9528" spans="1:3">
      <c r="A9528" s="62">
        <v>35614</v>
      </c>
      <c r="B9528">
        <v>1.1125</v>
      </c>
      <c r="C9528" t="str">
        <f t="shared" si="153"/>
        <v>1997 q3</v>
      </c>
    </row>
    <row r="9529" spans="1:3">
      <c r="A9529" s="62">
        <v>35618</v>
      </c>
      <c r="B9529">
        <v>1.0954999999999999</v>
      </c>
      <c r="C9529" t="str">
        <f t="shared" si="153"/>
        <v>1997 q3</v>
      </c>
    </row>
    <row r="9530" spans="1:3">
      <c r="A9530" s="62">
        <v>35619</v>
      </c>
      <c r="B9530">
        <v>1.0505</v>
      </c>
      <c r="C9530" t="str">
        <f t="shared" si="153"/>
        <v>1997 q3</v>
      </c>
    </row>
    <row r="9531" spans="1:3">
      <c r="A9531" s="62">
        <v>35620</v>
      </c>
      <c r="B9531">
        <v>1.0249999999999999</v>
      </c>
      <c r="C9531" t="str">
        <f t="shared" si="153"/>
        <v>1997 q3</v>
      </c>
    </row>
    <row r="9532" spans="1:3">
      <c r="A9532" s="62">
        <v>35621</v>
      </c>
      <c r="B9532">
        <v>1.0435000000000001</v>
      </c>
      <c r="C9532" t="str">
        <f t="shared" si="153"/>
        <v>1997 q3</v>
      </c>
    </row>
    <row r="9533" spans="1:3">
      <c r="A9533" s="62">
        <v>35622</v>
      </c>
      <c r="B9533">
        <v>1.0429999999999999</v>
      </c>
      <c r="C9533" t="str">
        <f t="shared" si="153"/>
        <v>1997 q3</v>
      </c>
    </row>
    <row r="9534" spans="1:3">
      <c r="A9534" s="62">
        <v>35625</v>
      </c>
      <c r="B9534">
        <v>1.0629999999999999</v>
      </c>
      <c r="C9534" t="str">
        <f t="shared" si="153"/>
        <v>1997 q3</v>
      </c>
    </row>
    <row r="9535" spans="1:3">
      <c r="A9535" s="62">
        <v>35626</v>
      </c>
      <c r="B9535">
        <v>1.0469999999999999</v>
      </c>
      <c r="C9535" t="str">
        <f t="shared" si="153"/>
        <v>1997 q3</v>
      </c>
    </row>
    <row r="9536" spans="1:3">
      <c r="A9536" s="62">
        <v>35627</v>
      </c>
      <c r="B9536">
        <v>1.038</v>
      </c>
      <c r="C9536" t="str">
        <f t="shared" si="153"/>
        <v>1997 q3</v>
      </c>
    </row>
    <row r="9537" spans="1:3">
      <c r="A9537" s="62">
        <v>35628</v>
      </c>
      <c r="B9537">
        <v>1.0645</v>
      </c>
      <c r="C9537" t="str">
        <f t="shared" si="153"/>
        <v>1997 q3</v>
      </c>
    </row>
    <row r="9538" spans="1:3">
      <c r="A9538" s="62">
        <v>35629</v>
      </c>
      <c r="B9538">
        <v>1.0740000000000001</v>
      </c>
      <c r="C9538" t="str">
        <f t="shared" si="153"/>
        <v>1997 q3</v>
      </c>
    </row>
    <row r="9539" spans="1:3">
      <c r="A9539" s="62">
        <v>35632</v>
      </c>
      <c r="B9539">
        <v>1.0854999999999999</v>
      </c>
      <c r="C9539" t="str">
        <f t="shared" si="153"/>
        <v>1997 q3</v>
      </c>
    </row>
    <row r="9540" spans="1:3">
      <c r="A9540" s="62">
        <v>35633</v>
      </c>
      <c r="B9540">
        <v>1.0685</v>
      </c>
      <c r="C9540" t="str">
        <f t="shared" si="153"/>
        <v>1997 q3</v>
      </c>
    </row>
    <row r="9541" spans="1:3">
      <c r="A9541" s="62">
        <v>35634</v>
      </c>
      <c r="B9541">
        <v>1.056</v>
      </c>
      <c r="C9541" t="str">
        <f t="shared" si="153"/>
        <v>1997 q3</v>
      </c>
    </row>
    <row r="9542" spans="1:3">
      <c r="A9542" s="62">
        <v>35635</v>
      </c>
      <c r="B9542">
        <v>1.0780000000000001</v>
      </c>
      <c r="C9542" t="str">
        <f t="shared" si="153"/>
        <v>1997 q3</v>
      </c>
    </row>
    <row r="9543" spans="1:3">
      <c r="A9543" s="62">
        <v>35636</v>
      </c>
      <c r="B9543">
        <v>1.1145</v>
      </c>
      <c r="C9543" t="str">
        <f t="shared" si="153"/>
        <v>1997 q3</v>
      </c>
    </row>
    <row r="9544" spans="1:3">
      <c r="A9544" s="62">
        <v>35639</v>
      </c>
      <c r="B9544">
        <v>1.097</v>
      </c>
      <c r="C9544" t="str">
        <f t="shared" si="153"/>
        <v>1997 q3</v>
      </c>
    </row>
    <row r="9545" spans="1:3">
      <c r="A9545" s="62">
        <v>35640</v>
      </c>
      <c r="B9545">
        <v>1.1074999999999999</v>
      </c>
      <c r="C9545" t="str">
        <f t="shared" si="153"/>
        <v>1997 q3</v>
      </c>
    </row>
    <row r="9546" spans="1:3">
      <c r="A9546" s="62">
        <v>35641</v>
      </c>
      <c r="B9546">
        <v>1.0589999999999999</v>
      </c>
      <c r="C9546" t="str">
        <f t="shared" si="153"/>
        <v>1997 q3</v>
      </c>
    </row>
    <row r="9547" spans="1:3">
      <c r="A9547" s="62">
        <v>35642</v>
      </c>
      <c r="B9547">
        <v>1.089</v>
      </c>
      <c r="C9547" t="str">
        <f t="shared" si="153"/>
        <v>1997 q3</v>
      </c>
    </row>
    <row r="9548" spans="1:3">
      <c r="A9548" s="62">
        <v>35643</v>
      </c>
      <c r="B9548">
        <v>1.0725</v>
      </c>
      <c r="C9548" t="str">
        <f t="shared" si="153"/>
        <v>1997 q3</v>
      </c>
    </row>
    <row r="9549" spans="1:3">
      <c r="A9549" s="62">
        <v>35646</v>
      </c>
      <c r="B9549">
        <v>1.0620000000000001</v>
      </c>
      <c r="C9549" t="str">
        <f t="shared" si="153"/>
        <v>1997 q3</v>
      </c>
    </row>
    <row r="9550" spans="1:3">
      <c r="A9550" s="62">
        <v>35647</v>
      </c>
      <c r="B9550">
        <v>1.0720000000000001</v>
      </c>
      <c r="C9550" t="str">
        <f t="shared" si="153"/>
        <v>1997 q3</v>
      </c>
    </row>
    <row r="9551" spans="1:3">
      <c r="A9551" s="62">
        <v>35648</v>
      </c>
      <c r="B9551">
        <v>1.0620000000000001</v>
      </c>
      <c r="C9551" t="str">
        <f t="shared" si="153"/>
        <v>1997 q3</v>
      </c>
    </row>
    <row r="9552" spans="1:3">
      <c r="A9552" s="62">
        <v>35649</v>
      </c>
      <c r="B9552">
        <v>1.081</v>
      </c>
      <c r="C9552" t="str">
        <f t="shared" si="153"/>
        <v>1997 q3</v>
      </c>
    </row>
    <row r="9553" spans="1:3">
      <c r="A9553" s="62">
        <v>35650</v>
      </c>
      <c r="B9553">
        <v>1.0609999999999999</v>
      </c>
      <c r="C9553" t="str">
        <f t="shared" si="153"/>
        <v>1997 q3</v>
      </c>
    </row>
    <row r="9554" spans="1:3">
      <c r="A9554" s="62">
        <v>35653</v>
      </c>
      <c r="B9554">
        <v>1.052</v>
      </c>
      <c r="C9554" t="str">
        <f t="shared" ref="C9554:C9617" si="154">YEAR(A9554)&amp;" q"&amp;ROUNDUP(MONTH(A9554)/3,0)</f>
        <v>1997 q3</v>
      </c>
    </row>
    <row r="9555" spans="1:3">
      <c r="A9555" s="62">
        <v>35654</v>
      </c>
      <c r="B9555">
        <v>1.0485</v>
      </c>
      <c r="C9555" t="str">
        <f t="shared" si="154"/>
        <v>1997 q3</v>
      </c>
    </row>
    <row r="9556" spans="1:3">
      <c r="A9556" s="62">
        <v>35655</v>
      </c>
      <c r="B9556">
        <v>1.0515000000000001</v>
      </c>
      <c r="C9556" t="str">
        <f t="shared" si="154"/>
        <v>1997 q3</v>
      </c>
    </row>
    <row r="9557" spans="1:3">
      <c r="A9557" s="62">
        <v>35656</v>
      </c>
      <c r="B9557">
        <v>1.038</v>
      </c>
      <c r="C9557" t="str">
        <f t="shared" si="154"/>
        <v>1997 q3</v>
      </c>
    </row>
    <row r="9558" spans="1:3">
      <c r="A9558" s="62">
        <v>35657</v>
      </c>
      <c r="B9558">
        <v>1</v>
      </c>
      <c r="C9558" t="str">
        <f t="shared" si="154"/>
        <v>1997 q3</v>
      </c>
    </row>
    <row r="9559" spans="1:3">
      <c r="A9559" s="62">
        <v>35660</v>
      </c>
      <c r="B9559">
        <v>0.96699999999999997</v>
      </c>
      <c r="C9559" t="str">
        <f t="shared" si="154"/>
        <v>1997 q3</v>
      </c>
    </row>
    <row r="9560" spans="1:3">
      <c r="A9560" s="62">
        <v>35661</v>
      </c>
      <c r="B9560">
        <v>0.97850000000000004</v>
      </c>
      <c r="C9560" t="str">
        <f t="shared" si="154"/>
        <v>1997 q3</v>
      </c>
    </row>
    <row r="9561" spans="1:3">
      <c r="A9561" s="62">
        <v>35662</v>
      </c>
      <c r="B9561">
        <v>0.98150000000000004</v>
      </c>
      <c r="C9561" t="str">
        <f t="shared" si="154"/>
        <v>1997 q3</v>
      </c>
    </row>
    <row r="9562" spans="1:3">
      <c r="A9562" s="62">
        <v>35663</v>
      </c>
      <c r="B9562">
        <v>0.99099999999999999</v>
      </c>
      <c r="C9562" t="str">
        <f t="shared" si="154"/>
        <v>1997 q3</v>
      </c>
    </row>
    <row r="9563" spans="1:3">
      <c r="A9563" s="62">
        <v>35664</v>
      </c>
      <c r="B9563">
        <v>0.99950000000000006</v>
      </c>
      <c r="C9563" t="str">
        <f t="shared" si="154"/>
        <v>1997 q3</v>
      </c>
    </row>
    <row r="9564" spans="1:3">
      <c r="A9564" s="62">
        <v>35667</v>
      </c>
      <c r="B9564">
        <v>0.996</v>
      </c>
      <c r="C9564" t="str">
        <f t="shared" si="154"/>
        <v>1997 q3</v>
      </c>
    </row>
    <row r="9565" spans="1:3">
      <c r="A9565" s="62">
        <v>35668</v>
      </c>
      <c r="B9565">
        <v>0.99609999999999999</v>
      </c>
      <c r="C9565" t="str">
        <f t="shared" si="154"/>
        <v>1997 q3</v>
      </c>
    </row>
    <row r="9566" spans="1:3">
      <c r="A9566" s="62">
        <v>35669</v>
      </c>
      <c r="B9566">
        <v>0.996</v>
      </c>
      <c r="C9566" t="str">
        <f t="shared" si="154"/>
        <v>1997 q3</v>
      </c>
    </row>
    <row r="9567" spans="1:3">
      <c r="A9567" s="62">
        <v>35670</v>
      </c>
      <c r="B9567">
        <v>0.96909999999999996</v>
      </c>
      <c r="C9567" t="str">
        <f t="shared" si="154"/>
        <v>1997 q3</v>
      </c>
    </row>
    <row r="9568" spans="1:3">
      <c r="A9568" s="62">
        <v>35671</v>
      </c>
      <c r="B9568">
        <v>0.99260000000000004</v>
      </c>
      <c r="C9568" t="str">
        <f t="shared" si="154"/>
        <v>1997 q3</v>
      </c>
    </row>
    <row r="9569" spans="1:3">
      <c r="A9569" s="62">
        <v>35675</v>
      </c>
      <c r="B9569">
        <v>0.96199999999999997</v>
      </c>
      <c r="C9569" t="str">
        <f t="shared" si="154"/>
        <v>1997 q3</v>
      </c>
    </row>
    <row r="9570" spans="1:3">
      <c r="A9570" s="62">
        <v>35676</v>
      </c>
      <c r="B9570">
        <v>0.98</v>
      </c>
      <c r="C9570" t="str">
        <f t="shared" si="154"/>
        <v>1997 q3</v>
      </c>
    </row>
    <row r="9571" spans="1:3">
      <c r="A9571" s="62">
        <v>35677</v>
      </c>
      <c r="B9571">
        <v>0.97950000000000004</v>
      </c>
      <c r="C9571" t="str">
        <f t="shared" si="154"/>
        <v>1997 q3</v>
      </c>
    </row>
    <row r="9572" spans="1:3">
      <c r="A9572" s="62">
        <v>35678</v>
      </c>
      <c r="B9572">
        <v>0.98450000000000004</v>
      </c>
      <c r="C9572" t="str">
        <f t="shared" si="154"/>
        <v>1997 q3</v>
      </c>
    </row>
    <row r="9573" spans="1:3">
      <c r="A9573" s="62">
        <v>35681</v>
      </c>
      <c r="B9573">
        <v>0.97199999999999998</v>
      </c>
      <c r="C9573" t="str">
        <f t="shared" si="154"/>
        <v>1997 q3</v>
      </c>
    </row>
    <row r="9574" spans="1:3">
      <c r="A9574" s="62">
        <v>35682</v>
      </c>
      <c r="B9574">
        <v>0.97150000000000003</v>
      </c>
      <c r="C9574" t="str">
        <f t="shared" si="154"/>
        <v>1997 q3</v>
      </c>
    </row>
    <row r="9575" spans="1:3">
      <c r="A9575" s="62">
        <v>35683</v>
      </c>
      <c r="B9575">
        <v>0.97399999999999998</v>
      </c>
      <c r="C9575" t="str">
        <f t="shared" si="154"/>
        <v>1997 q3</v>
      </c>
    </row>
    <row r="9576" spans="1:3">
      <c r="A9576" s="62">
        <v>35684</v>
      </c>
      <c r="B9576">
        <v>0.94950000000000001</v>
      </c>
      <c r="C9576" t="str">
        <f t="shared" si="154"/>
        <v>1997 q3</v>
      </c>
    </row>
    <row r="9577" spans="1:3">
      <c r="A9577" s="62">
        <v>35685</v>
      </c>
      <c r="B9577">
        <v>0.95399999999999996</v>
      </c>
      <c r="C9577" t="str">
        <f t="shared" si="154"/>
        <v>1997 q3</v>
      </c>
    </row>
    <row r="9578" spans="1:3">
      <c r="A9578" s="62">
        <v>35688</v>
      </c>
      <c r="B9578">
        <v>0.95899999999999996</v>
      </c>
      <c r="C9578" t="str">
        <f t="shared" si="154"/>
        <v>1997 q3</v>
      </c>
    </row>
    <row r="9579" spans="1:3">
      <c r="A9579" s="62">
        <v>35689</v>
      </c>
      <c r="B9579">
        <v>0.94850000000000001</v>
      </c>
      <c r="C9579" t="str">
        <f t="shared" si="154"/>
        <v>1997 q3</v>
      </c>
    </row>
    <row r="9580" spans="1:3">
      <c r="A9580" s="62">
        <v>35690</v>
      </c>
      <c r="B9580">
        <v>0.95</v>
      </c>
      <c r="C9580" t="str">
        <f t="shared" si="154"/>
        <v>1997 q3</v>
      </c>
    </row>
    <row r="9581" spans="1:3">
      <c r="A9581" s="62">
        <v>35691</v>
      </c>
      <c r="B9581">
        <v>0.96499999999999997</v>
      </c>
      <c r="C9581" t="str">
        <f t="shared" si="154"/>
        <v>1997 q3</v>
      </c>
    </row>
    <row r="9582" spans="1:3">
      <c r="A9582" s="62">
        <v>35692</v>
      </c>
      <c r="B9582">
        <v>0.96350000000000002</v>
      </c>
      <c r="C9582" t="str">
        <f t="shared" si="154"/>
        <v>1997 q3</v>
      </c>
    </row>
    <row r="9583" spans="1:3">
      <c r="A9583" s="62">
        <v>35695</v>
      </c>
      <c r="B9583">
        <v>0.95450000000000002</v>
      </c>
      <c r="C9583" t="str">
        <f t="shared" si="154"/>
        <v>1997 q3</v>
      </c>
    </row>
    <row r="9584" spans="1:3">
      <c r="A9584" s="62">
        <v>35696</v>
      </c>
      <c r="B9584">
        <v>0.95199999999999996</v>
      </c>
      <c r="C9584" t="str">
        <f t="shared" si="154"/>
        <v>1997 q3</v>
      </c>
    </row>
    <row r="9585" spans="1:3">
      <c r="A9585" s="62">
        <v>35697</v>
      </c>
      <c r="B9585">
        <v>0.95799999999999996</v>
      </c>
      <c r="C9585" t="str">
        <f t="shared" si="154"/>
        <v>1997 q3</v>
      </c>
    </row>
    <row r="9586" spans="1:3">
      <c r="A9586" s="62">
        <v>35698</v>
      </c>
      <c r="B9586">
        <v>0.94750000000000001</v>
      </c>
      <c r="C9586" t="str">
        <f t="shared" si="154"/>
        <v>1997 q3</v>
      </c>
    </row>
    <row r="9587" spans="1:3">
      <c r="A9587" s="62">
        <v>35699</v>
      </c>
      <c r="B9587">
        <v>0.95199999999999996</v>
      </c>
      <c r="C9587" t="str">
        <f t="shared" si="154"/>
        <v>1997 q3</v>
      </c>
    </row>
    <row r="9588" spans="1:3">
      <c r="A9588" s="62">
        <v>35702</v>
      </c>
      <c r="B9588">
        <v>0.99450000000000005</v>
      </c>
      <c r="C9588" t="str">
        <f t="shared" si="154"/>
        <v>1997 q3</v>
      </c>
    </row>
    <row r="9589" spans="1:3">
      <c r="A9589" s="62">
        <v>35703</v>
      </c>
      <c r="B9589">
        <v>0.97</v>
      </c>
      <c r="C9589" t="str">
        <f t="shared" si="154"/>
        <v>1997 q3</v>
      </c>
    </row>
    <row r="9590" spans="1:3">
      <c r="A9590" s="62">
        <v>35704</v>
      </c>
      <c r="B9590">
        <v>0.96599999999999997</v>
      </c>
      <c r="C9590" t="str">
        <f t="shared" si="154"/>
        <v>1997 q4</v>
      </c>
    </row>
    <row r="9591" spans="1:3">
      <c r="A9591" s="62">
        <v>35705</v>
      </c>
      <c r="B9591">
        <v>0.9375</v>
      </c>
      <c r="C9591" t="str">
        <f t="shared" si="154"/>
        <v>1997 q4</v>
      </c>
    </row>
    <row r="9592" spans="1:3">
      <c r="A9592" s="62">
        <v>35706</v>
      </c>
      <c r="B9592">
        <v>0.9385</v>
      </c>
      <c r="C9592" t="str">
        <f t="shared" si="154"/>
        <v>1997 q4</v>
      </c>
    </row>
    <row r="9593" spans="1:3">
      <c r="A9593" s="62">
        <v>35709</v>
      </c>
      <c r="B9593">
        <v>0.94299999999999995</v>
      </c>
      <c r="C9593" t="str">
        <f t="shared" si="154"/>
        <v>1997 q4</v>
      </c>
    </row>
    <row r="9594" spans="1:3">
      <c r="A9594" s="62">
        <v>35710</v>
      </c>
      <c r="B9594">
        <v>0.94850000000000001</v>
      </c>
      <c r="C9594" t="str">
        <f t="shared" si="154"/>
        <v>1997 q4</v>
      </c>
    </row>
    <row r="9595" spans="1:3">
      <c r="A9595" s="62">
        <v>35711</v>
      </c>
      <c r="B9595">
        <v>0.9425</v>
      </c>
      <c r="C9595" t="str">
        <f t="shared" si="154"/>
        <v>1997 q4</v>
      </c>
    </row>
    <row r="9596" spans="1:3">
      <c r="A9596" s="62">
        <v>35712</v>
      </c>
      <c r="B9596">
        <v>0.95050000000000001</v>
      </c>
      <c r="C9596" t="str">
        <f t="shared" si="154"/>
        <v>1997 q4</v>
      </c>
    </row>
    <row r="9597" spans="1:3">
      <c r="A9597" s="62">
        <v>35713</v>
      </c>
      <c r="B9597">
        <v>0.9425</v>
      </c>
      <c r="C9597" t="str">
        <f t="shared" si="154"/>
        <v>1997 q4</v>
      </c>
    </row>
    <row r="9598" spans="1:3">
      <c r="A9598" s="62">
        <v>35716</v>
      </c>
      <c r="B9598">
        <v>0.9415</v>
      </c>
      <c r="C9598" t="str">
        <f t="shared" si="154"/>
        <v>1997 q4</v>
      </c>
    </row>
    <row r="9599" spans="1:3">
      <c r="A9599" s="62">
        <v>35717</v>
      </c>
      <c r="B9599">
        <v>0.95850000000000002</v>
      </c>
      <c r="C9599" t="str">
        <f t="shared" si="154"/>
        <v>1997 q4</v>
      </c>
    </row>
    <row r="9600" spans="1:3">
      <c r="A9600" s="62">
        <v>35718</v>
      </c>
      <c r="B9600">
        <v>0.97050000000000003</v>
      </c>
      <c r="C9600" t="str">
        <f t="shared" si="154"/>
        <v>1997 q4</v>
      </c>
    </row>
    <row r="9601" spans="1:3">
      <c r="A9601" s="62">
        <v>35719</v>
      </c>
      <c r="B9601">
        <v>0.95399999999999996</v>
      </c>
      <c r="C9601" t="str">
        <f t="shared" si="154"/>
        <v>1997 q4</v>
      </c>
    </row>
    <row r="9602" spans="1:3">
      <c r="A9602" s="62">
        <v>35720</v>
      </c>
      <c r="B9602">
        <v>0.95750000000000002</v>
      </c>
      <c r="C9602" t="str">
        <f t="shared" si="154"/>
        <v>1997 q4</v>
      </c>
    </row>
    <row r="9603" spans="1:3">
      <c r="A9603" s="62">
        <v>35723</v>
      </c>
      <c r="B9603">
        <v>0.96950000000000003</v>
      </c>
      <c r="C9603" t="str">
        <f t="shared" si="154"/>
        <v>1997 q4</v>
      </c>
    </row>
    <row r="9604" spans="1:3">
      <c r="A9604" s="62">
        <v>35724</v>
      </c>
      <c r="B9604">
        <v>0.94899999999999995</v>
      </c>
      <c r="C9604" t="str">
        <f t="shared" si="154"/>
        <v>1997 q4</v>
      </c>
    </row>
    <row r="9605" spans="1:3">
      <c r="A9605" s="62">
        <v>35725</v>
      </c>
      <c r="B9605">
        <v>0.95350000000000001</v>
      </c>
      <c r="C9605" t="str">
        <f t="shared" si="154"/>
        <v>1997 q4</v>
      </c>
    </row>
    <row r="9606" spans="1:3">
      <c r="A9606" s="62">
        <v>35726</v>
      </c>
      <c r="B9606">
        <v>0.93899999999999995</v>
      </c>
      <c r="C9606" t="str">
        <f t="shared" si="154"/>
        <v>1997 q4</v>
      </c>
    </row>
    <row r="9607" spans="1:3">
      <c r="A9607" s="62">
        <v>35727</v>
      </c>
      <c r="B9607">
        <v>0.91100000000000003</v>
      </c>
      <c r="C9607" t="str">
        <f t="shared" si="154"/>
        <v>1997 q4</v>
      </c>
    </row>
    <row r="9608" spans="1:3">
      <c r="A9608" s="62">
        <v>35730</v>
      </c>
      <c r="B9608">
        <v>0.90449999999999997</v>
      </c>
      <c r="C9608" t="str">
        <f t="shared" si="154"/>
        <v>1997 q4</v>
      </c>
    </row>
    <row r="9609" spans="1:3">
      <c r="A9609" s="62">
        <v>35731</v>
      </c>
      <c r="B9609">
        <v>0.90500000000000003</v>
      </c>
      <c r="C9609" t="str">
        <f t="shared" si="154"/>
        <v>1997 q4</v>
      </c>
    </row>
    <row r="9610" spans="1:3">
      <c r="A9610" s="62">
        <v>35732</v>
      </c>
      <c r="B9610">
        <v>0.91049999999999998</v>
      </c>
      <c r="C9610" t="str">
        <f t="shared" si="154"/>
        <v>1997 q4</v>
      </c>
    </row>
    <row r="9611" spans="1:3">
      <c r="A9611" s="62">
        <v>35733</v>
      </c>
      <c r="B9611">
        <v>0.90949999999999998</v>
      </c>
      <c r="C9611" t="str">
        <f t="shared" si="154"/>
        <v>1997 q4</v>
      </c>
    </row>
    <row r="9612" spans="1:3">
      <c r="A9612" s="62">
        <v>35734</v>
      </c>
      <c r="B9612">
        <v>0.90749999999999997</v>
      </c>
      <c r="C9612" t="str">
        <f t="shared" si="154"/>
        <v>1997 q4</v>
      </c>
    </row>
    <row r="9613" spans="1:3">
      <c r="A9613" s="62">
        <v>35737</v>
      </c>
      <c r="B9613">
        <v>0.90449999999999997</v>
      </c>
      <c r="C9613" t="str">
        <f t="shared" si="154"/>
        <v>1997 q4</v>
      </c>
    </row>
    <row r="9614" spans="1:3">
      <c r="A9614" s="62">
        <v>35738</v>
      </c>
      <c r="B9614">
        <v>0.90300000000000002</v>
      </c>
      <c r="C9614" t="str">
        <f t="shared" si="154"/>
        <v>1997 q4</v>
      </c>
    </row>
    <row r="9615" spans="1:3">
      <c r="A9615" s="62">
        <v>35739</v>
      </c>
      <c r="B9615">
        <v>0.90449999999999997</v>
      </c>
      <c r="C9615" t="str">
        <f t="shared" si="154"/>
        <v>1997 q4</v>
      </c>
    </row>
    <row r="9616" spans="1:3">
      <c r="A9616" s="62">
        <v>35740</v>
      </c>
      <c r="B9616">
        <v>0.89100000000000001</v>
      </c>
      <c r="C9616" t="str">
        <f t="shared" si="154"/>
        <v>1997 q4</v>
      </c>
    </row>
    <row r="9617" spans="1:3">
      <c r="A9617" s="62">
        <v>35741</v>
      </c>
      <c r="B9617">
        <v>0.89200000000000002</v>
      </c>
      <c r="C9617" t="str">
        <f t="shared" si="154"/>
        <v>1997 q4</v>
      </c>
    </row>
    <row r="9618" spans="1:3">
      <c r="A9618" s="62">
        <v>35744</v>
      </c>
      <c r="B9618">
        <v>0.90649999999999997</v>
      </c>
      <c r="C9618" t="str">
        <f t="shared" ref="C9618:C9681" si="155">YEAR(A9618)&amp;" q"&amp;ROUNDUP(MONTH(A9618)/3,0)</f>
        <v>1997 q4</v>
      </c>
    </row>
    <row r="9619" spans="1:3">
      <c r="A9619" s="62">
        <v>35745</v>
      </c>
      <c r="B9619">
        <v>0.89400000000000002</v>
      </c>
      <c r="C9619" t="str">
        <f t="shared" si="155"/>
        <v>1997 q4</v>
      </c>
    </row>
    <row r="9620" spans="1:3">
      <c r="A9620" s="62">
        <v>35746</v>
      </c>
      <c r="B9620">
        <v>0.88549999999999995</v>
      </c>
      <c r="C9620" t="str">
        <f t="shared" si="155"/>
        <v>1997 q4</v>
      </c>
    </row>
    <row r="9621" spans="1:3">
      <c r="A9621" s="62">
        <v>35747</v>
      </c>
      <c r="B9621">
        <v>0.88600000000000001</v>
      </c>
      <c r="C9621" t="str">
        <f t="shared" si="155"/>
        <v>1997 q4</v>
      </c>
    </row>
    <row r="9622" spans="1:3">
      <c r="A9622" s="62">
        <v>35748</v>
      </c>
      <c r="B9622">
        <v>0.89</v>
      </c>
      <c r="C9622" t="str">
        <f t="shared" si="155"/>
        <v>1997 q4</v>
      </c>
    </row>
    <row r="9623" spans="1:3">
      <c r="A9623" s="62">
        <v>35751</v>
      </c>
      <c r="B9623">
        <v>0.89149999999999996</v>
      </c>
      <c r="C9623" t="str">
        <f t="shared" si="155"/>
        <v>1997 q4</v>
      </c>
    </row>
    <row r="9624" spans="1:3">
      <c r="A9624" s="62">
        <v>35752</v>
      </c>
      <c r="B9624">
        <v>0.85950000000000004</v>
      </c>
      <c r="C9624" t="str">
        <f t="shared" si="155"/>
        <v>1997 q4</v>
      </c>
    </row>
    <row r="9625" spans="1:3">
      <c r="A9625" s="62">
        <v>35753</v>
      </c>
      <c r="B9625">
        <v>0.85899999999999999</v>
      </c>
      <c r="C9625" t="str">
        <f t="shared" si="155"/>
        <v>1997 q4</v>
      </c>
    </row>
    <row r="9626" spans="1:3">
      <c r="A9626" s="62">
        <v>35754</v>
      </c>
      <c r="B9626">
        <v>0.84899999999999998</v>
      </c>
      <c r="C9626" t="str">
        <f t="shared" si="155"/>
        <v>1997 q4</v>
      </c>
    </row>
    <row r="9627" spans="1:3">
      <c r="A9627" s="62">
        <v>35755</v>
      </c>
      <c r="B9627">
        <v>0.84089999999999998</v>
      </c>
      <c r="C9627" t="str">
        <f t="shared" si="155"/>
        <v>1997 q4</v>
      </c>
    </row>
    <row r="9628" spans="1:3">
      <c r="A9628" s="62">
        <v>35758</v>
      </c>
      <c r="B9628">
        <v>0.83899999999999997</v>
      </c>
      <c r="C9628" t="str">
        <f t="shared" si="155"/>
        <v>1997 q4</v>
      </c>
    </row>
    <row r="9629" spans="1:3">
      <c r="A9629" s="62">
        <v>35759</v>
      </c>
      <c r="B9629">
        <v>0.84470000000000001</v>
      </c>
      <c r="C9629" t="str">
        <f t="shared" si="155"/>
        <v>1997 q4</v>
      </c>
    </row>
    <row r="9630" spans="1:3">
      <c r="A9630" s="62">
        <v>35760</v>
      </c>
      <c r="B9630">
        <v>0.84650000000000003</v>
      </c>
      <c r="C9630" t="str">
        <f t="shared" si="155"/>
        <v>1997 q4</v>
      </c>
    </row>
    <row r="9631" spans="1:3">
      <c r="A9631" s="62">
        <v>35765</v>
      </c>
      <c r="B9631">
        <v>0.82150000000000001</v>
      </c>
      <c r="C9631" t="str">
        <f t="shared" si="155"/>
        <v>1997 q4</v>
      </c>
    </row>
    <row r="9632" spans="1:3">
      <c r="A9632" s="62">
        <v>35766</v>
      </c>
      <c r="B9632">
        <v>0.82399999999999995</v>
      </c>
      <c r="C9632" t="str">
        <f t="shared" si="155"/>
        <v>1997 q4</v>
      </c>
    </row>
    <row r="9633" spans="1:3">
      <c r="A9633" s="62">
        <v>35767</v>
      </c>
      <c r="B9633">
        <v>0.8085</v>
      </c>
      <c r="C9633" t="str">
        <f t="shared" si="155"/>
        <v>1997 q4</v>
      </c>
    </row>
    <row r="9634" spans="1:3">
      <c r="A9634" s="62">
        <v>35768</v>
      </c>
      <c r="B9634">
        <v>0.81599999999999995</v>
      </c>
      <c r="C9634" t="str">
        <f t="shared" si="155"/>
        <v>1997 q4</v>
      </c>
    </row>
    <row r="9635" spans="1:3">
      <c r="A9635" s="62">
        <v>35769</v>
      </c>
      <c r="B9635">
        <v>0.80200000000000005</v>
      </c>
      <c r="C9635" t="str">
        <f t="shared" si="155"/>
        <v>1997 q4</v>
      </c>
    </row>
    <row r="9636" spans="1:3">
      <c r="A9636" s="62">
        <v>35772</v>
      </c>
      <c r="B9636">
        <v>0.81499999999999995</v>
      </c>
      <c r="C9636" t="str">
        <f t="shared" si="155"/>
        <v>1997 q4</v>
      </c>
    </row>
    <row r="9637" spans="1:3">
      <c r="A9637" s="62">
        <v>35773</v>
      </c>
      <c r="B9637">
        <v>0.81200000000000006</v>
      </c>
      <c r="C9637" t="str">
        <f t="shared" si="155"/>
        <v>1997 q4</v>
      </c>
    </row>
    <row r="9638" spans="1:3">
      <c r="A9638" s="62">
        <v>35774</v>
      </c>
      <c r="B9638">
        <v>0.8105</v>
      </c>
      <c r="C9638" t="str">
        <f t="shared" si="155"/>
        <v>1997 q4</v>
      </c>
    </row>
    <row r="9639" spans="1:3">
      <c r="A9639" s="62">
        <v>35775</v>
      </c>
      <c r="B9639">
        <v>0.80449999999999999</v>
      </c>
      <c r="C9639" t="str">
        <f t="shared" si="155"/>
        <v>1997 q4</v>
      </c>
    </row>
    <row r="9640" spans="1:3">
      <c r="A9640" s="62">
        <v>35776</v>
      </c>
      <c r="B9640">
        <v>0.8085</v>
      </c>
      <c r="C9640" t="str">
        <f t="shared" si="155"/>
        <v>1997 q4</v>
      </c>
    </row>
    <row r="9641" spans="1:3">
      <c r="A9641" s="62">
        <v>35779</v>
      </c>
      <c r="B9641">
        <v>0.79300000000000004</v>
      </c>
      <c r="C9641" t="str">
        <f t="shared" si="155"/>
        <v>1997 q4</v>
      </c>
    </row>
    <row r="9642" spans="1:3">
      <c r="A9642" s="62">
        <v>35780</v>
      </c>
      <c r="B9642">
        <v>0.78249999999999997</v>
      </c>
      <c r="C9642" t="str">
        <f t="shared" si="155"/>
        <v>1997 q4</v>
      </c>
    </row>
    <row r="9643" spans="1:3">
      <c r="A9643" s="62">
        <v>35781</v>
      </c>
      <c r="B9643">
        <v>0.79549999999999998</v>
      </c>
      <c r="C9643" t="str">
        <f t="shared" si="155"/>
        <v>1997 q4</v>
      </c>
    </row>
    <row r="9644" spans="1:3">
      <c r="A9644" s="62">
        <v>35782</v>
      </c>
      <c r="B9644">
        <v>0.80100000000000005</v>
      </c>
      <c r="C9644" t="str">
        <f t="shared" si="155"/>
        <v>1997 q4</v>
      </c>
    </row>
    <row r="9645" spans="1:3">
      <c r="A9645" s="62">
        <v>35783</v>
      </c>
      <c r="B9645">
        <v>0.79900000000000004</v>
      </c>
      <c r="C9645" t="str">
        <f t="shared" si="155"/>
        <v>1997 q4</v>
      </c>
    </row>
    <row r="9646" spans="1:3">
      <c r="A9646" s="62">
        <v>35786</v>
      </c>
      <c r="B9646">
        <v>0.79700000000000004</v>
      </c>
      <c r="C9646" t="str">
        <f t="shared" si="155"/>
        <v>1997 q4</v>
      </c>
    </row>
    <row r="9647" spans="1:3">
      <c r="A9647" s="62">
        <v>35787</v>
      </c>
      <c r="B9647">
        <v>0.78649999999999998</v>
      </c>
      <c r="C9647" t="str">
        <f t="shared" si="155"/>
        <v>1997 q4</v>
      </c>
    </row>
    <row r="9648" spans="1:3">
      <c r="A9648" s="62">
        <v>35788</v>
      </c>
      <c r="B9648">
        <v>0.77849999999999997</v>
      </c>
      <c r="C9648" t="str">
        <f t="shared" si="155"/>
        <v>1997 q4</v>
      </c>
    </row>
    <row r="9649" spans="1:3">
      <c r="A9649" s="62">
        <v>35790</v>
      </c>
      <c r="B9649">
        <v>0.77900000000000003</v>
      </c>
      <c r="C9649" t="str">
        <f t="shared" si="155"/>
        <v>1997 q4</v>
      </c>
    </row>
    <row r="9650" spans="1:3">
      <c r="A9650" s="62">
        <v>35793</v>
      </c>
      <c r="B9650">
        <v>0.76980000000000004</v>
      </c>
      <c r="C9650" t="str">
        <f t="shared" si="155"/>
        <v>1997 q4</v>
      </c>
    </row>
    <row r="9651" spans="1:3">
      <c r="A9651" s="62">
        <v>35794</v>
      </c>
      <c r="B9651">
        <v>0.7792</v>
      </c>
      <c r="C9651" t="str">
        <f t="shared" si="155"/>
        <v>1997 q4</v>
      </c>
    </row>
    <row r="9652" spans="1:3">
      <c r="A9652" s="62">
        <v>35795</v>
      </c>
      <c r="B9652">
        <v>0.77859999999999996</v>
      </c>
      <c r="C9652" t="str">
        <f t="shared" si="155"/>
        <v>1997 q4</v>
      </c>
    </row>
    <row r="9653" spans="1:3">
      <c r="A9653" s="62">
        <v>35797</v>
      </c>
      <c r="B9653">
        <v>0.77449999999999997</v>
      </c>
      <c r="C9653" t="str">
        <f t="shared" si="155"/>
        <v>1998 q1</v>
      </c>
    </row>
    <row r="9654" spans="1:3">
      <c r="A9654" s="62">
        <v>35800</v>
      </c>
      <c r="B9654">
        <v>0.76400000000000001</v>
      </c>
      <c r="C9654" t="str">
        <f t="shared" si="155"/>
        <v>1998 q1</v>
      </c>
    </row>
    <row r="9655" spans="1:3">
      <c r="A9655" s="62">
        <v>35801</v>
      </c>
      <c r="B9655">
        <v>0.76700000000000002</v>
      </c>
      <c r="C9655" t="str">
        <f t="shared" si="155"/>
        <v>1998 q1</v>
      </c>
    </row>
    <row r="9656" spans="1:3">
      <c r="A9656" s="62">
        <v>35802</v>
      </c>
      <c r="B9656">
        <v>0.76200000000000001</v>
      </c>
      <c r="C9656" t="str">
        <f t="shared" si="155"/>
        <v>1998 q1</v>
      </c>
    </row>
    <row r="9657" spans="1:3">
      <c r="A9657" s="62">
        <v>35803</v>
      </c>
      <c r="B9657">
        <v>0.75849999999999995</v>
      </c>
      <c r="C9657" t="str">
        <f t="shared" si="155"/>
        <v>1998 q1</v>
      </c>
    </row>
    <row r="9658" spans="1:3">
      <c r="A9658" s="62">
        <v>35804</v>
      </c>
      <c r="B9658">
        <v>0.753</v>
      </c>
      <c r="C9658" t="str">
        <f t="shared" si="155"/>
        <v>1998 q1</v>
      </c>
    </row>
    <row r="9659" spans="1:3">
      <c r="A9659" s="62">
        <v>35807</v>
      </c>
      <c r="B9659">
        <v>0.748</v>
      </c>
      <c r="C9659" t="str">
        <f t="shared" si="155"/>
        <v>1998 q1</v>
      </c>
    </row>
    <row r="9660" spans="1:3">
      <c r="A9660" s="62">
        <v>35808</v>
      </c>
      <c r="B9660">
        <v>0.76900000000000002</v>
      </c>
      <c r="C9660" t="str">
        <f t="shared" si="155"/>
        <v>1998 q1</v>
      </c>
    </row>
    <row r="9661" spans="1:3">
      <c r="A9661" s="62">
        <v>35809</v>
      </c>
      <c r="B9661">
        <v>0.77300000000000002</v>
      </c>
      <c r="C9661" t="str">
        <f t="shared" si="155"/>
        <v>1998 q1</v>
      </c>
    </row>
    <row r="9662" spans="1:3">
      <c r="A9662" s="62">
        <v>35810</v>
      </c>
      <c r="B9662">
        <v>0.78</v>
      </c>
      <c r="C9662" t="str">
        <f t="shared" si="155"/>
        <v>1998 q1</v>
      </c>
    </row>
    <row r="9663" spans="1:3">
      <c r="A9663" s="62">
        <v>35811</v>
      </c>
      <c r="B9663">
        <v>0.77249999999999996</v>
      </c>
      <c r="C9663" t="str">
        <f t="shared" si="155"/>
        <v>1998 q1</v>
      </c>
    </row>
    <row r="9664" spans="1:3">
      <c r="A9664" s="62">
        <v>35815</v>
      </c>
      <c r="B9664">
        <v>0.77</v>
      </c>
      <c r="C9664" t="str">
        <f t="shared" si="155"/>
        <v>1998 q1</v>
      </c>
    </row>
    <row r="9665" spans="1:3">
      <c r="A9665" s="62">
        <v>35816</v>
      </c>
      <c r="B9665">
        <v>0.77349999999999997</v>
      </c>
      <c r="C9665" t="str">
        <f t="shared" si="155"/>
        <v>1998 q1</v>
      </c>
    </row>
    <row r="9666" spans="1:3">
      <c r="A9666" s="62">
        <v>35817</v>
      </c>
      <c r="B9666">
        <v>0.78549999999999998</v>
      </c>
      <c r="C9666" t="str">
        <f t="shared" si="155"/>
        <v>1998 q1</v>
      </c>
    </row>
    <row r="9667" spans="1:3">
      <c r="A9667" s="62">
        <v>35818</v>
      </c>
      <c r="B9667">
        <v>0.79449999999999998</v>
      </c>
      <c r="C9667" t="str">
        <f t="shared" si="155"/>
        <v>1998 q1</v>
      </c>
    </row>
    <row r="9668" spans="1:3">
      <c r="A9668" s="62">
        <v>35821</v>
      </c>
      <c r="B9668">
        <v>0.79749999999999999</v>
      </c>
      <c r="C9668" t="str">
        <f t="shared" si="155"/>
        <v>1998 q1</v>
      </c>
    </row>
    <row r="9669" spans="1:3">
      <c r="A9669" s="62">
        <v>35822</v>
      </c>
      <c r="B9669">
        <v>0.81200000000000006</v>
      </c>
      <c r="C9669" t="str">
        <f t="shared" si="155"/>
        <v>1998 q1</v>
      </c>
    </row>
    <row r="9670" spans="1:3">
      <c r="A9670" s="62">
        <v>35823</v>
      </c>
      <c r="B9670">
        <v>0.80600000000000005</v>
      </c>
      <c r="C9670" t="str">
        <f t="shared" si="155"/>
        <v>1998 q1</v>
      </c>
    </row>
    <row r="9671" spans="1:3">
      <c r="A9671" s="62">
        <v>35824</v>
      </c>
      <c r="B9671">
        <v>0.80700000000000005</v>
      </c>
      <c r="C9671" t="str">
        <f t="shared" si="155"/>
        <v>1998 q1</v>
      </c>
    </row>
    <row r="9672" spans="1:3">
      <c r="A9672" s="62">
        <v>35825</v>
      </c>
      <c r="B9672">
        <v>0.79300000000000004</v>
      </c>
      <c r="C9672" t="str">
        <f t="shared" si="155"/>
        <v>1998 q1</v>
      </c>
    </row>
    <row r="9673" spans="1:3">
      <c r="A9673" s="62">
        <v>35828</v>
      </c>
      <c r="B9673">
        <v>0.78849999999999998</v>
      </c>
      <c r="C9673" t="str">
        <f t="shared" si="155"/>
        <v>1998 q1</v>
      </c>
    </row>
    <row r="9674" spans="1:3">
      <c r="A9674" s="62">
        <v>35829</v>
      </c>
      <c r="B9674">
        <v>0.76749999999999996</v>
      </c>
      <c r="C9674" t="str">
        <f t="shared" si="155"/>
        <v>1998 q1</v>
      </c>
    </row>
    <row r="9675" spans="1:3">
      <c r="A9675" s="62">
        <v>35830</v>
      </c>
      <c r="B9675">
        <v>0.77349999999999997</v>
      </c>
      <c r="C9675" t="str">
        <f t="shared" si="155"/>
        <v>1998 q1</v>
      </c>
    </row>
    <row r="9676" spans="1:3">
      <c r="A9676" s="62">
        <v>35831</v>
      </c>
      <c r="B9676">
        <v>0.76900000000000002</v>
      </c>
      <c r="C9676" t="str">
        <f t="shared" si="155"/>
        <v>1998 q1</v>
      </c>
    </row>
    <row r="9677" spans="1:3">
      <c r="A9677" s="62">
        <v>35832</v>
      </c>
      <c r="B9677">
        <v>0.76549999999999996</v>
      </c>
      <c r="C9677" t="str">
        <f t="shared" si="155"/>
        <v>1998 q1</v>
      </c>
    </row>
    <row r="9678" spans="1:3">
      <c r="A9678" s="62">
        <v>35835</v>
      </c>
      <c r="B9678">
        <v>0.75349999999999995</v>
      </c>
      <c r="C9678" t="str">
        <f t="shared" si="155"/>
        <v>1998 q1</v>
      </c>
    </row>
    <row r="9679" spans="1:3">
      <c r="A9679" s="62">
        <v>35836</v>
      </c>
      <c r="B9679">
        <v>0.76949999999999996</v>
      </c>
      <c r="C9679" t="str">
        <f t="shared" si="155"/>
        <v>1998 q1</v>
      </c>
    </row>
    <row r="9680" spans="1:3">
      <c r="A9680" s="62">
        <v>35837</v>
      </c>
      <c r="B9680">
        <v>0.77149999999999996</v>
      </c>
      <c r="C9680" t="str">
        <f t="shared" si="155"/>
        <v>1998 q1</v>
      </c>
    </row>
    <row r="9681" spans="1:3">
      <c r="A9681" s="62">
        <v>35838</v>
      </c>
      <c r="B9681">
        <v>0.76949999999999996</v>
      </c>
      <c r="C9681" t="str">
        <f t="shared" si="155"/>
        <v>1998 q1</v>
      </c>
    </row>
    <row r="9682" spans="1:3">
      <c r="A9682" s="62">
        <v>35839</v>
      </c>
      <c r="B9682">
        <v>0.75949999999999995</v>
      </c>
      <c r="C9682" t="str">
        <f t="shared" ref="C9682:C9745" si="156">YEAR(A9682)&amp;" q"&amp;ROUNDUP(MONTH(A9682)/3,0)</f>
        <v>1998 q1</v>
      </c>
    </row>
    <row r="9683" spans="1:3">
      <c r="A9683" s="62">
        <v>35843</v>
      </c>
      <c r="B9683">
        <v>0.75349999999999995</v>
      </c>
      <c r="C9683" t="str">
        <f t="shared" si="156"/>
        <v>1998 q1</v>
      </c>
    </row>
    <row r="9684" spans="1:3">
      <c r="A9684" s="62">
        <v>35844</v>
      </c>
      <c r="B9684">
        <v>0.74450000000000005</v>
      </c>
      <c r="C9684" t="str">
        <f t="shared" si="156"/>
        <v>1998 q1</v>
      </c>
    </row>
    <row r="9685" spans="1:3">
      <c r="A9685" s="62">
        <v>35845</v>
      </c>
      <c r="B9685">
        <v>0.75149999999999995</v>
      </c>
      <c r="C9685" t="str">
        <f t="shared" si="156"/>
        <v>1998 q1</v>
      </c>
    </row>
    <row r="9686" spans="1:3">
      <c r="A9686" s="62">
        <v>35846</v>
      </c>
      <c r="B9686">
        <v>0.74150000000000005</v>
      </c>
      <c r="C9686" t="str">
        <f t="shared" si="156"/>
        <v>1998 q1</v>
      </c>
    </row>
    <row r="9687" spans="1:3">
      <c r="A9687" s="62">
        <v>35849</v>
      </c>
      <c r="B9687">
        <v>0.72750000000000004</v>
      </c>
      <c r="C9687" t="str">
        <f t="shared" si="156"/>
        <v>1998 q1</v>
      </c>
    </row>
    <row r="9688" spans="1:3">
      <c r="A9688" s="62">
        <v>35850</v>
      </c>
      <c r="B9688">
        <v>0.72740000000000005</v>
      </c>
      <c r="C9688" t="str">
        <f t="shared" si="156"/>
        <v>1998 q1</v>
      </c>
    </row>
    <row r="9689" spans="1:3">
      <c r="A9689" s="62">
        <v>35851</v>
      </c>
      <c r="B9689">
        <v>0.75319999999999998</v>
      </c>
      <c r="C9689" t="str">
        <f t="shared" si="156"/>
        <v>1998 q1</v>
      </c>
    </row>
    <row r="9690" spans="1:3">
      <c r="A9690" s="62">
        <v>35852</v>
      </c>
      <c r="B9690">
        <v>0.76719999999999999</v>
      </c>
      <c r="C9690" t="str">
        <f t="shared" si="156"/>
        <v>1998 q1</v>
      </c>
    </row>
    <row r="9691" spans="1:3">
      <c r="A9691" s="62">
        <v>35853</v>
      </c>
      <c r="B9691">
        <v>0.76800000000000002</v>
      </c>
      <c r="C9691" t="str">
        <f t="shared" si="156"/>
        <v>1998 q1</v>
      </c>
    </row>
    <row r="9692" spans="1:3">
      <c r="A9692" s="62">
        <v>35856</v>
      </c>
      <c r="B9692">
        <v>0.79849999999999999</v>
      </c>
      <c r="C9692" t="str">
        <f t="shared" si="156"/>
        <v>1998 q1</v>
      </c>
    </row>
    <row r="9693" spans="1:3">
      <c r="A9693" s="62">
        <v>35857</v>
      </c>
      <c r="B9693">
        <v>0.78449999999999998</v>
      </c>
      <c r="C9693" t="str">
        <f t="shared" si="156"/>
        <v>1998 q1</v>
      </c>
    </row>
    <row r="9694" spans="1:3">
      <c r="A9694" s="62">
        <v>35858</v>
      </c>
      <c r="B9694">
        <v>0.78749999999999998</v>
      </c>
      <c r="C9694" t="str">
        <f t="shared" si="156"/>
        <v>1998 q1</v>
      </c>
    </row>
    <row r="9695" spans="1:3">
      <c r="A9695" s="62">
        <v>35859</v>
      </c>
      <c r="B9695">
        <v>0.80449999999999999</v>
      </c>
      <c r="C9695" t="str">
        <f t="shared" si="156"/>
        <v>1998 q1</v>
      </c>
    </row>
    <row r="9696" spans="1:3">
      <c r="A9696" s="62">
        <v>35860</v>
      </c>
      <c r="B9696">
        <v>0.80400000000000005</v>
      </c>
      <c r="C9696" t="str">
        <f t="shared" si="156"/>
        <v>1998 q1</v>
      </c>
    </row>
    <row r="9697" spans="1:3">
      <c r="A9697" s="62">
        <v>35863</v>
      </c>
      <c r="B9697">
        <v>0.80049999999999999</v>
      </c>
      <c r="C9697" t="str">
        <f t="shared" si="156"/>
        <v>1998 q1</v>
      </c>
    </row>
    <row r="9698" spans="1:3">
      <c r="A9698" s="62">
        <v>35864</v>
      </c>
      <c r="B9698">
        <v>0.80700000000000005</v>
      </c>
      <c r="C9698" t="str">
        <f t="shared" si="156"/>
        <v>1998 q1</v>
      </c>
    </row>
    <row r="9699" spans="1:3">
      <c r="A9699" s="62">
        <v>35865</v>
      </c>
      <c r="B9699">
        <v>0.80549999999999999</v>
      </c>
      <c r="C9699" t="str">
        <f t="shared" si="156"/>
        <v>1998 q1</v>
      </c>
    </row>
    <row r="9700" spans="1:3">
      <c r="A9700" s="62">
        <v>35866</v>
      </c>
      <c r="B9700">
        <v>0.83699999999999997</v>
      </c>
      <c r="C9700" t="str">
        <f t="shared" si="156"/>
        <v>1998 q1</v>
      </c>
    </row>
    <row r="9701" spans="1:3">
      <c r="A9701" s="62">
        <v>35867</v>
      </c>
      <c r="B9701">
        <v>0.82799999999999996</v>
      </c>
      <c r="C9701" t="str">
        <f t="shared" si="156"/>
        <v>1998 q1</v>
      </c>
    </row>
    <row r="9702" spans="1:3">
      <c r="A9702" s="62">
        <v>35870</v>
      </c>
      <c r="B9702">
        <v>0.83099999999999996</v>
      </c>
      <c r="C9702" t="str">
        <f t="shared" si="156"/>
        <v>1998 q1</v>
      </c>
    </row>
    <row r="9703" spans="1:3">
      <c r="A9703" s="62">
        <v>35871</v>
      </c>
      <c r="B9703">
        <v>0.82499999999999996</v>
      </c>
      <c r="C9703" t="str">
        <f t="shared" si="156"/>
        <v>1998 q1</v>
      </c>
    </row>
    <row r="9704" spans="1:3">
      <c r="A9704" s="62">
        <v>35872</v>
      </c>
      <c r="B9704">
        <v>0.8085</v>
      </c>
      <c r="C9704" t="str">
        <f t="shared" si="156"/>
        <v>1998 q1</v>
      </c>
    </row>
    <row r="9705" spans="1:3">
      <c r="A9705" s="62">
        <v>35873</v>
      </c>
      <c r="B9705">
        <v>0.80149999999999999</v>
      </c>
      <c r="C9705" t="str">
        <f t="shared" si="156"/>
        <v>1998 q1</v>
      </c>
    </row>
    <row r="9706" spans="1:3">
      <c r="A9706" s="62">
        <v>35874</v>
      </c>
      <c r="B9706">
        <v>0.80049999999999999</v>
      </c>
      <c r="C9706" t="str">
        <f t="shared" si="156"/>
        <v>1998 q1</v>
      </c>
    </row>
    <row r="9707" spans="1:3">
      <c r="A9707" s="62">
        <v>35877</v>
      </c>
      <c r="B9707">
        <v>0.8165</v>
      </c>
      <c r="C9707" t="str">
        <f t="shared" si="156"/>
        <v>1998 q1</v>
      </c>
    </row>
    <row r="9708" spans="1:3">
      <c r="A9708" s="62">
        <v>35878</v>
      </c>
      <c r="B9708">
        <v>0.80100000000000005</v>
      </c>
      <c r="C9708" t="str">
        <f t="shared" si="156"/>
        <v>1998 q1</v>
      </c>
    </row>
    <row r="9709" spans="1:3">
      <c r="A9709" s="62">
        <v>35879</v>
      </c>
      <c r="B9709">
        <v>0.78949999999999998</v>
      </c>
      <c r="C9709" t="str">
        <f t="shared" si="156"/>
        <v>1998 q1</v>
      </c>
    </row>
    <row r="9710" spans="1:3">
      <c r="A9710" s="62">
        <v>35880</v>
      </c>
      <c r="B9710">
        <v>0.79449999999999998</v>
      </c>
      <c r="C9710" t="str">
        <f t="shared" si="156"/>
        <v>1998 q1</v>
      </c>
    </row>
    <row r="9711" spans="1:3">
      <c r="A9711" s="62">
        <v>35881</v>
      </c>
      <c r="B9711">
        <v>0.79549999999999998</v>
      </c>
      <c r="C9711" t="str">
        <f t="shared" si="156"/>
        <v>1998 q1</v>
      </c>
    </row>
    <row r="9712" spans="1:3">
      <c r="A9712" s="62">
        <v>35884</v>
      </c>
      <c r="B9712">
        <v>0.79600000000000004</v>
      </c>
      <c r="C9712" t="str">
        <f t="shared" si="156"/>
        <v>1998 q1</v>
      </c>
    </row>
    <row r="9713" spans="1:3">
      <c r="A9713" s="62">
        <v>35885</v>
      </c>
      <c r="B9713">
        <v>0.79849999999999999</v>
      </c>
      <c r="C9713" t="str">
        <f t="shared" si="156"/>
        <v>1998 q1</v>
      </c>
    </row>
    <row r="9714" spans="1:3">
      <c r="A9714" s="62">
        <v>35886</v>
      </c>
      <c r="B9714">
        <v>0.76700000000000002</v>
      </c>
      <c r="C9714" t="str">
        <f t="shared" si="156"/>
        <v>1998 q2</v>
      </c>
    </row>
    <row r="9715" spans="1:3">
      <c r="A9715" s="62">
        <v>35887</v>
      </c>
      <c r="B9715">
        <v>0.77200000000000002</v>
      </c>
      <c r="C9715" t="str">
        <f t="shared" si="156"/>
        <v>1998 q2</v>
      </c>
    </row>
    <row r="9716" spans="1:3">
      <c r="A9716" s="62">
        <v>35888</v>
      </c>
      <c r="B9716">
        <v>0.76349999999999996</v>
      </c>
      <c r="C9716" t="str">
        <f t="shared" si="156"/>
        <v>1998 q2</v>
      </c>
    </row>
    <row r="9717" spans="1:3">
      <c r="A9717" s="62">
        <v>35891</v>
      </c>
      <c r="B9717">
        <v>0.76700000000000002</v>
      </c>
      <c r="C9717" t="str">
        <f t="shared" si="156"/>
        <v>1998 q2</v>
      </c>
    </row>
    <row r="9718" spans="1:3">
      <c r="A9718" s="62">
        <v>35892</v>
      </c>
      <c r="B9718">
        <v>0.77700000000000002</v>
      </c>
      <c r="C9718" t="str">
        <f t="shared" si="156"/>
        <v>1998 q2</v>
      </c>
    </row>
    <row r="9719" spans="1:3">
      <c r="A9719" s="62">
        <v>35893</v>
      </c>
      <c r="B9719">
        <v>0.78249999999999997</v>
      </c>
      <c r="C9719" t="str">
        <f t="shared" si="156"/>
        <v>1998 q2</v>
      </c>
    </row>
    <row r="9720" spans="1:3">
      <c r="A9720" s="62">
        <v>35894</v>
      </c>
      <c r="B9720">
        <v>0.8105</v>
      </c>
      <c r="C9720" t="str">
        <f t="shared" si="156"/>
        <v>1998 q2</v>
      </c>
    </row>
    <row r="9721" spans="1:3">
      <c r="A9721" s="62">
        <v>35898</v>
      </c>
      <c r="B9721">
        <v>0.82150000000000001</v>
      </c>
      <c r="C9721" t="str">
        <f t="shared" si="156"/>
        <v>1998 q2</v>
      </c>
    </row>
    <row r="9722" spans="1:3">
      <c r="A9722" s="62">
        <v>35899</v>
      </c>
      <c r="B9722">
        <v>0.81799999999999995</v>
      </c>
      <c r="C9722" t="str">
        <f t="shared" si="156"/>
        <v>1998 q2</v>
      </c>
    </row>
    <row r="9723" spans="1:3">
      <c r="A9723" s="62">
        <v>35900</v>
      </c>
      <c r="B9723">
        <v>0.85650000000000004</v>
      </c>
      <c r="C9723" t="str">
        <f t="shared" si="156"/>
        <v>1998 q2</v>
      </c>
    </row>
    <row r="9724" spans="1:3">
      <c r="A9724" s="62">
        <v>35901</v>
      </c>
      <c r="B9724">
        <v>0.83350000000000002</v>
      </c>
      <c r="C9724" t="str">
        <f t="shared" si="156"/>
        <v>1998 q2</v>
      </c>
    </row>
    <row r="9725" spans="1:3">
      <c r="A9725" s="62">
        <v>35902</v>
      </c>
      <c r="B9725">
        <v>0.83850000000000002</v>
      </c>
      <c r="C9725" t="str">
        <f t="shared" si="156"/>
        <v>1998 q2</v>
      </c>
    </row>
    <row r="9726" spans="1:3">
      <c r="A9726" s="62">
        <v>35905</v>
      </c>
      <c r="B9726">
        <v>0.83199999999999996</v>
      </c>
      <c r="C9726" t="str">
        <f t="shared" si="156"/>
        <v>1998 q2</v>
      </c>
    </row>
    <row r="9727" spans="1:3">
      <c r="A9727" s="62">
        <v>35906</v>
      </c>
      <c r="B9727">
        <v>0.84150000000000003</v>
      </c>
      <c r="C9727" t="str">
        <f t="shared" si="156"/>
        <v>1998 q2</v>
      </c>
    </row>
    <row r="9728" spans="1:3">
      <c r="A9728" s="62">
        <v>35907</v>
      </c>
      <c r="B9728">
        <v>0.84850000000000003</v>
      </c>
      <c r="C9728" t="str">
        <f t="shared" si="156"/>
        <v>1998 q2</v>
      </c>
    </row>
    <row r="9729" spans="1:3">
      <c r="A9729" s="62">
        <v>35908</v>
      </c>
      <c r="B9729">
        <v>0.84599999999999997</v>
      </c>
      <c r="C9729" t="str">
        <f t="shared" si="156"/>
        <v>1998 q2</v>
      </c>
    </row>
    <row r="9730" spans="1:3">
      <c r="A9730" s="62">
        <v>35909</v>
      </c>
      <c r="B9730">
        <v>0.83550000000000002</v>
      </c>
      <c r="C9730" t="str">
        <f t="shared" si="156"/>
        <v>1998 q2</v>
      </c>
    </row>
    <row r="9731" spans="1:3">
      <c r="A9731" s="62">
        <v>35912</v>
      </c>
      <c r="B9731">
        <v>0.85040000000000004</v>
      </c>
      <c r="C9731" t="str">
        <f t="shared" si="156"/>
        <v>1998 q2</v>
      </c>
    </row>
    <row r="9732" spans="1:3">
      <c r="A9732" s="62">
        <v>35913</v>
      </c>
      <c r="B9732">
        <v>0.85350000000000004</v>
      </c>
      <c r="C9732" t="str">
        <f t="shared" si="156"/>
        <v>1998 q2</v>
      </c>
    </row>
    <row r="9733" spans="1:3">
      <c r="A9733" s="62">
        <v>35914</v>
      </c>
      <c r="B9733">
        <v>0.84079999999999999</v>
      </c>
      <c r="C9733" t="str">
        <f t="shared" si="156"/>
        <v>1998 q2</v>
      </c>
    </row>
    <row r="9734" spans="1:3">
      <c r="A9734" s="62">
        <v>35915</v>
      </c>
      <c r="B9734">
        <v>0.83479999999999999</v>
      </c>
      <c r="C9734" t="str">
        <f t="shared" si="156"/>
        <v>1998 q2</v>
      </c>
    </row>
    <row r="9735" spans="1:3">
      <c r="A9735" s="62">
        <v>35916</v>
      </c>
      <c r="B9735">
        <v>0.85399999999999998</v>
      </c>
      <c r="C9735" t="str">
        <f t="shared" si="156"/>
        <v>1998 q2</v>
      </c>
    </row>
    <row r="9736" spans="1:3">
      <c r="A9736" s="62">
        <v>35919</v>
      </c>
      <c r="B9736">
        <v>0.85199999999999998</v>
      </c>
      <c r="C9736" t="str">
        <f t="shared" si="156"/>
        <v>1998 q2</v>
      </c>
    </row>
    <row r="9737" spans="1:3">
      <c r="A9737" s="62">
        <v>35920</v>
      </c>
      <c r="B9737">
        <v>0.84499999999999997</v>
      </c>
      <c r="C9737" t="str">
        <f t="shared" si="156"/>
        <v>1998 q2</v>
      </c>
    </row>
    <row r="9738" spans="1:3">
      <c r="A9738" s="62">
        <v>35921</v>
      </c>
      <c r="B9738">
        <v>0.82</v>
      </c>
      <c r="C9738" t="str">
        <f t="shared" si="156"/>
        <v>1998 q2</v>
      </c>
    </row>
    <row r="9739" spans="1:3">
      <c r="A9739" s="62">
        <v>35922</v>
      </c>
      <c r="B9739">
        <v>0.79549999999999998</v>
      </c>
      <c r="C9739" t="str">
        <f t="shared" si="156"/>
        <v>1998 q2</v>
      </c>
    </row>
    <row r="9740" spans="1:3">
      <c r="A9740" s="62">
        <v>35923</v>
      </c>
      <c r="B9740">
        <v>0.79649999999999999</v>
      </c>
      <c r="C9740" t="str">
        <f t="shared" si="156"/>
        <v>1998 q2</v>
      </c>
    </row>
    <row r="9741" spans="1:3">
      <c r="A9741" s="62">
        <v>35926</v>
      </c>
      <c r="B9741">
        <v>0.78</v>
      </c>
      <c r="C9741" t="str">
        <f t="shared" si="156"/>
        <v>1998 q2</v>
      </c>
    </row>
    <row r="9742" spans="1:3">
      <c r="A9742" s="62">
        <v>35927</v>
      </c>
      <c r="B9742">
        <v>0.79300000000000004</v>
      </c>
      <c r="C9742" t="str">
        <f t="shared" si="156"/>
        <v>1998 q2</v>
      </c>
    </row>
    <row r="9743" spans="1:3">
      <c r="A9743" s="62">
        <v>35928</v>
      </c>
      <c r="B9743">
        <v>0.78600000000000003</v>
      </c>
      <c r="C9743" t="str">
        <f t="shared" si="156"/>
        <v>1998 q2</v>
      </c>
    </row>
    <row r="9744" spans="1:3">
      <c r="A9744" s="62">
        <v>35929</v>
      </c>
      <c r="B9744">
        <v>0.79049999999999998</v>
      </c>
      <c r="C9744" t="str">
        <f t="shared" si="156"/>
        <v>1998 q2</v>
      </c>
    </row>
    <row r="9745" spans="1:3">
      <c r="A9745" s="62">
        <v>35930</v>
      </c>
      <c r="B9745">
        <v>0.78349999999999997</v>
      </c>
      <c r="C9745" t="str">
        <f t="shared" si="156"/>
        <v>1998 q2</v>
      </c>
    </row>
    <row r="9746" spans="1:3">
      <c r="A9746" s="62">
        <v>35933</v>
      </c>
      <c r="B9746">
        <v>0.73750000000000004</v>
      </c>
      <c r="C9746" t="str">
        <f t="shared" ref="C9746:C9809" si="157">YEAR(A9746)&amp;" q"&amp;ROUNDUP(MONTH(A9746)/3,0)</f>
        <v>1998 q2</v>
      </c>
    </row>
    <row r="9747" spans="1:3">
      <c r="A9747" s="62">
        <v>35934</v>
      </c>
      <c r="B9747">
        <v>0.75600000000000001</v>
      </c>
      <c r="C9747" t="str">
        <f t="shared" si="157"/>
        <v>1998 q2</v>
      </c>
    </row>
    <row r="9748" spans="1:3">
      <c r="A9748" s="62">
        <v>35935</v>
      </c>
      <c r="B9748">
        <v>0.75949999999999995</v>
      </c>
      <c r="C9748" t="str">
        <f t="shared" si="157"/>
        <v>1998 q2</v>
      </c>
    </row>
    <row r="9749" spans="1:3">
      <c r="A9749" s="62">
        <v>35936</v>
      </c>
      <c r="B9749">
        <v>0.76449999999999996</v>
      </c>
      <c r="C9749" t="str">
        <f t="shared" si="157"/>
        <v>1998 q2</v>
      </c>
    </row>
    <row r="9750" spans="1:3">
      <c r="A9750" s="62">
        <v>35937</v>
      </c>
      <c r="B9750">
        <v>0.76349999999999996</v>
      </c>
      <c r="C9750" t="str">
        <f t="shared" si="157"/>
        <v>1998 q2</v>
      </c>
    </row>
    <row r="9751" spans="1:3">
      <c r="A9751" s="62">
        <v>35941</v>
      </c>
      <c r="B9751">
        <v>0.749</v>
      </c>
      <c r="C9751" t="str">
        <f t="shared" si="157"/>
        <v>1998 q2</v>
      </c>
    </row>
    <row r="9752" spans="1:3">
      <c r="A9752" s="62">
        <v>35942</v>
      </c>
      <c r="B9752">
        <v>0.76300000000000001</v>
      </c>
      <c r="C9752" t="str">
        <f t="shared" si="157"/>
        <v>1998 q2</v>
      </c>
    </row>
    <row r="9753" spans="1:3">
      <c r="A9753" s="62">
        <v>35943</v>
      </c>
      <c r="B9753">
        <v>0.76849999999999996</v>
      </c>
      <c r="C9753" t="str">
        <f t="shared" si="157"/>
        <v>1998 q2</v>
      </c>
    </row>
    <row r="9754" spans="1:3">
      <c r="A9754" s="62">
        <v>35944</v>
      </c>
      <c r="B9754">
        <v>0.77500000000000002</v>
      </c>
      <c r="C9754" t="str">
        <f t="shared" si="157"/>
        <v>1998 q2</v>
      </c>
    </row>
    <row r="9755" spans="1:3">
      <c r="A9755" s="62">
        <v>35947</v>
      </c>
      <c r="B9755">
        <v>0.75949999999999995</v>
      </c>
      <c r="C9755" t="str">
        <f t="shared" si="157"/>
        <v>1998 q2</v>
      </c>
    </row>
    <row r="9756" spans="1:3">
      <c r="A9756" s="62">
        <v>35948</v>
      </c>
      <c r="B9756">
        <v>0.74750000000000005</v>
      </c>
      <c r="C9756" t="str">
        <f t="shared" si="157"/>
        <v>1998 q2</v>
      </c>
    </row>
    <row r="9757" spans="1:3">
      <c r="A9757" s="62">
        <v>35949</v>
      </c>
      <c r="B9757">
        <v>0.76600000000000001</v>
      </c>
      <c r="C9757" t="str">
        <f t="shared" si="157"/>
        <v>1998 q2</v>
      </c>
    </row>
    <row r="9758" spans="1:3">
      <c r="A9758" s="62">
        <v>35950</v>
      </c>
      <c r="B9758">
        <v>0.755</v>
      </c>
      <c r="C9758" t="str">
        <f t="shared" si="157"/>
        <v>1998 q2</v>
      </c>
    </row>
    <row r="9759" spans="1:3">
      <c r="A9759" s="62">
        <v>35951</v>
      </c>
      <c r="B9759">
        <v>0.75849999999999995</v>
      </c>
      <c r="C9759" t="str">
        <f t="shared" si="157"/>
        <v>1998 q2</v>
      </c>
    </row>
    <row r="9760" spans="1:3">
      <c r="A9760" s="62">
        <v>35954</v>
      </c>
      <c r="B9760">
        <v>0.76500000000000001</v>
      </c>
      <c r="C9760" t="str">
        <f t="shared" si="157"/>
        <v>1998 q2</v>
      </c>
    </row>
    <row r="9761" spans="1:3">
      <c r="A9761" s="62">
        <v>35955</v>
      </c>
      <c r="B9761">
        <v>0.76349999999999996</v>
      </c>
      <c r="C9761" t="str">
        <f t="shared" si="157"/>
        <v>1998 q2</v>
      </c>
    </row>
    <row r="9762" spans="1:3">
      <c r="A9762" s="62">
        <v>35956</v>
      </c>
      <c r="B9762">
        <v>0.78049999999999997</v>
      </c>
      <c r="C9762" t="str">
        <f t="shared" si="157"/>
        <v>1998 q2</v>
      </c>
    </row>
    <row r="9763" spans="1:3">
      <c r="A9763" s="62">
        <v>35957</v>
      </c>
      <c r="B9763">
        <v>0.76349999999999996</v>
      </c>
      <c r="C9763" t="str">
        <f t="shared" si="157"/>
        <v>1998 q2</v>
      </c>
    </row>
    <row r="9764" spans="1:3">
      <c r="A9764" s="62">
        <v>35958</v>
      </c>
      <c r="B9764">
        <v>0.754</v>
      </c>
      <c r="C9764" t="str">
        <f t="shared" si="157"/>
        <v>1998 q2</v>
      </c>
    </row>
    <row r="9765" spans="1:3">
      <c r="A9765" s="62">
        <v>35961</v>
      </c>
      <c r="B9765">
        <v>0.73299999999999998</v>
      </c>
      <c r="C9765" t="str">
        <f t="shared" si="157"/>
        <v>1998 q2</v>
      </c>
    </row>
    <row r="9766" spans="1:3">
      <c r="A9766" s="62">
        <v>35962</v>
      </c>
      <c r="B9766">
        <v>0.73550000000000004</v>
      </c>
      <c r="C9766" t="str">
        <f t="shared" si="157"/>
        <v>1998 q2</v>
      </c>
    </row>
    <row r="9767" spans="1:3">
      <c r="A9767" s="62">
        <v>35963</v>
      </c>
      <c r="B9767">
        <v>0.749</v>
      </c>
      <c r="C9767" t="str">
        <f t="shared" si="157"/>
        <v>1998 q2</v>
      </c>
    </row>
    <row r="9768" spans="1:3">
      <c r="A9768" s="62">
        <v>35964</v>
      </c>
      <c r="B9768">
        <v>0.74099999999999999</v>
      </c>
      <c r="C9768" t="str">
        <f t="shared" si="157"/>
        <v>1998 q2</v>
      </c>
    </row>
    <row r="9769" spans="1:3">
      <c r="A9769" s="62">
        <v>35965</v>
      </c>
      <c r="B9769">
        <v>0.75649999999999995</v>
      </c>
      <c r="C9769" t="str">
        <f t="shared" si="157"/>
        <v>1998 q2</v>
      </c>
    </row>
    <row r="9770" spans="1:3">
      <c r="A9770" s="62">
        <v>35968</v>
      </c>
      <c r="B9770">
        <v>0.75700000000000001</v>
      </c>
      <c r="C9770" t="str">
        <f t="shared" si="157"/>
        <v>1998 q2</v>
      </c>
    </row>
    <row r="9771" spans="1:3">
      <c r="A9771" s="62">
        <v>35969</v>
      </c>
      <c r="B9771">
        <v>0.751</v>
      </c>
      <c r="C9771" t="str">
        <f t="shared" si="157"/>
        <v>1998 q2</v>
      </c>
    </row>
    <row r="9772" spans="1:3">
      <c r="A9772" s="62">
        <v>35970</v>
      </c>
      <c r="B9772">
        <v>0.746</v>
      </c>
      <c r="C9772" t="str">
        <f t="shared" si="157"/>
        <v>1998 q2</v>
      </c>
    </row>
    <row r="9773" spans="1:3">
      <c r="A9773" s="62">
        <v>35971</v>
      </c>
      <c r="B9773">
        <v>0.74450000000000005</v>
      </c>
      <c r="C9773" t="str">
        <f t="shared" si="157"/>
        <v>1998 q2</v>
      </c>
    </row>
    <row r="9774" spans="1:3">
      <c r="A9774" s="62">
        <v>35972</v>
      </c>
      <c r="B9774">
        <v>0.73970000000000002</v>
      </c>
      <c r="C9774" t="str">
        <f t="shared" si="157"/>
        <v>1998 q2</v>
      </c>
    </row>
    <row r="9775" spans="1:3">
      <c r="A9775" s="62">
        <v>35975</v>
      </c>
      <c r="B9775">
        <v>0.73399999999999999</v>
      </c>
      <c r="C9775" t="str">
        <f t="shared" si="157"/>
        <v>1998 q2</v>
      </c>
    </row>
    <row r="9776" spans="1:3">
      <c r="A9776" s="62">
        <v>35976</v>
      </c>
      <c r="B9776">
        <v>0.73709999999999998</v>
      </c>
      <c r="C9776" t="str">
        <f t="shared" si="157"/>
        <v>1998 q2</v>
      </c>
    </row>
    <row r="9777" spans="1:3">
      <c r="A9777" s="62">
        <v>35977</v>
      </c>
      <c r="B9777">
        <v>0.72499999999999998</v>
      </c>
      <c r="C9777" t="str">
        <f t="shared" si="157"/>
        <v>1998 q3</v>
      </c>
    </row>
    <row r="9778" spans="1:3">
      <c r="A9778" s="62">
        <v>35978</v>
      </c>
      <c r="B9778">
        <v>0.72850000000000004</v>
      </c>
      <c r="C9778" t="str">
        <f t="shared" si="157"/>
        <v>1998 q3</v>
      </c>
    </row>
    <row r="9779" spans="1:3">
      <c r="A9779" s="62">
        <v>35982</v>
      </c>
      <c r="B9779">
        <v>0.72150000000000003</v>
      </c>
      <c r="C9779" t="str">
        <f t="shared" si="157"/>
        <v>1998 q3</v>
      </c>
    </row>
    <row r="9780" spans="1:3">
      <c r="A9780" s="62">
        <v>35983</v>
      </c>
      <c r="B9780">
        <v>0.72399999999999998</v>
      </c>
      <c r="C9780" t="str">
        <f t="shared" si="157"/>
        <v>1998 q3</v>
      </c>
    </row>
    <row r="9781" spans="1:3">
      <c r="A9781" s="62">
        <v>35984</v>
      </c>
      <c r="B9781">
        <v>0.72199999999999998</v>
      </c>
      <c r="C9781" t="str">
        <f t="shared" si="157"/>
        <v>1998 q3</v>
      </c>
    </row>
    <row r="9782" spans="1:3">
      <c r="A9782" s="62">
        <v>35985</v>
      </c>
      <c r="B9782">
        <v>0.71799999999999997</v>
      </c>
      <c r="C9782" t="str">
        <f t="shared" si="157"/>
        <v>1998 q3</v>
      </c>
    </row>
    <row r="9783" spans="1:3">
      <c r="A9783" s="62">
        <v>35986</v>
      </c>
      <c r="B9783">
        <v>0.72299999999999998</v>
      </c>
      <c r="C9783" t="str">
        <f t="shared" si="157"/>
        <v>1998 q3</v>
      </c>
    </row>
    <row r="9784" spans="1:3">
      <c r="A9784" s="62">
        <v>35989</v>
      </c>
      <c r="B9784">
        <v>0.74299999999999999</v>
      </c>
      <c r="C9784" t="str">
        <f t="shared" si="157"/>
        <v>1998 q3</v>
      </c>
    </row>
    <row r="9785" spans="1:3">
      <c r="A9785" s="62">
        <v>35990</v>
      </c>
      <c r="B9785">
        <v>0.74950000000000006</v>
      </c>
      <c r="C9785" t="str">
        <f t="shared" si="157"/>
        <v>1998 q3</v>
      </c>
    </row>
    <row r="9786" spans="1:3">
      <c r="A9786" s="62">
        <v>35991</v>
      </c>
      <c r="B9786">
        <v>0.76549999999999996</v>
      </c>
      <c r="C9786" t="str">
        <f t="shared" si="157"/>
        <v>1998 q3</v>
      </c>
    </row>
    <row r="9787" spans="1:3">
      <c r="A9787" s="62">
        <v>35992</v>
      </c>
      <c r="B9787">
        <v>0.76600000000000001</v>
      </c>
      <c r="C9787" t="str">
        <f t="shared" si="157"/>
        <v>1998 q3</v>
      </c>
    </row>
    <row r="9788" spans="1:3">
      <c r="A9788" s="62">
        <v>35993</v>
      </c>
      <c r="B9788">
        <v>0.77049999999999996</v>
      </c>
      <c r="C9788" t="str">
        <f t="shared" si="157"/>
        <v>1998 q3</v>
      </c>
    </row>
    <row r="9789" spans="1:3">
      <c r="A9789" s="62">
        <v>35996</v>
      </c>
      <c r="B9789">
        <v>0.79049999999999998</v>
      </c>
      <c r="C9789" t="str">
        <f t="shared" si="157"/>
        <v>1998 q3</v>
      </c>
    </row>
    <row r="9790" spans="1:3">
      <c r="A9790" s="62">
        <v>35997</v>
      </c>
      <c r="B9790">
        <v>0.77249999999999996</v>
      </c>
      <c r="C9790" t="str">
        <f t="shared" si="157"/>
        <v>1998 q3</v>
      </c>
    </row>
    <row r="9791" spans="1:3">
      <c r="A9791" s="62">
        <v>35998</v>
      </c>
      <c r="B9791">
        <v>0.78200000000000003</v>
      </c>
      <c r="C9791" t="str">
        <f t="shared" si="157"/>
        <v>1998 q3</v>
      </c>
    </row>
    <row r="9792" spans="1:3">
      <c r="A9792" s="62">
        <v>35999</v>
      </c>
      <c r="B9792">
        <v>0.77800000000000002</v>
      </c>
      <c r="C9792" t="str">
        <f t="shared" si="157"/>
        <v>1998 q3</v>
      </c>
    </row>
    <row r="9793" spans="1:3">
      <c r="A9793" s="62">
        <v>36000</v>
      </c>
      <c r="B9793">
        <v>0.80700000000000005</v>
      </c>
      <c r="C9793" t="str">
        <f t="shared" si="157"/>
        <v>1998 q3</v>
      </c>
    </row>
    <row r="9794" spans="1:3">
      <c r="A9794" s="62">
        <v>36003</v>
      </c>
      <c r="B9794">
        <v>0.79149999999999998</v>
      </c>
      <c r="C9794" t="str">
        <f t="shared" si="157"/>
        <v>1998 q3</v>
      </c>
    </row>
    <row r="9795" spans="1:3">
      <c r="A9795" s="62">
        <v>36004</v>
      </c>
      <c r="B9795">
        <v>0.78849999999999998</v>
      </c>
      <c r="C9795" t="str">
        <f t="shared" si="157"/>
        <v>1998 q3</v>
      </c>
    </row>
    <row r="9796" spans="1:3">
      <c r="A9796" s="62">
        <v>36005</v>
      </c>
      <c r="B9796">
        <v>0.77949999999999997</v>
      </c>
      <c r="C9796" t="str">
        <f t="shared" si="157"/>
        <v>1998 q3</v>
      </c>
    </row>
    <row r="9797" spans="1:3">
      <c r="A9797" s="62">
        <v>36006</v>
      </c>
      <c r="B9797">
        <v>0.78349999999999997</v>
      </c>
      <c r="C9797" t="str">
        <f t="shared" si="157"/>
        <v>1998 q3</v>
      </c>
    </row>
    <row r="9798" spans="1:3">
      <c r="A9798" s="62">
        <v>36007</v>
      </c>
      <c r="B9798">
        <v>0.76949999999999996</v>
      </c>
      <c r="C9798" t="str">
        <f t="shared" si="157"/>
        <v>1998 q3</v>
      </c>
    </row>
    <row r="9799" spans="1:3">
      <c r="A9799" s="62">
        <v>36010</v>
      </c>
      <c r="B9799">
        <v>0.75</v>
      </c>
      <c r="C9799" t="str">
        <f t="shared" si="157"/>
        <v>1998 q3</v>
      </c>
    </row>
    <row r="9800" spans="1:3">
      <c r="A9800" s="62">
        <v>36011</v>
      </c>
      <c r="B9800">
        <v>0.73899999999999999</v>
      </c>
      <c r="C9800" t="str">
        <f t="shared" si="157"/>
        <v>1998 q3</v>
      </c>
    </row>
    <row r="9801" spans="1:3">
      <c r="A9801" s="62">
        <v>36012</v>
      </c>
      <c r="B9801">
        <v>0.74</v>
      </c>
      <c r="C9801" t="str">
        <f t="shared" si="157"/>
        <v>1998 q3</v>
      </c>
    </row>
    <row r="9802" spans="1:3">
      <c r="A9802" s="62">
        <v>36013</v>
      </c>
      <c r="B9802">
        <v>0.73899999999999999</v>
      </c>
      <c r="C9802" t="str">
        <f t="shared" si="157"/>
        <v>1998 q3</v>
      </c>
    </row>
    <row r="9803" spans="1:3">
      <c r="A9803" s="62">
        <v>36014</v>
      </c>
      <c r="B9803">
        <v>0.745</v>
      </c>
      <c r="C9803" t="str">
        <f t="shared" si="157"/>
        <v>1998 q3</v>
      </c>
    </row>
    <row r="9804" spans="1:3">
      <c r="A9804" s="62">
        <v>36017</v>
      </c>
      <c r="B9804">
        <v>0.73150000000000004</v>
      </c>
      <c r="C9804" t="str">
        <f t="shared" si="157"/>
        <v>1998 q3</v>
      </c>
    </row>
    <row r="9805" spans="1:3">
      <c r="A9805" s="62">
        <v>36018</v>
      </c>
      <c r="B9805">
        <v>0.71850000000000003</v>
      </c>
      <c r="C9805" t="str">
        <f t="shared" si="157"/>
        <v>1998 q3</v>
      </c>
    </row>
    <row r="9806" spans="1:3">
      <c r="A9806" s="62">
        <v>36019</v>
      </c>
      <c r="B9806">
        <v>0.72750000000000004</v>
      </c>
      <c r="C9806" t="str">
        <f t="shared" si="157"/>
        <v>1998 q3</v>
      </c>
    </row>
    <row r="9807" spans="1:3">
      <c r="A9807" s="62">
        <v>36020</v>
      </c>
      <c r="B9807">
        <v>0.72650000000000003</v>
      </c>
      <c r="C9807" t="str">
        <f t="shared" si="157"/>
        <v>1998 q3</v>
      </c>
    </row>
    <row r="9808" spans="1:3">
      <c r="A9808" s="62">
        <v>36021</v>
      </c>
      <c r="B9808">
        <v>0.72750000000000004</v>
      </c>
      <c r="C9808" t="str">
        <f t="shared" si="157"/>
        <v>1998 q3</v>
      </c>
    </row>
    <row r="9809" spans="1:3">
      <c r="A9809" s="62">
        <v>36024</v>
      </c>
      <c r="B9809">
        <v>0.73399999999999999</v>
      </c>
      <c r="C9809" t="str">
        <f t="shared" si="157"/>
        <v>1998 q3</v>
      </c>
    </row>
    <row r="9810" spans="1:3">
      <c r="A9810" s="62">
        <v>36025</v>
      </c>
      <c r="B9810">
        <v>0.72899999999999998</v>
      </c>
      <c r="C9810" t="str">
        <f t="shared" ref="C9810:C9873" si="158">YEAR(A9810)&amp;" q"&amp;ROUNDUP(MONTH(A9810)/3,0)</f>
        <v>1998 q3</v>
      </c>
    </row>
    <row r="9811" spans="1:3">
      <c r="A9811" s="62">
        <v>36026</v>
      </c>
      <c r="B9811">
        <v>0.73150000000000004</v>
      </c>
      <c r="C9811" t="str">
        <f t="shared" si="158"/>
        <v>1998 q3</v>
      </c>
    </row>
    <row r="9812" spans="1:3">
      <c r="A9812" s="62">
        <v>36027</v>
      </c>
      <c r="B9812">
        <v>0.746</v>
      </c>
      <c r="C9812" t="str">
        <f t="shared" si="158"/>
        <v>1998 q3</v>
      </c>
    </row>
    <row r="9813" spans="1:3">
      <c r="A9813" s="62">
        <v>36028</v>
      </c>
      <c r="B9813">
        <v>0.73050000000000004</v>
      </c>
      <c r="C9813" t="str">
        <f t="shared" si="158"/>
        <v>1998 q3</v>
      </c>
    </row>
    <row r="9814" spans="1:3">
      <c r="A9814" s="62">
        <v>36031</v>
      </c>
      <c r="B9814">
        <v>0.74399999999999999</v>
      </c>
      <c r="C9814" t="str">
        <f t="shared" si="158"/>
        <v>1998 q3</v>
      </c>
    </row>
    <row r="9815" spans="1:3">
      <c r="A9815" s="62">
        <v>36032</v>
      </c>
      <c r="B9815">
        <v>0.73950000000000005</v>
      </c>
      <c r="C9815" t="str">
        <f t="shared" si="158"/>
        <v>1998 q3</v>
      </c>
    </row>
    <row r="9816" spans="1:3">
      <c r="A9816" s="62">
        <v>36033</v>
      </c>
      <c r="B9816">
        <v>0.73460000000000003</v>
      </c>
      <c r="C9816" t="str">
        <f t="shared" si="158"/>
        <v>1998 q3</v>
      </c>
    </row>
    <row r="9817" spans="1:3">
      <c r="A9817" s="62">
        <v>36034</v>
      </c>
      <c r="B9817">
        <v>0.74009999999999998</v>
      </c>
      <c r="C9817" t="str">
        <f t="shared" si="158"/>
        <v>1998 q3</v>
      </c>
    </row>
    <row r="9818" spans="1:3">
      <c r="A9818" s="62">
        <v>36035</v>
      </c>
      <c r="B9818">
        <v>0.72230000000000005</v>
      </c>
      <c r="C9818" t="str">
        <f t="shared" si="158"/>
        <v>1998 q3</v>
      </c>
    </row>
    <row r="9819" spans="1:3">
      <c r="A9819" s="62">
        <v>36038</v>
      </c>
      <c r="B9819">
        <v>0.71489999999999998</v>
      </c>
      <c r="C9819" t="str">
        <f t="shared" si="158"/>
        <v>1998 q3</v>
      </c>
    </row>
    <row r="9820" spans="1:3">
      <c r="A9820" s="62">
        <v>36039</v>
      </c>
      <c r="B9820">
        <v>0.75900000000000001</v>
      </c>
      <c r="C9820" t="str">
        <f t="shared" si="158"/>
        <v>1998 q3</v>
      </c>
    </row>
    <row r="9821" spans="1:3">
      <c r="A9821" s="62">
        <v>36040</v>
      </c>
      <c r="B9821">
        <v>0.74399999999999999</v>
      </c>
      <c r="C9821" t="str">
        <f t="shared" si="158"/>
        <v>1998 q3</v>
      </c>
    </row>
    <row r="9822" spans="1:3">
      <c r="A9822" s="62">
        <v>36041</v>
      </c>
      <c r="B9822">
        <v>0.75149999999999995</v>
      </c>
      <c r="C9822" t="str">
        <f t="shared" si="158"/>
        <v>1998 q3</v>
      </c>
    </row>
    <row r="9823" spans="1:3">
      <c r="A9823" s="62">
        <v>36042</v>
      </c>
      <c r="B9823">
        <v>0.755</v>
      </c>
      <c r="C9823" t="str">
        <f t="shared" si="158"/>
        <v>1998 q3</v>
      </c>
    </row>
    <row r="9824" spans="1:3">
      <c r="A9824" s="62">
        <v>36046</v>
      </c>
      <c r="B9824">
        <v>0.77349999999999997</v>
      </c>
      <c r="C9824" t="str">
        <f t="shared" si="158"/>
        <v>1998 q3</v>
      </c>
    </row>
    <row r="9825" spans="1:3">
      <c r="A9825" s="62">
        <v>36047</v>
      </c>
      <c r="B9825">
        <v>0.78149999999999997</v>
      </c>
      <c r="C9825" t="str">
        <f t="shared" si="158"/>
        <v>1998 q3</v>
      </c>
    </row>
    <row r="9826" spans="1:3">
      <c r="A9826" s="62">
        <v>36048</v>
      </c>
      <c r="B9826">
        <v>0.77249999999999996</v>
      </c>
      <c r="C9826" t="str">
        <f t="shared" si="158"/>
        <v>1998 q3</v>
      </c>
    </row>
    <row r="9827" spans="1:3">
      <c r="A9827" s="62">
        <v>36049</v>
      </c>
      <c r="B9827">
        <v>0.76649999999999996</v>
      </c>
      <c r="C9827" t="str">
        <f t="shared" si="158"/>
        <v>1998 q3</v>
      </c>
    </row>
    <row r="9828" spans="1:3">
      <c r="A9828" s="62">
        <v>36052</v>
      </c>
      <c r="B9828">
        <v>0.75749999999999995</v>
      </c>
      <c r="C9828" t="str">
        <f t="shared" si="158"/>
        <v>1998 q3</v>
      </c>
    </row>
    <row r="9829" spans="1:3">
      <c r="A9829" s="62">
        <v>36053</v>
      </c>
      <c r="B9829">
        <v>0.77100000000000002</v>
      </c>
      <c r="C9829" t="str">
        <f t="shared" si="158"/>
        <v>1998 q3</v>
      </c>
    </row>
    <row r="9830" spans="1:3">
      <c r="A9830" s="62">
        <v>36054</v>
      </c>
      <c r="B9830">
        <v>0.76149999999999995</v>
      </c>
      <c r="C9830" t="str">
        <f t="shared" si="158"/>
        <v>1998 q3</v>
      </c>
    </row>
    <row r="9831" spans="1:3">
      <c r="A9831" s="62">
        <v>36055</v>
      </c>
      <c r="B9831">
        <v>0.748</v>
      </c>
      <c r="C9831" t="str">
        <f t="shared" si="158"/>
        <v>1998 q3</v>
      </c>
    </row>
    <row r="9832" spans="1:3">
      <c r="A9832" s="62">
        <v>36056</v>
      </c>
      <c r="B9832">
        <v>0.748</v>
      </c>
      <c r="C9832" t="str">
        <f t="shared" si="158"/>
        <v>1998 q3</v>
      </c>
    </row>
    <row r="9833" spans="1:3">
      <c r="A9833" s="62">
        <v>36059</v>
      </c>
      <c r="B9833">
        <v>0.74650000000000005</v>
      </c>
      <c r="C9833" t="str">
        <f t="shared" si="158"/>
        <v>1998 q3</v>
      </c>
    </row>
    <row r="9834" spans="1:3">
      <c r="A9834" s="62">
        <v>36060</v>
      </c>
      <c r="B9834">
        <v>0.73650000000000004</v>
      </c>
      <c r="C9834" t="str">
        <f t="shared" si="158"/>
        <v>1998 q3</v>
      </c>
    </row>
    <row r="9835" spans="1:3">
      <c r="A9835" s="62">
        <v>36061</v>
      </c>
      <c r="B9835">
        <v>0.75049999999999994</v>
      </c>
      <c r="C9835" t="str">
        <f t="shared" si="158"/>
        <v>1998 q3</v>
      </c>
    </row>
    <row r="9836" spans="1:3">
      <c r="A9836" s="62">
        <v>36062</v>
      </c>
      <c r="B9836">
        <v>0.751</v>
      </c>
      <c r="C9836" t="str">
        <f t="shared" si="158"/>
        <v>1998 q3</v>
      </c>
    </row>
    <row r="9837" spans="1:3">
      <c r="A9837" s="62">
        <v>36063</v>
      </c>
      <c r="B9837">
        <v>0.75600000000000001</v>
      </c>
      <c r="C9837" t="str">
        <f t="shared" si="158"/>
        <v>1998 q3</v>
      </c>
    </row>
    <row r="9838" spans="1:3">
      <c r="A9838" s="62">
        <v>36066</v>
      </c>
      <c r="B9838">
        <v>0.75349999999999995</v>
      </c>
      <c r="C9838" t="str">
        <f t="shared" si="158"/>
        <v>1998 q3</v>
      </c>
    </row>
    <row r="9839" spans="1:3">
      <c r="A9839" s="62">
        <v>36067</v>
      </c>
      <c r="B9839">
        <v>0.753</v>
      </c>
      <c r="C9839" t="str">
        <f t="shared" si="158"/>
        <v>1998 q3</v>
      </c>
    </row>
    <row r="9840" spans="1:3">
      <c r="A9840" s="62">
        <v>36068</v>
      </c>
      <c r="B9840">
        <v>0.73750000000000004</v>
      </c>
      <c r="C9840" t="str">
        <f t="shared" si="158"/>
        <v>1998 q3</v>
      </c>
    </row>
    <row r="9841" spans="1:3">
      <c r="A9841" s="62">
        <v>36069</v>
      </c>
      <c r="B9841">
        <v>0.73499999999999999</v>
      </c>
      <c r="C9841" t="str">
        <f t="shared" si="158"/>
        <v>1998 q4</v>
      </c>
    </row>
    <row r="9842" spans="1:3">
      <c r="A9842" s="62">
        <v>36070</v>
      </c>
      <c r="B9842">
        <v>0.72699999999999998</v>
      </c>
      <c r="C9842" t="str">
        <f t="shared" si="158"/>
        <v>1998 q4</v>
      </c>
    </row>
    <row r="9843" spans="1:3">
      <c r="A9843" s="62">
        <v>36073</v>
      </c>
      <c r="B9843">
        <v>0.71499999999999997</v>
      </c>
      <c r="C9843" t="str">
        <f t="shared" si="158"/>
        <v>1998 q4</v>
      </c>
    </row>
    <row r="9844" spans="1:3">
      <c r="A9844" s="62">
        <v>36074</v>
      </c>
      <c r="B9844">
        <v>0.72150000000000003</v>
      </c>
      <c r="C9844" t="str">
        <f t="shared" si="158"/>
        <v>1998 q4</v>
      </c>
    </row>
    <row r="9845" spans="1:3">
      <c r="A9845" s="62">
        <v>36075</v>
      </c>
      <c r="B9845">
        <v>0.73099999999999998</v>
      </c>
      <c r="C9845" t="str">
        <f t="shared" si="158"/>
        <v>1998 q4</v>
      </c>
    </row>
    <row r="9846" spans="1:3">
      <c r="A9846" s="62">
        <v>36076</v>
      </c>
      <c r="B9846">
        <v>0.72299999999999998</v>
      </c>
      <c r="C9846" t="str">
        <f t="shared" si="158"/>
        <v>1998 q4</v>
      </c>
    </row>
    <row r="9847" spans="1:3">
      <c r="A9847" s="62">
        <v>36077</v>
      </c>
      <c r="B9847">
        <v>0.72350000000000003</v>
      </c>
      <c r="C9847" t="str">
        <f t="shared" si="158"/>
        <v>1998 q4</v>
      </c>
    </row>
    <row r="9848" spans="1:3">
      <c r="A9848" s="62">
        <v>36080</v>
      </c>
      <c r="B9848">
        <v>0.72750000000000004</v>
      </c>
      <c r="C9848" t="str">
        <f t="shared" si="158"/>
        <v>1998 q4</v>
      </c>
    </row>
    <row r="9849" spans="1:3">
      <c r="A9849" s="62">
        <v>36081</v>
      </c>
      <c r="B9849">
        <v>0.73099999999999998</v>
      </c>
      <c r="C9849" t="str">
        <f t="shared" si="158"/>
        <v>1998 q4</v>
      </c>
    </row>
    <row r="9850" spans="1:3">
      <c r="A9850" s="62">
        <v>36082</v>
      </c>
      <c r="B9850">
        <v>0.72699999999999998</v>
      </c>
      <c r="C9850" t="str">
        <f t="shared" si="158"/>
        <v>1998 q4</v>
      </c>
    </row>
    <row r="9851" spans="1:3">
      <c r="A9851" s="62">
        <v>36083</v>
      </c>
      <c r="B9851">
        <v>0.72599999999999998</v>
      </c>
      <c r="C9851" t="str">
        <f t="shared" si="158"/>
        <v>1998 q4</v>
      </c>
    </row>
    <row r="9852" spans="1:3">
      <c r="A9852" s="62">
        <v>36084</v>
      </c>
      <c r="B9852">
        <v>0.74550000000000005</v>
      </c>
      <c r="C9852" t="str">
        <f t="shared" si="158"/>
        <v>1998 q4</v>
      </c>
    </row>
    <row r="9853" spans="1:3">
      <c r="A9853" s="62">
        <v>36087</v>
      </c>
      <c r="B9853">
        <v>0.73850000000000005</v>
      </c>
      <c r="C9853" t="str">
        <f t="shared" si="158"/>
        <v>1998 q4</v>
      </c>
    </row>
    <row r="9854" spans="1:3">
      <c r="A9854" s="62">
        <v>36088</v>
      </c>
      <c r="B9854">
        <v>0.73499999999999999</v>
      </c>
      <c r="C9854" t="str">
        <f t="shared" si="158"/>
        <v>1998 q4</v>
      </c>
    </row>
    <row r="9855" spans="1:3">
      <c r="A9855" s="62">
        <v>36089</v>
      </c>
      <c r="B9855">
        <v>0.73050000000000004</v>
      </c>
      <c r="C9855" t="str">
        <f t="shared" si="158"/>
        <v>1998 q4</v>
      </c>
    </row>
    <row r="9856" spans="1:3">
      <c r="A9856" s="62">
        <v>36090</v>
      </c>
      <c r="B9856">
        <v>0.72799999999999998</v>
      </c>
      <c r="C9856" t="str">
        <f t="shared" si="158"/>
        <v>1998 q4</v>
      </c>
    </row>
    <row r="9857" spans="1:3">
      <c r="A9857" s="62">
        <v>36091</v>
      </c>
      <c r="B9857">
        <v>0.72550000000000003</v>
      </c>
      <c r="C9857" t="str">
        <f t="shared" si="158"/>
        <v>1998 q4</v>
      </c>
    </row>
    <row r="9858" spans="1:3">
      <c r="A9858" s="62">
        <v>36094</v>
      </c>
      <c r="B9858">
        <v>0.71850000000000003</v>
      </c>
      <c r="C9858" t="str">
        <f t="shared" si="158"/>
        <v>1998 q4</v>
      </c>
    </row>
    <row r="9859" spans="1:3">
      <c r="A9859" s="62">
        <v>36095</v>
      </c>
      <c r="B9859">
        <v>0.71350000000000002</v>
      </c>
      <c r="C9859" t="str">
        <f t="shared" si="158"/>
        <v>1998 q4</v>
      </c>
    </row>
    <row r="9860" spans="1:3">
      <c r="A9860" s="62">
        <v>36096</v>
      </c>
      <c r="B9860">
        <v>0.70750000000000002</v>
      </c>
      <c r="C9860" t="str">
        <f t="shared" si="158"/>
        <v>1998 q4</v>
      </c>
    </row>
    <row r="9861" spans="1:3">
      <c r="A9861" s="62">
        <v>36097</v>
      </c>
      <c r="B9861">
        <v>0.71450000000000002</v>
      </c>
      <c r="C9861" t="str">
        <f t="shared" si="158"/>
        <v>1998 q4</v>
      </c>
    </row>
    <row r="9862" spans="1:3">
      <c r="A9862" s="62">
        <v>36098</v>
      </c>
      <c r="B9862">
        <v>0.72399999999999998</v>
      </c>
      <c r="C9862" t="str">
        <f t="shared" si="158"/>
        <v>1998 q4</v>
      </c>
    </row>
    <row r="9863" spans="1:3">
      <c r="A9863" s="62">
        <v>36101</v>
      </c>
      <c r="B9863">
        <v>0.72799999999999998</v>
      </c>
      <c r="C9863" t="str">
        <f t="shared" si="158"/>
        <v>1998 q4</v>
      </c>
    </row>
    <row r="9864" spans="1:3">
      <c r="A9864" s="62">
        <v>36102</v>
      </c>
      <c r="B9864">
        <v>0.72550000000000003</v>
      </c>
      <c r="C9864" t="str">
        <f t="shared" si="158"/>
        <v>1998 q4</v>
      </c>
    </row>
    <row r="9865" spans="1:3">
      <c r="A9865" s="62">
        <v>36103</v>
      </c>
      <c r="B9865">
        <v>0.73099999999999998</v>
      </c>
      <c r="C9865" t="str">
        <f t="shared" si="158"/>
        <v>1998 q4</v>
      </c>
    </row>
    <row r="9866" spans="1:3">
      <c r="A9866" s="62">
        <v>36104</v>
      </c>
      <c r="B9866">
        <v>0.73199999999999998</v>
      </c>
      <c r="C9866" t="str">
        <f t="shared" si="158"/>
        <v>1998 q4</v>
      </c>
    </row>
    <row r="9867" spans="1:3">
      <c r="A9867" s="62">
        <v>36105</v>
      </c>
      <c r="B9867">
        <v>0.73099999999999998</v>
      </c>
      <c r="C9867" t="str">
        <f t="shared" si="158"/>
        <v>1998 q4</v>
      </c>
    </row>
    <row r="9868" spans="1:3">
      <c r="A9868" s="62">
        <v>36108</v>
      </c>
      <c r="B9868">
        <v>0.72450000000000003</v>
      </c>
      <c r="C9868" t="str">
        <f t="shared" si="158"/>
        <v>1998 q4</v>
      </c>
    </row>
    <row r="9869" spans="1:3">
      <c r="A9869" s="62">
        <v>36109</v>
      </c>
      <c r="B9869">
        <v>0.71399999999999997</v>
      </c>
      <c r="C9869" t="str">
        <f t="shared" si="158"/>
        <v>1998 q4</v>
      </c>
    </row>
    <row r="9870" spans="1:3">
      <c r="A9870" s="62">
        <v>36110</v>
      </c>
      <c r="B9870">
        <v>0.71850000000000003</v>
      </c>
      <c r="C9870" t="str">
        <f t="shared" si="158"/>
        <v>1998 q4</v>
      </c>
    </row>
    <row r="9871" spans="1:3">
      <c r="A9871" s="62">
        <v>36111</v>
      </c>
      <c r="B9871">
        <v>0.72</v>
      </c>
      <c r="C9871" t="str">
        <f t="shared" si="158"/>
        <v>1998 q4</v>
      </c>
    </row>
    <row r="9872" spans="1:3">
      <c r="A9872" s="62">
        <v>36112</v>
      </c>
      <c r="B9872">
        <v>0.71050000000000002</v>
      </c>
      <c r="C9872" t="str">
        <f t="shared" si="158"/>
        <v>1998 q4</v>
      </c>
    </row>
    <row r="9873" spans="1:3">
      <c r="A9873" s="62">
        <v>36115</v>
      </c>
      <c r="B9873">
        <v>0.70399999999999996</v>
      </c>
      <c r="C9873" t="str">
        <f t="shared" si="158"/>
        <v>1998 q4</v>
      </c>
    </row>
    <row r="9874" spans="1:3">
      <c r="A9874" s="62">
        <v>36116</v>
      </c>
      <c r="B9874">
        <v>0.71550000000000002</v>
      </c>
      <c r="C9874" t="str">
        <f t="shared" ref="C9874:C9937" si="159">YEAR(A9874)&amp;" q"&amp;ROUNDUP(MONTH(A9874)/3,0)</f>
        <v>1998 q4</v>
      </c>
    </row>
    <row r="9875" spans="1:3">
      <c r="A9875" s="62">
        <v>36117</v>
      </c>
      <c r="B9875">
        <v>0.71750000000000003</v>
      </c>
      <c r="C9875" t="str">
        <f t="shared" si="159"/>
        <v>1998 q4</v>
      </c>
    </row>
    <row r="9876" spans="1:3">
      <c r="A9876" s="62">
        <v>36118</v>
      </c>
      <c r="B9876">
        <v>0.71150000000000002</v>
      </c>
      <c r="C9876" t="str">
        <f t="shared" si="159"/>
        <v>1998 q4</v>
      </c>
    </row>
    <row r="9877" spans="1:3">
      <c r="A9877" s="62">
        <v>36119</v>
      </c>
      <c r="B9877">
        <v>0.72199999999999998</v>
      </c>
      <c r="C9877" t="str">
        <f t="shared" si="159"/>
        <v>1998 q4</v>
      </c>
    </row>
    <row r="9878" spans="1:3">
      <c r="A9878" s="62">
        <v>36122</v>
      </c>
      <c r="B9878">
        <v>0.7117</v>
      </c>
      <c r="C9878" t="str">
        <f t="shared" si="159"/>
        <v>1998 q4</v>
      </c>
    </row>
    <row r="9879" spans="1:3">
      <c r="A9879" s="62">
        <v>36123</v>
      </c>
      <c r="B9879">
        <v>0.71160000000000001</v>
      </c>
      <c r="C9879" t="str">
        <f t="shared" si="159"/>
        <v>1998 q4</v>
      </c>
    </row>
    <row r="9880" spans="1:3">
      <c r="A9880" s="62">
        <v>36124</v>
      </c>
      <c r="B9880">
        <v>0.70760000000000001</v>
      </c>
      <c r="C9880" t="str">
        <f t="shared" si="159"/>
        <v>1998 q4</v>
      </c>
    </row>
    <row r="9881" spans="1:3">
      <c r="A9881" s="62">
        <v>36129</v>
      </c>
      <c r="B9881">
        <v>0.70530000000000004</v>
      </c>
      <c r="C9881" t="str">
        <f t="shared" si="159"/>
        <v>1998 q4</v>
      </c>
    </row>
    <row r="9882" spans="1:3">
      <c r="A9882" s="62">
        <v>36130</v>
      </c>
      <c r="B9882">
        <v>0.70450000000000002</v>
      </c>
      <c r="C9882" t="str">
        <f t="shared" si="159"/>
        <v>1998 q4</v>
      </c>
    </row>
    <row r="9883" spans="1:3">
      <c r="A9883" s="62">
        <v>36131</v>
      </c>
      <c r="B9883">
        <v>0.69450000000000001</v>
      </c>
      <c r="C9883" t="str">
        <f t="shared" si="159"/>
        <v>1998 q4</v>
      </c>
    </row>
    <row r="9884" spans="1:3">
      <c r="A9884" s="62">
        <v>36132</v>
      </c>
      <c r="B9884">
        <v>0.67949999999999999</v>
      </c>
      <c r="C9884" t="str">
        <f t="shared" si="159"/>
        <v>1998 q4</v>
      </c>
    </row>
    <row r="9885" spans="1:3">
      <c r="A9885" s="62">
        <v>36133</v>
      </c>
      <c r="B9885">
        <v>0.67749999999999999</v>
      </c>
      <c r="C9885" t="str">
        <f t="shared" si="159"/>
        <v>1998 q4</v>
      </c>
    </row>
    <row r="9886" spans="1:3">
      <c r="A9886" s="62">
        <v>36136</v>
      </c>
      <c r="B9886">
        <v>0.67200000000000004</v>
      </c>
      <c r="C9886" t="str">
        <f t="shared" si="159"/>
        <v>1998 q4</v>
      </c>
    </row>
    <row r="9887" spans="1:3">
      <c r="A9887" s="62">
        <v>36137</v>
      </c>
      <c r="B9887">
        <v>0.67200000000000004</v>
      </c>
      <c r="C9887" t="str">
        <f t="shared" si="159"/>
        <v>1998 q4</v>
      </c>
    </row>
    <row r="9888" spans="1:3">
      <c r="A9888" s="62">
        <v>36138</v>
      </c>
      <c r="B9888">
        <v>0.67649999999999999</v>
      </c>
      <c r="C9888" t="str">
        <f t="shared" si="159"/>
        <v>1998 q4</v>
      </c>
    </row>
    <row r="9889" spans="1:3">
      <c r="A9889" s="62">
        <v>36139</v>
      </c>
      <c r="B9889">
        <v>0.67200000000000004</v>
      </c>
      <c r="C9889" t="str">
        <f t="shared" si="159"/>
        <v>1998 q4</v>
      </c>
    </row>
    <row r="9890" spans="1:3">
      <c r="A9890" s="62">
        <v>36140</v>
      </c>
      <c r="B9890">
        <v>0.65749999999999997</v>
      </c>
      <c r="C9890" t="str">
        <f t="shared" si="159"/>
        <v>1998 q4</v>
      </c>
    </row>
    <row r="9891" spans="1:3">
      <c r="A9891" s="62">
        <v>36143</v>
      </c>
      <c r="B9891">
        <v>0.65600000000000003</v>
      </c>
      <c r="C9891" t="str">
        <f t="shared" si="159"/>
        <v>1998 q4</v>
      </c>
    </row>
    <row r="9892" spans="1:3">
      <c r="A9892" s="62">
        <v>36144</v>
      </c>
      <c r="B9892">
        <v>0.66049999999999998</v>
      </c>
      <c r="C9892" t="str">
        <f t="shared" si="159"/>
        <v>1998 q4</v>
      </c>
    </row>
    <row r="9893" spans="1:3">
      <c r="A9893" s="62">
        <v>36145</v>
      </c>
      <c r="B9893">
        <v>0.67149999999999999</v>
      </c>
      <c r="C9893" t="str">
        <f t="shared" si="159"/>
        <v>1998 q4</v>
      </c>
    </row>
    <row r="9894" spans="1:3">
      <c r="A9894" s="62">
        <v>36146</v>
      </c>
      <c r="B9894">
        <v>0.65749999999999997</v>
      </c>
      <c r="C9894" t="str">
        <f t="shared" si="159"/>
        <v>1998 q4</v>
      </c>
    </row>
    <row r="9895" spans="1:3">
      <c r="A9895" s="62">
        <v>36147</v>
      </c>
      <c r="B9895">
        <v>0.65400000000000003</v>
      </c>
      <c r="C9895" t="str">
        <f t="shared" si="159"/>
        <v>1998 q4</v>
      </c>
    </row>
    <row r="9896" spans="1:3">
      <c r="A9896" s="62">
        <v>36150</v>
      </c>
      <c r="B9896">
        <v>0.65500000000000003</v>
      </c>
      <c r="C9896" t="str">
        <f t="shared" si="159"/>
        <v>1998 q4</v>
      </c>
    </row>
    <row r="9897" spans="1:3">
      <c r="A9897" s="62">
        <v>36151</v>
      </c>
      <c r="B9897">
        <v>0.65849999999999997</v>
      </c>
      <c r="C9897" t="str">
        <f t="shared" si="159"/>
        <v>1998 q4</v>
      </c>
    </row>
    <row r="9898" spans="1:3">
      <c r="A9898" s="62">
        <v>36152</v>
      </c>
      <c r="B9898">
        <v>0.65149999999999997</v>
      </c>
      <c r="C9898" t="str">
        <f t="shared" si="159"/>
        <v>1998 q4</v>
      </c>
    </row>
    <row r="9899" spans="1:3">
      <c r="A9899" s="62">
        <v>36153</v>
      </c>
      <c r="B9899">
        <v>0.65149999999999997</v>
      </c>
      <c r="C9899" t="str">
        <f t="shared" si="159"/>
        <v>1998 q4</v>
      </c>
    </row>
    <row r="9900" spans="1:3">
      <c r="A9900" s="62">
        <v>36157</v>
      </c>
      <c r="B9900">
        <v>0.65839999999999999</v>
      </c>
      <c r="C9900" t="str">
        <f t="shared" si="159"/>
        <v>1998 q4</v>
      </c>
    </row>
    <row r="9901" spans="1:3">
      <c r="A9901" s="62">
        <v>36158</v>
      </c>
      <c r="B9901">
        <v>0.67130000000000001</v>
      </c>
      <c r="C9901" t="str">
        <f t="shared" si="159"/>
        <v>1998 q4</v>
      </c>
    </row>
    <row r="9902" spans="1:3">
      <c r="A9902" s="62">
        <v>36159</v>
      </c>
      <c r="B9902">
        <v>0.66539999999999999</v>
      </c>
      <c r="C9902" t="str">
        <f t="shared" si="159"/>
        <v>1998 q4</v>
      </c>
    </row>
    <row r="9903" spans="1:3">
      <c r="A9903" s="62">
        <v>36160</v>
      </c>
      <c r="B9903">
        <v>0.67030000000000001</v>
      </c>
      <c r="C9903" t="str">
        <f t="shared" si="159"/>
        <v>1998 q4</v>
      </c>
    </row>
    <row r="9904" spans="1:3">
      <c r="A9904" s="62">
        <v>36164</v>
      </c>
      <c r="B9904">
        <v>0.65400000000000003</v>
      </c>
      <c r="C9904" t="str">
        <f t="shared" si="159"/>
        <v>1999 q1</v>
      </c>
    </row>
    <row r="9905" spans="1:3">
      <c r="A9905" s="62">
        <v>36165</v>
      </c>
      <c r="B9905">
        <v>0.64700000000000002</v>
      </c>
      <c r="C9905" t="str">
        <f t="shared" si="159"/>
        <v>1999 q1</v>
      </c>
    </row>
    <row r="9906" spans="1:3">
      <c r="A9906" s="62">
        <v>36166</v>
      </c>
      <c r="B9906">
        <v>0.65300000000000002</v>
      </c>
      <c r="C9906" t="str">
        <f t="shared" si="159"/>
        <v>1999 q1</v>
      </c>
    </row>
    <row r="9907" spans="1:3">
      <c r="A9907" s="62">
        <v>36167</v>
      </c>
      <c r="B9907">
        <v>0.65249999999999997</v>
      </c>
      <c r="C9907" t="str">
        <f t="shared" si="159"/>
        <v>1999 q1</v>
      </c>
    </row>
    <row r="9908" spans="1:3">
      <c r="A9908" s="62">
        <v>36168</v>
      </c>
      <c r="B9908">
        <v>0.65900000000000003</v>
      </c>
      <c r="C9908" t="str">
        <f t="shared" si="159"/>
        <v>1999 q1</v>
      </c>
    </row>
    <row r="9909" spans="1:3">
      <c r="A9909" s="62">
        <v>36171</v>
      </c>
      <c r="B9909">
        <v>0.67200000000000004</v>
      </c>
      <c r="C9909" t="str">
        <f t="shared" si="159"/>
        <v>1999 q1</v>
      </c>
    </row>
    <row r="9910" spans="1:3">
      <c r="A9910" s="62">
        <v>36172</v>
      </c>
      <c r="B9910">
        <v>0.66949999999999998</v>
      </c>
      <c r="C9910" t="str">
        <f t="shared" si="159"/>
        <v>1999 q1</v>
      </c>
    </row>
    <row r="9911" spans="1:3">
      <c r="A9911" s="62">
        <v>36173</v>
      </c>
      <c r="B9911">
        <v>0.66449999999999998</v>
      </c>
      <c r="C9911" t="str">
        <f t="shared" si="159"/>
        <v>1999 q1</v>
      </c>
    </row>
    <row r="9912" spans="1:3">
      <c r="A9912" s="62">
        <v>36174</v>
      </c>
      <c r="B9912">
        <v>0.65800000000000003</v>
      </c>
      <c r="C9912" t="str">
        <f t="shared" si="159"/>
        <v>1999 q1</v>
      </c>
    </row>
    <row r="9913" spans="1:3">
      <c r="A9913" s="62">
        <v>36175</v>
      </c>
      <c r="B9913">
        <v>0.66300000000000003</v>
      </c>
      <c r="C9913" t="str">
        <f t="shared" si="159"/>
        <v>1999 q1</v>
      </c>
    </row>
    <row r="9914" spans="1:3">
      <c r="A9914" s="62">
        <v>36179</v>
      </c>
      <c r="B9914">
        <v>0.66900000000000004</v>
      </c>
      <c r="C9914" t="str">
        <f t="shared" si="159"/>
        <v>1999 q1</v>
      </c>
    </row>
    <row r="9915" spans="1:3">
      <c r="A9915" s="62">
        <v>36180</v>
      </c>
      <c r="B9915">
        <v>0.66</v>
      </c>
      <c r="C9915" t="str">
        <f t="shared" si="159"/>
        <v>1999 q1</v>
      </c>
    </row>
    <row r="9916" spans="1:3">
      <c r="A9916" s="62">
        <v>36181</v>
      </c>
      <c r="B9916">
        <v>0.65849999999999997</v>
      </c>
      <c r="C9916" t="str">
        <f t="shared" si="159"/>
        <v>1999 q1</v>
      </c>
    </row>
    <row r="9917" spans="1:3">
      <c r="A9917" s="62">
        <v>36182</v>
      </c>
      <c r="B9917">
        <v>0.65700000000000003</v>
      </c>
      <c r="C9917" t="str">
        <f t="shared" si="159"/>
        <v>1999 q1</v>
      </c>
    </row>
    <row r="9918" spans="1:3">
      <c r="A9918" s="62">
        <v>36185</v>
      </c>
      <c r="B9918">
        <v>0.65349999999999997</v>
      </c>
      <c r="C9918" t="str">
        <f t="shared" si="159"/>
        <v>1999 q1</v>
      </c>
    </row>
    <row r="9919" spans="1:3">
      <c r="A9919" s="62">
        <v>36186</v>
      </c>
      <c r="B9919">
        <v>0.64949999999999997</v>
      </c>
      <c r="C9919" t="str">
        <f t="shared" si="159"/>
        <v>1999 q1</v>
      </c>
    </row>
    <row r="9920" spans="1:3">
      <c r="A9920" s="62">
        <v>36187</v>
      </c>
      <c r="B9920">
        <v>0.64400000000000002</v>
      </c>
      <c r="C9920" t="str">
        <f t="shared" si="159"/>
        <v>1999 q1</v>
      </c>
    </row>
    <row r="9921" spans="1:3">
      <c r="A9921" s="62">
        <v>36188</v>
      </c>
      <c r="B9921">
        <v>0.64349999999999996</v>
      </c>
      <c r="C9921" t="str">
        <f t="shared" si="159"/>
        <v>1999 q1</v>
      </c>
    </row>
    <row r="9922" spans="1:3">
      <c r="A9922" s="62">
        <v>36189</v>
      </c>
      <c r="B9922">
        <v>0.64500000000000002</v>
      </c>
      <c r="C9922" t="str">
        <f t="shared" si="159"/>
        <v>1999 q1</v>
      </c>
    </row>
    <row r="9923" spans="1:3">
      <c r="A9923" s="62">
        <v>36192</v>
      </c>
      <c r="B9923">
        <v>0.64600000000000002</v>
      </c>
      <c r="C9923" t="str">
        <f t="shared" si="159"/>
        <v>1999 q1</v>
      </c>
    </row>
    <row r="9924" spans="1:3">
      <c r="A9924" s="62">
        <v>36193</v>
      </c>
      <c r="B9924">
        <v>0.64849999999999997</v>
      </c>
      <c r="C9924" t="str">
        <f t="shared" si="159"/>
        <v>1999 q1</v>
      </c>
    </row>
    <row r="9925" spans="1:3">
      <c r="A9925" s="62">
        <v>36194</v>
      </c>
      <c r="B9925">
        <v>0.64800000000000002</v>
      </c>
      <c r="C9925" t="str">
        <f t="shared" si="159"/>
        <v>1999 q1</v>
      </c>
    </row>
    <row r="9926" spans="1:3">
      <c r="A9926" s="62">
        <v>36195</v>
      </c>
      <c r="B9926">
        <v>0.65800000000000003</v>
      </c>
      <c r="C9926" t="str">
        <f t="shared" si="159"/>
        <v>1999 q1</v>
      </c>
    </row>
    <row r="9927" spans="1:3">
      <c r="A9927" s="62">
        <v>36196</v>
      </c>
      <c r="B9927">
        <v>0.66600000000000004</v>
      </c>
      <c r="C9927" t="str">
        <f t="shared" si="159"/>
        <v>1999 q1</v>
      </c>
    </row>
    <row r="9928" spans="1:3">
      <c r="A9928" s="62">
        <v>36199</v>
      </c>
      <c r="B9928">
        <v>0.6845</v>
      </c>
      <c r="C9928" t="str">
        <f t="shared" si="159"/>
        <v>1999 q1</v>
      </c>
    </row>
    <row r="9929" spans="1:3">
      <c r="A9929" s="62">
        <v>36200</v>
      </c>
      <c r="B9929">
        <v>0.66749999999999998</v>
      </c>
      <c r="C9929" t="str">
        <f t="shared" si="159"/>
        <v>1999 q1</v>
      </c>
    </row>
    <row r="9930" spans="1:3">
      <c r="A9930" s="62">
        <v>36201</v>
      </c>
      <c r="B9930">
        <v>0.66249999999999998</v>
      </c>
      <c r="C9930" t="str">
        <f t="shared" si="159"/>
        <v>1999 q1</v>
      </c>
    </row>
    <row r="9931" spans="1:3">
      <c r="A9931" s="62">
        <v>36202</v>
      </c>
      <c r="B9931">
        <v>0.66249999999999998</v>
      </c>
      <c r="C9931" t="str">
        <f t="shared" si="159"/>
        <v>1999 q1</v>
      </c>
    </row>
    <row r="9932" spans="1:3">
      <c r="A9932" s="62">
        <v>36203</v>
      </c>
      <c r="B9932">
        <v>0.65500000000000003</v>
      </c>
      <c r="C9932" t="str">
        <f t="shared" si="159"/>
        <v>1999 q1</v>
      </c>
    </row>
    <row r="9933" spans="1:3">
      <c r="A9933" s="62">
        <v>36207</v>
      </c>
      <c r="B9933">
        <v>0.62549999999999994</v>
      </c>
      <c r="C9933" t="str">
        <f t="shared" si="159"/>
        <v>1999 q1</v>
      </c>
    </row>
    <row r="9934" spans="1:3">
      <c r="A9934" s="62">
        <v>36208</v>
      </c>
      <c r="B9934">
        <v>0.62749999999999995</v>
      </c>
      <c r="C9934" t="str">
        <f t="shared" si="159"/>
        <v>1999 q1</v>
      </c>
    </row>
    <row r="9935" spans="1:3">
      <c r="A9935" s="62">
        <v>36209</v>
      </c>
      <c r="B9935">
        <v>0.61750000000000005</v>
      </c>
      <c r="C9935" t="str">
        <f t="shared" si="159"/>
        <v>1999 q1</v>
      </c>
    </row>
    <row r="9936" spans="1:3">
      <c r="A9936" s="62">
        <v>36210</v>
      </c>
      <c r="B9936">
        <v>0.61899999999999999</v>
      </c>
      <c r="C9936" t="str">
        <f t="shared" si="159"/>
        <v>1999 q1</v>
      </c>
    </row>
    <row r="9937" spans="1:3">
      <c r="A9937" s="62">
        <v>36213</v>
      </c>
      <c r="B9937">
        <v>0.61350000000000005</v>
      </c>
      <c r="C9937" t="str">
        <f t="shared" si="159"/>
        <v>1999 q1</v>
      </c>
    </row>
    <row r="9938" spans="1:3">
      <c r="A9938" s="62">
        <v>36214</v>
      </c>
      <c r="B9938">
        <v>0.62009999999999998</v>
      </c>
      <c r="C9938" t="str">
        <f t="shared" ref="C9938:C10001" si="160">YEAR(A9938)&amp;" q"&amp;ROUNDUP(MONTH(A9938)/3,0)</f>
        <v>1999 q1</v>
      </c>
    </row>
    <row r="9939" spans="1:3">
      <c r="A9939" s="62">
        <v>36215</v>
      </c>
      <c r="B9939">
        <v>0.62329999999999997</v>
      </c>
      <c r="C9939" t="str">
        <f t="shared" si="160"/>
        <v>1999 q1</v>
      </c>
    </row>
    <row r="9940" spans="1:3">
      <c r="A9940" s="62">
        <v>36216</v>
      </c>
      <c r="B9940">
        <v>0.63019999999999998</v>
      </c>
      <c r="C9940" t="str">
        <f t="shared" si="160"/>
        <v>1999 q1</v>
      </c>
    </row>
    <row r="9941" spans="1:3">
      <c r="A9941" s="62">
        <v>36217</v>
      </c>
      <c r="B9941">
        <v>0.63070000000000004</v>
      </c>
      <c r="C9941" t="str">
        <f t="shared" si="160"/>
        <v>1999 q1</v>
      </c>
    </row>
    <row r="9942" spans="1:3">
      <c r="A9942" s="62">
        <v>36220</v>
      </c>
      <c r="B9942">
        <v>0.624</v>
      </c>
      <c r="C9942" t="str">
        <f t="shared" si="160"/>
        <v>1999 q1</v>
      </c>
    </row>
    <row r="9943" spans="1:3">
      <c r="A9943" s="62">
        <v>36221</v>
      </c>
      <c r="B9943">
        <v>0.63</v>
      </c>
      <c r="C9943" t="str">
        <f t="shared" si="160"/>
        <v>1999 q1</v>
      </c>
    </row>
    <row r="9944" spans="1:3">
      <c r="A9944" s="62">
        <v>36222</v>
      </c>
      <c r="B9944">
        <v>0.63400000000000001</v>
      </c>
      <c r="C9944" t="str">
        <f t="shared" si="160"/>
        <v>1999 q1</v>
      </c>
    </row>
    <row r="9945" spans="1:3">
      <c r="A9945" s="62">
        <v>36223</v>
      </c>
      <c r="B9945">
        <v>0.63300000000000001</v>
      </c>
      <c r="C9945" t="str">
        <f t="shared" si="160"/>
        <v>1999 q1</v>
      </c>
    </row>
    <row r="9946" spans="1:3">
      <c r="A9946" s="62">
        <v>36224</v>
      </c>
      <c r="B9946">
        <v>0.63400000000000001</v>
      </c>
      <c r="C9946" t="str">
        <f t="shared" si="160"/>
        <v>1999 q1</v>
      </c>
    </row>
    <row r="9947" spans="1:3">
      <c r="A9947" s="62">
        <v>36227</v>
      </c>
      <c r="B9947">
        <v>0.62649999999999995</v>
      </c>
      <c r="C9947" t="str">
        <f t="shared" si="160"/>
        <v>1999 q1</v>
      </c>
    </row>
    <row r="9948" spans="1:3">
      <c r="A9948" s="62">
        <v>36228</v>
      </c>
      <c r="B9948">
        <v>0.63100000000000001</v>
      </c>
      <c r="C9948" t="str">
        <f t="shared" si="160"/>
        <v>1999 q1</v>
      </c>
    </row>
    <row r="9949" spans="1:3">
      <c r="A9949" s="62">
        <v>36229</v>
      </c>
      <c r="B9949">
        <v>0.63400000000000001</v>
      </c>
      <c r="C9949" t="str">
        <f t="shared" si="160"/>
        <v>1999 q1</v>
      </c>
    </row>
    <row r="9950" spans="1:3">
      <c r="A9950" s="62">
        <v>36230</v>
      </c>
      <c r="B9950">
        <v>0.63100000000000001</v>
      </c>
      <c r="C9950" t="str">
        <f t="shared" si="160"/>
        <v>1999 q1</v>
      </c>
    </row>
    <row r="9951" spans="1:3">
      <c r="A9951" s="62">
        <v>36231</v>
      </c>
      <c r="B9951">
        <v>0.62450000000000006</v>
      </c>
      <c r="C9951" t="str">
        <f t="shared" si="160"/>
        <v>1999 q1</v>
      </c>
    </row>
    <row r="9952" spans="1:3">
      <c r="A9952" s="62">
        <v>36234</v>
      </c>
      <c r="B9952">
        <v>0.61750000000000005</v>
      </c>
      <c r="C9952" t="str">
        <f t="shared" si="160"/>
        <v>1999 q1</v>
      </c>
    </row>
    <row r="9953" spans="1:3">
      <c r="A9953" s="62">
        <v>36235</v>
      </c>
      <c r="B9953">
        <v>0.61850000000000005</v>
      </c>
      <c r="C9953" t="str">
        <f t="shared" si="160"/>
        <v>1999 q1</v>
      </c>
    </row>
    <row r="9954" spans="1:3">
      <c r="A9954" s="62">
        <v>36236</v>
      </c>
      <c r="B9954">
        <v>0.623</v>
      </c>
      <c r="C9954" t="str">
        <f t="shared" si="160"/>
        <v>1999 q1</v>
      </c>
    </row>
    <row r="9955" spans="1:3">
      <c r="A9955" s="62">
        <v>36237</v>
      </c>
      <c r="B9955">
        <v>0.61650000000000005</v>
      </c>
      <c r="C9955" t="str">
        <f t="shared" si="160"/>
        <v>1999 q1</v>
      </c>
    </row>
    <row r="9956" spans="1:3">
      <c r="A9956" s="62">
        <v>36238</v>
      </c>
      <c r="B9956">
        <v>0.61750000000000005</v>
      </c>
      <c r="C9956" t="str">
        <f t="shared" si="160"/>
        <v>1999 q1</v>
      </c>
    </row>
    <row r="9957" spans="1:3">
      <c r="A9957" s="62">
        <v>36241</v>
      </c>
      <c r="B9957">
        <v>0.64500000000000002</v>
      </c>
      <c r="C9957" t="str">
        <f t="shared" si="160"/>
        <v>1999 q1</v>
      </c>
    </row>
    <row r="9958" spans="1:3">
      <c r="A9958" s="62">
        <v>36242</v>
      </c>
      <c r="B9958">
        <v>0.65600000000000003</v>
      </c>
      <c r="C9958" t="str">
        <f t="shared" si="160"/>
        <v>1999 q1</v>
      </c>
    </row>
    <row r="9959" spans="1:3">
      <c r="A9959" s="62">
        <v>36243</v>
      </c>
      <c r="B9959">
        <v>0.65200000000000002</v>
      </c>
      <c r="C9959" t="str">
        <f t="shared" si="160"/>
        <v>1999 q1</v>
      </c>
    </row>
    <row r="9960" spans="1:3">
      <c r="A9960" s="62">
        <v>36244</v>
      </c>
      <c r="B9960">
        <v>0.65849999999999997</v>
      </c>
      <c r="C9960" t="str">
        <f t="shared" si="160"/>
        <v>1999 q1</v>
      </c>
    </row>
    <row r="9961" spans="1:3">
      <c r="A9961" s="62">
        <v>36245</v>
      </c>
      <c r="B9961">
        <v>0.65149999999999997</v>
      </c>
      <c r="C9961" t="str">
        <f t="shared" si="160"/>
        <v>1999 q1</v>
      </c>
    </row>
    <row r="9962" spans="1:3">
      <c r="A9962" s="62">
        <v>36248</v>
      </c>
      <c r="B9962">
        <v>0.62450000000000006</v>
      </c>
      <c r="C9962" t="str">
        <f t="shared" si="160"/>
        <v>1999 q1</v>
      </c>
    </row>
    <row r="9963" spans="1:3">
      <c r="A9963" s="62">
        <v>36249</v>
      </c>
      <c r="B9963">
        <v>0.622</v>
      </c>
      <c r="C9963" t="str">
        <f t="shared" si="160"/>
        <v>1999 q1</v>
      </c>
    </row>
    <row r="9964" spans="1:3">
      <c r="A9964" s="62">
        <v>36250</v>
      </c>
      <c r="B9964">
        <v>0.62749999999999995</v>
      </c>
      <c r="C9964" t="str">
        <f t="shared" si="160"/>
        <v>1999 q1</v>
      </c>
    </row>
    <row r="9965" spans="1:3">
      <c r="A9965" s="62">
        <v>36251</v>
      </c>
      <c r="B9965">
        <v>0.62849999999999995</v>
      </c>
      <c r="C9965" t="str">
        <f t="shared" si="160"/>
        <v>1999 q2</v>
      </c>
    </row>
    <row r="9966" spans="1:3">
      <c r="A9966" s="62">
        <v>36255</v>
      </c>
      <c r="B9966">
        <v>0.63</v>
      </c>
      <c r="C9966" t="str">
        <f t="shared" si="160"/>
        <v>1999 q2</v>
      </c>
    </row>
    <row r="9967" spans="1:3">
      <c r="A9967" s="62">
        <v>36256</v>
      </c>
      <c r="B9967">
        <v>0.62749999999999995</v>
      </c>
      <c r="C9967" t="str">
        <f t="shared" si="160"/>
        <v>1999 q2</v>
      </c>
    </row>
    <row r="9968" spans="1:3">
      <c r="A9968" s="62">
        <v>36257</v>
      </c>
      <c r="B9968">
        <v>0.64649999999999996</v>
      </c>
      <c r="C9968" t="str">
        <f t="shared" si="160"/>
        <v>1999 q2</v>
      </c>
    </row>
    <row r="9969" spans="1:3">
      <c r="A9969" s="62">
        <v>36258</v>
      </c>
      <c r="B9969">
        <v>0.64449999999999996</v>
      </c>
      <c r="C9969" t="str">
        <f t="shared" si="160"/>
        <v>1999 q2</v>
      </c>
    </row>
    <row r="9970" spans="1:3">
      <c r="A9970" s="62">
        <v>36259</v>
      </c>
      <c r="B9970">
        <v>0.64549999999999996</v>
      </c>
      <c r="C9970" t="str">
        <f t="shared" si="160"/>
        <v>1999 q2</v>
      </c>
    </row>
    <row r="9971" spans="1:3">
      <c r="A9971" s="62">
        <v>36262</v>
      </c>
      <c r="B9971">
        <v>0.63549999999999995</v>
      </c>
      <c r="C9971" t="str">
        <f t="shared" si="160"/>
        <v>1999 q2</v>
      </c>
    </row>
    <row r="9972" spans="1:3">
      <c r="A9972" s="62">
        <v>36263</v>
      </c>
      <c r="B9972">
        <v>0.65649999999999997</v>
      </c>
      <c r="C9972" t="str">
        <f t="shared" si="160"/>
        <v>1999 q2</v>
      </c>
    </row>
    <row r="9973" spans="1:3">
      <c r="A9973" s="62">
        <v>36264</v>
      </c>
      <c r="B9973">
        <v>0.65049999999999997</v>
      </c>
      <c r="C9973" t="str">
        <f t="shared" si="160"/>
        <v>1999 q2</v>
      </c>
    </row>
    <row r="9974" spans="1:3">
      <c r="A9974" s="62">
        <v>36265</v>
      </c>
      <c r="B9974">
        <v>0.67149999999999999</v>
      </c>
      <c r="C9974" t="str">
        <f t="shared" si="160"/>
        <v>1999 q2</v>
      </c>
    </row>
    <row r="9975" spans="1:3">
      <c r="A9975" s="62">
        <v>36266</v>
      </c>
      <c r="B9975">
        <v>0.6895</v>
      </c>
      <c r="C9975" t="str">
        <f t="shared" si="160"/>
        <v>1999 q2</v>
      </c>
    </row>
    <row r="9976" spans="1:3">
      <c r="A9976" s="62">
        <v>36269</v>
      </c>
      <c r="B9976">
        <v>0.70399999999999996</v>
      </c>
      <c r="C9976" t="str">
        <f t="shared" si="160"/>
        <v>1999 q2</v>
      </c>
    </row>
    <row r="9977" spans="1:3">
      <c r="A9977" s="62">
        <v>36270</v>
      </c>
      <c r="B9977">
        <v>0.6865</v>
      </c>
      <c r="C9977" t="str">
        <f t="shared" si="160"/>
        <v>1999 q2</v>
      </c>
    </row>
    <row r="9978" spans="1:3">
      <c r="A9978" s="62">
        <v>36271</v>
      </c>
      <c r="B9978">
        <v>0.69099999999999995</v>
      </c>
      <c r="C9978" t="str">
        <f t="shared" si="160"/>
        <v>1999 q2</v>
      </c>
    </row>
    <row r="9979" spans="1:3">
      <c r="A9979" s="62">
        <v>36272</v>
      </c>
      <c r="B9979">
        <v>0.70550000000000002</v>
      </c>
      <c r="C9979" t="str">
        <f t="shared" si="160"/>
        <v>1999 q2</v>
      </c>
    </row>
    <row r="9980" spans="1:3">
      <c r="A9980" s="62">
        <v>36273</v>
      </c>
      <c r="B9980">
        <v>0.69699999999999995</v>
      </c>
      <c r="C9980" t="str">
        <f t="shared" si="160"/>
        <v>1999 q2</v>
      </c>
    </row>
    <row r="9981" spans="1:3">
      <c r="A9981" s="62">
        <v>36276</v>
      </c>
      <c r="B9981">
        <v>0.69350000000000001</v>
      </c>
      <c r="C9981" t="str">
        <f t="shared" si="160"/>
        <v>1999 q2</v>
      </c>
    </row>
    <row r="9982" spans="1:3">
      <c r="A9982" s="62">
        <v>36277</v>
      </c>
      <c r="B9982">
        <v>0.69789999999999996</v>
      </c>
      <c r="C9982" t="str">
        <f t="shared" si="160"/>
        <v>1999 q2</v>
      </c>
    </row>
    <row r="9983" spans="1:3">
      <c r="A9983" s="62">
        <v>36278</v>
      </c>
      <c r="B9983">
        <v>0.70299999999999996</v>
      </c>
      <c r="C9983" t="str">
        <f t="shared" si="160"/>
        <v>1999 q2</v>
      </c>
    </row>
    <row r="9984" spans="1:3">
      <c r="A9984" s="62">
        <v>36279</v>
      </c>
      <c r="B9984">
        <v>0.72170000000000001</v>
      </c>
      <c r="C9984" t="str">
        <f t="shared" si="160"/>
        <v>1999 q2</v>
      </c>
    </row>
    <row r="9985" spans="1:3">
      <c r="A9985" s="62">
        <v>36280</v>
      </c>
      <c r="B9985">
        <v>0.72529999999999994</v>
      </c>
      <c r="C9985" t="str">
        <f t="shared" si="160"/>
        <v>1999 q2</v>
      </c>
    </row>
    <row r="9986" spans="1:3">
      <c r="A9986" s="62">
        <v>36283</v>
      </c>
      <c r="B9986">
        <v>0.73299999999999998</v>
      </c>
      <c r="C9986" t="str">
        <f t="shared" si="160"/>
        <v>1999 q2</v>
      </c>
    </row>
    <row r="9987" spans="1:3">
      <c r="A9987" s="62">
        <v>36284</v>
      </c>
      <c r="B9987">
        <v>0.72699999999999998</v>
      </c>
      <c r="C9987" t="str">
        <f t="shared" si="160"/>
        <v>1999 q2</v>
      </c>
    </row>
    <row r="9988" spans="1:3">
      <c r="A9988" s="62">
        <v>36285</v>
      </c>
      <c r="B9988">
        <v>0.72199999999999998</v>
      </c>
      <c r="C9988" t="str">
        <f t="shared" si="160"/>
        <v>1999 q2</v>
      </c>
    </row>
    <row r="9989" spans="1:3">
      <c r="A9989" s="62">
        <v>36286</v>
      </c>
      <c r="B9989">
        <v>0.72850000000000004</v>
      </c>
      <c r="C9989" t="str">
        <f t="shared" si="160"/>
        <v>1999 q2</v>
      </c>
    </row>
    <row r="9990" spans="1:3">
      <c r="A9990" s="62">
        <v>36287</v>
      </c>
      <c r="B9990">
        <v>0.72250000000000003</v>
      </c>
      <c r="C9990" t="str">
        <f t="shared" si="160"/>
        <v>1999 q2</v>
      </c>
    </row>
    <row r="9991" spans="1:3">
      <c r="A9991" s="62">
        <v>36290</v>
      </c>
      <c r="B9991">
        <v>0.72250000000000003</v>
      </c>
      <c r="C9991" t="str">
        <f t="shared" si="160"/>
        <v>1999 q2</v>
      </c>
    </row>
    <row r="9992" spans="1:3">
      <c r="A9992" s="62">
        <v>36291</v>
      </c>
      <c r="B9992">
        <v>0.72199999999999998</v>
      </c>
      <c r="C9992" t="str">
        <f t="shared" si="160"/>
        <v>1999 q2</v>
      </c>
    </row>
    <row r="9993" spans="1:3">
      <c r="A9993" s="62">
        <v>36292</v>
      </c>
      <c r="B9993">
        <v>0.71</v>
      </c>
      <c r="C9993" t="str">
        <f t="shared" si="160"/>
        <v>1999 q2</v>
      </c>
    </row>
    <row r="9994" spans="1:3">
      <c r="A9994" s="62">
        <v>36293</v>
      </c>
      <c r="B9994">
        <v>0.71599999999999997</v>
      </c>
      <c r="C9994" t="str">
        <f t="shared" si="160"/>
        <v>1999 q2</v>
      </c>
    </row>
    <row r="9995" spans="1:3">
      <c r="A9995" s="62">
        <v>36294</v>
      </c>
      <c r="B9995">
        <v>0.71899999999999997</v>
      </c>
      <c r="C9995" t="str">
        <f t="shared" si="160"/>
        <v>1999 q2</v>
      </c>
    </row>
    <row r="9996" spans="1:3">
      <c r="A9996" s="62">
        <v>36297</v>
      </c>
      <c r="B9996">
        <v>0.71299999999999997</v>
      </c>
      <c r="C9996" t="str">
        <f t="shared" si="160"/>
        <v>1999 q2</v>
      </c>
    </row>
    <row r="9997" spans="1:3">
      <c r="A9997" s="62">
        <v>36298</v>
      </c>
      <c r="B9997">
        <v>0.70750000000000002</v>
      </c>
      <c r="C9997" t="str">
        <f t="shared" si="160"/>
        <v>1999 q2</v>
      </c>
    </row>
    <row r="9998" spans="1:3">
      <c r="A9998" s="62">
        <v>36299</v>
      </c>
      <c r="B9998">
        <v>0.68700000000000006</v>
      </c>
      <c r="C9998" t="str">
        <f t="shared" si="160"/>
        <v>1999 q2</v>
      </c>
    </row>
    <row r="9999" spans="1:3">
      <c r="A9999" s="62">
        <v>36300</v>
      </c>
      <c r="B9999">
        <v>0.67900000000000005</v>
      </c>
      <c r="C9999" t="str">
        <f t="shared" si="160"/>
        <v>1999 q2</v>
      </c>
    </row>
    <row r="10000" spans="1:3">
      <c r="A10000" s="62">
        <v>36301</v>
      </c>
      <c r="B10000">
        <v>0.67100000000000004</v>
      </c>
      <c r="C10000" t="str">
        <f t="shared" si="160"/>
        <v>1999 q2</v>
      </c>
    </row>
    <row r="10001" spans="1:3">
      <c r="A10001" s="62">
        <v>36304</v>
      </c>
      <c r="B10001">
        <v>0.67149999999999999</v>
      </c>
      <c r="C10001" t="str">
        <f t="shared" si="160"/>
        <v>1999 q2</v>
      </c>
    </row>
    <row r="10002" spans="1:3">
      <c r="A10002" s="62">
        <v>36305</v>
      </c>
      <c r="B10002">
        <v>0.67349999999999999</v>
      </c>
      <c r="C10002" t="str">
        <f t="shared" ref="C10002:C10065" si="161">YEAR(A10002)&amp;" q"&amp;ROUNDUP(MONTH(A10002)/3,0)</f>
        <v>1999 q2</v>
      </c>
    </row>
    <row r="10003" spans="1:3">
      <c r="A10003" s="62">
        <v>36306</v>
      </c>
      <c r="B10003">
        <v>0.66449999999999998</v>
      </c>
      <c r="C10003" t="str">
        <f t="shared" si="161"/>
        <v>1999 q2</v>
      </c>
    </row>
    <row r="10004" spans="1:3">
      <c r="A10004" s="62">
        <v>36307</v>
      </c>
      <c r="B10004">
        <v>0.63149999999999995</v>
      </c>
      <c r="C10004" t="str">
        <f t="shared" si="161"/>
        <v>1999 q2</v>
      </c>
    </row>
    <row r="10005" spans="1:3">
      <c r="A10005" s="62">
        <v>36308</v>
      </c>
      <c r="B10005">
        <v>0.628</v>
      </c>
      <c r="C10005" t="str">
        <f t="shared" si="161"/>
        <v>1999 q2</v>
      </c>
    </row>
    <row r="10006" spans="1:3">
      <c r="A10006" s="62">
        <v>36312</v>
      </c>
      <c r="B10006">
        <v>0.63500000000000001</v>
      </c>
      <c r="C10006" t="str">
        <f t="shared" si="161"/>
        <v>1999 q2</v>
      </c>
    </row>
    <row r="10007" spans="1:3">
      <c r="A10007" s="62">
        <v>36313</v>
      </c>
      <c r="B10007">
        <v>0.623</v>
      </c>
      <c r="C10007" t="str">
        <f t="shared" si="161"/>
        <v>1999 q2</v>
      </c>
    </row>
    <row r="10008" spans="1:3">
      <c r="A10008" s="62">
        <v>36314</v>
      </c>
      <c r="B10008">
        <v>0.624</v>
      </c>
      <c r="C10008" t="str">
        <f t="shared" si="161"/>
        <v>1999 q2</v>
      </c>
    </row>
    <row r="10009" spans="1:3">
      <c r="A10009" s="62">
        <v>36315</v>
      </c>
      <c r="B10009">
        <v>0.62</v>
      </c>
      <c r="C10009" t="str">
        <f t="shared" si="161"/>
        <v>1999 q2</v>
      </c>
    </row>
    <row r="10010" spans="1:3">
      <c r="A10010" s="62">
        <v>36318</v>
      </c>
      <c r="B10010">
        <v>0.63</v>
      </c>
      <c r="C10010" t="str">
        <f t="shared" si="161"/>
        <v>1999 q2</v>
      </c>
    </row>
    <row r="10011" spans="1:3">
      <c r="A10011" s="62">
        <v>36319</v>
      </c>
      <c r="B10011">
        <v>0.63600000000000001</v>
      </c>
      <c r="C10011" t="str">
        <f t="shared" si="161"/>
        <v>1999 q2</v>
      </c>
    </row>
    <row r="10012" spans="1:3">
      <c r="A10012" s="62">
        <v>36320</v>
      </c>
      <c r="B10012">
        <v>0.63849999999999996</v>
      </c>
      <c r="C10012" t="str">
        <f t="shared" si="161"/>
        <v>1999 q2</v>
      </c>
    </row>
    <row r="10013" spans="1:3">
      <c r="A10013" s="62">
        <v>36321</v>
      </c>
      <c r="B10013">
        <v>0.64</v>
      </c>
      <c r="C10013" t="str">
        <f t="shared" si="161"/>
        <v>1999 q2</v>
      </c>
    </row>
    <row r="10014" spans="1:3">
      <c r="A10014" s="62">
        <v>36322</v>
      </c>
      <c r="B10014">
        <v>0.64549999999999996</v>
      </c>
      <c r="C10014" t="str">
        <f t="shared" si="161"/>
        <v>1999 q2</v>
      </c>
    </row>
    <row r="10015" spans="1:3">
      <c r="A10015" s="62">
        <v>36325</v>
      </c>
      <c r="B10015">
        <v>0.64900000000000002</v>
      </c>
      <c r="C10015" t="str">
        <f t="shared" si="161"/>
        <v>1999 q2</v>
      </c>
    </row>
    <row r="10016" spans="1:3">
      <c r="A10016" s="62">
        <v>36326</v>
      </c>
      <c r="B10016">
        <v>0.63249999999999995</v>
      </c>
      <c r="C10016" t="str">
        <f t="shared" si="161"/>
        <v>1999 q2</v>
      </c>
    </row>
    <row r="10017" spans="1:3">
      <c r="A10017" s="62">
        <v>36327</v>
      </c>
      <c r="B10017">
        <v>0.62949999999999995</v>
      </c>
      <c r="C10017" t="str">
        <f t="shared" si="161"/>
        <v>1999 q2</v>
      </c>
    </row>
    <row r="10018" spans="1:3">
      <c r="A10018" s="62">
        <v>36328</v>
      </c>
      <c r="B10018">
        <v>0.63249999999999995</v>
      </c>
      <c r="C10018" t="str">
        <f t="shared" si="161"/>
        <v>1999 q2</v>
      </c>
    </row>
    <row r="10019" spans="1:3">
      <c r="A10019" s="62">
        <v>36329</v>
      </c>
      <c r="B10019">
        <v>0.65400000000000003</v>
      </c>
      <c r="C10019" t="str">
        <f t="shared" si="161"/>
        <v>1999 q2</v>
      </c>
    </row>
    <row r="10020" spans="1:3">
      <c r="A10020" s="62">
        <v>36332</v>
      </c>
      <c r="B10020">
        <v>0.66</v>
      </c>
      <c r="C10020" t="str">
        <f t="shared" si="161"/>
        <v>1999 q2</v>
      </c>
    </row>
    <row r="10021" spans="1:3">
      <c r="A10021" s="62">
        <v>36333</v>
      </c>
      <c r="B10021">
        <v>0.66400000000000003</v>
      </c>
      <c r="C10021" t="str">
        <f t="shared" si="161"/>
        <v>1999 q2</v>
      </c>
    </row>
    <row r="10022" spans="1:3">
      <c r="A10022" s="62">
        <v>36334</v>
      </c>
      <c r="B10022">
        <v>0.66</v>
      </c>
      <c r="C10022" t="str">
        <f t="shared" si="161"/>
        <v>1999 q2</v>
      </c>
    </row>
    <row r="10023" spans="1:3">
      <c r="A10023" s="62">
        <v>36335</v>
      </c>
      <c r="B10023">
        <v>0.66349999999999998</v>
      </c>
      <c r="C10023" t="str">
        <f t="shared" si="161"/>
        <v>1999 q2</v>
      </c>
    </row>
    <row r="10024" spans="1:3">
      <c r="A10024" s="62">
        <v>36336</v>
      </c>
      <c r="B10024">
        <v>0.69189999999999996</v>
      </c>
      <c r="C10024" t="str">
        <f t="shared" si="161"/>
        <v>1999 q2</v>
      </c>
    </row>
    <row r="10025" spans="1:3">
      <c r="A10025" s="62">
        <v>36339</v>
      </c>
      <c r="B10025">
        <v>0.70079999999999998</v>
      </c>
      <c r="C10025" t="str">
        <f t="shared" si="161"/>
        <v>1999 q2</v>
      </c>
    </row>
    <row r="10026" spans="1:3">
      <c r="A10026" s="62">
        <v>36340</v>
      </c>
      <c r="B10026">
        <v>0.71279999999999999</v>
      </c>
      <c r="C10026" t="str">
        <f t="shared" si="161"/>
        <v>1999 q2</v>
      </c>
    </row>
    <row r="10027" spans="1:3">
      <c r="A10027" s="62">
        <v>36341</v>
      </c>
      <c r="B10027">
        <v>0.7651</v>
      </c>
      <c r="C10027" t="str">
        <f t="shared" si="161"/>
        <v>1999 q2</v>
      </c>
    </row>
    <row r="10028" spans="1:3">
      <c r="A10028" s="62">
        <v>36342</v>
      </c>
      <c r="B10028">
        <v>0.76</v>
      </c>
      <c r="C10028" t="str">
        <f t="shared" si="161"/>
        <v>1999 q3</v>
      </c>
    </row>
    <row r="10029" spans="1:3">
      <c r="A10029" s="62">
        <v>36343</v>
      </c>
      <c r="B10029">
        <v>0.76500000000000001</v>
      </c>
      <c r="C10029" t="str">
        <f t="shared" si="161"/>
        <v>1999 q3</v>
      </c>
    </row>
    <row r="10030" spans="1:3">
      <c r="A10030" s="62">
        <v>36347</v>
      </c>
      <c r="B10030">
        <v>0.76200000000000001</v>
      </c>
      <c r="C10030" t="str">
        <f t="shared" si="161"/>
        <v>1999 q3</v>
      </c>
    </row>
    <row r="10031" spans="1:3">
      <c r="A10031" s="62">
        <v>36348</v>
      </c>
      <c r="B10031">
        <v>0.78600000000000003</v>
      </c>
      <c r="C10031" t="str">
        <f t="shared" si="161"/>
        <v>1999 q3</v>
      </c>
    </row>
    <row r="10032" spans="1:3">
      <c r="A10032" s="62">
        <v>36349</v>
      </c>
      <c r="B10032">
        <v>0.78149999999999997</v>
      </c>
      <c r="C10032" t="str">
        <f t="shared" si="161"/>
        <v>1999 q3</v>
      </c>
    </row>
    <row r="10033" spans="1:3">
      <c r="A10033" s="62">
        <v>36350</v>
      </c>
      <c r="B10033">
        <v>0.78100000000000003</v>
      </c>
      <c r="C10033" t="str">
        <f t="shared" si="161"/>
        <v>1999 q3</v>
      </c>
    </row>
    <row r="10034" spans="1:3">
      <c r="A10034" s="62">
        <v>36353</v>
      </c>
      <c r="B10034">
        <v>0.77900000000000003</v>
      </c>
      <c r="C10034" t="str">
        <f t="shared" si="161"/>
        <v>1999 q3</v>
      </c>
    </row>
    <row r="10035" spans="1:3">
      <c r="A10035" s="62">
        <v>36354</v>
      </c>
      <c r="B10035">
        <v>0.76200000000000001</v>
      </c>
      <c r="C10035" t="str">
        <f t="shared" si="161"/>
        <v>1999 q3</v>
      </c>
    </row>
    <row r="10036" spans="1:3">
      <c r="A10036" s="62">
        <v>36355</v>
      </c>
      <c r="B10036">
        <v>0.77700000000000002</v>
      </c>
      <c r="C10036" t="str">
        <f t="shared" si="161"/>
        <v>1999 q3</v>
      </c>
    </row>
    <row r="10037" spans="1:3">
      <c r="A10037" s="62">
        <v>36356</v>
      </c>
      <c r="B10037">
        <v>0.79900000000000004</v>
      </c>
      <c r="C10037" t="str">
        <f t="shared" si="161"/>
        <v>1999 q3</v>
      </c>
    </row>
    <row r="10038" spans="1:3">
      <c r="A10038" s="62">
        <v>36357</v>
      </c>
      <c r="B10038">
        <v>0.78300000000000003</v>
      </c>
      <c r="C10038" t="str">
        <f t="shared" si="161"/>
        <v>1999 q3</v>
      </c>
    </row>
    <row r="10039" spans="1:3">
      <c r="A10039" s="62">
        <v>36360</v>
      </c>
      <c r="B10039">
        <v>0.77900000000000003</v>
      </c>
      <c r="C10039" t="str">
        <f t="shared" si="161"/>
        <v>1999 q3</v>
      </c>
    </row>
    <row r="10040" spans="1:3">
      <c r="A10040" s="62">
        <v>36361</v>
      </c>
      <c r="B10040">
        <v>0.76949999999999996</v>
      </c>
      <c r="C10040" t="str">
        <f t="shared" si="161"/>
        <v>1999 q3</v>
      </c>
    </row>
    <row r="10041" spans="1:3">
      <c r="A10041" s="62">
        <v>36362</v>
      </c>
      <c r="B10041">
        <v>0.74750000000000005</v>
      </c>
      <c r="C10041" t="str">
        <f t="shared" si="161"/>
        <v>1999 q3</v>
      </c>
    </row>
    <row r="10042" spans="1:3">
      <c r="A10042" s="62">
        <v>36363</v>
      </c>
      <c r="B10042">
        <v>0.754</v>
      </c>
      <c r="C10042" t="str">
        <f t="shared" si="161"/>
        <v>1999 q3</v>
      </c>
    </row>
    <row r="10043" spans="1:3">
      <c r="A10043" s="62">
        <v>36364</v>
      </c>
      <c r="B10043">
        <v>0.746</v>
      </c>
      <c r="C10043" t="str">
        <f t="shared" si="161"/>
        <v>1999 q3</v>
      </c>
    </row>
    <row r="10044" spans="1:3">
      <c r="A10044" s="62">
        <v>36367</v>
      </c>
      <c r="B10044">
        <v>0.747</v>
      </c>
      <c r="C10044" t="str">
        <f t="shared" si="161"/>
        <v>1999 q3</v>
      </c>
    </row>
    <row r="10045" spans="1:3">
      <c r="A10045" s="62">
        <v>36368</v>
      </c>
      <c r="B10045">
        <v>0.754</v>
      </c>
      <c r="C10045" t="str">
        <f t="shared" si="161"/>
        <v>1999 q3</v>
      </c>
    </row>
    <row r="10046" spans="1:3">
      <c r="A10046" s="62">
        <v>36369</v>
      </c>
      <c r="B10046">
        <v>0.745</v>
      </c>
      <c r="C10046" t="str">
        <f t="shared" si="161"/>
        <v>1999 q3</v>
      </c>
    </row>
    <row r="10047" spans="1:3">
      <c r="A10047" s="62">
        <v>36370</v>
      </c>
      <c r="B10047">
        <v>0.73350000000000004</v>
      </c>
      <c r="C10047" t="str">
        <f t="shared" si="161"/>
        <v>1999 q3</v>
      </c>
    </row>
    <row r="10048" spans="1:3">
      <c r="A10048" s="62">
        <v>36371</v>
      </c>
      <c r="B10048">
        <v>0.76249999999999996</v>
      </c>
      <c r="C10048" t="str">
        <f t="shared" si="161"/>
        <v>1999 q3</v>
      </c>
    </row>
    <row r="10049" spans="1:3">
      <c r="A10049" s="62">
        <v>36374</v>
      </c>
      <c r="B10049">
        <v>0.748</v>
      </c>
      <c r="C10049" t="str">
        <f t="shared" si="161"/>
        <v>1999 q3</v>
      </c>
    </row>
    <row r="10050" spans="1:3">
      <c r="A10050" s="62">
        <v>36375</v>
      </c>
      <c r="B10050">
        <v>0.75600000000000001</v>
      </c>
      <c r="C10050" t="str">
        <f t="shared" si="161"/>
        <v>1999 q3</v>
      </c>
    </row>
    <row r="10051" spans="1:3">
      <c r="A10051" s="62">
        <v>36376</v>
      </c>
      <c r="B10051">
        <v>0.76149999999999995</v>
      </c>
      <c r="C10051" t="str">
        <f t="shared" si="161"/>
        <v>1999 q3</v>
      </c>
    </row>
    <row r="10052" spans="1:3">
      <c r="A10052" s="62">
        <v>36377</v>
      </c>
      <c r="B10052">
        <v>0.77400000000000002</v>
      </c>
      <c r="C10052" t="str">
        <f t="shared" si="161"/>
        <v>1999 q3</v>
      </c>
    </row>
    <row r="10053" spans="1:3">
      <c r="A10053" s="62">
        <v>36378</v>
      </c>
      <c r="B10053">
        <v>0.77700000000000002</v>
      </c>
      <c r="C10053" t="str">
        <f t="shared" si="161"/>
        <v>1999 q3</v>
      </c>
    </row>
    <row r="10054" spans="1:3">
      <c r="A10054" s="62">
        <v>36381</v>
      </c>
      <c r="B10054">
        <v>0.77749999999999997</v>
      </c>
      <c r="C10054" t="str">
        <f t="shared" si="161"/>
        <v>1999 q3</v>
      </c>
    </row>
    <row r="10055" spans="1:3">
      <c r="A10055" s="62">
        <v>36382</v>
      </c>
      <c r="B10055">
        <v>0.76749999999999996</v>
      </c>
      <c r="C10055" t="str">
        <f t="shared" si="161"/>
        <v>1999 q3</v>
      </c>
    </row>
    <row r="10056" spans="1:3">
      <c r="A10056" s="62">
        <v>36383</v>
      </c>
      <c r="B10056">
        <v>0.77749999999999997</v>
      </c>
      <c r="C10056" t="str">
        <f t="shared" si="161"/>
        <v>1999 q3</v>
      </c>
    </row>
    <row r="10057" spans="1:3">
      <c r="A10057" s="62">
        <v>36384</v>
      </c>
      <c r="B10057">
        <v>0.77100000000000002</v>
      </c>
      <c r="C10057" t="str">
        <f t="shared" si="161"/>
        <v>1999 q3</v>
      </c>
    </row>
    <row r="10058" spans="1:3">
      <c r="A10058" s="62">
        <v>36385</v>
      </c>
      <c r="B10058">
        <v>0.77600000000000002</v>
      </c>
      <c r="C10058" t="str">
        <f t="shared" si="161"/>
        <v>1999 q3</v>
      </c>
    </row>
    <row r="10059" spans="1:3">
      <c r="A10059" s="62">
        <v>36388</v>
      </c>
      <c r="B10059">
        <v>0.77500000000000002</v>
      </c>
      <c r="C10059" t="str">
        <f t="shared" si="161"/>
        <v>1999 q3</v>
      </c>
    </row>
    <row r="10060" spans="1:3">
      <c r="A10060" s="62">
        <v>36389</v>
      </c>
      <c r="B10060">
        <v>0.77049999999999996</v>
      </c>
      <c r="C10060" t="str">
        <f t="shared" si="161"/>
        <v>1999 q3</v>
      </c>
    </row>
    <row r="10061" spans="1:3">
      <c r="A10061" s="62">
        <v>36390</v>
      </c>
      <c r="B10061">
        <v>0.74550000000000005</v>
      </c>
      <c r="C10061" t="str">
        <f t="shared" si="161"/>
        <v>1999 q3</v>
      </c>
    </row>
    <row r="10062" spans="1:3">
      <c r="A10062" s="62">
        <v>36391</v>
      </c>
      <c r="B10062">
        <v>0.74750000000000005</v>
      </c>
      <c r="C10062" t="str">
        <f t="shared" si="161"/>
        <v>1999 q3</v>
      </c>
    </row>
    <row r="10063" spans="1:3">
      <c r="A10063" s="62">
        <v>36392</v>
      </c>
      <c r="B10063">
        <v>0.74050000000000005</v>
      </c>
      <c r="C10063" t="str">
        <f t="shared" si="161"/>
        <v>1999 q3</v>
      </c>
    </row>
    <row r="10064" spans="1:3">
      <c r="A10064" s="62">
        <v>36395</v>
      </c>
      <c r="B10064">
        <v>0.73899999999999999</v>
      </c>
      <c r="C10064" t="str">
        <f t="shared" si="161"/>
        <v>1999 q3</v>
      </c>
    </row>
    <row r="10065" spans="1:3">
      <c r="A10065" s="62">
        <v>36396</v>
      </c>
      <c r="B10065">
        <v>0.75549999999999995</v>
      </c>
      <c r="C10065" t="str">
        <f t="shared" si="161"/>
        <v>1999 q3</v>
      </c>
    </row>
    <row r="10066" spans="1:3">
      <c r="A10066" s="62">
        <v>36397</v>
      </c>
      <c r="B10066">
        <v>0.75249999999999995</v>
      </c>
      <c r="C10066" t="str">
        <f t="shared" ref="C10066:C10129" si="162">YEAR(A10066)&amp;" q"&amp;ROUNDUP(MONTH(A10066)/3,0)</f>
        <v>1999 q3</v>
      </c>
    </row>
    <row r="10067" spans="1:3">
      <c r="A10067" s="62">
        <v>36398</v>
      </c>
      <c r="B10067">
        <v>0.75109999999999999</v>
      </c>
      <c r="C10067" t="str">
        <f t="shared" si="162"/>
        <v>1999 q3</v>
      </c>
    </row>
    <row r="10068" spans="1:3">
      <c r="A10068" s="62">
        <v>36399</v>
      </c>
      <c r="B10068">
        <v>0.75890000000000002</v>
      </c>
      <c r="C10068" t="str">
        <f t="shared" si="162"/>
        <v>1999 q3</v>
      </c>
    </row>
    <row r="10069" spans="1:3">
      <c r="A10069" s="62">
        <v>36402</v>
      </c>
      <c r="B10069">
        <v>0.75519999999999998</v>
      </c>
      <c r="C10069" t="str">
        <f t="shared" si="162"/>
        <v>1999 q3</v>
      </c>
    </row>
    <row r="10070" spans="1:3">
      <c r="A10070" s="62">
        <v>36403</v>
      </c>
      <c r="B10070">
        <v>0.78900000000000003</v>
      </c>
      <c r="C10070" t="str">
        <f t="shared" si="162"/>
        <v>1999 q3</v>
      </c>
    </row>
    <row r="10071" spans="1:3">
      <c r="A10071" s="62">
        <v>36404</v>
      </c>
      <c r="B10071">
        <v>0.80700000000000005</v>
      </c>
      <c r="C10071" t="str">
        <f t="shared" si="162"/>
        <v>1999 q3</v>
      </c>
    </row>
    <row r="10072" spans="1:3">
      <c r="A10072" s="62">
        <v>36405</v>
      </c>
      <c r="B10072">
        <v>0.8105</v>
      </c>
      <c r="C10072" t="str">
        <f t="shared" si="162"/>
        <v>1999 q3</v>
      </c>
    </row>
    <row r="10073" spans="1:3">
      <c r="A10073" s="62">
        <v>36406</v>
      </c>
      <c r="B10073">
        <v>0.80800000000000005</v>
      </c>
      <c r="C10073" t="str">
        <f t="shared" si="162"/>
        <v>1999 q3</v>
      </c>
    </row>
    <row r="10074" spans="1:3">
      <c r="A10074" s="62">
        <v>36410</v>
      </c>
      <c r="B10074">
        <v>0.82650000000000001</v>
      </c>
      <c r="C10074" t="str">
        <f t="shared" si="162"/>
        <v>1999 q3</v>
      </c>
    </row>
    <row r="10075" spans="1:3">
      <c r="A10075" s="62">
        <v>36411</v>
      </c>
      <c r="B10075">
        <v>0.82199999999999995</v>
      </c>
      <c r="C10075" t="str">
        <f t="shared" si="162"/>
        <v>1999 q3</v>
      </c>
    </row>
    <row r="10076" spans="1:3">
      <c r="A10076" s="62">
        <v>36412</v>
      </c>
      <c r="B10076">
        <v>0.83350000000000002</v>
      </c>
      <c r="C10076" t="str">
        <f t="shared" si="162"/>
        <v>1999 q3</v>
      </c>
    </row>
    <row r="10077" spans="1:3">
      <c r="A10077" s="62">
        <v>36413</v>
      </c>
      <c r="B10077">
        <v>0.82850000000000001</v>
      </c>
      <c r="C10077" t="str">
        <f t="shared" si="162"/>
        <v>1999 q3</v>
      </c>
    </row>
    <row r="10078" spans="1:3">
      <c r="A10078" s="62">
        <v>36416</v>
      </c>
      <c r="B10078">
        <v>0.82150000000000001</v>
      </c>
      <c r="C10078" t="str">
        <f t="shared" si="162"/>
        <v>1999 q3</v>
      </c>
    </row>
    <row r="10079" spans="1:3">
      <c r="A10079" s="62">
        <v>36417</v>
      </c>
      <c r="B10079">
        <v>0.8085</v>
      </c>
      <c r="C10079" t="str">
        <f t="shared" si="162"/>
        <v>1999 q3</v>
      </c>
    </row>
    <row r="10080" spans="1:3">
      <c r="A10080" s="62">
        <v>36418</v>
      </c>
      <c r="B10080">
        <v>0.82899999999999996</v>
      </c>
      <c r="C10080" t="str">
        <f t="shared" si="162"/>
        <v>1999 q3</v>
      </c>
    </row>
    <row r="10081" spans="1:3">
      <c r="A10081" s="62">
        <v>36419</v>
      </c>
      <c r="B10081">
        <v>0.82299999999999995</v>
      </c>
      <c r="C10081" t="str">
        <f t="shared" si="162"/>
        <v>1999 q3</v>
      </c>
    </row>
    <row r="10082" spans="1:3">
      <c r="A10082" s="62">
        <v>36420</v>
      </c>
      <c r="B10082">
        <v>0.84350000000000003</v>
      </c>
      <c r="C10082" t="str">
        <f t="shared" si="162"/>
        <v>1999 q3</v>
      </c>
    </row>
    <row r="10083" spans="1:3">
      <c r="A10083" s="62">
        <v>36423</v>
      </c>
      <c r="B10083">
        <v>0.82950000000000002</v>
      </c>
      <c r="C10083" t="str">
        <f t="shared" si="162"/>
        <v>1999 q3</v>
      </c>
    </row>
    <row r="10084" spans="1:3">
      <c r="A10084" s="62">
        <v>36424</v>
      </c>
      <c r="B10084">
        <v>0.83650000000000002</v>
      </c>
      <c r="C10084" t="str">
        <f t="shared" si="162"/>
        <v>1999 q3</v>
      </c>
    </row>
    <row r="10085" spans="1:3">
      <c r="A10085" s="62">
        <v>36425</v>
      </c>
      <c r="B10085">
        <v>0.82199999999999995</v>
      </c>
      <c r="C10085" t="str">
        <f t="shared" si="162"/>
        <v>1999 q3</v>
      </c>
    </row>
    <row r="10086" spans="1:3">
      <c r="A10086" s="62">
        <v>36426</v>
      </c>
      <c r="B10086">
        <v>0.81499999999999995</v>
      </c>
      <c r="C10086" t="str">
        <f t="shared" si="162"/>
        <v>1999 q3</v>
      </c>
    </row>
    <row r="10087" spans="1:3">
      <c r="A10087" s="62">
        <v>36427</v>
      </c>
      <c r="B10087">
        <v>0.80149999999999999</v>
      </c>
      <c r="C10087" t="str">
        <f t="shared" si="162"/>
        <v>1999 q3</v>
      </c>
    </row>
    <row r="10088" spans="1:3">
      <c r="A10088" s="62">
        <v>36430</v>
      </c>
      <c r="B10088">
        <v>0.79700000000000004</v>
      </c>
      <c r="C10088" t="str">
        <f t="shared" si="162"/>
        <v>1999 q3</v>
      </c>
    </row>
    <row r="10089" spans="1:3">
      <c r="A10089" s="62">
        <v>36431</v>
      </c>
      <c r="B10089">
        <v>0.81699999999999995</v>
      </c>
      <c r="C10089" t="str">
        <f t="shared" si="162"/>
        <v>1999 q3</v>
      </c>
    </row>
    <row r="10090" spans="1:3">
      <c r="A10090" s="62">
        <v>36432</v>
      </c>
      <c r="B10090">
        <v>0.8105</v>
      </c>
      <c r="C10090" t="str">
        <f t="shared" si="162"/>
        <v>1999 q3</v>
      </c>
    </row>
    <row r="10091" spans="1:3">
      <c r="A10091" s="62">
        <v>36433</v>
      </c>
      <c r="B10091">
        <v>0.82650000000000001</v>
      </c>
      <c r="C10091" t="str">
        <f t="shared" si="162"/>
        <v>1999 q3</v>
      </c>
    </row>
    <row r="10092" spans="1:3">
      <c r="A10092" s="62">
        <v>36434</v>
      </c>
      <c r="B10092">
        <v>0.81499999999999995</v>
      </c>
      <c r="C10092" t="str">
        <f t="shared" si="162"/>
        <v>1999 q4</v>
      </c>
    </row>
    <row r="10093" spans="1:3">
      <c r="A10093" s="62">
        <v>36437</v>
      </c>
      <c r="B10093">
        <v>0.80649999999999999</v>
      </c>
      <c r="C10093" t="str">
        <f t="shared" si="162"/>
        <v>1999 q4</v>
      </c>
    </row>
    <row r="10094" spans="1:3">
      <c r="A10094" s="62">
        <v>36438</v>
      </c>
      <c r="B10094">
        <v>0.81</v>
      </c>
      <c r="C10094" t="str">
        <f t="shared" si="162"/>
        <v>1999 q4</v>
      </c>
    </row>
    <row r="10095" spans="1:3">
      <c r="A10095" s="62">
        <v>36439</v>
      </c>
      <c r="B10095">
        <v>0.80549999999999999</v>
      </c>
      <c r="C10095" t="str">
        <f t="shared" si="162"/>
        <v>1999 q4</v>
      </c>
    </row>
    <row r="10096" spans="1:3">
      <c r="A10096" s="62">
        <v>36440</v>
      </c>
      <c r="B10096">
        <v>0.80500000000000005</v>
      </c>
      <c r="C10096" t="str">
        <f t="shared" si="162"/>
        <v>1999 q4</v>
      </c>
    </row>
    <row r="10097" spans="1:3">
      <c r="A10097" s="62">
        <v>36441</v>
      </c>
      <c r="B10097">
        <v>0.76749999999999996</v>
      </c>
      <c r="C10097" t="str">
        <f t="shared" si="162"/>
        <v>1999 q4</v>
      </c>
    </row>
    <row r="10098" spans="1:3">
      <c r="A10098" s="62">
        <v>36444</v>
      </c>
      <c r="B10098">
        <v>0.75900000000000001</v>
      </c>
      <c r="C10098" t="str">
        <f t="shared" si="162"/>
        <v>1999 q4</v>
      </c>
    </row>
    <row r="10099" spans="1:3">
      <c r="A10099" s="62">
        <v>36445</v>
      </c>
      <c r="B10099">
        <v>0.78700000000000003</v>
      </c>
      <c r="C10099" t="str">
        <f t="shared" si="162"/>
        <v>1999 q4</v>
      </c>
    </row>
    <row r="10100" spans="1:3">
      <c r="A10100" s="62">
        <v>36446</v>
      </c>
      <c r="B10100">
        <v>0.79549999999999998</v>
      </c>
      <c r="C10100" t="str">
        <f t="shared" si="162"/>
        <v>1999 q4</v>
      </c>
    </row>
    <row r="10101" spans="1:3">
      <c r="A10101" s="62">
        <v>36447</v>
      </c>
      <c r="B10101">
        <v>0.79</v>
      </c>
      <c r="C10101" t="str">
        <f t="shared" si="162"/>
        <v>1999 q4</v>
      </c>
    </row>
    <row r="10102" spans="1:3">
      <c r="A10102" s="62">
        <v>36448</v>
      </c>
      <c r="B10102">
        <v>0.78949999999999998</v>
      </c>
      <c r="C10102" t="str">
        <f t="shared" si="162"/>
        <v>1999 q4</v>
      </c>
    </row>
    <row r="10103" spans="1:3">
      <c r="A10103" s="62">
        <v>36451</v>
      </c>
      <c r="B10103">
        <v>0.79600000000000004</v>
      </c>
      <c r="C10103" t="str">
        <f t="shared" si="162"/>
        <v>1999 q4</v>
      </c>
    </row>
    <row r="10104" spans="1:3">
      <c r="A10104" s="62">
        <v>36452</v>
      </c>
      <c r="B10104">
        <v>0.79100000000000004</v>
      </c>
      <c r="C10104" t="str">
        <f t="shared" si="162"/>
        <v>1999 q4</v>
      </c>
    </row>
    <row r="10105" spans="1:3">
      <c r="A10105" s="62">
        <v>36453</v>
      </c>
      <c r="B10105">
        <v>0.81299999999999994</v>
      </c>
      <c r="C10105" t="str">
        <f t="shared" si="162"/>
        <v>1999 q4</v>
      </c>
    </row>
    <row r="10106" spans="1:3">
      <c r="A10106" s="62">
        <v>36454</v>
      </c>
      <c r="B10106">
        <v>0.8125</v>
      </c>
      <c r="C10106" t="str">
        <f t="shared" si="162"/>
        <v>1999 q4</v>
      </c>
    </row>
    <row r="10107" spans="1:3">
      <c r="A10107" s="62">
        <v>36455</v>
      </c>
      <c r="B10107">
        <v>0.8175</v>
      </c>
      <c r="C10107" t="str">
        <f t="shared" si="162"/>
        <v>1999 q4</v>
      </c>
    </row>
    <row r="10108" spans="1:3">
      <c r="A10108" s="62">
        <v>36458</v>
      </c>
      <c r="B10108">
        <v>0.8095</v>
      </c>
      <c r="C10108" t="str">
        <f t="shared" si="162"/>
        <v>1999 q4</v>
      </c>
    </row>
    <row r="10109" spans="1:3">
      <c r="A10109" s="62">
        <v>36459</v>
      </c>
      <c r="B10109">
        <v>0.79800000000000004</v>
      </c>
      <c r="C10109" t="str">
        <f t="shared" si="162"/>
        <v>1999 q4</v>
      </c>
    </row>
    <row r="10110" spans="1:3">
      <c r="A10110" s="62">
        <v>36460</v>
      </c>
      <c r="B10110">
        <v>0.79749999999999999</v>
      </c>
      <c r="C10110" t="str">
        <f t="shared" si="162"/>
        <v>1999 q4</v>
      </c>
    </row>
    <row r="10111" spans="1:3">
      <c r="A10111" s="62">
        <v>36461</v>
      </c>
      <c r="B10111">
        <v>0.80700000000000005</v>
      </c>
      <c r="C10111" t="str">
        <f t="shared" si="162"/>
        <v>1999 q4</v>
      </c>
    </row>
    <row r="10112" spans="1:3">
      <c r="A10112" s="62">
        <v>36462</v>
      </c>
      <c r="B10112">
        <v>0.80549999999999999</v>
      </c>
      <c r="C10112" t="str">
        <f t="shared" si="162"/>
        <v>1999 q4</v>
      </c>
    </row>
    <row r="10113" spans="1:3">
      <c r="A10113" s="62">
        <v>36465</v>
      </c>
      <c r="B10113">
        <v>0.80500000000000005</v>
      </c>
      <c r="C10113" t="str">
        <f t="shared" si="162"/>
        <v>1999 q4</v>
      </c>
    </row>
    <row r="10114" spans="1:3">
      <c r="A10114" s="62">
        <v>36466</v>
      </c>
      <c r="B10114">
        <v>0.81399999999999995</v>
      </c>
      <c r="C10114" t="str">
        <f t="shared" si="162"/>
        <v>1999 q4</v>
      </c>
    </row>
    <row r="10115" spans="1:3">
      <c r="A10115" s="62">
        <v>36467</v>
      </c>
      <c r="B10115">
        <v>0.8115</v>
      </c>
      <c r="C10115" t="str">
        <f t="shared" si="162"/>
        <v>1999 q4</v>
      </c>
    </row>
    <row r="10116" spans="1:3">
      <c r="A10116" s="62">
        <v>36468</v>
      </c>
      <c r="B10116">
        <v>0.80900000000000005</v>
      </c>
      <c r="C10116" t="str">
        <f t="shared" si="162"/>
        <v>1999 q4</v>
      </c>
    </row>
    <row r="10117" spans="1:3">
      <c r="A10117" s="62">
        <v>36469</v>
      </c>
      <c r="B10117">
        <v>0.80049999999999999</v>
      </c>
      <c r="C10117" t="str">
        <f t="shared" si="162"/>
        <v>1999 q4</v>
      </c>
    </row>
    <row r="10118" spans="1:3">
      <c r="A10118" s="62">
        <v>36472</v>
      </c>
      <c r="B10118">
        <v>0.79849999999999999</v>
      </c>
      <c r="C10118" t="str">
        <f t="shared" si="162"/>
        <v>1999 q4</v>
      </c>
    </row>
    <row r="10119" spans="1:3">
      <c r="A10119" s="62">
        <v>36473</v>
      </c>
      <c r="B10119">
        <v>0.80449999999999999</v>
      </c>
      <c r="C10119" t="str">
        <f t="shared" si="162"/>
        <v>1999 q4</v>
      </c>
    </row>
    <row r="10120" spans="1:3">
      <c r="A10120" s="62">
        <v>36474</v>
      </c>
      <c r="B10120">
        <v>0.79049999999999998</v>
      </c>
      <c r="C10120" t="str">
        <f t="shared" si="162"/>
        <v>1999 q4</v>
      </c>
    </row>
    <row r="10121" spans="1:3">
      <c r="A10121" s="62">
        <v>36475</v>
      </c>
      <c r="B10121">
        <v>0.78049999999999997</v>
      </c>
      <c r="C10121" t="str">
        <f t="shared" si="162"/>
        <v>1999 q4</v>
      </c>
    </row>
    <row r="10122" spans="1:3">
      <c r="A10122" s="62">
        <v>36476</v>
      </c>
      <c r="B10122">
        <v>0.77249999999999996</v>
      </c>
      <c r="C10122" t="str">
        <f t="shared" si="162"/>
        <v>1999 q4</v>
      </c>
    </row>
    <row r="10123" spans="1:3">
      <c r="A10123" s="62">
        <v>36479</v>
      </c>
      <c r="B10123">
        <v>0.78200000000000003</v>
      </c>
      <c r="C10123" t="str">
        <f t="shared" si="162"/>
        <v>1999 q4</v>
      </c>
    </row>
    <row r="10124" spans="1:3">
      <c r="A10124" s="62">
        <v>36480</v>
      </c>
      <c r="B10124">
        <v>0.78349999999999997</v>
      </c>
      <c r="C10124" t="str">
        <f t="shared" si="162"/>
        <v>1999 q4</v>
      </c>
    </row>
    <row r="10125" spans="1:3">
      <c r="A10125" s="62">
        <v>36481</v>
      </c>
      <c r="B10125">
        <v>0.78300000000000003</v>
      </c>
      <c r="C10125" t="str">
        <f t="shared" si="162"/>
        <v>1999 q4</v>
      </c>
    </row>
    <row r="10126" spans="1:3">
      <c r="A10126" s="62">
        <v>36482</v>
      </c>
      <c r="B10126">
        <v>0.78249999999999997</v>
      </c>
      <c r="C10126" t="str">
        <f t="shared" si="162"/>
        <v>1999 q4</v>
      </c>
    </row>
    <row r="10127" spans="1:3">
      <c r="A10127" s="62">
        <v>36483</v>
      </c>
      <c r="B10127">
        <v>0.78549999999999998</v>
      </c>
      <c r="C10127" t="str">
        <f t="shared" si="162"/>
        <v>1999 q4</v>
      </c>
    </row>
    <row r="10128" spans="1:3">
      <c r="A10128" s="62">
        <v>36486</v>
      </c>
      <c r="B10128">
        <v>0.79</v>
      </c>
      <c r="C10128" t="str">
        <f t="shared" si="162"/>
        <v>1999 q4</v>
      </c>
    </row>
    <row r="10129" spans="1:3">
      <c r="A10129" s="62">
        <v>36487</v>
      </c>
      <c r="B10129">
        <v>0.78639999999999999</v>
      </c>
      <c r="C10129" t="str">
        <f t="shared" si="162"/>
        <v>1999 q4</v>
      </c>
    </row>
    <row r="10130" spans="1:3">
      <c r="A10130" s="62">
        <v>36488</v>
      </c>
      <c r="B10130">
        <v>0.79249999999999998</v>
      </c>
      <c r="C10130" t="str">
        <f t="shared" ref="C10130:C10193" si="163">YEAR(A10130)&amp;" q"&amp;ROUNDUP(MONTH(A10130)/3,0)</f>
        <v>1999 q4</v>
      </c>
    </row>
    <row r="10131" spans="1:3">
      <c r="A10131" s="62">
        <v>36493</v>
      </c>
      <c r="B10131">
        <v>0.80030000000000001</v>
      </c>
      <c r="C10131" t="str">
        <f t="shared" si="163"/>
        <v>1999 q4</v>
      </c>
    </row>
    <row r="10132" spans="1:3">
      <c r="A10132" s="62">
        <v>36494</v>
      </c>
      <c r="B10132">
        <v>0.80640000000000001</v>
      </c>
      <c r="C10132" t="str">
        <f t="shared" si="163"/>
        <v>1999 q4</v>
      </c>
    </row>
    <row r="10133" spans="1:3">
      <c r="A10133" s="62">
        <v>36495</v>
      </c>
      <c r="B10133">
        <v>0.79749999999999999</v>
      </c>
      <c r="C10133" t="str">
        <f t="shared" si="163"/>
        <v>1999 q4</v>
      </c>
    </row>
    <row r="10134" spans="1:3">
      <c r="A10134" s="62">
        <v>36496</v>
      </c>
      <c r="B10134">
        <v>0.79149999999999998</v>
      </c>
      <c r="C10134" t="str">
        <f t="shared" si="163"/>
        <v>1999 q4</v>
      </c>
    </row>
    <row r="10135" spans="1:3">
      <c r="A10135" s="62">
        <v>36497</v>
      </c>
      <c r="B10135">
        <v>0.80500000000000005</v>
      </c>
      <c r="C10135" t="str">
        <f t="shared" si="163"/>
        <v>1999 q4</v>
      </c>
    </row>
    <row r="10136" spans="1:3">
      <c r="A10136" s="62">
        <v>36500</v>
      </c>
      <c r="B10136">
        <v>0.80700000000000005</v>
      </c>
      <c r="C10136" t="str">
        <f t="shared" si="163"/>
        <v>1999 q4</v>
      </c>
    </row>
    <row r="10137" spans="1:3">
      <c r="A10137" s="62">
        <v>36501</v>
      </c>
      <c r="B10137">
        <v>0.79400000000000004</v>
      </c>
      <c r="C10137" t="str">
        <f t="shared" si="163"/>
        <v>1999 q4</v>
      </c>
    </row>
    <row r="10138" spans="1:3">
      <c r="A10138" s="62">
        <v>36502</v>
      </c>
      <c r="B10138">
        <v>0.79149999999999998</v>
      </c>
      <c r="C10138" t="str">
        <f t="shared" si="163"/>
        <v>1999 q4</v>
      </c>
    </row>
    <row r="10139" spans="1:3">
      <c r="A10139" s="62">
        <v>36503</v>
      </c>
      <c r="B10139">
        <v>0.79600000000000004</v>
      </c>
      <c r="C10139" t="str">
        <f t="shared" si="163"/>
        <v>1999 q4</v>
      </c>
    </row>
    <row r="10140" spans="1:3">
      <c r="A10140" s="62">
        <v>36504</v>
      </c>
      <c r="B10140">
        <v>0.78800000000000003</v>
      </c>
      <c r="C10140" t="str">
        <f t="shared" si="163"/>
        <v>1999 q4</v>
      </c>
    </row>
    <row r="10141" spans="1:3">
      <c r="A10141" s="62">
        <v>36507</v>
      </c>
      <c r="B10141">
        <v>0.79349999999999998</v>
      </c>
      <c r="C10141" t="str">
        <f t="shared" si="163"/>
        <v>1999 q4</v>
      </c>
    </row>
    <row r="10142" spans="1:3">
      <c r="A10142" s="62">
        <v>36508</v>
      </c>
      <c r="B10142">
        <v>0.79949999999999999</v>
      </c>
      <c r="C10142" t="str">
        <f t="shared" si="163"/>
        <v>1999 q4</v>
      </c>
    </row>
    <row r="10143" spans="1:3">
      <c r="A10143" s="62">
        <v>36509</v>
      </c>
      <c r="B10143">
        <v>0.82950000000000002</v>
      </c>
      <c r="C10143" t="str">
        <f t="shared" si="163"/>
        <v>1999 q4</v>
      </c>
    </row>
    <row r="10144" spans="1:3">
      <c r="A10144" s="62">
        <v>36510</v>
      </c>
      <c r="B10144">
        <v>0.83099999999999996</v>
      </c>
      <c r="C10144" t="str">
        <f t="shared" si="163"/>
        <v>1999 q4</v>
      </c>
    </row>
    <row r="10145" spans="1:3">
      <c r="A10145" s="62">
        <v>36511</v>
      </c>
      <c r="B10145">
        <v>0.83550000000000002</v>
      </c>
      <c r="C10145" t="str">
        <f t="shared" si="163"/>
        <v>1999 q4</v>
      </c>
    </row>
    <row r="10146" spans="1:3">
      <c r="A10146" s="62">
        <v>36514</v>
      </c>
      <c r="B10146">
        <v>0.83599999999999997</v>
      </c>
      <c r="C10146" t="str">
        <f t="shared" si="163"/>
        <v>1999 q4</v>
      </c>
    </row>
    <row r="10147" spans="1:3">
      <c r="A10147" s="62">
        <v>36515</v>
      </c>
      <c r="B10147">
        <v>0.82250000000000001</v>
      </c>
      <c r="C10147" t="str">
        <f t="shared" si="163"/>
        <v>1999 q4</v>
      </c>
    </row>
    <row r="10148" spans="1:3">
      <c r="A10148" s="62">
        <v>36516</v>
      </c>
      <c r="B10148">
        <v>0.84199999999999997</v>
      </c>
      <c r="C10148" t="str">
        <f t="shared" si="163"/>
        <v>1999 q4</v>
      </c>
    </row>
    <row r="10149" spans="1:3">
      <c r="A10149" s="62">
        <v>36517</v>
      </c>
      <c r="B10149">
        <v>0.84050000000000002</v>
      </c>
      <c r="C10149" t="str">
        <f t="shared" si="163"/>
        <v>1999 q4</v>
      </c>
    </row>
    <row r="10150" spans="1:3">
      <c r="A10150" s="62">
        <v>36521</v>
      </c>
      <c r="B10150">
        <v>0.84309999999999996</v>
      </c>
      <c r="C10150" t="str">
        <f t="shared" si="163"/>
        <v>1999 q4</v>
      </c>
    </row>
    <row r="10151" spans="1:3">
      <c r="A10151" s="62">
        <v>36522</v>
      </c>
      <c r="B10151">
        <v>0.8448</v>
      </c>
      <c r="C10151" t="str">
        <f t="shared" si="163"/>
        <v>1999 q4</v>
      </c>
    </row>
    <row r="10152" spans="1:3">
      <c r="A10152" s="62">
        <v>36523</v>
      </c>
      <c r="B10152">
        <v>0.85429999999999995</v>
      </c>
      <c r="C10152" t="str">
        <f t="shared" si="163"/>
        <v>1999 q4</v>
      </c>
    </row>
    <row r="10153" spans="1:3">
      <c r="A10153" s="62">
        <v>36524</v>
      </c>
      <c r="B10153">
        <v>0.8609</v>
      </c>
      <c r="C10153" t="str">
        <f t="shared" si="163"/>
        <v>1999 q4</v>
      </c>
    </row>
    <row r="10154" spans="1:3">
      <c r="A10154" s="62">
        <v>36529</v>
      </c>
      <c r="B10154">
        <v>0.84799999999999998</v>
      </c>
      <c r="C10154" t="str">
        <f t="shared" si="163"/>
        <v>2000 q1</v>
      </c>
    </row>
    <row r="10155" spans="1:3">
      <c r="A10155" s="62">
        <v>36530</v>
      </c>
      <c r="B10155">
        <v>0.85650000000000004</v>
      </c>
      <c r="C10155" t="str">
        <f t="shared" si="163"/>
        <v>2000 q1</v>
      </c>
    </row>
    <row r="10156" spans="1:3">
      <c r="A10156" s="62">
        <v>36531</v>
      </c>
      <c r="B10156">
        <v>0.85299999999999998</v>
      </c>
      <c r="C10156" t="str">
        <f t="shared" si="163"/>
        <v>2000 q1</v>
      </c>
    </row>
    <row r="10157" spans="1:3">
      <c r="A10157" s="62">
        <v>36532</v>
      </c>
      <c r="B10157">
        <v>0.85399999999999998</v>
      </c>
      <c r="C10157" t="str">
        <f t="shared" si="163"/>
        <v>2000 q1</v>
      </c>
    </row>
    <row r="10158" spans="1:3">
      <c r="A10158" s="62">
        <v>36535</v>
      </c>
      <c r="B10158">
        <v>0.84650000000000003</v>
      </c>
      <c r="C10158" t="str">
        <f t="shared" si="163"/>
        <v>2000 q1</v>
      </c>
    </row>
    <row r="10159" spans="1:3">
      <c r="A10159" s="62">
        <v>36536</v>
      </c>
      <c r="B10159">
        <v>0.84350000000000003</v>
      </c>
      <c r="C10159" t="str">
        <f t="shared" si="163"/>
        <v>2000 q1</v>
      </c>
    </row>
    <row r="10160" spans="1:3">
      <c r="A10160" s="62">
        <v>36537</v>
      </c>
      <c r="B10160">
        <v>0.86599999999999999</v>
      </c>
      <c r="C10160" t="str">
        <f t="shared" si="163"/>
        <v>2000 q1</v>
      </c>
    </row>
    <row r="10161" spans="1:3">
      <c r="A10161" s="62">
        <v>36538</v>
      </c>
      <c r="B10161">
        <v>0.85650000000000004</v>
      </c>
      <c r="C10161" t="str">
        <f t="shared" si="163"/>
        <v>2000 q1</v>
      </c>
    </row>
    <row r="10162" spans="1:3">
      <c r="A10162" s="62">
        <v>36539</v>
      </c>
      <c r="B10162">
        <v>0.86250000000000004</v>
      </c>
      <c r="C10162" t="str">
        <f t="shared" si="163"/>
        <v>2000 q1</v>
      </c>
    </row>
    <row r="10163" spans="1:3">
      <c r="A10163" s="62">
        <v>36543</v>
      </c>
      <c r="B10163">
        <v>0.86599999999999999</v>
      </c>
      <c r="C10163" t="str">
        <f t="shared" si="163"/>
        <v>2000 q1</v>
      </c>
    </row>
    <row r="10164" spans="1:3">
      <c r="A10164" s="62">
        <v>36544</v>
      </c>
      <c r="B10164">
        <v>0.88249999999999995</v>
      </c>
      <c r="C10164" t="str">
        <f t="shared" si="163"/>
        <v>2000 q1</v>
      </c>
    </row>
    <row r="10165" spans="1:3">
      <c r="A10165" s="62">
        <v>36545</v>
      </c>
      <c r="B10165">
        <v>0.873</v>
      </c>
      <c r="C10165" t="str">
        <f t="shared" si="163"/>
        <v>2000 q1</v>
      </c>
    </row>
    <row r="10166" spans="1:3">
      <c r="A10166" s="62">
        <v>36546</v>
      </c>
      <c r="B10166">
        <v>0.873</v>
      </c>
      <c r="C10166" t="str">
        <f t="shared" si="163"/>
        <v>2000 q1</v>
      </c>
    </row>
    <row r="10167" spans="1:3">
      <c r="A10167" s="62">
        <v>36549</v>
      </c>
      <c r="B10167">
        <v>0.85650000000000004</v>
      </c>
      <c r="C10167" t="str">
        <f t="shared" si="163"/>
        <v>2000 q1</v>
      </c>
    </row>
    <row r="10168" spans="1:3">
      <c r="A10168" s="62">
        <v>36550</v>
      </c>
      <c r="B10168">
        <v>0.84250000000000003</v>
      </c>
      <c r="C10168" t="str">
        <f t="shared" si="163"/>
        <v>2000 q1</v>
      </c>
    </row>
    <row r="10169" spans="1:3">
      <c r="A10169" s="62">
        <v>36551</v>
      </c>
      <c r="B10169">
        <v>0.84150000000000003</v>
      </c>
      <c r="C10169" t="str">
        <f t="shared" si="163"/>
        <v>2000 q1</v>
      </c>
    </row>
    <row r="10170" spans="1:3">
      <c r="A10170" s="62">
        <v>36552</v>
      </c>
      <c r="B10170">
        <v>0.84450000000000003</v>
      </c>
      <c r="C10170" t="str">
        <f t="shared" si="163"/>
        <v>2000 q1</v>
      </c>
    </row>
    <row r="10171" spans="1:3">
      <c r="A10171" s="62">
        <v>36553</v>
      </c>
      <c r="B10171">
        <v>0.83499999999999996</v>
      </c>
      <c r="C10171" t="str">
        <f t="shared" si="163"/>
        <v>2000 q1</v>
      </c>
    </row>
    <row r="10172" spans="1:3">
      <c r="A10172" s="62">
        <v>36556</v>
      </c>
      <c r="B10172">
        <v>0.84950000000000003</v>
      </c>
      <c r="C10172" t="str">
        <f t="shared" si="163"/>
        <v>2000 q1</v>
      </c>
    </row>
    <row r="10173" spans="1:3">
      <c r="A10173" s="62">
        <v>36557</v>
      </c>
      <c r="B10173">
        <v>0.84299999999999997</v>
      </c>
      <c r="C10173" t="str">
        <f t="shared" si="163"/>
        <v>2000 q1</v>
      </c>
    </row>
    <row r="10174" spans="1:3">
      <c r="A10174" s="62">
        <v>36558</v>
      </c>
      <c r="B10174">
        <v>0.82250000000000001</v>
      </c>
      <c r="C10174" t="str">
        <f t="shared" si="163"/>
        <v>2000 q1</v>
      </c>
    </row>
    <row r="10175" spans="1:3">
      <c r="A10175" s="62">
        <v>36559</v>
      </c>
      <c r="B10175">
        <v>0.82599999999999996</v>
      </c>
      <c r="C10175" t="str">
        <f t="shared" si="163"/>
        <v>2000 q1</v>
      </c>
    </row>
    <row r="10176" spans="1:3">
      <c r="A10176" s="62">
        <v>36560</v>
      </c>
      <c r="B10176">
        <v>0.82750000000000001</v>
      </c>
      <c r="C10176" t="str">
        <f t="shared" si="163"/>
        <v>2000 q1</v>
      </c>
    </row>
    <row r="10177" spans="1:3">
      <c r="A10177" s="62">
        <v>36563</v>
      </c>
      <c r="B10177">
        <v>0.82699999999999996</v>
      </c>
      <c r="C10177" t="str">
        <f t="shared" si="163"/>
        <v>2000 q1</v>
      </c>
    </row>
    <row r="10178" spans="1:3">
      <c r="A10178" s="62">
        <v>36564</v>
      </c>
      <c r="B10178">
        <v>0.82</v>
      </c>
      <c r="C10178" t="str">
        <f t="shared" si="163"/>
        <v>2000 q1</v>
      </c>
    </row>
    <row r="10179" spans="1:3">
      <c r="A10179" s="62">
        <v>36565</v>
      </c>
      <c r="B10179">
        <v>0.82199999999999995</v>
      </c>
      <c r="C10179" t="str">
        <f t="shared" si="163"/>
        <v>2000 q1</v>
      </c>
    </row>
    <row r="10180" spans="1:3">
      <c r="A10180" s="62">
        <v>36566</v>
      </c>
      <c r="B10180">
        <v>0.84950000000000003</v>
      </c>
      <c r="C10180" t="str">
        <f t="shared" si="163"/>
        <v>2000 q1</v>
      </c>
    </row>
    <row r="10181" spans="1:3">
      <c r="A10181" s="62">
        <v>36567</v>
      </c>
      <c r="B10181">
        <v>0.84499999999999997</v>
      </c>
      <c r="C10181" t="str">
        <f t="shared" si="163"/>
        <v>2000 q1</v>
      </c>
    </row>
    <row r="10182" spans="1:3">
      <c r="A10182" s="62">
        <v>36570</v>
      </c>
      <c r="B10182">
        <v>0.84399999999999997</v>
      </c>
      <c r="C10182" t="str">
        <f t="shared" si="163"/>
        <v>2000 q1</v>
      </c>
    </row>
    <row r="10183" spans="1:3">
      <c r="A10183" s="62">
        <v>36571</v>
      </c>
      <c r="B10183">
        <v>0.82699999999999996</v>
      </c>
      <c r="C10183" t="str">
        <f t="shared" si="163"/>
        <v>2000 q1</v>
      </c>
    </row>
    <row r="10184" spans="1:3">
      <c r="A10184" s="62">
        <v>36572</v>
      </c>
      <c r="B10184">
        <v>0.82799999999999996</v>
      </c>
      <c r="C10184" t="str">
        <f t="shared" si="163"/>
        <v>2000 q1</v>
      </c>
    </row>
    <row r="10185" spans="1:3">
      <c r="A10185" s="62">
        <v>36573</v>
      </c>
      <c r="B10185">
        <v>0.83599999999999997</v>
      </c>
      <c r="C10185" t="str">
        <f t="shared" si="163"/>
        <v>2000 q1</v>
      </c>
    </row>
    <row r="10186" spans="1:3">
      <c r="A10186" s="62">
        <v>36574</v>
      </c>
      <c r="B10186">
        <v>0.83199999999999996</v>
      </c>
      <c r="C10186" t="str">
        <f t="shared" si="163"/>
        <v>2000 q1</v>
      </c>
    </row>
    <row r="10187" spans="1:3">
      <c r="A10187" s="62">
        <v>36578</v>
      </c>
      <c r="B10187">
        <v>0.82750000000000001</v>
      </c>
      <c r="C10187" t="str">
        <f t="shared" si="163"/>
        <v>2000 q1</v>
      </c>
    </row>
    <row r="10188" spans="1:3">
      <c r="A10188" s="62">
        <v>36579</v>
      </c>
      <c r="B10188">
        <v>0.83899999999999997</v>
      </c>
      <c r="C10188" t="str">
        <f t="shared" si="163"/>
        <v>2000 q1</v>
      </c>
    </row>
    <row r="10189" spans="1:3">
      <c r="A10189" s="62">
        <v>36580</v>
      </c>
      <c r="B10189">
        <v>0.83650000000000002</v>
      </c>
      <c r="C10189" t="str">
        <f t="shared" si="163"/>
        <v>2000 q1</v>
      </c>
    </row>
    <row r="10190" spans="1:3">
      <c r="A10190" s="62">
        <v>36581</v>
      </c>
      <c r="B10190">
        <v>0.82</v>
      </c>
      <c r="C10190" t="str">
        <f t="shared" si="163"/>
        <v>2000 q1</v>
      </c>
    </row>
    <row r="10191" spans="1:3">
      <c r="A10191" s="62">
        <v>36584</v>
      </c>
      <c r="B10191">
        <v>0.78879999999999995</v>
      </c>
      <c r="C10191" t="str">
        <f t="shared" si="163"/>
        <v>2000 q1</v>
      </c>
    </row>
    <row r="10192" spans="1:3">
      <c r="A10192" s="62">
        <v>36585</v>
      </c>
      <c r="B10192">
        <v>0.79579999999999995</v>
      </c>
      <c r="C10192" t="str">
        <f t="shared" si="163"/>
        <v>2000 q1</v>
      </c>
    </row>
    <row r="10193" spans="1:3">
      <c r="A10193" s="62">
        <v>36586</v>
      </c>
      <c r="B10193">
        <v>0.80300000000000005</v>
      </c>
      <c r="C10193" t="str">
        <f t="shared" si="163"/>
        <v>2000 q1</v>
      </c>
    </row>
    <row r="10194" spans="1:3">
      <c r="A10194" s="62">
        <v>36587</v>
      </c>
      <c r="B10194">
        <v>0.79700000000000004</v>
      </c>
      <c r="C10194" t="str">
        <f t="shared" ref="C10194:C10257" si="164">YEAR(A10194)&amp;" q"&amp;ROUNDUP(MONTH(A10194)/3,0)</f>
        <v>2000 q1</v>
      </c>
    </row>
    <row r="10195" spans="1:3">
      <c r="A10195" s="62">
        <v>36588</v>
      </c>
      <c r="B10195">
        <v>0.80300000000000005</v>
      </c>
      <c r="C10195" t="str">
        <f t="shared" si="164"/>
        <v>2000 q1</v>
      </c>
    </row>
    <row r="10196" spans="1:3">
      <c r="A10196" s="62">
        <v>36591</v>
      </c>
      <c r="B10196">
        <v>0.80449999999999999</v>
      </c>
      <c r="C10196" t="str">
        <f t="shared" si="164"/>
        <v>2000 q1</v>
      </c>
    </row>
    <row r="10197" spans="1:3">
      <c r="A10197" s="62">
        <v>36592</v>
      </c>
      <c r="B10197">
        <v>0.79449999999999998</v>
      </c>
      <c r="C10197" t="str">
        <f t="shared" si="164"/>
        <v>2000 q1</v>
      </c>
    </row>
    <row r="10198" spans="1:3">
      <c r="A10198" s="62">
        <v>36593</v>
      </c>
      <c r="B10198">
        <v>0.78949999999999998</v>
      </c>
      <c r="C10198" t="str">
        <f t="shared" si="164"/>
        <v>2000 q1</v>
      </c>
    </row>
    <row r="10199" spans="1:3">
      <c r="A10199" s="62">
        <v>36594</v>
      </c>
      <c r="B10199">
        <v>0.79900000000000004</v>
      </c>
      <c r="C10199" t="str">
        <f t="shared" si="164"/>
        <v>2000 q1</v>
      </c>
    </row>
    <row r="10200" spans="1:3">
      <c r="A10200" s="62">
        <v>36595</v>
      </c>
      <c r="B10200">
        <v>0.79149999999999998</v>
      </c>
      <c r="C10200" t="str">
        <f t="shared" si="164"/>
        <v>2000 q1</v>
      </c>
    </row>
    <row r="10201" spans="1:3">
      <c r="A10201" s="62">
        <v>36598</v>
      </c>
      <c r="B10201">
        <v>0.79</v>
      </c>
      <c r="C10201" t="str">
        <f t="shared" si="164"/>
        <v>2000 q1</v>
      </c>
    </row>
    <row r="10202" spans="1:3">
      <c r="A10202" s="62">
        <v>36599</v>
      </c>
      <c r="B10202">
        <v>0.80300000000000005</v>
      </c>
      <c r="C10202" t="str">
        <f t="shared" si="164"/>
        <v>2000 q1</v>
      </c>
    </row>
    <row r="10203" spans="1:3">
      <c r="A10203" s="62">
        <v>36600</v>
      </c>
      <c r="B10203">
        <v>0.81100000000000005</v>
      </c>
      <c r="C10203" t="str">
        <f t="shared" si="164"/>
        <v>2000 q1</v>
      </c>
    </row>
    <row r="10204" spans="1:3">
      <c r="A10204" s="62">
        <v>36601</v>
      </c>
      <c r="B10204">
        <v>0.81950000000000001</v>
      </c>
      <c r="C10204" t="str">
        <f t="shared" si="164"/>
        <v>2000 q1</v>
      </c>
    </row>
    <row r="10205" spans="1:3">
      <c r="A10205" s="62">
        <v>36602</v>
      </c>
      <c r="B10205">
        <v>0.8145</v>
      </c>
      <c r="C10205" t="str">
        <f t="shared" si="164"/>
        <v>2000 q1</v>
      </c>
    </row>
    <row r="10206" spans="1:3">
      <c r="A10206" s="62">
        <v>36605</v>
      </c>
      <c r="B10206">
        <v>0.8075</v>
      </c>
      <c r="C10206" t="str">
        <f t="shared" si="164"/>
        <v>2000 q1</v>
      </c>
    </row>
    <row r="10207" spans="1:3">
      <c r="A10207" s="62">
        <v>36606</v>
      </c>
      <c r="B10207">
        <v>0.81850000000000001</v>
      </c>
      <c r="C10207" t="str">
        <f t="shared" si="164"/>
        <v>2000 q1</v>
      </c>
    </row>
    <row r="10208" spans="1:3">
      <c r="A10208" s="62">
        <v>36607</v>
      </c>
      <c r="B10208">
        <v>0.81699999999999995</v>
      </c>
      <c r="C10208" t="str">
        <f t="shared" si="164"/>
        <v>2000 q1</v>
      </c>
    </row>
    <row r="10209" spans="1:3">
      <c r="A10209" s="62">
        <v>36608</v>
      </c>
      <c r="B10209">
        <v>0.81799999999999995</v>
      </c>
      <c r="C10209" t="str">
        <f t="shared" si="164"/>
        <v>2000 q1</v>
      </c>
    </row>
    <row r="10210" spans="1:3">
      <c r="A10210" s="62">
        <v>36609</v>
      </c>
      <c r="B10210">
        <v>0.81100000000000005</v>
      </c>
      <c r="C10210" t="str">
        <f t="shared" si="164"/>
        <v>2000 q1</v>
      </c>
    </row>
    <row r="10211" spans="1:3">
      <c r="A10211" s="62">
        <v>36612</v>
      </c>
      <c r="B10211">
        <v>0.80249999999999999</v>
      </c>
      <c r="C10211" t="str">
        <f t="shared" si="164"/>
        <v>2000 q1</v>
      </c>
    </row>
    <row r="10212" spans="1:3">
      <c r="A10212" s="62">
        <v>36613</v>
      </c>
      <c r="B10212">
        <v>0.80400000000000005</v>
      </c>
      <c r="C10212" t="str">
        <f t="shared" si="164"/>
        <v>2000 q1</v>
      </c>
    </row>
    <row r="10213" spans="1:3">
      <c r="A10213" s="62">
        <v>36614</v>
      </c>
      <c r="B10213">
        <v>0.80700000000000005</v>
      </c>
      <c r="C10213" t="str">
        <f t="shared" si="164"/>
        <v>2000 q1</v>
      </c>
    </row>
    <row r="10214" spans="1:3">
      <c r="A10214" s="62">
        <v>36615</v>
      </c>
      <c r="B10214">
        <v>0.8075</v>
      </c>
      <c r="C10214" t="str">
        <f t="shared" si="164"/>
        <v>2000 q1</v>
      </c>
    </row>
    <row r="10215" spans="1:3">
      <c r="A10215" s="62">
        <v>36616</v>
      </c>
      <c r="B10215">
        <v>0.80500000000000005</v>
      </c>
      <c r="C10215" t="str">
        <f t="shared" si="164"/>
        <v>2000 q1</v>
      </c>
    </row>
    <row r="10216" spans="1:3">
      <c r="A10216" s="62">
        <v>36619</v>
      </c>
      <c r="B10216">
        <v>0.80249999999999999</v>
      </c>
      <c r="C10216" t="str">
        <f t="shared" si="164"/>
        <v>2000 q2</v>
      </c>
    </row>
    <row r="10217" spans="1:3">
      <c r="A10217" s="62">
        <v>36620</v>
      </c>
      <c r="B10217">
        <v>0.79300000000000004</v>
      </c>
      <c r="C10217" t="str">
        <f t="shared" si="164"/>
        <v>2000 q2</v>
      </c>
    </row>
    <row r="10218" spans="1:3">
      <c r="A10218" s="62">
        <v>36621</v>
      </c>
      <c r="B10218">
        <v>0.79100000000000004</v>
      </c>
      <c r="C10218" t="str">
        <f t="shared" si="164"/>
        <v>2000 q2</v>
      </c>
    </row>
    <row r="10219" spans="1:3">
      <c r="A10219" s="62">
        <v>36622</v>
      </c>
      <c r="B10219">
        <v>0.76349999999999996</v>
      </c>
      <c r="C10219" t="str">
        <f t="shared" si="164"/>
        <v>2000 q2</v>
      </c>
    </row>
    <row r="10220" spans="1:3">
      <c r="A10220" s="62">
        <v>36623</v>
      </c>
      <c r="B10220">
        <v>0.76849999999999996</v>
      </c>
      <c r="C10220" t="str">
        <f t="shared" si="164"/>
        <v>2000 q2</v>
      </c>
    </row>
    <row r="10221" spans="1:3">
      <c r="A10221" s="62">
        <v>36626</v>
      </c>
      <c r="B10221">
        <v>0.77549999999999997</v>
      </c>
      <c r="C10221" t="str">
        <f t="shared" si="164"/>
        <v>2000 q2</v>
      </c>
    </row>
    <row r="10222" spans="1:3">
      <c r="A10222" s="62">
        <v>36627</v>
      </c>
      <c r="B10222">
        <v>0.78</v>
      </c>
      <c r="C10222" t="str">
        <f t="shared" si="164"/>
        <v>2000 q2</v>
      </c>
    </row>
    <row r="10223" spans="1:3">
      <c r="A10223" s="62">
        <v>36628</v>
      </c>
      <c r="B10223">
        <v>0.77749999999999997</v>
      </c>
      <c r="C10223" t="str">
        <f t="shared" si="164"/>
        <v>2000 q2</v>
      </c>
    </row>
    <row r="10224" spans="1:3">
      <c r="A10224" s="62">
        <v>36629</v>
      </c>
      <c r="B10224">
        <v>0.77</v>
      </c>
      <c r="C10224" t="str">
        <f t="shared" si="164"/>
        <v>2000 q2</v>
      </c>
    </row>
    <row r="10225" spans="1:3">
      <c r="A10225" s="62">
        <v>36630</v>
      </c>
      <c r="B10225">
        <v>0.75349999999999995</v>
      </c>
      <c r="C10225" t="str">
        <f t="shared" si="164"/>
        <v>2000 q2</v>
      </c>
    </row>
    <row r="10226" spans="1:3">
      <c r="A10226" s="62">
        <v>36633</v>
      </c>
      <c r="B10226">
        <v>0.74350000000000005</v>
      </c>
      <c r="C10226" t="str">
        <f t="shared" si="164"/>
        <v>2000 q2</v>
      </c>
    </row>
    <row r="10227" spans="1:3">
      <c r="A10227" s="62">
        <v>36634</v>
      </c>
      <c r="B10227">
        <v>0.76449999999999996</v>
      </c>
      <c r="C10227" t="str">
        <f t="shared" si="164"/>
        <v>2000 q2</v>
      </c>
    </row>
    <row r="10228" spans="1:3">
      <c r="A10228" s="62">
        <v>36635</v>
      </c>
      <c r="B10228">
        <v>0.76900000000000002</v>
      </c>
      <c r="C10228" t="str">
        <f t="shared" si="164"/>
        <v>2000 q2</v>
      </c>
    </row>
    <row r="10229" spans="1:3">
      <c r="A10229" s="62">
        <v>36636</v>
      </c>
      <c r="B10229">
        <v>0.76600000000000001</v>
      </c>
      <c r="C10229" t="str">
        <f t="shared" si="164"/>
        <v>2000 q2</v>
      </c>
    </row>
    <row r="10230" spans="1:3">
      <c r="A10230" s="62">
        <v>36640</v>
      </c>
      <c r="B10230">
        <v>0.76600000000000001</v>
      </c>
      <c r="C10230" t="str">
        <f t="shared" si="164"/>
        <v>2000 q2</v>
      </c>
    </row>
    <row r="10231" spans="1:3">
      <c r="A10231" s="62">
        <v>36641</v>
      </c>
      <c r="B10231">
        <v>0.7913</v>
      </c>
      <c r="C10231" t="str">
        <f t="shared" si="164"/>
        <v>2000 q2</v>
      </c>
    </row>
    <row r="10232" spans="1:3">
      <c r="A10232" s="62">
        <v>36642</v>
      </c>
      <c r="B10232">
        <v>0.78659999999999997</v>
      </c>
      <c r="C10232" t="str">
        <f t="shared" si="164"/>
        <v>2000 q2</v>
      </c>
    </row>
    <row r="10233" spans="1:3">
      <c r="A10233" s="62">
        <v>36643</v>
      </c>
      <c r="B10233">
        <v>0.79310000000000003</v>
      </c>
      <c r="C10233" t="str">
        <f t="shared" si="164"/>
        <v>2000 q2</v>
      </c>
    </row>
    <row r="10234" spans="1:3">
      <c r="A10234" s="62">
        <v>36644</v>
      </c>
      <c r="B10234">
        <v>0.79479999999999995</v>
      </c>
      <c r="C10234" t="str">
        <f t="shared" si="164"/>
        <v>2000 q2</v>
      </c>
    </row>
    <row r="10235" spans="1:3">
      <c r="A10235" s="62">
        <v>36647</v>
      </c>
      <c r="B10235">
        <v>0.8</v>
      </c>
      <c r="C10235" t="str">
        <f t="shared" si="164"/>
        <v>2000 q2</v>
      </c>
    </row>
    <row r="10236" spans="1:3">
      <c r="A10236" s="62">
        <v>36648</v>
      </c>
      <c r="B10236">
        <v>0.82150000000000001</v>
      </c>
      <c r="C10236" t="str">
        <f t="shared" si="164"/>
        <v>2000 q2</v>
      </c>
    </row>
    <row r="10237" spans="1:3">
      <c r="A10237" s="62">
        <v>36649</v>
      </c>
      <c r="B10237">
        <v>0.81850000000000001</v>
      </c>
      <c r="C10237" t="str">
        <f t="shared" si="164"/>
        <v>2000 q2</v>
      </c>
    </row>
    <row r="10238" spans="1:3">
      <c r="A10238" s="62">
        <v>36650</v>
      </c>
      <c r="B10238">
        <v>0.81950000000000001</v>
      </c>
      <c r="C10238" t="str">
        <f t="shared" si="164"/>
        <v>2000 q2</v>
      </c>
    </row>
    <row r="10239" spans="1:3">
      <c r="A10239" s="62">
        <v>36651</v>
      </c>
      <c r="B10239">
        <v>0.84050000000000002</v>
      </c>
      <c r="C10239" t="str">
        <f t="shared" si="164"/>
        <v>2000 q2</v>
      </c>
    </row>
    <row r="10240" spans="1:3">
      <c r="A10240" s="62">
        <v>36654</v>
      </c>
      <c r="B10240">
        <v>0.83550000000000002</v>
      </c>
      <c r="C10240" t="str">
        <f t="shared" si="164"/>
        <v>2000 q2</v>
      </c>
    </row>
    <row r="10241" spans="1:3">
      <c r="A10241" s="62">
        <v>36655</v>
      </c>
      <c r="B10241">
        <v>0.83050000000000002</v>
      </c>
      <c r="C10241" t="str">
        <f t="shared" si="164"/>
        <v>2000 q2</v>
      </c>
    </row>
    <row r="10242" spans="1:3">
      <c r="A10242" s="62">
        <v>36656</v>
      </c>
      <c r="B10242">
        <v>0.82850000000000001</v>
      </c>
      <c r="C10242" t="str">
        <f t="shared" si="164"/>
        <v>2000 q2</v>
      </c>
    </row>
    <row r="10243" spans="1:3">
      <c r="A10243" s="62">
        <v>36657</v>
      </c>
      <c r="B10243">
        <v>0.83</v>
      </c>
      <c r="C10243" t="str">
        <f t="shared" si="164"/>
        <v>2000 q2</v>
      </c>
    </row>
    <row r="10244" spans="1:3">
      <c r="A10244" s="62">
        <v>36658</v>
      </c>
      <c r="B10244">
        <v>0.84450000000000003</v>
      </c>
      <c r="C10244" t="str">
        <f t="shared" si="164"/>
        <v>2000 q2</v>
      </c>
    </row>
    <row r="10245" spans="1:3">
      <c r="A10245" s="62">
        <v>36661</v>
      </c>
      <c r="B10245">
        <v>0.84050000000000002</v>
      </c>
      <c r="C10245" t="str">
        <f t="shared" si="164"/>
        <v>2000 q2</v>
      </c>
    </row>
    <row r="10246" spans="1:3">
      <c r="A10246" s="62">
        <v>36662</v>
      </c>
      <c r="B10246">
        <v>0.85099999999999998</v>
      </c>
      <c r="C10246" t="str">
        <f t="shared" si="164"/>
        <v>2000 q2</v>
      </c>
    </row>
    <row r="10247" spans="1:3">
      <c r="A10247" s="62">
        <v>36663</v>
      </c>
      <c r="B10247">
        <v>0.84299999999999997</v>
      </c>
      <c r="C10247" t="str">
        <f t="shared" si="164"/>
        <v>2000 q2</v>
      </c>
    </row>
    <row r="10248" spans="1:3">
      <c r="A10248" s="62">
        <v>36664</v>
      </c>
      <c r="B10248">
        <v>0.84499999999999997</v>
      </c>
      <c r="C10248" t="str">
        <f t="shared" si="164"/>
        <v>2000 q2</v>
      </c>
    </row>
    <row r="10249" spans="1:3">
      <c r="A10249" s="62">
        <v>36665</v>
      </c>
      <c r="B10249">
        <v>0.84250000000000003</v>
      </c>
      <c r="C10249" t="str">
        <f t="shared" si="164"/>
        <v>2000 q2</v>
      </c>
    </row>
    <row r="10250" spans="1:3">
      <c r="A10250" s="62">
        <v>36668</v>
      </c>
      <c r="B10250">
        <v>0.83099999999999996</v>
      </c>
      <c r="C10250" t="str">
        <f t="shared" si="164"/>
        <v>2000 q2</v>
      </c>
    </row>
    <row r="10251" spans="1:3">
      <c r="A10251" s="62">
        <v>36669</v>
      </c>
      <c r="B10251">
        <v>0.83450000000000002</v>
      </c>
      <c r="C10251" t="str">
        <f t="shared" si="164"/>
        <v>2000 q2</v>
      </c>
    </row>
    <row r="10252" spans="1:3">
      <c r="A10252" s="62">
        <v>36670</v>
      </c>
      <c r="B10252">
        <v>0.83850000000000002</v>
      </c>
      <c r="C10252" t="str">
        <f t="shared" si="164"/>
        <v>2000 q2</v>
      </c>
    </row>
    <row r="10253" spans="1:3">
      <c r="A10253" s="62">
        <v>36671</v>
      </c>
      <c r="B10253">
        <v>0.83250000000000002</v>
      </c>
      <c r="C10253" t="str">
        <f t="shared" si="164"/>
        <v>2000 q2</v>
      </c>
    </row>
    <row r="10254" spans="1:3">
      <c r="A10254" s="62">
        <v>36672</v>
      </c>
      <c r="B10254">
        <v>0.83550000000000002</v>
      </c>
      <c r="C10254" t="str">
        <f t="shared" si="164"/>
        <v>2000 q2</v>
      </c>
    </row>
    <row r="10255" spans="1:3">
      <c r="A10255" s="62">
        <v>36676</v>
      </c>
      <c r="B10255">
        <v>0.8115</v>
      </c>
      <c r="C10255" t="str">
        <f t="shared" si="164"/>
        <v>2000 q2</v>
      </c>
    </row>
    <row r="10256" spans="1:3">
      <c r="A10256" s="62">
        <v>36677</v>
      </c>
      <c r="B10256">
        <v>0.8145</v>
      </c>
      <c r="C10256" t="str">
        <f t="shared" si="164"/>
        <v>2000 q2</v>
      </c>
    </row>
    <row r="10257" spans="1:3">
      <c r="A10257" s="62">
        <v>36678</v>
      </c>
      <c r="B10257">
        <v>0.8115</v>
      </c>
      <c r="C10257" t="str">
        <f t="shared" si="164"/>
        <v>2000 q2</v>
      </c>
    </row>
    <row r="10258" spans="1:3">
      <c r="A10258" s="62">
        <v>36679</v>
      </c>
      <c r="B10258">
        <v>0.79300000000000004</v>
      </c>
      <c r="C10258" t="str">
        <f t="shared" ref="C10258:C10321" si="165">YEAR(A10258)&amp;" q"&amp;ROUNDUP(MONTH(A10258)/3,0)</f>
        <v>2000 q2</v>
      </c>
    </row>
    <row r="10259" spans="1:3">
      <c r="A10259" s="62">
        <v>36682</v>
      </c>
      <c r="B10259">
        <v>0.80200000000000005</v>
      </c>
      <c r="C10259" t="str">
        <f t="shared" si="165"/>
        <v>2000 q2</v>
      </c>
    </row>
    <row r="10260" spans="1:3">
      <c r="A10260" s="62">
        <v>36683</v>
      </c>
      <c r="B10260">
        <v>0.80449999999999999</v>
      </c>
      <c r="C10260" t="str">
        <f t="shared" si="165"/>
        <v>2000 q2</v>
      </c>
    </row>
    <row r="10261" spans="1:3">
      <c r="A10261" s="62">
        <v>36684</v>
      </c>
      <c r="B10261">
        <v>0.79449999999999998</v>
      </c>
      <c r="C10261" t="str">
        <f t="shared" si="165"/>
        <v>2000 q2</v>
      </c>
    </row>
    <row r="10262" spans="1:3">
      <c r="A10262" s="62">
        <v>36685</v>
      </c>
      <c r="B10262">
        <v>0.79749999999999999</v>
      </c>
      <c r="C10262" t="str">
        <f t="shared" si="165"/>
        <v>2000 q2</v>
      </c>
    </row>
    <row r="10263" spans="1:3">
      <c r="A10263" s="62">
        <v>36686</v>
      </c>
      <c r="B10263">
        <v>0.79800000000000004</v>
      </c>
      <c r="C10263" t="str">
        <f t="shared" si="165"/>
        <v>2000 q2</v>
      </c>
    </row>
    <row r="10264" spans="1:3">
      <c r="A10264" s="62">
        <v>36689</v>
      </c>
      <c r="B10264">
        <v>0.79449999999999998</v>
      </c>
      <c r="C10264" t="str">
        <f t="shared" si="165"/>
        <v>2000 q2</v>
      </c>
    </row>
    <row r="10265" spans="1:3">
      <c r="A10265" s="62">
        <v>36690</v>
      </c>
      <c r="B10265">
        <v>0.80149999999999999</v>
      </c>
      <c r="C10265" t="str">
        <f t="shared" si="165"/>
        <v>2000 q2</v>
      </c>
    </row>
    <row r="10266" spans="1:3">
      <c r="A10266" s="62">
        <v>36691</v>
      </c>
      <c r="B10266">
        <v>0.80900000000000005</v>
      </c>
      <c r="C10266" t="str">
        <f t="shared" si="165"/>
        <v>2000 q2</v>
      </c>
    </row>
    <row r="10267" spans="1:3">
      <c r="A10267" s="62">
        <v>36692</v>
      </c>
      <c r="B10267">
        <v>0.81799999999999995</v>
      </c>
      <c r="C10267" t="str">
        <f t="shared" si="165"/>
        <v>2000 q2</v>
      </c>
    </row>
    <row r="10268" spans="1:3">
      <c r="A10268" s="62">
        <v>36693</v>
      </c>
      <c r="B10268">
        <v>0.82399999999999995</v>
      </c>
      <c r="C10268" t="str">
        <f t="shared" si="165"/>
        <v>2000 q2</v>
      </c>
    </row>
    <row r="10269" spans="1:3">
      <c r="A10269" s="62">
        <v>36696</v>
      </c>
      <c r="B10269">
        <v>0.82799999999999996</v>
      </c>
      <c r="C10269" t="str">
        <f t="shared" si="165"/>
        <v>2000 q2</v>
      </c>
    </row>
    <row r="10270" spans="1:3">
      <c r="A10270" s="62">
        <v>36697</v>
      </c>
      <c r="B10270">
        <v>0.81299999999999994</v>
      </c>
      <c r="C10270" t="str">
        <f t="shared" si="165"/>
        <v>2000 q2</v>
      </c>
    </row>
    <row r="10271" spans="1:3">
      <c r="A10271" s="62">
        <v>36698</v>
      </c>
      <c r="B10271">
        <v>0.82450000000000001</v>
      </c>
      <c r="C10271" t="str">
        <f t="shared" si="165"/>
        <v>2000 q2</v>
      </c>
    </row>
    <row r="10272" spans="1:3">
      <c r="A10272" s="62">
        <v>36699</v>
      </c>
      <c r="B10272">
        <v>0.8175</v>
      </c>
      <c r="C10272" t="str">
        <f t="shared" si="165"/>
        <v>2000 q2</v>
      </c>
    </row>
    <row r="10273" spans="1:3">
      <c r="A10273" s="62">
        <v>36700</v>
      </c>
      <c r="B10273">
        <v>0.8105</v>
      </c>
      <c r="C10273" t="str">
        <f t="shared" si="165"/>
        <v>2000 q2</v>
      </c>
    </row>
    <row r="10274" spans="1:3">
      <c r="A10274" s="62">
        <v>36703</v>
      </c>
      <c r="B10274">
        <v>0.82299999999999995</v>
      </c>
      <c r="C10274" t="str">
        <f t="shared" si="165"/>
        <v>2000 q2</v>
      </c>
    </row>
    <row r="10275" spans="1:3">
      <c r="A10275" s="62">
        <v>36704</v>
      </c>
      <c r="B10275">
        <v>0.81940000000000002</v>
      </c>
      <c r="C10275" t="str">
        <f t="shared" si="165"/>
        <v>2000 q2</v>
      </c>
    </row>
    <row r="10276" spans="1:3">
      <c r="A10276" s="62">
        <v>36705</v>
      </c>
      <c r="B10276">
        <v>0.82250000000000001</v>
      </c>
      <c r="C10276" t="str">
        <f t="shared" si="165"/>
        <v>2000 q2</v>
      </c>
    </row>
    <row r="10277" spans="1:3">
      <c r="A10277" s="62">
        <v>36706</v>
      </c>
      <c r="B10277">
        <v>0.81430000000000002</v>
      </c>
      <c r="C10277" t="str">
        <f t="shared" si="165"/>
        <v>2000 q2</v>
      </c>
    </row>
    <row r="10278" spans="1:3">
      <c r="A10278" s="62">
        <v>36707</v>
      </c>
      <c r="B10278">
        <v>0.82230000000000003</v>
      </c>
      <c r="C10278" t="str">
        <f t="shared" si="165"/>
        <v>2000 q2</v>
      </c>
    </row>
    <row r="10279" spans="1:3">
      <c r="A10279" s="62">
        <v>36712</v>
      </c>
      <c r="B10279">
        <v>0.82250000000000001</v>
      </c>
      <c r="C10279" t="str">
        <f t="shared" si="165"/>
        <v>2000 q3</v>
      </c>
    </row>
    <row r="10280" spans="1:3">
      <c r="A10280" s="62">
        <v>36713</v>
      </c>
      <c r="B10280">
        <v>0.8115</v>
      </c>
      <c r="C10280" t="str">
        <f t="shared" si="165"/>
        <v>2000 q3</v>
      </c>
    </row>
    <row r="10281" spans="1:3">
      <c r="A10281" s="62">
        <v>36714</v>
      </c>
      <c r="B10281">
        <v>0.8135</v>
      </c>
      <c r="C10281" t="str">
        <f t="shared" si="165"/>
        <v>2000 q3</v>
      </c>
    </row>
    <row r="10282" spans="1:3">
      <c r="A10282" s="62">
        <v>36717</v>
      </c>
      <c r="B10282">
        <v>0.82099999999999995</v>
      </c>
      <c r="C10282" t="str">
        <f t="shared" si="165"/>
        <v>2000 q3</v>
      </c>
    </row>
    <row r="10283" spans="1:3">
      <c r="A10283" s="62">
        <v>36718</v>
      </c>
      <c r="B10283">
        <v>0.82599999999999996</v>
      </c>
      <c r="C10283" t="str">
        <f t="shared" si="165"/>
        <v>2000 q3</v>
      </c>
    </row>
    <row r="10284" spans="1:3">
      <c r="A10284" s="62">
        <v>36719</v>
      </c>
      <c r="B10284">
        <v>0.83199999999999996</v>
      </c>
      <c r="C10284" t="str">
        <f t="shared" si="165"/>
        <v>2000 q3</v>
      </c>
    </row>
    <row r="10285" spans="1:3">
      <c r="A10285" s="62">
        <v>36720</v>
      </c>
      <c r="B10285">
        <v>0.82950000000000002</v>
      </c>
      <c r="C10285" t="str">
        <f t="shared" si="165"/>
        <v>2000 q3</v>
      </c>
    </row>
    <row r="10286" spans="1:3">
      <c r="A10286" s="62">
        <v>36721</v>
      </c>
      <c r="B10286">
        <v>0.82899999999999996</v>
      </c>
      <c r="C10286" t="str">
        <f t="shared" si="165"/>
        <v>2000 q3</v>
      </c>
    </row>
    <row r="10287" spans="1:3">
      <c r="A10287" s="62">
        <v>36724</v>
      </c>
      <c r="B10287">
        <v>0.84599999999999997</v>
      </c>
      <c r="C10287" t="str">
        <f t="shared" si="165"/>
        <v>2000 q3</v>
      </c>
    </row>
    <row r="10288" spans="1:3">
      <c r="A10288" s="62">
        <v>36725</v>
      </c>
      <c r="B10288">
        <v>0.84699999999999998</v>
      </c>
      <c r="C10288" t="str">
        <f t="shared" si="165"/>
        <v>2000 q3</v>
      </c>
    </row>
    <row r="10289" spans="1:3">
      <c r="A10289" s="62">
        <v>36726</v>
      </c>
      <c r="B10289">
        <v>0.84699999999999998</v>
      </c>
      <c r="C10289" t="str">
        <f t="shared" si="165"/>
        <v>2000 q3</v>
      </c>
    </row>
    <row r="10290" spans="1:3">
      <c r="A10290" s="62">
        <v>36727</v>
      </c>
      <c r="B10290">
        <v>0.84799999999999998</v>
      </c>
      <c r="C10290" t="str">
        <f t="shared" si="165"/>
        <v>2000 q3</v>
      </c>
    </row>
    <row r="10291" spans="1:3">
      <c r="A10291" s="62">
        <v>36728</v>
      </c>
      <c r="B10291">
        <v>0.86699999999999999</v>
      </c>
      <c r="C10291" t="str">
        <f t="shared" si="165"/>
        <v>2000 q3</v>
      </c>
    </row>
    <row r="10292" spans="1:3">
      <c r="A10292" s="62">
        <v>36731</v>
      </c>
      <c r="B10292">
        <v>0.86850000000000005</v>
      </c>
      <c r="C10292" t="str">
        <f t="shared" si="165"/>
        <v>2000 q3</v>
      </c>
    </row>
    <row r="10293" spans="1:3">
      <c r="A10293" s="62">
        <v>36732</v>
      </c>
      <c r="B10293">
        <v>0.87</v>
      </c>
      <c r="C10293" t="str">
        <f t="shared" si="165"/>
        <v>2000 q3</v>
      </c>
    </row>
    <row r="10294" spans="1:3">
      <c r="A10294" s="62">
        <v>36733</v>
      </c>
      <c r="B10294">
        <v>0.86099999999999999</v>
      </c>
      <c r="C10294" t="str">
        <f t="shared" si="165"/>
        <v>2000 q3</v>
      </c>
    </row>
    <row r="10295" spans="1:3">
      <c r="A10295" s="62">
        <v>36734</v>
      </c>
      <c r="B10295">
        <v>0.87150000000000005</v>
      </c>
      <c r="C10295" t="str">
        <f t="shared" si="165"/>
        <v>2000 q3</v>
      </c>
    </row>
    <row r="10296" spans="1:3">
      <c r="A10296" s="62">
        <v>36735</v>
      </c>
      <c r="B10296">
        <v>0.86850000000000005</v>
      </c>
      <c r="C10296" t="str">
        <f t="shared" si="165"/>
        <v>2000 q3</v>
      </c>
    </row>
    <row r="10297" spans="1:3">
      <c r="A10297" s="62">
        <v>36738</v>
      </c>
      <c r="B10297">
        <v>0.87450000000000006</v>
      </c>
      <c r="C10297" t="str">
        <f t="shared" si="165"/>
        <v>2000 q3</v>
      </c>
    </row>
    <row r="10298" spans="1:3">
      <c r="A10298" s="62">
        <v>36739</v>
      </c>
      <c r="B10298">
        <v>0.87350000000000005</v>
      </c>
      <c r="C10298" t="str">
        <f t="shared" si="165"/>
        <v>2000 q3</v>
      </c>
    </row>
    <row r="10299" spans="1:3">
      <c r="A10299" s="62">
        <v>36740</v>
      </c>
      <c r="B10299">
        <v>0.87</v>
      </c>
      <c r="C10299" t="str">
        <f t="shared" si="165"/>
        <v>2000 q3</v>
      </c>
    </row>
    <row r="10300" spans="1:3">
      <c r="A10300" s="62">
        <v>36741</v>
      </c>
      <c r="B10300">
        <v>0.86899999999999999</v>
      </c>
      <c r="C10300" t="str">
        <f t="shared" si="165"/>
        <v>2000 q3</v>
      </c>
    </row>
    <row r="10301" spans="1:3">
      <c r="A10301" s="62">
        <v>36742</v>
      </c>
      <c r="B10301">
        <v>0.873</v>
      </c>
      <c r="C10301" t="str">
        <f t="shared" si="165"/>
        <v>2000 q3</v>
      </c>
    </row>
    <row r="10302" spans="1:3">
      <c r="A10302" s="62">
        <v>36745</v>
      </c>
      <c r="B10302">
        <v>0.871</v>
      </c>
      <c r="C10302" t="str">
        <f t="shared" si="165"/>
        <v>2000 q3</v>
      </c>
    </row>
    <row r="10303" spans="1:3">
      <c r="A10303" s="62">
        <v>36746</v>
      </c>
      <c r="B10303">
        <v>0.86150000000000004</v>
      </c>
      <c r="C10303" t="str">
        <f t="shared" si="165"/>
        <v>2000 q3</v>
      </c>
    </row>
    <row r="10304" spans="1:3">
      <c r="A10304" s="62">
        <v>36747</v>
      </c>
      <c r="B10304">
        <v>0.87350000000000005</v>
      </c>
      <c r="C10304" t="str">
        <f t="shared" si="165"/>
        <v>2000 q3</v>
      </c>
    </row>
    <row r="10305" spans="1:3">
      <c r="A10305" s="62">
        <v>36748</v>
      </c>
      <c r="B10305">
        <v>0.86450000000000005</v>
      </c>
      <c r="C10305" t="str">
        <f t="shared" si="165"/>
        <v>2000 q3</v>
      </c>
    </row>
    <row r="10306" spans="1:3">
      <c r="A10306" s="62">
        <v>36749</v>
      </c>
      <c r="B10306">
        <v>0.85950000000000004</v>
      </c>
      <c r="C10306" t="str">
        <f t="shared" si="165"/>
        <v>2000 q3</v>
      </c>
    </row>
    <row r="10307" spans="1:3">
      <c r="A10307" s="62">
        <v>36752</v>
      </c>
      <c r="B10307">
        <v>0.86699999999999999</v>
      </c>
      <c r="C10307" t="str">
        <f t="shared" si="165"/>
        <v>2000 q3</v>
      </c>
    </row>
    <row r="10308" spans="1:3">
      <c r="A10308" s="62">
        <v>36753</v>
      </c>
      <c r="B10308">
        <v>0.87050000000000005</v>
      </c>
      <c r="C10308" t="str">
        <f t="shared" si="165"/>
        <v>2000 q3</v>
      </c>
    </row>
    <row r="10309" spans="1:3">
      <c r="A10309" s="62">
        <v>36754</v>
      </c>
      <c r="B10309">
        <v>0.86650000000000005</v>
      </c>
      <c r="C10309" t="str">
        <f t="shared" si="165"/>
        <v>2000 q3</v>
      </c>
    </row>
    <row r="10310" spans="1:3">
      <c r="A10310" s="62">
        <v>36755</v>
      </c>
      <c r="B10310">
        <v>0.86899999999999999</v>
      </c>
      <c r="C10310" t="str">
        <f t="shared" si="165"/>
        <v>2000 q3</v>
      </c>
    </row>
    <row r="10311" spans="1:3">
      <c r="A10311" s="62">
        <v>36756</v>
      </c>
      <c r="B10311">
        <v>0.86499999999999999</v>
      </c>
      <c r="C10311" t="str">
        <f t="shared" si="165"/>
        <v>2000 q3</v>
      </c>
    </row>
    <row r="10312" spans="1:3">
      <c r="A10312" s="62">
        <v>36759</v>
      </c>
      <c r="B10312">
        <v>0.85399999999999998</v>
      </c>
      <c r="C10312" t="str">
        <f t="shared" si="165"/>
        <v>2000 q3</v>
      </c>
    </row>
    <row r="10313" spans="1:3">
      <c r="A10313" s="62">
        <v>36760</v>
      </c>
      <c r="B10313">
        <v>0.85750000000000004</v>
      </c>
      <c r="C10313" t="str">
        <f t="shared" si="165"/>
        <v>2000 q3</v>
      </c>
    </row>
    <row r="10314" spans="1:3">
      <c r="A10314" s="62">
        <v>36761</v>
      </c>
      <c r="B10314">
        <v>0.85650000000000004</v>
      </c>
      <c r="C10314" t="str">
        <f t="shared" si="165"/>
        <v>2000 q3</v>
      </c>
    </row>
    <row r="10315" spans="1:3">
      <c r="A10315" s="62">
        <v>36762</v>
      </c>
      <c r="B10315">
        <v>0.86199999999999999</v>
      </c>
      <c r="C10315" t="str">
        <f t="shared" si="165"/>
        <v>2000 q3</v>
      </c>
    </row>
    <row r="10316" spans="1:3">
      <c r="A10316" s="62">
        <v>36763</v>
      </c>
      <c r="B10316">
        <v>0.86250000000000004</v>
      </c>
      <c r="C10316" t="str">
        <f t="shared" si="165"/>
        <v>2000 q3</v>
      </c>
    </row>
    <row r="10317" spans="1:3">
      <c r="A10317" s="62">
        <v>36766</v>
      </c>
      <c r="B10317">
        <v>0.86229999999999996</v>
      </c>
      <c r="C10317" t="str">
        <f t="shared" si="165"/>
        <v>2000 q3</v>
      </c>
    </row>
    <row r="10318" spans="1:3">
      <c r="A10318" s="62">
        <v>36767</v>
      </c>
      <c r="B10318">
        <v>0.88319999999999999</v>
      </c>
      <c r="C10318" t="str">
        <f t="shared" si="165"/>
        <v>2000 q3</v>
      </c>
    </row>
    <row r="10319" spans="1:3">
      <c r="A10319" s="62">
        <v>36768</v>
      </c>
      <c r="B10319">
        <v>0.89219999999999999</v>
      </c>
      <c r="C10319" t="str">
        <f t="shared" si="165"/>
        <v>2000 q3</v>
      </c>
    </row>
    <row r="10320" spans="1:3">
      <c r="A10320" s="62">
        <v>36769</v>
      </c>
      <c r="B10320">
        <v>0.89300000000000002</v>
      </c>
      <c r="C10320" t="str">
        <f t="shared" si="165"/>
        <v>2000 q3</v>
      </c>
    </row>
    <row r="10321" spans="1:3">
      <c r="A10321" s="62">
        <v>36770</v>
      </c>
      <c r="B10321">
        <v>0.89749999999999996</v>
      </c>
      <c r="C10321" t="str">
        <f t="shared" si="165"/>
        <v>2000 q3</v>
      </c>
    </row>
    <row r="10322" spans="1:3">
      <c r="A10322" s="62">
        <v>36774</v>
      </c>
      <c r="B10322">
        <v>0.91249999999999998</v>
      </c>
      <c r="C10322" t="str">
        <f t="shared" ref="C10322:C10385" si="166">YEAR(A10322)&amp;" q"&amp;ROUNDUP(MONTH(A10322)/3,0)</f>
        <v>2000 q3</v>
      </c>
    </row>
    <row r="10323" spans="1:3">
      <c r="A10323" s="62">
        <v>36775</v>
      </c>
      <c r="B10323">
        <v>0.90800000000000003</v>
      </c>
      <c r="C10323" t="str">
        <f t="shared" si="166"/>
        <v>2000 q3</v>
      </c>
    </row>
    <row r="10324" spans="1:3">
      <c r="A10324" s="62">
        <v>36776</v>
      </c>
      <c r="B10324">
        <v>0.91200000000000003</v>
      </c>
      <c r="C10324" t="str">
        <f t="shared" si="166"/>
        <v>2000 q3</v>
      </c>
    </row>
    <row r="10325" spans="1:3">
      <c r="A10325" s="62">
        <v>36777</v>
      </c>
      <c r="B10325">
        <v>0.91800000000000004</v>
      </c>
      <c r="C10325" t="str">
        <f t="shared" si="166"/>
        <v>2000 q3</v>
      </c>
    </row>
    <row r="10326" spans="1:3">
      <c r="A10326" s="62">
        <v>36780</v>
      </c>
      <c r="B10326">
        <v>0.92049999999999998</v>
      </c>
      <c r="C10326" t="str">
        <f t="shared" si="166"/>
        <v>2000 q3</v>
      </c>
    </row>
    <row r="10327" spans="1:3">
      <c r="A10327" s="62">
        <v>36781</v>
      </c>
      <c r="B10327">
        <v>0.93600000000000005</v>
      </c>
      <c r="C10327" t="str">
        <f t="shared" si="166"/>
        <v>2000 q3</v>
      </c>
    </row>
    <row r="10328" spans="1:3">
      <c r="A10328" s="62">
        <v>36782</v>
      </c>
      <c r="B10328">
        <v>0.9355</v>
      </c>
      <c r="C10328" t="str">
        <f t="shared" si="166"/>
        <v>2000 q3</v>
      </c>
    </row>
    <row r="10329" spans="1:3">
      <c r="A10329" s="62">
        <v>36783</v>
      </c>
      <c r="B10329">
        <v>0.93500000000000005</v>
      </c>
      <c r="C10329" t="str">
        <f t="shared" si="166"/>
        <v>2000 q3</v>
      </c>
    </row>
    <row r="10330" spans="1:3">
      <c r="A10330" s="62">
        <v>36784</v>
      </c>
      <c r="B10330">
        <v>0.92949999999999999</v>
      </c>
      <c r="C10330" t="str">
        <f t="shared" si="166"/>
        <v>2000 q3</v>
      </c>
    </row>
    <row r="10331" spans="1:3">
      <c r="A10331" s="62">
        <v>36787</v>
      </c>
      <c r="B10331">
        <v>0.92749999999999999</v>
      </c>
      <c r="C10331" t="str">
        <f t="shared" si="166"/>
        <v>2000 q3</v>
      </c>
    </row>
    <row r="10332" spans="1:3">
      <c r="A10332" s="62">
        <v>36788</v>
      </c>
      <c r="B10332">
        <v>0.93049999999999999</v>
      </c>
      <c r="C10332" t="str">
        <f t="shared" si="166"/>
        <v>2000 q3</v>
      </c>
    </row>
    <row r="10333" spans="1:3">
      <c r="A10333" s="62">
        <v>36789</v>
      </c>
      <c r="B10333">
        <v>0.91049999999999998</v>
      </c>
      <c r="C10333" t="str">
        <f t="shared" si="166"/>
        <v>2000 q3</v>
      </c>
    </row>
    <row r="10334" spans="1:3">
      <c r="A10334" s="62">
        <v>36790</v>
      </c>
      <c r="B10334">
        <v>0.93400000000000005</v>
      </c>
      <c r="C10334" t="str">
        <f t="shared" si="166"/>
        <v>2000 q3</v>
      </c>
    </row>
    <row r="10335" spans="1:3">
      <c r="A10335" s="62">
        <v>36791</v>
      </c>
      <c r="B10335">
        <v>0.92800000000000005</v>
      </c>
      <c r="C10335" t="str">
        <f t="shared" si="166"/>
        <v>2000 q3</v>
      </c>
    </row>
    <row r="10336" spans="1:3">
      <c r="A10336" s="62">
        <v>36794</v>
      </c>
      <c r="B10336">
        <v>0.93500000000000005</v>
      </c>
      <c r="C10336" t="str">
        <f t="shared" si="166"/>
        <v>2000 q3</v>
      </c>
    </row>
    <row r="10337" spans="1:3">
      <c r="A10337" s="62">
        <v>36795</v>
      </c>
      <c r="B10337">
        <v>0.92349999999999999</v>
      </c>
      <c r="C10337" t="str">
        <f t="shared" si="166"/>
        <v>2000 q3</v>
      </c>
    </row>
    <row r="10338" spans="1:3">
      <c r="A10338" s="62">
        <v>36796</v>
      </c>
      <c r="B10338">
        <v>0.92149999999999999</v>
      </c>
      <c r="C10338" t="str">
        <f t="shared" si="166"/>
        <v>2000 q3</v>
      </c>
    </row>
    <row r="10339" spans="1:3">
      <c r="A10339" s="62">
        <v>36797</v>
      </c>
      <c r="B10339">
        <v>0.91900000000000004</v>
      </c>
      <c r="C10339" t="str">
        <f t="shared" si="166"/>
        <v>2000 q3</v>
      </c>
    </row>
    <row r="10340" spans="1:3">
      <c r="A10340" s="62">
        <v>36798</v>
      </c>
      <c r="B10340">
        <v>0.92049999999999998</v>
      </c>
      <c r="C10340" t="str">
        <f t="shared" si="166"/>
        <v>2000 q3</v>
      </c>
    </row>
    <row r="10341" spans="1:3">
      <c r="A10341" s="62">
        <v>36801</v>
      </c>
      <c r="B10341">
        <v>0.89900000000000002</v>
      </c>
      <c r="C10341" t="str">
        <f t="shared" si="166"/>
        <v>2000 q4</v>
      </c>
    </row>
    <row r="10342" spans="1:3">
      <c r="A10342" s="62">
        <v>36802</v>
      </c>
      <c r="B10342">
        <v>0.90249999999999997</v>
      </c>
      <c r="C10342" t="str">
        <f t="shared" si="166"/>
        <v>2000 q4</v>
      </c>
    </row>
    <row r="10343" spans="1:3">
      <c r="A10343" s="62">
        <v>36803</v>
      </c>
      <c r="B10343">
        <v>0.89900000000000002</v>
      </c>
      <c r="C10343" t="str">
        <f t="shared" si="166"/>
        <v>2000 q4</v>
      </c>
    </row>
    <row r="10344" spans="1:3">
      <c r="A10344" s="62">
        <v>36804</v>
      </c>
      <c r="B10344">
        <v>0.91100000000000003</v>
      </c>
      <c r="C10344" t="str">
        <f t="shared" si="166"/>
        <v>2000 q4</v>
      </c>
    </row>
    <row r="10345" spans="1:3">
      <c r="A10345" s="62">
        <v>36805</v>
      </c>
      <c r="B10345">
        <v>0.90600000000000003</v>
      </c>
      <c r="C10345" t="str">
        <f t="shared" si="166"/>
        <v>2000 q4</v>
      </c>
    </row>
    <row r="10346" spans="1:3">
      <c r="A10346" s="62">
        <v>36808</v>
      </c>
      <c r="B10346">
        <v>0.89649999999999996</v>
      </c>
      <c r="C10346" t="str">
        <f t="shared" si="166"/>
        <v>2000 q4</v>
      </c>
    </row>
    <row r="10347" spans="1:3">
      <c r="A10347" s="62">
        <v>36809</v>
      </c>
      <c r="B10347">
        <v>0.90549999999999997</v>
      </c>
      <c r="C10347" t="str">
        <f t="shared" si="166"/>
        <v>2000 q4</v>
      </c>
    </row>
    <row r="10348" spans="1:3">
      <c r="A10348" s="62">
        <v>36810</v>
      </c>
      <c r="B10348">
        <v>0.90200000000000002</v>
      </c>
      <c r="C10348" t="str">
        <f t="shared" si="166"/>
        <v>2000 q4</v>
      </c>
    </row>
    <row r="10349" spans="1:3">
      <c r="A10349" s="62">
        <v>36811</v>
      </c>
      <c r="B10349">
        <v>0.88200000000000001</v>
      </c>
      <c r="C10349" t="str">
        <f t="shared" si="166"/>
        <v>2000 q4</v>
      </c>
    </row>
    <row r="10350" spans="1:3">
      <c r="A10350" s="62">
        <v>36812</v>
      </c>
      <c r="B10350">
        <v>0.89249999999999996</v>
      </c>
      <c r="C10350" t="str">
        <f t="shared" si="166"/>
        <v>2000 q4</v>
      </c>
    </row>
    <row r="10351" spans="1:3">
      <c r="A10351" s="62">
        <v>36815</v>
      </c>
      <c r="B10351">
        <v>0.89400000000000002</v>
      </c>
      <c r="C10351" t="str">
        <f t="shared" si="166"/>
        <v>2000 q4</v>
      </c>
    </row>
    <row r="10352" spans="1:3">
      <c r="A10352" s="62">
        <v>36816</v>
      </c>
      <c r="B10352">
        <v>0.88300000000000001</v>
      </c>
      <c r="C10352" t="str">
        <f t="shared" si="166"/>
        <v>2000 q4</v>
      </c>
    </row>
    <row r="10353" spans="1:3">
      <c r="A10353" s="62">
        <v>36817</v>
      </c>
      <c r="B10353">
        <v>0.872</v>
      </c>
      <c r="C10353" t="str">
        <f t="shared" si="166"/>
        <v>2000 q4</v>
      </c>
    </row>
    <row r="10354" spans="1:3">
      <c r="A10354" s="62">
        <v>36818</v>
      </c>
      <c r="B10354">
        <v>0.873</v>
      </c>
      <c r="C10354" t="str">
        <f t="shared" si="166"/>
        <v>2000 q4</v>
      </c>
    </row>
    <row r="10355" spans="1:3">
      <c r="A10355" s="62">
        <v>36819</v>
      </c>
      <c r="B10355">
        <v>0.86199999999999999</v>
      </c>
      <c r="C10355" t="str">
        <f t="shared" si="166"/>
        <v>2000 q4</v>
      </c>
    </row>
    <row r="10356" spans="1:3">
      <c r="A10356" s="62">
        <v>36822</v>
      </c>
      <c r="B10356">
        <v>0.86750000000000005</v>
      </c>
      <c r="C10356" t="str">
        <f t="shared" si="166"/>
        <v>2000 q4</v>
      </c>
    </row>
    <row r="10357" spans="1:3">
      <c r="A10357" s="62">
        <v>36823</v>
      </c>
      <c r="B10357">
        <v>0.86550000000000005</v>
      </c>
      <c r="C10357" t="str">
        <f t="shared" si="166"/>
        <v>2000 q4</v>
      </c>
    </row>
    <row r="10358" spans="1:3">
      <c r="A10358" s="62">
        <v>36824</v>
      </c>
      <c r="B10358">
        <v>0.85250000000000004</v>
      </c>
      <c r="C10358" t="str">
        <f t="shared" si="166"/>
        <v>2000 q4</v>
      </c>
    </row>
    <row r="10359" spans="1:3">
      <c r="A10359" s="62">
        <v>36825</v>
      </c>
      <c r="B10359">
        <v>0.83150000000000002</v>
      </c>
      <c r="C10359" t="str">
        <f t="shared" si="166"/>
        <v>2000 q4</v>
      </c>
    </row>
    <row r="10360" spans="1:3">
      <c r="A10360" s="62">
        <v>36826</v>
      </c>
      <c r="B10360">
        <v>0.84399999999999997</v>
      </c>
      <c r="C10360" t="str">
        <f t="shared" si="166"/>
        <v>2000 q4</v>
      </c>
    </row>
    <row r="10361" spans="1:3">
      <c r="A10361" s="62">
        <v>36829</v>
      </c>
      <c r="B10361">
        <v>0.84450000000000003</v>
      </c>
      <c r="C10361" t="str">
        <f t="shared" si="166"/>
        <v>2000 q4</v>
      </c>
    </row>
    <row r="10362" spans="1:3">
      <c r="A10362" s="62">
        <v>36830</v>
      </c>
      <c r="B10362">
        <v>0.84850000000000003</v>
      </c>
      <c r="C10362" t="str">
        <f t="shared" si="166"/>
        <v>2000 q4</v>
      </c>
    </row>
    <row r="10363" spans="1:3">
      <c r="A10363" s="62">
        <v>36831</v>
      </c>
      <c r="B10363">
        <v>0.83599999999999997</v>
      </c>
      <c r="C10363" t="str">
        <f t="shared" si="166"/>
        <v>2000 q4</v>
      </c>
    </row>
    <row r="10364" spans="1:3">
      <c r="A10364" s="62">
        <v>36832</v>
      </c>
      <c r="B10364">
        <v>0.83799999999999997</v>
      </c>
      <c r="C10364" t="str">
        <f t="shared" si="166"/>
        <v>2000 q4</v>
      </c>
    </row>
    <row r="10365" spans="1:3">
      <c r="A10365" s="62">
        <v>36833</v>
      </c>
      <c r="B10365">
        <v>0.83850000000000002</v>
      </c>
      <c r="C10365" t="str">
        <f t="shared" si="166"/>
        <v>2000 q4</v>
      </c>
    </row>
    <row r="10366" spans="1:3">
      <c r="A10366" s="62">
        <v>36836</v>
      </c>
      <c r="B10366">
        <v>0.82750000000000001</v>
      </c>
      <c r="C10366" t="str">
        <f t="shared" si="166"/>
        <v>2000 q4</v>
      </c>
    </row>
    <row r="10367" spans="1:3">
      <c r="A10367" s="62">
        <v>36837</v>
      </c>
      <c r="B10367">
        <v>0.83050000000000002</v>
      </c>
      <c r="C10367" t="str">
        <f t="shared" si="166"/>
        <v>2000 q4</v>
      </c>
    </row>
    <row r="10368" spans="1:3">
      <c r="A10368" s="62">
        <v>36838</v>
      </c>
      <c r="B10368">
        <v>0.83599999999999997</v>
      </c>
      <c r="C10368" t="str">
        <f t="shared" si="166"/>
        <v>2000 q4</v>
      </c>
    </row>
    <row r="10369" spans="1:3">
      <c r="A10369" s="62">
        <v>36839</v>
      </c>
      <c r="B10369">
        <v>0.84050000000000002</v>
      </c>
      <c r="C10369" t="str">
        <f t="shared" si="166"/>
        <v>2000 q4</v>
      </c>
    </row>
    <row r="10370" spans="1:3">
      <c r="A10370" s="62">
        <v>36840</v>
      </c>
      <c r="B10370">
        <v>0.83850000000000002</v>
      </c>
      <c r="C10370" t="str">
        <f t="shared" si="166"/>
        <v>2000 q4</v>
      </c>
    </row>
    <row r="10371" spans="1:3">
      <c r="A10371" s="62">
        <v>36843</v>
      </c>
      <c r="B10371">
        <v>0.82099999999999995</v>
      </c>
      <c r="C10371" t="str">
        <f t="shared" si="166"/>
        <v>2000 q4</v>
      </c>
    </row>
    <row r="10372" spans="1:3">
      <c r="A10372" s="62">
        <v>36844</v>
      </c>
      <c r="B10372">
        <v>0.82750000000000001</v>
      </c>
      <c r="C10372" t="str">
        <f t="shared" si="166"/>
        <v>2000 q4</v>
      </c>
    </row>
    <row r="10373" spans="1:3">
      <c r="A10373" s="62">
        <v>36845</v>
      </c>
      <c r="B10373">
        <v>0.82699999999999996</v>
      </c>
      <c r="C10373" t="str">
        <f t="shared" si="166"/>
        <v>2000 q4</v>
      </c>
    </row>
    <row r="10374" spans="1:3">
      <c r="A10374" s="62">
        <v>36846</v>
      </c>
      <c r="B10374">
        <v>0.82</v>
      </c>
      <c r="C10374" t="str">
        <f t="shared" si="166"/>
        <v>2000 q4</v>
      </c>
    </row>
    <row r="10375" spans="1:3">
      <c r="A10375" s="62">
        <v>36847</v>
      </c>
      <c r="B10375">
        <v>0.82450000000000001</v>
      </c>
      <c r="C10375" t="str">
        <f t="shared" si="166"/>
        <v>2000 q4</v>
      </c>
    </row>
    <row r="10376" spans="1:3">
      <c r="A10376" s="62">
        <v>36850</v>
      </c>
      <c r="B10376">
        <v>0.82499999999999996</v>
      </c>
      <c r="C10376" t="str">
        <f t="shared" si="166"/>
        <v>2000 q4</v>
      </c>
    </row>
    <row r="10377" spans="1:3">
      <c r="A10377" s="62">
        <v>36851</v>
      </c>
      <c r="B10377">
        <v>0.82799999999999996</v>
      </c>
      <c r="C10377" t="str">
        <f t="shared" si="166"/>
        <v>2000 q4</v>
      </c>
    </row>
    <row r="10378" spans="1:3">
      <c r="A10378" s="62">
        <v>36852</v>
      </c>
      <c r="B10378">
        <v>0.82099999999999995</v>
      </c>
      <c r="C10378" t="str">
        <f t="shared" si="166"/>
        <v>2000 q4</v>
      </c>
    </row>
    <row r="10379" spans="1:3">
      <c r="A10379" s="62">
        <v>36857</v>
      </c>
      <c r="B10379">
        <v>0.84289999999999998</v>
      </c>
      <c r="C10379" t="str">
        <f t="shared" si="166"/>
        <v>2000 q4</v>
      </c>
    </row>
    <row r="10380" spans="1:3">
      <c r="A10380" s="62">
        <v>36858</v>
      </c>
      <c r="B10380">
        <v>0.85360000000000003</v>
      </c>
      <c r="C10380" t="str">
        <f t="shared" si="166"/>
        <v>2000 q4</v>
      </c>
    </row>
    <row r="10381" spans="1:3">
      <c r="A10381" s="62">
        <v>36859</v>
      </c>
      <c r="B10381">
        <v>0.85409999999999997</v>
      </c>
      <c r="C10381" t="str">
        <f t="shared" si="166"/>
        <v>2000 q4</v>
      </c>
    </row>
    <row r="10382" spans="1:3">
      <c r="A10382" s="62">
        <v>36860</v>
      </c>
      <c r="B10382">
        <v>0.84379999999999999</v>
      </c>
      <c r="C10382" t="str">
        <f t="shared" si="166"/>
        <v>2000 q4</v>
      </c>
    </row>
    <row r="10383" spans="1:3">
      <c r="A10383" s="62">
        <v>36861</v>
      </c>
      <c r="B10383">
        <v>0.85899999999999999</v>
      </c>
      <c r="C10383" t="str">
        <f t="shared" si="166"/>
        <v>2000 q4</v>
      </c>
    </row>
    <row r="10384" spans="1:3">
      <c r="A10384" s="62">
        <v>36864</v>
      </c>
      <c r="B10384">
        <v>0.86250000000000004</v>
      </c>
      <c r="C10384" t="str">
        <f t="shared" si="166"/>
        <v>2000 q4</v>
      </c>
    </row>
    <row r="10385" spans="1:3">
      <c r="A10385" s="62">
        <v>36865</v>
      </c>
      <c r="B10385">
        <v>0.87</v>
      </c>
      <c r="C10385" t="str">
        <f t="shared" si="166"/>
        <v>2000 q4</v>
      </c>
    </row>
    <row r="10386" spans="1:3">
      <c r="A10386" s="62">
        <v>36866</v>
      </c>
      <c r="B10386">
        <v>0.877</v>
      </c>
      <c r="C10386" t="str">
        <f t="shared" ref="C10386:C10449" si="167">YEAR(A10386)&amp;" q"&amp;ROUNDUP(MONTH(A10386)/3,0)</f>
        <v>2000 q4</v>
      </c>
    </row>
    <row r="10387" spans="1:3">
      <c r="A10387" s="62">
        <v>36867</v>
      </c>
      <c r="B10387">
        <v>0.88100000000000001</v>
      </c>
      <c r="C10387" t="str">
        <f t="shared" si="167"/>
        <v>2000 q4</v>
      </c>
    </row>
    <row r="10388" spans="1:3">
      <c r="A10388" s="62">
        <v>36868</v>
      </c>
      <c r="B10388">
        <v>0.89100000000000001</v>
      </c>
      <c r="C10388" t="str">
        <f t="shared" si="167"/>
        <v>2000 q4</v>
      </c>
    </row>
    <row r="10389" spans="1:3">
      <c r="A10389" s="62">
        <v>36871</v>
      </c>
      <c r="B10389">
        <v>0.89149999999999996</v>
      </c>
      <c r="C10389" t="str">
        <f t="shared" si="167"/>
        <v>2000 q4</v>
      </c>
    </row>
    <row r="10390" spans="1:3">
      <c r="A10390" s="62">
        <v>36872</v>
      </c>
      <c r="B10390">
        <v>0.88500000000000001</v>
      </c>
      <c r="C10390" t="str">
        <f t="shared" si="167"/>
        <v>2000 q4</v>
      </c>
    </row>
    <row r="10391" spans="1:3">
      <c r="A10391" s="62">
        <v>36873</v>
      </c>
      <c r="B10391">
        <v>0.88249999999999995</v>
      </c>
      <c r="C10391" t="str">
        <f t="shared" si="167"/>
        <v>2000 q4</v>
      </c>
    </row>
    <row r="10392" spans="1:3">
      <c r="A10392" s="62">
        <v>36874</v>
      </c>
      <c r="B10392">
        <v>0.89100000000000001</v>
      </c>
      <c r="C10392" t="str">
        <f t="shared" si="167"/>
        <v>2000 q4</v>
      </c>
    </row>
    <row r="10393" spans="1:3">
      <c r="A10393" s="62">
        <v>36875</v>
      </c>
      <c r="B10393">
        <v>0.87250000000000005</v>
      </c>
      <c r="C10393" t="str">
        <f t="shared" si="167"/>
        <v>2000 q4</v>
      </c>
    </row>
    <row r="10394" spans="1:3">
      <c r="A10394" s="62">
        <v>36878</v>
      </c>
      <c r="B10394">
        <v>0.87450000000000006</v>
      </c>
      <c r="C10394" t="str">
        <f t="shared" si="167"/>
        <v>2000 q4</v>
      </c>
    </row>
    <row r="10395" spans="1:3">
      <c r="A10395" s="62">
        <v>36879</v>
      </c>
      <c r="B10395">
        <v>0.872</v>
      </c>
      <c r="C10395" t="str">
        <f t="shared" si="167"/>
        <v>2000 q4</v>
      </c>
    </row>
    <row r="10396" spans="1:3">
      <c r="A10396" s="62">
        <v>36880</v>
      </c>
      <c r="B10396">
        <v>0.86099999999999999</v>
      </c>
      <c r="C10396" t="str">
        <f t="shared" si="167"/>
        <v>2000 q4</v>
      </c>
    </row>
    <row r="10397" spans="1:3">
      <c r="A10397" s="62">
        <v>36881</v>
      </c>
      <c r="B10397">
        <v>0.85450000000000004</v>
      </c>
      <c r="C10397" t="str">
        <f t="shared" si="167"/>
        <v>2000 q4</v>
      </c>
    </row>
    <row r="10398" spans="1:3">
      <c r="A10398" s="62">
        <v>36882</v>
      </c>
      <c r="B10398">
        <v>0.85799999999999998</v>
      </c>
      <c r="C10398" t="str">
        <f t="shared" si="167"/>
        <v>2000 q4</v>
      </c>
    </row>
    <row r="10399" spans="1:3">
      <c r="A10399" s="62">
        <v>36886</v>
      </c>
      <c r="B10399">
        <v>0.86370000000000002</v>
      </c>
      <c r="C10399" t="str">
        <f t="shared" si="167"/>
        <v>2000 q4</v>
      </c>
    </row>
    <row r="10400" spans="1:3">
      <c r="A10400" s="62">
        <v>36887</v>
      </c>
      <c r="B10400">
        <v>0.84840000000000004</v>
      </c>
      <c r="C10400" t="str">
        <f t="shared" si="167"/>
        <v>2000 q4</v>
      </c>
    </row>
    <row r="10401" spans="1:3">
      <c r="A10401" s="62">
        <v>36888</v>
      </c>
      <c r="B10401">
        <v>0.85070000000000001</v>
      </c>
      <c r="C10401" t="str">
        <f t="shared" si="167"/>
        <v>2000 q4</v>
      </c>
    </row>
    <row r="10402" spans="1:3">
      <c r="A10402" s="62">
        <v>36889</v>
      </c>
      <c r="B10402">
        <v>0.84370000000000001</v>
      </c>
      <c r="C10402" t="str">
        <f t="shared" si="167"/>
        <v>2000 q4</v>
      </c>
    </row>
    <row r="10403" spans="1:3">
      <c r="A10403" s="62">
        <v>36893</v>
      </c>
      <c r="B10403">
        <v>0.8115</v>
      </c>
      <c r="C10403" t="str">
        <f t="shared" si="167"/>
        <v>2001 q1</v>
      </c>
    </row>
    <row r="10404" spans="1:3">
      <c r="A10404" s="62">
        <v>36894</v>
      </c>
      <c r="B10404">
        <v>0.81699999999999995</v>
      </c>
      <c r="C10404" t="str">
        <f t="shared" si="167"/>
        <v>2001 q1</v>
      </c>
    </row>
    <row r="10405" spans="1:3">
      <c r="A10405" s="62">
        <v>36895</v>
      </c>
      <c r="B10405">
        <v>0.81100000000000005</v>
      </c>
      <c r="C10405" t="str">
        <f t="shared" si="167"/>
        <v>2001 q1</v>
      </c>
    </row>
    <row r="10406" spans="1:3">
      <c r="A10406" s="62">
        <v>36896</v>
      </c>
      <c r="B10406">
        <v>0.82450000000000001</v>
      </c>
      <c r="C10406" t="str">
        <f t="shared" si="167"/>
        <v>2001 q1</v>
      </c>
    </row>
    <row r="10407" spans="1:3">
      <c r="A10407" s="62">
        <v>36899</v>
      </c>
      <c r="B10407">
        <v>0.82850000000000001</v>
      </c>
      <c r="C10407" t="str">
        <f t="shared" si="167"/>
        <v>2001 q1</v>
      </c>
    </row>
    <row r="10408" spans="1:3">
      <c r="A10408" s="62">
        <v>36900</v>
      </c>
      <c r="B10408">
        <v>0.82499999999999996</v>
      </c>
      <c r="C10408" t="str">
        <f t="shared" si="167"/>
        <v>2001 q1</v>
      </c>
    </row>
    <row r="10409" spans="1:3">
      <c r="A10409" s="62">
        <v>36901</v>
      </c>
      <c r="B10409">
        <v>0.82599999999999996</v>
      </c>
      <c r="C10409" t="str">
        <f t="shared" si="167"/>
        <v>2001 q1</v>
      </c>
    </row>
    <row r="10410" spans="1:3">
      <c r="A10410" s="62">
        <v>36902</v>
      </c>
      <c r="B10410">
        <v>0.83050000000000002</v>
      </c>
      <c r="C10410" t="str">
        <f t="shared" si="167"/>
        <v>2001 q1</v>
      </c>
    </row>
    <row r="10411" spans="1:3">
      <c r="A10411" s="62">
        <v>36903</v>
      </c>
      <c r="B10411">
        <v>0.84150000000000003</v>
      </c>
      <c r="C10411" t="str">
        <f t="shared" si="167"/>
        <v>2001 q1</v>
      </c>
    </row>
    <row r="10412" spans="1:3">
      <c r="A10412" s="62">
        <v>36907</v>
      </c>
      <c r="B10412">
        <v>0.82299999999999995</v>
      </c>
      <c r="C10412" t="str">
        <f t="shared" si="167"/>
        <v>2001 q1</v>
      </c>
    </row>
    <row r="10413" spans="1:3">
      <c r="A10413" s="62">
        <v>36908</v>
      </c>
      <c r="B10413">
        <v>0.82750000000000001</v>
      </c>
      <c r="C10413" t="str">
        <f t="shared" si="167"/>
        <v>2001 q1</v>
      </c>
    </row>
    <row r="10414" spans="1:3">
      <c r="A10414" s="62">
        <v>36909</v>
      </c>
      <c r="B10414">
        <v>0.86150000000000004</v>
      </c>
      <c r="C10414" t="str">
        <f t="shared" si="167"/>
        <v>2001 q1</v>
      </c>
    </row>
    <row r="10415" spans="1:3">
      <c r="A10415" s="62">
        <v>36910</v>
      </c>
      <c r="B10415">
        <v>0.84750000000000003</v>
      </c>
      <c r="C10415" t="str">
        <f t="shared" si="167"/>
        <v>2001 q1</v>
      </c>
    </row>
    <row r="10416" spans="1:3">
      <c r="A10416" s="62">
        <v>36913</v>
      </c>
      <c r="B10416">
        <v>0.84750000000000003</v>
      </c>
      <c r="C10416" t="str">
        <f t="shared" si="167"/>
        <v>2001 q1</v>
      </c>
    </row>
    <row r="10417" spans="1:3">
      <c r="A10417" s="62">
        <v>36914</v>
      </c>
      <c r="B10417">
        <v>0.84850000000000003</v>
      </c>
      <c r="C10417" t="str">
        <f t="shared" si="167"/>
        <v>2001 q1</v>
      </c>
    </row>
    <row r="10418" spans="1:3">
      <c r="A10418" s="62">
        <v>36915</v>
      </c>
      <c r="B10418">
        <v>0.83499999999999996</v>
      </c>
      <c r="C10418" t="str">
        <f t="shared" si="167"/>
        <v>2001 q1</v>
      </c>
    </row>
    <row r="10419" spans="1:3">
      <c r="A10419" s="62">
        <v>36916</v>
      </c>
      <c r="B10419">
        <v>0.83699999999999997</v>
      </c>
      <c r="C10419" t="str">
        <f t="shared" si="167"/>
        <v>2001 q1</v>
      </c>
    </row>
    <row r="10420" spans="1:3">
      <c r="A10420" s="62">
        <v>36917</v>
      </c>
      <c r="B10420">
        <v>0.84</v>
      </c>
      <c r="C10420" t="str">
        <f t="shared" si="167"/>
        <v>2001 q1</v>
      </c>
    </row>
    <row r="10421" spans="1:3">
      <c r="A10421" s="62">
        <v>36920</v>
      </c>
      <c r="B10421">
        <v>0.83250000000000002</v>
      </c>
      <c r="C10421" t="str">
        <f t="shared" si="167"/>
        <v>2001 q1</v>
      </c>
    </row>
    <row r="10422" spans="1:3">
      <c r="A10422" s="62">
        <v>36921</v>
      </c>
      <c r="B10422">
        <v>0.84099999999999997</v>
      </c>
      <c r="C10422" t="str">
        <f t="shared" si="167"/>
        <v>2001 q1</v>
      </c>
    </row>
    <row r="10423" spans="1:3">
      <c r="A10423" s="62">
        <v>36922</v>
      </c>
      <c r="B10423">
        <v>0.84550000000000003</v>
      </c>
      <c r="C10423" t="str">
        <f t="shared" si="167"/>
        <v>2001 q1</v>
      </c>
    </row>
    <row r="10424" spans="1:3">
      <c r="A10424" s="62">
        <v>36923</v>
      </c>
      <c r="B10424">
        <v>0.84699999999999998</v>
      </c>
      <c r="C10424" t="str">
        <f t="shared" si="167"/>
        <v>2001 q1</v>
      </c>
    </row>
    <row r="10425" spans="1:3">
      <c r="A10425" s="62">
        <v>36924</v>
      </c>
      <c r="B10425">
        <v>0.84150000000000003</v>
      </c>
      <c r="C10425" t="str">
        <f t="shared" si="167"/>
        <v>2001 q1</v>
      </c>
    </row>
    <row r="10426" spans="1:3">
      <c r="A10426" s="62">
        <v>36927</v>
      </c>
      <c r="B10426">
        <v>0.82499999999999996</v>
      </c>
      <c r="C10426" t="str">
        <f t="shared" si="167"/>
        <v>2001 q1</v>
      </c>
    </row>
    <row r="10427" spans="1:3">
      <c r="A10427" s="62">
        <v>36928</v>
      </c>
      <c r="B10427">
        <v>0.83050000000000002</v>
      </c>
      <c r="C10427" t="str">
        <f t="shared" si="167"/>
        <v>2001 q1</v>
      </c>
    </row>
    <row r="10428" spans="1:3">
      <c r="A10428" s="62">
        <v>36929</v>
      </c>
      <c r="B10428">
        <v>0.82850000000000001</v>
      </c>
      <c r="C10428" t="str">
        <f t="shared" si="167"/>
        <v>2001 q1</v>
      </c>
    </row>
    <row r="10429" spans="1:3">
      <c r="A10429" s="62">
        <v>36930</v>
      </c>
      <c r="B10429">
        <v>0.82950000000000002</v>
      </c>
      <c r="C10429" t="str">
        <f t="shared" si="167"/>
        <v>2001 q1</v>
      </c>
    </row>
    <row r="10430" spans="1:3">
      <c r="A10430" s="62">
        <v>36931</v>
      </c>
      <c r="B10430">
        <v>0.82</v>
      </c>
      <c r="C10430" t="str">
        <f t="shared" si="167"/>
        <v>2001 q1</v>
      </c>
    </row>
    <row r="10431" spans="1:3">
      <c r="A10431" s="62">
        <v>36934</v>
      </c>
      <c r="B10431">
        <v>0.8175</v>
      </c>
      <c r="C10431" t="str">
        <f t="shared" si="167"/>
        <v>2001 q1</v>
      </c>
    </row>
    <row r="10432" spans="1:3">
      <c r="A10432" s="62">
        <v>36935</v>
      </c>
      <c r="B10432">
        <v>0.82450000000000001</v>
      </c>
      <c r="C10432" t="str">
        <f t="shared" si="167"/>
        <v>2001 q1</v>
      </c>
    </row>
    <row r="10433" spans="1:3">
      <c r="A10433" s="62">
        <v>36936</v>
      </c>
      <c r="B10433">
        <v>0.82199999999999995</v>
      </c>
      <c r="C10433" t="str">
        <f t="shared" si="167"/>
        <v>2001 q1</v>
      </c>
    </row>
    <row r="10434" spans="1:3">
      <c r="A10434" s="62">
        <v>36937</v>
      </c>
      <c r="B10434">
        <v>0.82799999999999996</v>
      </c>
      <c r="C10434" t="str">
        <f t="shared" si="167"/>
        <v>2001 q1</v>
      </c>
    </row>
    <row r="10435" spans="1:3">
      <c r="A10435" s="62">
        <v>36938</v>
      </c>
      <c r="B10435">
        <v>0.82499999999999996</v>
      </c>
      <c r="C10435" t="str">
        <f t="shared" si="167"/>
        <v>2001 q1</v>
      </c>
    </row>
    <row r="10436" spans="1:3">
      <c r="A10436" s="62">
        <v>36942</v>
      </c>
      <c r="B10436">
        <v>0.82050000000000001</v>
      </c>
      <c r="C10436" t="str">
        <f t="shared" si="167"/>
        <v>2001 q1</v>
      </c>
    </row>
    <row r="10437" spans="1:3">
      <c r="A10437" s="62">
        <v>36943</v>
      </c>
      <c r="B10437">
        <v>0.80049999999999999</v>
      </c>
      <c r="C10437" t="str">
        <f t="shared" si="167"/>
        <v>2001 q1</v>
      </c>
    </row>
    <row r="10438" spans="1:3">
      <c r="A10438" s="62">
        <v>36944</v>
      </c>
      <c r="B10438">
        <v>0.80100000000000005</v>
      </c>
      <c r="C10438" t="str">
        <f t="shared" si="167"/>
        <v>2001 q1</v>
      </c>
    </row>
    <row r="10439" spans="1:3">
      <c r="A10439" s="62">
        <v>36945</v>
      </c>
      <c r="B10439">
        <v>0.79700000000000004</v>
      </c>
      <c r="C10439" t="str">
        <f t="shared" si="167"/>
        <v>2001 q1</v>
      </c>
    </row>
    <row r="10440" spans="1:3">
      <c r="A10440" s="62">
        <v>36948</v>
      </c>
      <c r="B10440">
        <v>0.80769999999999997</v>
      </c>
      <c r="C10440" t="str">
        <f t="shared" si="167"/>
        <v>2001 q1</v>
      </c>
    </row>
    <row r="10441" spans="1:3">
      <c r="A10441" s="62">
        <v>36949</v>
      </c>
      <c r="B10441">
        <v>0.80610000000000004</v>
      </c>
      <c r="C10441" t="str">
        <f t="shared" si="167"/>
        <v>2001 q1</v>
      </c>
    </row>
    <row r="10442" spans="1:3">
      <c r="A10442" s="62">
        <v>36950</v>
      </c>
      <c r="B10442">
        <v>0.81479999999999997</v>
      </c>
      <c r="C10442" t="str">
        <f t="shared" si="167"/>
        <v>2001 q1</v>
      </c>
    </row>
    <row r="10443" spans="1:3">
      <c r="A10443" s="62">
        <v>36951</v>
      </c>
      <c r="B10443">
        <v>0.82399999999999995</v>
      </c>
      <c r="C10443" t="str">
        <f t="shared" si="167"/>
        <v>2001 q1</v>
      </c>
    </row>
    <row r="10444" spans="1:3">
      <c r="A10444" s="62">
        <v>36952</v>
      </c>
      <c r="B10444">
        <v>0.82799999999999996</v>
      </c>
      <c r="C10444" t="str">
        <f t="shared" si="167"/>
        <v>2001 q1</v>
      </c>
    </row>
    <row r="10445" spans="1:3">
      <c r="A10445" s="62">
        <v>36955</v>
      </c>
      <c r="B10445">
        <v>0.83799999999999997</v>
      </c>
      <c r="C10445" t="str">
        <f t="shared" si="167"/>
        <v>2001 q1</v>
      </c>
    </row>
    <row r="10446" spans="1:3">
      <c r="A10446" s="62">
        <v>36956</v>
      </c>
      <c r="B10446">
        <v>0.84850000000000003</v>
      </c>
      <c r="C10446" t="str">
        <f t="shared" si="167"/>
        <v>2001 q1</v>
      </c>
    </row>
    <row r="10447" spans="1:3">
      <c r="A10447" s="62">
        <v>36957</v>
      </c>
      <c r="B10447">
        <v>0.84</v>
      </c>
      <c r="C10447" t="str">
        <f t="shared" si="167"/>
        <v>2001 q1</v>
      </c>
    </row>
    <row r="10448" spans="1:3">
      <c r="A10448" s="62">
        <v>36958</v>
      </c>
      <c r="B10448">
        <v>0.82650000000000001</v>
      </c>
      <c r="C10448" t="str">
        <f t="shared" si="167"/>
        <v>2001 q1</v>
      </c>
    </row>
    <row r="10449" spans="1:3">
      <c r="A10449" s="62">
        <v>36959</v>
      </c>
      <c r="B10449">
        <v>0.83250000000000002</v>
      </c>
      <c r="C10449" t="str">
        <f t="shared" si="167"/>
        <v>2001 q1</v>
      </c>
    </row>
    <row r="10450" spans="1:3">
      <c r="A10450" s="62">
        <v>36962</v>
      </c>
      <c r="B10450">
        <v>0.82850000000000001</v>
      </c>
      <c r="C10450" t="str">
        <f t="shared" ref="C10450:C10513" si="168">YEAR(A10450)&amp;" q"&amp;ROUNDUP(MONTH(A10450)/3,0)</f>
        <v>2001 q1</v>
      </c>
    </row>
    <row r="10451" spans="1:3">
      <c r="A10451" s="62">
        <v>36963</v>
      </c>
      <c r="B10451">
        <v>0.81950000000000001</v>
      </c>
      <c r="C10451" t="str">
        <f t="shared" si="168"/>
        <v>2001 q1</v>
      </c>
    </row>
    <row r="10452" spans="1:3">
      <c r="A10452" s="62">
        <v>36964</v>
      </c>
      <c r="B10452">
        <v>0.81299999999999994</v>
      </c>
      <c r="C10452" t="str">
        <f t="shared" si="168"/>
        <v>2001 q1</v>
      </c>
    </row>
    <row r="10453" spans="1:3">
      <c r="A10453" s="62">
        <v>36965</v>
      </c>
      <c r="B10453">
        <v>0.8105</v>
      </c>
      <c r="C10453" t="str">
        <f t="shared" si="168"/>
        <v>2001 q1</v>
      </c>
    </row>
    <row r="10454" spans="1:3">
      <c r="A10454" s="62">
        <v>36966</v>
      </c>
      <c r="B10454">
        <v>0.79200000000000004</v>
      </c>
      <c r="C10454" t="str">
        <f t="shared" si="168"/>
        <v>2001 q1</v>
      </c>
    </row>
    <row r="10455" spans="1:3">
      <c r="A10455" s="62">
        <v>36969</v>
      </c>
      <c r="B10455">
        <v>0.79800000000000004</v>
      </c>
      <c r="C10455" t="str">
        <f t="shared" si="168"/>
        <v>2001 q1</v>
      </c>
    </row>
    <row r="10456" spans="1:3">
      <c r="A10456" s="62">
        <v>36970</v>
      </c>
      <c r="B10456">
        <v>0.80100000000000005</v>
      </c>
      <c r="C10456" t="str">
        <f t="shared" si="168"/>
        <v>2001 q1</v>
      </c>
    </row>
    <row r="10457" spans="1:3">
      <c r="A10457" s="62">
        <v>36971</v>
      </c>
      <c r="B10457">
        <v>0.79249999999999998</v>
      </c>
      <c r="C10457" t="str">
        <f t="shared" si="168"/>
        <v>2001 q1</v>
      </c>
    </row>
    <row r="10458" spans="1:3">
      <c r="A10458" s="62">
        <v>36972</v>
      </c>
      <c r="B10458">
        <v>0.78400000000000003</v>
      </c>
      <c r="C10458" t="str">
        <f t="shared" si="168"/>
        <v>2001 q1</v>
      </c>
    </row>
    <row r="10459" spans="1:3">
      <c r="A10459" s="62">
        <v>36973</v>
      </c>
      <c r="B10459">
        <v>0.78600000000000003</v>
      </c>
      <c r="C10459" t="str">
        <f t="shared" si="168"/>
        <v>2001 q1</v>
      </c>
    </row>
    <row r="10460" spans="1:3">
      <c r="A10460" s="62">
        <v>36976</v>
      </c>
      <c r="B10460">
        <v>0.78449999999999998</v>
      </c>
      <c r="C10460" t="str">
        <f t="shared" si="168"/>
        <v>2001 q1</v>
      </c>
    </row>
    <row r="10461" spans="1:3">
      <c r="A10461" s="62">
        <v>36977</v>
      </c>
      <c r="B10461">
        <v>0.79200000000000004</v>
      </c>
      <c r="C10461" t="str">
        <f t="shared" si="168"/>
        <v>2001 q1</v>
      </c>
    </row>
    <row r="10462" spans="1:3">
      <c r="A10462" s="62">
        <v>36978</v>
      </c>
      <c r="B10462">
        <v>0.77300000000000002</v>
      </c>
      <c r="C10462" t="str">
        <f t="shared" si="168"/>
        <v>2001 q1</v>
      </c>
    </row>
    <row r="10463" spans="1:3">
      <c r="A10463" s="62">
        <v>36979</v>
      </c>
      <c r="B10463">
        <v>0.77549999999999997</v>
      </c>
      <c r="C10463" t="str">
        <f t="shared" si="168"/>
        <v>2001 q1</v>
      </c>
    </row>
    <row r="10464" spans="1:3">
      <c r="A10464" s="62">
        <v>36980</v>
      </c>
      <c r="B10464">
        <v>0.76400000000000001</v>
      </c>
      <c r="C10464" t="str">
        <f t="shared" si="168"/>
        <v>2001 q1</v>
      </c>
    </row>
    <row r="10465" spans="1:3">
      <c r="A10465" s="62">
        <v>36983</v>
      </c>
      <c r="B10465">
        <v>0.76049999999999995</v>
      </c>
      <c r="C10465" t="str">
        <f t="shared" si="168"/>
        <v>2001 q2</v>
      </c>
    </row>
    <row r="10466" spans="1:3">
      <c r="A10466" s="62">
        <v>36984</v>
      </c>
      <c r="B10466">
        <v>0.76600000000000001</v>
      </c>
      <c r="C10466" t="str">
        <f t="shared" si="168"/>
        <v>2001 q2</v>
      </c>
    </row>
    <row r="10467" spans="1:3">
      <c r="A10467" s="62">
        <v>36985</v>
      </c>
      <c r="B10467">
        <v>0.76600000000000001</v>
      </c>
      <c r="C10467" t="str">
        <f t="shared" si="168"/>
        <v>2001 q2</v>
      </c>
    </row>
    <row r="10468" spans="1:3">
      <c r="A10468" s="62">
        <v>36986</v>
      </c>
      <c r="B10468">
        <v>0.76849999999999996</v>
      </c>
      <c r="C10468" t="str">
        <f t="shared" si="168"/>
        <v>2001 q2</v>
      </c>
    </row>
    <row r="10469" spans="1:3">
      <c r="A10469" s="62">
        <v>36987</v>
      </c>
      <c r="B10469">
        <v>0.75049999999999994</v>
      </c>
      <c r="C10469" t="str">
        <f t="shared" si="168"/>
        <v>2001 q2</v>
      </c>
    </row>
    <row r="10470" spans="1:3">
      <c r="A10470" s="62">
        <v>36990</v>
      </c>
      <c r="B10470">
        <v>0.76</v>
      </c>
      <c r="C10470" t="str">
        <f t="shared" si="168"/>
        <v>2001 q2</v>
      </c>
    </row>
    <row r="10471" spans="1:3">
      <c r="A10471" s="62">
        <v>36991</v>
      </c>
      <c r="B10471">
        <v>0.76949999999999996</v>
      </c>
      <c r="C10471" t="str">
        <f t="shared" si="168"/>
        <v>2001 q2</v>
      </c>
    </row>
    <row r="10472" spans="1:3">
      <c r="A10472" s="62">
        <v>36992</v>
      </c>
      <c r="B10472">
        <v>0.76549999999999996</v>
      </c>
      <c r="C10472" t="str">
        <f t="shared" si="168"/>
        <v>2001 q2</v>
      </c>
    </row>
    <row r="10473" spans="1:3">
      <c r="A10473" s="62">
        <v>36993</v>
      </c>
      <c r="B10473">
        <v>0.76700000000000002</v>
      </c>
      <c r="C10473" t="str">
        <f t="shared" si="168"/>
        <v>2001 q2</v>
      </c>
    </row>
    <row r="10474" spans="1:3">
      <c r="A10474" s="62">
        <v>36997</v>
      </c>
      <c r="B10474">
        <v>0.76900000000000002</v>
      </c>
      <c r="C10474" t="str">
        <f t="shared" si="168"/>
        <v>2001 q2</v>
      </c>
    </row>
    <row r="10475" spans="1:3">
      <c r="A10475" s="62">
        <v>36998</v>
      </c>
      <c r="B10475">
        <v>0.76449999999999996</v>
      </c>
      <c r="C10475" t="str">
        <f t="shared" si="168"/>
        <v>2001 q2</v>
      </c>
    </row>
    <row r="10476" spans="1:3">
      <c r="A10476" s="62">
        <v>36999</v>
      </c>
      <c r="B10476">
        <v>0.78500000000000003</v>
      </c>
      <c r="C10476" t="str">
        <f t="shared" si="168"/>
        <v>2001 q2</v>
      </c>
    </row>
    <row r="10477" spans="1:3">
      <c r="A10477" s="62">
        <v>37000</v>
      </c>
      <c r="B10477">
        <v>0.77300000000000002</v>
      </c>
      <c r="C10477" t="str">
        <f t="shared" si="168"/>
        <v>2001 q2</v>
      </c>
    </row>
    <row r="10478" spans="1:3">
      <c r="A10478" s="62">
        <v>37001</v>
      </c>
      <c r="B10478">
        <v>0.77500000000000002</v>
      </c>
      <c r="C10478" t="str">
        <f t="shared" si="168"/>
        <v>2001 q2</v>
      </c>
    </row>
    <row r="10479" spans="1:3">
      <c r="A10479" s="62">
        <v>37004</v>
      </c>
      <c r="B10479">
        <v>0.75800000000000001</v>
      </c>
      <c r="C10479" t="str">
        <f t="shared" si="168"/>
        <v>2001 q2</v>
      </c>
    </row>
    <row r="10480" spans="1:3">
      <c r="A10480" s="62">
        <v>37005</v>
      </c>
      <c r="B10480">
        <v>0.76149999999999995</v>
      </c>
      <c r="C10480" t="str">
        <f t="shared" si="168"/>
        <v>2001 q2</v>
      </c>
    </row>
    <row r="10481" spans="1:3">
      <c r="A10481" s="62">
        <v>37006</v>
      </c>
      <c r="B10481">
        <v>0.76649999999999996</v>
      </c>
      <c r="C10481" t="str">
        <f t="shared" si="168"/>
        <v>2001 q2</v>
      </c>
    </row>
    <row r="10482" spans="1:3">
      <c r="A10482" s="62">
        <v>37007</v>
      </c>
      <c r="B10482">
        <v>0.76319999999999999</v>
      </c>
      <c r="C10482" t="str">
        <f t="shared" si="168"/>
        <v>2001 q2</v>
      </c>
    </row>
    <row r="10483" spans="1:3">
      <c r="A10483" s="62">
        <v>37008</v>
      </c>
      <c r="B10483">
        <v>0.76529999999999998</v>
      </c>
      <c r="C10483" t="str">
        <f t="shared" si="168"/>
        <v>2001 q2</v>
      </c>
    </row>
    <row r="10484" spans="1:3">
      <c r="A10484" s="62">
        <v>37011</v>
      </c>
      <c r="B10484">
        <v>0.77490000000000003</v>
      </c>
      <c r="C10484" t="str">
        <f t="shared" si="168"/>
        <v>2001 q2</v>
      </c>
    </row>
    <row r="10485" spans="1:3">
      <c r="A10485" s="62">
        <v>37012</v>
      </c>
      <c r="B10485">
        <v>0.78400000000000003</v>
      </c>
      <c r="C10485" t="str">
        <f t="shared" si="168"/>
        <v>2001 q2</v>
      </c>
    </row>
    <row r="10486" spans="1:3">
      <c r="A10486" s="62">
        <v>37013</v>
      </c>
      <c r="B10486">
        <v>0.79649999999999999</v>
      </c>
      <c r="C10486" t="str">
        <f t="shared" si="168"/>
        <v>2001 q2</v>
      </c>
    </row>
    <row r="10487" spans="1:3">
      <c r="A10487" s="62">
        <v>37014</v>
      </c>
      <c r="B10487">
        <v>0.79149999999999998</v>
      </c>
      <c r="C10487" t="str">
        <f t="shared" si="168"/>
        <v>2001 q2</v>
      </c>
    </row>
    <row r="10488" spans="1:3">
      <c r="A10488" s="62">
        <v>37015</v>
      </c>
      <c r="B10488">
        <v>0.78549999999999998</v>
      </c>
      <c r="C10488" t="str">
        <f t="shared" si="168"/>
        <v>2001 q2</v>
      </c>
    </row>
    <row r="10489" spans="1:3">
      <c r="A10489" s="62">
        <v>37018</v>
      </c>
      <c r="B10489">
        <v>0.78649999999999998</v>
      </c>
      <c r="C10489" t="str">
        <f t="shared" si="168"/>
        <v>2001 q2</v>
      </c>
    </row>
    <row r="10490" spans="1:3">
      <c r="A10490" s="62">
        <v>37019</v>
      </c>
      <c r="B10490">
        <v>0.76849999999999996</v>
      </c>
      <c r="C10490" t="str">
        <f t="shared" si="168"/>
        <v>2001 q2</v>
      </c>
    </row>
    <row r="10491" spans="1:3">
      <c r="A10491" s="62">
        <v>37020</v>
      </c>
      <c r="B10491">
        <v>0.76349999999999996</v>
      </c>
      <c r="C10491" t="str">
        <f t="shared" si="168"/>
        <v>2001 q2</v>
      </c>
    </row>
    <row r="10492" spans="1:3">
      <c r="A10492" s="62">
        <v>37021</v>
      </c>
      <c r="B10492">
        <v>0.75949999999999995</v>
      </c>
      <c r="C10492" t="str">
        <f t="shared" si="168"/>
        <v>2001 q2</v>
      </c>
    </row>
    <row r="10493" spans="1:3">
      <c r="A10493" s="62">
        <v>37022</v>
      </c>
      <c r="B10493">
        <v>0.76349999999999996</v>
      </c>
      <c r="C10493" t="str">
        <f t="shared" si="168"/>
        <v>2001 q2</v>
      </c>
    </row>
    <row r="10494" spans="1:3">
      <c r="A10494" s="62">
        <v>37025</v>
      </c>
      <c r="B10494">
        <v>0.755</v>
      </c>
      <c r="C10494" t="str">
        <f t="shared" si="168"/>
        <v>2001 q2</v>
      </c>
    </row>
    <row r="10495" spans="1:3">
      <c r="A10495" s="62">
        <v>37026</v>
      </c>
      <c r="B10495">
        <v>0.755</v>
      </c>
      <c r="C10495" t="str">
        <f t="shared" si="168"/>
        <v>2001 q2</v>
      </c>
    </row>
    <row r="10496" spans="1:3">
      <c r="A10496" s="62">
        <v>37027</v>
      </c>
      <c r="B10496">
        <v>0.75649999999999995</v>
      </c>
      <c r="C10496" t="str">
        <f t="shared" si="168"/>
        <v>2001 q2</v>
      </c>
    </row>
    <row r="10497" spans="1:3">
      <c r="A10497" s="62">
        <v>37028</v>
      </c>
      <c r="B10497">
        <v>0.76849999999999996</v>
      </c>
      <c r="C10497" t="str">
        <f t="shared" si="168"/>
        <v>2001 q2</v>
      </c>
    </row>
    <row r="10498" spans="1:3">
      <c r="A10498" s="62">
        <v>37029</v>
      </c>
      <c r="B10498">
        <v>0.78749999999999998</v>
      </c>
      <c r="C10498" t="str">
        <f t="shared" si="168"/>
        <v>2001 q2</v>
      </c>
    </row>
    <row r="10499" spans="1:3">
      <c r="A10499" s="62">
        <v>37032</v>
      </c>
      <c r="B10499">
        <v>0.80300000000000005</v>
      </c>
      <c r="C10499" t="str">
        <f t="shared" si="168"/>
        <v>2001 q2</v>
      </c>
    </row>
    <row r="10500" spans="1:3">
      <c r="A10500" s="62">
        <v>37033</v>
      </c>
      <c r="B10500">
        <v>0.79149999999999998</v>
      </c>
      <c r="C10500" t="str">
        <f t="shared" si="168"/>
        <v>2001 q2</v>
      </c>
    </row>
    <row r="10501" spans="1:3">
      <c r="A10501" s="62">
        <v>37034</v>
      </c>
      <c r="B10501">
        <v>0.79049999999999998</v>
      </c>
      <c r="C10501" t="str">
        <f t="shared" si="168"/>
        <v>2001 q2</v>
      </c>
    </row>
    <row r="10502" spans="1:3">
      <c r="A10502" s="62">
        <v>37035</v>
      </c>
      <c r="B10502">
        <v>0.79349999999999998</v>
      </c>
      <c r="C10502" t="str">
        <f t="shared" si="168"/>
        <v>2001 q2</v>
      </c>
    </row>
    <row r="10503" spans="1:3">
      <c r="A10503" s="62">
        <v>37036</v>
      </c>
      <c r="B10503">
        <v>0.79249999999999998</v>
      </c>
      <c r="C10503" t="str">
        <f t="shared" si="168"/>
        <v>2001 q2</v>
      </c>
    </row>
    <row r="10504" spans="1:3">
      <c r="A10504" s="62">
        <v>37040</v>
      </c>
      <c r="B10504">
        <v>0.76700000000000002</v>
      </c>
      <c r="C10504" t="str">
        <f t="shared" si="168"/>
        <v>2001 q2</v>
      </c>
    </row>
    <row r="10505" spans="1:3">
      <c r="A10505" s="62">
        <v>37041</v>
      </c>
      <c r="B10505">
        <v>0.76249999999999996</v>
      </c>
      <c r="C10505" t="str">
        <f t="shared" si="168"/>
        <v>2001 q2</v>
      </c>
    </row>
    <row r="10506" spans="1:3">
      <c r="A10506" s="62">
        <v>37042</v>
      </c>
      <c r="B10506">
        <v>0.75749999999999995</v>
      </c>
      <c r="C10506" t="str">
        <f t="shared" si="168"/>
        <v>2001 q2</v>
      </c>
    </row>
    <row r="10507" spans="1:3">
      <c r="A10507" s="62">
        <v>37043</v>
      </c>
      <c r="B10507">
        <v>0.752</v>
      </c>
      <c r="C10507" t="str">
        <f t="shared" si="168"/>
        <v>2001 q2</v>
      </c>
    </row>
    <row r="10508" spans="1:3">
      <c r="A10508" s="62">
        <v>37046</v>
      </c>
      <c r="B10508">
        <v>0.752</v>
      </c>
      <c r="C10508" t="str">
        <f t="shared" si="168"/>
        <v>2001 q2</v>
      </c>
    </row>
    <row r="10509" spans="1:3">
      <c r="A10509" s="62">
        <v>37047</v>
      </c>
      <c r="B10509">
        <v>0.76149999999999995</v>
      </c>
      <c r="C10509" t="str">
        <f t="shared" si="168"/>
        <v>2001 q2</v>
      </c>
    </row>
    <row r="10510" spans="1:3">
      <c r="A10510" s="62">
        <v>37048</v>
      </c>
      <c r="B10510">
        <v>0.75349999999999995</v>
      </c>
      <c r="C10510" t="str">
        <f t="shared" si="168"/>
        <v>2001 q2</v>
      </c>
    </row>
    <row r="10511" spans="1:3">
      <c r="A10511" s="62">
        <v>37049</v>
      </c>
      <c r="B10511">
        <v>0.75</v>
      </c>
      <c r="C10511" t="str">
        <f t="shared" si="168"/>
        <v>2001 q2</v>
      </c>
    </row>
    <row r="10512" spans="1:3">
      <c r="A10512" s="62">
        <v>37050</v>
      </c>
      <c r="B10512">
        <v>0.73050000000000004</v>
      </c>
      <c r="C10512" t="str">
        <f t="shared" si="168"/>
        <v>2001 q2</v>
      </c>
    </row>
    <row r="10513" spans="1:3">
      <c r="A10513" s="62">
        <v>37053</v>
      </c>
      <c r="B10513">
        <v>0.73150000000000004</v>
      </c>
      <c r="C10513" t="str">
        <f t="shared" si="168"/>
        <v>2001 q2</v>
      </c>
    </row>
    <row r="10514" spans="1:3">
      <c r="A10514" s="62">
        <v>37054</v>
      </c>
      <c r="B10514">
        <v>0.72799999999999998</v>
      </c>
      <c r="C10514" t="str">
        <f t="shared" ref="C10514:C10577" si="169">YEAR(A10514)&amp;" q"&amp;ROUNDUP(MONTH(A10514)/3,0)</f>
        <v>2001 q2</v>
      </c>
    </row>
    <row r="10515" spans="1:3">
      <c r="A10515" s="62">
        <v>37055</v>
      </c>
      <c r="B10515">
        <v>0.72450000000000003</v>
      </c>
      <c r="C10515" t="str">
        <f t="shared" si="169"/>
        <v>2001 q2</v>
      </c>
    </row>
    <row r="10516" spans="1:3">
      <c r="A10516" s="62">
        <v>37056</v>
      </c>
      <c r="B10516">
        <v>0.72699999999999998</v>
      </c>
      <c r="C10516" t="str">
        <f t="shared" si="169"/>
        <v>2001 q2</v>
      </c>
    </row>
    <row r="10517" spans="1:3">
      <c r="A10517" s="62">
        <v>37057</v>
      </c>
      <c r="B10517">
        <v>0.71950000000000003</v>
      </c>
      <c r="C10517" t="str">
        <f t="shared" si="169"/>
        <v>2001 q2</v>
      </c>
    </row>
    <row r="10518" spans="1:3">
      <c r="A10518" s="62">
        <v>37060</v>
      </c>
      <c r="B10518">
        <v>0.72050000000000003</v>
      </c>
      <c r="C10518" t="str">
        <f t="shared" si="169"/>
        <v>2001 q2</v>
      </c>
    </row>
    <row r="10519" spans="1:3">
      <c r="A10519" s="62">
        <v>37061</v>
      </c>
      <c r="B10519">
        <v>0.72550000000000003</v>
      </c>
      <c r="C10519" t="str">
        <f t="shared" si="169"/>
        <v>2001 q2</v>
      </c>
    </row>
    <row r="10520" spans="1:3">
      <c r="A10520" s="62">
        <v>37062</v>
      </c>
      <c r="B10520">
        <v>0.71550000000000002</v>
      </c>
      <c r="C10520" t="str">
        <f t="shared" si="169"/>
        <v>2001 q2</v>
      </c>
    </row>
    <row r="10521" spans="1:3">
      <c r="A10521" s="62">
        <v>37063</v>
      </c>
      <c r="B10521">
        <v>0.72150000000000003</v>
      </c>
      <c r="C10521" t="str">
        <f t="shared" si="169"/>
        <v>2001 q2</v>
      </c>
    </row>
    <row r="10522" spans="1:3">
      <c r="A10522" s="62">
        <v>37064</v>
      </c>
      <c r="B10522">
        <v>0.71450000000000002</v>
      </c>
      <c r="C10522" t="str">
        <f t="shared" si="169"/>
        <v>2001 q2</v>
      </c>
    </row>
    <row r="10523" spans="1:3">
      <c r="A10523" s="62">
        <v>37067</v>
      </c>
      <c r="B10523">
        <v>0.71399999999999997</v>
      </c>
      <c r="C10523" t="str">
        <f t="shared" si="169"/>
        <v>2001 q2</v>
      </c>
    </row>
    <row r="10524" spans="1:3">
      <c r="A10524" s="62">
        <v>37068</v>
      </c>
      <c r="B10524">
        <v>0.7198</v>
      </c>
      <c r="C10524" t="str">
        <f t="shared" si="169"/>
        <v>2001 q2</v>
      </c>
    </row>
    <row r="10525" spans="1:3">
      <c r="A10525" s="62">
        <v>37069</v>
      </c>
      <c r="B10525">
        <v>0.72509999999999997</v>
      </c>
      <c r="C10525" t="str">
        <f t="shared" si="169"/>
        <v>2001 q2</v>
      </c>
    </row>
    <row r="10526" spans="1:3">
      <c r="A10526" s="62">
        <v>37070</v>
      </c>
      <c r="B10526">
        <v>0.71340000000000003</v>
      </c>
      <c r="C10526" t="str">
        <f t="shared" si="169"/>
        <v>2001 q2</v>
      </c>
    </row>
    <row r="10527" spans="1:3">
      <c r="A10527" s="62">
        <v>37071</v>
      </c>
      <c r="B10527">
        <v>0.7117</v>
      </c>
      <c r="C10527" t="str">
        <f t="shared" si="169"/>
        <v>2001 q2</v>
      </c>
    </row>
    <row r="10528" spans="1:3">
      <c r="A10528" s="62">
        <v>37074</v>
      </c>
      <c r="B10528">
        <v>0.72099999999999997</v>
      </c>
      <c r="C10528" t="str">
        <f t="shared" si="169"/>
        <v>2001 q3</v>
      </c>
    </row>
    <row r="10529" spans="1:3">
      <c r="A10529" s="62">
        <v>37075</v>
      </c>
      <c r="B10529">
        <v>0.71399999999999997</v>
      </c>
      <c r="C10529" t="str">
        <f t="shared" si="169"/>
        <v>2001 q3</v>
      </c>
    </row>
    <row r="10530" spans="1:3">
      <c r="A10530" s="62">
        <v>37077</v>
      </c>
      <c r="B10530">
        <v>0.70599999999999996</v>
      </c>
      <c r="C10530" t="str">
        <f t="shared" si="169"/>
        <v>2001 q3</v>
      </c>
    </row>
    <row r="10531" spans="1:3">
      <c r="A10531" s="62">
        <v>37078</v>
      </c>
      <c r="B10531">
        <v>0.71099999999999997</v>
      </c>
      <c r="C10531" t="str">
        <f t="shared" si="169"/>
        <v>2001 q3</v>
      </c>
    </row>
    <row r="10532" spans="1:3">
      <c r="A10532" s="62">
        <v>37081</v>
      </c>
      <c r="B10532">
        <v>0.70950000000000002</v>
      </c>
      <c r="C10532" t="str">
        <f t="shared" si="169"/>
        <v>2001 q3</v>
      </c>
    </row>
    <row r="10533" spans="1:3">
      <c r="A10533" s="62">
        <v>37082</v>
      </c>
      <c r="B10533">
        <v>0.71799999999999997</v>
      </c>
      <c r="C10533" t="str">
        <f t="shared" si="169"/>
        <v>2001 q3</v>
      </c>
    </row>
    <row r="10534" spans="1:3">
      <c r="A10534" s="62">
        <v>37083</v>
      </c>
      <c r="B10534">
        <v>0.71350000000000002</v>
      </c>
      <c r="C10534" t="str">
        <f t="shared" si="169"/>
        <v>2001 q3</v>
      </c>
    </row>
    <row r="10535" spans="1:3">
      <c r="A10535" s="62">
        <v>37084</v>
      </c>
      <c r="B10535">
        <v>0.70550000000000002</v>
      </c>
      <c r="C10535" t="str">
        <f t="shared" si="169"/>
        <v>2001 q3</v>
      </c>
    </row>
    <row r="10536" spans="1:3">
      <c r="A10536" s="62">
        <v>37085</v>
      </c>
      <c r="B10536">
        <v>0.70699999999999996</v>
      </c>
      <c r="C10536" t="str">
        <f t="shared" si="169"/>
        <v>2001 q3</v>
      </c>
    </row>
    <row r="10537" spans="1:3">
      <c r="A10537" s="62">
        <v>37088</v>
      </c>
      <c r="B10537">
        <v>0.70950000000000002</v>
      </c>
      <c r="C10537" t="str">
        <f t="shared" si="169"/>
        <v>2001 q3</v>
      </c>
    </row>
    <row r="10538" spans="1:3">
      <c r="A10538" s="62">
        <v>37089</v>
      </c>
      <c r="B10538">
        <v>0.71899999999999997</v>
      </c>
      <c r="C10538" t="str">
        <f t="shared" si="169"/>
        <v>2001 q3</v>
      </c>
    </row>
    <row r="10539" spans="1:3">
      <c r="A10539" s="62">
        <v>37090</v>
      </c>
      <c r="B10539">
        <v>0.70650000000000002</v>
      </c>
      <c r="C10539" t="str">
        <f t="shared" si="169"/>
        <v>2001 q3</v>
      </c>
    </row>
    <row r="10540" spans="1:3">
      <c r="A10540" s="62">
        <v>37091</v>
      </c>
      <c r="B10540">
        <v>0.69599999999999995</v>
      </c>
      <c r="C10540" t="str">
        <f t="shared" si="169"/>
        <v>2001 q3</v>
      </c>
    </row>
    <row r="10541" spans="1:3">
      <c r="A10541" s="62">
        <v>37092</v>
      </c>
      <c r="B10541">
        <v>0.7</v>
      </c>
      <c r="C10541" t="str">
        <f t="shared" si="169"/>
        <v>2001 q3</v>
      </c>
    </row>
    <row r="10542" spans="1:3">
      <c r="A10542" s="62">
        <v>37095</v>
      </c>
      <c r="B10542">
        <v>0.68799999999999994</v>
      </c>
      <c r="C10542" t="str">
        <f t="shared" si="169"/>
        <v>2001 q3</v>
      </c>
    </row>
    <row r="10543" spans="1:3">
      <c r="A10543" s="62">
        <v>37096</v>
      </c>
      <c r="B10543">
        <v>0.6855</v>
      </c>
      <c r="C10543" t="str">
        <f t="shared" si="169"/>
        <v>2001 q3</v>
      </c>
    </row>
    <row r="10544" spans="1:3">
      <c r="A10544" s="62">
        <v>37097</v>
      </c>
      <c r="B10544">
        <v>0.6875</v>
      </c>
      <c r="C10544" t="str">
        <f t="shared" si="169"/>
        <v>2001 q3</v>
      </c>
    </row>
    <row r="10545" spans="1:3">
      <c r="A10545" s="62">
        <v>37098</v>
      </c>
      <c r="B10545">
        <v>0.6855</v>
      </c>
      <c r="C10545" t="str">
        <f t="shared" si="169"/>
        <v>2001 q3</v>
      </c>
    </row>
    <row r="10546" spans="1:3">
      <c r="A10546" s="62">
        <v>37099</v>
      </c>
      <c r="B10546">
        <v>0.67849999999999999</v>
      </c>
      <c r="C10546" t="str">
        <f t="shared" si="169"/>
        <v>2001 q3</v>
      </c>
    </row>
    <row r="10547" spans="1:3">
      <c r="A10547" s="62">
        <v>37102</v>
      </c>
      <c r="B10547">
        <v>0.67849999999999999</v>
      </c>
      <c r="C10547" t="str">
        <f t="shared" si="169"/>
        <v>2001 q3</v>
      </c>
    </row>
    <row r="10548" spans="1:3">
      <c r="A10548" s="62">
        <v>37103</v>
      </c>
      <c r="B10548">
        <v>0.6825</v>
      </c>
      <c r="C10548" t="str">
        <f t="shared" si="169"/>
        <v>2001 q3</v>
      </c>
    </row>
    <row r="10549" spans="1:3">
      <c r="A10549" s="62">
        <v>37104</v>
      </c>
      <c r="B10549">
        <v>0.6875</v>
      </c>
      <c r="C10549" t="str">
        <f t="shared" si="169"/>
        <v>2001 q3</v>
      </c>
    </row>
    <row r="10550" spans="1:3">
      <c r="A10550" s="62">
        <v>37105</v>
      </c>
      <c r="B10550">
        <v>0.68149999999999999</v>
      </c>
      <c r="C10550" t="str">
        <f t="shared" si="169"/>
        <v>2001 q3</v>
      </c>
    </row>
    <row r="10551" spans="1:3">
      <c r="A10551" s="62">
        <v>37106</v>
      </c>
      <c r="B10551">
        <v>0.67700000000000005</v>
      </c>
      <c r="C10551" t="str">
        <f t="shared" si="169"/>
        <v>2001 q3</v>
      </c>
    </row>
    <row r="10552" spans="1:3">
      <c r="A10552" s="62">
        <v>37109</v>
      </c>
      <c r="B10552">
        <v>0.67100000000000004</v>
      </c>
      <c r="C10552" t="str">
        <f t="shared" si="169"/>
        <v>2001 q3</v>
      </c>
    </row>
    <row r="10553" spans="1:3">
      <c r="A10553" s="62">
        <v>37110</v>
      </c>
      <c r="B10553">
        <v>0.66900000000000004</v>
      </c>
      <c r="C10553" t="str">
        <f t="shared" si="169"/>
        <v>2001 q3</v>
      </c>
    </row>
    <row r="10554" spans="1:3">
      <c r="A10554" s="62">
        <v>37111</v>
      </c>
      <c r="B10554">
        <v>0.66149999999999998</v>
      </c>
      <c r="C10554" t="str">
        <f t="shared" si="169"/>
        <v>2001 q3</v>
      </c>
    </row>
    <row r="10555" spans="1:3">
      <c r="A10555" s="62">
        <v>37112</v>
      </c>
      <c r="B10555">
        <v>0.66649999999999998</v>
      </c>
      <c r="C10555" t="str">
        <f t="shared" si="169"/>
        <v>2001 q3</v>
      </c>
    </row>
    <row r="10556" spans="1:3">
      <c r="A10556" s="62">
        <v>37113</v>
      </c>
      <c r="B10556">
        <v>0.66200000000000003</v>
      </c>
      <c r="C10556" t="str">
        <f t="shared" si="169"/>
        <v>2001 q3</v>
      </c>
    </row>
    <row r="10557" spans="1:3">
      <c r="A10557" s="62">
        <v>37116</v>
      </c>
      <c r="B10557">
        <v>0.65700000000000003</v>
      </c>
      <c r="C10557" t="str">
        <f t="shared" si="169"/>
        <v>2001 q3</v>
      </c>
    </row>
    <row r="10558" spans="1:3">
      <c r="A10558" s="62">
        <v>37117</v>
      </c>
      <c r="B10558">
        <v>0.66549999999999998</v>
      </c>
      <c r="C10558" t="str">
        <f t="shared" si="169"/>
        <v>2001 q3</v>
      </c>
    </row>
    <row r="10559" spans="1:3">
      <c r="A10559" s="62">
        <v>37118</v>
      </c>
      <c r="B10559">
        <v>0.65849999999999997</v>
      </c>
      <c r="C10559" t="str">
        <f t="shared" si="169"/>
        <v>2001 q3</v>
      </c>
    </row>
    <row r="10560" spans="1:3">
      <c r="A10560" s="62">
        <v>37119</v>
      </c>
      <c r="B10560">
        <v>0.66800000000000004</v>
      </c>
      <c r="C10560" t="str">
        <f t="shared" si="169"/>
        <v>2001 q3</v>
      </c>
    </row>
    <row r="10561" spans="1:3">
      <c r="A10561" s="62">
        <v>37120</v>
      </c>
      <c r="B10561">
        <v>0.68600000000000005</v>
      </c>
      <c r="C10561" t="str">
        <f t="shared" si="169"/>
        <v>2001 q3</v>
      </c>
    </row>
    <row r="10562" spans="1:3">
      <c r="A10562" s="62">
        <v>37123</v>
      </c>
      <c r="B10562">
        <v>0.67649999999999999</v>
      </c>
      <c r="C10562" t="str">
        <f t="shared" si="169"/>
        <v>2001 q3</v>
      </c>
    </row>
    <row r="10563" spans="1:3">
      <c r="A10563" s="62">
        <v>37124</v>
      </c>
      <c r="B10563">
        <v>0.67149999999999999</v>
      </c>
      <c r="C10563" t="str">
        <f t="shared" si="169"/>
        <v>2001 q3</v>
      </c>
    </row>
    <row r="10564" spans="1:3">
      <c r="A10564" s="62">
        <v>37125</v>
      </c>
      <c r="B10564">
        <v>0.67749999999999999</v>
      </c>
      <c r="C10564" t="str">
        <f t="shared" si="169"/>
        <v>2001 q3</v>
      </c>
    </row>
    <row r="10565" spans="1:3">
      <c r="A10565" s="62">
        <v>37126</v>
      </c>
      <c r="B10565">
        <v>0.6845</v>
      </c>
      <c r="C10565" t="str">
        <f t="shared" si="169"/>
        <v>2001 q3</v>
      </c>
    </row>
    <row r="10566" spans="1:3">
      <c r="A10566" s="62">
        <v>37127</v>
      </c>
      <c r="B10566">
        <v>0.68300000000000005</v>
      </c>
      <c r="C10566" t="str">
        <f t="shared" si="169"/>
        <v>2001 q3</v>
      </c>
    </row>
    <row r="10567" spans="1:3">
      <c r="A10567" s="62">
        <v>37130</v>
      </c>
      <c r="B10567">
        <v>0.69450000000000001</v>
      </c>
      <c r="C10567" t="str">
        <f t="shared" si="169"/>
        <v>2001 q3</v>
      </c>
    </row>
    <row r="10568" spans="1:3">
      <c r="A10568" s="62">
        <v>37131</v>
      </c>
      <c r="B10568">
        <v>0.69259999999999999</v>
      </c>
      <c r="C10568" t="str">
        <f t="shared" si="169"/>
        <v>2001 q3</v>
      </c>
    </row>
    <row r="10569" spans="1:3">
      <c r="A10569" s="62">
        <v>37132</v>
      </c>
      <c r="B10569">
        <v>0.69869999999999999</v>
      </c>
      <c r="C10569" t="str">
        <f t="shared" si="169"/>
        <v>2001 q3</v>
      </c>
    </row>
    <row r="10570" spans="1:3">
      <c r="A10570" s="62">
        <v>37133</v>
      </c>
      <c r="B10570">
        <v>0.68610000000000004</v>
      </c>
      <c r="C10570" t="str">
        <f t="shared" si="169"/>
        <v>2001 q3</v>
      </c>
    </row>
    <row r="10571" spans="1:3">
      <c r="A10571" s="62">
        <v>37134</v>
      </c>
      <c r="B10571">
        <v>0.68530000000000002</v>
      </c>
      <c r="C10571" t="str">
        <f t="shared" si="169"/>
        <v>2001 q3</v>
      </c>
    </row>
    <row r="10572" spans="1:3">
      <c r="A10572" s="62">
        <v>37138</v>
      </c>
      <c r="B10572">
        <v>0.67900000000000005</v>
      </c>
      <c r="C10572" t="str">
        <f t="shared" si="169"/>
        <v>2001 q3</v>
      </c>
    </row>
    <row r="10573" spans="1:3">
      <c r="A10573" s="62">
        <v>37139</v>
      </c>
      <c r="B10573">
        <v>0.67749999999999999</v>
      </c>
      <c r="C10573" t="str">
        <f t="shared" si="169"/>
        <v>2001 q3</v>
      </c>
    </row>
    <row r="10574" spans="1:3">
      <c r="A10574" s="62">
        <v>37140</v>
      </c>
      <c r="B10574">
        <v>0.66600000000000004</v>
      </c>
      <c r="C10574" t="str">
        <f t="shared" si="169"/>
        <v>2001 q3</v>
      </c>
    </row>
    <row r="10575" spans="1:3">
      <c r="A10575" s="62">
        <v>37141</v>
      </c>
      <c r="B10575">
        <v>0.65800000000000003</v>
      </c>
      <c r="C10575" t="str">
        <f t="shared" si="169"/>
        <v>2001 q3</v>
      </c>
    </row>
    <row r="10576" spans="1:3">
      <c r="A10576" s="62">
        <v>37144</v>
      </c>
      <c r="B10576">
        <v>0.65700000000000003</v>
      </c>
      <c r="C10576" t="str">
        <f t="shared" si="169"/>
        <v>2001 q3</v>
      </c>
    </row>
    <row r="10577" spans="1:3">
      <c r="A10577" s="62">
        <v>37145</v>
      </c>
      <c r="B10577">
        <v>0.65700000000000003</v>
      </c>
      <c r="C10577" t="str">
        <f t="shared" si="169"/>
        <v>2001 q3</v>
      </c>
    </row>
    <row r="10578" spans="1:3">
      <c r="A10578" s="62">
        <v>37148</v>
      </c>
      <c r="B10578">
        <v>0.66300000000000003</v>
      </c>
      <c r="C10578" t="str">
        <f t="shared" ref="C10578:C10641" si="170">YEAR(A10578)&amp;" q"&amp;ROUNDUP(MONTH(A10578)/3,0)</f>
        <v>2001 q3</v>
      </c>
    </row>
    <row r="10579" spans="1:3">
      <c r="A10579" s="62">
        <v>37151</v>
      </c>
      <c r="B10579">
        <v>0.65649999999999997</v>
      </c>
      <c r="C10579" t="str">
        <f t="shared" si="170"/>
        <v>2001 q3</v>
      </c>
    </row>
    <row r="10580" spans="1:3">
      <c r="A10580" s="62">
        <v>37152</v>
      </c>
      <c r="B10580">
        <v>0.65700000000000003</v>
      </c>
      <c r="C10580" t="str">
        <f t="shared" si="170"/>
        <v>2001 q3</v>
      </c>
    </row>
    <row r="10581" spans="1:3">
      <c r="A10581" s="62">
        <v>37153</v>
      </c>
      <c r="B10581">
        <v>0.65400000000000003</v>
      </c>
      <c r="C10581" t="str">
        <f t="shared" si="170"/>
        <v>2001 q3</v>
      </c>
    </row>
    <row r="10582" spans="1:3">
      <c r="A10582" s="62">
        <v>37154</v>
      </c>
      <c r="B10582">
        <v>0.65249999999999997</v>
      </c>
      <c r="C10582" t="str">
        <f t="shared" si="170"/>
        <v>2001 q3</v>
      </c>
    </row>
    <row r="10583" spans="1:3">
      <c r="A10583" s="62">
        <v>37155</v>
      </c>
      <c r="B10583">
        <v>0.66100000000000003</v>
      </c>
      <c r="C10583" t="str">
        <f t="shared" si="170"/>
        <v>2001 q3</v>
      </c>
    </row>
    <row r="10584" spans="1:3">
      <c r="A10584" s="62">
        <v>37158</v>
      </c>
      <c r="B10584">
        <v>0.65900000000000003</v>
      </c>
      <c r="C10584" t="str">
        <f t="shared" si="170"/>
        <v>2001 q3</v>
      </c>
    </row>
    <row r="10585" spans="1:3">
      <c r="A10585" s="62">
        <v>37159</v>
      </c>
      <c r="B10585">
        <v>0.65349999999999997</v>
      </c>
      <c r="C10585" t="str">
        <f t="shared" si="170"/>
        <v>2001 q3</v>
      </c>
    </row>
    <row r="10586" spans="1:3">
      <c r="A10586" s="62">
        <v>37160</v>
      </c>
      <c r="B10586">
        <v>0.65749999999999997</v>
      </c>
      <c r="C10586" t="str">
        <f t="shared" si="170"/>
        <v>2001 q3</v>
      </c>
    </row>
    <row r="10587" spans="1:3">
      <c r="A10587" s="62">
        <v>37161</v>
      </c>
      <c r="B10587">
        <v>0.65649999999999997</v>
      </c>
      <c r="C10587" t="str">
        <f t="shared" si="170"/>
        <v>2001 q3</v>
      </c>
    </row>
    <row r="10588" spans="1:3">
      <c r="A10588" s="62">
        <v>37162</v>
      </c>
      <c r="B10588">
        <v>0.65200000000000002</v>
      </c>
      <c r="C10588" t="str">
        <f t="shared" si="170"/>
        <v>2001 q3</v>
      </c>
    </row>
    <row r="10589" spans="1:3">
      <c r="A10589" s="62">
        <v>37165</v>
      </c>
      <c r="B10589">
        <v>0.65049999999999997</v>
      </c>
      <c r="C10589" t="str">
        <f t="shared" si="170"/>
        <v>2001 q4</v>
      </c>
    </row>
    <row r="10590" spans="1:3">
      <c r="A10590" s="62">
        <v>37166</v>
      </c>
      <c r="B10590">
        <v>0.65</v>
      </c>
      <c r="C10590" t="str">
        <f t="shared" si="170"/>
        <v>2001 q4</v>
      </c>
    </row>
    <row r="10591" spans="1:3">
      <c r="A10591" s="62">
        <v>37167</v>
      </c>
      <c r="B10591">
        <v>0.64149999999999996</v>
      </c>
      <c r="C10591" t="str">
        <f t="shared" si="170"/>
        <v>2001 q4</v>
      </c>
    </row>
    <row r="10592" spans="1:3">
      <c r="A10592" s="62">
        <v>37168</v>
      </c>
      <c r="B10592">
        <v>0.64449999999999996</v>
      </c>
      <c r="C10592" t="str">
        <f t="shared" si="170"/>
        <v>2001 q4</v>
      </c>
    </row>
    <row r="10593" spans="1:3">
      <c r="A10593" s="62">
        <v>37169</v>
      </c>
      <c r="B10593">
        <v>0.64049999999999996</v>
      </c>
      <c r="C10593" t="str">
        <f t="shared" si="170"/>
        <v>2001 q4</v>
      </c>
    </row>
    <row r="10594" spans="1:3">
      <c r="A10594" s="62">
        <v>37172</v>
      </c>
      <c r="B10594">
        <v>0.64349999999999996</v>
      </c>
      <c r="C10594" t="str">
        <f t="shared" si="170"/>
        <v>2001 q4</v>
      </c>
    </row>
    <row r="10595" spans="1:3">
      <c r="A10595" s="62">
        <v>37173</v>
      </c>
      <c r="B10595">
        <v>0.64149999999999996</v>
      </c>
      <c r="C10595" t="str">
        <f t="shared" si="170"/>
        <v>2001 q4</v>
      </c>
    </row>
    <row r="10596" spans="1:3">
      <c r="A10596" s="62">
        <v>37174</v>
      </c>
      <c r="B10596">
        <v>0.64</v>
      </c>
      <c r="C10596" t="str">
        <f t="shared" si="170"/>
        <v>2001 q4</v>
      </c>
    </row>
    <row r="10597" spans="1:3">
      <c r="A10597" s="62">
        <v>37175</v>
      </c>
      <c r="B10597">
        <v>0.64149999999999996</v>
      </c>
      <c r="C10597" t="str">
        <f t="shared" si="170"/>
        <v>2001 q4</v>
      </c>
    </row>
    <row r="10598" spans="1:3">
      <c r="A10598" s="62">
        <v>37176</v>
      </c>
      <c r="B10598">
        <v>0.64049999999999996</v>
      </c>
      <c r="C10598" t="str">
        <f t="shared" si="170"/>
        <v>2001 q4</v>
      </c>
    </row>
    <row r="10599" spans="1:3">
      <c r="A10599" s="62">
        <v>37179</v>
      </c>
      <c r="B10599">
        <v>0.63949999999999996</v>
      </c>
      <c r="C10599" t="str">
        <f t="shared" si="170"/>
        <v>2001 q4</v>
      </c>
    </row>
    <row r="10600" spans="1:3">
      <c r="A10600" s="62">
        <v>37180</v>
      </c>
      <c r="B10600">
        <v>0.64400000000000002</v>
      </c>
      <c r="C10600" t="str">
        <f t="shared" si="170"/>
        <v>2001 q4</v>
      </c>
    </row>
    <row r="10601" spans="1:3">
      <c r="A10601" s="62">
        <v>37181</v>
      </c>
      <c r="B10601">
        <v>0.63900000000000001</v>
      </c>
      <c r="C10601" t="str">
        <f t="shared" si="170"/>
        <v>2001 q4</v>
      </c>
    </row>
    <row r="10602" spans="1:3">
      <c r="A10602" s="62">
        <v>37182</v>
      </c>
      <c r="B10602">
        <v>0.63200000000000001</v>
      </c>
      <c r="C10602" t="str">
        <f t="shared" si="170"/>
        <v>2001 q4</v>
      </c>
    </row>
    <row r="10603" spans="1:3">
      <c r="A10603" s="62">
        <v>37183</v>
      </c>
      <c r="B10603">
        <v>0.62350000000000005</v>
      </c>
      <c r="C10603" t="str">
        <f t="shared" si="170"/>
        <v>2001 q4</v>
      </c>
    </row>
    <row r="10604" spans="1:3">
      <c r="A10604" s="62">
        <v>37186</v>
      </c>
      <c r="B10604">
        <v>0.625</v>
      </c>
      <c r="C10604" t="str">
        <f t="shared" si="170"/>
        <v>2001 q4</v>
      </c>
    </row>
    <row r="10605" spans="1:3">
      <c r="A10605" s="62">
        <v>37187</v>
      </c>
      <c r="B10605">
        <v>0.63</v>
      </c>
      <c r="C10605" t="str">
        <f t="shared" si="170"/>
        <v>2001 q4</v>
      </c>
    </row>
    <row r="10606" spans="1:3">
      <c r="A10606" s="62">
        <v>37188</v>
      </c>
      <c r="B10606">
        <v>0.62250000000000005</v>
      </c>
      <c r="C10606" t="str">
        <f t="shared" si="170"/>
        <v>2001 q4</v>
      </c>
    </row>
    <row r="10607" spans="1:3">
      <c r="A10607" s="62">
        <v>37189</v>
      </c>
      <c r="B10607">
        <v>0.626</v>
      </c>
      <c r="C10607" t="str">
        <f t="shared" si="170"/>
        <v>2001 q4</v>
      </c>
    </row>
    <row r="10608" spans="1:3">
      <c r="A10608" s="62">
        <v>37190</v>
      </c>
      <c r="B10608">
        <v>0.63500000000000001</v>
      </c>
      <c r="C10608" t="str">
        <f t="shared" si="170"/>
        <v>2001 q4</v>
      </c>
    </row>
    <row r="10609" spans="1:3">
      <c r="A10609" s="62">
        <v>37193</v>
      </c>
      <c r="B10609">
        <v>0.63100000000000001</v>
      </c>
      <c r="C10609" t="str">
        <f t="shared" si="170"/>
        <v>2001 q4</v>
      </c>
    </row>
    <row r="10610" spans="1:3">
      <c r="A10610" s="62">
        <v>37194</v>
      </c>
      <c r="B10610">
        <v>0.63749999999999996</v>
      </c>
      <c r="C10610" t="str">
        <f t="shared" si="170"/>
        <v>2001 q4</v>
      </c>
    </row>
    <row r="10611" spans="1:3">
      <c r="A10611" s="62">
        <v>37195</v>
      </c>
      <c r="B10611">
        <v>0.625</v>
      </c>
      <c r="C10611" t="str">
        <f t="shared" si="170"/>
        <v>2001 q4</v>
      </c>
    </row>
    <row r="10612" spans="1:3">
      <c r="A10612" s="62">
        <v>37196</v>
      </c>
      <c r="B10612">
        <v>0.62050000000000005</v>
      </c>
      <c r="C10612" t="str">
        <f t="shared" si="170"/>
        <v>2001 q4</v>
      </c>
    </row>
    <row r="10613" spans="1:3">
      <c r="A10613" s="62">
        <v>37197</v>
      </c>
      <c r="B10613">
        <v>0.61399999999999999</v>
      </c>
      <c r="C10613" t="str">
        <f t="shared" si="170"/>
        <v>2001 q4</v>
      </c>
    </row>
    <row r="10614" spans="1:3">
      <c r="A10614" s="62">
        <v>37200</v>
      </c>
      <c r="B10614">
        <v>0.61599999999999999</v>
      </c>
      <c r="C10614" t="str">
        <f t="shared" si="170"/>
        <v>2001 q4</v>
      </c>
    </row>
    <row r="10615" spans="1:3">
      <c r="A10615" s="62">
        <v>37201</v>
      </c>
      <c r="B10615">
        <v>0.61599999999999999</v>
      </c>
      <c r="C10615" t="str">
        <f t="shared" si="170"/>
        <v>2001 q4</v>
      </c>
    </row>
    <row r="10616" spans="1:3">
      <c r="A10616" s="62">
        <v>37202</v>
      </c>
      <c r="B10616">
        <v>0.60599999999999998</v>
      </c>
      <c r="C10616" t="str">
        <f t="shared" si="170"/>
        <v>2001 q4</v>
      </c>
    </row>
    <row r="10617" spans="1:3">
      <c r="A10617" s="62">
        <v>37203</v>
      </c>
      <c r="B10617">
        <v>0.61499999999999999</v>
      </c>
      <c r="C10617" t="str">
        <f t="shared" si="170"/>
        <v>2001 q4</v>
      </c>
    </row>
    <row r="10618" spans="1:3">
      <c r="A10618" s="62">
        <v>37204</v>
      </c>
      <c r="B10618">
        <v>0.64100000000000001</v>
      </c>
      <c r="C10618" t="str">
        <f t="shared" si="170"/>
        <v>2001 q4</v>
      </c>
    </row>
    <row r="10619" spans="1:3">
      <c r="A10619" s="62">
        <v>37207</v>
      </c>
      <c r="B10619">
        <v>0.65800000000000003</v>
      </c>
      <c r="C10619" t="str">
        <f t="shared" si="170"/>
        <v>2001 q4</v>
      </c>
    </row>
    <row r="10620" spans="1:3">
      <c r="A10620" s="62">
        <v>37208</v>
      </c>
      <c r="B10620">
        <v>0.67700000000000005</v>
      </c>
      <c r="C10620" t="str">
        <f t="shared" si="170"/>
        <v>2001 q4</v>
      </c>
    </row>
    <row r="10621" spans="1:3">
      <c r="A10621" s="62">
        <v>37209</v>
      </c>
      <c r="B10621">
        <v>0.67700000000000005</v>
      </c>
      <c r="C10621" t="str">
        <f t="shared" si="170"/>
        <v>2001 q4</v>
      </c>
    </row>
    <row r="10622" spans="1:3">
      <c r="A10622" s="62">
        <v>37210</v>
      </c>
      <c r="B10622">
        <v>0.67249999999999999</v>
      </c>
      <c r="C10622" t="str">
        <f t="shared" si="170"/>
        <v>2001 q4</v>
      </c>
    </row>
    <row r="10623" spans="1:3">
      <c r="A10623" s="62">
        <v>37211</v>
      </c>
      <c r="B10623">
        <v>0.68200000000000005</v>
      </c>
      <c r="C10623" t="str">
        <f t="shared" si="170"/>
        <v>2001 q4</v>
      </c>
    </row>
    <row r="10624" spans="1:3">
      <c r="A10624" s="62">
        <v>37214</v>
      </c>
      <c r="B10624">
        <v>0.68300000000000005</v>
      </c>
      <c r="C10624" t="str">
        <f t="shared" si="170"/>
        <v>2001 q4</v>
      </c>
    </row>
    <row r="10625" spans="1:3">
      <c r="A10625" s="62">
        <v>37215</v>
      </c>
      <c r="B10625">
        <v>0.67300000000000004</v>
      </c>
      <c r="C10625" t="str">
        <f t="shared" si="170"/>
        <v>2001 q4</v>
      </c>
    </row>
    <row r="10626" spans="1:3">
      <c r="A10626" s="62">
        <v>37216</v>
      </c>
      <c r="B10626">
        <v>0.67700000000000005</v>
      </c>
      <c r="C10626" t="str">
        <f t="shared" si="170"/>
        <v>2001 q4</v>
      </c>
    </row>
    <row r="10627" spans="1:3">
      <c r="A10627" s="62">
        <v>37221</v>
      </c>
      <c r="B10627">
        <v>0.68300000000000005</v>
      </c>
      <c r="C10627" t="str">
        <f t="shared" si="170"/>
        <v>2001 q4</v>
      </c>
    </row>
    <row r="10628" spans="1:3">
      <c r="A10628" s="62">
        <v>37222</v>
      </c>
      <c r="B10628">
        <v>0.70420000000000005</v>
      </c>
      <c r="C10628" t="str">
        <f t="shared" si="170"/>
        <v>2001 q4</v>
      </c>
    </row>
    <row r="10629" spans="1:3">
      <c r="A10629" s="62">
        <v>37223</v>
      </c>
      <c r="B10629">
        <v>0.70640000000000003</v>
      </c>
      <c r="C10629" t="str">
        <f t="shared" si="170"/>
        <v>2001 q4</v>
      </c>
    </row>
    <row r="10630" spans="1:3">
      <c r="A10630" s="62">
        <v>37224</v>
      </c>
      <c r="B10630">
        <v>0.71540000000000004</v>
      </c>
      <c r="C10630" t="str">
        <f t="shared" si="170"/>
        <v>2001 q4</v>
      </c>
    </row>
    <row r="10631" spans="1:3">
      <c r="A10631" s="62">
        <v>37225</v>
      </c>
      <c r="B10631">
        <v>0.7248</v>
      </c>
      <c r="C10631" t="str">
        <f t="shared" si="170"/>
        <v>2001 q4</v>
      </c>
    </row>
    <row r="10632" spans="1:3">
      <c r="A10632" s="62">
        <v>37228</v>
      </c>
      <c r="B10632">
        <v>0.70750000000000002</v>
      </c>
      <c r="C10632" t="str">
        <f t="shared" si="170"/>
        <v>2001 q4</v>
      </c>
    </row>
    <row r="10633" spans="1:3">
      <c r="A10633" s="62">
        <v>37229</v>
      </c>
      <c r="B10633">
        <v>0.70250000000000001</v>
      </c>
      <c r="C10633" t="str">
        <f t="shared" si="170"/>
        <v>2001 q4</v>
      </c>
    </row>
    <row r="10634" spans="1:3">
      <c r="A10634" s="62">
        <v>37230</v>
      </c>
      <c r="B10634">
        <v>0.69699999999999995</v>
      </c>
      <c r="C10634" t="str">
        <f t="shared" si="170"/>
        <v>2001 q4</v>
      </c>
    </row>
    <row r="10635" spans="1:3">
      <c r="A10635" s="62">
        <v>37231</v>
      </c>
      <c r="B10635">
        <v>0.6905</v>
      </c>
      <c r="C10635" t="str">
        <f t="shared" si="170"/>
        <v>2001 q4</v>
      </c>
    </row>
    <row r="10636" spans="1:3">
      <c r="A10636" s="62">
        <v>37232</v>
      </c>
      <c r="B10636">
        <v>0.67949999999999999</v>
      </c>
      <c r="C10636" t="str">
        <f t="shared" si="170"/>
        <v>2001 q4</v>
      </c>
    </row>
    <row r="10637" spans="1:3">
      <c r="A10637" s="62">
        <v>37235</v>
      </c>
      <c r="B10637">
        <v>0.67900000000000005</v>
      </c>
      <c r="C10637" t="str">
        <f t="shared" si="170"/>
        <v>2001 q4</v>
      </c>
    </row>
    <row r="10638" spans="1:3">
      <c r="A10638" s="62">
        <v>37236</v>
      </c>
      <c r="B10638">
        <v>0.68300000000000005</v>
      </c>
      <c r="C10638" t="str">
        <f t="shared" si="170"/>
        <v>2001 q4</v>
      </c>
    </row>
    <row r="10639" spans="1:3">
      <c r="A10639" s="62">
        <v>37237</v>
      </c>
      <c r="B10639">
        <v>0.67300000000000004</v>
      </c>
      <c r="C10639" t="str">
        <f t="shared" si="170"/>
        <v>2001 q4</v>
      </c>
    </row>
    <row r="10640" spans="1:3">
      <c r="A10640" s="62">
        <v>37238</v>
      </c>
      <c r="B10640">
        <v>0.67200000000000004</v>
      </c>
      <c r="C10640" t="str">
        <f t="shared" si="170"/>
        <v>2001 q4</v>
      </c>
    </row>
    <row r="10641" spans="1:3">
      <c r="A10641" s="62">
        <v>37239</v>
      </c>
      <c r="B10641">
        <v>0.67249999999999999</v>
      </c>
      <c r="C10641" t="str">
        <f t="shared" si="170"/>
        <v>2001 q4</v>
      </c>
    </row>
    <row r="10642" spans="1:3">
      <c r="A10642" s="62">
        <v>37242</v>
      </c>
      <c r="B10642">
        <v>0.67600000000000005</v>
      </c>
      <c r="C10642" t="str">
        <f t="shared" ref="C10642:C10705" si="171">YEAR(A10642)&amp;" q"&amp;ROUNDUP(MONTH(A10642)/3,0)</f>
        <v>2001 q4</v>
      </c>
    </row>
    <row r="10643" spans="1:3">
      <c r="A10643" s="62">
        <v>37243</v>
      </c>
      <c r="B10643">
        <v>0.68400000000000005</v>
      </c>
      <c r="C10643" t="str">
        <f t="shared" si="171"/>
        <v>2001 q4</v>
      </c>
    </row>
    <row r="10644" spans="1:3">
      <c r="A10644" s="62">
        <v>37244</v>
      </c>
      <c r="B10644">
        <v>0.67349999999999999</v>
      </c>
      <c r="C10644" t="str">
        <f t="shared" si="171"/>
        <v>2001 q4</v>
      </c>
    </row>
    <row r="10645" spans="1:3">
      <c r="A10645" s="62">
        <v>37245</v>
      </c>
      <c r="B10645">
        <v>0.67300000000000004</v>
      </c>
      <c r="C10645" t="str">
        <f t="shared" si="171"/>
        <v>2001 q4</v>
      </c>
    </row>
    <row r="10646" spans="1:3">
      <c r="A10646" s="62">
        <v>37246</v>
      </c>
      <c r="B10646">
        <v>0.67900000000000005</v>
      </c>
      <c r="C10646" t="str">
        <f t="shared" si="171"/>
        <v>2001 q4</v>
      </c>
    </row>
    <row r="10647" spans="1:3">
      <c r="A10647" s="62">
        <v>37251</v>
      </c>
      <c r="B10647">
        <v>0.68730000000000002</v>
      </c>
      <c r="C10647" t="str">
        <f t="shared" si="171"/>
        <v>2001 q4</v>
      </c>
    </row>
    <row r="10648" spans="1:3">
      <c r="A10648" s="62">
        <v>37252</v>
      </c>
      <c r="B10648">
        <v>0.68279999999999996</v>
      </c>
      <c r="C10648" t="str">
        <f t="shared" si="171"/>
        <v>2001 q4</v>
      </c>
    </row>
    <row r="10649" spans="1:3">
      <c r="A10649" s="62">
        <v>37253</v>
      </c>
      <c r="B10649">
        <v>0.67490000000000006</v>
      </c>
      <c r="C10649" t="str">
        <f t="shared" si="171"/>
        <v>2001 q4</v>
      </c>
    </row>
    <row r="10650" spans="1:3">
      <c r="A10650" s="62">
        <v>37256</v>
      </c>
      <c r="B10650">
        <v>0.65780000000000005</v>
      </c>
      <c r="C10650" t="str">
        <f t="shared" si="171"/>
        <v>2001 q4</v>
      </c>
    </row>
    <row r="10651" spans="1:3">
      <c r="A10651" s="62">
        <v>37258</v>
      </c>
      <c r="B10651">
        <v>0.65800000000000003</v>
      </c>
      <c r="C10651" t="str">
        <f t="shared" si="171"/>
        <v>2002 q1</v>
      </c>
    </row>
    <row r="10652" spans="1:3">
      <c r="A10652" s="62">
        <v>37259</v>
      </c>
      <c r="B10652">
        <v>0.66400000000000003</v>
      </c>
      <c r="C10652" t="str">
        <f t="shared" si="171"/>
        <v>2002 q1</v>
      </c>
    </row>
    <row r="10653" spans="1:3">
      <c r="A10653" s="62">
        <v>37260</v>
      </c>
      <c r="B10653">
        <v>0.67449999999999999</v>
      </c>
      <c r="C10653" t="str">
        <f t="shared" si="171"/>
        <v>2002 q1</v>
      </c>
    </row>
    <row r="10654" spans="1:3">
      <c r="A10654" s="62">
        <v>37263</v>
      </c>
      <c r="B10654">
        <v>0.71499999999999997</v>
      </c>
      <c r="C10654" t="str">
        <f t="shared" si="171"/>
        <v>2002 q1</v>
      </c>
    </row>
    <row r="10655" spans="1:3">
      <c r="A10655" s="62">
        <v>37264</v>
      </c>
      <c r="B10655">
        <v>0.70850000000000002</v>
      </c>
      <c r="C10655" t="str">
        <f t="shared" si="171"/>
        <v>2002 q1</v>
      </c>
    </row>
    <row r="10656" spans="1:3">
      <c r="A10656" s="62">
        <v>37265</v>
      </c>
      <c r="B10656">
        <v>0.71550000000000002</v>
      </c>
      <c r="C10656" t="str">
        <f t="shared" si="171"/>
        <v>2002 q1</v>
      </c>
    </row>
    <row r="10657" spans="1:3">
      <c r="A10657" s="62">
        <v>37266</v>
      </c>
      <c r="B10657">
        <v>0.70550000000000002</v>
      </c>
      <c r="C10657" t="str">
        <f t="shared" si="171"/>
        <v>2002 q1</v>
      </c>
    </row>
    <row r="10658" spans="1:3">
      <c r="A10658" s="62">
        <v>37267</v>
      </c>
      <c r="B10658">
        <v>0.70850000000000002</v>
      </c>
      <c r="C10658" t="str">
        <f t="shared" si="171"/>
        <v>2002 q1</v>
      </c>
    </row>
    <row r="10659" spans="1:3">
      <c r="A10659" s="62">
        <v>37270</v>
      </c>
      <c r="B10659">
        <v>0.70799999999999996</v>
      </c>
      <c r="C10659" t="str">
        <f t="shared" si="171"/>
        <v>2002 q1</v>
      </c>
    </row>
    <row r="10660" spans="1:3">
      <c r="A10660" s="62">
        <v>37271</v>
      </c>
      <c r="B10660">
        <v>0.70150000000000001</v>
      </c>
      <c r="C10660" t="str">
        <f t="shared" si="171"/>
        <v>2002 q1</v>
      </c>
    </row>
    <row r="10661" spans="1:3">
      <c r="A10661" s="62">
        <v>37272</v>
      </c>
      <c r="B10661">
        <v>0.70850000000000002</v>
      </c>
      <c r="C10661" t="str">
        <f t="shared" si="171"/>
        <v>2002 q1</v>
      </c>
    </row>
    <row r="10662" spans="1:3">
      <c r="A10662" s="62">
        <v>37273</v>
      </c>
      <c r="B10662">
        <v>0.70799999999999996</v>
      </c>
      <c r="C10662" t="str">
        <f t="shared" si="171"/>
        <v>2002 q1</v>
      </c>
    </row>
    <row r="10663" spans="1:3">
      <c r="A10663" s="62">
        <v>37274</v>
      </c>
      <c r="B10663">
        <v>0.69850000000000001</v>
      </c>
      <c r="C10663" t="str">
        <f t="shared" si="171"/>
        <v>2002 q1</v>
      </c>
    </row>
    <row r="10664" spans="1:3">
      <c r="A10664" s="62">
        <v>37278</v>
      </c>
      <c r="B10664">
        <v>0.70250000000000001</v>
      </c>
      <c r="C10664" t="str">
        <f t="shared" si="171"/>
        <v>2002 q1</v>
      </c>
    </row>
    <row r="10665" spans="1:3">
      <c r="A10665" s="62">
        <v>37279</v>
      </c>
      <c r="B10665">
        <v>0.70850000000000002</v>
      </c>
      <c r="C10665" t="str">
        <f t="shared" si="171"/>
        <v>2002 q1</v>
      </c>
    </row>
    <row r="10666" spans="1:3">
      <c r="A10666" s="62">
        <v>37280</v>
      </c>
      <c r="B10666">
        <v>0.71550000000000002</v>
      </c>
      <c r="C10666" t="str">
        <f t="shared" si="171"/>
        <v>2002 q1</v>
      </c>
    </row>
    <row r="10667" spans="1:3">
      <c r="A10667" s="62">
        <v>37281</v>
      </c>
      <c r="B10667">
        <v>0.71150000000000002</v>
      </c>
      <c r="C10667" t="str">
        <f t="shared" si="171"/>
        <v>2002 q1</v>
      </c>
    </row>
    <row r="10668" spans="1:3">
      <c r="A10668" s="62">
        <v>37284</v>
      </c>
      <c r="B10668">
        <v>0.70050000000000001</v>
      </c>
      <c r="C10668" t="str">
        <f t="shared" si="171"/>
        <v>2002 q1</v>
      </c>
    </row>
    <row r="10669" spans="1:3">
      <c r="A10669" s="62">
        <v>37285</v>
      </c>
      <c r="B10669">
        <v>0.69899999999999995</v>
      </c>
      <c r="C10669" t="str">
        <f t="shared" si="171"/>
        <v>2002 q1</v>
      </c>
    </row>
    <row r="10670" spans="1:3">
      <c r="A10670" s="62">
        <v>37286</v>
      </c>
      <c r="B10670">
        <v>0.69699999999999995</v>
      </c>
      <c r="C10670" t="str">
        <f t="shared" si="171"/>
        <v>2002 q1</v>
      </c>
    </row>
    <row r="10671" spans="1:3">
      <c r="A10671" s="62">
        <v>37287</v>
      </c>
      <c r="B10671">
        <v>0.73350000000000004</v>
      </c>
      <c r="C10671" t="str">
        <f t="shared" si="171"/>
        <v>2002 q1</v>
      </c>
    </row>
    <row r="10672" spans="1:3">
      <c r="A10672" s="62">
        <v>37288</v>
      </c>
      <c r="B10672">
        <v>0.73650000000000004</v>
      </c>
      <c r="C10672" t="str">
        <f t="shared" si="171"/>
        <v>2002 q1</v>
      </c>
    </row>
    <row r="10673" spans="1:3">
      <c r="A10673" s="62">
        <v>37291</v>
      </c>
      <c r="B10673">
        <v>0.72850000000000004</v>
      </c>
      <c r="C10673" t="str">
        <f t="shared" si="171"/>
        <v>2002 q1</v>
      </c>
    </row>
    <row r="10674" spans="1:3">
      <c r="A10674" s="62">
        <v>37292</v>
      </c>
      <c r="B10674">
        <v>0.73250000000000004</v>
      </c>
      <c r="C10674" t="str">
        <f t="shared" si="171"/>
        <v>2002 q1</v>
      </c>
    </row>
    <row r="10675" spans="1:3">
      <c r="A10675" s="62">
        <v>37293</v>
      </c>
      <c r="B10675">
        <v>0.72899999999999998</v>
      </c>
      <c r="C10675" t="str">
        <f t="shared" si="171"/>
        <v>2002 q1</v>
      </c>
    </row>
    <row r="10676" spans="1:3">
      <c r="A10676" s="62">
        <v>37294</v>
      </c>
      <c r="B10676">
        <v>0.73699999999999999</v>
      </c>
      <c r="C10676" t="str">
        <f t="shared" si="171"/>
        <v>2002 q1</v>
      </c>
    </row>
    <row r="10677" spans="1:3">
      <c r="A10677" s="62">
        <v>37295</v>
      </c>
      <c r="B10677">
        <v>0.73350000000000004</v>
      </c>
      <c r="C10677" t="str">
        <f t="shared" si="171"/>
        <v>2002 q1</v>
      </c>
    </row>
    <row r="10678" spans="1:3">
      <c r="A10678" s="62">
        <v>37298</v>
      </c>
      <c r="B10678">
        <v>0.72750000000000004</v>
      </c>
      <c r="C10678" t="str">
        <f t="shared" si="171"/>
        <v>2002 q1</v>
      </c>
    </row>
    <row r="10679" spans="1:3">
      <c r="A10679" s="62">
        <v>37299</v>
      </c>
      <c r="B10679">
        <v>0.73250000000000004</v>
      </c>
      <c r="C10679" t="str">
        <f t="shared" si="171"/>
        <v>2002 q1</v>
      </c>
    </row>
    <row r="10680" spans="1:3">
      <c r="A10680" s="62">
        <v>37300</v>
      </c>
      <c r="B10680">
        <v>0.75149999999999995</v>
      </c>
      <c r="C10680" t="str">
        <f t="shared" si="171"/>
        <v>2002 q1</v>
      </c>
    </row>
    <row r="10681" spans="1:3">
      <c r="A10681" s="62">
        <v>37301</v>
      </c>
      <c r="B10681">
        <v>0.74450000000000005</v>
      </c>
      <c r="C10681" t="str">
        <f t="shared" si="171"/>
        <v>2002 q1</v>
      </c>
    </row>
    <row r="10682" spans="1:3">
      <c r="A10682" s="62">
        <v>37302</v>
      </c>
      <c r="B10682">
        <v>0.73399999999999999</v>
      </c>
      <c r="C10682" t="str">
        <f t="shared" si="171"/>
        <v>2002 q1</v>
      </c>
    </row>
    <row r="10683" spans="1:3">
      <c r="A10683" s="62">
        <v>37306</v>
      </c>
      <c r="B10683">
        <v>0.70750000000000002</v>
      </c>
      <c r="C10683" t="str">
        <f t="shared" si="171"/>
        <v>2002 q1</v>
      </c>
    </row>
    <row r="10684" spans="1:3">
      <c r="A10684" s="62">
        <v>37307</v>
      </c>
      <c r="B10684">
        <v>0.70899999999999996</v>
      </c>
      <c r="C10684" t="str">
        <f t="shared" si="171"/>
        <v>2002 q1</v>
      </c>
    </row>
    <row r="10685" spans="1:3">
      <c r="A10685" s="62">
        <v>37308</v>
      </c>
      <c r="B10685">
        <v>0.71450000000000002</v>
      </c>
      <c r="C10685" t="str">
        <f t="shared" si="171"/>
        <v>2002 q1</v>
      </c>
    </row>
    <row r="10686" spans="1:3">
      <c r="A10686" s="62">
        <v>37309</v>
      </c>
      <c r="B10686">
        <v>0.7</v>
      </c>
      <c r="C10686" t="str">
        <f t="shared" si="171"/>
        <v>2002 q1</v>
      </c>
    </row>
    <row r="10687" spans="1:3">
      <c r="A10687" s="62">
        <v>37312</v>
      </c>
      <c r="B10687">
        <v>0.70730000000000004</v>
      </c>
      <c r="C10687" t="str">
        <f t="shared" si="171"/>
        <v>2002 q1</v>
      </c>
    </row>
    <row r="10688" spans="1:3">
      <c r="A10688" s="62">
        <v>37313</v>
      </c>
      <c r="B10688">
        <v>0.70430000000000004</v>
      </c>
      <c r="C10688" t="str">
        <f t="shared" si="171"/>
        <v>2002 q1</v>
      </c>
    </row>
    <row r="10689" spans="1:3">
      <c r="A10689" s="62">
        <v>37314</v>
      </c>
      <c r="B10689">
        <v>0.7177</v>
      </c>
      <c r="C10689" t="str">
        <f t="shared" si="171"/>
        <v>2002 q1</v>
      </c>
    </row>
    <row r="10690" spans="1:3">
      <c r="A10690" s="62">
        <v>37315</v>
      </c>
      <c r="B10690">
        <v>0.71919999999999995</v>
      </c>
      <c r="C10690" t="str">
        <f t="shared" si="171"/>
        <v>2002 q1</v>
      </c>
    </row>
    <row r="10691" spans="1:3">
      <c r="A10691" s="62">
        <v>37316</v>
      </c>
      <c r="B10691">
        <v>0.73250000000000004</v>
      </c>
      <c r="C10691" t="str">
        <f t="shared" si="171"/>
        <v>2002 q1</v>
      </c>
    </row>
    <row r="10692" spans="1:3">
      <c r="A10692" s="62">
        <v>37319</v>
      </c>
      <c r="B10692">
        <v>0.74150000000000005</v>
      </c>
      <c r="C10692" t="str">
        <f t="shared" si="171"/>
        <v>2002 q1</v>
      </c>
    </row>
    <row r="10693" spans="1:3">
      <c r="A10693" s="62">
        <v>37320</v>
      </c>
      <c r="B10693">
        <v>0.74050000000000005</v>
      </c>
      <c r="C10693" t="str">
        <f t="shared" si="171"/>
        <v>2002 q1</v>
      </c>
    </row>
    <row r="10694" spans="1:3">
      <c r="A10694" s="62">
        <v>37321</v>
      </c>
      <c r="B10694">
        <v>0.75049999999999994</v>
      </c>
      <c r="C10694" t="str">
        <f t="shared" si="171"/>
        <v>2002 q1</v>
      </c>
    </row>
    <row r="10695" spans="1:3">
      <c r="A10695" s="62">
        <v>37322</v>
      </c>
      <c r="B10695">
        <v>0.748</v>
      </c>
      <c r="C10695" t="str">
        <f t="shared" si="171"/>
        <v>2002 q1</v>
      </c>
    </row>
    <row r="10696" spans="1:3">
      <c r="A10696" s="62">
        <v>37323</v>
      </c>
      <c r="B10696">
        <v>0.75249999999999995</v>
      </c>
      <c r="C10696" t="str">
        <f t="shared" si="171"/>
        <v>2002 q1</v>
      </c>
    </row>
    <row r="10697" spans="1:3">
      <c r="A10697" s="62">
        <v>37326</v>
      </c>
      <c r="B10697">
        <v>0.746</v>
      </c>
      <c r="C10697" t="str">
        <f t="shared" si="171"/>
        <v>2002 q1</v>
      </c>
    </row>
    <row r="10698" spans="1:3">
      <c r="A10698" s="62">
        <v>37327</v>
      </c>
      <c r="B10698">
        <v>0.74150000000000005</v>
      </c>
      <c r="C10698" t="str">
        <f t="shared" si="171"/>
        <v>2002 q1</v>
      </c>
    </row>
    <row r="10699" spans="1:3">
      <c r="A10699" s="62">
        <v>37328</v>
      </c>
      <c r="B10699">
        <v>0.74050000000000005</v>
      </c>
      <c r="C10699" t="str">
        <f t="shared" si="171"/>
        <v>2002 q1</v>
      </c>
    </row>
    <row r="10700" spans="1:3">
      <c r="A10700" s="62">
        <v>37329</v>
      </c>
      <c r="B10700">
        <v>0.745</v>
      </c>
      <c r="C10700" t="str">
        <f t="shared" si="171"/>
        <v>2002 q1</v>
      </c>
    </row>
    <row r="10701" spans="1:3">
      <c r="A10701" s="62">
        <v>37330</v>
      </c>
      <c r="B10701">
        <v>0.75049999999999994</v>
      </c>
      <c r="C10701" t="str">
        <f t="shared" si="171"/>
        <v>2002 q1</v>
      </c>
    </row>
    <row r="10702" spans="1:3">
      <c r="A10702" s="62">
        <v>37333</v>
      </c>
      <c r="B10702">
        <v>0.76449999999999996</v>
      </c>
      <c r="C10702" t="str">
        <f t="shared" si="171"/>
        <v>2002 q1</v>
      </c>
    </row>
    <row r="10703" spans="1:3">
      <c r="A10703" s="62">
        <v>37334</v>
      </c>
      <c r="B10703">
        <v>0.77049999999999996</v>
      </c>
      <c r="C10703" t="str">
        <f t="shared" si="171"/>
        <v>2002 q1</v>
      </c>
    </row>
    <row r="10704" spans="1:3">
      <c r="A10704" s="62">
        <v>37335</v>
      </c>
      <c r="B10704">
        <v>0.76600000000000001</v>
      </c>
      <c r="C10704" t="str">
        <f t="shared" si="171"/>
        <v>2002 q1</v>
      </c>
    </row>
    <row r="10705" spans="1:3">
      <c r="A10705" s="62">
        <v>37336</v>
      </c>
      <c r="B10705">
        <v>0.76249999999999996</v>
      </c>
      <c r="C10705" t="str">
        <f t="shared" si="171"/>
        <v>2002 q1</v>
      </c>
    </row>
    <row r="10706" spans="1:3">
      <c r="A10706" s="62">
        <v>37337</v>
      </c>
      <c r="B10706">
        <v>0.74850000000000005</v>
      </c>
      <c r="C10706" t="str">
        <f t="shared" ref="C10706:C10769" si="172">YEAR(A10706)&amp;" q"&amp;ROUNDUP(MONTH(A10706)/3,0)</f>
        <v>2002 q1</v>
      </c>
    </row>
    <row r="10707" spans="1:3">
      <c r="A10707" s="62">
        <v>37340</v>
      </c>
      <c r="B10707">
        <v>0.73750000000000004</v>
      </c>
      <c r="C10707" t="str">
        <f t="shared" si="172"/>
        <v>2002 q1</v>
      </c>
    </row>
    <row r="10708" spans="1:3">
      <c r="A10708" s="62">
        <v>37341</v>
      </c>
      <c r="B10708">
        <v>0.74550000000000005</v>
      </c>
      <c r="C10708" t="str">
        <f t="shared" si="172"/>
        <v>2002 q1</v>
      </c>
    </row>
    <row r="10709" spans="1:3">
      <c r="A10709" s="62">
        <v>37342</v>
      </c>
      <c r="B10709">
        <v>0.75149999999999995</v>
      </c>
      <c r="C10709" t="str">
        <f t="shared" si="172"/>
        <v>2002 q1</v>
      </c>
    </row>
    <row r="10710" spans="1:3">
      <c r="A10710" s="62">
        <v>37343</v>
      </c>
      <c r="B10710">
        <v>0.76349999999999996</v>
      </c>
      <c r="C10710" t="str">
        <f t="shared" si="172"/>
        <v>2002 q1</v>
      </c>
    </row>
    <row r="10711" spans="1:3">
      <c r="A10711" s="62">
        <v>37347</v>
      </c>
      <c r="B10711">
        <v>0.76449999999999996</v>
      </c>
      <c r="C10711" t="str">
        <f t="shared" si="172"/>
        <v>2002 q2</v>
      </c>
    </row>
    <row r="10712" spans="1:3">
      <c r="A10712" s="62">
        <v>37348</v>
      </c>
      <c r="B10712">
        <v>0.76349999999999996</v>
      </c>
      <c r="C10712" t="str">
        <f t="shared" si="172"/>
        <v>2002 q2</v>
      </c>
    </row>
    <row r="10713" spans="1:3">
      <c r="A10713" s="62">
        <v>37349</v>
      </c>
      <c r="B10713">
        <v>0.74250000000000005</v>
      </c>
      <c r="C10713" t="str">
        <f t="shared" si="172"/>
        <v>2002 q2</v>
      </c>
    </row>
    <row r="10714" spans="1:3">
      <c r="A10714" s="62">
        <v>37350</v>
      </c>
      <c r="B10714">
        <v>0.73250000000000004</v>
      </c>
      <c r="C10714" t="str">
        <f t="shared" si="172"/>
        <v>2002 q2</v>
      </c>
    </row>
    <row r="10715" spans="1:3">
      <c r="A10715" s="62">
        <v>37351</v>
      </c>
      <c r="B10715">
        <v>0.72299999999999998</v>
      </c>
      <c r="C10715" t="str">
        <f t="shared" si="172"/>
        <v>2002 q2</v>
      </c>
    </row>
    <row r="10716" spans="1:3">
      <c r="A10716" s="62">
        <v>37354</v>
      </c>
      <c r="B10716">
        <v>0.72299999999999998</v>
      </c>
      <c r="C10716" t="str">
        <f t="shared" si="172"/>
        <v>2002 q2</v>
      </c>
    </row>
    <row r="10717" spans="1:3">
      <c r="A10717" s="62">
        <v>37355</v>
      </c>
      <c r="B10717">
        <v>0.72699999999999998</v>
      </c>
      <c r="C10717" t="str">
        <f t="shared" si="172"/>
        <v>2002 q2</v>
      </c>
    </row>
    <row r="10718" spans="1:3">
      <c r="A10718" s="62">
        <v>37356</v>
      </c>
      <c r="B10718">
        <v>0.72450000000000003</v>
      </c>
      <c r="C10718" t="str">
        <f t="shared" si="172"/>
        <v>2002 q2</v>
      </c>
    </row>
    <row r="10719" spans="1:3">
      <c r="A10719" s="62">
        <v>37357</v>
      </c>
      <c r="B10719">
        <v>0.72299999999999998</v>
      </c>
      <c r="C10719" t="str">
        <f t="shared" si="172"/>
        <v>2002 q2</v>
      </c>
    </row>
    <row r="10720" spans="1:3">
      <c r="A10720" s="62">
        <v>37358</v>
      </c>
      <c r="B10720">
        <v>0.71699999999999997</v>
      </c>
      <c r="C10720" t="str">
        <f t="shared" si="172"/>
        <v>2002 q2</v>
      </c>
    </row>
    <row r="10721" spans="1:3">
      <c r="A10721" s="62">
        <v>37361</v>
      </c>
      <c r="B10721">
        <v>0.71599999999999997</v>
      </c>
      <c r="C10721" t="str">
        <f t="shared" si="172"/>
        <v>2002 q2</v>
      </c>
    </row>
    <row r="10722" spans="1:3">
      <c r="A10722" s="62">
        <v>37362</v>
      </c>
      <c r="B10722">
        <v>0.72599999999999998</v>
      </c>
      <c r="C10722" t="str">
        <f t="shared" si="172"/>
        <v>2002 q2</v>
      </c>
    </row>
    <row r="10723" spans="1:3">
      <c r="A10723" s="62">
        <v>37363</v>
      </c>
      <c r="B10723">
        <v>0.73650000000000004</v>
      </c>
      <c r="C10723" t="str">
        <f t="shared" si="172"/>
        <v>2002 q2</v>
      </c>
    </row>
    <row r="10724" spans="1:3">
      <c r="A10724" s="62">
        <v>37364</v>
      </c>
      <c r="B10724">
        <v>0.72699999999999998</v>
      </c>
      <c r="C10724" t="str">
        <f t="shared" si="172"/>
        <v>2002 q2</v>
      </c>
    </row>
    <row r="10725" spans="1:3">
      <c r="A10725" s="62">
        <v>37365</v>
      </c>
      <c r="B10725">
        <v>0.73299999999999998</v>
      </c>
      <c r="C10725" t="str">
        <f t="shared" si="172"/>
        <v>2002 q2</v>
      </c>
    </row>
    <row r="10726" spans="1:3">
      <c r="A10726" s="62">
        <v>37368</v>
      </c>
      <c r="B10726">
        <v>0.74350000000000005</v>
      </c>
      <c r="C10726" t="str">
        <f t="shared" si="172"/>
        <v>2002 q2</v>
      </c>
    </row>
    <row r="10727" spans="1:3">
      <c r="A10727" s="62">
        <v>37369</v>
      </c>
      <c r="B10727">
        <v>0.73150000000000004</v>
      </c>
      <c r="C10727" t="str">
        <f t="shared" si="172"/>
        <v>2002 q2</v>
      </c>
    </row>
    <row r="10728" spans="1:3">
      <c r="A10728" s="62">
        <v>37370</v>
      </c>
      <c r="B10728">
        <v>0.73550000000000004</v>
      </c>
      <c r="C10728" t="str">
        <f t="shared" si="172"/>
        <v>2002 q2</v>
      </c>
    </row>
    <row r="10729" spans="1:3">
      <c r="A10729" s="62">
        <v>37371</v>
      </c>
      <c r="B10729">
        <v>0.73089999999999999</v>
      </c>
      <c r="C10729" t="str">
        <f t="shared" si="172"/>
        <v>2002 q2</v>
      </c>
    </row>
    <row r="10730" spans="1:3">
      <c r="A10730" s="62">
        <v>37372</v>
      </c>
      <c r="B10730">
        <v>0.73860000000000003</v>
      </c>
      <c r="C10730" t="str">
        <f t="shared" si="172"/>
        <v>2002 q2</v>
      </c>
    </row>
    <row r="10731" spans="1:3">
      <c r="A10731" s="62">
        <v>37375</v>
      </c>
      <c r="B10731">
        <v>0.7379</v>
      </c>
      <c r="C10731" t="str">
        <f t="shared" si="172"/>
        <v>2002 q2</v>
      </c>
    </row>
    <row r="10732" spans="1:3">
      <c r="A10732" s="62">
        <v>37376</v>
      </c>
      <c r="B10732">
        <v>0.73770000000000002</v>
      </c>
      <c r="C10732" t="str">
        <f t="shared" si="172"/>
        <v>2002 q2</v>
      </c>
    </row>
    <row r="10733" spans="1:3">
      <c r="A10733" s="62">
        <v>37377</v>
      </c>
      <c r="B10733">
        <v>0.72899999999999998</v>
      </c>
      <c r="C10733" t="str">
        <f t="shared" si="172"/>
        <v>2002 q2</v>
      </c>
    </row>
    <row r="10734" spans="1:3">
      <c r="A10734" s="62">
        <v>37378</v>
      </c>
      <c r="B10734">
        <v>0.73550000000000004</v>
      </c>
      <c r="C10734" t="str">
        <f t="shared" si="172"/>
        <v>2002 q2</v>
      </c>
    </row>
    <row r="10735" spans="1:3">
      <c r="A10735" s="62">
        <v>37379</v>
      </c>
      <c r="B10735">
        <v>0.72399999999999998</v>
      </c>
      <c r="C10735" t="str">
        <f t="shared" si="172"/>
        <v>2002 q2</v>
      </c>
    </row>
    <row r="10736" spans="1:3">
      <c r="A10736" s="62">
        <v>37382</v>
      </c>
      <c r="B10736">
        <v>0.71499999999999997</v>
      </c>
      <c r="C10736" t="str">
        <f t="shared" si="172"/>
        <v>2002 q2</v>
      </c>
    </row>
    <row r="10737" spans="1:3">
      <c r="A10737" s="62">
        <v>37383</v>
      </c>
      <c r="B10737">
        <v>0.72599999999999998</v>
      </c>
      <c r="C10737" t="str">
        <f t="shared" si="172"/>
        <v>2002 q2</v>
      </c>
    </row>
    <row r="10738" spans="1:3">
      <c r="A10738" s="62">
        <v>37384</v>
      </c>
      <c r="B10738">
        <v>0.73299999999999998</v>
      </c>
      <c r="C10738" t="str">
        <f t="shared" si="172"/>
        <v>2002 q2</v>
      </c>
    </row>
    <row r="10739" spans="1:3">
      <c r="A10739" s="62">
        <v>37385</v>
      </c>
      <c r="B10739">
        <v>0.73</v>
      </c>
      <c r="C10739" t="str">
        <f t="shared" si="172"/>
        <v>2002 q2</v>
      </c>
    </row>
    <row r="10740" spans="1:3">
      <c r="A10740" s="62">
        <v>37386</v>
      </c>
      <c r="B10740">
        <v>0.73850000000000005</v>
      </c>
      <c r="C10740" t="str">
        <f t="shared" si="172"/>
        <v>2002 q2</v>
      </c>
    </row>
    <row r="10741" spans="1:3">
      <c r="A10741" s="62">
        <v>37389</v>
      </c>
      <c r="B10741">
        <v>0.73750000000000004</v>
      </c>
      <c r="C10741" t="str">
        <f t="shared" si="172"/>
        <v>2002 q2</v>
      </c>
    </row>
    <row r="10742" spans="1:3">
      <c r="A10742" s="62">
        <v>37390</v>
      </c>
      <c r="B10742">
        <v>0.745</v>
      </c>
      <c r="C10742" t="str">
        <f t="shared" si="172"/>
        <v>2002 q2</v>
      </c>
    </row>
    <row r="10743" spans="1:3">
      <c r="A10743" s="62">
        <v>37391</v>
      </c>
      <c r="B10743">
        <v>0.74750000000000005</v>
      </c>
      <c r="C10743" t="str">
        <f t="shared" si="172"/>
        <v>2002 q2</v>
      </c>
    </row>
    <row r="10744" spans="1:3">
      <c r="A10744" s="62">
        <v>37392</v>
      </c>
      <c r="B10744">
        <v>0.73850000000000005</v>
      </c>
      <c r="C10744" t="str">
        <f t="shared" si="172"/>
        <v>2002 q2</v>
      </c>
    </row>
    <row r="10745" spans="1:3">
      <c r="A10745" s="62">
        <v>37393</v>
      </c>
      <c r="B10745">
        <v>0.72850000000000004</v>
      </c>
      <c r="C10745" t="str">
        <f t="shared" si="172"/>
        <v>2002 q2</v>
      </c>
    </row>
    <row r="10746" spans="1:3">
      <c r="A10746" s="62">
        <v>37396</v>
      </c>
      <c r="B10746">
        <v>0.72599999999999998</v>
      </c>
      <c r="C10746" t="str">
        <f t="shared" si="172"/>
        <v>2002 q2</v>
      </c>
    </row>
    <row r="10747" spans="1:3">
      <c r="A10747" s="62">
        <v>37397</v>
      </c>
      <c r="B10747">
        <v>0.72750000000000004</v>
      </c>
      <c r="C10747" t="str">
        <f t="shared" si="172"/>
        <v>2002 q2</v>
      </c>
    </row>
    <row r="10748" spans="1:3">
      <c r="A10748" s="62">
        <v>37398</v>
      </c>
      <c r="B10748">
        <v>0.72799999999999998</v>
      </c>
      <c r="C10748" t="str">
        <f t="shared" si="172"/>
        <v>2002 q2</v>
      </c>
    </row>
    <row r="10749" spans="1:3">
      <c r="A10749" s="62">
        <v>37399</v>
      </c>
      <c r="B10749">
        <v>0.73599999999999999</v>
      </c>
      <c r="C10749" t="str">
        <f t="shared" si="172"/>
        <v>2002 q2</v>
      </c>
    </row>
    <row r="10750" spans="1:3">
      <c r="A10750" s="62">
        <v>37400</v>
      </c>
      <c r="B10750">
        <v>0.73899999999999999</v>
      </c>
      <c r="C10750" t="str">
        <f t="shared" si="172"/>
        <v>2002 q2</v>
      </c>
    </row>
    <row r="10751" spans="1:3">
      <c r="A10751" s="62">
        <v>37404</v>
      </c>
      <c r="B10751">
        <v>0.75700000000000001</v>
      </c>
      <c r="C10751" t="str">
        <f t="shared" si="172"/>
        <v>2002 q2</v>
      </c>
    </row>
    <row r="10752" spans="1:3">
      <c r="A10752" s="62">
        <v>37405</v>
      </c>
      <c r="B10752">
        <v>0.751</v>
      </c>
      <c r="C10752" t="str">
        <f t="shared" si="172"/>
        <v>2002 q2</v>
      </c>
    </row>
    <row r="10753" spans="1:3">
      <c r="A10753" s="62">
        <v>37406</v>
      </c>
      <c r="B10753">
        <v>0.752</v>
      </c>
      <c r="C10753" t="str">
        <f t="shared" si="172"/>
        <v>2002 q2</v>
      </c>
    </row>
    <row r="10754" spans="1:3">
      <c r="A10754" s="62">
        <v>37407</v>
      </c>
      <c r="B10754">
        <v>0.76400000000000001</v>
      </c>
      <c r="C10754" t="str">
        <f t="shared" si="172"/>
        <v>2002 q2</v>
      </c>
    </row>
    <row r="10755" spans="1:3">
      <c r="A10755" s="62">
        <v>37410</v>
      </c>
      <c r="B10755">
        <v>0.77549999999999997</v>
      </c>
      <c r="C10755" t="str">
        <f t="shared" si="172"/>
        <v>2002 q2</v>
      </c>
    </row>
    <row r="10756" spans="1:3">
      <c r="A10756" s="62">
        <v>37411</v>
      </c>
      <c r="B10756">
        <v>0.78600000000000003</v>
      </c>
      <c r="C10756" t="str">
        <f t="shared" si="172"/>
        <v>2002 q2</v>
      </c>
    </row>
    <row r="10757" spans="1:3">
      <c r="A10757" s="62">
        <v>37412</v>
      </c>
      <c r="B10757">
        <v>0.78349999999999997</v>
      </c>
      <c r="C10757" t="str">
        <f t="shared" si="172"/>
        <v>2002 q2</v>
      </c>
    </row>
    <row r="10758" spans="1:3">
      <c r="A10758" s="62">
        <v>37413</v>
      </c>
      <c r="B10758">
        <v>0.77900000000000003</v>
      </c>
      <c r="C10758" t="str">
        <f t="shared" si="172"/>
        <v>2002 q2</v>
      </c>
    </row>
    <row r="10759" spans="1:3">
      <c r="A10759" s="62">
        <v>37414</v>
      </c>
      <c r="B10759">
        <v>0.78</v>
      </c>
      <c r="C10759" t="str">
        <f t="shared" si="172"/>
        <v>2002 q2</v>
      </c>
    </row>
    <row r="10760" spans="1:3">
      <c r="A10760" s="62">
        <v>37417</v>
      </c>
      <c r="B10760">
        <v>0.78049999999999997</v>
      </c>
      <c r="C10760" t="str">
        <f t="shared" si="172"/>
        <v>2002 q2</v>
      </c>
    </row>
    <row r="10761" spans="1:3">
      <c r="A10761" s="62">
        <v>37418</v>
      </c>
      <c r="B10761">
        <v>0.76500000000000001</v>
      </c>
      <c r="C10761" t="str">
        <f t="shared" si="172"/>
        <v>2002 q2</v>
      </c>
    </row>
    <row r="10762" spans="1:3">
      <c r="A10762" s="62">
        <v>37419</v>
      </c>
      <c r="B10762">
        <v>0.76400000000000001</v>
      </c>
      <c r="C10762" t="str">
        <f t="shared" si="172"/>
        <v>2002 q2</v>
      </c>
    </row>
    <row r="10763" spans="1:3">
      <c r="A10763" s="62">
        <v>37420</v>
      </c>
      <c r="B10763">
        <v>0.76600000000000001</v>
      </c>
      <c r="C10763" t="str">
        <f t="shared" si="172"/>
        <v>2002 q2</v>
      </c>
    </row>
    <row r="10764" spans="1:3">
      <c r="A10764" s="62">
        <v>37421</v>
      </c>
      <c r="B10764">
        <v>0.76500000000000001</v>
      </c>
      <c r="C10764" t="str">
        <f t="shared" si="172"/>
        <v>2002 q2</v>
      </c>
    </row>
    <row r="10765" spans="1:3">
      <c r="A10765" s="62">
        <v>37424</v>
      </c>
      <c r="B10765">
        <v>0.76100000000000001</v>
      </c>
      <c r="C10765" t="str">
        <f t="shared" si="172"/>
        <v>2002 q2</v>
      </c>
    </row>
    <row r="10766" spans="1:3">
      <c r="A10766" s="62">
        <v>37425</v>
      </c>
      <c r="B10766">
        <v>0.76</v>
      </c>
      <c r="C10766" t="str">
        <f t="shared" si="172"/>
        <v>2002 q2</v>
      </c>
    </row>
    <row r="10767" spans="1:3">
      <c r="A10767" s="62">
        <v>37426</v>
      </c>
      <c r="B10767">
        <v>0.75749999999999995</v>
      </c>
      <c r="C10767" t="str">
        <f t="shared" si="172"/>
        <v>2002 q2</v>
      </c>
    </row>
    <row r="10768" spans="1:3">
      <c r="A10768" s="62">
        <v>37427</v>
      </c>
      <c r="B10768">
        <v>0.75149999999999995</v>
      </c>
      <c r="C10768" t="str">
        <f t="shared" si="172"/>
        <v>2002 q2</v>
      </c>
    </row>
    <row r="10769" spans="1:3">
      <c r="A10769" s="62">
        <v>37428</v>
      </c>
      <c r="B10769">
        <v>0.74299999999999999</v>
      </c>
      <c r="C10769" t="str">
        <f t="shared" si="172"/>
        <v>2002 q2</v>
      </c>
    </row>
    <row r="10770" spans="1:3">
      <c r="A10770" s="62">
        <v>37431</v>
      </c>
      <c r="B10770">
        <v>0.74050000000000005</v>
      </c>
      <c r="C10770" t="str">
        <f t="shared" ref="C10770:C10833" si="173">YEAR(A10770)&amp;" q"&amp;ROUNDUP(MONTH(A10770)/3,0)</f>
        <v>2002 q2</v>
      </c>
    </row>
    <row r="10771" spans="1:3">
      <c r="A10771" s="62">
        <v>37432</v>
      </c>
      <c r="B10771">
        <v>0.751</v>
      </c>
      <c r="C10771" t="str">
        <f t="shared" si="173"/>
        <v>2002 q2</v>
      </c>
    </row>
    <row r="10772" spans="1:3">
      <c r="A10772" s="62">
        <v>37433</v>
      </c>
      <c r="B10772">
        <v>0.754</v>
      </c>
      <c r="C10772" t="str">
        <f t="shared" si="173"/>
        <v>2002 q2</v>
      </c>
    </row>
    <row r="10773" spans="1:3">
      <c r="A10773" s="62">
        <v>37434</v>
      </c>
      <c r="B10773">
        <v>0.75700000000000001</v>
      </c>
      <c r="C10773" t="str">
        <f t="shared" si="173"/>
        <v>2002 q2</v>
      </c>
    </row>
    <row r="10774" spans="1:3">
      <c r="A10774" s="62">
        <v>37435</v>
      </c>
      <c r="B10774">
        <v>0.77310000000000001</v>
      </c>
      <c r="C10774" t="str">
        <f t="shared" si="173"/>
        <v>2002 q2</v>
      </c>
    </row>
    <row r="10775" spans="1:3">
      <c r="A10775" s="62">
        <v>37438</v>
      </c>
      <c r="B10775">
        <v>0.77449999999999997</v>
      </c>
      <c r="C10775" t="str">
        <f t="shared" si="173"/>
        <v>2002 q3</v>
      </c>
    </row>
    <row r="10776" spans="1:3">
      <c r="A10776" s="62">
        <v>37439</v>
      </c>
      <c r="B10776">
        <v>0.76249999999999996</v>
      </c>
      <c r="C10776" t="str">
        <f t="shared" si="173"/>
        <v>2002 q3</v>
      </c>
    </row>
    <row r="10777" spans="1:3">
      <c r="A10777" s="62">
        <v>37440</v>
      </c>
      <c r="B10777">
        <v>0.755</v>
      </c>
      <c r="C10777" t="str">
        <f t="shared" si="173"/>
        <v>2002 q3</v>
      </c>
    </row>
    <row r="10778" spans="1:3">
      <c r="A10778" s="62">
        <v>37445</v>
      </c>
      <c r="B10778">
        <v>0.76200000000000001</v>
      </c>
      <c r="C10778" t="str">
        <f t="shared" si="173"/>
        <v>2002 q3</v>
      </c>
    </row>
    <row r="10779" spans="1:3">
      <c r="A10779" s="62">
        <v>37446</v>
      </c>
      <c r="B10779">
        <v>0.76149999999999995</v>
      </c>
      <c r="C10779" t="str">
        <f t="shared" si="173"/>
        <v>2002 q3</v>
      </c>
    </row>
    <row r="10780" spans="1:3">
      <c r="A10780" s="62">
        <v>37447</v>
      </c>
      <c r="B10780">
        <v>0.75849999999999995</v>
      </c>
      <c r="C10780" t="str">
        <f t="shared" si="173"/>
        <v>2002 q3</v>
      </c>
    </row>
    <row r="10781" spans="1:3">
      <c r="A10781" s="62">
        <v>37448</v>
      </c>
      <c r="B10781">
        <v>0.751</v>
      </c>
      <c r="C10781" t="str">
        <f t="shared" si="173"/>
        <v>2002 q3</v>
      </c>
    </row>
    <row r="10782" spans="1:3">
      <c r="A10782" s="62">
        <v>37449</v>
      </c>
      <c r="B10782">
        <v>0.745</v>
      </c>
      <c r="C10782" t="str">
        <f t="shared" si="173"/>
        <v>2002 q3</v>
      </c>
    </row>
    <row r="10783" spans="1:3">
      <c r="A10783" s="62">
        <v>37452</v>
      </c>
      <c r="B10783">
        <v>0.73899999999999999</v>
      </c>
      <c r="C10783" t="str">
        <f t="shared" si="173"/>
        <v>2002 q3</v>
      </c>
    </row>
    <row r="10784" spans="1:3">
      <c r="A10784" s="62">
        <v>37453</v>
      </c>
      <c r="B10784">
        <v>0.74350000000000005</v>
      </c>
      <c r="C10784" t="str">
        <f t="shared" si="173"/>
        <v>2002 q3</v>
      </c>
    </row>
    <row r="10785" spans="1:3">
      <c r="A10785" s="62">
        <v>37454</v>
      </c>
      <c r="B10785">
        <v>0.73550000000000004</v>
      </c>
      <c r="C10785" t="str">
        <f t="shared" si="173"/>
        <v>2002 q3</v>
      </c>
    </row>
    <row r="10786" spans="1:3">
      <c r="A10786" s="62">
        <v>37455</v>
      </c>
      <c r="B10786">
        <v>0.73250000000000004</v>
      </c>
      <c r="C10786" t="str">
        <f t="shared" si="173"/>
        <v>2002 q3</v>
      </c>
    </row>
    <row r="10787" spans="1:3">
      <c r="A10787" s="62">
        <v>37456</v>
      </c>
      <c r="B10787">
        <v>0.71899999999999997</v>
      </c>
      <c r="C10787" t="str">
        <f t="shared" si="173"/>
        <v>2002 q3</v>
      </c>
    </row>
    <row r="10788" spans="1:3">
      <c r="A10788" s="62">
        <v>37459</v>
      </c>
      <c r="B10788">
        <v>0.70550000000000002</v>
      </c>
      <c r="C10788" t="str">
        <f t="shared" si="173"/>
        <v>2002 q3</v>
      </c>
    </row>
    <row r="10789" spans="1:3">
      <c r="A10789" s="62">
        <v>37460</v>
      </c>
      <c r="B10789">
        <v>0.69799999999999995</v>
      </c>
      <c r="C10789" t="str">
        <f t="shared" si="173"/>
        <v>2002 q3</v>
      </c>
    </row>
    <row r="10790" spans="1:3">
      <c r="A10790" s="62">
        <v>37461</v>
      </c>
      <c r="B10790">
        <v>0.69650000000000001</v>
      </c>
      <c r="C10790" t="str">
        <f t="shared" si="173"/>
        <v>2002 q3</v>
      </c>
    </row>
    <row r="10791" spans="1:3">
      <c r="A10791" s="62">
        <v>37462</v>
      </c>
      <c r="B10791">
        <v>0.69</v>
      </c>
      <c r="C10791" t="str">
        <f t="shared" si="173"/>
        <v>2002 q3</v>
      </c>
    </row>
    <row r="10792" spans="1:3">
      <c r="A10792" s="62">
        <v>37463</v>
      </c>
      <c r="B10792">
        <v>0.6905</v>
      </c>
      <c r="C10792" t="str">
        <f t="shared" si="173"/>
        <v>2002 q3</v>
      </c>
    </row>
    <row r="10793" spans="1:3">
      <c r="A10793" s="62">
        <v>37466</v>
      </c>
      <c r="B10793">
        <v>0.69850000000000001</v>
      </c>
      <c r="C10793" t="str">
        <f t="shared" si="173"/>
        <v>2002 q3</v>
      </c>
    </row>
    <row r="10794" spans="1:3">
      <c r="A10794" s="62">
        <v>37467</v>
      </c>
      <c r="B10794">
        <v>0.6925</v>
      </c>
      <c r="C10794" t="str">
        <f t="shared" si="173"/>
        <v>2002 q3</v>
      </c>
    </row>
    <row r="10795" spans="1:3">
      <c r="A10795" s="62">
        <v>37468</v>
      </c>
      <c r="B10795">
        <v>0.68100000000000005</v>
      </c>
      <c r="C10795" t="str">
        <f t="shared" si="173"/>
        <v>2002 q3</v>
      </c>
    </row>
    <row r="10796" spans="1:3">
      <c r="A10796" s="62">
        <v>37469</v>
      </c>
      <c r="B10796">
        <v>0.68500000000000005</v>
      </c>
      <c r="C10796" t="str">
        <f t="shared" si="173"/>
        <v>2002 q3</v>
      </c>
    </row>
    <row r="10797" spans="1:3">
      <c r="A10797" s="62">
        <v>37470</v>
      </c>
      <c r="B10797">
        <v>0.68200000000000005</v>
      </c>
      <c r="C10797" t="str">
        <f t="shared" si="173"/>
        <v>2002 q3</v>
      </c>
    </row>
    <row r="10798" spans="1:3">
      <c r="A10798" s="62">
        <v>37473</v>
      </c>
      <c r="B10798">
        <v>0.67200000000000004</v>
      </c>
      <c r="C10798" t="str">
        <f t="shared" si="173"/>
        <v>2002 q3</v>
      </c>
    </row>
    <row r="10799" spans="1:3">
      <c r="A10799" s="62">
        <v>37474</v>
      </c>
      <c r="B10799">
        <v>0.67549999999999999</v>
      </c>
      <c r="C10799" t="str">
        <f t="shared" si="173"/>
        <v>2002 q3</v>
      </c>
    </row>
    <row r="10800" spans="1:3">
      <c r="A10800" s="62">
        <v>37475</v>
      </c>
      <c r="B10800">
        <v>0.67149999999999999</v>
      </c>
      <c r="C10800" t="str">
        <f t="shared" si="173"/>
        <v>2002 q3</v>
      </c>
    </row>
    <row r="10801" spans="1:3">
      <c r="A10801" s="62">
        <v>37476</v>
      </c>
      <c r="B10801">
        <v>0.67500000000000004</v>
      </c>
      <c r="C10801" t="str">
        <f t="shared" si="173"/>
        <v>2002 q3</v>
      </c>
    </row>
    <row r="10802" spans="1:3">
      <c r="A10802" s="62">
        <v>37477</v>
      </c>
      <c r="B10802">
        <v>0.67800000000000005</v>
      </c>
      <c r="C10802" t="str">
        <f t="shared" si="173"/>
        <v>2002 q3</v>
      </c>
    </row>
    <row r="10803" spans="1:3">
      <c r="A10803" s="62">
        <v>37480</v>
      </c>
      <c r="B10803">
        <v>0.67849999999999999</v>
      </c>
      <c r="C10803" t="str">
        <f t="shared" si="173"/>
        <v>2002 q3</v>
      </c>
    </row>
    <row r="10804" spans="1:3">
      <c r="A10804" s="62">
        <v>37481</v>
      </c>
      <c r="B10804">
        <v>0.67600000000000005</v>
      </c>
      <c r="C10804" t="str">
        <f t="shared" si="173"/>
        <v>2002 q3</v>
      </c>
    </row>
    <row r="10805" spans="1:3">
      <c r="A10805" s="62">
        <v>37482</v>
      </c>
      <c r="B10805">
        <v>0.67</v>
      </c>
      <c r="C10805" t="str">
        <f t="shared" si="173"/>
        <v>2002 q3</v>
      </c>
    </row>
    <row r="10806" spans="1:3">
      <c r="A10806" s="62">
        <v>37483</v>
      </c>
      <c r="B10806">
        <v>0.6825</v>
      </c>
      <c r="C10806" t="str">
        <f t="shared" si="173"/>
        <v>2002 q3</v>
      </c>
    </row>
    <row r="10807" spans="1:3">
      <c r="A10807" s="62">
        <v>37484</v>
      </c>
      <c r="B10807">
        <v>0.67500000000000004</v>
      </c>
      <c r="C10807" t="str">
        <f t="shared" si="173"/>
        <v>2002 q3</v>
      </c>
    </row>
    <row r="10808" spans="1:3">
      <c r="A10808" s="62">
        <v>37487</v>
      </c>
      <c r="B10808">
        <v>0.67449999999999999</v>
      </c>
      <c r="C10808" t="str">
        <f t="shared" si="173"/>
        <v>2002 q3</v>
      </c>
    </row>
    <row r="10809" spans="1:3">
      <c r="A10809" s="62">
        <v>37488</v>
      </c>
      <c r="B10809">
        <v>0.6825</v>
      </c>
      <c r="C10809" t="str">
        <f t="shared" si="173"/>
        <v>2002 q3</v>
      </c>
    </row>
    <row r="10810" spans="1:3">
      <c r="A10810" s="62">
        <v>37489</v>
      </c>
      <c r="B10810">
        <v>0.67600000000000005</v>
      </c>
      <c r="C10810" t="str">
        <f t="shared" si="173"/>
        <v>2002 q3</v>
      </c>
    </row>
    <row r="10811" spans="1:3">
      <c r="A10811" s="62">
        <v>37490</v>
      </c>
      <c r="B10811">
        <v>0.68500000000000005</v>
      </c>
      <c r="C10811" t="str">
        <f t="shared" si="173"/>
        <v>2002 q3</v>
      </c>
    </row>
    <row r="10812" spans="1:3">
      <c r="A10812" s="62">
        <v>37491</v>
      </c>
      <c r="B10812">
        <v>0.6855</v>
      </c>
      <c r="C10812" t="str">
        <f t="shared" si="173"/>
        <v>2002 q3</v>
      </c>
    </row>
    <row r="10813" spans="1:3">
      <c r="A10813" s="62">
        <v>37494</v>
      </c>
      <c r="B10813">
        <v>0.6885</v>
      </c>
      <c r="C10813" t="str">
        <f t="shared" si="173"/>
        <v>2002 q3</v>
      </c>
    </row>
    <row r="10814" spans="1:3">
      <c r="A10814" s="62">
        <v>37495</v>
      </c>
      <c r="B10814">
        <v>0.69069999999999998</v>
      </c>
      <c r="C10814" t="str">
        <f t="shared" si="173"/>
        <v>2002 q3</v>
      </c>
    </row>
    <row r="10815" spans="1:3">
      <c r="A10815" s="62">
        <v>37496</v>
      </c>
      <c r="B10815">
        <v>0.68710000000000004</v>
      </c>
      <c r="C10815" t="str">
        <f t="shared" si="173"/>
        <v>2002 q3</v>
      </c>
    </row>
    <row r="10816" spans="1:3">
      <c r="A10816" s="62">
        <v>37497</v>
      </c>
      <c r="B10816">
        <v>0.68969999999999998</v>
      </c>
      <c r="C10816" t="str">
        <f t="shared" si="173"/>
        <v>2002 q3</v>
      </c>
    </row>
    <row r="10817" spans="1:3">
      <c r="A10817" s="62">
        <v>37498</v>
      </c>
      <c r="B10817">
        <v>0.69379999999999997</v>
      </c>
      <c r="C10817" t="str">
        <f t="shared" si="173"/>
        <v>2002 q3</v>
      </c>
    </row>
    <row r="10818" spans="1:3">
      <c r="A10818" s="62">
        <v>37502</v>
      </c>
      <c r="B10818">
        <v>0.6835</v>
      </c>
      <c r="C10818" t="str">
        <f t="shared" si="173"/>
        <v>2002 q3</v>
      </c>
    </row>
    <row r="10819" spans="1:3">
      <c r="A10819" s="62">
        <v>37503</v>
      </c>
      <c r="B10819">
        <v>0.68200000000000005</v>
      </c>
      <c r="C10819" t="str">
        <f t="shared" si="173"/>
        <v>2002 q3</v>
      </c>
    </row>
    <row r="10820" spans="1:3">
      <c r="A10820" s="62">
        <v>37504</v>
      </c>
      <c r="B10820">
        <v>0.67649999999999999</v>
      </c>
      <c r="C10820" t="str">
        <f t="shared" si="173"/>
        <v>2002 q3</v>
      </c>
    </row>
    <row r="10821" spans="1:3">
      <c r="A10821" s="62">
        <v>37505</v>
      </c>
      <c r="B10821">
        <v>0.6825</v>
      </c>
      <c r="C10821" t="str">
        <f t="shared" si="173"/>
        <v>2002 q3</v>
      </c>
    </row>
    <row r="10822" spans="1:3">
      <c r="A10822" s="62">
        <v>37508</v>
      </c>
      <c r="B10822">
        <v>0.69750000000000001</v>
      </c>
      <c r="C10822" t="str">
        <f t="shared" si="173"/>
        <v>2002 q3</v>
      </c>
    </row>
    <row r="10823" spans="1:3">
      <c r="A10823" s="62">
        <v>37509</v>
      </c>
      <c r="B10823">
        <v>0.70899999999999996</v>
      </c>
      <c r="C10823" t="str">
        <f t="shared" si="173"/>
        <v>2002 q3</v>
      </c>
    </row>
    <row r="10824" spans="1:3">
      <c r="A10824" s="62">
        <v>37510</v>
      </c>
      <c r="B10824">
        <v>0.70699999999999996</v>
      </c>
      <c r="C10824" t="str">
        <f t="shared" si="173"/>
        <v>2002 q3</v>
      </c>
    </row>
    <row r="10825" spans="1:3">
      <c r="A10825" s="62">
        <v>37511</v>
      </c>
      <c r="B10825">
        <v>0.70499999999999996</v>
      </c>
      <c r="C10825" t="str">
        <f t="shared" si="173"/>
        <v>2002 q3</v>
      </c>
    </row>
    <row r="10826" spans="1:3">
      <c r="A10826" s="62">
        <v>37512</v>
      </c>
      <c r="B10826">
        <v>0.7</v>
      </c>
      <c r="C10826" t="str">
        <f t="shared" si="173"/>
        <v>2002 q3</v>
      </c>
    </row>
    <row r="10827" spans="1:3">
      <c r="A10827" s="62">
        <v>37515</v>
      </c>
      <c r="B10827">
        <v>0.68899999999999995</v>
      </c>
      <c r="C10827" t="str">
        <f t="shared" si="173"/>
        <v>2002 q3</v>
      </c>
    </row>
    <row r="10828" spans="1:3">
      <c r="A10828" s="62">
        <v>37516</v>
      </c>
      <c r="B10828">
        <v>0.6885</v>
      </c>
      <c r="C10828" t="str">
        <f t="shared" si="173"/>
        <v>2002 q3</v>
      </c>
    </row>
    <row r="10829" spans="1:3">
      <c r="A10829" s="62">
        <v>37517</v>
      </c>
      <c r="B10829">
        <v>0.67800000000000005</v>
      </c>
      <c r="C10829" t="str">
        <f t="shared" si="173"/>
        <v>2002 q3</v>
      </c>
    </row>
    <row r="10830" spans="1:3">
      <c r="A10830" s="62">
        <v>37518</v>
      </c>
      <c r="B10830">
        <v>0.67700000000000005</v>
      </c>
      <c r="C10830" t="str">
        <f t="shared" si="173"/>
        <v>2002 q3</v>
      </c>
    </row>
    <row r="10831" spans="1:3">
      <c r="A10831" s="62">
        <v>37519</v>
      </c>
      <c r="B10831">
        <v>0.6825</v>
      </c>
      <c r="C10831" t="str">
        <f t="shared" si="173"/>
        <v>2002 q3</v>
      </c>
    </row>
    <row r="10832" spans="1:3">
      <c r="A10832" s="62">
        <v>37522</v>
      </c>
      <c r="B10832">
        <v>0.67749999999999999</v>
      </c>
      <c r="C10832" t="str">
        <f t="shared" si="173"/>
        <v>2002 q3</v>
      </c>
    </row>
    <row r="10833" spans="1:3">
      <c r="A10833" s="62">
        <v>37523</v>
      </c>
      <c r="B10833">
        <v>0.67249999999999999</v>
      </c>
      <c r="C10833" t="str">
        <f t="shared" si="173"/>
        <v>2002 q3</v>
      </c>
    </row>
    <row r="10834" spans="1:3">
      <c r="A10834" s="62">
        <v>37524</v>
      </c>
      <c r="B10834">
        <v>0.67700000000000005</v>
      </c>
      <c r="C10834" t="str">
        <f t="shared" ref="C10834:C10897" si="174">YEAR(A10834)&amp;" q"&amp;ROUNDUP(MONTH(A10834)/3,0)</f>
        <v>2002 q3</v>
      </c>
    </row>
    <row r="10835" spans="1:3">
      <c r="A10835" s="62">
        <v>37525</v>
      </c>
      <c r="B10835">
        <v>0.67900000000000005</v>
      </c>
      <c r="C10835" t="str">
        <f t="shared" si="174"/>
        <v>2002 q3</v>
      </c>
    </row>
    <row r="10836" spans="1:3">
      <c r="A10836" s="62">
        <v>37526</v>
      </c>
      <c r="B10836">
        <v>0.66700000000000004</v>
      </c>
      <c r="C10836" t="str">
        <f t="shared" si="174"/>
        <v>2002 q3</v>
      </c>
    </row>
    <row r="10837" spans="1:3">
      <c r="A10837" s="62">
        <v>37529</v>
      </c>
      <c r="B10837">
        <v>0.66600000000000004</v>
      </c>
      <c r="C10837" t="str">
        <f t="shared" si="174"/>
        <v>2002 q3</v>
      </c>
    </row>
    <row r="10838" spans="1:3">
      <c r="A10838" s="62">
        <v>37530</v>
      </c>
      <c r="B10838">
        <v>0.67049999999999998</v>
      </c>
      <c r="C10838" t="str">
        <f t="shared" si="174"/>
        <v>2002 q4</v>
      </c>
    </row>
    <row r="10839" spans="1:3">
      <c r="A10839" s="62">
        <v>37531</v>
      </c>
      <c r="B10839">
        <v>0.67600000000000005</v>
      </c>
      <c r="C10839" t="str">
        <f t="shared" si="174"/>
        <v>2002 q4</v>
      </c>
    </row>
    <row r="10840" spans="1:3">
      <c r="A10840" s="62">
        <v>37532</v>
      </c>
      <c r="B10840">
        <v>0.66800000000000004</v>
      </c>
      <c r="C10840" t="str">
        <f t="shared" si="174"/>
        <v>2002 q4</v>
      </c>
    </row>
    <row r="10841" spans="1:3">
      <c r="A10841" s="62">
        <v>37533</v>
      </c>
      <c r="B10841">
        <v>0.66200000000000003</v>
      </c>
      <c r="C10841" t="str">
        <f t="shared" si="174"/>
        <v>2002 q4</v>
      </c>
    </row>
    <row r="10842" spans="1:3">
      <c r="A10842" s="62">
        <v>37536</v>
      </c>
      <c r="B10842">
        <v>0.66500000000000004</v>
      </c>
      <c r="C10842" t="str">
        <f t="shared" si="174"/>
        <v>2002 q4</v>
      </c>
    </row>
    <row r="10843" spans="1:3">
      <c r="A10843" s="62">
        <v>37537</v>
      </c>
      <c r="B10843">
        <v>0.66449999999999998</v>
      </c>
      <c r="C10843" t="str">
        <f t="shared" si="174"/>
        <v>2002 q4</v>
      </c>
    </row>
    <row r="10844" spans="1:3">
      <c r="A10844" s="62">
        <v>37538</v>
      </c>
      <c r="B10844">
        <v>0.66400000000000003</v>
      </c>
      <c r="C10844" t="str">
        <f t="shared" si="174"/>
        <v>2002 q4</v>
      </c>
    </row>
    <row r="10845" spans="1:3">
      <c r="A10845" s="62">
        <v>37539</v>
      </c>
      <c r="B10845">
        <v>0.67100000000000004</v>
      </c>
      <c r="C10845" t="str">
        <f t="shared" si="174"/>
        <v>2002 q4</v>
      </c>
    </row>
    <row r="10846" spans="1:3">
      <c r="A10846" s="62">
        <v>37540</v>
      </c>
      <c r="B10846">
        <v>0.6835</v>
      </c>
      <c r="C10846" t="str">
        <f t="shared" si="174"/>
        <v>2002 q4</v>
      </c>
    </row>
    <row r="10847" spans="1:3">
      <c r="A10847" s="62">
        <v>37543</v>
      </c>
      <c r="B10847">
        <v>0.67100000000000004</v>
      </c>
      <c r="C10847" t="str">
        <f t="shared" si="174"/>
        <v>2002 q4</v>
      </c>
    </row>
    <row r="10848" spans="1:3">
      <c r="A10848" s="62">
        <v>37544</v>
      </c>
      <c r="B10848">
        <v>0.67649999999999999</v>
      </c>
      <c r="C10848" t="str">
        <f t="shared" si="174"/>
        <v>2002 q4</v>
      </c>
    </row>
    <row r="10849" spans="1:3">
      <c r="A10849" s="62">
        <v>37545</v>
      </c>
      <c r="B10849">
        <v>0.67500000000000004</v>
      </c>
      <c r="C10849" t="str">
        <f t="shared" si="174"/>
        <v>2002 q4</v>
      </c>
    </row>
    <row r="10850" spans="1:3">
      <c r="A10850" s="62">
        <v>37546</v>
      </c>
      <c r="B10850">
        <v>0.69699999999999995</v>
      </c>
      <c r="C10850" t="str">
        <f t="shared" si="174"/>
        <v>2002 q4</v>
      </c>
    </row>
    <row r="10851" spans="1:3">
      <c r="A10851" s="62">
        <v>37547</v>
      </c>
      <c r="B10851">
        <v>0.6925</v>
      </c>
      <c r="C10851" t="str">
        <f t="shared" si="174"/>
        <v>2002 q4</v>
      </c>
    </row>
    <row r="10852" spans="1:3">
      <c r="A10852" s="62">
        <v>37550</v>
      </c>
      <c r="B10852">
        <v>0.70350000000000001</v>
      </c>
      <c r="C10852" t="str">
        <f t="shared" si="174"/>
        <v>2002 q4</v>
      </c>
    </row>
    <row r="10853" spans="1:3">
      <c r="A10853" s="62">
        <v>37551</v>
      </c>
      <c r="B10853">
        <v>0.69750000000000001</v>
      </c>
      <c r="C10853" t="str">
        <f t="shared" si="174"/>
        <v>2002 q4</v>
      </c>
    </row>
    <row r="10854" spans="1:3">
      <c r="A10854" s="62">
        <v>37552</v>
      </c>
      <c r="B10854">
        <v>0.69450000000000001</v>
      </c>
      <c r="C10854" t="str">
        <f t="shared" si="174"/>
        <v>2002 q4</v>
      </c>
    </row>
    <row r="10855" spans="1:3">
      <c r="A10855" s="62">
        <v>37553</v>
      </c>
      <c r="B10855">
        <v>0.70299999999999996</v>
      </c>
      <c r="C10855" t="str">
        <f t="shared" si="174"/>
        <v>2002 q4</v>
      </c>
    </row>
    <row r="10856" spans="1:3">
      <c r="A10856" s="62">
        <v>37554</v>
      </c>
      <c r="B10856">
        <v>0.71450000000000002</v>
      </c>
      <c r="C10856" t="str">
        <f t="shared" si="174"/>
        <v>2002 q4</v>
      </c>
    </row>
    <row r="10857" spans="1:3">
      <c r="A10857" s="62">
        <v>37557</v>
      </c>
      <c r="B10857">
        <v>0.71350000000000002</v>
      </c>
      <c r="C10857" t="str">
        <f t="shared" si="174"/>
        <v>2002 q4</v>
      </c>
    </row>
    <row r="10858" spans="1:3">
      <c r="A10858" s="62">
        <v>37558</v>
      </c>
      <c r="B10858">
        <v>0.70399999999999996</v>
      </c>
      <c r="C10858" t="str">
        <f t="shared" si="174"/>
        <v>2002 q4</v>
      </c>
    </row>
    <row r="10859" spans="1:3">
      <c r="A10859" s="62">
        <v>37559</v>
      </c>
      <c r="B10859">
        <v>0.70350000000000001</v>
      </c>
      <c r="C10859" t="str">
        <f t="shared" si="174"/>
        <v>2002 q4</v>
      </c>
    </row>
    <row r="10860" spans="1:3">
      <c r="A10860" s="62">
        <v>37560</v>
      </c>
      <c r="B10860">
        <v>0.71699999999999997</v>
      </c>
      <c r="C10860" t="str">
        <f t="shared" si="174"/>
        <v>2002 q4</v>
      </c>
    </row>
    <row r="10861" spans="1:3">
      <c r="A10861" s="62">
        <v>37561</v>
      </c>
      <c r="B10861">
        <v>0.72599999999999998</v>
      </c>
      <c r="C10861" t="str">
        <f t="shared" si="174"/>
        <v>2002 q4</v>
      </c>
    </row>
    <row r="10862" spans="1:3">
      <c r="A10862" s="62">
        <v>37564</v>
      </c>
      <c r="B10862">
        <v>0.72850000000000004</v>
      </c>
      <c r="C10862" t="str">
        <f t="shared" si="174"/>
        <v>2002 q4</v>
      </c>
    </row>
    <row r="10863" spans="1:3">
      <c r="A10863" s="62">
        <v>37565</v>
      </c>
      <c r="B10863">
        <v>0.72550000000000003</v>
      </c>
      <c r="C10863" t="str">
        <f t="shared" si="174"/>
        <v>2002 q4</v>
      </c>
    </row>
    <row r="10864" spans="1:3">
      <c r="A10864" s="62">
        <v>37566</v>
      </c>
      <c r="B10864">
        <v>0.73050000000000004</v>
      </c>
      <c r="C10864" t="str">
        <f t="shared" si="174"/>
        <v>2002 q4</v>
      </c>
    </row>
    <row r="10865" spans="1:3">
      <c r="A10865" s="62">
        <v>37567</v>
      </c>
      <c r="B10865">
        <v>0.71550000000000002</v>
      </c>
      <c r="C10865" t="str">
        <f t="shared" si="174"/>
        <v>2002 q4</v>
      </c>
    </row>
    <row r="10866" spans="1:3">
      <c r="A10866" s="62">
        <v>37568</v>
      </c>
      <c r="B10866">
        <v>0.71599999999999997</v>
      </c>
      <c r="C10866" t="str">
        <f t="shared" si="174"/>
        <v>2002 q4</v>
      </c>
    </row>
    <row r="10867" spans="1:3">
      <c r="A10867" s="62">
        <v>37571</v>
      </c>
      <c r="B10867">
        <v>0.72099999999999997</v>
      </c>
      <c r="C10867" t="str">
        <f t="shared" si="174"/>
        <v>2002 q4</v>
      </c>
    </row>
    <row r="10868" spans="1:3">
      <c r="A10868" s="62">
        <v>37572</v>
      </c>
      <c r="B10868">
        <v>0.72099999999999997</v>
      </c>
      <c r="C10868" t="str">
        <f t="shared" si="174"/>
        <v>2002 q4</v>
      </c>
    </row>
    <row r="10869" spans="1:3">
      <c r="A10869" s="62">
        <v>37573</v>
      </c>
      <c r="B10869">
        <v>0.71750000000000003</v>
      </c>
      <c r="C10869" t="str">
        <f t="shared" si="174"/>
        <v>2002 q4</v>
      </c>
    </row>
    <row r="10870" spans="1:3">
      <c r="A10870" s="62">
        <v>37574</v>
      </c>
      <c r="B10870">
        <v>0.71199999999999997</v>
      </c>
      <c r="C10870" t="str">
        <f t="shared" si="174"/>
        <v>2002 q4</v>
      </c>
    </row>
    <row r="10871" spans="1:3">
      <c r="A10871" s="62">
        <v>37575</v>
      </c>
      <c r="B10871">
        <v>0.71850000000000003</v>
      </c>
      <c r="C10871" t="str">
        <f t="shared" si="174"/>
        <v>2002 q4</v>
      </c>
    </row>
    <row r="10872" spans="1:3">
      <c r="A10872" s="62">
        <v>37578</v>
      </c>
      <c r="B10872">
        <v>0.72799999999999998</v>
      </c>
      <c r="C10872" t="str">
        <f t="shared" si="174"/>
        <v>2002 q4</v>
      </c>
    </row>
    <row r="10873" spans="1:3">
      <c r="A10873" s="62">
        <v>37579</v>
      </c>
      <c r="B10873">
        <v>0.72699999999999998</v>
      </c>
      <c r="C10873" t="str">
        <f t="shared" si="174"/>
        <v>2002 q4</v>
      </c>
    </row>
    <row r="10874" spans="1:3">
      <c r="A10874" s="62">
        <v>37580</v>
      </c>
      <c r="B10874">
        <v>0.73899999999999999</v>
      </c>
      <c r="C10874" t="str">
        <f t="shared" si="174"/>
        <v>2002 q4</v>
      </c>
    </row>
    <row r="10875" spans="1:3">
      <c r="A10875" s="62">
        <v>37581</v>
      </c>
      <c r="B10875">
        <v>0.73950000000000005</v>
      </c>
      <c r="C10875" t="str">
        <f t="shared" si="174"/>
        <v>2002 q4</v>
      </c>
    </row>
    <row r="10876" spans="1:3">
      <c r="A10876" s="62">
        <v>37582</v>
      </c>
      <c r="B10876">
        <v>0.73709999999999998</v>
      </c>
      <c r="C10876" t="str">
        <f t="shared" si="174"/>
        <v>2002 q4</v>
      </c>
    </row>
    <row r="10877" spans="1:3">
      <c r="A10877" s="62">
        <v>37585</v>
      </c>
      <c r="B10877">
        <v>0.73719999999999997</v>
      </c>
      <c r="C10877" t="str">
        <f t="shared" si="174"/>
        <v>2002 q4</v>
      </c>
    </row>
    <row r="10878" spans="1:3">
      <c r="A10878" s="62">
        <v>37586</v>
      </c>
      <c r="B10878">
        <v>0.73060000000000003</v>
      </c>
      <c r="C10878" t="str">
        <f t="shared" si="174"/>
        <v>2002 q4</v>
      </c>
    </row>
    <row r="10879" spans="1:3">
      <c r="A10879" s="62">
        <v>37587</v>
      </c>
      <c r="B10879">
        <v>0.75190000000000001</v>
      </c>
      <c r="C10879" t="str">
        <f t="shared" si="174"/>
        <v>2002 q4</v>
      </c>
    </row>
    <row r="10880" spans="1:3">
      <c r="A10880" s="62">
        <v>37592</v>
      </c>
      <c r="B10880">
        <v>0.75949999999999995</v>
      </c>
      <c r="C10880" t="str">
        <f t="shared" si="174"/>
        <v>2002 q4</v>
      </c>
    </row>
    <row r="10881" spans="1:3">
      <c r="A10881" s="62">
        <v>37593</v>
      </c>
      <c r="B10881">
        <v>0.75600000000000001</v>
      </c>
      <c r="C10881" t="str">
        <f t="shared" si="174"/>
        <v>2002 q4</v>
      </c>
    </row>
    <row r="10882" spans="1:3">
      <c r="A10882" s="62">
        <v>37594</v>
      </c>
      <c r="B10882">
        <v>0.75600000000000001</v>
      </c>
      <c r="C10882" t="str">
        <f t="shared" si="174"/>
        <v>2002 q4</v>
      </c>
    </row>
    <row r="10883" spans="1:3">
      <c r="A10883" s="62">
        <v>37595</v>
      </c>
      <c r="B10883">
        <v>0.74250000000000005</v>
      </c>
      <c r="C10883" t="str">
        <f t="shared" si="174"/>
        <v>2002 q4</v>
      </c>
    </row>
    <row r="10884" spans="1:3">
      <c r="A10884" s="62">
        <v>37596</v>
      </c>
      <c r="B10884">
        <v>0.74299999999999999</v>
      </c>
      <c r="C10884" t="str">
        <f t="shared" si="174"/>
        <v>2002 q4</v>
      </c>
    </row>
    <row r="10885" spans="1:3">
      <c r="A10885" s="62">
        <v>37599</v>
      </c>
      <c r="B10885">
        <v>0.73250000000000004</v>
      </c>
      <c r="C10885" t="str">
        <f t="shared" si="174"/>
        <v>2002 q4</v>
      </c>
    </row>
    <row r="10886" spans="1:3">
      <c r="A10886" s="62">
        <v>37600</v>
      </c>
      <c r="B10886">
        <v>0.73899999999999999</v>
      </c>
      <c r="C10886" t="str">
        <f t="shared" si="174"/>
        <v>2002 q4</v>
      </c>
    </row>
    <row r="10887" spans="1:3">
      <c r="A10887" s="62">
        <v>37601</v>
      </c>
      <c r="B10887">
        <v>0.73799999999999999</v>
      </c>
      <c r="C10887" t="str">
        <f t="shared" si="174"/>
        <v>2002 q4</v>
      </c>
    </row>
    <row r="10888" spans="1:3">
      <c r="A10888" s="62">
        <v>37602</v>
      </c>
      <c r="B10888">
        <v>0.73499999999999999</v>
      </c>
      <c r="C10888" t="str">
        <f t="shared" si="174"/>
        <v>2002 q4</v>
      </c>
    </row>
    <row r="10889" spans="1:3">
      <c r="A10889" s="62">
        <v>37603</v>
      </c>
      <c r="B10889">
        <v>0.72599999999999998</v>
      </c>
      <c r="C10889" t="str">
        <f t="shared" si="174"/>
        <v>2002 q4</v>
      </c>
    </row>
    <row r="10890" spans="1:3">
      <c r="A10890" s="62">
        <v>37606</v>
      </c>
      <c r="B10890">
        <v>0.72499999999999998</v>
      </c>
      <c r="C10890" t="str">
        <f t="shared" si="174"/>
        <v>2002 q4</v>
      </c>
    </row>
    <row r="10891" spans="1:3">
      <c r="A10891" s="62">
        <v>37607</v>
      </c>
      <c r="B10891">
        <v>0.72599999999999998</v>
      </c>
      <c r="C10891" t="str">
        <f t="shared" si="174"/>
        <v>2002 q4</v>
      </c>
    </row>
    <row r="10892" spans="1:3">
      <c r="A10892" s="62">
        <v>37608</v>
      </c>
      <c r="B10892">
        <v>0.71950000000000003</v>
      </c>
      <c r="C10892" t="str">
        <f t="shared" si="174"/>
        <v>2002 q4</v>
      </c>
    </row>
    <row r="10893" spans="1:3">
      <c r="A10893" s="62">
        <v>37609</v>
      </c>
      <c r="B10893">
        <v>0.71499999999999997</v>
      </c>
      <c r="C10893" t="str">
        <f t="shared" si="174"/>
        <v>2002 q4</v>
      </c>
    </row>
    <row r="10894" spans="1:3">
      <c r="A10894" s="62">
        <v>37610</v>
      </c>
      <c r="B10894">
        <v>0.71250000000000002</v>
      </c>
      <c r="C10894" t="str">
        <f t="shared" si="174"/>
        <v>2002 q4</v>
      </c>
    </row>
    <row r="10895" spans="1:3">
      <c r="A10895" s="62">
        <v>37613</v>
      </c>
      <c r="B10895">
        <v>0.71499999999999997</v>
      </c>
      <c r="C10895" t="str">
        <f t="shared" si="174"/>
        <v>2002 q4</v>
      </c>
    </row>
    <row r="10896" spans="1:3">
      <c r="A10896" s="62">
        <v>37614</v>
      </c>
      <c r="B10896">
        <v>0.70350000000000001</v>
      </c>
      <c r="C10896" t="str">
        <f t="shared" si="174"/>
        <v>2002 q4</v>
      </c>
    </row>
    <row r="10897" spans="1:3">
      <c r="A10897" s="62">
        <v>37616</v>
      </c>
      <c r="B10897">
        <v>0.69899999999999995</v>
      </c>
      <c r="C10897" t="str">
        <f t="shared" si="174"/>
        <v>2002 q4</v>
      </c>
    </row>
    <row r="10898" spans="1:3">
      <c r="A10898" s="62">
        <v>37617</v>
      </c>
      <c r="B10898">
        <v>0.70350000000000001</v>
      </c>
      <c r="C10898" t="str">
        <f t="shared" ref="C10898:C10961" si="175">YEAR(A10898)&amp;" q"&amp;ROUNDUP(MONTH(A10898)/3,0)</f>
        <v>2002 q4</v>
      </c>
    </row>
    <row r="10899" spans="1:3">
      <c r="A10899" s="62">
        <v>37620</v>
      </c>
      <c r="B10899">
        <v>0.70199999999999996</v>
      </c>
      <c r="C10899" t="str">
        <f t="shared" si="175"/>
        <v>2002 q4</v>
      </c>
    </row>
    <row r="10900" spans="1:3">
      <c r="A10900" s="62">
        <v>37621</v>
      </c>
      <c r="B10900">
        <v>0.70140000000000002</v>
      </c>
      <c r="C10900" t="str">
        <f t="shared" si="175"/>
        <v>2002 q4</v>
      </c>
    </row>
    <row r="10901" spans="1:3">
      <c r="A10901" s="62">
        <v>37623</v>
      </c>
      <c r="B10901">
        <v>0.71799999999999997</v>
      </c>
      <c r="C10901" t="str">
        <f t="shared" si="175"/>
        <v>2003 q1</v>
      </c>
    </row>
    <row r="10902" spans="1:3">
      <c r="A10902" s="62">
        <v>37624</v>
      </c>
      <c r="B10902">
        <v>0.73150000000000004</v>
      </c>
      <c r="C10902" t="str">
        <f t="shared" si="175"/>
        <v>2003 q1</v>
      </c>
    </row>
    <row r="10903" spans="1:3">
      <c r="A10903" s="62">
        <v>37627</v>
      </c>
      <c r="B10903">
        <v>0.73899999999999999</v>
      </c>
      <c r="C10903" t="str">
        <f t="shared" si="175"/>
        <v>2003 q1</v>
      </c>
    </row>
    <row r="10904" spans="1:3">
      <c r="A10904" s="62">
        <v>37628</v>
      </c>
      <c r="B10904">
        <v>0.73599999999999999</v>
      </c>
      <c r="C10904" t="str">
        <f t="shared" si="175"/>
        <v>2003 q1</v>
      </c>
    </row>
    <row r="10905" spans="1:3">
      <c r="A10905" s="62">
        <v>37629</v>
      </c>
      <c r="B10905">
        <v>0.74650000000000005</v>
      </c>
      <c r="C10905" t="str">
        <f t="shared" si="175"/>
        <v>2003 q1</v>
      </c>
    </row>
    <row r="10906" spans="1:3">
      <c r="A10906" s="62">
        <v>37630</v>
      </c>
      <c r="B10906">
        <v>0.75049999999999994</v>
      </c>
      <c r="C10906" t="str">
        <f t="shared" si="175"/>
        <v>2003 q1</v>
      </c>
    </row>
    <row r="10907" spans="1:3">
      <c r="A10907" s="62">
        <v>37631</v>
      </c>
      <c r="B10907">
        <v>0.74450000000000005</v>
      </c>
      <c r="C10907" t="str">
        <f t="shared" si="175"/>
        <v>2003 q1</v>
      </c>
    </row>
    <row r="10908" spans="1:3">
      <c r="A10908" s="62">
        <v>37634</v>
      </c>
      <c r="B10908">
        <v>0.75249999999999995</v>
      </c>
      <c r="C10908" t="str">
        <f t="shared" si="175"/>
        <v>2003 q1</v>
      </c>
    </row>
    <row r="10909" spans="1:3">
      <c r="A10909" s="62">
        <v>37635</v>
      </c>
      <c r="B10909">
        <v>0.76</v>
      </c>
      <c r="C10909" t="str">
        <f t="shared" si="175"/>
        <v>2003 q1</v>
      </c>
    </row>
    <row r="10910" spans="1:3">
      <c r="A10910" s="62">
        <v>37636</v>
      </c>
      <c r="B10910">
        <v>0.76500000000000001</v>
      </c>
      <c r="C10910" t="str">
        <f t="shared" si="175"/>
        <v>2003 q1</v>
      </c>
    </row>
    <row r="10911" spans="1:3">
      <c r="A10911" s="62">
        <v>37637</v>
      </c>
      <c r="B10911">
        <v>0.76100000000000001</v>
      </c>
      <c r="C10911" t="str">
        <f t="shared" si="175"/>
        <v>2003 q1</v>
      </c>
    </row>
    <row r="10912" spans="1:3">
      <c r="A10912" s="62">
        <v>37638</v>
      </c>
      <c r="B10912">
        <v>0.75800000000000001</v>
      </c>
      <c r="C10912" t="str">
        <f t="shared" si="175"/>
        <v>2003 q1</v>
      </c>
    </row>
    <row r="10913" spans="1:3">
      <c r="A10913" s="62">
        <v>37642</v>
      </c>
      <c r="B10913">
        <v>0.76900000000000002</v>
      </c>
      <c r="C10913" t="str">
        <f t="shared" si="175"/>
        <v>2003 q1</v>
      </c>
    </row>
    <row r="10914" spans="1:3">
      <c r="A10914" s="62">
        <v>37643</v>
      </c>
      <c r="B10914">
        <v>0.77300000000000002</v>
      </c>
      <c r="C10914" t="str">
        <f t="shared" si="175"/>
        <v>2003 q1</v>
      </c>
    </row>
    <row r="10915" spans="1:3">
      <c r="A10915" s="62">
        <v>37644</v>
      </c>
      <c r="B10915">
        <v>0.77</v>
      </c>
      <c r="C10915" t="str">
        <f t="shared" si="175"/>
        <v>2003 q1</v>
      </c>
    </row>
    <row r="10916" spans="1:3">
      <c r="A10916" s="62">
        <v>37645</v>
      </c>
      <c r="B10916">
        <v>0.76849999999999996</v>
      </c>
      <c r="C10916" t="str">
        <f t="shared" si="175"/>
        <v>2003 q1</v>
      </c>
    </row>
    <row r="10917" spans="1:3">
      <c r="A10917" s="62">
        <v>37648</v>
      </c>
      <c r="B10917">
        <v>0.76</v>
      </c>
      <c r="C10917" t="str">
        <f t="shared" si="175"/>
        <v>2003 q1</v>
      </c>
    </row>
    <row r="10918" spans="1:3">
      <c r="A10918" s="62">
        <v>37649</v>
      </c>
      <c r="B10918">
        <v>0.75700000000000001</v>
      </c>
      <c r="C10918" t="str">
        <f t="shared" si="175"/>
        <v>2003 q1</v>
      </c>
    </row>
    <row r="10919" spans="1:3">
      <c r="A10919" s="62">
        <v>37650</v>
      </c>
      <c r="B10919">
        <v>0.76500000000000001</v>
      </c>
      <c r="C10919" t="str">
        <f t="shared" si="175"/>
        <v>2003 q1</v>
      </c>
    </row>
    <row r="10920" spans="1:3">
      <c r="A10920" s="62">
        <v>37651</v>
      </c>
      <c r="B10920">
        <v>0.79049999999999998</v>
      </c>
      <c r="C10920" t="str">
        <f t="shared" si="175"/>
        <v>2003 q1</v>
      </c>
    </row>
    <row r="10921" spans="1:3">
      <c r="A10921" s="62">
        <v>37652</v>
      </c>
      <c r="B10921">
        <v>0.79449999999999998</v>
      </c>
      <c r="C10921" t="str">
        <f t="shared" si="175"/>
        <v>2003 q1</v>
      </c>
    </row>
    <row r="10922" spans="1:3">
      <c r="A10922" s="62">
        <v>37655</v>
      </c>
      <c r="B10922">
        <v>0.78900000000000003</v>
      </c>
      <c r="C10922" t="str">
        <f t="shared" si="175"/>
        <v>2003 q1</v>
      </c>
    </row>
    <row r="10923" spans="1:3">
      <c r="A10923" s="62">
        <v>37656</v>
      </c>
      <c r="B10923">
        <v>0.77949999999999997</v>
      </c>
      <c r="C10923" t="str">
        <f t="shared" si="175"/>
        <v>2003 q1</v>
      </c>
    </row>
    <row r="10924" spans="1:3">
      <c r="A10924" s="62">
        <v>37657</v>
      </c>
      <c r="B10924">
        <v>0.77900000000000003</v>
      </c>
      <c r="C10924" t="str">
        <f t="shared" si="175"/>
        <v>2003 q1</v>
      </c>
    </row>
    <row r="10925" spans="1:3">
      <c r="A10925" s="62">
        <v>37658</v>
      </c>
      <c r="B10925">
        <v>0.76800000000000002</v>
      </c>
      <c r="C10925" t="str">
        <f t="shared" si="175"/>
        <v>2003 q1</v>
      </c>
    </row>
    <row r="10926" spans="1:3">
      <c r="A10926" s="62">
        <v>37659</v>
      </c>
      <c r="B10926">
        <v>0.76349999999999996</v>
      </c>
      <c r="C10926" t="str">
        <f t="shared" si="175"/>
        <v>2003 q1</v>
      </c>
    </row>
    <row r="10927" spans="1:3">
      <c r="A10927" s="62">
        <v>37662</v>
      </c>
      <c r="B10927">
        <v>0.77549999999999997</v>
      </c>
      <c r="C10927" t="str">
        <f t="shared" si="175"/>
        <v>2003 q1</v>
      </c>
    </row>
    <row r="10928" spans="1:3">
      <c r="A10928" s="62">
        <v>37663</v>
      </c>
      <c r="B10928">
        <v>0.77549999999999997</v>
      </c>
      <c r="C10928" t="str">
        <f t="shared" si="175"/>
        <v>2003 q1</v>
      </c>
    </row>
    <row r="10929" spans="1:3">
      <c r="A10929" s="62">
        <v>37664</v>
      </c>
      <c r="B10929">
        <v>0.77100000000000002</v>
      </c>
      <c r="C10929" t="str">
        <f t="shared" si="175"/>
        <v>2003 q1</v>
      </c>
    </row>
    <row r="10930" spans="1:3">
      <c r="A10930" s="62">
        <v>37665</v>
      </c>
      <c r="B10930">
        <v>0.75</v>
      </c>
      <c r="C10930" t="str">
        <f t="shared" si="175"/>
        <v>2003 q1</v>
      </c>
    </row>
    <row r="10931" spans="1:3">
      <c r="A10931" s="62">
        <v>37666</v>
      </c>
      <c r="B10931">
        <v>0.75549999999999995</v>
      </c>
      <c r="C10931" t="str">
        <f t="shared" si="175"/>
        <v>2003 q1</v>
      </c>
    </row>
    <row r="10932" spans="1:3">
      <c r="A10932" s="62">
        <v>37670</v>
      </c>
      <c r="B10932">
        <v>0.74</v>
      </c>
      <c r="C10932" t="str">
        <f t="shared" si="175"/>
        <v>2003 q1</v>
      </c>
    </row>
    <row r="10933" spans="1:3">
      <c r="A10933" s="62">
        <v>37671</v>
      </c>
      <c r="B10933">
        <v>0.746</v>
      </c>
      <c r="C10933" t="str">
        <f t="shared" si="175"/>
        <v>2003 q1</v>
      </c>
    </row>
    <row r="10934" spans="1:3">
      <c r="A10934" s="62">
        <v>37672</v>
      </c>
      <c r="B10934">
        <v>0.752</v>
      </c>
      <c r="C10934" t="str">
        <f t="shared" si="175"/>
        <v>2003 q1</v>
      </c>
    </row>
    <row r="10935" spans="1:3">
      <c r="A10935" s="62">
        <v>37673</v>
      </c>
      <c r="B10935">
        <v>0.77749999999999997</v>
      </c>
      <c r="C10935" t="str">
        <f t="shared" si="175"/>
        <v>2003 q1</v>
      </c>
    </row>
    <row r="10936" spans="1:3">
      <c r="A10936" s="62">
        <v>37676</v>
      </c>
      <c r="B10936">
        <v>0.78649999999999998</v>
      </c>
      <c r="C10936" t="str">
        <f t="shared" si="175"/>
        <v>2003 q1</v>
      </c>
    </row>
    <row r="10937" spans="1:3">
      <c r="A10937" s="62">
        <v>37677</v>
      </c>
      <c r="B10937">
        <v>0.78069999999999995</v>
      </c>
      <c r="C10937" t="str">
        <f t="shared" si="175"/>
        <v>2003 q1</v>
      </c>
    </row>
    <row r="10938" spans="1:3">
      <c r="A10938" s="62">
        <v>37678</v>
      </c>
      <c r="B10938">
        <v>0.7984</v>
      </c>
      <c r="C10938" t="str">
        <f t="shared" si="175"/>
        <v>2003 q1</v>
      </c>
    </row>
    <row r="10939" spans="1:3">
      <c r="A10939" s="62">
        <v>37679</v>
      </c>
      <c r="B10939">
        <v>0.79159999999999997</v>
      </c>
      <c r="C10939" t="str">
        <f t="shared" si="175"/>
        <v>2003 q1</v>
      </c>
    </row>
    <row r="10940" spans="1:3">
      <c r="A10940" s="62">
        <v>37680</v>
      </c>
      <c r="B10940">
        <v>0.77980000000000005</v>
      </c>
      <c r="C10940" t="str">
        <f t="shared" si="175"/>
        <v>2003 q1</v>
      </c>
    </row>
    <row r="10941" spans="1:3">
      <c r="A10941" s="62">
        <v>37683</v>
      </c>
      <c r="B10941">
        <v>0.79249999999999998</v>
      </c>
      <c r="C10941" t="str">
        <f t="shared" si="175"/>
        <v>2003 q1</v>
      </c>
    </row>
    <row r="10942" spans="1:3">
      <c r="A10942" s="62">
        <v>37684</v>
      </c>
      <c r="B10942">
        <v>0.78100000000000003</v>
      </c>
      <c r="C10942" t="str">
        <f t="shared" si="175"/>
        <v>2003 q1</v>
      </c>
    </row>
    <row r="10943" spans="1:3">
      <c r="A10943" s="62">
        <v>37685</v>
      </c>
      <c r="B10943">
        <v>0.76449999999999996</v>
      </c>
      <c r="C10943" t="str">
        <f t="shared" si="175"/>
        <v>2003 q1</v>
      </c>
    </row>
    <row r="10944" spans="1:3">
      <c r="A10944" s="62">
        <v>37686</v>
      </c>
      <c r="B10944">
        <v>0.755</v>
      </c>
      <c r="C10944" t="str">
        <f t="shared" si="175"/>
        <v>2003 q1</v>
      </c>
    </row>
    <row r="10945" spans="1:3">
      <c r="A10945" s="62">
        <v>37687</v>
      </c>
      <c r="B10945">
        <v>0.76949999999999996</v>
      </c>
      <c r="C10945" t="str">
        <f t="shared" si="175"/>
        <v>2003 q1</v>
      </c>
    </row>
    <row r="10946" spans="1:3">
      <c r="A10946" s="62">
        <v>37690</v>
      </c>
      <c r="B10946">
        <v>0.75600000000000001</v>
      </c>
      <c r="C10946" t="str">
        <f t="shared" si="175"/>
        <v>2003 q1</v>
      </c>
    </row>
    <row r="10947" spans="1:3">
      <c r="A10947" s="62">
        <v>37691</v>
      </c>
      <c r="B10947">
        <v>0.76549999999999996</v>
      </c>
      <c r="C10947" t="str">
        <f t="shared" si="175"/>
        <v>2003 q1</v>
      </c>
    </row>
    <row r="10948" spans="1:3">
      <c r="A10948" s="62">
        <v>37692</v>
      </c>
      <c r="B10948">
        <v>0.75700000000000001</v>
      </c>
      <c r="C10948" t="str">
        <f t="shared" si="175"/>
        <v>2003 q1</v>
      </c>
    </row>
    <row r="10949" spans="1:3">
      <c r="A10949" s="62">
        <v>37693</v>
      </c>
      <c r="B10949">
        <v>0.752</v>
      </c>
      <c r="C10949" t="str">
        <f t="shared" si="175"/>
        <v>2003 q1</v>
      </c>
    </row>
    <row r="10950" spans="1:3">
      <c r="A10950" s="62">
        <v>37694</v>
      </c>
      <c r="B10950">
        <v>0.75449999999999995</v>
      </c>
      <c r="C10950" t="str">
        <f t="shared" si="175"/>
        <v>2003 q1</v>
      </c>
    </row>
    <row r="10951" spans="1:3">
      <c r="A10951" s="62">
        <v>37697</v>
      </c>
      <c r="B10951">
        <v>0.77149999999999996</v>
      </c>
      <c r="C10951" t="str">
        <f t="shared" si="175"/>
        <v>2003 q1</v>
      </c>
    </row>
    <row r="10952" spans="1:3">
      <c r="A10952" s="62">
        <v>37698</v>
      </c>
      <c r="B10952">
        <v>0.76449999999999996</v>
      </c>
      <c r="C10952" t="str">
        <f t="shared" si="175"/>
        <v>2003 q1</v>
      </c>
    </row>
    <row r="10953" spans="1:3">
      <c r="A10953" s="62">
        <v>37699</v>
      </c>
      <c r="B10953">
        <v>0.77749999999999997</v>
      </c>
      <c r="C10953" t="str">
        <f t="shared" si="175"/>
        <v>2003 q1</v>
      </c>
    </row>
    <row r="10954" spans="1:3">
      <c r="A10954" s="62">
        <v>37700</v>
      </c>
      <c r="B10954">
        <v>0.76800000000000002</v>
      </c>
      <c r="C10954" t="str">
        <f t="shared" si="175"/>
        <v>2003 q1</v>
      </c>
    </row>
    <row r="10955" spans="1:3">
      <c r="A10955" s="62">
        <v>37701</v>
      </c>
      <c r="B10955">
        <v>0.77900000000000003</v>
      </c>
      <c r="C10955" t="str">
        <f t="shared" si="175"/>
        <v>2003 q1</v>
      </c>
    </row>
    <row r="10956" spans="1:3">
      <c r="A10956" s="62">
        <v>37704</v>
      </c>
      <c r="B10956">
        <v>0.76849999999999996</v>
      </c>
      <c r="C10956" t="str">
        <f t="shared" si="175"/>
        <v>2003 q1</v>
      </c>
    </row>
    <row r="10957" spans="1:3">
      <c r="A10957" s="62">
        <v>37705</v>
      </c>
      <c r="B10957">
        <v>0.77100000000000002</v>
      </c>
      <c r="C10957" t="str">
        <f t="shared" si="175"/>
        <v>2003 q1</v>
      </c>
    </row>
    <row r="10958" spans="1:3">
      <c r="A10958" s="62">
        <v>37706</v>
      </c>
      <c r="B10958">
        <v>0.75249999999999995</v>
      </c>
      <c r="C10958" t="str">
        <f t="shared" si="175"/>
        <v>2003 q1</v>
      </c>
    </row>
    <row r="10959" spans="1:3">
      <c r="A10959" s="62">
        <v>37707</v>
      </c>
      <c r="B10959">
        <v>0.73150000000000004</v>
      </c>
      <c r="C10959" t="str">
        <f t="shared" si="175"/>
        <v>2003 q1</v>
      </c>
    </row>
    <row r="10960" spans="1:3">
      <c r="A10960" s="62">
        <v>37708</v>
      </c>
      <c r="B10960">
        <v>0.72799999999999998</v>
      </c>
      <c r="C10960" t="str">
        <f t="shared" si="175"/>
        <v>2003 q1</v>
      </c>
    </row>
    <row r="10961" spans="1:3">
      <c r="A10961" s="62">
        <v>37711</v>
      </c>
      <c r="B10961">
        <v>0.71450000000000002</v>
      </c>
      <c r="C10961" t="str">
        <f t="shared" si="175"/>
        <v>2003 q1</v>
      </c>
    </row>
    <row r="10962" spans="1:3">
      <c r="A10962" s="62">
        <v>37712</v>
      </c>
      <c r="B10962">
        <v>0.72450000000000003</v>
      </c>
      <c r="C10962" t="str">
        <f t="shared" ref="C10962:C11025" si="176">YEAR(A10962)&amp;" q"&amp;ROUNDUP(MONTH(A10962)/3,0)</f>
        <v>2003 q2</v>
      </c>
    </row>
    <row r="10963" spans="1:3">
      <c r="A10963" s="62">
        <v>37713</v>
      </c>
      <c r="B10963">
        <v>0.71850000000000003</v>
      </c>
      <c r="C10963" t="str">
        <f t="shared" si="176"/>
        <v>2003 q2</v>
      </c>
    </row>
    <row r="10964" spans="1:3">
      <c r="A10964" s="62">
        <v>37714</v>
      </c>
      <c r="B10964">
        <v>0.71099999999999997</v>
      </c>
      <c r="C10964" t="str">
        <f t="shared" si="176"/>
        <v>2003 q2</v>
      </c>
    </row>
    <row r="10965" spans="1:3">
      <c r="A10965" s="62">
        <v>37715</v>
      </c>
      <c r="B10965">
        <v>0.71799999999999997</v>
      </c>
      <c r="C10965" t="str">
        <f t="shared" si="176"/>
        <v>2003 q2</v>
      </c>
    </row>
    <row r="10966" spans="1:3">
      <c r="A10966" s="62">
        <v>37718</v>
      </c>
      <c r="B10966">
        <v>0.72850000000000004</v>
      </c>
      <c r="C10966" t="str">
        <f t="shared" si="176"/>
        <v>2003 q2</v>
      </c>
    </row>
    <row r="10967" spans="1:3">
      <c r="A10967" s="62">
        <v>37719</v>
      </c>
      <c r="B10967">
        <v>0.72250000000000003</v>
      </c>
      <c r="C10967" t="str">
        <f t="shared" si="176"/>
        <v>2003 q2</v>
      </c>
    </row>
    <row r="10968" spans="1:3">
      <c r="A10968" s="62">
        <v>37720</v>
      </c>
      <c r="B10968">
        <v>0.71899999999999997</v>
      </c>
      <c r="C10968" t="str">
        <f t="shared" si="176"/>
        <v>2003 q2</v>
      </c>
    </row>
    <row r="10969" spans="1:3">
      <c r="A10969" s="62">
        <v>37721</v>
      </c>
      <c r="B10969">
        <v>0.71450000000000002</v>
      </c>
      <c r="C10969" t="str">
        <f t="shared" si="176"/>
        <v>2003 q2</v>
      </c>
    </row>
    <row r="10970" spans="1:3">
      <c r="A10970" s="62">
        <v>37722</v>
      </c>
      <c r="B10970">
        <v>0.72550000000000003</v>
      </c>
      <c r="C10970" t="str">
        <f t="shared" si="176"/>
        <v>2003 q2</v>
      </c>
    </row>
    <row r="10971" spans="1:3">
      <c r="A10971" s="62">
        <v>37725</v>
      </c>
      <c r="B10971">
        <v>0.72450000000000003</v>
      </c>
      <c r="C10971" t="str">
        <f t="shared" si="176"/>
        <v>2003 q2</v>
      </c>
    </row>
    <row r="10972" spans="1:3">
      <c r="A10972" s="62">
        <v>37726</v>
      </c>
      <c r="B10972">
        <v>0.73399999999999999</v>
      </c>
      <c r="C10972" t="str">
        <f t="shared" si="176"/>
        <v>2003 q2</v>
      </c>
    </row>
    <row r="10973" spans="1:3">
      <c r="A10973" s="62">
        <v>37727</v>
      </c>
      <c r="B10973">
        <v>0.73399999999999999</v>
      </c>
      <c r="C10973" t="str">
        <f t="shared" si="176"/>
        <v>2003 q2</v>
      </c>
    </row>
    <row r="10974" spans="1:3">
      <c r="A10974" s="62">
        <v>37728</v>
      </c>
      <c r="B10974">
        <v>0.73750000000000004</v>
      </c>
      <c r="C10974" t="str">
        <f t="shared" si="176"/>
        <v>2003 q2</v>
      </c>
    </row>
    <row r="10975" spans="1:3">
      <c r="A10975" s="62">
        <v>37732</v>
      </c>
      <c r="B10975">
        <v>0.72899999999999998</v>
      </c>
      <c r="C10975" t="str">
        <f t="shared" si="176"/>
        <v>2003 q2</v>
      </c>
    </row>
    <row r="10976" spans="1:3">
      <c r="A10976" s="62">
        <v>37733</v>
      </c>
      <c r="B10976">
        <v>0.72150000000000003</v>
      </c>
      <c r="C10976" t="str">
        <f t="shared" si="176"/>
        <v>2003 q2</v>
      </c>
    </row>
    <row r="10977" spans="1:3">
      <c r="A10977" s="62">
        <v>37734</v>
      </c>
      <c r="B10977">
        <v>0.72350000000000003</v>
      </c>
      <c r="C10977" t="str">
        <f t="shared" si="176"/>
        <v>2003 q2</v>
      </c>
    </row>
    <row r="10978" spans="1:3">
      <c r="A10978" s="62">
        <v>37735</v>
      </c>
      <c r="B10978">
        <v>0.71550000000000002</v>
      </c>
      <c r="C10978" t="str">
        <f t="shared" si="176"/>
        <v>2003 q2</v>
      </c>
    </row>
    <row r="10979" spans="1:3">
      <c r="A10979" s="62">
        <v>37736</v>
      </c>
      <c r="B10979">
        <v>0.71619999999999995</v>
      </c>
      <c r="C10979" t="str">
        <f t="shared" si="176"/>
        <v>2003 q2</v>
      </c>
    </row>
    <row r="10980" spans="1:3">
      <c r="A10980" s="62">
        <v>37739</v>
      </c>
      <c r="B10980">
        <v>0.71599999999999997</v>
      </c>
      <c r="C10980" t="str">
        <f t="shared" si="176"/>
        <v>2003 q2</v>
      </c>
    </row>
    <row r="10981" spans="1:3">
      <c r="A10981" s="62">
        <v>37740</v>
      </c>
      <c r="B10981">
        <v>0.7268</v>
      </c>
      <c r="C10981" t="str">
        <f t="shared" si="176"/>
        <v>2003 q2</v>
      </c>
    </row>
    <row r="10982" spans="1:3">
      <c r="A10982" s="62">
        <v>37741</v>
      </c>
      <c r="B10982">
        <v>0.7298</v>
      </c>
      <c r="C10982" t="str">
        <f t="shared" si="176"/>
        <v>2003 q2</v>
      </c>
    </row>
    <row r="10983" spans="1:3">
      <c r="A10983" s="62">
        <v>37742</v>
      </c>
      <c r="B10983">
        <v>0.72950000000000004</v>
      </c>
      <c r="C10983" t="str">
        <f t="shared" si="176"/>
        <v>2003 q2</v>
      </c>
    </row>
    <row r="10984" spans="1:3">
      <c r="A10984" s="62">
        <v>37743</v>
      </c>
      <c r="B10984">
        <v>0.71899999999999997</v>
      </c>
      <c r="C10984" t="str">
        <f t="shared" si="176"/>
        <v>2003 q2</v>
      </c>
    </row>
    <row r="10985" spans="1:3">
      <c r="A10985" s="62">
        <v>37746</v>
      </c>
      <c r="B10985">
        <v>0.71799999999999997</v>
      </c>
      <c r="C10985" t="str">
        <f t="shared" si="176"/>
        <v>2003 q2</v>
      </c>
    </row>
    <row r="10986" spans="1:3">
      <c r="A10986" s="62">
        <v>37747</v>
      </c>
      <c r="B10986">
        <v>0.72399999999999998</v>
      </c>
      <c r="C10986" t="str">
        <f t="shared" si="176"/>
        <v>2003 q2</v>
      </c>
    </row>
    <row r="10987" spans="1:3">
      <c r="A10987" s="62">
        <v>37748</v>
      </c>
      <c r="B10987">
        <v>0.73499999999999999</v>
      </c>
      <c r="C10987" t="str">
        <f t="shared" si="176"/>
        <v>2003 q2</v>
      </c>
    </row>
    <row r="10988" spans="1:3">
      <c r="A10988" s="62">
        <v>37749</v>
      </c>
      <c r="B10988">
        <v>0.74099999999999999</v>
      </c>
      <c r="C10988" t="str">
        <f t="shared" si="176"/>
        <v>2003 q2</v>
      </c>
    </row>
    <row r="10989" spans="1:3">
      <c r="A10989" s="62">
        <v>37750</v>
      </c>
      <c r="B10989">
        <v>0.73850000000000005</v>
      </c>
      <c r="C10989" t="str">
        <f t="shared" si="176"/>
        <v>2003 q2</v>
      </c>
    </row>
    <row r="10990" spans="1:3">
      <c r="A10990" s="62">
        <v>37753</v>
      </c>
      <c r="B10990">
        <v>0.752</v>
      </c>
      <c r="C10990" t="str">
        <f t="shared" si="176"/>
        <v>2003 q2</v>
      </c>
    </row>
    <row r="10991" spans="1:3">
      <c r="A10991" s="62">
        <v>37754</v>
      </c>
      <c r="B10991">
        <v>0.76449999999999996</v>
      </c>
      <c r="C10991" t="str">
        <f t="shared" si="176"/>
        <v>2003 q2</v>
      </c>
    </row>
    <row r="10992" spans="1:3">
      <c r="A10992" s="62">
        <v>37755</v>
      </c>
      <c r="B10992">
        <v>0.76100000000000001</v>
      </c>
      <c r="C10992" t="str">
        <f t="shared" si="176"/>
        <v>2003 q2</v>
      </c>
    </row>
    <row r="10993" spans="1:3">
      <c r="A10993" s="62">
        <v>37756</v>
      </c>
      <c r="B10993">
        <v>0.76100000000000001</v>
      </c>
      <c r="C10993" t="str">
        <f t="shared" si="176"/>
        <v>2003 q2</v>
      </c>
    </row>
    <row r="10994" spans="1:3">
      <c r="A10994" s="62">
        <v>37757</v>
      </c>
      <c r="B10994">
        <v>0.76149999999999995</v>
      </c>
      <c r="C10994" t="str">
        <f t="shared" si="176"/>
        <v>2003 q2</v>
      </c>
    </row>
    <row r="10995" spans="1:3">
      <c r="A10995" s="62">
        <v>37760</v>
      </c>
      <c r="B10995">
        <v>0.76349999999999996</v>
      </c>
      <c r="C10995" t="str">
        <f t="shared" si="176"/>
        <v>2003 q2</v>
      </c>
    </row>
    <row r="10996" spans="1:3">
      <c r="A10996" s="62">
        <v>37761</v>
      </c>
      <c r="B10996">
        <v>0.76349999999999996</v>
      </c>
      <c r="C10996" t="str">
        <f t="shared" si="176"/>
        <v>2003 q2</v>
      </c>
    </row>
    <row r="10997" spans="1:3">
      <c r="A10997" s="62">
        <v>37762</v>
      </c>
      <c r="B10997">
        <v>0.77100000000000002</v>
      </c>
      <c r="C10997" t="str">
        <f t="shared" si="176"/>
        <v>2003 q2</v>
      </c>
    </row>
    <row r="10998" spans="1:3">
      <c r="A10998" s="62">
        <v>37763</v>
      </c>
      <c r="B10998">
        <v>0.76800000000000002</v>
      </c>
      <c r="C10998" t="str">
        <f t="shared" si="176"/>
        <v>2003 q2</v>
      </c>
    </row>
    <row r="10999" spans="1:3">
      <c r="A10999" s="62">
        <v>37764</v>
      </c>
      <c r="B10999">
        <v>0.76700000000000002</v>
      </c>
      <c r="C10999" t="str">
        <f t="shared" si="176"/>
        <v>2003 q2</v>
      </c>
    </row>
    <row r="11000" spans="1:3">
      <c r="A11000" s="62">
        <v>37768</v>
      </c>
      <c r="B11000">
        <v>0.77800000000000002</v>
      </c>
      <c r="C11000" t="str">
        <f t="shared" si="176"/>
        <v>2003 q2</v>
      </c>
    </row>
    <row r="11001" spans="1:3">
      <c r="A11001" s="62">
        <v>37769</v>
      </c>
      <c r="B11001">
        <v>0.77</v>
      </c>
      <c r="C11001" t="str">
        <f t="shared" si="176"/>
        <v>2003 q2</v>
      </c>
    </row>
    <row r="11002" spans="1:3">
      <c r="A11002" s="62">
        <v>37770</v>
      </c>
      <c r="B11002">
        <v>0.77249999999999996</v>
      </c>
      <c r="C11002" t="str">
        <f t="shared" si="176"/>
        <v>2003 q2</v>
      </c>
    </row>
    <row r="11003" spans="1:3">
      <c r="A11003" s="62">
        <v>37771</v>
      </c>
      <c r="B11003">
        <v>0.78249999999999997</v>
      </c>
      <c r="C11003" t="str">
        <f t="shared" si="176"/>
        <v>2003 q2</v>
      </c>
    </row>
    <row r="11004" spans="1:3">
      <c r="A11004" s="62">
        <v>37774</v>
      </c>
      <c r="B11004">
        <v>0.79</v>
      </c>
      <c r="C11004" t="str">
        <f t="shared" si="176"/>
        <v>2003 q2</v>
      </c>
    </row>
    <row r="11005" spans="1:3">
      <c r="A11005" s="62">
        <v>37775</v>
      </c>
      <c r="B11005">
        <v>0.78400000000000003</v>
      </c>
      <c r="C11005" t="str">
        <f t="shared" si="176"/>
        <v>2003 q2</v>
      </c>
    </row>
    <row r="11006" spans="1:3">
      <c r="A11006" s="62">
        <v>37776</v>
      </c>
      <c r="B11006">
        <v>0.78049999999999997</v>
      </c>
      <c r="C11006" t="str">
        <f t="shared" si="176"/>
        <v>2003 q2</v>
      </c>
    </row>
    <row r="11007" spans="1:3">
      <c r="A11007" s="62">
        <v>37777</v>
      </c>
      <c r="B11007">
        <v>0.78249999999999997</v>
      </c>
      <c r="C11007" t="str">
        <f t="shared" si="176"/>
        <v>2003 q2</v>
      </c>
    </row>
    <row r="11008" spans="1:3">
      <c r="A11008" s="62">
        <v>37778</v>
      </c>
      <c r="B11008">
        <v>0.78300000000000003</v>
      </c>
      <c r="C11008" t="str">
        <f t="shared" si="176"/>
        <v>2003 q2</v>
      </c>
    </row>
    <row r="11009" spans="1:3">
      <c r="A11009" s="62">
        <v>37781</v>
      </c>
      <c r="B11009">
        <v>0.77</v>
      </c>
      <c r="C11009" t="str">
        <f t="shared" si="176"/>
        <v>2003 q2</v>
      </c>
    </row>
    <row r="11010" spans="1:3">
      <c r="A11010" s="62">
        <v>37782</v>
      </c>
      <c r="B11010">
        <v>0.76700000000000002</v>
      </c>
      <c r="C11010" t="str">
        <f t="shared" si="176"/>
        <v>2003 q2</v>
      </c>
    </row>
    <row r="11011" spans="1:3">
      <c r="A11011" s="62">
        <v>37783</v>
      </c>
      <c r="B11011">
        <v>0.76749999999999996</v>
      </c>
      <c r="C11011" t="str">
        <f t="shared" si="176"/>
        <v>2003 q2</v>
      </c>
    </row>
    <row r="11012" spans="1:3">
      <c r="A11012" s="62">
        <v>37784</v>
      </c>
      <c r="B11012">
        <v>0.77400000000000002</v>
      </c>
      <c r="C11012" t="str">
        <f t="shared" si="176"/>
        <v>2003 q2</v>
      </c>
    </row>
    <row r="11013" spans="1:3">
      <c r="A11013" s="62">
        <v>37785</v>
      </c>
      <c r="B11013">
        <v>0.76100000000000001</v>
      </c>
      <c r="C11013" t="str">
        <f t="shared" si="176"/>
        <v>2003 q2</v>
      </c>
    </row>
    <row r="11014" spans="1:3">
      <c r="A11014" s="62">
        <v>37788</v>
      </c>
      <c r="B11014">
        <v>0.76100000000000001</v>
      </c>
      <c r="C11014" t="str">
        <f t="shared" si="176"/>
        <v>2003 q2</v>
      </c>
    </row>
    <row r="11015" spans="1:3">
      <c r="A11015" s="62">
        <v>37789</v>
      </c>
      <c r="B11015">
        <v>0.78100000000000003</v>
      </c>
      <c r="C11015" t="str">
        <f t="shared" si="176"/>
        <v>2003 q2</v>
      </c>
    </row>
    <row r="11016" spans="1:3">
      <c r="A11016" s="62">
        <v>37790</v>
      </c>
      <c r="B11016">
        <v>0.77800000000000002</v>
      </c>
      <c r="C11016" t="str">
        <f t="shared" si="176"/>
        <v>2003 q2</v>
      </c>
    </row>
    <row r="11017" spans="1:3">
      <c r="A11017" s="62">
        <v>37791</v>
      </c>
      <c r="B11017">
        <v>0.78149999999999997</v>
      </c>
      <c r="C11017" t="str">
        <f t="shared" si="176"/>
        <v>2003 q2</v>
      </c>
    </row>
    <row r="11018" spans="1:3">
      <c r="A11018" s="62">
        <v>37792</v>
      </c>
      <c r="B11018">
        <v>0.77400000000000002</v>
      </c>
      <c r="C11018" t="str">
        <f t="shared" si="176"/>
        <v>2003 q2</v>
      </c>
    </row>
    <row r="11019" spans="1:3">
      <c r="A11019" s="62">
        <v>37795</v>
      </c>
      <c r="B11019">
        <v>0.76700000000000002</v>
      </c>
      <c r="C11019" t="str">
        <f t="shared" si="176"/>
        <v>2003 q2</v>
      </c>
    </row>
    <row r="11020" spans="1:3">
      <c r="A11020" s="62">
        <v>37796</v>
      </c>
      <c r="B11020">
        <v>0.76800000000000002</v>
      </c>
      <c r="C11020" t="str">
        <f t="shared" si="176"/>
        <v>2003 q2</v>
      </c>
    </row>
    <row r="11021" spans="1:3">
      <c r="A11021" s="62">
        <v>37797</v>
      </c>
      <c r="B11021">
        <v>0.75960000000000005</v>
      </c>
      <c r="C11021" t="str">
        <f t="shared" si="176"/>
        <v>2003 q2</v>
      </c>
    </row>
    <row r="11022" spans="1:3">
      <c r="A11022" s="62">
        <v>37798</v>
      </c>
      <c r="B11022">
        <v>0.75370000000000004</v>
      </c>
      <c r="C11022" t="str">
        <f t="shared" si="176"/>
        <v>2003 q2</v>
      </c>
    </row>
    <row r="11023" spans="1:3">
      <c r="A11023" s="62">
        <v>37799</v>
      </c>
      <c r="B11023">
        <v>0.75980000000000003</v>
      </c>
      <c r="C11023" t="str">
        <f t="shared" si="176"/>
        <v>2003 q2</v>
      </c>
    </row>
    <row r="11024" spans="1:3">
      <c r="A11024" s="62">
        <v>37802</v>
      </c>
      <c r="B11024">
        <v>0.752</v>
      </c>
      <c r="C11024" t="str">
        <f t="shared" si="176"/>
        <v>2003 q2</v>
      </c>
    </row>
    <row r="11025" spans="1:3">
      <c r="A11025" s="62">
        <v>37803</v>
      </c>
      <c r="B11025">
        <v>0.751</v>
      </c>
      <c r="C11025" t="str">
        <f t="shared" si="176"/>
        <v>2003 q3</v>
      </c>
    </row>
    <row r="11026" spans="1:3">
      <c r="A11026" s="62">
        <v>37804</v>
      </c>
      <c r="B11026">
        <v>0.76149999999999995</v>
      </c>
      <c r="C11026" t="str">
        <f t="shared" ref="C11026:C11089" si="177">YEAR(A11026)&amp;" q"&amp;ROUNDUP(MONTH(A11026)/3,0)</f>
        <v>2003 q3</v>
      </c>
    </row>
    <row r="11027" spans="1:3">
      <c r="A11027" s="62">
        <v>37805</v>
      </c>
      <c r="B11027">
        <v>0.751</v>
      </c>
      <c r="C11027" t="str">
        <f t="shared" si="177"/>
        <v>2003 q3</v>
      </c>
    </row>
    <row r="11028" spans="1:3">
      <c r="A11028" s="62">
        <v>37809</v>
      </c>
      <c r="B11028">
        <v>0.77100000000000002</v>
      </c>
      <c r="C11028" t="str">
        <f t="shared" si="177"/>
        <v>2003 q3</v>
      </c>
    </row>
    <row r="11029" spans="1:3">
      <c r="A11029" s="62">
        <v>37810</v>
      </c>
      <c r="B11029">
        <v>0.76849999999999996</v>
      </c>
      <c r="C11029" t="str">
        <f t="shared" si="177"/>
        <v>2003 q3</v>
      </c>
    </row>
    <row r="11030" spans="1:3">
      <c r="A11030" s="62">
        <v>37811</v>
      </c>
      <c r="B11030">
        <v>0.78100000000000003</v>
      </c>
      <c r="C11030" t="str">
        <f t="shared" si="177"/>
        <v>2003 q3</v>
      </c>
    </row>
    <row r="11031" spans="1:3">
      <c r="A11031" s="62">
        <v>37812</v>
      </c>
      <c r="B11031">
        <v>0.78149999999999997</v>
      </c>
      <c r="C11031" t="str">
        <f t="shared" si="177"/>
        <v>2003 q3</v>
      </c>
    </row>
    <row r="11032" spans="1:3">
      <c r="A11032" s="62">
        <v>37813</v>
      </c>
      <c r="B11032">
        <v>0.78</v>
      </c>
      <c r="C11032" t="str">
        <f t="shared" si="177"/>
        <v>2003 q3</v>
      </c>
    </row>
    <row r="11033" spans="1:3">
      <c r="A11033" s="62">
        <v>37816</v>
      </c>
      <c r="B11033">
        <v>0.79800000000000004</v>
      </c>
      <c r="C11033" t="str">
        <f t="shared" si="177"/>
        <v>2003 q3</v>
      </c>
    </row>
    <row r="11034" spans="1:3">
      <c r="A11034" s="62">
        <v>37817</v>
      </c>
      <c r="B11034">
        <v>0.79400000000000004</v>
      </c>
      <c r="C11034" t="str">
        <f t="shared" si="177"/>
        <v>2003 q3</v>
      </c>
    </row>
    <row r="11035" spans="1:3">
      <c r="A11035" s="62">
        <v>37818</v>
      </c>
      <c r="B11035">
        <v>0.79300000000000004</v>
      </c>
      <c r="C11035" t="str">
        <f t="shared" si="177"/>
        <v>2003 q3</v>
      </c>
    </row>
    <row r="11036" spans="1:3">
      <c r="A11036" s="62">
        <v>37819</v>
      </c>
      <c r="B11036">
        <v>0.78200000000000003</v>
      </c>
      <c r="C11036" t="str">
        <f t="shared" si="177"/>
        <v>2003 q3</v>
      </c>
    </row>
    <row r="11037" spans="1:3">
      <c r="A11037" s="62">
        <v>37820</v>
      </c>
      <c r="B11037">
        <v>0.78700000000000003</v>
      </c>
      <c r="C11037" t="str">
        <f t="shared" si="177"/>
        <v>2003 q3</v>
      </c>
    </row>
    <row r="11038" spans="1:3">
      <c r="A11038" s="62">
        <v>37823</v>
      </c>
      <c r="B11038">
        <v>0.77649999999999997</v>
      </c>
      <c r="C11038" t="str">
        <f t="shared" si="177"/>
        <v>2003 q3</v>
      </c>
    </row>
    <row r="11039" spans="1:3">
      <c r="A11039" s="62">
        <v>37824</v>
      </c>
      <c r="B11039">
        <v>0.77249999999999996</v>
      </c>
      <c r="C11039" t="str">
        <f t="shared" si="177"/>
        <v>2003 q3</v>
      </c>
    </row>
    <row r="11040" spans="1:3">
      <c r="A11040" s="62">
        <v>37825</v>
      </c>
      <c r="B11040">
        <v>0.77900000000000003</v>
      </c>
      <c r="C11040" t="str">
        <f t="shared" si="177"/>
        <v>2003 q3</v>
      </c>
    </row>
    <row r="11041" spans="1:3">
      <c r="A11041" s="62">
        <v>37826</v>
      </c>
      <c r="B11041">
        <v>0.79349999999999998</v>
      </c>
      <c r="C11041" t="str">
        <f t="shared" si="177"/>
        <v>2003 q3</v>
      </c>
    </row>
    <row r="11042" spans="1:3">
      <c r="A11042" s="62">
        <v>37827</v>
      </c>
      <c r="B11042">
        <v>0.79800000000000004</v>
      </c>
      <c r="C11042" t="str">
        <f t="shared" si="177"/>
        <v>2003 q3</v>
      </c>
    </row>
    <row r="11043" spans="1:3">
      <c r="A11043" s="62">
        <v>37830</v>
      </c>
      <c r="B11043">
        <v>0.8075</v>
      </c>
      <c r="C11043" t="str">
        <f t="shared" si="177"/>
        <v>2003 q3</v>
      </c>
    </row>
    <row r="11044" spans="1:3">
      <c r="A11044" s="62">
        <v>37831</v>
      </c>
      <c r="B11044">
        <v>0.80600000000000005</v>
      </c>
      <c r="C11044" t="str">
        <f t="shared" si="177"/>
        <v>2003 q3</v>
      </c>
    </row>
    <row r="11045" spans="1:3">
      <c r="A11045" s="62">
        <v>37832</v>
      </c>
      <c r="B11045">
        <v>0.80200000000000005</v>
      </c>
      <c r="C11045" t="str">
        <f t="shared" si="177"/>
        <v>2003 q3</v>
      </c>
    </row>
    <row r="11046" spans="1:3">
      <c r="A11046" s="62">
        <v>37833</v>
      </c>
      <c r="B11046">
        <v>0.82050000000000001</v>
      </c>
      <c r="C11046" t="str">
        <f t="shared" si="177"/>
        <v>2003 q3</v>
      </c>
    </row>
    <row r="11047" spans="1:3">
      <c r="A11047" s="62">
        <v>37834</v>
      </c>
      <c r="B11047">
        <v>0.81850000000000001</v>
      </c>
      <c r="C11047" t="str">
        <f t="shared" si="177"/>
        <v>2003 q3</v>
      </c>
    </row>
    <row r="11048" spans="1:3">
      <c r="A11048" s="62">
        <v>37837</v>
      </c>
      <c r="B11048">
        <v>0.8095</v>
      </c>
      <c r="C11048" t="str">
        <f t="shared" si="177"/>
        <v>2003 q3</v>
      </c>
    </row>
    <row r="11049" spans="1:3">
      <c r="A11049" s="62">
        <v>37838</v>
      </c>
      <c r="B11049">
        <v>0.8085</v>
      </c>
      <c r="C11049" t="str">
        <f t="shared" si="177"/>
        <v>2003 q3</v>
      </c>
    </row>
    <row r="11050" spans="1:3">
      <c r="A11050" s="62">
        <v>37839</v>
      </c>
      <c r="B11050">
        <v>0.80449999999999999</v>
      </c>
      <c r="C11050" t="str">
        <f t="shared" si="177"/>
        <v>2003 q3</v>
      </c>
    </row>
    <row r="11051" spans="1:3">
      <c r="A11051" s="62">
        <v>37840</v>
      </c>
      <c r="B11051">
        <v>0.81499999999999995</v>
      </c>
      <c r="C11051" t="str">
        <f t="shared" si="177"/>
        <v>2003 q3</v>
      </c>
    </row>
    <row r="11052" spans="1:3">
      <c r="A11052" s="62">
        <v>37841</v>
      </c>
      <c r="B11052">
        <v>0.80149999999999999</v>
      </c>
      <c r="C11052" t="str">
        <f t="shared" si="177"/>
        <v>2003 q3</v>
      </c>
    </row>
    <row r="11053" spans="1:3">
      <c r="A11053" s="62">
        <v>37844</v>
      </c>
      <c r="B11053">
        <v>0.80649999999999999</v>
      </c>
      <c r="C11053" t="str">
        <f t="shared" si="177"/>
        <v>2003 q3</v>
      </c>
    </row>
    <row r="11054" spans="1:3">
      <c r="A11054" s="62">
        <v>37845</v>
      </c>
      <c r="B11054">
        <v>0.78900000000000003</v>
      </c>
      <c r="C11054" t="str">
        <f t="shared" si="177"/>
        <v>2003 q3</v>
      </c>
    </row>
    <row r="11055" spans="1:3">
      <c r="A11055" s="62">
        <v>37846</v>
      </c>
      <c r="B11055">
        <v>0.79200000000000004</v>
      </c>
      <c r="C11055" t="str">
        <f t="shared" si="177"/>
        <v>2003 q3</v>
      </c>
    </row>
    <row r="11056" spans="1:3">
      <c r="A11056" s="62">
        <v>37847</v>
      </c>
      <c r="B11056">
        <v>0.79849999999999999</v>
      </c>
      <c r="C11056" t="str">
        <f t="shared" si="177"/>
        <v>2003 q3</v>
      </c>
    </row>
    <row r="11057" spans="1:3">
      <c r="A11057" s="62">
        <v>37848</v>
      </c>
      <c r="B11057">
        <v>0.79149999999999998</v>
      </c>
      <c r="C11057" t="str">
        <f t="shared" si="177"/>
        <v>2003 q3</v>
      </c>
    </row>
    <row r="11058" spans="1:3">
      <c r="A11058" s="62">
        <v>37851</v>
      </c>
      <c r="B11058">
        <v>0.79600000000000004</v>
      </c>
      <c r="C11058" t="str">
        <f t="shared" si="177"/>
        <v>2003 q3</v>
      </c>
    </row>
    <row r="11059" spans="1:3">
      <c r="A11059" s="62">
        <v>37852</v>
      </c>
      <c r="B11059">
        <v>0.80249999999999999</v>
      </c>
      <c r="C11059" t="str">
        <f t="shared" si="177"/>
        <v>2003 q3</v>
      </c>
    </row>
    <row r="11060" spans="1:3">
      <c r="A11060" s="62">
        <v>37853</v>
      </c>
      <c r="B11060">
        <v>0.80500000000000005</v>
      </c>
      <c r="C11060" t="str">
        <f t="shared" si="177"/>
        <v>2003 q3</v>
      </c>
    </row>
    <row r="11061" spans="1:3">
      <c r="A11061" s="62">
        <v>37854</v>
      </c>
      <c r="B11061">
        <v>0.80249999999999999</v>
      </c>
      <c r="C11061" t="str">
        <f t="shared" si="177"/>
        <v>2003 q3</v>
      </c>
    </row>
    <row r="11062" spans="1:3">
      <c r="A11062" s="62">
        <v>37855</v>
      </c>
      <c r="B11062">
        <v>0.80300000000000005</v>
      </c>
      <c r="C11062" t="str">
        <f t="shared" si="177"/>
        <v>2003 q3</v>
      </c>
    </row>
    <row r="11063" spans="1:3">
      <c r="A11063" s="62">
        <v>37858</v>
      </c>
      <c r="B11063">
        <v>0.80449999999999999</v>
      </c>
      <c r="C11063" t="str">
        <f t="shared" si="177"/>
        <v>2003 q3</v>
      </c>
    </row>
    <row r="11064" spans="1:3">
      <c r="A11064" s="62">
        <v>37859</v>
      </c>
      <c r="B11064">
        <v>0.79569999999999996</v>
      </c>
      <c r="C11064" t="str">
        <f t="shared" si="177"/>
        <v>2003 q3</v>
      </c>
    </row>
    <row r="11065" spans="1:3">
      <c r="A11065" s="62">
        <v>37860</v>
      </c>
      <c r="B11065">
        <v>0.79549999999999998</v>
      </c>
      <c r="C11065" t="str">
        <f t="shared" si="177"/>
        <v>2003 q3</v>
      </c>
    </row>
    <row r="11066" spans="1:3">
      <c r="A11066" s="62">
        <v>37861</v>
      </c>
      <c r="B11066">
        <v>0.79210000000000003</v>
      </c>
      <c r="C11066" t="str">
        <f t="shared" si="177"/>
        <v>2003 q3</v>
      </c>
    </row>
    <row r="11067" spans="1:3">
      <c r="A11067" s="62">
        <v>37862</v>
      </c>
      <c r="B11067">
        <v>0.80900000000000005</v>
      </c>
      <c r="C11067" t="str">
        <f t="shared" si="177"/>
        <v>2003 q3</v>
      </c>
    </row>
    <row r="11068" spans="1:3">
      <c r="A11068" s="62">
        <v>37866</v>
      </c>
      <c r="B11068">
        <v>0.8175</v>
      </c>
      <c r="C11068" t="str">
        <f t="shared" si="177"/>
        <v>2003 q3</v>
      </c>
    </row>
    <row r="11069" spans="1:3">
      <c r="A11069" s="62">
        <v>37867</v>
      </c>
      <c r="B11069">
        <v>0.83199999999999996</v>
      </c>
      <c r="C11069" t="str">
        <f t="shared" si="177"/>
        <v>2003 q3</v>
      </c>
    </row>
    <row r="11070" spans="1:3">
      <c r="A11070" s="62">
        <v>37868</v>
      </c>
      <c r="B11070">
        <v>0.82050000000000001</v>
      </c>
      <c r="C11070" t="str">
        <f t="shared" si="177"/>
        <v>2003 q3</v>
      </c>
    </row>
    <row r="11071" spans="1:3">
      <c r="A11071" s="62">
        <v>37869</v>
      </c>
      <c r="B11071">
        <v>0.83350000000000002</v>
      </c>
      <c r="C11071" t="str">
        <f t="shared" si="177"/>
        <v>2003 q3</v>
      </c>
    </row>
    <row r="11072" spans="1:3">
      <c r="A11072" s="62">
        <v>37872</v>
      </c>
      <c r="B11072">
        <v>0.83050000000000002</v>
      </c>
      <c r="C11072" t="str">
        <f t="shared" si="177"/>
        <v>2003 q3</v>
      </c>
    </row>
    <row r="11073" spans="1:3">
      <c r="A11073" s="62">
        <v>37873</v>
      </c>
      <c r="B11073">
        <v>0.82</v>
      </c>
      <c r="C11073" t="str">
        <f t="shared" si="177"/>
        <v>2003 q3</v>
      </c>
    </row>
    <row r="11074" spans="1:3">
      <c r="A11074" s="62">
        <v>37874</v>
      </c>
      <c r="B11074">
        <v>0.81</v>
      </c>
      <c r="C11074" t="str">
        <f t="shared" si="177"/>
        <v>2003 q3</v>
      </c>
    </row>
    <row r="11075" spans="1:3">
      <c r="A11075" s="62">
        <v>37875</v>
      </c>
      <c r="B11075">
        <v>0.82850000000000001</v>
      </c>
      <c r="C11075" t="str">
        <f t="shared" si="177"/>
        <v>2003 q3</v>
      </c>
    </row>
    <row r="11076" spans="1:3">
      <c r="A11076" s="62">
        <v>37876</v>
      </c>
      <c r="B11076">
        <v>0.81599999999999995</v>
      </c>
      <c r="C11076" t="str">
        <f t="shared" si="177"/>
        <v>2003 q3</v>
      </c>
    </row>
    <row r="11077" spans="1:3">
      <c r="A11077" s="62">
        <v>37879</v>
      </c>
      <c r="B11077">
        <v>0.82199999999999995</v>
      </c>
      <c r="C11077" t="str">
        <f t="shared" si="177"/>
        <v>2003 q3</v>
      </c>
    </row>
    <row r="11078" spans="1:3">
      <c r="A11078" s="62">
        <v>37880</v>
      </c>
      <c r="B11078">
        <v>0.81699999999999995</v>
      </c>
      <c r="C11078" t="str">
        <f t="shared" si="177"/>
        <v>2003 q3</v>
      </c>
    </row>
    <row r="11079" spans="1:3">
      <c r="A11079" s="62">
        <v>37881</v>
      </c>
      <c r="B11079">
        <v>0.82550000000000001</v>
      </c>
      <c r="C11079" t="str">
        <f t="shared" si="177"/>
        <v>2003 q3</v>
      </c>
    </row>
    <row r="11080" spans="1:3">
      <c r="A11080" s="62">
        <v>37882</v>
      </c>
      <c r="B11080">
        <v>0.82899999999999996</v>
      </c>
      <c r="C11080" t="str">
        <f t="shared" si="177"/>
        <v>2003 q3</v>
      </c>
    </row>
    <row r="11081" spans="1:3">
      <c r="A11081" s="62">
        <v>37883</v>
      </c>
      <c r="B11081">
        <v>0.83099999999999996</v>
      </c>
      <c r="C11081" t="str">
        <f t="shared" si="177"/>
        <v>2003 q3</v>
      </c>
    </row>
    <row r="11082" spans="1:3">
      <c r="A11082" s="62">
        <v>37886</v>
      </c>
      <c r="B11082">
        <v>0.83150000000000002</v>
      </c>
      <c r="C11082" t="str">
        <f t="shared" si="177"/>
        <v>2003 q3</v>
      </c>
    </row>
    <row r="11083" spans="1:3">
      <c r="A11083" s="62">
        <v>37887</v>
      </c>
      <c r="B11083">
        <v>0.82599999999999996</v>
      </c>
      <c r="C11083" t="str">
        <f t="shared" si="177"/>
        <v>2003 q3</v>
      </c>
    </row>
    <row r="11084" spans="1:3">
      <c r="A11084" s="62">
        <v>37888</v>
      </c>
      <c r="B11084">
        <v>0.82950000000000002</v>
      </c>
      <c r="C11084" t="str">
        <f t="shared" si="177"/>
        <v>2003 q3</v>
      </c>
    </row>
    <row r="11085" spans="1:3">
      <c r="A11085" s="62">
        <v>37889</v>
      </c>
      <c r="B11085">
        <v>0.83250000000000002</v>
      </c>
      <c r="C11085" t="str">
        <f t="shared" si="177"/>
        <v>2003 q3</v>
      </c>
    </row>
    <row r="11086" spans="1:3">
      <c r="A11086" s="62">
        <v>37890</v>
      </c>
      <c r="B11086">
        <v>0.82150000000000001</v>
      </c>
      <c r="C11086" t="str">
        <f t="shared" si="177"/>
        <v>2003 q3</v>
      </c>
    </row>
    <row r="11087" spans="1:3">
      <c r="A11087" s="62">
        <v>37893</v>
      </c>
      <c r="B11087">
        <v>0.82399999999999995</v>
      </c>
      <c r="C11087" t="str">
        <f t="shared" si="177"/>
        <v>2003 q3</v>
      </c>
    </row>
    <row r="11088" spans="1:3">
      <c r="A11088" s="62">
        <v>37894</v>
      </c>
      <c r="B11088">
        <v>0.81850000000000001</v>
      </c>
      <c r="C11088" t="str">
        <f t="shared" si="177"/>
        <v>2003 q3</v>
      </c>
    </row>
    <row r="11089" spans="1:3">
      <c r="A11089" s="62">
        <v>37895</v>
      </c>
      <c r="B11089">
        <v>0.82299999999999995</v>
      </c>
      <c r="C11089" t="str">
        <f t="shared" si="177"/>
        <v>2003 q4</v>
      </c>
    </row>
    <row r="11090" spans="1:3">
      <c r="A11090" s="62">
        <v>37896</v>
      </c>
      <c r="B11090">
        <v>0.83350000000000002</v>
      </c>
      <c r="C11090" t="str">
        <f t="shared" ref="C11090:C11153" si="178">YEAR(A11090)&amp;" q"&amp;ROUNDUP(MONTH(A11090)/3,0)</f>
        <v>2003 q4</v>
      </c>
    </row>
    <row r="11091" spans="1:3">
      <c r="A11091" s="62">
        <v>37897</v>
      </c>
      <c r="B11091">
        <v>0.83699999999999997</v>
      </c>
      <c r="C11091" t="str">
        <f t="shared" si="178"/>
        <v>2003 q4</v>
      </c>
    </row>
    <row r="11092" spans="1:3">
      <c r="A11092" s="62">
        <v>37900</v>
      </c>
      <c r="B11092">
        <v>0.83750000000000002</v>
      </c>
      <c r="C11092" t="str">
        <f t="shared" si="178"/>
        <v>2003 q4</v>
      </c>
    </row>
    <row r="11093" spans="1:3">
      <c r="A11093" s="62">
        <v>37901</v>
      </c>
      <c r="B11093">
        <v>0.84699999999999998</v>
      </c>
      <c r="C11093" t="str">
        <f t="shared" si="178"/>
        <v>2003 q4</v>
      </c>
    </row>
    <row r="11094" spans="1:3">
      <c r="A11094" s="62">
        <v>37902</v>
      </c>
      <c r="B11094">
        <v>0.85450000000000004</v>
      </c>
      <c r="C11094" t="str">
        <f t="shared" si="178"/>
        <v>2003 q4</v>
      </c>
    </row>
    <row r="11095" spans="1:3">
      <c r="A11095" s="62">
        <v>37903</v>
      </c>
      <c r="B11095">
        <v>0.85350000000000004</v>
      </c>
      <c r="C11095" t="str">
        <f t="shared" si="178"/>
        <v>2003 q4</v>
      </c>
    </row>
    <row r="11096" spans="1:3">
      <c r="A11096" s="62">
        <v>37904</v>
      </c>
      <c r="B11096">
        <v>0.86350000000000005</v>
      </c>
      <c r="C11096" t="str">
        <f t="shared" si="178"/>
        <v>2003 q4</v>
      </c>
    </row>
    <row r="11097" spans="1:3">
      <c r="A11097" s="62">
        <v>37907</v>
      </c>
      <c r="B11097">
        <v>0.88749999999999996</v>
      </c>
      <c r="C11097" t="str">
        <f t="shared" si="178"/>
        <v>2003 q4</v>
      </c>
    </row>
    <row r="11098" spans="1:3">
      <c r="A11098" s="62">
        <v>37908</v>
      </c>
      <c r="B11098">
        <v>0.874</v>
      </c>
      <c r="C11098" t="str">
        <f t="shared" si="178"/>
        <v>2003 q4</v>
      </c>
    </row>
    <row r="11099" spans="1:3">
      <c r="A11099" s="62">
        <v>37909</v>
      </c>
      <c r="B11099">
        <v>0.89800000000000002</v>
      </c>
      <c r="C11099" t="str">
        <f t="shared" si="178"/>
        <v>2003 q4</v>
      </c>
    </row>
    <row r="11100" spans="1:3">
      <c r="A11100" s="62">
        <v>37910</v>
      </c>
      <c r="B11100">
        <v>0.89400000000000002</v>
      </c>
      <c r="C11100" t="str">
        <f t="shared" si="178"/>
        <v>2003 q4</v>
      </c>
    </row>
    <row r="11101" spans="1:3">
      <c r="A11101" s="62">
        <v>37911</v>
      </c>
      <c r="B11101">
        <v>0.89449999999999996</v>
      </c>
      <c r="C11101" t="str">
        <f t="shared" si="178"/>
        <v>2003 q4</v>
      </c>
    </row>
    <row r="11102" spans="1:3">
      <c r="A11102" s="62">
        <v>37914</v>
      </c>
      <c r="B11102">
        <v>0.91149999999999998</v>
      </c>
      <c r="C11102" t="str">
        <f t="shared" si="178"/>
        <v>2003 q4</v>
      </c>
    </row>
    <row r="11103" spans="1:3">
      <c r="A11103" s="62">
        <v>37915</v>
      </c>
      <c r="B11103">
        <v>0.90600000000000003</v>
      </c>
      <c r="C11103" t="str">
        <f t="shared" si="178"/>
        <v>2003 q4</v>
      </c>
    </row>
    <row r="11104" spans="1:3">
      <c r="A11104" s="62">
        <v>37916</v>
      </c>
      <c r="B11104">
        <v>0.91349999999999998</v>
      </c>
      <c r="C11104" t="str">
        <f t="shared" si="178"/>
        <v>2003 q4</v>
      </c>
    </row>
    <row r="11105" spans="1:3">
      <c r="A11105" s="62">
        <v>37917</v>
      </c>
      <c r="B11105">
        <v>0.90649999999999997</v>
      </c>
      <c r="C11105" t="str">
        <f t="shared" si="178"/>
        <v>2003 q4</v>
      </c>
    </row>
    <row r="11106" spans="1:3">
      <c r="A11106" s="62">
        <v>37918</v>
      </c>
      <c r="B11106">
        <v>0.89300000000000002</v>
      </c>
      <c r="C11106" t="str">
        <f t="shared" si="178"/>
        <v>2003 q4</v>
      </c>
    </row>
    <row r="11107" spans="1:3">
      <c r="A11107" s="62">
        <v>37921</v>
      </c>
      <c r="B11107">
        <v>0.90749999999999997</v>
      </c>
      <c r="C11107" t="str">
        <f t="shared" si="178"/>
        <v>2003 q4</v>
      </c>
    </row>
    <row r="11108" spans="1:3">
      <c r="A11108" s="62">
        <v>37922</v>
      </c>
      <c r="B11108">
        <v>0.90400000000000003</v>
      </c>
      <c r="C11108" t="str">
        <f t="shared" si="178"/>
        <v>2003 q4</v>
      </c>
    </row>
    <row r="11109" spans="1:3">
      <c r="A11109" s="62">
        <v>37923</v>
      </c>
      <c r="B11109">
        <v>0.91900000000000004</v>
      </c>
      <c r="C11109" t="str">
        <f t="shared" si="178"/>
        <v>2003 q4</v>
      </c>
    </row>
    <row r="11110" spans="1:3">
      <c r="A11110" s="62">
        <v>37924</v>
      </c>
      <c r="B11110">
        <v>0.9335</v>
      </c>
      <c r="C11110" t="str">
        <f t="shared" si="178"/>
        <v>2003 q4</v>
      </c>
    </row>
    <row r="11111" spans="1:3">
      <c r="A11111" s="62">
        <v>37925</v>
      </c>
      <c r="B11111">
        <v>0.9385</v>
      </c>
      <c r="C11111" t="str">
        <f t="shared" si="178"/>
        <v>2003 q4</v>
      </c>
    </row>
    <row r="11112" spans="1:3">
      <c r="A11112" s="62">
        <v>37928</v>
      </c>
      <c r="B11112">
        <v>0.93300000000000005</v>
      </c>
      <c r="C11112" t="str">
        <f t="shared" si="178"/>
        <v>2003 q4</v>
      </c>
    </row>
    <row r="11113" spans="1:3">
      <c r="A11113" s="62">
        <v>37929</v>
      </c>
      <c r="B11113">
        <v>0.95750000000000002</v>
      </c>
      <c r="C11113" t="str">
        <f t="shared" si="178"/>
        <v>2003 q4</v>
      </c>
    </row>
    <row r="11114" spans="1:3">
      <c r="A11114" s="62">
        <v>37930</v>
      </c>
      <c r="B11114">
        <v>0.95650000000000002</v>
      </c>
      <c r="C11114" t="str">
        <f t="shared" si="178"/>
        <v>2003 q4</v>
      </c>
    </row>
    <row r="11115" spans="1:3">
      <c r="A11115" s="62">
        <v>37931</v>
      </c>
      <c r="B11115">
        <v>0.94</v>
      </c>
      <c r="C11115" t="str">
        <f t="shared" si="178"/>
        <v>2003 q4</v>
      </c>
    </row>
    <row r="11116" spans="1:3">
      <c r="A11116" s="62">
        <v>37932</v>
      </c>
      <c r="B11116">
        <v>0.94450000000000001</v>
      </c>
      <c r="C11116" t="str">
        <f t="shared" si="178"/>
        <v>2003 q4</v>
      </c>
    </row>
    <row r="11117" spans="1:3">
      <c r="A11117" s="62">
        <v>37935</v>
      </c>
      <c r="B11117">
        <v>0.92800000000000005</v>
      </c>
      <c r="C11117" t="str">
        <f t="shared" si="178"/>
        <v>2003 q4</v>
      </c>
    </row>
    <row r="11118" spans="1:3">
      <c r="A11118" s="62">
        <v>37936</v>
      </c>
      <c r="B11118">
        <v>0.94450000000000001</v>
      </c>
      <c r="C11118" t="str">
        <f t="shared" si="178"/>
        <v>2003 q4</v>
      </c>
    </row>
    <row r="11119" spans="1:3">
      <c r="A11119" s="62">
        <v>37937</v>
      </c>
      <c r="B11119">
        <v>0.94850000000000001</v>
      </c>
      <c r="C11119" t="str">
        <f t="shared" si="178"/>
        <v>2003 q4</v>
      </c>
    </row>
    <row r="11120" spans="1:3">
      <c r="A11120" s="62">
        <v>37938</v>
      </c>
      <c r="B11120">
        <v>0.9425</v>
      </c>
      <c r="C11120" t="str">
        <f t="shared" si="178"/>
        <v>2003 q4</v>
      </c>
    </row>
    <row r="11121" spans="1:3">
      <c r="A11121" s="62">
        <v>37939</v>
      </c>
      <c r="B11121">
        <v>0.95150000000000001</v>
      </c>
      <c r="C11121" t="str">
        <f t="shared" si="178"/>
        <v>2003 q4</v>
      </c>
    </row>
    <row r="11122" spans="1:3">
      <c r="A11122" s="62">
        <v>37942</v>
      </c>
      <c r="B11122">
        <v>0.91800000000000004</v>
      </c>
      <c r="C11122" t="str">
        <f t="shared" si="178"/>
        <v>2003 q4</v>
      </c>
    </row>
    <row r="11123" spans="1:3">
      <c r="A11123" s="62">
        <v>37943</v>
      </c>
      <c r="B11123">
        <v>0.93200000000000005</v>
      </c>
      <c r="C11123" t="str">
        <f t="shared" si="178"/>
        <v>2003 q4</v>
      </c>
    </row>
    <row r="11124" spans="1:3">
      <c r="A11124" s="62">
        <v>37944</v>
      </c>
      <c r="B11124">
        <v>0.91749999999999998</v>
      </c>
      <c r="C11124" t="str">
        <f t="shared" si="178"/>
        <v>2003 q4</v>
      </c>
    </row>
    <row r="11125" spans="1:3">
      <c r="A11125" s="62">
        <v>37945</v>
      </c>
      <c r="B11125">
        <v>0.88349999999999995</v>
      </c>
      <c r="C11125" t="str">
        <f t="shared" si="178"/>
        <v>2003 q4</v>
      </c>
    </row>
    <row r="11126" spans="1:3">
      <c r="A11126" s="62">
        <v>37946</v>
      </c>
      <c r="B11126">
        <v>0.89500000000000002</v>
      </c>
      <c r="C11126" t="str">
        <f t="shared" si="178"/>
        <v>2003 q4</v>
      </c>
    </row>
    <row r="11127" spans="1:3">
      <c r="A11127" s="62">
        <v>37949</v>
      </c>
      <c r="B11127">
        <v>0.90569999999999995</v>
      </c>
      <c r="C11127" t="str">
        <f t="shared" si="178"/>
        <v>2003 q4</v>
      </c>
    </row>
    <row r="11128" spans="1:3">
      <c r="A11128" s="62">
        <v>37950</v>
      </c>
      <c r="B11128">
        <v>0.88880000000000003</v>
      </c>
      <c r="C11128" t="str">
        <f t="shared" si="178"/>
        <v>2003 q4</v>
      </c>
    </row>
    <row r="11129" spans="1:3">
      <c r="A11129" s="62">
        <v>37951</v>
      </c>
      <c r="B11129">
        <v>0.90900000000000003</v>
      </c>
      <c r="C11129" t="str">
        <f t="shared" si="178"/>
        <v>2003 q4</v>
      </c>
    </row>
    <row r="11130" spans="1:3">
      <c r="A11130" s="62">
        <v>37956</v>
      </c>
      <c r="B11130">
        <v>0.95750000000000002</v>
      </c>
      <c r="C11130" t="str">
        <f t="shared" si="178"/>
        <v>2003 q4</v>
      </c>
    </row>
    <row r="11131" spans="1:3">
      <c r="A11131" s="62">
        <v>37957</v>
      </c>
      <c r="B11131">
        <v>0.97099999999999997</v>
      </c>
      <c r="C11131" t="str">
        <f t="shared" si="178"/>
        <v>2003 q4</v>
      </c>
    </row>
    <row r="11132" spans="1:3">
      <c r="A11132" s="62">
        <v>37958</v>
      </c>
      <c r="B11132">
        <v>0.97750000000000004</v>
      </c>
      <c r="C11132" t="str">
        <f t="shared" si="178"/>
        <v>2003 q4</v>
      </c>
    </row>
    <row r="11133" spans="1:3">
      <c r="A11133" s="62">
        <v>37959</v>
      </c>
      <c r="B11133">
        <v>0.96350000000000002</v>
      </c>
      <c r="C11133" t="str">
        <f t="shared" si="178"/>
        <v>2003 q4</v>
      </c>
    </row>
    <row r="11134" spans="1:3">
      <c r="A11134" s="62">
        <v>37960</v>
      </c>
      <c r="B11134">
        <v>0.96899999999999997</v>
      </c>
      <c r="C11134" t="str">
        <f t="shared" si="178"/>
        <v>2003 q4</v>
      </c>
    </row>
    <row r="11135" spans="1:3">
      <c r="A11135" s="62">
        <v>37963</v>
      </c>
      <c r="B11135">
        <v>0.96650000000000003</v>
      </c>
      <c r="C11135" t="str">
        <f t="shared" si="178"/>
        <v>2003 q4</v>
      </c>
    </row>
    <row r="11136" spans="1:3">
      <c r="A11136" s="62">
        <v>37964</v>
      </c>
      <c r="B11136">
        <v>0.97799999999999998</v>
      </c>
      <c r="C11136" t="str">
        <f t="shared" si="178"/>
        <v>2003 q4</v>
      </c>
    </row>
    <row r="11137" spans="1:3">
      <c r="A11137" s="62">
        <v>37965</v>
      </c>
      <c r="B11137">
        <v>0.97850000000000004</v>
      </c>
      <c r="C11137" t="str">
        <f t="shared" si="178"/>
        <v>2003 q4</v>
      </c>
    </row>
    <row r="11138" spans="1:3">
      <c r="A11138" s="62">
        <v>37966</v>
      </c>
      <c r="B11138">
        <v>0.97699999999999998</v>
      </c>
      <c r="C11138" t="str">
        <f t="shared" si="178"/>
        <v>2003 q4</v>
      </c>
    </row>
    <row r="11139" spans="1:3">
      <c r="A11139" s="62">
        <v>37967</v>
      </c>
      <c r="B11139">
        <v>0.98699999999999999</v>
      </c>
      <c r="C11139" t="str">
        <f t="shared" si="178"/>
        <v>2003 q4</v>
      </c>
    </row>
    <row r="11140" spans="1:3">
      <c r="A11140" s="62">
        <v>37970</v>
      </c>
      <c r="B11140">
        <v>0.99399999999999999</v>
      </c>
      <c r="C11140" t="str">
        <f t="shared" si="178"/>
        <v>2003 q4</v>
      </c>
    </row>
    <row r="11141" spans="1:3">
      <c r="A11141" s="62">
        <v>37971</v>
      </c>
      <c r="B11141">
        <v>1.004</v>
      </c>
      <c r="C11141" t="str">
        <f t="shared" si="178"/>
        <v>2003 q4</v>
      </c>
    </row>
    <row r="11142" spans="1:3">
      <c r="A11142" s="62">
        <v>37972</v>
      </c>
      <c r="B11142">
        <v>0.99650000000000005</v>
      </c>
      <c r="C11142" t="str">
        <f t="shared" si="178"/>
        <v>2003 q4</v>
      </c>
    </row>
    <row r="11143" spans="1:3">
      <c r="A11143" s="62">
        <v>37973</v>
      </c>
      <c r="B11143">
        <v>1.0149999999999999</v>
      </c>
      <c r="C11143" t="str">
        <f t="shared" si="178"/>
        <v>2003 q4</v>
      </c>
    </row>
    <row r="11144" spans="1:3">
      <c r="A11144" s="62">
        <v>37974</v>
      </c>
      <c r="B11144">
        <v>1.024</v>
      </c>
      <c r="C11144" t="str">
        <f t="shared" si="178"/>
        <v>2003 q4</v>
      </c>
    </row>
    <row r="11145" spans="1:3">
      <c r="A11145" s="62">
        <v>37977</v>
      </c>
      <c r="B11145">
        <v>1.0055000000000001</v>
      </c>
      <c r="C11145" t="str">
        <f t="shared" si="178"/>
        <v>2003 q4</v>
      </c>
    </row>
    <row r="11146" spans="1:3">
      <c r="A11146" s="62">
        <v>37978</v>
      </c>
      <c r="B11146">
        <v>1.0169999999999999</v>
      </c>
      <c r="C11146" t="str">
        <f t="shared" si="178"/>
        <v>2003 q4</v>
      </c>
    </row>
    <row r="11147" spans="1:3">
      <c r="A11147" s="62">
        <v>37979</v>
      </c>
      <c r="B11147">
        <v>1.0214000000000001</v>
      </c>
      <c r="C11147" t="str">
        <f t="shared" si="178"/>
        <v>2003 q4</v>
      </c>
    </row>
    <row r="11148" spans="1:3">
      <c r="A11148" s="62">
        <v>37984</v>
      </c>
      <c r="B11148">
        <v>1.0426</v>
      </c>
      <c r="C11148" t="str">
        <f t="shared" si="178"/>
        <v>2003 q4</v>
      </c>
    </row>
    <row r="11149" spans="1:3">
      <c r="A11149" s="62">
        <v>37985</v>
      </c>
      <c r="B11149">
        <v>1.0418000000000001</v>
      </c>
      <c r="C11149" t="str">
        <f t="shared" si="178"/>
        <v>2003 q4</v>
      </c>
    </row>
    <row r="11150" spans="1:3">
      <c r="A11150" s="62">
        <v>37986</v>
      </c>
      <c r="B11150">
        <v>1.0449999999999999</v>
      </c>
      <c r="C11150" t="str">
        <f t="shared" si="178"/>
        <v>2003 q4</v>
      </c>
    </row>
    <row r="11151" spans="1:3">
      <c r="A11151" s="62">
        <v>37991</v>
      </c>
      <c r="B11151">
        <v>1.087</v>
      </c>
      <c r="C11151" t="str">
        <f t="shared" si="178"/>
        <v>2004 q1</v>
      </c>
    </row>
    <row r="11152" spans="1:3">
      <c r="A11152" s="62">
        <v>37992</v>
      </c>
      <c r="B11152">
        <v>1.0705</v>
      </c>
      <c r="C11152" t="str">
        <f t="shared" si="178"/>
        <v>2004 q1</v>
      </c>
    </row>
    <row r="11153" spans="1:3">
      <c r="A11153" s="62">
        <v>37993</v>
      </c>
      <c r="B11153">
        <v>1.0665</v>
      </c>
      <c r="C11153" t="str">
        <f t="shared" si="178"/>
        <v>2004 q1</v>
      </c>
    </row>
    <row r="11154" spans="1:3">
      <c r="A11154" s="62">
        <v>37994</v>
      </c>
      <c r="B11154">
        <v>1.1085</v>
      </c>
      <c r="C11154" t="str">
        <f t="shared" ref="C11154:C11217" si="179">YEAR(A11154)&amp;" q"&amp;ROUNDUP(MONTH(A11154)/3,0)</f>
        <v>2004 q1</v>
      </c>
    </row>
    <row r="11155" spans="1:3">
      <c r="A11155" s="62">
        <v>37995</v>
      </c>
      <c r="B11155">
        <v>1.1034999999999999</v>
      </c>
      <c r="C11155" t="str">
        <f t="shared" si="179"/>
        <v>2004 q1</v>
      </c>
    </row>
    <row r="11156" spans="1:3">
      <c r="A11156" s="62">
        <v>37998</v>
      </c>
      <c r="B11156">
        <v>1.0825</v>
      </c>
      <c r="C11156" t="str">
        <f t="shared" si="179"/>
        <v>2004 q1</v>
      </c>
    </row>
    <row r="11157" spans="1:3">
      <c r="A11157" s="62">
        <v>37999</v>
      </c>
      <c r="B11157">
        <v>1.0854999999999999</v>
      </c>
      <c r="C11157" t="str">
        <f t="shared" si="179"/>
        <v>2004 q1</v>
      </c>
    </row>
    <row r="11158" spans="1:3">
      <c r="A11158" s="62">
        <v>38000</v>
      </c>
      <c r="B11158">
        <v>1.0940000000000001</v>
      </c>
      <c r="C11158" t="str">
        <f t="shared" si="179"/>
        <v>2004 q1</v>
      </c>
    </row>
    <row r="11159" spans="1:3">
      <c r="A11159" s="62">
        <v>38001</v>
      </c>
      <c r="B11159">
        <v>1.0840000000000001</v>
      </c>
      <c r="C11159" t="str">
        <f t="shared" si="179"/>
        <v>2004 q1</v>
      </c>
    </row>
    <row r="11160" spans="1:3">
      <c r="A11160" s="62">
        <v>38002</v>
      </c>
      <c r="B11160">
        <v>1.0940000000000001</v>
      </c>
      <c r="C11160" t="str">
        <f t="shared" si="179"/>
        <v>2004 q1</v>
      </c>
    </row>
    <row r="11161" spans="1:3">
      <c r="A11161" s="62">
        <v>38006</v>
      </c>
      <c r="B11161">
        <v>1.1174999999999999</v>
      </c>
      <c r="C11161" t="str">
        <f t="shared" si="179"/>
        <v>2004 q1</v>
      </c>
    </row>
    <row r="11162" spans="1:3">
      <c r="A11162" s="62">
        <v>38007</v>
      </c>
      <c r="B11162">
        <v>1.1174999999999999</v>
      </c>
      <c r="C11162" t="str">
        <f t="shared" si="179"/>
        <v>2004 q1</v>
      </c>
    </row>
    <row r="11163" spans="1:3">
      <c r="A11163" s="62">
        <v>38008</v>
      </c>
      <c r="B11163">
        <v>1.1200000000000001</v>
      </c>
      <c r="C11163" t="str">
        <f t="shared" si="179"/>
        <v>2004 q1</v>
      </c>
    </row>
    <row r="11164" spans="1:3">
      <c r="A11164" s="62">
        <v>38009</v>
      </c>
      <c r="B11164">
        <v>1.1245000000000001</v>
      </c>
      <c r="C11164" t="str">
        <f t="shared" si="179"/>
        <v>2004 q1</v>
      </c>
    </row>
    <row r="11165" spans="1:3">
      <c r="A11165" s="62">
        <v>38012</v>
      </c>
      <c r="B11165">
        <v>1.1165</v>
      </c>
      <c r="C11165" t="str">
        <f t="shared" si="179"/>
        <v>2004 q1</v>
      </c>
    </row>
    <row r="11166" spans="1:3">
      <c r="A11166" s="62">
        <v>38013</v>
      </c>
      <c r="B11166">
        <v>1.1140000000000001</v>
      </c>
      <c r="C11166" t="str">
        <f t="shared" si="179"/>
        <v>2004 q1</v>
      </c>
    </row>
    <row r="11167" spans="1:3">
      <c r="A11167" s="62">
        <v>38014</v>
      </c>
      <c r="B11167">
        <v>1.1325000000000001</v>
      </c>
      <c r="C11167" t="str">
        <f t="shared" si="179"/>
        <v>2004 q1</v>
      </c>
    </row>
    <row r="11168" spans="1:3">
      <c r="A11168" s="62">
        <v>38015</v>
      </c>
      <c r="B11168">
        <v>1.1220000000000001</v>
      </c>
      <c r="C11168" t="str">
        <f t="shared" si="179"/>
        <v>2004 q1</v>
      </c>
    </row>
    <row r="11169" spans="1:3">
      <c r="A11169" s="62">
        <v>38016</v>
      </c>
      <c r="B11169">
        <v>1.1455</v>
      </c>
      <c r="C11169" t="str">
        <f t="shared" si="179"/>
        <v>2004 q1</v>
      </c>
    </row>
    <row r="11170" spans="1:3">
      <c r="A11170" s="62">
        <v>38019</v>
      </c>
      <c r="B11170">
        <v>1.1439999999999999</v>
      </c>
      <c r="C11170" t="str">
        <f t="shared" si="179"/>
        <v>2004 q1</v>
      </c>
    </row>
    <row r="11171" spans="1:3">
      <c r="A11171" s="62">
        <v>38020</v>
      </c>
      <c r="B11171">
        <v>1.1685000000000001</v>
      </c>
      <c r="C11171" t="str">
        <f t="shared" si="179"/>
        <v>2004 q1</v>
      </c>
    </row>
    <row r="11172" spans="1:3">
      <c r="A11172" s="62">
        <v>38021</v>
      </c>
      <c r="B11172">
        <v>1.1745000000000001</v>
      </c>
      <c r="C11172" t="str">
        <f t="shared" si="179"/>
        <v>2004 q1</v>
      </c>
    </row>
    <row r="11173" spans="1:3">
      <c r="A11173" s="62">
        <v>38022</v>
      </c>
      <c r="B11173">
        <v>1.173</v>
      </c>
      <c r="C11173" t="str">
        <f t="shared" si="179"/>
        <v>2004 q1</v>
      </c>
    </row>
    <row r="11174" spans="1:3">
      <c r="A11174" s="62">
        <v>38023</v>
      </c>
      <c r="B11174">
        <v>1.1805000000000001</v>
      </c>
      <c r="C11174" t="str">
        <f t="shared" si="179"/>
        <v>2004 q1</v>
      </c>
    </row>
    <row r="11175" spans="1:3">
      <c r="A11175" s="62">
        <v>38026</v>
      </c>
      <c r="B11175">
        <v>1.1859999999999999</v>
      </c>
      <c r="C11175" t="str">
        <f t="shared" si="179"/>
        <v>2004 q1</v>
      </c>
    </row>
    <row r="11176" spans="1:3">
      <c r="A11176" s="62">
        <v>38027</v>
      </c>
      <c r="B11176">
        <v>1.1779999999999999</v>
      </c>
      <c r="C11176" t="str">
        <f t="shared" si="179"/>
        <v>2004 q1</v>
      </c>
    </row>
    <row r="11177" spans="1:3">
      <c r="A11177" s="62">
        <v>38028</v>
      </c>
      <c r="B11177">
        <v>1.216</v>
      </c>
      <c r="C11177" t="str">
        <f t="shared" si="179"/>
        <v>2004 q1</v>
      </c>
    </row>
    <row r="11178" spans="1:3">
      <c r="A11178" s="62">
        <v>38029</v>
      </c>
      <c r="B11178">
        <v>1.2415</v>
      </c>
      <c r="C11178" t="str">
        <f t="shared" si="179"/>
        <v>2004 q1</v>
      </c>
    </row>
    <row r="11179" spans="1:3">
      <c r="A11179" s="62">
        <v>38030</v>
      </c>
      <c r="B11179">
        <v>1.2435</v>
      </c>
      <c r="C11179" t="str">
        <f t="shared" si="179"/>
        <v>2004 q1</v>
      </c>
    </row>
    <row r="11180" spans="1:3">
      <c r="A11180" s="62">
        <v>38034</v>
      </c>
      <c r="B11180">
        <v>1.3</v>
      </c>
      <c r="C11180" t="str">
        <f t="shared" si="179"/>
        <v>2004 q1</v>
      </c>
    </row>
    <row r="11181" spans="1:3">
      <c r="A11181" s="62">
        <v>38035</v>
      </c>
      <c r="B11181">
        <v>1.3015000000000001</v>
      </c>
      <c r="C11181" t="str">
        <f t="shared" si="179"/>
        <v>2004 q1</v>
      </c>
    </row>
    <row r="11182" spans="1:3">
      <c r="A11182" s="62">
        <v>38036</v>
      </c>
      <c r="B11182">
        <v>1.3294999999999999</v>
      </c>
      <c r="C11182" t="str">
        <f t="shared" si="179"/>
        <v>2004 q1</v>
      </c>
    </row>
    <row r="11183" spans="1:3">
      <c r="A11183" s="62">
        <v>38037</v>
      </c>
      <c r="B11183">
        <v>1.3085</v>
      </c>
      <c r="C11183" t="str">
        <f t="shared" si="179"/>
        <v>2004 q1</v>
      </c>
    </row>
    <row r="11184" spans="1:3">
      <c r="A11184" s="62">
        <v>38040</v>
      </c>
      <c r="B11184">
        <v>1.3134999999999999</v>
      </c>
      <c r="C11184" t="str">
        <f t="shared" si="179"/>
        <v>2004 q1</v>
      </c>
    </row>
    <row r="11185" spans="1:3">
      <c r="A11185" s="62">
        <v>38041</v>
      </c>
      <c r="B11185">
        <v>1.3265</v>
      </c>
      <c r="C11185" t="str">
        <f t="shared" si="179"/>
        <v>2004 q1</v>
      </c>
    </row>
    <row r="11186" spans="1:3">
      <c r="A11186" s="62">
        <v>38042</v>
      </c>
      <c r="B11186">
        <v>1.3101</v>
      </c>
      <c r="C11186" t="str">
        <f t="shared" si="179"/>
        <v>2004 q1</v>
      </c>
    </row>
    <row r="11187" spans="1:3">
      <c r="A11187" s="62">
        <v>38043</v>
      </c>
      <c r="B11187">
        <v>1.3515999999999999</v>
      </c>
      <c r="C11187" t="str">
        <f t="shared" si="179"/>
        <v>2004 q1</v>
      </c>
    </row>
    <row r="11188" spans="1:3">
      <c r="A11188" s="62">
        <v>38044</v>
      </c>
      <c r="B11188">
        <v>1.3453999999999999</v>
      </c>
      <c r="C11188" t="str">
        <f t="shared" si="179"/>
        <v>2004 q1</v>
      </c>
    </row>
    <row r="11189" spans="1:3">
      <c r="A11189" s="62">
        <v>38047</v>
      </c>
      <c r="B11189">
        <v>1.3985000000000001</v>
      </c>
      <c r="C11189" t="str">
        <f t="shared" si="179"/>
        <v>2004 q1</v>
      </c>
    </row>
    <row r="11190" spans="1:3">
      <c r="A11190" s="62">
        <v>38048</v>
      </c>
      <c r="B11190">
        <v>1.3759999999999999</v>
      </c>
      <c r="C11190" t="str">
        <f t="shared" si="179"/>
        <v>2004 q1</v>
      </c>
    </row>
    <row r="11191" spans="1:3">
      <c r="A11191" s="62">
        <v>38049</v>
      </c>
      <c r="B11191">
        <v>1.3065</v>
      </c>
      <c r="C11191" t="str">
        <f t="shared" si="179"/>
        <v>2004 q1</v>
      </c>
    </row>
    <row r="11192" spans="1:3">
      <c r="A11192" s="62">
        <v>38050</v>
      </c>
      <c r="B11192">
        <v>1.3225</v>
      </c>
      <c r="C11192" t="str">
        <f t="shared" si="179"/>
        <v>2004 q1</v>
      </c>
    </row>
    <row r="11193" spans="1:3">
      <c r="A11193" s="62">
        <v>38051</v>
      </c>
      <c r="B11193">
        <v>1.343</v>
      </c>
      <c r="C11193" t="str">
        <f t="shared" si="179"/>
        <v>2004 q1</v>
      </c>
    </row>
    <row r="11194" spans="1:3">
      <c r="A11194" s="62">
        <v>38054</v>
      </c>
      <c r="B11194">
        <v>1.2969999999999999</v>
      </c>
      <c r="C11194" t="str">
        <f t="shared" si="179"/>
        <v>2004 q1</v>
      </c>
    </row>
    <row r="11195" spans="1:3">
      <c r="A11195" s="62">
        <v>38055</v>
      </c>
      <c r="B11195">
        <v>1.272</v>
      </c>
      <c r="C11195" t="str">
        <f t="shared" si="179"/>
        <v>2004 q1</v>
      </c>
    </row>
    <row r="11196" spans="1:3">
      <c r="A11196" s="62">
        <v>38056</v>
      </c>
      <c r="B11196">
        <v>1.2869999999999999</v>
      </c>
      <c r="C11196" t="str">
        <f t="shared" si="179"/>
        <v>2004 q1</v>
      </c>
    </row>
    <row r="11197" spans="1:3">
      <c r="A11197" s="62">
        <v>38057</v>
      </c>
      <c r="B11197">
        <v>1.339</v>
      </c>
      <c r="C11197" t="str">
        <f t="shared" si="179"/>
        <v>2004 q1</v>
      </c>
    </row>
    <row r="11198" spans="1:3">
      <c r="A11198" s="62">
        <v>38058</v>
      </c>
      <c r="B11198">
        <v>1.3134999999999999</v>
      </c>
      <c r="C11198" t="str">
        <f t="shared" si="179"/>
        <v>2004 q1</v>
      </c>
    </row>
    <row r="11199" spans="1:3">
      <c r="A11199" s="62">
        <v>38061</v>
      </c>
      <c r="B11199">
        <v>1.349</v>
      </c>
      <c r="C11199" t="str">
        <f t="shared" si="179"/>
        <v>2004 q1</v>
      </c>
    </row>
    <row r="11200" spans="1:3">
      <c r="A11200" s="62">
        <v>38062</v>
      </c>
      <c r="B11200">
        <v>1.3660000000000001</v>
      </c>
      <c r="C11200" t="str">
        <f t="shared" si="179"/>
        <v>2004 q1</v>
      </c>
    </row>
    <row r="11201" spans="1:3">
      <c r="A11201" s="62">
        <v>38063</v>
      </c>
      <c r="B11201">
        <v>1.3505</v>
      </c>
      <c r="C11201" t="str">
        <f t="shared" si="179"/>
        <v>2004 q1</v>
      </c>
    </row>
    <row r="11202" spans="1:3">
      <c r="A11202" s="62">
        <v>38064</v>
      </c>
      <c r="B11202">
        <v>1.371</v>
      </c>
      <c r="C11202" t="str">
        <f t="shared" si="179"/>
        <v>2004 q1</v>
      </c>
    </row>
    <row r="11203" spans="1:3">
      <c r="A11203" s="62">
        <v>38065</v>
      </c>
      <c r="B11203">
        <v>1.3779999999999999</v>
      </c>
      <c r="C11203" t="str">
        <f t="shared" si="179"/>
        <v>2004 q1</v>
      </c>
    </row>
    <row r="11204" spans="1:3">
      <c r="A11204" s="62">
        <v>38068</v>
      </c>
      <c r="B11204">
        <v>1.353</v>
      </c>
      <c r="C11204" t="str">
        <f t="shared" si="179"/>
        <v>2004 q1</v>
      </c>
    </row>
    <row r="11205" spans="1:3">
      <c r="A11205" s="62">
        <v>38069</v>
      </c>
      <c r="B11205">
        <v>1.359</v>
      </c>
      <c r="C11205" t="str">
        <f t="shared" si="179"/>
        <v>2004 q1</v>
      </c>
    </row>
    <row r="11206" spans="1:3">
      <c r="A11206" s="62">
        <v>38070</v>
      </c>
      <c r="B11206">
        <v>1.3545</v>
      </c>
      <c r="C11206" t="str">
        <f t="shared" si="179"/>
        <v>2004 q1</v>
      </c>
    </row>
    <row r="11207" spans="1:3">
      <c r="A11207" s="62">
        <v>38071</v>
      </c>
      <c r="B11207">
        <v>1.3434999999999999</v>
      </c>
      <c r="C11207" t="str">
        <f t="shared" si="179"/>
        <v>2004 q1</v>
      </c>
    </row>
    <row r="11208" spans="1:3">
      <c r="A11208" s="62">
        <v>38072</v>
      </c>
      <c r="B11208">
        <v>1.3485</v>
      </c>
      <c r="C11208" t="str">
        <f t="shared" si="179"/>
        <v>2004 q1</v>
      </c>
    </row>
    <row r="11209" spans="1:3">
      <c r="A11209" s="62">
        <v>38075</v>
      </c>
      <c r="B11209">
        <v>1.3580000000000001</v>
      </c>
      <c r="C11209" t="str">
        <f t="shared" si="179"/>
        <v>2004 q1</v>
      </c>
    </row>
    <row r="11210" spans="1:3">
      <c r="A11210" s="62">
        <v>38076</v>
      </c>
      <c r="B11210">
        <v>1.3420000000000001</v>
      </c>
      <c r="C11210" t="str">
        <f t="shared" si="179"/>
        <v>2004 q1</v>
      </c>
    </row>
    <row r="11211" spans="1:3">
      <c r="A11211" s="62">
        <v>38077</v>
      </c>
      <c r="B11211">
        <v>1.36</v>
      </c>
      <c r="C11211" t="str">
        <f t="shared" si="179"/>
        <v>2004 q1</v>
      </c>
    </row>
    <row r="11212" spans="1:3">
      <c r="A11212" s="62">
        <v>38078</v>
      </c>
      <c r="B11212">
        <v>1.371</v>
      </c>
      <c r="C11212" t="str">
        <f t="shared" si="179"/>
        <v>2004 q2</v>
      </c>
    </row>
    <row r="11213" spans="1:3">
      <c r="A11213" s="62">
        <v>38079</v>
      </c>
      <c r="B11213">
        <v>1.347</v>
      </c>
      <c r="C11213" t="str">
        <f t="shared" si="179"/>
        <v>2004 q2</v>
      </c>
    </row>
    <row r="11214" spans="1:3">
      <c r="A11214" s="62">
        <v>38082</v>
      </c>
      <c r="B11214">
        <v>1.3095000000000001</v>
      </c>
      <c r="C11214" t="str">
        <f t="shared" si="179"/>
        <v>2004 q2</v>
      </c>
    </row>
    <row r="11215" spans="1:3">
      <c r="A11215" s="62">
        <v>38083</v>
      </c>
      <c r="B11215">
        <v>1.319</v>
      </c>
      <c r="C11215" t="str">
        <f t="shared" si="179"/>
        <v>2004 q2</v>
      </c>
    </row>
    <row r="11216" spans="1:3">
      <c r="A11216" s="62">
        <v>38084</v>
      </c>
      <c r="B11216">
        <v>1.3089999999999999</v>
      </c>
      <c r="C11216" t="str">
        <f t="shared" si="179"/>
        <v>2004 q2</v>
      </c>
    </row>
    <row r="11217" spans="1:3">
      <c r="A11217" s="62">
        <v>38085</v>
      </c>
      <c r="B11217">
        <v>1.3049999999999999</v>
      </c>
      <c r="C11217" t="str">
        <f t="shared" si="179"/>
        <v>2004 q2</v>
      </c>
    </row>
    <row r="11218" spans="1:3">
      <c r="A11218" s="62">
        <v>38089</v>
      </c>
      <c r="B11218">
        <v>1.2885</v>
      </c>
      <c r="C11218" t="str">
        <f t="shared" ref="C11218:C11281" si="180">YEAR(A11218)&amp;" q"&amp;ROUNDUP(MONTH(A11218)/3,0)</f>
        <v>2004 q2</v>
      </c>
    </row>
    <row r="11219" spans="1:3">
      <c r="A11219" s="62">
        <v>38090</v>
      </c>
      <c r="B11219">
        <v>1.28</v>
      </c>
      <c r="C11219" t="str">
        <f t="shared" si="180"/>
        <v>2004 q2</v>
      </c>
    </row>
    <row r="11220" spans="1:3">
      <c r="A11220" s="62">
        <v>38091</v>
      </c>
      <c r="B11220">
        <v>1.2949999999999999</v>
      </c>
      <c r="C11220" t="str">
        <f t="shared" si="180"/>
        <v>2004 q2</v>
      </c>
    </row>
    <row r="11221" spans="1:3">
      <c r="A11221" s="62">
        <v>38092</v>
      </c>
      <c r="B11221">
        <v>1.2885</v>
      </c>
      <c r="C11221" t="str">
        <f t="shared" si="180"/>
        <v>2004 q2</v>
      </c>
    </row>
    <row r="11222" spans="1:3">
      <c r="A11222" s="62">
        <v>38093</v>
      </c>
      <c r="B11222">
        <v>1.3425</v>
      </c>
      <c r="C11222" t="str">
        <f t="shared" si="180"/>
        <v>2004 q2</v>
      </c>
    </row>
    <row r="11223" spans="1:3">
      <c r="A11223" s="62">
        <v>38096</v>
      </c>
      <c r="B11223">
        <v>1.359</v>
      </c>
      <c r="C11223" t="str">
        <f t="shared" si="180"/>
        <v>2004 q2</v>
      </c>
    </row>
    <row r="11224" spans="1:3">
      <c r="A11224" s="62">
        <v>38097</v>
      </c>
      <c r="B11224">
        <v>1.31</v>
      </c>
      <c r="C11224" t="str">
        <f t="shared" si="180"/>
        <v>2004 q2</v>
      </c>
    </row>
    <row r="11225" spans="1:3">
      <c r="A11225" s="62">
        <v>38098</v>
      </c>
      <c r="B11225">
        <v>1.2275</v>
      </c>
      <c r="C11225" t="str">
        <f t="shared" si="180"/>
        <v>2004 q2</v>
      </c>
    </row>
    <row r="11226" spans="1:3">
      <c r="A11226" s="62">
        <v>38099</v>
      </c>
      <c r="B11226">
        <v>1.2255</v>
      </c>
      <c r="C11226" t="str">
        <f t="shared" si="180"/>
        <v>2004 q2</v>
      </c>
    </row>
    <row r="11227" spans="1:3">
      <c r="A11227" s="62">
        <v>38100</v>
      </c>
      <c r="B11227">
        <v>1.2430000000000001</v>
      </c>
      <c r="C11227" t="str">
        <f t="shared" si="180"/>
        <v>2004 q2</v>
      </c>
    </row>
    <row r="11228" spans="1:3">
      <c r="A11228" s="62">
        <v>38103</v>
      </c>
      <c r="B11228">
        <v>1.2415</v>
      </c>
      <c r="C11228" t="str">
        <f t="shared" si="180"/>
        <v>2004 q2</v>
      </c>
    </row>
    <row r="11229" spans="1:3">
      <c r="A11229" s="62">
        <v>38104</v>
      </c>
      <c r="B11229">
        <v>1.2356</v>
      </c>
      <c r="C11229" t="str">
        <f t="shared" si="180"/>
        <v>2004 q2</v>
      </c>
    </row>
    <row r="11230" spans="1:3">
      <c r="A11230" s="62">
        <v>38105</v>
      </c>
      <c r="B11230">
        <v>1.1771</v>
      </c>
      <c r="C11230" t="str">
        <f t="shared" si="180"/>
        <v>2004 q2</v>
      </c>
    </row>
    <row r="11231" spans="1:3">
      <c r="A11231" s="62">
        <v>38106</v>
      </c>
      <c r="B11231">
        <v>1.1922999999999999</v>
      </c>
      <c r="C11231" t="str">
        <f t="shared" si="180"/>
        <v>2004 q2</v>
      </c>
    </row>
    <row r="11232" spans="1:3">
      <c r="A11232" s="62">
        <v>38107</v>
      </c>
      <c r="B11232">
        <v>1.2079</v>
      </c>
      <c r="C11232" t="str">
        <f t="shared" si="180"/>
        <v>2004 q2</v>
      </c>
    </row>
    <row r="11233" spans="1:3">
      <c r="A11233" s="62">
        <v>38110</v>
      </c>
      <c r="B11233">
        <v>1.2255</v>
      </c>
      <c r="C11233" t="str">
        <f t="shared" si="180"/>
        <v>2004 q2</v>
      </c>
    </row>
    <row r="11234" spans="1:3">
      <c r="A11234" s="62">
        <v>38111</v>
      </c>
      <c r="B11234">
        <v>1.2284999999999999</v>
      </c>
      <c r="C11234" t="str">
        <f t="shared" si="180"/>
        <v>2004 q2</v>
      </c>
    </row>
    <row r="11235" spans="1:3">
      <c r="A11235" s="62">
        <v>38112</v>
      </c>
      <c r="B11235">
        <v>1.242</v>
      </c>
      <c r="C11235" t="str">
        <f t="shared" si="180"/>
        <v>2004 q2</v>
      </c>
    </row>
    <row r="11236" spans="1:3">
      <c r="A11236" s="62">
        <v>38113</v>
      </c>
      <c r="B11236">
        <v>1.2370000000000001</v>
      </c>
      <c r="C11236" t="str">
        <f t="shared" si="180"/>
        <v>2004 q2</v>
      </c>
    </row>
    <row r="11237" spans="1:3">
      <c r="A11237" s="62">
        <v>38114</v>
      </c>
      <c r="B11237">
        <v>1.1904999999999999</v>
      </c>
      <c r="C11237" t="str">
        <f t="shared" si="180"/>
        <v>2004 q2</v>
      </c>
    </row>
    <row r="11238" spans="1:3">
      <c r="A11238" s="62">
        <v>38117</v>
      </c>
      <c r="B11238">
        <v>1.1675</v>
      </c>
      <c r="C11238" t="str">
        <f t="shared" si="180"/>
        <v>2004 q2</v>
      </c>
    </row>
    <row r="11239" spans="1:3">
      <c r="A11239" s="62">
        <v>38118</v>
      </c>
      <c r="B11239">
        <v>1.194</v>
      </c>
      <c r="C11239" t="str">
        <f t="shared" si="180"/>
        <v>2004 q2</v>
      </c>
    </row>
    <row r="11240" spans="1:3">
      <c r="A11240" s="62">
        <v>38119</v>
      </c>
      <c r="B11240">
        <v>1.1875</v>
      </c>
      <c r="C11240" t="str">
        <f t="shared" si="180"/>
        <v>2004 q2</v>
      </c>
    </row>
    <row r="11241" spans="1:3">
      <c r="A11241" s="62">
        <v>38120</v>
      </c>
      <c r="B11241">
        <v>1.179</v>
      </c>
      <c r="C11241" t="str">
        <f t="shared" si="180"/>
        <v>2004 q2</v>
      </c>
    </row>
    <row r="11242" spans="1:3">
      <c r="A11242" s="62">
        <v>38121</v>
      </c>
      <c r="B11242">
        <v>1.1779999999999999</v>
      </c>
      <c r="C11242" t="str">
        <f t="shared" si="180"/>
        <v>2004 q2</v>
      </c>
    </row>
    <row r="11243" spans="1:3">
      <c r="A11243" s="62">
        <v>38124</v>
      </c>
      <c r="B11243">
        <v>1.1445000000000001</v>
      </c>
      <c r="C11243" t="str">
        <f t="shared" si="180"/>
        <v>2004 q2</v>
      </c>
    </row>
    <row r="11244" spans="1:3">
      <c r="A11244" s="62">
        <v>38125</v>
      </c>
      <c r="B11244">
        <v>1.1535</v>
      </c>
      <c r="C11244" t="str">
        <f t="shared" si="180"/>
        <v>2004 q2</v>
      </c>
    </row>
    <row r="11245" spans="1:3">
      <c r="A11245" s="62">
        <v>38126</v>
      </c>
      <c r="B11245">
        <v>1.1964999999999999</v>
      </c>
      <c r="C11245" t="str">
        <f t="shared" si="180"/>
        <v>2004 q2</v>
      </c>
    </row>
    <row r="11246" spans="1:3">
      <c r="A11246" s="62">
        <v>38127</v>
      </c>
      <c r="B11246">
        <v>1.1865000000000001</v>
      </c>
      <c r="C11246" t="str">
        <f t="shared" si="180"/>
        <v>2004 q2</v>
      </c>
    </row>
    <row r="11247" spans="1:3">
      <c r="A11247" s="62">
        <v>38128</v>
      </c>
      <c r="B11247">
        <v>1.222</v>
      </c>
      <c r="C11247" t="str">
        <f t="shared" si="180"/>
        <v>2004 q2</v>
      </c>
    </row>
    <row r="11248" spans="1:3">
      <c r="A11248" s="62">
        <v>38131</v>
      </c>
      <c r="B11248">
        <v>1.234</v>
      </c>
      <c r="C11248" t="str">
        <f t="shared" si="180"/>
        <v>2004 q2</v>
      </c>
    </row>
    <row r="11249" spans="1:3">
      <c r="A11249" s="62">
        <v>38132</v>
      </c>
      <c r="B11249">
        <v>1.234</v>
      </c>
      <c r="C11249" t="str">
        <f t="shared" si="180"/>
        <v>2004 q2</v>
      </c>
    </row>
    <row r="11250" spans="1:3">
      <c r="A11250" s="62">
        <v>38133</v>
      </c>
      <c r="B11250">
        <v>1.2315</v>
      </c>
      <c r="C11250" t="str">
        <f t="shared" si="180"/>
        <v>2004 q2</v>
      </c>
    </row>
    <row r="11251" spans="1:3">
      <c r="A11251" s="62">
        <v>38134</v>
      </c>
      <c r="B11251">
        <v>1.2729999999999999</v>
      </c>
      <c r="C11251" t="str">
        <f t="shared" si="180"/>
        <v>2004 q2</v>
      </c>
    </row>
    <row r="11252" spans="1:3">
      <c r="A11252" s="62">
        <v>38135</v>
      </c>
      <c r="B11252">
        <v>1.2775000000000001</v>
      </c>
      <c r="C11252" t="str">
        <f t="shared" si="180"/>
        <v>2004 q2</v>
      </c>
    </row>
    <row r="11253" spans="1:3">
      <c r="A11253" s="62">
        <v>38139</v>
      </c>
      <c r="B11253">
        <v>1.2925</v>
      </c>
      <c r="C11253" t="str">
        <f t="shared" si="180"/>
        <v>2004 q2</v>
      </c>
    </row>
    <row r="11254" spans="1:3">
      <c r="A11254" s="62">
        <v>38140</v>
      </c>
      <c r="B11254">
        <v>1.248</v>
      </c>
      <c r="C11254" t="str">
        <f t="shared" si="180"/>
        <v>2004 q2</v>
      </c>
    </row>
    <row r="11255" spans="1:3">
      <c r="A11255" s="62">
        <v>38141</v>
      </c>
      <c r="B11255">
        <v>1.246</v>
      </c>
      <c r="C11255" t="str">
        <f t="shared" si="180"/>
        <v>2004 q2</v>
      </c>
    </row>
    <row r="11256" spans="1:3">
      <c r="A11256" s="62">
        <v>38142</v>
      </c>
      <c r="B11256">
        <v>1.2315</v>
      </c>
      <c r="C11256" t="str">
        <f t="shared" si="180"/>
        <v>2004 q2</v>
      </c>
    </row>
    <row r="11257" spans="1:3">
      <c r="A11257" s="62">
        <v>38145</v>
      </c>
      <c r="B11257">
        <v>1.2655000000000001</v>
      </c>
      <c r="C11257" t="str">
        <f t="shared" si="180"/>
        <v>2004 q2</v>
      </c>
    </row>
    <row r="11258" spans="1:3">
      <c r="A11258" s="62">
        <v>38146</v>
      </c>
      <c r="B11258">
        <v>1.2375</v>
      </c>
      <c r="C11258" t="str">
        <f t="shared" si="180"/>
        <v>2004 q2</v>
      </c>
    </row>
    <row r="11259" spans="1:3">
      <c r="A11259" s="62">
        <v>38147</v>
      </c>
      <c r="B11259">
        <v>1.1645000000000001</v>
      </c>
      <c r="C11259" t="str">
        <f t="shared" si="180"/>
        <v>2004 q2</v>
      </c>
    </row>
    <row r="11260" spans="1:3">
      <c r="A11260" s="62">
        <v>38148</v>
      </c>
      <c r="B11260">
        <v>1.173</v>
      </c>
      <c r="C11260" t="str">
        <f t="shared" si="180"/>
        <v>2004 q2</v>
      </c>
    </row>
    <row r="11261" spans="1:3">
      <c r="A11261" s="62">
        <v>38152</v>
      </c>
      <c r="B11261">
        <v>1.1525000000000001</v>
      </c>
      <c r="C11261" t="str">
        <f t="shared" si="180"/>
        <v>2004 q2</v>
      </c>
    </row>
    <row r="11262" spans="1:3">
      <c r="A11262" s="62">
        <v>38153</v>
      </c>
      <c r="B11262">
        <v>1.1910000000000001</v>
      </c>
      <c r="C11262" t="str">
        <f t="shared" si="180"/>
        <v>2004 q2</v>
      </c>
    </row>
    <row r="11263" spans="1:3">
      <c r="A11263" s="62">
        <v>38154</v>
      </c>
      <c r="B11263">
        <v>1.179</v>
      </c>
      <c r="C11263" t="str">
        <f t="shared" si="180"/>
        <v>2004 q2</v>
      </c>
    </row>
    <row r="11264" spans="1:3">
      <c r="A11264" s="62">
        <v>38155</v>
      </c>
      <c r="B11264">
        <v>1.1990000000000001</v>
      </c>
      <c r="C11264" t="str">
        <f t="shared" si="180"/>
        <v>2004 q2</v>
      </c>
    </row>
    <row r="11265" spans="1:3">
      <c r="A11265" s="62">
        <v>38156</v>
      </c>
      <c r="B11265">
        <v>1.1924999999999999</v>
      </c>
      <c r="C11265" t="str">
        <f t="shared" si="180"/>
        <v>2004 q2</v>
      </c>
    </row>
    <row r="11266" spans="1:3">
      <c r="A11266" s="62">
        <v>38159</v>
      </c>
      <c r="B11266">
        <v>1.1950000000000001</v>
      </c>
      <c r="C11266" t="str">
        <f t="shared" si="180"/>
        <v>2004 q2</v>
      </c>
    </row>
    <row r="11267" spans="1:3">
      <c r="A11267" s="62">
        <v>38160</v>
      </c>
      <c r="B11267">
        <v>1.1635</v>
      </c>
      <c r="C11267" t="str">
        <f t="shared" si="180"/>
        <v>2004 q2</v>
      </c>
    </row>
    <row r="11268" spans="1:3">
      <c r="A11268" s="62">
        <v>38161</v>
      </c>
      <c r="B11268">
        <v>1.1950000000000001</v>
      </c>
      <c r="C11268" t="str">
        <f t="shared" si="180"/>
        <v>2004 q2</v>
      </c>
    </row>
    <row r="11269" spans="1:3">
      <c r="A11269" s="62">
        <v>38162</v>
      </c>
      <c r="B11269">
        <v>1.2235</v>
      </c>
      <c r="C11269" t="str">
        <f t="shared" si="180"/>
        <v>2004 q2</v>
      </c>
    </row>
    <row r="11270" spans="1:3">
      <c r="A11270" s="62">
        <v>38163</v>
      </c>
      <c r="B11270">
        <v>1.2096</v>
      </c>
      <c r="C11270" t="str">
        <f t="shared" si="180"/>
        <v>2004 q2</v>
      </c>
    </row>
    <row r="11271" spans="1:3">
      <c r="A11271" s="62">
        <v>38166</v>
      </c>
      <c r="B11271">
        <v>1.2087000000000001</v>
      </c>
      <c r="C11271" t="str">
        <f t="shared" si="180"/>
        <v>2004 q2</v>
      </c>
    </row>
    <row r="11272" spans="1:3">
      <c r="A11272" s="62">
        <v>38167</v>
      </c>
      <c r="B11272">
        <v>1.1736</v>
      </c>
      <c r="C11272" t="str">
        <f t="shared" si="180"/>
        <v>2004 q2</v>
      </c>
    </row>
    <row r="11273" spans="1:3">
      <c r="A11273" s="62">
        <v>38168</v>
      </c>
      <c r="B11273">
        <v>1.2074</v>
      </c>
      <c r="C11273" t="str">
        <f t="shared" si="180"/>
        <v>2004 q2</v>
      </c>
    </row>
    <row r="11274" spans="1:3">
      <c r="A11274" s="62">
        <v>38169</v>
      </c>
      <c r="B11274">
        <v>1.222</v>
      </c>
      <c r="C11274" t="str">
        <f t="shared" si="180"/>
        <v>2004 q3</v>
      </c>
    </row>
    <row r="11275" spans="1:3">
      <c r="A11275" s="62">
        <v>38170</v>
      </c>
      <c r="B11275">
        <v>1.22</v>
      </c>
      <c r="C11275" t="str">
        <f t="shared" si="180"/>
        <v>2004 q3</v>
      </c>
    </row>
    <row r="11276" spans="1:3">
      <c r="A11276" s="62">
        <v>38174</v>
      </c>
      <c r="B11276">
        <v>1.218</v>
      </c>
      <c r="C11276" t="str">
        <f t="shared" si="180"/>
        <v>2004 q3</v>
      </c>
    </row>
    <row r="11277" spans="1:3">
      <c r="A11277" s="62">
        <v>38175</v>
      </c>
      <c r="B11277">
        <v>1.2549999999999999</v>
      </c>
      <c r="C11277" t="str">
        <f t="shared" si="180"/>
        <v>2004 q3</v>
      </c>
    </row>
    <row r="11278" spans="1:3">
      <c r="A11278" s="62">
        <v>38176</v>
      </c>
      <c r="B11278">
        <v>1.2509999999999999</v>
      </c>
      <c r="C11278" t="str">
        <f t="shared" si="180"/>
        <v>2004 q3</v>
      </c>
    </row>
    <row r="11279" spans="1:3">
      <c r="A11279" s="62">
        <v>38177</v>
      </c>
      <c r="B11279">
        <v>1.2809999999999999</v>
      </c>
      <c r="C11279" t="str">
        <f t="shared" si="180"/>
        <v>2004 q3</v>
      </c>
    </row>
    <row r="11280" spans="1:3">
      <c r="A11280" s="62">
        <v>38180</v>
      </c>
      <c r="B11280">
        <v>1.2775000000000001</v>
      </c>
      <c r="C11280" t="str">
        <f t="shared" si="180"/>
        <v>2004 q3</v>
      </c>
    </row>
    <row r="11281" spans="1:3">
      <c r="A11281" s="62">
        <v>38181</v>
      </c>
      <c r="B11281">
        <v>1.278</v>
      </c>
      <c r="C11281" t="str">
        <f t="shared" si="180"/>
        <v>2004 q3</v>
      </c>
    </row>
    <row r="11282" spans="1:3">
      <c r="A11282" s="62">
        <v>38182</v>
      </c>
      <c r="B11282">
        <v>1.2769999999999999</v>
      </c>
      <c r="C11282" t="str">
        <f t="shared" ref="C11282:C11345" si="181">YEAR(A11282)&amp;" q"&amp;ROUNDUP(MONTH(A11282)/3,0)</f>
        <v>2004 q3</v>
      </c>
    </row>
    <row r="11283" spans="1:3">
      <c r="A11283" s="62">
        <v>38183</v>
      </c>
      <c r="B11283">
        <v>1.2875000000000001</v>
      </c>
      <c r="C11283" t="str">
        <f t="shared" si="181"/>
        <v>2004 q3</v>
      </c>
    </row>
    <row r="11284" spans="1:3">
      <c r="A11284" s="62">
        <v>38184</v>
      </c>
      <c r="B11284">
        <v>1.3105</v>
      </c>
      <c r="C11284" t="str">
        <f t="shared" si="181"/>
        <v>2004 q3</v>
      </c>
    </row>
    <row r="11285" spans="1:3">
      <c r="A11285" s="62">
        <v>38187</v>
      </c>
      <c r="B11285">
        <v>1.3049999999999999</v>
      </c>
      <c r="C11285" t="str">
        <f t="shared" si="181"/>
        <v>2004 q3</v>
      </c>
    </row>
    <row r="11286" spans="1:3">
      <c r="A11286" s="62">
        <v>38188</v>
      </c>
      <c r="B11286">
        <v>1.2855000000000001</v>
      </c>
      <c r="C11286" t="str">
        <f t="shared" si="181"/>
        <v>2004 q3</v>
      </c>
    </row>
    <row r="11287" spans="1:3">
      <c r="A11287" s="62">
        <v>38189</v>
      </c>
      <c r="B11287">
        <v>1.2749999999999999</v>
      </c>
      <c r="C11287" t="str">
        <f t="shared" si="181"/>
        <v>2004 q3</v>
      </c>
    </row>
    <row r="11288" spans="1:3">
      <c r="A11288" s="62">
        <v>38190</v>
      </c>
      <c r="B11288">
        <v>1.2869999999999999</v>
      </c>
      <c r="C11288" t="str">
        <f t="shared" si="181"/>
        <v>2004 q3</v>
      </c>
    </row>
    <row r="11289" spans="1:3">
      <c r="A11289" s="62">
        <v>38191</v>
      </c>
      <c r="B11289">
        <v>1.248</v>
      </c>
      <c r="C11289" t="str">
        <f t="shared" si="181"/>
        <v>2004 q3</v>
      </c>
    </row>
    <row r="11290" spans="1:3">
      <c r="A11290" s="62">
        <v>38194</v>
      </c>
      <c r="B11290">
        <v>1.25</v>
      </c>
      <c r="C11290" t="str">
        <f t="shared" si="181"/>
        <v>2004 q3</v>
      </c>
    </row>
    <row r="11291" spans="1:3">
      <c r="A11291" s="62">
        <v>38195</v>
      </c>
      <c r="B11291">
        <v>1.2210000000000001</v>
      </c>
      <c r="C11291" t="str">
        <f t="shared" si="181"/>
        <v>2004 q3</v>
      </c>
    </row>
    <row r="11292" spans="1:3">
      <c r="A11292" s="62">
        <v>38196</v>
      </c>
      <c r="B11292">
        <v>1.2709999999999999</v>
      </c>
      <c r="C11292" t="str">
        <f t="shared" si="181"/>
        <v>2004 q3</v>
      </c>
    </row>
    <row r="11293" spans="1:3">
      <c r="A11293" s="62">
        <v>38197</v>
      </c>
      <c r="B11293">
        <v>1.2935000000000001</v>
      </c>
      <c r="C11293" t="str">
        <f t="shared" si="181"/>
        <v>2004 q3</v>
      </c>
    </row>
    <row r="11294" spans="1:3">
      <c r="A11294" s="62">
        <v>38198</v>
      </c>
      <c r="B11294">
        <v>1.3080000000000001</v>
      </c>
      <c r="C11294" t="str">
        <f t="shared" si="181"/>
        <v>2004 q3</v>
      </c>
    </row>
    <row r="11295" spans="1:3">
      <c r="A11295" s="62">
        <v>38201</v>
      </c>
      <c r="B11295">
        <v>1.3055000000000001</v>
      </c>
      <c r="C11295" t="str">
        <f t="shared" si="181"/>
        <v>2004 q3</v>
      </c>
    </row>
    <row r="11296" spans="1:3">
      <c r="A11296" s="62">
        <v>38202</v>
      </c>
      <c r="B11296">
        <v>1.3029999999999999</v>
      </c>
      <c r="C11296" t="str">
        <f t="shared" si="181"/>
        <v>2004 q3</v>
      </c>
    </row>
    <row r="11297" spans="1:3">
      <c r="A11297" s="62">
        <v>38203</v>
      </c>
      <c r="B11297">
        <v>1.2945</v>
      </c>
      <c r="C11297" t="str">
        <f t="shared" si="181"/>
        <v>2004 q3</v>
      </c>
    </row>
    <row r="11298" spans="1:3">
      <c r="A11298" s="62">
        <v>38204</v>
      </c>
      <c r="B11298">
        <v>1.28</v>
      </c>
      <c r="C11298" t="str">
        <f t="shared" si="181"/>
        <v>2004 q3</v>
      </c>
    </row>
    <row r="11299" spans="1:3">
      <c r="A11299" s="62">
        <v>38205</v>
      </c>
      <c r="B11299">
        <v>1.278</v>
      </c>
      <c r="C11299" t="str">
        <f t="shared" si="181"/>
        <v>2004 q3</v>
      </c>
    </row>
    <row r="11300" spans="1:3">
      <c r="A11300" s="62">
        <v>38208</v>
      </c>
      <c r="B11300">
        <v>1.2415</v>
      </c>
      <c r="C11300" t="str">
        <f t="shared" si="181"/>
        <v>2004 q3</v>
      </c>
    </row>
    <row r="11301" spans="1:3">
      <c r="A11301" s="62">
        <v>38209</v>
      </c>
      <c r="B11301">
        <v>1.2569999999999999</v>
      </c>
      <c r="C11301" t="str">
        <f t="shared" si="181"/>
        <v>2004 q3</v>
      </c>
    </row>
    <row r="11302" spans="1:3">
      <c r="A11302" s="62">
        <v>38210</v>
      </c>
      <c r="B11302">
        <v>1.2725</v>
      </c>
      <c r="C11302" t="str">
        <f t="shared" si="181"/>
        <v>2004 q3</v>
      </c>
    </row>
    <row r="11303" spans="1:3">
      <c r="A11303" s="62">
        <v>38211</v>
      </c>
      <c r="B11303">
        <v>1.2675000000000001</v>
      </c>
      <c r="C11303" t="str">
        <f t="shared" si="181"/>
        <v>2004 q3</v>
      </c>
    </row>
    <row r="11304" spans="1:3">
      <c r="A11304" s="62">
        <v>38212</v>
      </c>
      <c r="B11304">
        <v>1.3180000000000001</v>
      </c>
      <c r="C11304" t="str">
        <f t="shared" si="181"/>
        <v>2004 q3</v>
      </c>
    </row>
    <row r="11305" spans="1:3">
      <c r="A11305" s="62">
        <v>38215</v>
      </c>
      <c r="B11305">
        <v>1.3154999999999999</v>
      </c>
      <c r="C11305" t="str">
        <f t="shared" si="181"/>
        <v>2004 q3</v>
      </c>
    </row>
    <row r="11306" spans="1:3">
      <c r="A11306" s="62">
        <v>38216</v>
      </c>
      <c r="B11306">
        <v>1.3075000000000001</v>
      </c>
      <c r="C11306" t="str">
        <f t="shared" si="181"/>
        <v>2004 q3</v>
      </c>
    </row>
    <row r="11307" spans="1:3">
      <c r="A11307" s="62">
        <v>38217</v>
      </c>
      <c r="B11307">
        <v>1.2705</v>
      </c>
      <c r="C11307" t="str">
        <f t="shared" si="181"/>
        <v>2004 q3</v>
      </c>
    </row>
    <row r="11308" spans="1:3">
      <c r="A11308" s="62">
        <v>38218</v>
      </c>
      <c r="B11308">
        <v>1.2915000000000001</v>
      </c>
      <c r="C11308" t="str">
        <f t="shared" si="181"/>
        <v>2004 q3</v>
      </c>
    </row>
    <row r="11309" spans="1:3">
      <c r="A11309" s="62">
        <v>38219</v>
      </c>
      <c r="B11309">
        <v>1.2685</v>
      </c>
      <c r="C11309" t="str">
        <f t="shared" si="181"/>
        <v>2004 q3</v>
      </c>
    </row>
    <row r="11310" spans="1:3">
      <c r="A11310" s="62">
        <v>38222</v>
      </c>
      <c r="B11310">
        <v>1.2415</v>
      </c>
      <c r="C11310" t="str">
        <f t="shared" si="181"/>
        <v>2004 q3</v>
      </c>
    </row>
    <row r="11311" spans="1:3">
      <c r="A11311" s="62">
        <v>38223</v>
      </c>
      <c r="B11311">
        <v>1.2390000000000001</v>
      </c>
      <c r="C11311" t="str">
        <f t="shared" si="181"/>
        <v>2004 q3</v>
      </c>
    </row>
    <row r="11312" spans="1:3">
      <c r="A11312" s="62">
        <v>38224</v>
      </c>
      <c r="B11312">
        <v>1.2395</v>
      </c>
      <c r="C11312" t="str">
        <f t="shared" si="181"/>
        <v>2004 q3</v>
      </c>
    </row>
    <row r="11313" spans="1:3">
      <c r="A11313" s="62">
        <v>38225</v>
      </c>
      <c r="B11313">
        <v>1.2504999999999999</v>
      </c>
      <c r="C11313" t="str">
        <f t="shared" si="181"/>
        <v>2004 q3</v>
      </c>
    </row>
    <row r="11314" spans="1:3">
      <c r="A11314" s="62">
        <v>38226</v>
      </c>
      <c r="B11314">
        <v>1.2592000000000001</v>
      </c>
      <c r="C11314" t="str">
        <f t="shared" si="181"/>
        <v>2004 q3</v>
      </c>
    </row>
    <row r="11315" spans="1:3">
      <c r="A11315" s="62">
        <v>38229</v>
      </c>
      <c r="B11315">
        <v>1.2635000000000001</v>
      </c>
      <c r="C11315" t="str">
        <f t="shared" si="181"/>
        <v>2004 q3</v>
      </c>
    </row>
    <row r="11316" spans="1:3">
      <c r="A11316" s="62">
        <v>38230</v>
      </c>
      <c r="B11316">
        <v>1.2809999999999999</v>
      </c>
      <c r="C11316" t="str">
        <f t="shared" si="181"/>
        <v>2004 q3</v>
      </c>
    </row>
    <row r="11317" spans="1:3">
      <c r="A11317" s="62">
        <v>38231</v>
      </c>
      <c r="B11317">
        <v>1.2769999999999999</v>
      </c>
      <c r="C11317" t="str">
        <f t="shared" si="181"/>
        <v>2004 q3</v>
      </c>
    </row>
    <row r="11318" spans="1:3">
      <c r="A11318" s="62">
        <v>38232</v>
      </c>
      <c r="B11318">
        <v>1.248</v>
      </c>
      <c r="C11318" t="str">
        <f t="shared" si="181"/>
        <v>2004 q3</v>
      </c>
    </row>
    <row r="11319" spans="1:3">
      <c r="A11319" s="62">
        <v>38233</v>
      </c>
      <c r="B11319">
        <v>1.2395</v>
      </c>
      <c r="C11319" t="str">
        <f t="shared" si="181"/>
        <v>2004 q3</v>
      </c>
    </row>
    <row r="11320" spans="1:3">
      <c r="A11320" s="62">
        <v>38237</v>
      </c>
      <c r="B11320">
        <v>1.272</v>
      </c>
      <c r="C11320" t="str">
        <f t="shared" si="181"/>
        <v>2004 q3</v>
      </c>
    </row>
    <row r="11321" spans="1:3">
      <c r="A11321" s="62">
        <v>38238</v>
      </c>
      <c r="B11321">
        <v>1.2565</v>
      </c>
      <c r="C11321" t="str">
        <f t="shared" si="181"/>
        <v>2004 q3</v>
      </c>
    </row>
    <row r="11322" spans="1:3">
      <c r="A11322" s="62">
        <v>38239</v>
      </c>
      <c r="B11322">
        <v>1.264</v>
      </c>
      <c r="C11322" t="str">
        <f t="shared" si="181"/>
        <v>2004 q3</v>
      </c>
    </row>
    <row r="11323" spans="1:3">
      <c r="A11323" s="62">
        <v>38240</v>
      </c>
      <c r="B11323">
        <v>1.28</v>
      </c>
      <c r="C11323" t="str">
        <f t="shared" si="181"/>
        <v>2004 q3</v>
      </c>
    </row>
    <row r="11324" spans="1:3">
      <c r="A11324" s="62">
        <v>38243</v>
      </c>
      <c r="B11324">
        <v>1.2849999999999999</v>
      </c>
      <c r="C11324" t="str">
        <f t="shared" si="181"/>
        <v>2004 q3</v>
      </c>
    </row>
    <row r="11325" spans="1:3">
      <c r="A11325" s="62">
        <v>38244</v>
      </c>
      <c r="B11325">
        <v>1.28</v>
      </c>
      <c r="C11325" t="str">
        <f t="shared" si="181"/>
        <v>2004 q3</v>
      </c>
    </row>
    <row r="11326" spans="1:3">
      <c r="A11326" s="62">
        <v>38245</v>
      </c>
      <c r="B11326">
        <v>1.2715000000000001</v>
      </c>
      <c r="C11326" t="str">
        <f t="shared" si="181"/>
        <v>2004 q3</v>
      </c>
    </row>
    <row r="11327" spans="1:3">
      <c r="A11327" s="62">
        <v>38246</v>
      </c>
      <c r="B11327">
        <v>1.3015000000000001</v>
      </c>
      <c r="C11327" t="str">
        <f t="shared" si="181"/>
        <v>2004 q3</v>
      </c>
    </row>
    <row r="11328" spans="1:3">
      <c r="A11328" s="62">
        <v>38247</v>
      </c>
      <c r="B11328">
        <v>1.302</v>
      </c>
      <c r="C11328" t="str">
        <f t="shared" si="181"/>
        <v>2004 q3</v>
      </c>
    </row>
    <row r="11329" spans="1:3">
      <c r="A11329" s="62">
        <v>38250</v>
      </c>
      <c r="B11329">
        <v>1.3194999999999999</v>
      </c>
      <c r="C11329" t="str">
        <f t="shared" si="181"/>
        <v>2004 q3</v>
      </c>
    </row>
    <row r="11330" spans="1:3">
      <c r="A11330" s="62">
        <v>38251</v>
      </c>
      <c r="B11330">
        <v>1.3414999999999999</v>
      </c>
      <c r="C11330" t="str">
        <f t="shared" si="181"/>
        <v>2004 q3</v>
      </c>
    </row>
    <row r="11331" spans="1:3">
      <c r="A11331" s="62">
        <v>38252</v>
      </c>
      <c r="B11331">
        <v>1.3694999999999999</v>
      </c>
      <c r="C11331" t="str">
        <f t="shared" si="181"/>
        <v>2004 q3</v>
      </c>
    </row>
    <row r="11332" spans="1:3">
      <c r="A11332" s="62">
        <v>38253</v>
      </c>
      <c r="B11332">
        <v>1.3580000000000001</v>
      </c>
      <c r="C11332" t="str">
        <f t="shared" si="181"/>
        <v>2004 q3</v>
      </c>
    </row>
    <row r="11333" spans="1:3">
      <c r="A11333" s="62">
        <v>38254</v>
      </c>
      <c r="B11333">
        <v>1.3574999999999999</v>
      </c>
      <c r="C11333" t="str">
        <f t="shared" si="181"/>
        <v>2004 q3</v>
      </c>
    </row>
    <row r="11334" spans="1:3">
      <c r="A11334" s="62">
        <v>38257</v>
      </c>
      <c r="B11334">
        <v>1.3779999999999999</v>
      </c>
      <c r="C11334" t="str">
        <f t="shared" si="181"/>
        <v>2004 q3</v>
      </c>
    </row>
    <row r="11335" spans="1:3">
      <c r="A11335" s="62">
        <v>38258</v>
      </c>
      <c r="B11335">
        <v>1.3694999999999999</v>
      </c>
      <c r="C11335" t="str">
        <f t="shared" si="181"/>
        <v>2004 q3</v>
      </c>
    </row>
    <row r="11336" spans="1:3">
      <c r="A11336" s="62">
        <v>38259</v>
      </c>
      <c r="B11336">
        <v>1.393</v>
      </c>
      <c r="C11336" t="str">
        <f t="shared" si="181"/>
        <v>2004 q3</v>
      </c>
    </row>
    <row r="11337" spans="1:3">
      <c r="A11337" s="62">
        <v>38260</v>
      </c>
      <c r="B11337">
        <v>1.3959999999999999</v>
      </c>
      <c r="C11337" t="str">
        <f t="shared" si="181"/>
        <v>2004 q3</v>
      </c>
    </row>
    <row r="11338" spans="1:3">
      <c r="A11338" s="62">
        <v>38261</v>
      </c>
      <c r="B11338">
        <v>1.4039999999999999</v>
      </c>
      <c r="C11338" t="str">
        <f t="shared" si="181"/>
        <v>2004 q4</v>
      </c>
    </row>
    <row r="11339" spans="1:3">
      <c r="A11339" s="62">
        <v>38264</v>
      </c>
      <c r="B11339">
        <v>1.397</v>
      </c>
      <c r="C11339" t="str">
        <f t="shared" si="181"/>
        <v>2004 q4</v>
      </c>
    </row>
    <row r="11340" spans="1:3">
      <c r="A11340" s="62">
        <v>38265</v>
      </c>
      <c r="B11340">
        <v>1.4015</v>
      </c>
      <c r="C11340" t="str">
        <f t="shared" si="181"/>
        <v>2004 q4</v>
      </c>
    </row>
    <row r="11341" spans="1:3">
      <c r="A11341" s="62">
        <v>38266</v>
      </c>
      <c r="B11341">
        <v>1.423</v>
      </c>
      <c r="C11341" t="str">
        <f t="shared" si="181"/>
        <v>2004 q4</v>
      </c>
    </row>
    <row r="11342" spans="1:3">
      <c r="A11342" s="62">
        <v>38267</v>
      </c>
      <c r="B11342">
        <v>1.4275</v>
      </c>
      <c r="C11342" t="str">
        <f t="shared" si="181"/>
        <v>2004 q4</v>
      </c>
    </row>
    <row r="11343" spans="1:3">
      <c r="A11343" s="62">
        <v>38268</v>
      </c>
      <c r="B11343">
        <v>1.4695</v>
      </c>
      <c r="C11343" t="str">
        <f t="shared" si="181"/>
        <v>2004 q4</v>
      </c>
    </row>
    <row r="11344" spans="1:3">
      <c r="A11344" s="62">
        <v>38271</v>
      </c>
      <c r="B11344">
        <v>1.4684999999999999</v>
      </c>
      <c r="C11344" t="str">
        <f t="shared" si="181"/>
        <v>2004 q4</v>
      </c>
    </row>
    <row r="11345" spans="1:3">
      <c r="A11345" s="62">
        <v>38272</v>
      </c>
      <c r="B11345">
        <v>1.448</v>
      </c>
      <c r="C11345" t="str">
        <f t="shared" si="181"/>
        <v>2004 q4</v>
      </c>
    </row>
    <row r="11346" spans="1:3">
      <c r="A11346" s="62">
        <v>38273</v>
      </c>
      <c r="B11346">
        <v>1.288</v>
      </c>
      <c r="C11346" t="str">
        <f t="shared" ref="C11346:C11409" si="182">YEAR(A11346)&amp;" q"&amp;ROUNDUP(MONTH(A11346)/3,0)</f>
        <v>2004 q4</v>
      </c>
    </row>
    <row r="11347" spans="1:3">
      <c r="A11347" s="62">
        <v>38274</v>
      </c>
      <c r="B11347">
        <v>1.2695000000000001</v>
      </c>
      <c r="C11347" t="str">
        <f t="shared" si="182"/>
        <v>2004 q4</v>
      </c>
    </row>
    <row r="11348" spans="1:3">
      <c r="A11348" s="62">
        <v>38275</v>
      </c>
      <c r="B11348">
        <v>1.3089999999999999</v>
      </c>
      <c r="C11348" t="str">
        <f t="shared" si="182"/>
        <v>2004 q4</v>
      </c>
    </row>
    <row r="11349" spans="1:3">
      <c r="A11349" s="62">
        <v>38278</v>
      </c>
      <c r="B11349">
        <v>1.284</v>
      </c>
      <c r="C11349" t="str">
        <f t="shared" si="182"/>
        <v>2004 q4</v>
      </c>
    </row>
    <row r="11350" spans="1:3">
      <c r="A11350" s="62">
        <v>38279</v>
      </c>
      <c r="B11350">
        <v>1.2969999999999999</v>
      </c>
      <c r="C11350" t="str">
        <f t="shared" si="182"/>
        <v>2004 q4</v>
      </c>
    </row>
    <row r="11351" spans="1:3">
      <c r="A11351" s="62">
        <v>38280</v>
      </c>
      <c r="B11351">
        <v>1.3015000000000001</v>
      </c>
      <c r="C11351" t="str">
        <f t="shared" si="182"/>
        <v>2004 q4</v>
      </c>
    </row>
    <row r="11352" spans="1:3">
      <c r="A11352" s="62">
        <v>38281</v>
      </c>
      <c r="B11352">
        <v>1.3134999999999999</v>
      </c>
      <c r="C11352" t="str">
        <f t="shared" si="182"/>
        <v>2004 q4</v>
      </c>
    </row>
    <row r="11353" spans="1:3">
      <c r="A11353" s="62">
        <v>38282</v>
      </c>
      <c r="B11353">
        <v>1.3055000000000001</v>
      </c>
      <c r="C11353" t="str">
        <f t="shared" si="182"/>
        <v>2004 q4</v>
      </c>
    </row>
    <row r="11354" spans="1:3">
      <c r="A11354" s="62">
        <v>38285</v>
      </c>
      <c r="B11354">
        <v>1.2765</v>
      </c>
      <c r="C11354" t="str">
        <f t="shared" si="182"/>
        <v>2004 q4</v>
      </c>
    </row>
    <row r="11355" spans="1:3">
      <c r="A11355" s="62">
        <v>38286</v>
      </c>
      <c r="B11355">
        <v>1.2815000000000001</v>
      </c>
      <c r="C11355" t="str">
        <f t="shared" si="182"/>
        <v>2004 q4</v>
      </c>
    </row>
    <row r="11356" spans="1:3">
      <c r="A11356" s="62">
        <v>38287</v>
      </c>
      <c r="B11356">
        <v>1.288</v>
      </c>
      <c r="C11356" t="str">
        <f t="shared" si="182"/>
        <v>2004 q4</v>
      </c>
    </row>
    <row r="11357" spans="1:3">
      <c r="A11357" s="62">
        <v>38288</v>
      </c>
      <c r="B11357">
        <v>1.2535000000000001</v>
      </c>
      <c r="C11357" t="str">
        <f t="shared" si="182"/>
        <v>2004 q4</v>
      </c>
    </row>
    <row r="11358" spans="1:3">
      <c r="A11358" s="62">
        <v>38289</v>
      </c>
      <c r="B11358">
        <v>1.3374999999999999</v>
      </c>
      <c r="C11358" t="str">
        <f t="shared" si="182"/>
        <v>2004 q4</v>
      </c>
    </row>
    <row r="11359" spans="1:3">
      <c r="A11359" s="62">
        <v>38292</v>
      </c>
      <c r="B11359">
        <v>1.3075000000000001</v>
      </c>
      <c r="C11359" t="str">
        <f t="shared" si="182"/>
        <v>2004 q4</v>
      </c>
    </row>
    <row r="11360" spans="1:3">
      <c r="A11360" s="62">
        <v>38293</v>
      </c>
      <c r="B11360">
        <v>1.3205</v>
      </c>
      <c r="C11360" t="str">
        <f t="shared" si="182"/>
        <v>2004 q4</v>
      </c>
    </row>
    <row r="11361" spans="1:3">
      <c r="A11361" s="62">
        <v>38294</v>
      </c>
      <c r="B11361">
        <v>1.33</v>
      </c>
      <c r="C11361" t="str">
        <f t="shared" si="182"/>
        <v>2004 q4</v>
      </c>
    </row>
    <row r="11362" spans="1:3">
      <c r="A11362" s="62">
        <v>38295</v>
      </c>
      <c r="B11362">
        <v>1.349</v>
      </c>
      <c r="C11362" t="str">
        <f t="shared" si="182"/>
        <v>2004 q4</v>
      </c>
    </row>
    <row r="11363" spans="1:3">
      <c r="A11363" s="62">
        <v>38296</v>
      </c>
      <c r="B11363">
        <v>1.363</v>
      </c>
      <c r="C11363" t="str">
        <f t="shared" si="182"/>
        <v>2004 q4</v>
      </c>
    </row>
    <row r="11364" spans="1:3">
      <c r="A11364" s="62">
        <v>38299</v>
      </c>
      <c r="B11364">
        <v>1.3614999999999999</v>
      </c>
      <c r="C11364" t="str">
        <f t="shared" si="182"/>
        <v>2004 q4</v>
      </c>
    </row>
    <row r="11365" spans="1:3">
      <c r="A11365" s="62">
        <v>38300</v>
      </c>
      <c r="B11365">
        <v>1.3754999999999999</v>
      </c>
      <c r="C11365" t="str">
        <f t="shared" si="182"/>
        <v>2004 q4</v>
      </c>
    </row>
    <row r="11366" spans="1:3">
      <c r="A11366" s="62">
        <v>38301</v>
      </c>
      <c r="B11366">
        <v>1.363</v>
      </c>
      <c r="C11366" t="str">
        <f t="shared" si="182"/>
        <v>2004 q4</v>
      </c>
    </row>
    <row r="11367" spans="1:3">
      <c r="A11367" s="62">
        <v>38302</v>
      </c>
      <c r="B11367">
        <v>1.3725000000000001</v>
      </c>
      <c r="C11367" t="str">
        <f t="shared" si="182"/>
        <v>2004 q4</v>
      </c>
    </row>
    <row r="11368" spans="1:3">
      <c r="A11368" s="62">
        <v>38303</v>
      </c>
      <c r="B11368">
        <v>1.3945000000000001</v>
      </c>
      <c r="C11368" t="str">
        <f t="shared" si="182"/>
        <v>2004 q4</v>
      </c>
    </row>
    <row r="11369" spans="1:3">
      <c r="A11369" s="62">
        <v>38306</v>
      </c>
      <c r="B11369">
        <v>1.3875</v>
      </c>
      <c r="C11369" t="str">
        <f t="shared" si="182"/>
        <v>2004 q4</v>
      </c>
    </row>
    <row r="11370" spans="1:3">
      <c r="A11370" s="62">
        <v>38307</v>
      </c>
      <c r="B11370">
        <v>1.369</v>
      </c>
      <c r="C11370" t="str">
        <f t="shared" si="182"/>
        <v>2004 q4</v>
      </c>
    </row>
    <row r="11371" spans="1:3">
      <c r="A11371" s="62">
        <v>38308</v>
      </c>
      <c r="B11371">
        <v>1.4105000000000001</v>
      </c>
      <c r="C11371" t="str">
        <f t="shared" si="182"/>
        <v>2004 q4</v>
      </c>
    </row>
    <row r="11372" spans="1:3">
      <c r="A11372" s="62">
        <v>38309</v>
      </c>
      <c r="B11372">
        <v>1.425</v>
      </c>
      <c r="C11372" t="str">
        <f t="shared" si="182"/>
        <v>2004 q4</v>
      </c>
    </row>
    <row r="11373" spans="1:3">
      <c r="A11373" s="62">
        <v>38310</v>
      </c>
      <c r="B11373">
        <v>1.4319999999999999</v>
      </c>
      <c r="C11373" t="str">
        <f t="shared" si="182"/>
        <v>2004 q4</v>
      </c>
    </row>
    <row r="11374" spans="1:3">
      <c r="A11374" s="62">
        <v>38313</v>
      </c>
      <c r="B11374">
        <v>1.409</v>
      </c>
      <c r="C11374" t="str">
        <f t="shared" si="182"/>
        <v>2004 q4</v>
      </c>
    </row>
    <row r="11375" spans="1:3">
      <c r="A11375" s="62">
        <v>38314</v>
      </c>
      <c r="B11375">
        <v>1.4175</v>
      </c>
      <c r="C11375" t="str">
        <f t="shared" si="182"/>
        <v>2004 q4</v>
      </c>
    </row>
    <row r="11376" spans="1:3">
      <c r="A11376" s="62">
        <v>38315</v>
      </c>
      <c r="B11376">
        <v>1.4375</v>
      </c>
      <c r="C11376" t="str">
        <f t="shared" si="182"/>
        <v>2004 q4</v>
      </c>
    </row>
    <row r="11377" spans="1:3">
      <c r="A11377" s="62">
        <v>38320</v>
      </c>
      <c r="B11377">
        <v>1.4453</v>
      </c>
      <c r="C11377" t="str">
        <f t="shared" si="182"/>
        <v>2004 q4</v>
      </c>
    </row>
    <row r="11378" spans="1:3">
      <c r="A11378" s="62">
        <v>38321</v>
      </c>
      <c r="B11378">
        <v>1.4421999999999999</v>
      </c>
      <c r="C11378" t="str">
        <f t="shared" si="182"/>
        <v>2004 q4</v>
      </c>
    </row>
    <row r="11379" spans="1:3">
      <c r="A11379" s="62">
        <v>38322</v>
      </c>
      <c r="B11379">
        <v>1.4544999999999999</v>
      </c>
      <c r="C11379" t="str">
        <f t="shared" si="182"/>
        <v>2004 q4</v>
      </c>
    </row>
    <row r="11380" spans="1:3">
      <c r="A11380" s="62">
        <v>38323</v>
      </c>
      <c r="B11380">
        <v>1.4</v>
      </c>
      <c r="C11380" t="str">
        <f t="shared" si="182"/>
        <v>2004 q4</v>
      </c>
    </row>
    <row r="11381" spans="1:3">
      <c r="A11381" s="62">
        <v>38324</v>
      </c>
      <c r="B11381">
        <v>1.4135</v>
      </c>
      <c r="C11381" t="str">
        <f t="shared" si="182"/>
        <v>2004 q4</v>
      </c>
    </row>
    <row r="11382" spans="1:3">
      <c r="A11382" s="62">
        <v>38327</v>
      </c>
      <c r="B11382">
        <v>1.4065000000000001</v>
      </c>
      <c r="C11382" t="str">
        <f t="shared" si="182"/>
        <v>2004 q4</v>
      </c>
    </row>
    <row r="11383" spans="1:3">
      <c r="A11383" s="62">
        <v>38328</v>
      </c>
      <c r="B11383">
        <v>1.3759999999999999</v>
      </c>
      <c r="C11383" t="str">
        <f t="shared" si="182"/>
        <v>2004 q4</v>
      </c>
    </row>
    <row r="11384" spans="1:3">
      <c r="A11384" s="62">
        <v>38329</v>
      </c>
      <c r="B11384">
        <v>1.3405</v>
      </c>
      <c r="C11384" t="str">
        <f t="shared" si="182"/>
        <v>2004 q4</v>
      </c>
    </row>
    <row r="11385" spans="1:3">
      <c r="A11385" s="62">
        <v>38330</v>
      </c>
      <c r="B11385">
        <v>1.3425</v>
      </c>
      <c r="C11385" t="str">
        <f t="shared" si="182"/>
        <v>2004 q4</v>
      </c>
    </row>
    <row r="11386" spans="1:3">
      <c r="A11386" s="62">
        <v>38331</v>
      </c>
      <c r="B11386">
        <v>1.3525</v>
      </c>
      <c r="C11386" t="str">
        <f t="shared" si="182"/>
        <v>2004 q4</v>
      </c>
    </row>
    <row r="11387" spans="1:3">
      <c r="A11387" s="62">
        <v>38334</v>
      </c>
      <c r="B11387">
        <v>1.3859999999999999</v>
      </c>
      <c r="C11387" t="str">
        <f t="shared" si="182"/>
        <v>2004 q4</v>
      </c>
    </row>
    <row r="11388" spans="1:3">
      <c r="A11388" s="62">
        <v>38335</v>
      </c>
      <c r="B11388">
        <v>1.3939999999999999</v>
      </c>
      <c r="C11388" t="str">
        <f t="shared" si="182"/>
        <v>2004 q4</v>
      </c>
    </row>
    <row r="11389" spans="1:3">
      <c r="A11389" s="62">
        <v>38336</v>
      </c>
      <c r="B11389">
        <v>1.4155</v>
      </c>
      <c r="C11389" t="str">
        <f t="shared" si="182"/>
        <v>2004 q4</v>
      </c>
    </row>
    <row r="11390" spans="1:3">
      <c r="A11390" s="62">
        <v>38337</v>
      </c>
      <c r="B11390">
        <v>1.417</v>
      </c>
      <c r="C11390" t="str">
        <f t="shared" si="182"/>
        <v>2004 q4</v>
      </c>
    </row>
    <row r="11391" spans="1:3">
      <c r="A11391" s="62">
        <v>38338</v>
      </c>
      <c r="B11391">
        <v>1.4275</v>
      </c>
      <c r="C11391" t="str">
        <f t="shared" si="182"/>
        <v>2004 q4</v>
      </c>
    </row>
    <row r="11392" spans="1:3">
      <c r="A11392" s="62">
        <v>38341</v>
      </c>
      <c r="B11392">
        <v>1.4484999999999999</v>
      </c>
      <c r="C11392" t="str">
        <f t="shared" si="182"/>
        <v>2004 q4</v>
      </c>
    </row>
    <row r="11393" spans="1:3">
      <c r="A11393" s="62">
        <v>38342</v>
      </c>
      <c r="B11393">
        <v>1.472</v>
      </c>
      <c r="C11393" t="str">
        <f t="shared" si="182"/>
        <v>2004 q4</v>
      </c>
    </row>
    <row r="11394" spans="1:3">
      <c r="A11394" s="62">
        <v>38343</v>
      </c>
      <c r="B11394">
        <v>1.4404999999999999</v>
      </c>
      <c r="C11394" t="str">
        <f t="shared" si="182"/>
        <v>2004 q4</v>
      </c>
    </row>
    <row r="11395" spans="1:3">
      <c r="A11395" s="62">
        <v>38344</v>
      </c>
      <c r="B11395">
        <v>1.4535</v>
      </c>
      <c r="C11395" t="str">
        <f t="shared" si="182"/>
        <v>2004 q4</v>
      </c>
    </row>
    <row r="11396" spans="1:3">
      <c r="A11396" s="62">
        <v>38348</v>
      </c>
      <c r="B11396">
        <v>1.4651000000000001</v>
      </c>
      <c r="C11396" t="str">
        <f t="shared" si="182"/>
        <v>2004 q4</v>
      </c>
    </row>
    <row r="11397" spans="1:3">
      <c r="A11397" s="62">
        <v>38349</v>
      </c>
      <c r="B11397">
        <v>1.4758</v>
      </c>
      <c r="C11397" t="str">
        <f t="shared" si="182"/>
        <v>2004 q4</v>
      </c>
    </row>
    <row r="11398" spans="1:3">
      <c r="A11398" s="62">
        <v>38350</v>
      </c>
      <c r="B11398">
        <v>1.46</v>
      </c>
      <c r="C11398" t="str">
        <f t="shared" si="182"/>
        <v>2004 q4</v>
      </c>
    </row>
    <row r="11399" spans="1:3">
      <c r="A11399" s="62">
        <v>38351</v>
      </c>
      <c r="B11399">
        <v>1.4594</v>
      </c>
      <c r="C11399" t="str">
        <f t="shared" si="182"/>
        <v>2004 q4</v>
      </c>
    </row>
    <row r="11400" spans="1:3">
      <c r="A11400" s="62">
        <v>38355</v>
      </c>
      <c r="B11400">
        <v>1.4735</v>
      </c>
      <c r="C11400" t="str">
        <f t="shared" si="182"/>
        <v>2005 q1</v>
      </c>
    </row>
    <row r="11401" spans="1:3">
      <c r="A11401" s="62">
        <v>38356</v>
      </c>
      <c r="B11401">
        <v>1.343</v>
      </c>
      <c r="C11401" t="str">
        <f t="shared" si="182"/>
        <v>2005 q1</v>
      </c>
    </row>
    <row r="11402" spans="1:3">
      <c r="A11402" s="62">
        <v>38357</v>
      </c>
      <c r="B11402">
        <v>1.375</v>
      </c>
      <c r="C11402" t="str">
        <f t="shared" si="182"/>
        <v>2005 q1</v>
      </c>
    </row>
    <row r="11403" spans="1:3">
      <c r="A11403" s="62">
        <v>38358</v>
      </c>
      <c r="B11403">
        <v>1.375</v>
      </c>
      <c r="C11403" t="str">
        <f t="shared" si="182"/>
        <v>2005 q1</v>
      </c>
    </row>
    <row r="11404" spans="1:3">
      <c r="A11404" s="62">
        <v>38359</v>
      </c>
      <c r="B11404">
        <v>1.37</v>
      </c>
      <c r="C11404" t="str">
        <f t="shared" si="182"/>
        <v>2005 q1</v>
      </c>
    </row>
    <row r="11405" spans="1:3">
      <c r="A11405" s="62">
        <v>38362</v>
      </c>
      <c r="B11405">
        <v>1.3694999999999999</v>
      </c>
      <c r="C11405" t="str">
        <f t="shared" si="182"/>
        <v>2005 q1</v>
      </c>
    </row>
    <row r="11406" spans="1:3">
      <c r="A11406" s="62">
        <v>38363</v>
      </c>
      <c r="B11406">
        <v>1.397</v>
      </c>
      <c r="C11406" t="str">
        <f t="shared" si="182"/>
        <v>2005 q1</v>
      </c>
    </row>
    <row r="11407" spans="1:3">
      <c r="A11407" s="62">
        <v>38364</v>
      </c>
      <c r="B11407">
        <v>1.4039999999999999</v>
      </c>
      <c r="C11407" t="str">
        <f t="shared" si="182"/>
        <v>2005 q1</v>
      </c>
    </row>
    <row r="11408" spans="1:3">
      <c r="A11408" s="62">
        <v>38365</v>
      </c>
      <c r="B11408">
        <v>1.381</v>
      </c>
      <c r="C11408" t="str">
        <f t="shared" si="182"/>
        <v>2005 q1</v>
      </c>
    </row>
    <row r="11409" spans="1:3">
      <c r="A11409" s="62">
        <v>38366</v>
      </c>
      <c r="B11409">
        <v>1.399</v>
      </c>
      <c r="C11409" t="str">
        <f t="shared" si="182"/>
        <v>2005 q1</v>
      </c>
    </row>
    <row r="11410" spans="1:3">
      <c r="A11410" s="62">
        <v>38370</v>
      </c>
      <c r="B11410">
        <v>1.4015</v>
      </c>
      <c r="C11410" t="str">
        <f t="shared" ref="C11410:C11473" si="183">YEAR(A11410)&amp;" q"&amp;ROUNDUP(MONTH(A11410)/3,0)</f>
        <v>2005 q1</v>
      </c>
    </row>
    <row r="11411" spans="1:3">
      <c r="A11411" s="62">
        <v>38371</v>
      </c>
      <c r="B11411">
        <v>1.4095</v>
      </c>
      <c r="C11411" t="str">
        <f t="shared" si="183"/>
        <v>2005 q1</v>
      </c>
    </row>
    <row r="11412" spans="1:3">
      <c r="A11412" s="62">
        <v>38372</v>
      </c>
      <c r="B11412">
        <v>1.415</v>
      </c>
      <c r="C11412" t="str">
        <f t="shared" si="183"/>
        <v>2005 q1</v>
      </c>
    </row>
    <row r="11413" spans="1:3">
      <c r="A11413" s="62">
        <v>38373</v>
      </c>
      <c r="B11413">
        <v>1.4345000000000001</v>
      </c>
      <c r="C11413" t="str">
        <f t="shared" si="183"/>
        <v>2005 q1</v>
      </c>
    </row>
    <row r="11414" spans="1:3">
      <c r="A11414" s="62">
        <v>38376</v>
      </c>
      <c r="B11414">
        <v>1.43</v>
      </c>
      <c r="C11414" t="str">
        <f t="shared" si="183"/>
        <v>2005 q1</v>
      </c>
    </row>
    <row r="11415" spans="1:3">
      <c r="A11415" s="62">
        <v>38377</v>
      </c>
      <c r="B11415">
        <v>1.429</v>
      </c>
      <c r="C11415" t="str">
        <f t="shared" si="183"/>
        <v>2005 q1</v>
      </c>
    </row>
    <row r="11416" spans="1:3">
      <c r="A11416" s="62">
        <v>38378</v>
      </c>
      <c r="B11416">
        <v>1.4355</v>
      </c>
      <c r="C11416" t="str">
        <f t="shared" si="183"/>
        <v>2005 q1</v>
      </c>
    </row>
    <row r="11417" spans="1:3">
      <c r="A11417" s="62">
        <v>38379</v>
      </c>
      <c r="B11417">
        <v>1.427</v>
      </c>
      <c r="C11417" t="str">
        <f t="shared" si="183"/>
        <v>2005 q1</v>
      </c>
    </row>
    <row r="11418" spans="1:3">
      <c r="A11418" s="62">
        <v>38380</v>
      </c>
      <c r="B11418">
        <v>1.4384999999999999</v>
      </c>
      <c r="C11418" t="str">
        <f t="shared" si="183"/>
        <v>2005 q1</v>
      </c>
    </row>
    <row r="11419" spans="1:3">
      <c r="A11419" s="62">
        <v>38383</v>
      </c>
      <c r="B11419">
        <v>1.4350000000000001</v>
      </c>
      <c r="C11419" t="str">
        <f t="shared" si="183"/>
        <v>2005 q1</v>
      </c>
    </row>
    <row r="11420" spans="1:3">
      <c r="A11420" s="62">
        <v>38384</v>
      </c>
      <c r="B11420">
        <v>1.4159999999999999</v>
      </c>
      <c r="C11420" t="str">
        <f t="shared" si="183"/>
        <v>2005 q1</v>
      </c>
    </row>
    <row r="11421" spans="1:3">
      <c r="A11421" s="62">
        <v>38385</v>
      </c>
      <c r="B11421">
        <v>1.3935</v>
      </c>
      <c r="C11421" t="str">
        <f t="shared" si="183"/>
        <v>2005 q1</v>
      </c>
    </row>
    <row r="11422" spans="1:3">
      <c r="A11422" s="62">
        <v>38386</v>
      </c>
      <c r="B11422">
        <v>1.3885000000000001</v>
      </c>
      <c r="C11422" t="str">
        <f t="shared" si="183"/>
        <v>2005 q1</v>
      </c>
    </row>
    <row r="11423" spans="1:3">
      <c r="A11423" s="62">
        <v>38387</v>
      </c>
      <c r="B11423">
        <v>1.3754999999999999</v>
      </c>
      <c r="C11423" t="str">
        <f t="shared" si="183"/>
        <v>2005 q1</v>
      </c>
    </row>
    <row r="11424" spans="1:3">
      <c r="A11424" s="62">
        <v>38390</v>
      </c>
      <c r="B11424">
        <v>1.3885000000000001</v>
      </c>
      <c r="C11424" t="str">
        <f t="shared" si="183"/>
        <v>2005 q1</v>
      </c>
    </row>
    <row r="11425" spans="1:3">
      <c r="A11425" s="62">
        <v>38391</v>
      </c>
      <c r="B11425">
        <v>1.3879999999999999</v>
      </c>
      <c r="C11425" t="str">
        <f t="shared" si="183"/>
        <v>2005 q1</v>
      </c>
    </row>
    <row r="11426" spans="1:3">
      <c r="A11426" s="62">
        <v>38392</v>
      </c>
      <c r="B11426">
        <v>1.387</v>
      </c>
      <c r="C11426" t="str">
        <f t="shared" si="183"/>
        <v>2005 q1</v>
      </c>
    </row>
    <row r="11427" spans="1:3">
      <c r="A11427" s="62">
        <v>38393</v>
      </c>
      <c r="B11427">
        <v>1.425</v>
      </c>
      <c r="C11427" t="str">
        <f t="shared" si="183"/>
        <v>2005 q1</v>
      </c>
    </row>
    <row r="11428" spans="1:3">
      <c r="A11428" s="62">
        <v>38394</v>
      </c>
      <c r="B11428">
        <v>1.4225000000000001</v>
      </c>
      <c r="C11428" t="str">
        <f t="shared" si="183"/>
        <v>2005 q1</v>
      </c>
    </row>
    <row r="11429" spans="1:3">
      <c r="A11429" s="62">
        <v>38397</v>
      </c>
      <c r="B11429">
        <v>1.4395</v>
      </c>
      <c r="C11429" t="str">
        <f t="shared" si="183"/>
        <v>2005 q1</v>
      </c>
    </row>
    <row r="11430" spans="1:3">
      <c r="A11430" s="62">
        <v>38398</v>
      </c>
      <c r="B11430">
        <v>1.4584999999999999</v>
      </c>
      <c r="C11430" t="str">
        <f t="shared" si="183"/>
        <v>2005 q1</v>
      </c>
    </row>
    <row r="11431" spans="1:3">
      <c r="A11431" s="62">
        <v>38399</v>
      </c>
      <c r="B11431">
        <v>1.448</v>
      </c>
      <c r="C11431" t="str">
        <f t="shared" si="183"/>
        <v>2005 q1</v>
      </c>
    </row>
    <row r="11432" spans="1:3">
      <c r="A11432" s="62">
        <v>38400</v>
      </c>
      <c r="B11432">
        <v>1.4935</v>
      </c>
      <c r="C11432" t="str">
        <f t="shared" si="183"/>
        <v>2005 q1</v>
      </c>
    </row>
    <row r="11433" spans="1:3">
      <c r="A11433" s="62">
        <v>38401</v>
      </c>
      <c r="B11433">
        <v>1.492</v>
      </c>
      <c r="C11433" t="str">
        <f t="shared" si="183"/>
        <v>2005 q1</v>
      </c>
    </row>
    <row r="11434" spans="1:3">
      <c r="A11434" s="62">
        <v>38405</v>
      </c>
      <c r="B11434">
        <v>1.4895</v>
      </c>
      <c r="C11434" t="str">
        <f t="shared" si="183"/>
        <v>2005 q1</v>
      </c>
    </row>
    <row r="11435" spans="1:3">
      <c r="A11435" s="62">
        <v>38406</v>
      </c>
      <c r="B11435">
        <v>1.4990000000000001</v>
      </c>
      <c r="C11435" t="str">
        <f t="shared" si="183"/>
        <v>2005 q1</v>
      </c>
    </row>
    <row r="11436" spans="1:3">
      <c r="A11436" s="62">
        <v>38407</v>
      </c>
      <c r="B11436">
        <v>1.4818</v>
      </c>
      <c r="C11436" t="str">
        <f t="shared" si="183"/>
        <v>2005 q1</v>
      </c>
    </row>
    <row r="11437" spans="1:3">
      <c r="A11437" s="62">
        <v>38408</v>
      </c>
      <c r="B11437">
        <v>1.4872000000000001</v>
      </c>
      <c r="C11437" t="str">
        <f t="shared" si="183"/>
        <v>2005 q1</v>
      </c>
    </row>
    <row r="11438" spans="1:3">
      <c r="A11438" s="62">
        <v>38411</v>
      </c>
      <c r="B11438">
        <v>1.4987999999999999</v>
      </c>
      <c r="C11438" t="str">
        <f t="shared" si="183"/>
        <v>2005 q1</v>
      </c>
    </row>
    <row r="11439" spans="1:3">
      <c r="A11439" s="62">
        <v>38412</v>
      </c>
      <c r="B11439">
        <v>1.4644999999999999</v>
      </c>
      <c r="C11439" t="str">
        <f t="shared" si="183"/>
        <v>2005 q1</v>
      </c>
    </row>
    <row r="11440" spans="1:3">
      <c r="A11440" s="62">
        <v>38413</v>
      </c>
      <c r="B11440">
        <v>1.4770000000000001</v>
      </c>
      <c r="C11440" t="str">
        <f t="shared" si="183"/>
        <v>2005 q1</v>
      </c>
    </row>
    <row r="11441" spans="1:3">
      <c r="A11441" s="62">
        <v>38414</v>
      </c>
      <c r="B11441">
        <v>1.476</v>
      </c>
      <c r="C11441" t="str">
        <f t="shared" si="183"/>
        <v>2005 q1</v>
      </c>
    </row>
    <row r="11442" spans="1:3">
      <c r="A11442" s="62">
        <v>38415</v>
      </c>
      <c r="B11442">
        <v>1.494</v>
      </c>
      <c r="C11442" t="str">
        <f t="shared" si="183"/>
        <v>2005 q1</v>
      </c>
    </row>
    <row r="11443" spans="1:3">
      <c r="A11443" s="62">
        <v>38418</v>
      </c>
      <c r="B11443">
        <v>1.4964999999999999</v>
      </c>
      <c r="C11443" t="str">
        <f t="shared" si="183"/>
        <v>2005 q1</v>
      </c>
    </row>
    <row r="11444" spans="1:3">
      <c r="A11444" s="62">
        <v>38419</v>
      </c>
      <c r="B11444">
        <v>1.4995000000000001</v>
      </c>
      <c r="C11444" t="str">
        <f t="shared" si="183"/>
        <v>2005 q1</v>
      </c>
    </row>
    <row r="11445" spans="1:3">
      <c r="A11445" s="62">
        <v>38420</v>
      </c>
      <c r="B11445">
        <v>1.5035000000000001</v>
      </c>
      <c r="C11445" t="str">
        <f t="shared" si="183"/>
        <v>2005 q1</v>
      </c>
    </row>
    <row r="11446" spans="1:3">
      <c r="A11446" s="62">
        <v>38421</v>
      </c>
      <c r="B11446">
        <v>1.496</v>
      </c>
      <c r="C11446" t="str">
        <f t="shared" si="183"/>
        <v>2005 q1</v>
      </c>
    </row>
    <row r="11447" spans="1:3">
      <c r="A11447" s="62">
        <v>38422</v>
      </c>
      <c r="B11447">
        <v>1.4790000000000001</v>
      </c>
      <c r="C11447" t="str">
        <f t="shared" si="183"/>
        <v>2005 q1</v>
      </c>
    </row>
    <row r="11448" spans="1:3">
      <c r="A11448" s="62">
        <v>38425</v>
      </c>
      <c r="B11448">
        <v>1.4704999999999999</v>
      </c>
      <c r="C11448" t="str">
        <f t="shared" si="183"/>
        <v>2005 q1</v>
      </c>
    </row>
    <row r="11449" spans="1:3">
      <c r="A11449" s="62">
        <v>38426</v>
      </c>
      <c r="B11449">
        <v>1.4904999999999999</v>
      </c>
      <c r="C11449" t="str">
        <f t="shared" si="183"/>
        <v>2005 q1</v>
      </c>
    </row>
    <row r="11450" spans="1:3">
      <c r="A11450" s="62">
        <v>38427</v>
      </c>
      <c r="B11450">
        <v>1.506</v>
      </c>
      <c r="C11450" t="str">
        <f t="shared" si="183"/>
        <v>2005 q1</v>
      </c>
    </row>
    <row r="11451" spans="1:3">
      <c r="A11451" s="62">
        <v>38428</v>
      </c>
      <c r="B11451">
        <v>1.5044999999999999</v>
      </c>
      <c r="C11451" t="str">
        <f t="shared" si="183"/>
        <v>2005 q1</v>
      </c>
    </row>
    <row r="11452" spans="1:3">
      <c r="A11452" s="62">
        <v>38429</v>
      </c>
      <c r="B11452">
        <v>1.5069999999999999</v>
      </c>
      <c r="C11452" t="str">
        <f t="shared" si="183"/>
        <v>2005 q1</v>
      </c>
    </row>
    <row r="11453" spans="1:3">
      <c r="A11453" s="62">
        <v>38432</v>
      </c>
      <c r="B11453">
        <v>1.4890000000000001</v>
      </c>
      <c r="C11453" t="str">
        <f t="shared" si="183"/>
        <v>2005 q1</v>
      </c>
    </row>
    <row r="11454" spans="1:3">
      <c r="A11454" s="62">
        <v>38433</v>
      </c>
      <c r="B11454">
        <v>1.4975000000000001</v>
      </c>
      <c r="C11454" t="str">
        <f t="shared" si="183"/>
        <v>2005 q1</v>
      </c>
    </row>
    <row r="11455" spans="1:3">
      <c r="A11455" s="62">
        <v>38434</v>
      </c>
      <c r="B11455">
        <v>1.4444999999999999</v>
      </c>
      <c r="C11455" t="str">
        <f t="shared" si="183"/>
        <v>2005 q1</v>
      </c>
    </row>
    <row r="11456" spans="1:3">
      <c r="A11456" s="62">
        <v>38435</v>
      </c>
      <c r="B11456">
        <v>1.4535</v>
      </c>
      <c r="C11456" t="str">
        <f t="shared" si="183"/>
        <v>2005 q1</v>
      </c>
    </row>
    <row r="11457" spans="1:3">
      <c r="A11457" s="62">
        <v>38439</v>
      </c>
      <c r="B11457">
        <v>1.4544999999999999</v>
      </c>
      <c r="C11457" t="str">
        <f t="shared" si="183"/>
        <v>2005 q1</v>
      </c>
    </row>
    <row r="11458" spans="1:3">
      <c r="A11458" s="62">
        <v>38440</v>
      </c>
      <c r="B11458">
        <v>1.4704999999999999</v>
      </c>
      <c r="C11458" t="str">
        <f t="shared" si="183"/>
        <v>2005 q1</v>
      </c>
    </row>
    <row r="11459" spans="1:3">
      <c r="A11459" s="62">
        <v>38441</v>
      </c>
      <c r="B11459">
        <v>1.492</v>
      </c>
      <c r="C11459" t="str">
        <f t="shared" si="183"/>
        <v>2005 q1</v>
      </c>
    </row>
    <row r="11460" spans="1:3">
      <c r="A11460" s="62">
        <v>38442</v>
      </c>
      <c r="B11460">
        <v>1.5024999999999999</v>
      </c>
      <c r="C11460" t="str">
        <f t="shared" si="183"/>
        <v>2005 q1</v>
      </c>
    </row>
    <row r="11461" spans="1:3">
      <c r="A11461" s="62">
        <v>38443</v>
      </c>
      <c r="B11461">
        <v>1.4844999999999999</v>
      </c>
      <c r="C11461" t="str">
        <f t="shared" si="183"/>
        <v>2005 q2</v>
      </c>
    </row>
    <row r="11462" spans="1:3">
      <c r="A11462" s="62">
        <v>38446</v>
      </c>
      <c r="B11462">
        <v>1.4950000000000001</v>
      </c>
      <c r="C11462" t="str">
        <f t="shared" si="183"/>
        <v>2005 q2</v>
      </c>
    </row>
    <row r="11463" spans="1:3">
      <c r="A11463" s="62">
        <v>38447</v>
      </c>
      <c r="B11463">
        <v>1.4844999999999999</v>
      </c>
      <c r="C11463" t="str">
        <f t="shared" si="183"/>
        <v>2005 q2</v>
      </c>
    </row>
    <row r="11464" spans="1:3">
      <c r="A11464" s="62">
        <v>38448</v>
      </c>
      <c r="B11464">
        <v>1.5085</v>
      </c>
      <c r="C11464" t="str">
        <f t="shared" si="183"/>
        <v>2005 q2</v>
      </c>
    </row>
    <row r="11465" spans="1:3">
      <c r="A11465" s="62">
        <v>38449</v>
      </c>
      <c r="B11465">
        <v>1.5065</v>
      </c>
      <c r="C11465" t="str">
        <f t="shared" si="183"/>
        <v>2005 q2</v>
      </c>
    </row>
    <row r="11466" spans="1:3">
      <c r="A11466" s="62">
        <v>38450</v>
      </c>
      <c r="B11466">
        <v>1.5075000000000001</v>
      </c>
      <c r="C11466" t="str">
        <f t="shared" si="183"/>
        <v>2005 q2</v>
      </c>
    </row>
    <row r="11467" spans="1:3">
      <c r="A11467" s="62">
        <v>38453</v>
      </c>
      <c r="B11467">
        <v>1.5249999999999999</v>
      </c>
      <c r="C11467" t="str">
        <f t="shared" si="183"/>
        <v>2005 q2</v>
      </c>
    </row>
    <row r="11468" spans="1:3">
      <c r="A11468" s="62">
        <v>38454</v>
      </c>
      <c r="B11468">
        <v>1.496</v>
      </c>
      <c r="C11468" t="str">
        <f t="shared" si="183"/>
        <v>2005 q2</v>
      </c>
    </row>
    <row r="11469" spans="1:3">
      <c r="A11469" s="62">
        <v>38455</v>
      </c>
      <c r="B11469">
        <v>1.4595</v>
      </c>
      <c r="C11469" t="str">
        <f t="shared" si="183"/>
        <v>2005 q2</v>
      </c>
    </row>
    <row r="11470" spans="1:3">
      <c r="A11470" s="62">
        <v>38456</v>
      </c>
      <c r="B11470">
        <v>1.4285000000000001</v>
      </c>
      <c r="C11470" t="str">
        <f t="shared" si="183"/>
        <v>2005 q2</v>
      </c>
    </row>
    <row r="11471" spans="1:3">
      <c r="A11471" s="62">
        <v>38457</v>
      </c>
      <c r="B11471">
        <v>1.4450000000000001</v>
      </c>
      <c r="C11471" t="str">
        <f t="shared" si="183"/>
        <v>2005 q2</v>
      </c>
    </row>
    <row r="11472" spans="1:3">
      <c r="A11472" s="62">
        <v>38460</v>
      </c>
      <c r="B11472">
        <v>1.4450000000000001</v>
      </c>
      <c r="C11472" t="str">
        <f t="shared" si="183"/>
        <v>2005 q2</v>
      </c>
    </row>
    <row r="11473" spans="1:3">
      <c r="A11473" s="62">
        <v>38461</v>
      </c>
      <c r="B11473">
        <v>1.4715</v>
      </c>
      <c r="C11473" t="str">
        <f t="shared" si="183"/>
        <v>2005 q2</v>
      </c>
    </row>
    <row r="11474" spans="1:3">
      <c r="A11474" s="62">
        <v>38462</v>
      </c>
      <c r="B11474">
        <v>1.5095000000000001</v>
      </c>
      <c r="C11474" t="str">
        <f t="shared" ref="C11474:C11537" si="184">YEAR(A11474)&amp;" q"&amp;ROUNDUP(MONTH(A11474)/3,0)</f>
        <v>2005 q2</v>
      </c>
    </row>
    <row r="11475" spans="1:3">
      <c r="A11475" s="62">
        <v>38463</v>
      </c>
      <c r="B11475">
        <v>1.4835</v>
      </c>
      <c r="C11475" t="str">
        <f t="shared" si="184"/>
        <v>2005 q2</v>
      </c>
    </row>
    <row r="11476" spans="1:3">
      <c r="A11476" s="62">
        <v>38464</v>
      </c>
      <c r="B11476">
        <v>1.488</v>
      </c>
      <c r="C11476" t="str">
        <f t="shared" si="184"/>
        <v>2005 q2</v>
      </c>
    </row>
    <row r="11477" spans="1:3">
      <c r="A11477" s="62">
        <v>38467</v>
      </c>
      <c r="B11477">
        <v>1.4895</v>
      </c>
      <c r="C11477" t="str">
        <f t="shared" si="184"/>
        <v>2005 q2</v>
      </c>
    </row>
    <row r="11478" spans="1:3">
      <c r="A11478" s="62">
        <v>38468</v>
      </c>
      <c r="B11478">
        <v>1.4652000000000001</v>
      </c>
      <c r="C11478" t="str">
        <f t="shared" si="184"/>
        <v>2005 q2</v>
      </c>
    </row>
    <row r="11479" spans="1:3">
      <c r="A11479" s="62">
        <v>38469</v>
      </c>
      <c r="B11479">
        <v>1.452</v>
      </c>
      <c r="C11479" t="str">
        <f t="shared" si="184"/>
        <v>2005 q2</v>
      </c>
    </row>
    <row r="11480" spans="1:3">
      <c r="A11480" s="62">
        <v>38470</v>
      </c>
      <c r="B11480">
        <v>1.4481999999999999</v>
      </c>
      <c r="C11480" t="str">
        <f t="shared" si="184"/>
        <v>2005 q2</v>
      </c>
    </row>
    <row r="11481" spans="1:3">
      <c r="A11481" s="62">
        <v>38471</v>
      </c>
      <c r="B11481">
        <v>1.4698</v>
      </c>
      <c r="C11481" t="str">
        <f t="shared" si="184"/>
        <v>2005 q2</v>
      </c>
    </row>
    <row r="11482" spans="1:3">
      <c r="A11482" s="62">
        <v>38474</v>
      </c>
      <c r="B11482">
        <v>1.4550000000000001</v>
      </c>
      <c r="C11482" t="str">
        <f t="shared" si="184"/>
        <v>2005 q2</v>
      </c>
    </row>
    <row r="11483" spans="1:3">
      <c r="A11483" s="62">
        <v>38475</v>
      </c>
      <c r="B11483">
        <v>1.4435</v>
      </c>
      <c r="C11483" t="str">
        <f t="shared" si="184"/>
        <v>2005 q2</v>
      </c>
    </row>
    <row r="11484" spans="1:3">
      <c r="A11484" s="62">
        <v>38476</v>
      </c>
      <c r="B11484">
        <v>1.429</v>
      </c>
      <c r="C11484" t="str">
        <f t="shared" si="184"/>
        <v>2005 q2</v>
      </c>
    </row>
    <row r="11485" spans="1:3">
      <c r="A11485" s="62">
        <v>38477</v>
      </c>
      <c r="B11485">
        <v>1.43</v>
      </c>
      <c r="C11485" t="str">
        <f t="shared" si="184"/>
        <v>2005 q2</v>
      </c>
    </row>
    <row r="11486" spans="1:3">
      <c r="A11486" s="62">
        <v>38478</v>
      </c>
      <c r="B11486">
        <v>1.4410000000000001</v>
      </c>
      <c r="C11486" t="str">
        <f t="shared" si="184"/>
        <v>2005 q2</v>
      </c>
    </row>
    <row r="11487" spans="1:3">
      <c r="A11487" s="62">
        <v>38481</v>
      </c>
      <c r="B11487">
        <v>1.4464999999999999</v>
      </c>
      <c r="C11487" t="str">
        <f t="shared" si="184"/>
        <v>2005 q2</v>
      </c>
    </row>
    <row r="11488" spans="1:3">
      <c r="A11488" s="62">
        <v>38482</v>
      </c>
      <c r="B11488">
        <v>1.4570000000000001</v>
      </c>
      <c r="C11488" t="str">
        <f t="shared" si="184"/>
        <v>2005 q2</v>
      </c>
    </row>
    <row r="11489" spans="1:3">
      <c r="A11489" s="62">
        <v>38483</v>
      </c>
      <c r="B11489">
        <v>1.4424999999999999</v>
      </c>
      <c r="C11489" t="str">
        <f t="shared" si="184"/>
        <v>2005 q2</v>
      </c>
    </row>
    <row r="11490" spans="1:3">
      <c r="A11490" s="62">
        <v>38484</v>
      </c>
      <c r="B11490">
        <v>1.3759999999999999</v>
      </c>
      <c r="C11490" t="str">
        <f t="shared" si="184"/>
        <v>2005 q2</v>
      </c>
    </row>
    <row r="11491" spans="1:3">
      <c r="A11491" s="62">
        <v>38485</v>
      </c>
      <c r="B11491">
        <v>1.3525</v>
      </c>
      <c r="C11491" t="str">
        <f t="shared" si="184"/>
        <v>2005 q2</v>
      </c>
    </row>
    <row r="11492" spans="1:3">
      <c r="A11492" s="62">
        <v>38488</v>
      </c>
      <c r="B11492">
        <v>1.3460000000000001</v>
      </c>
      <c r="C11492" t="str">
        <f t="shared" si="184"/>
        <v>2005 q2</v>
      </c>
    </row>
    <row r="11493" spans="1:3">
      <c r="A11493" s="62">
        <v>38489</v>
      </c>
      <c r="B11493">
        <v>1.3485</v>
      </c>
      <c r="C11493" t="str">
        <f t="shared" si="184"/>
        <v>2005 q2</v>
      </c>
    </row>
    <row r="11494" spans="1:3">
      <c r="A11494" s="62">
        <v>38490</v>
      </c>
      <c r="B11494">
        <v>1.3759999999999999</v>
      </c>
      <c r="C11494" t="str">
        <f t="shared" si="184"/>
        <v>2005 q2</v>
      </c>
    </row>
    <row r="11495" spans="1:3">
      <c r="A11495" s="62">
        <v>38491</v>
      </c>
      <c r="B11495">
        <v>1.363</v>
      </c>
      <c r="C11495" t="str">
        <f t="shared" si="184"/>
        <v>2005 q2</v>
      </c>
    </row>
    <row r="11496" spans="1:3">
      <c r="A11496" s="62">
        <v>38492</v>
      </c>
      <c r="B11496">
        <v>1.375</v>
      </c>
      <c r="C11496" t="str">
        <f t="shared" si="184"/>
        <v>2005 q2</v>
      </c>
    </row>
    <row r="11497" spans="1:3">
      <c r="A11497" s="62">
        <v>38495</v>
      </c>
      <c r="B11497">
        <v>1.3885000000000001</v>
      </c>
      <c r="C11497" t="str">
        <f t="shared" si="184"/>
        <v>2005 q2</v>
      </c>
    </row>
    <row r="11498" spans="1:3">
      <c r="A11498" s="62">
        <v>38496</v>
      </c>
      <c r="B11498">
        <v>1.405</v>
      </c>
      <c r="C11498" t="str">
        <f t="shared" si="184"/>
        <v>2005 q2</v>
      </c>
    </row>
    <row r="11499" spans="1:3">
      <c r="A11499" s="62">
        <v>38497</v>
      </c>
      <c r="B11499">
        <v>1.4195</v>
      </c>
      <c r="C11499" t="str">
        <f t="shared" si="184"/>
        <v>2005 q2</v>
      </c>
    </row>
    <row r="11500" spans="1:3">
      <c r="A11500" s="62">
        <v>38498</v>
      </c>
      <c r="B11500">
        <v>1.4495</v>
      </c>
      <c r="C11500" t="str">
        <f t="shared" si="184"/>
        <v>2005 q2</v>
      </c>
    </row>
    <row r="11501" spans="1:3">
      <c r="A11501" s="62">
        <v>38499</v>
      </c>
      <c r="B11501">
        <v>1.4510000000000001</v>
      </c>
      <c r="C11501" t="str">
        <f t="shared" si="184"/>
        <v>2005 q2</v>
      </c>
    </row>
    <row r="11502" spans="1:3">
      <c r="A11502" s="62">
        <v>38503</v>
      </c>
      <c r="B11502">
        <v>1.4564999999999999</v>
      </c>
      <c r="C11502" t="str">
        <f t="shared" si="184"/>
        <v>2005 q2</v>
      </c>
    </row>
    <row r="11503" spans="1:3">
      <c r="A11503" s="62">
        <v>38504</v>
      </c>
      <c r="B11503">
        <v>1.4855</v>
      </c>
      <c r="C11503" t="str">
        <f t="shared" si="184"/>
        <v>2005 q2</v>
      </c>
    </row>
    <row r="11504" spans="1:3">
      <c r="A11504" s="62">
        <v>38505</v>
      </c>
      <c r="B11504">
        <v>1.5165</v>
      </c>
      <c r="C11504" t="str">
        <f t="shared" si="184"/>
        <v>2005 q2</v>
      </c>
    </row>
    <row r="11505" spans="1:3">
      <c r="A11505" s="62">
        <v>38506</v>
      </c>
      <c r="B11505">
        <v>1.5575000000000001</v>
      </c>
      <c r="C11505" t="str">
        <f t="shared" si="184"/>
        <v>2005 q2</v>
      </c>
    </row>
    <row r="11506" spans="1:3">
      <c r="A11506" s="62">
        <v>38509</v>
      </c>
      <c r="B11506">
        <v>1.5640000000000001</v>
      </c>
      <c r="C11506" t="str">
        <f t="shared" si="184"/>
        <v>2005 q2</v>
      </c>
    </row>
    <row r="11507" spans="1:3">
      <c r="A11507" s="62">
        <v>38510</v>
      </c>
      <c r="B11507">
        <v>1.5429999999999999</v>
      </c>
      <c r="C11507" t="str">
        <f t="shared" si="184"/>
        <v>2005 q2</v>
      </c>
    </row>
    <row r="11508" spans="1:3">
      <c r="A11508" s="62">
        <v>38511</v>
      </c>
      <c r="B11508">
        <v>1.546</v>
      </c>
      <c r="C11508" t="str">
        <f t="shared" si="184"/>
        <v>2005 q2</v>
      </c>
    </row>
    <row r="11509" spans="1:3">
      <c r="A11509" s="62">
        <v>38512</v>
      </c>
      <c r="B11509">
        <v>1.5469999999999999</v>
      </c>
      <c r="C11509" t="str">
        <f t="shared" si="184"/>
        <v>2005 q2</v>
      </c>
    </row>
    <row r="11510" spans="1:3">
      <c r="A11510" s="62">
        <v>38513</v>
      </c>
      <c r="B11510">
        <v>1.5625</v>
      </c>
      <c r="C11510" t="str">
        <f t="shared" si="184"/>
        <v>2005 q2</v>
      </c>
    </row>
    <row r="11511" spans="1:3">
      <c r="A11511" s="62">
        <v>38516</v>
      </c>
      <c r="B11511">
        <v>1.5395000000000001</v>
      </c>
      <c r="C11511" t="str">
        <f t="shared" si="184"/>
        <v>2005 q2</v>
      </c>
    </row>
    <row r="11512" spans="1:3">
      <c r="A11512" s="62">
        <v>38517</v>
      </c>
      <c r="B11512">
        <v>1.5265</v>
      </c>
      <c r="C11512" t="str">
        <f t="shared" si="184"/>
        <v>2005 q2</v>
      </c>
    </row>
    <row r="11513" spans="1:3">
      <c r="A11513" s="62">
        <v>38518</v>
      </c>
      <c r="B11513">
        <v>1.5489999999999999</v>
      </c>
      <c r="C11513" t="str">
        <f t="shared" si="184"/>
        <v>2005 q2</v>
      </c>
    </row>
    <row r="11514" spans="1:3">
      <c r="A11514" s="62">
        <v>38519</v>
      </c>
      <c r="B11514">
        <v>1.5694999999999999</v>
      </c>
      <c r="C11514" t="str">
        <f t="shared" si="184"/>
        <v>2005 q2</v>
      </c>
    </row>
    <row r="11515" spans="1:3">
      <c r="A11515" s="62">
        <v>38520</v>
      </c>
      <c r="B11515">
        <v>1.6040000000000001</v>
      </c>
      <c r="C11515" t="str">
        <f t="shared" si="184"/>
        <v>2005 q2</v>
      </c>
    </row>
    <row r="11516" spans="1:3">
      <c r="A11516" s="62">
        <v>38523</v>
      </c>
      <c r="B11516">
        <v>1.5874999999999999</v>
      </c>
      <c r="C11516" t="str">
        <f t="shared" si="184"/>
        <v>2005 q2</v>
      </c>
    </row>
    <row r="11517" spans="1:3">
      <c r="A11517" s="62">
        <v>38524</v>
      </c>
      <c r="B11517">
        <v>1.5925</v>
      </c>
      <c r="C11517" t="str">
        <f t="shared" si="184"/>
        <v>2005 q2</v>
      </c>
    </row>
    <row r="11518" spans="1:3">
      <c r="A11518" s="62">
        <v>38525</v>
      </c>
      <c r="B11518">
        <v>1.5845</v>
      </c>
      <c r="C11518" t="str">
        <f t="shared" si="184"/>
        <v>2005 q2</v>
      </c>
    </row>
    <row r="11519" spans="1:3">
      <c r="A11519" s="62">
        <v>38526</v>
      </c>
      <c r="B11519">
        <v>1.5825</v>
      </c>
      <c r="C11519" t="str">
        <f t="shared" si="184"/>
        <v>2005 q2</v>
      </c>
    </row>
    <row r="11520" spans="1:3">
      <c r="A11520" s="62">
        <v>38527</v>
      </c>
      <c r="B11520">
        <v>1.593</v>
      </c>
      <c r="C11520" t="str">
        <f t="shared" si="184"/>
        <v>2005 q2</v>
      </c>
    </row>
    <row r="11521" spans="1:3">
      <c r="A11521" s="62">
        <v>38530</v>
      </c>
      <c r="B11521">
        <v>1.591</v>
      </c>
      <c r="C11521" t="str">
        <f t="shared" si="184"/>
        <v>2005 q2</v>
      </c>
    </row>
    <row r="11522" spans="1:3">
      <c r="A11522" s="62">
        <v>38531</v>
      </c>
      <c r="B11522">
        <v>1.575</v>
      </c>
      <c r="C11522" t="str">
        <f t="shared" si="184"/>
        <v>2005 q2</v>
      </c>
    </row>
    <row r="11523" spans="1:3">
      <c r="A11523" s="62">
        <v>38532</v>
      </c>
      <c r="B11523">
        <v>1.5762</v>
      </c>
      <c r="C11523" t="str">
        <f t="shared" si="184"/>
        <v>2005 q2</v>
      </c>
    </row>
    <row r="11524" spans="1:3">
      <c r="A11524" s="62">
        <v>38533</v>
      </c>
      <c r="B11524">
        <v>1.5186999999999999</v>
      </c>
      <c r="C11524" t="str">
        <f t="shared" si="184"/>
        <v>2005 q2</v>
      </c>
    </row>
    <row r="11525" spans="1:3">
      <c r="A11525" s="62">
        <v>38534</v>
      </c>
      <c r="B11525">
        <v>1.4735</v>
      </c>
      <c r="C11525" t="str">
        <f t="shared" si="184"/>
        <v>2005 q3</v>
      </c>
    </row>
    <row r="11526" spans="1:3">
      <c r="A11526" s="62">
        <v>38538</v>
      </c>
      <c r="B11526">
        <v>1.5089999999999999</v>
      </c>
      <c r="C11526" t="str">
        <f t="shared" si="184"/>
        <v>2005 q3</v>
      </c>
    </row>
    <row r="11527" spans="1:3">
      <c r="A11527" s="62">
        <v>38539</v>
      </c>
      <c r="B11527">
        <v>1.53</v>
      </c>
      <c r="C11527" t="str">
        <f t="shared" si="184"/>
        <v>2005 q3</v>
      </c>
    </row>
    <row r="11528" spans="1:3">
      <c r="A11528" s="62">
        <v>38540</v>
      </c>
      <c r="B11528">
        <v>1.5355000000000001</v>
      </c>
      <c r="C11528" t="str">
        <f t="shared" si="184"/>
        <v>2005 q3</v>
      </c>
    </row>
    <row r="11529" spans="1:3">
      <c r="A11529" s="62">
        <v>38541</v>
      </c>
      <c r="B11529">
        <v>1.556</v>
      </c>
      <c r="C11529" t="str">
        <f t="shared" si="184"/>
        <v>2005 q3</v>
      </c>
    </row>
    <row r="11530" spans="1:3">
      <c r="A11530" s="62">
        <v>38544</v>
      </c>
      <c r="B11530">
        <v>1.5609999999999999</v>
      </c>
      <c r="C11530" t="str">
        <f t="shared" si="184"/>
        <v>2005 q3</v>
      </c>
    </row>
    <row r="11531" spans="1:3">
      <c r="A11531" s="62">
        <v>38545</v>
      </c>
      <c r="B11531">
        <v>1.5389999999999999</v>
      </c>
      <c r="C11531" t="str">
        <f t="shared" si="184"/>
        <v>2005 q3</v>
      </c>
    </row>
    <row r="11532" spans="1:3">
      <c r="A11532" s="62">
        <v>38546</v>
      </c>
      <c r="B11532">
        <v>1.5495000000000001</v>
      </c>
      <c r="C11532" t="str">
        <f t="shared" si="184"/>
        <v>2005 q3</v>
      </c>
    </row>
    <row r="11533" spans="1:3">
      <c r="A11533" s="62">
        <v>38547</v>
      </c>
      <c r="B11533">
        <v>1.5469999999999999</v>
      </c>
      <c r="C11533" t="str">
        <f t="shared" si="184"/>
        <v>2005 q3</v>
      </c>
    </row>
    <row r="11534" spans="1:3">
      <c r="A11534" s="62">
        <v>38548</v>
      </c>
      <c r="B11534">
        <v>1.5620000000000001</v>
      </c>
      <c r="C11534" t="str">
        <f t="shared" si="184"/>
        <v>2005 q3</v>
      </c>
    </row>
    <row r="11535" spans="1:3">
      <c r="A11535" s="62">
        <v>38551</v>
      </c>
      <c r="B11535">
        <v>1.5665</v>
      </c>
      <c r="C11535" t="str">
        <f t="shared" si="184"/>
        <v>2005 q3</v>
      </c>
    </row>
    <row r="11536" spans="1:3">
      <c r="A11536" s="62">
        <v>38552</v>
      </c>
      <c r="B11536">
        <v>1.5865</v>
      </c>
      <c r="C11536" t="str">
        <f t="shared" si="184"/>
        <v>2005 q3</v>
      </c>
    </row>
    <row r="11537" spans="1:3">
      <c r="A11537" s="62">
        <v>38553</v>
      </c>
      <c r="B11537">
        <v>1.5914999999999999</v>
      </c>
      <c r="C11537" t="str">
        <f t="shared" si="184"/>
        <v>2005 q3</v>
      </c>
    </row>
    <row r="11538" spans="1:3">
      <c r="A11538" s="62">
        <v>38554</v>
      </c>
      <c r="B11538">
        <v>1.57</v>
      </c>
      <c r="C11538" t="str">
        <f t="shared" ref="C11538:C11601" si="185">YEAR(A11538)&amp;" q"&amp;ROUNDUP(MONTH(A11538)/3,0)</f>
        <v>2005 q3</v>
      </c>
    </row>
    <row r="11539" spans="1:3">
      <c r="A11539" s="62">
        <v>38555</v>
      </c>
      <c r="B11539">
        <v>1.6034999999999999</v>
      </c>
      <c r="C11539" t="str">
        <f t="shared" si="185"/>
        <v>2005 q3</v>
      </c>
    </row>
    <row r="11540" spans="1:3">
      <c r="A11540" s="62">
        <v>38558</v>
      </c>
      <c r="B11540">
        <v>1.6180000000000001</v>
      </c>
      <c r="C11540" t="str">
        <f t="shared" si="185"/>
        <v>2005 q3</v>
      </c>
    </row>
    <row r="11541" spans="1:3">
      <c r="A11541" s="62">
        <v>38559</v>
      </c>
      <c r="B11541">
        <v>1.6060000000000001</v>
      </c>
      <c r="C11541" t="str">
        <f t="shared" si="185"/>
        <v>2005 q3</v>
      </c>
    </row>
    <row r="11542" spans="1:3">
      <c r="A11542" s="62">
        <v>38560</v>
      </c>
      <c r="B11542">
        <v>1.627</v>
      </c>
      <c r="C11542" t="str">
        <f t="shared" si="185"/>
        <v>2005 q3</v>
      </c>
    </row>
    <row r="11543" spans="1:3">
      <c r="A11543" s="62">
        <v>38561</v>
      </c>
      <c r="B11543">
        <v>1.649</v>
      </c>
      <c r="C11543" t="str">
        <f t="shared" si="185"/>
        <v>2005 q3</v>
      </c>
    </row>
    <row r="11544" spans="1:3">
      <c r="A11544" s="62">
        <v>38562</v>
      </c>
      <c r="B11544">
        <v>1.6445000000000001</v>
      </c>
      <c r="C11544" t="str">
        <f t="shared" si="185"/>
        <v>2005 q3</v>
      </c>
    </row>
    <row r="11545" spans="1:3">
      <c r="A11545" s="62">
        <v>38565</v>
      </c>
      <c r="B11545">
        <v>1.663</v>
      </c>
      <c r="C11545" t="str">
        <f t="shared" si="185"/>
        <v>2005 q3</v>
      </c>
    </row>
    <row r="11546" spans="1:3">
      <c r="A11546" s="62">
        <v>38566</v>
      </c>
      <c r="B11546">
        <v>1.6625000000000001</v>
      </c>
      <c r="C11546" t="str">
        <f t="shared" si="185"/>
        <v>2005 q3</v>
      </c>
    </row>
    <row r="11547" spans="1:3">
      <c r="A11547" s="62">
        <v>38567</v>
      </c>
      <c r="B11547">
        <v>1.6715</v>
      </c>
      <c r="C11547" t="str">
        <f t="shared" si="185"/>
        <v>2005 q3</v>
      </c>
    </row>
    <row r="11548" spans="1:3">
      <c r="A11548" s="62">
        <v>38568</v>
      </c>
      <c r="B11548">
        <v>1.6545000000000001</v>
      </c>
      <c r="C11548" t="str">
        <f t="shared" si="185"/>
        <v>2005 q3</v>
      </c>
    </row>
    <row r="11549" spans="1:3">
      <c r="A11549" s="62">
        <v>38569</v>
      </c>
      <c r="B11549">
        <v>1.649</v>
      </c>
      <c r="C11549" t="str">
        <f t="shared" si="185"/>
        <v>2005 q3</v>
      </c>
    </row>
    <row r="11550" spans="1:3">
      <c r="A11550" s="62">
        <v>38572</v>
      </c>
      <c r="B11550">
        <v>1.6465000000000001</v>
      </c>
      <c r="C11550" t="str">
        <f t="shared" si="185"/>
        <v>2005 q3</v>
      </c>
    </row>
    <row r="11551" spans="1:3">
      <c r="A11551" s="62">
        <v>38573</v>
      </c>
      <c r="B11551">
        <v>1.6074999999999999</v>
      </c>
      <c r="C11551" t="str">
        <f t="shared" si="185"/>
        <v>2005 q3</v>
      </c>
    </row>
    <row r="11552" spans="1:3">
      <c r="A11552" s="62">
        <v>38574</v>
      </c>
      <c r="B11552">
        <v>1.6345000000000001</v>
      </c>
      <c r="C11552" t="str">
        <f t="shared" si="185"/>
        <v>2005 q3</v>
      </c>
    </row>
    <row r="11553" spans="1:3">
      <c r="A11553" s="62">
        <v>38575</v>
      </c>
      <c r="B11553">
        <v>1.647</v>
      </c>
      <c r="C11553" t="str">
        <f t="shared" si="185"/>
        <v>2005 q3</v>
      </c>
    </row>
    <row r="11554" spans="1:3">
      <c r="A11554" s="62">
        <v>38576</v>
      </c>
      <c r="B11554">
        <v>1.6759999999999999</v>
      </c>
      <c r="C11554" t="str">
        <f t="shared" si="185"/>
        <v>2005 q3</v>
      </c>
    </row>
    <row r="11555" spans="1:3">
      <c r="A11555" s="62">
        <v>38579</v>
      </c>
      <c r="B11555">
        <v>1.7075</v>
      </c>
      <c r="C11555" t="str">
        <f t="shared" si="185"/>
        <v>2005 q3</v>
      </c>
    </row>
    <row r="11556" spans="1:3">
      <c r="A11556" s="62">
        <v>38580</v>
      </c>
      <c r="B11556">
        <v>1.7144999999999999</v>
      </c>
      <c r="C11556" t="str">
        <f t="shared" si="185"/>
        <v>2005 q3</v>
      </c>
    </row>
    <row r="11557" spans="1:3">
      <c r="A11557" s="62">
        <v>38581</v>
      </c>
      <c r="B11557">
        <v>1.657</v>
      </c>
      <c r="C11557" t="str">
        <f t="shared" si="185"/>
        <v>2005 q3</v>
      </c>
    </row>
    <row r="11558" spans="1:3">
      <c r="A11558" s="62">
        <v>38582</v>
      </c>
      <c r="B11558">
        <v>1.659</v>
      </c>
      <c r="C11558" t="str">
        <f t="shared" si="185"/>
        <v>2005 q3</v>
      </c>
    </row>
    <row r="11559" spans="1:3">
      <c r="A11559" s="62">
        <v>38583</v>
      </c>
      <c r="B11559">
        <v>1.659</v>
      </c>
      <c r="C11559" t="str">
        <f t="shared" si="185"/>
        <v>2005 q3</v>
      </c>
    </row>
    <row r="11560" spans="1:3">
      <c r="A11560" s="62">
        <v>38586</v>
      </c>
      <c r="B11560">
        <v>1.6850000000000001</v>
      </c>
      <c r="C11560" t="str">
        <f t="shared" si="185"/>
        <v>2005 q3</v>
      </c>
    </row>
    <row r="11561" spans="1:3">
      <c r="A11561" s="62">
        <v>38587</v>
      </c>
      <c r="B11561">
        <v>1.6919999999999999</v>
      </c>
      <c r="C11561" t="str">
        <f t="shared" si="185"/>
        <v>2005 q3</v>
      </c>
    </row>
    <row r="11562" spans="1:3">
      <c r="A11562" s="62">
        <v>38588</v>
      </c>
      <c r="B11562">
        <v>1.667</v>
      </c>
      <c r="C11562" t="str">
        <f t="shared" si="185"/>
        <v>2005 q3</v>
      </c>
    </row>
    <row r="11563" spans="1:3">
      <c r="A11563" s="62">
        <v>38589</v>
      </c>
      <c r="B11563">
        <v>1.649</v>
      </c>
      <c r="C11563" t="str">
        <f t="shared" si="185"/>
        <v>2005 q3</v>
      </c>
    </row>
    <row r="11564" spans="1:3">
      <c r="A11564" s="62">
        <v>38590</v>
      </c>
      <c r="B11564">
        <v>1.6830000000000001</v>
      </c>
      <c r="C11564" t="str">
        <f t="shared" si="185"/>
        <v>2005 q3</v>
      </c>
    </row>
    <row r="11565" spans="1:3">
      <c r="A11565" s="62">
        <v>38593</v>
      </c>
      <c r="B11565">
        <v>1.6545000000000001</v>
      </c>
      <c r="C11565" t="str">
        <f t="shared" si="185"/>
        <v>2005 q3</v>
      </c>
    </row>
    <row r="11566" spans="1:3">
      <c r="A11566" s="62">
        <v>38594</v>
      </c>
      <c r="B11566">
        <v>1.6719999999999999</v>
      </c>
      <c r="C11566" t="str">
        <f t="shared" si="185"/>
        <v>2005 q3</v>
      </c>
    </row>
    <row r="11567" spans="1:3">
      <c r="A11567" s="62">
        <v>38595</v>
      </c>
      <c r="B11567">
        <v>1.6346000000000001</v>
      </c>
      <c r="C11567" t="str">
        <f t="shared" si="185"/>
        <v>2005 q3</v>
      </c>
    </row>
    <row r="11568" spans="1:3">
      <c r="A11568" s="62">
        <v>38596</v>
      </c>
      <c r="B11568">
        <v>1.6479999999999999</v>
      </c>
      <c r="C11568" t="str">
        <f t="shared" si="185"/>
        <v>2005 q3</v>
      </c>
    </row>
    <row r="11569" spans="1:3">
      <c r="A11569" s="62">
        <v>38597</v>
      </c>
      <c r="B11569">
        <v>1.6735</v>
      </c>
      <c r="C11569" t="str">
        <f t="shared" si="185"/>
        <v>2005 q3</v>
      </c>
    </row>
    <row r="11570" spans="1:3">
      <c r="A11570" s="62">
        <v>38601</v>
      </c>
      <c r="B11570">
        <v>1.661</v>
      </c>
      <c r="C11570" t="str">
        <f t="shared" si="185"/>
        <v>2005 q3</v>
      </c>
    </row>
    <row r="11571" spans="1:3">
      <c r="A11571" s="62">
        <v>38602</v>
      </c>
      <c r="B11571">
        <v>1.647</v>
      </c>
      <c r="C11571" t="str">
        <f t="shared" si="185"/>
        <v>2005 q3</v>
      </c>
    </row>
    <row r="11572" spans="1:3">
      <c r="A11572" s="62">
        <v>38603</v>
      </c>
      <c r="B11572">
        <v>1.6185</v>
      </c>
      <c r="C11572" t="str">
        <f t="shared" si="185"/>
        <v>2005 q3</v>
      </c>
    </row>
    <row r="11573" spans="1:3">
      <c r="A11573" s="62">
        <v>38604</v>
      </c>
      <c r="B11573">
        <v>1.6040000000000001</v>
      </c>
      <c r="C11573" t="str">
        <f t="shared" si="185"/>
        <v>2005 q3</v>
      </c>
    </row>
    <row r="11574" spans="1:3">
      <c r="A11574" s="62">
        <v>38607</v>
      </c>
      <c r="B11574">
        <v>1.6439999999999999</v>
      </c>
      <c r="C11574" t="str">
        <f t="shared" si="185"/>
        <v>2005 q3</v>
      </c>
    </row>
    <row r="11575" spans="1:3">
      <c r="A11575" s="62">
        <v>38608</v>
      </c>
      <c r="B11575">
        <v>1.6254999999999999</v>
      </c>
      <c r="C11575" t="str">
        <f t="shared" si="185"/>
        <v>2005 q3</v>
      </c>
    </row>
    <row r="11576" spans="1:3">
      <c r="A11576" s="62">
        <v>38609</v>
      </c>
      <c r="B11576">
        <v>1.611</v>
      </c>
      <c r="C11576" t="str">
        <f t="shared" si="185"/>
        <v>2005 q3</v>
      </c>
    </row>
    <row r="11577" spans="1:3">
      <c r="A11577" s="62">
        <v>38610</v>
      </c>
      <c r="B11577">
        <v>1.6045</v>
      </c>
      <c r="C11577" t="str">
        <f t="shared" si="185"/>
        <v>2005 q3</v>
      </c>
    </row>
    <row r="11578" spans="1:3">
      <c r="A11578" s="62">
        <v>38611</v>
      </c>
      <c r="B11578">
        <v>1.593</v>
      </c>
      <c r="C11578" t="str">
        <f t="shared" si="185"/>
        <v>2005 q3</v>
      </c>
    </row>
    <row r="11579" spans="1:3">
      <c r="A11579" s="62">
        <v>38614</v>
      </c>
      <c r="B11579">
        <v>1.6545000000000001</v>
      </c>
      <c r="C11579" t="str">
        <f t="shared" si="185"/>
        <v>2005 q3</v>
      </c>
    </row>
    <row r="11580" spans="1:3">
      <c r="A11580" s="62">
        <v>38615</v>
      </c>
      <c r="B11580">
        <v>1.6659999999999999</v>
      </c>
      <c r="C11580" t="str">
        <f t="shared" si="185"/>
        <v>2005 q3</v>
      </c>
    </row>
    <row r="11581" spans="1:3">
      <c r="A11581" s="62">
        <v>38616</v>
      </c>
      <c r="B11581">
        <v>1.7064999999999999</v>
      </c>
      <c r="C11581" t="str">
        <f t="shared" si="185"/>
        <v>2005 q3</v>
      </c>
    </row>
    <row r="11582" spans="1:3">
      <c r="A11582" s="62">
        <v>38617</v>
      </c>
      <c r="B11582">
        <v>1.71</v>
      </c>
      <c r="C11582" t="str">
        <f t="shared" si="185"/>
        <v>2005 q3</v>
      </c>
    </row>
    <row r="11583" spans="1:3">
      <c r="A11583" s="62">
        <v>38618</v>
      </c>
      <c r="B11583">
        <v>1.6984999999999999</v>
      </c>
      <c r="C11583" t="str">
        <f t="shared" si="185"/>
        <v>2005 q3</v>
      </c>
    </row>
    <row r="11584" spans="1:3">
      <c r="A11584" s="62">
        <v>38621</v>
      </c>
      <c r="B11584">
        <v>1.7364999999999999</v>
      </c>
      <c r="C11584" t="str">
        <f t="shared" si="185"/>
        <v>2005 q3</v>
      </c>
    </row>
    <row r="11585" spans="1:3">
      <c r="A11585" s="62">
        <v>38622</v>
      </c>
      <c r="B11585">
        <v>1.728</v>
      </c>
      <c r="C11585" t="str">
        <f t="shared" si="185"/>
        <v>2005 q3</v>
      </c>
    </row>
    <row r="11586" spans="1:3">
      <c r="A11586" s="62">
        <v>38623</v>
      </c>
      <c r="B11586">
        <v>1.748</v>
      </c>
      <c r="C11586" t="str">
        <f t="shared" si="185"/>
        <v>2005 q3</v>
      </c>
    </row>
    <row r="11587" spans="1:3">
      <c r="A11587" s="62">
        <v>38624</v>
      </c>
      <c r="B11587">
        <v>1.7395</v>
      </c>
      <c r="C11587" t="str">
        <f t="shared" si="185"/>
        <v>2005 q3</v>
      </c>
    </row>
    <row r="11588" spans="1:3">
      <c r="A11588" s="62">
        <v>38625</v>
      </c>
      <c r="B11588">
        <v>1.7275</v>
      </c>
      <c r="C11588" t="str">
        <f t="shared" si="185"/>
        <v>2005 q3</v>
      </c>
    </row>
    <row r="11589" spans="1:3">
      <c r="A11589" s="62">
        <v>38628</v>
      </c>
      <c r="B11589">
        <v>1.7589999999999999</v>
      </c>
      <c r="C11589" t="str">
        <f t="shared" si="185"/>
        <v>2005 q4</v>
      </c>
    </row>
    <row r="11590" spans="1:3">
      <c r="A11590" s="62">
        <v>38629</v>
      </c>
      <c r="B11590">
        <v>1.766</v>
      </c>
      <c r="C11590" t="str">
        <f t="shared" si="185"/>
        <v>2005 q4</v>
      </c>
    </row>
    <row r="11591" spans="1:3">
      <c r="A11591" s="62">
        <v>38630</v>
      </c>
      <c r="B11591">
        <v>1.7865</v>
      </c>
      <c r="C11591" t="str">
        <f t="shared" si="185"/>
        <v>2005 q4</v>
      </c>
    </row>
    <row r="11592" spans="1:3">
      <c r="A11592" s="62">
        <v>38631</v>
      </c>
      <c r="B11592">
        <v>1.7829999999999999</v>
      </c>
      <c r="C11592" t="str">
        <f t="shared" si="185"/>
        <v>2005 q4</v>
      </c>
    </row>
    <row r="11593" spans="1:3">
      <c r="A11593" s="62">
        <v>38632</v>
      </c>
      <c r="B11593">
        <v>1.8085</v>
      </c>
      <c r="C11593" t="str">
        <f t="shared" si="185"/>
        <v>2005 q4</v>
      </c>
    </row>
    <row r="11594" spans="1:3">
      <c r="A11594" s="62">
        <v>38635</v>
      </c>
      <c r="B11594">
        <v>1.806</v>
      </c>
      <c r="C11594" t="str">
        <f t="shared" si="185"/>
        <v>2005 q4</v>
      </c>
    </row>
    <row r="11595" spans="1:3">
      <c r="A11595" s="62">
        <v>38636</v>
      </c>
      <c r="B11595">
        <v>1.835</v>
      </c>
      <c r="C11595" t="str">
        <f t="shared" si="185"/>
        <v>2005 q4</v>
      </c>
    </row>
    <row r="11596" spans="1:3">
      <c r="A11596" s="62">
        <v>38637</v>
      </c>
      <c r="B11596">
        <v>1.7935000000000001</v>
      </c>
      <c r="C11596" t="str">
        <f t="shared" si="185"/>
        <v>2005 q4</v>
      </c>
    </row>
    <row r="11597" spans="1:3">
      <c r="A11597" s="62">
        <v>38638</v>
      </c>
      <c r="B11597">
        <v>1.7649999999999999</v>
      </c>
      <c r="C11597" t="str">
        <f t="shared" si="185"/>
        <v>2005 q4</v>
      </c>
    </row>
    <row r="11598" spans="1:3">
      <c r="A11598" s="62">
        <v>38639</v>
      </c>
      <c r="B11598">
        <v>1.7565</v>
      </c>
      <c r="C11598" t="str">
        <f t="shared" si="185"/>
        <v>2005 q4</v>
      </c>
    </row>
    <row r="11599" spans="1:3">
      <c r="A11599" s="62">
        <v>38642</v>
      </c>
      <c r="B11599">
        <v>1.821</v>
      </c>
      <c r="C11599" t="str">
        <f t="shared" si="185"/>
        <v>2005 q4</v>
      </c>
    </row>
    <row r="11600" spans="1:3">
      <c r="A11600" s="62">
        <v>38643</v>
      </c>
      <c r="B11600">
        <v>1.8254999999999999</v>
      </c>
      <c r="C11600" t="str">
        <f t="shared" si="185"/>
        <v>2005 q4</v>
      </c>
    </row>
    <row r="11601" spans="1:3">
      <c r="A11601" s="62">
        <v>38644</v>
      </c>
      <c r="B11601">
        <v>1.806</v>
      </c>
      <c r="C11601" t="str">
        <f t="shared" si="185"/>
        <v>2005 q4</v>
      </c>
    </row>
    <row r="11602" spans="1:3">
      <c r="A11602" s="62">
        <v>38645</v>
      </c>
      <c r="B11602">
        <v>1.7929999999999999</v>
      </c>
      <c r="C11602" t="str">
        <f t="shared" ref="C11602:C11665" si="186">YEAR(A11602)&amp;" q"&amp;ROUNDUP(MONTH(A11602)/3,0)</f>
        <v>2005 q4</v>
      </c>
    </row>
    <row r="11603" spans="1:3">
      <c r="A11603" s="62">
        <v>38646</v>
      </c>
      <c r="B11603">
        <v>1.7929999999999999</v>
      </c>
      <c r="C11603" t="str">
        <f t="shared" si="186"/>
        <v>2005 q4</v>
      </c>
    </row>
    <row r="11604" spans="1:3">
      <c r="A11604" s="62">
        <v>38649</v>
      </c>
      <c r="B11604">
        <v>1.7845</v>
      </c>
      <c r="C11604" t="str">
        <f t="shared" si="186"/>
        <v>2005 q4</v>
      </c>
    </row>
    <row r="11605" spans="1:3">
      <c r="A11605" s="62">
        <v>38650</v>
      </c>
      <c r="B11605">
        <v>1.8245</v>
      </c>
      <c r="C11605" t="str">
        <f t="shared" si="186"/>
        <v>2005 q4</v>
      </c>
    </row>
    <row r="11606" spans="1:3">
      <c r="A11606" s="62">
        <v>38651</v>
      </c>
      <c r="B11606">
        <v>1.8180000000000001</v>
      </c>
      <c r="C11606" t="str">
        <f t="shared" si="186"/>
        <v>2005 q4</v>
      </c>
    </row>
    <row r="11607" spans="1:3">
      <c r="A11607" s="62">
        <v>38652</v>
      </c>
      <c r="B11607">
        <v>1.804</v>
      </c>
      <c r="C11607" t="str">
        <f t="shared" si="186"/>
        <v>2005 q4</v>
      </c>
    </row>
    <row r="11608" spans="1:3">
      <c r="A11608" s="62">
        <v>38653</v>
      </c>
      <c r="B11608">
        <v>1.82</v>
      </c>
      <c r="C11608" t="str">
        <f t="shared" si="186"/>
        <v>2005 q4</v>
      </c>
    </row>
    <row r="11609" spans="1:3">
      <c r="A11609" s="62">
        <v>38656</v>
      </c>
      <c r="B11609">
        <v>1.8109999999999999</v>
      </c>
      <c r="C11609" t="str">
        <f t="shared" si="186"/>
        <v>2005 q4</v>
      </c>
    </row>
    <row r="11610" spans="1:3">
      <c r="A11610" s="62">
        <v>38657</v>
      </c>
      <c r="B11610">
        <v>1.8160000000000001</v>
      </c>
      <c r="C11610" t="str">
        <f t="shared" si="186"/>
        <v>2005 q4</v>
      </c>
    </row>
    <row r="11611" spans="1:3">
      <c r="A11611" s="62">
        <v>38658</v>
      </c>
      <c r="B11611">
        <v>1.8305</v>
      </c>
      <c r="C11611" t="str">
        <f t="shared" si="186"/>
        <v>2005 q4</v>
      </c>
    </row>
    <row r="11612" spans="1:3">
      <c r="A11612" s="62">
        <v>38659</v>
      </c>
      <c r="B11612">
        <v>1.827</v>
      </c>
      <c r="C11612" t="str">
        <f t="shared" si="186"/>
        <v>2005 q4</v>
      </c>
    </row>
    <row r="11613" spans="1:3">
      <c r="A11613" s="62">
        <v>38660</v>
      </c>
      <c r="B11613">
        <v>1.8460000000000001</v>
      </c>
      <c r="C11613" t="str">
        <f t="shared" si="186"/>
        <v>2005 q4</v>
      </c>
    </row>
    <row r="11614" spans="1:3">
      <c r="A11614" s="62">
        <v>38663</v>
      </c>
      <c r="B11614">
        <v>1.8474999999999999</v>
      </c>
      <c r="C11614" t="str">
        <f t="shared" si="186"/>
        <v>2005 q4</v>
      </c>
    </row>
    <row r="11615" spans="1:3">
      <c r="A11615" s="62">
        <v>38664</v>
      </c>
      <c r="B11615">
        <v>1.8380000000000001</v>
      </c>
      <c r="C11615" t="str">
        <f t="shared" si="186"/>
        <v>2005 q4</v>
      </c>
    </row>
    <row r="11616" spans="1:3">
      <c r="A11616" s="62">
        <v>38665</v>
      </c>
      <c r="B11616">
        <v>1.8314999999999999</v>
      </c>
      <c r="C11616" t="str">
        <f t="shared" si="186"/>
        <v>2005 q4</v>
      </c>
    </row>
    <row r="11617" spans="1:3">
      <c r="A11617" s="62">
        <v>38666</v>
      </c>
      <c r="B11617">
        <v>1.8714999999999999</v>
      </c>
      <c r="C11617" t="str">
        <f t="shared" si="186"/>
        <v>2005 q4</v>
      </c>
    </row>
    <row r="11618" spans="1:3">
      <c r="A11618" s="62">
        <v>38667</v>
      </c>
      <c r="B11618">
        <v>1.9055</v>
      </c>
      <c r="C11618" t="str">
        <f t="shared" si="186"/>
        <v>2005 q4</v>
      </c>
    </row>
    <row r="11619" spans="1:3">
      <c r="A11619" s="62">
        <v>38670</v>
      </c>
      <c r="B11619">
        <v>1.9135</v>
      </c>
      <c r="C11619" t="str">
        <f t="shared" si="186"/>
        <v>2005 q4</v>
      </c>
    </row>
    <row r="11620" spans="1:3">
      <c r="A11620" s="62">
        <v>38671</v>
      </c>
      <c r="B11620">
        <v>1.9319999999999999</v>
      </c>
      <c r="C11620" t="str">
        <f t="shared" si="186"/>
        <v>2005 q4</v>
      </c>
    </row>
    <row r="11621" spans="1:3">
      <c r="A11621" s="62">
        <v>38672</v>
      </c>
      <c r="B11621">
        <v>1.9350000000000001</v>
      </c>
      <c r="C11621" t="str">
        <f t="shared" si="186"/>
        <v>2005 q4</v>
      </c>
    </row>
    <row r="11622" spans="1:3">
      <c r="A11622" s="62">
        <v>38673</v>
      </c>
      <c r="B11622">
        <v>1.946</v>
      </c>
      <c r="C11622" t="str">
        <f t="shared" si="186"/>
        <v>2005 q4</v>
      </c>
    </row>
    <row r="11623" spans="1:3">
      <c r="A11623" s="62">
        <v>38674</v>
      </c>
      <c r="B11623">
        <v>1.978</v>
      </c>
      <c r="C11623" t="str">
        <f t="shared" si="186"/>
        <v>2005 q4</v>
      </c>
    </row>
    <row r="11624" spans="1:3">
      <c r="A11624" s="62">
        <v>38677</v>
      </c>
      <c r="B11624">
        <v>1.9735</v>
      </c>
      <c r="C11624" t="str">
        <f t="shared" si="186"/>
        <v>2005 q4</v>
      </c>
    </row>
    <row r="11625" spans="1:3">
      <c r="A11625" s="62">
        <v>38678</v>
      </c>
      <c r="B11625">
        <v>1.9175</v>
      </c>
      <c r="C11625" t="str">
        <f t="shared" si="186"/>
        <v>2005 q4</v>
      </c>
    </row>
    <row r="11626" spans="1:3">
      <c r="A11626" s="62">
        <v>38679</v>
      </c>
      <c r="B11626">
        <v>1.9605999999999999</v>
      </c>
      <c r="C11626" t="str">
        <f t="shared" si="186"/>
        <v>2005 q4</v>
      </c>
    </row>
    <row r="11627" spans="1:3">
      <c r="A11627" s="62">
        <v>38684</v>
      </c>
      <c r="B11627">
        <v>2.0028000000000001</v>
      </c>
      <c r="C11627" t="str">
        <f t="shared" si="186"/>
        <v>2005 q4</v>
      </c>
    </row>
    <row r="11628" spans="1:3">
      <c r="A11628" s="62">
        <v>38685</v>
      </c>
      <c r="B11628">
        <v>2.0093000000000001</v>
      </c>
      <c r="C11628" t="str">
        <f t="shared" si="186"/>
        <v>2005 q4</v>
      </c>
    </row>
    <row r="11629" spans="1:3">
      <c r="A11629" s="62">
        <v>38686</v>
      </c>
      <c r="B11629">
        <v>2.0190000000000001</v>
      </c>
      <c r="C11629" t="str">
        <f t="shared" si="186"/>
        <v>2005 q4</v>
      </c>
    </row>
    <row r="11630" spans="1:3">
      <c r="A11630" s="62">
        <v>38687</v>
      </c>
      <c r="B11630">
        <v>2.0834999999999999</v>
      </c>
      <c r="C11630" t="str">
        <f t="shared" si="186"/>
        <v>2005 q4</v>
      </c>
    </row>
    <row r="11631" spans="1:3">
      <c r="A11631" s="62">
        <v>38688</v>
      </c>
      <c r="B11631">
        <v>2.0659999999999998</v>
      </c>
      <c r="C11631" t="str">
        <f t="shared" si="186"/>
        <v>2005 q4</v>
      </c>
    </row>
    <row r="11632" spans="1:3">
      <c r="A11632" s="62">
        <v>38691</v>
      </c>
      <c r="B11632">
        <v>2.089</v>
      </c>
      <c r="C11632" t="str">
        <f t="shared" si="186"/>
        <v>2005 q4</v>
      </c>
    </row>
    <row r="11633" spans="1:3">
      <c r="A11633" s="62">
        <v>38692</v>
      </c>
      <c r="B11633">
        <v>2.0619999999999998</v>
      </c>
      <c r="C11633" t="str">
        <f t="shared" si="186"/>
        <v>2005 q4</v>
      </c>
    </row>
    <row r="11634" spans="1:3">
      <c r="A11634" s="62">
        <v>38693</v>
      </c>
      <c r="B11634">
        <v>2.1095000000000002</v>
      </c>
      <c r="C11634" t="str">
        <f t="shared" si="186"/>
        <v>2005 q4</v>
      </c>
    </row>
    <row r="11635" spans="1:3">
      <c r="A11635" s="62">
        <v>38694</v>
      </c>
      <c r="B11635">
        <v>2.1059999999999999</v>
      </c>
      <c r="C11635" t="str">
        <f t="shared" si="186"/>
        <v>2005 q4</v>
      </c>
    </row>
    <row r="11636" spans="1:3">
      <c r="A11636" s="62">
        <v>38695</v>
      </c>
      <c r="B11636">
        <v>2.11</v>
      </c>
      <c r="C11636" t="str">
        <f t="shared" si="186"/>
        <v>2005 q4</v>
      </c>
    </row>
    <row r="11637" spans="1:3">
      <c r="A11637" s="62">
        <v>38698</v>
      </c>
      <c r="B11637">
        <v>2.0670000000000002</v>
      </c>
      <c r="C11637" t="str">
        <f t="shared" si="186"/>
        <v>2005 q4</v>
      </c>
    </row>
    <row r="11638" spans="1:3">
      <c r="A11638" s="62">
        <v>38699</v>
      </c>
      <c r="B11638">
        <v>2.1065</v>
      </c>
      <c r="C11638" t="str">
        <f t="shared" si="186"/>
        <v>2005 q4</v>
      </c>
    </row>
    <row r="11639" spans="1:3">
      <c r="A11639" s="62">
        <v>38700</v>
      </c>
      <c r="B11639">
        <v>2.0495000000000001</v>
      </c>
      <c r="C11639" t="str">
        <f t="shared" si="186"/>
        <v>2005 q4</v>
      </c>
    </row>
    <row r="11640" spans="1:3">
      <c r="A11640" s="62">
        <v>38701</v>
      </c>
      <c r="B11640">
        <v>2.081</v>
      </c>
      <c r="C11640" t="str">
        <f t="shared" si="186"/>
        <v>2005 q4</v>
      </c>
    </row>
    <row r="11641" spans="1:3">
      <c r="A11641" s="62">
        <v>38702</v>
      </c>
      <c r="B11641">
        <v>2.1095000000000002</v>
      </c>
      <c r="C11641" t="str">
        <f t="shared" si="186"/>
        <v>2005 q4</v>
      </c>
    </row>
    <row r="11642" spans="1:3">
      <c r="A11642" s="62">
        <v>38705</v>
      </c>
      <c r="B11642">
        <v>2.097</v>
      </c>
      <c r="C11642" t="str">
        <f t="shared" si="186"/>
        <v>2005 q4</v>
      </c>
    </row>
    <row r="11643" spans="1:3">
      <c r="A11643" s="62">
        <v>38706</v>
      </c>
      <c r="B11643">
        <v>2.1</v>
      </c>
      <c r="C11643" t="str">
        <f t="shared" si="186"/>
        <v>2005 q4</v>
      </c>
    </row>
    <row r="11644" spans="1:3">
      <c r="A11644" s="62">
        <v>38707</v>
      </c>
      <c r="B11644">
        <v>2.1025</v>
      </c>
      <c r="C11644" t="str">
        <f t="shared" si="186"/>
        <v>2005 q4</v>
      </c>
    </row>
    <row r="11645" spans="1:3">
      <c r="A11645" s="62">
        <v>38708</v>
      </c>
      <c r="B11645">
        <v>2.1185</v>
      </c>
      <c r="C11645" t="str">
        <f t="shared" si="186"/>
        <v>2005 q4</v>
      </c>
    </row>
    <row r="11646" spans="1:3">
      <c r="A11646" s="62">
        <v>38709</v>
      </c>
      <c r="B11646">
        <v>2.1595</v>
      </c>
      <c r="C11646" t="str">
        <f t="shared" si="186"/>
        <v>2005 q4</v>
      </c>
    </row>
    <row r="11647" spans="1:3">
      <c r="A11647" s="62">
        <v>38713</v>
      </c>
      <c r="B11647">
        <v>2.1678999999999999</v>
      </c>
      <c r="C11647" t="str">
        <f t="shared" si="186"/>
        <v>2005 q4</v>
      </c>
    </row>
    <row r="11648" spans="1:3">
      <c r="A11648" s="62">
        <v>38714</v>
      </c>
      <c r="B11648">
        <v>2.1440000000000001</v>
      </c>
      <c r="C11648" t="str">
        <f t="shared" si="186"/>
        <v>2005 q4</v>
      </c>
    </row>
    <row r="11649" spans="1:3">
      <c r="A11649" s="62">
        <v>38715</v>
      </c>
      <c r="B11649">
        <v>2.0931000000000002</v>
      </c>
      <c r="C11649" t="str">
        <f t="shared" si="186"/>
        <v>2005 q4</v>
      </c>
    </row>
    <row r="11650" spans="1:3">
      <c r="A11650" s="62">
        <v>38716</v>
      </c>
      <c r="B11650">
        <v>2.0659000000000001</v>
      </c>
      <c r="C11650" t="str">
        <f t="shared" si="186"/>
        <v>2005 q4</v>
      </c>
    </row>
    <row r="11651" spans="1:3">
      <c r="A11651" s="62">
        <v>38720</v>
      </c>
      <c r="B11651">
        <v>2.0485000000000002</v>
      </c>
      <c r="C11651" t="str">
        <f t="shared" si="186"/>
        <v>2006 q1</v>
      </c>
    </row>
    <row r="11652" spans="1:3">
      <c r="A11652" s="62">
        <v>38721</v>
      </c>
      <c r="B11652">
        <v>2.0975000000000001</v>
      </c>
      <c r="C11652" t="str">
        <f t="shared" si="186"/>
        <v>2006 q1</v>
      </c>
    </row>
    <row r="11653" spans="1:3">
      <c r="A11653" s="62">
        <v>38722</v>
      </c>
      <c r="B11653">
        <v>2.0605000000000002</v>
      </c>
      <c r="C11653" t="str">
        <f t="shared" si="186"/>
        <v>2006 q1</v>
      </c>
    </row>
    <row r="11654" spans="1:3">
      <c r="A11654" s="62">
        <v>38723</v>
      </c>
      <c r="B11654">
        <v>2.0859999999999999</v>
      </c>
      <c r="C11654" t="str">
        <f t="shared" si="186"/>
        <v>2006 q1</v>
      </c>
    </row>
    <row r="11655" spans="1:3">
      <c r="A11655" s="62">
        <v>38726</v>
      </c>
      <c r="B11655">
        <v>2.097</v>
      </c>
      <c r="C11655" t="str">
        <f t="shared" si="186"/>
        <v>2006 q1</v>
      </c>
    </row>
    <row r="11656" spans="1:3">
      <c r="A11656" s="62">
        <v>38727</v>
      </c>
      <c r="B11656">
        <v>2.1070000000000002</v>
      </c>
      <c r="C11656" t="str">
        <f t="shared" si="186"/>
        <v>2006 q1</v>
      </c>
    </row>
    <row r="11657" spans="1:3">
      <c r="A11657" s="62">
        <v>38728</v>
      </c>
      <c r="B11657">
        <v>2.0950000000000002</v>
      </c>
      <c r="C11657" t="str">
        <f t="shared" si="186"/>
        <v>2006 q1</v>
      </c>
    </row>
    <row r="11658" spans="1:3">
      <c r="A11658" s="62">
        <v>38729</v>
      </c>
      <c r="B11658">
        <v>2.0874999999999999</v>
      </c>
      <c r="C11658" t="str">
        <f t="shared" si="186"/>
        <v>2006 q1</v>
      </c>
    </row>
    <row r="11659" spans="1:3">
      <c r="A11659" s="62">
        <v>38730</v>
      </c>
      <c r="B11659">
        <v>2.1124999999999998</v>
      </c>
      <c r="C11659" t="str">
        <f t="shared" si="186"/>
        <v>2006 q1</v>
      </c>
    </row>
    <row r="11660" spans="1:3">
      <c r="A11660" s="62">
        <v>38734</v>
      </c>
      <c r="B11660">
        <v>2.1110000000000002</v>
      </c>
      <c r="C11660" t="str">
        <f t="shared" si="186"/>
        <v>2006 q1</v>
      </c>
    </row>
    <row r="11661" spans="1:3">
      <c r="A11661" s="62">
        <v>38735</v>
      </c>
      <c r="B11661">
        <v>2.12</v>
      </c>
      <c r="C11661" t="str">
        <f t="shared" si="186"/>
        <v>2006 q1</v>
      </c>
    </row>
    <row r="11662" spans="1:3">
      <c r="A11662" s="62">
        <v>38736</v>
      </c>
      <c r="B11662">
        <v>2.1110000000000002</v>
      </c>
      <c r="C11662" t="str">
        <f t="shared" si="186"/>
        <v>2006 q1</v>
      </c>
    </row>
    <row r="11663" spans="1:3">
      <c r="A11663" s="62">
        <v>38737</v>
      </c>
      <c r="B11663">
        <v>2.09</v>
      </c>
      <c r="C11663" t="str">
        <f t="shared" si="186"/>
        <v>2006 q1</v>
      </c>
    </row>
    <row r="11664" spans="1:3">
      <c r="A11664" s="62">
        <v>38740</v>
      </c>
      <c r="B11664">
        <v>2.1194999999999999</v>
      </c>
      <c r="C11664" t="str">
        <f t="shared" si="186"/>
        <v>2006 q1</v>
      </c>
    </row>
    <row r="11665" spans="1:3">
      <c r="A11665" s="62">
        <v>38741</v>
      </c>
      <c r="B11665">
        <v>2.1524999999999999</v>
      </c>
      <c r="C11665" t="str">
        <f t="shared" si="186"/>
        <v>2006 q1</v>
      </c>
    </row>
    <row r="11666" spans="1:3">
      <c r="A11666" s="62">
        <v>38742</v>
      </c>
      <c r="B11666">
        <v>2.2035</v>
      </c>
      <c r="C11666" t="str">
        <f t="shared" ref="C11666:C11729" si="187">YEAR(A11666)&amp;" q"&amp;ROUNDUP(MONTH(A11666)/3,0)</f>
        <v>2006 q1</v>
      </c>
    </row>
    <row r="11667" spans="1:3">
      <c r="A11667" s="62">
        <v>38743</v>
      </c>
      <c r="B11667">
        <v>2.2014999999999998</v>
      </c>
      <c r="C11667" t="str">
        <f t="shared" si="187"/>
        <v>2006 q1</v>
      </c>
    </row>
    <row r="11668" spans="1:3">
      <c r="A11668" s="62">
        <v>38744</v>
      </c>
      <c r="B11668">
        <v>2.2330000000000001</v>
      </c>
      <c r="C11668" t="str">
        <f t="shared" si="187"/>
        <v>2006 q1</v>
      </c>
    </row>
    <row r="11669" spans="1:3">
      <c r="A11669" s="62">
        <v>38747</v>
      </c>
      <c r="B11669">
        <v>2.2294999999999998</v>
      </c>
      <c r="C11669" t="str">
        <f t="shared" si="187"/>
        <v>2006 q1</v>
      </c>
    </row>
    <row r="11670" spans="1:3">
      <c r="A11670" s="62">
        <v>38748</v>
      </c>
      <c r="B11670">
        <v>2.2284999999999999</v>
      </c>
      <c r="C11670" t="str">
        <f t="shared" si="187"/>
        <v>2006 q1</v>
      </c>
    </row>
    <row r="11671" spans="1:3">
      <c r="A11671" s="62">
        <v>38749</v>
      </c>
      <c r="B11671">
        <v>2.2490000000000001</v>
      </c>
      <c r="C11671" t="str">
        <f t="shared" si="187"/>
        <v>2006 q1</v>
      </c>
    </row>
    <row r="11672" spans="1:3">
      <c r="A11672" s="62">
        <v>38750</v>
      </c>
      <c r="B11672">
        <v>2.3090000000000002</v>
      </c>
      <c r="C11672" t="str">
        <f t="shared" si="187"/>
        <v>2006 q1</v>
      </c>
    </row>
    <row r="11673" spans="1:3">
      <c r="A11673" s="62">
        <v>38751</v>
      </c>
      <c r="B11673">
        <v>2.3079999999999998</v>
      </c>
      <c r="C11673" t="str">
        <f t="shared" si="187"/>
        <v>2006 q1</v>
      </c>
    </row>
    <row r="11674" spans="1:3">
      <c r="A11674" s="62">
        <v>38754</v>
      </c>
      <c r="B11674">
        <v>2.33</v>
      </c>
      <c r="C11674" t="str">
        <f t="shared" si="187"/>
        <v>2006 q1</v>
      </c>
    </row>
    <row r="11675" spans="1:3">
      <c r="A11675" s="62">
        <v>38755</v>
      </c>
      <c r="B11675">
        <v>2.278</v>
      </c>
      <c r="C11675" t="str">
        <f t="shared" si="187"/>
        <v>2006 q1</v>
      </c>
    </row>
    <row r="11676" spans="1:3">
      <c r="A11676" s="62">
        <v>38756</v>
      </c>
      <c r="B11676">
        <v>2.2745000000000002</v>
      </c>
      <c r="C11676" t="str">
        <f t="shared" si="187"/>
        <v>2006 q1</v>
      </c>
    </row>
    <row r="11677" spans="1:3">
      <c r="A11677" s="62">
        <v>38757</v>
      </c>
      <c r="B11677">
        <v>2.3050000000000002</v>
      </c>
      <c r="C11677" t="str">
        <f t="shared" si="187"/>
        <v>2006 q1</v>
      </c>
    </row>
    <row r="11678" spans="1:3">
      <c r="A11678" s="62">
        <v>38758</v>
      </c>
      <c r="B11678">
        <v>2.2244999999999999</v>
      </c>
      <c r="C11678" t="str">
        <f t="shared" si="187"/>
        <v>2006 q1</v>
      </c>
    </row>
    <row r="11679" spans="1:3">
      <c r="A11679" s="62">
        <v>38761</v>
      </c>
      <c r="B11679">
        <v>2.234</v>
      </c>
      <c r="C11679" t="str">
        <f t="shared" si="187"/>
        <v>2006 q1</v>
      </c>
    </row>
    <row r="11680" spans="1:3">
      <c r="A11680" s="62">
        <v>38762</v>
      </c>
      <c r="B11680">
        <v>2.2665000000000002</v>
      </c>
      <c r="C11680" t="str">
        <f t="shared" si="187"/>
        <v>2006 q1</v>
      </c>
    </row>
    <row r="11681" spans="1:3">
      <c r="A11681" s="62">
        <v>38763</v>
      </c>
      <c r="B11681">
        <v>2.1909999999999998</v>
      </c>
      <c r="C11681" t="str">
        <f t="shared" si="187"/>
        <v>2006 q1</v>
      </c>
    </row>
    <row r="11682" spans="1:3">
      <c r="A11682" s="62">
        <v>38764</v>
      </c>
      <c r="B11682">
        <v>2.2225000000000001</v>
      </c>
      <c r="C11682" t="str">
        <f t="shared" si="187"/>
        <v>2006 q1</v>
      </c>
    </row>
    <row r="11683" spans="1:3">
      <c r="A11683" s="62">
        <v>38765</v>
      </c>
      <c r="B11683">
        <v>2.2010000000000001</v>
      </c>
      <c r="C11683" t="str">
        <f t="shared" si="187"/>
        <v>2006 q1</v>
      </c>
    </row>
    <row r="11684" spans="1:3">
      <c r="A11684" s="62">
        <v>38769</v>
      </c>
      <c r="B11684">
        <v>2.2734999999999999</v>
      </c>
      <c r="C11684" t="str">
        <f t="shared" si="187"/>
        <v>2006 q1</v>
      </c>
    </row>
    <row r="11685" spans="1:3">
      <c r="A11685" s="62">
        <v>38770</v>
      </c>
      <c r="B11685">
        <v>2.2645</v>
      </c>
      <c r="C11685" t="str">
        <f t="shared" si="187"/>
        <v>2006 q1</v>
      </c>
    </row>
    <row r="11686" spans="1:3">
      <c r="A11686" s="62">
        <v>38771</v>
      </c>
      <c r="B11686">
        <v>2.2039</v>
      </c>
      <c r="C11686" t="str">
        <f t="shared" si="187"/>
        <v>2006 q1</v>
      </c>
    </row>
    <row r="11687" spans="1:3">
      <c r="A11687" s="62">
        <v>38772</v>
      </c>
      <c r="B11687">
        <v>2.2073</v>
      </c>
      <c r="C11687" t="str">
        <f t="shared" si="187"/>
        <v>2006 q1</v>
      </c>
    </row>
    <row r="11688" spans="1:3">
      <c r="A11688" s="62">
        <v>38775</v>
      </c>
      <c r="B11688">
        <v>2.1345000000000001</v>
      </c>
      <c r="C11688" t="str">
        <f t="shared" si="187"/>
        <v>2006 q1</v>
      </c>
    </row>
    <row r="11689" spans="1:3">
      <c r="A11689" s="62">
        <v>38776</v>
      </c>
      <c r="B11689">
        <v>2.1798999999999999</v>
      </c>
      <c r="C11689" t="str">
        <f t="shared" si="187"/>
        <v>2006 q1</v>
      </c>
    </row>
    <row r="11690" spans="1:3">
      <c r="A11690" s="62">
        <v>38777</v>
      </c>
      <c r="B11690">
        <v>2.2355</v>
      </c>
      <c r="C11690" t="str">
        <f t="shared" si="187"/>
        <v>2006 q1</v>
      </c>
    </row>
    <row r="11691" spans="1:3">
      <c r="A11691" s="62">
        <v>38778</v>
      </c>
      <c r="B11691">
        <v>2.2675000000000001</v>
      </c>
      <c r="C11691" t="str">
        <f t="shared" si="187"/>
        <v>2006 q1</v>
      </c>
    </row>
    <row r="11692" spans="1:3">
      <c r="A11692" s="62">
        <v>38779</v>
      </c>
      <c r="B11692">
        <v>2.2639999999999998</v>
      </c>
      <c r="C11692" t="str">
        <f t="shared" si="187"/>
        <v>2006 q1</v>
      </c>
    </row>
    <row r="11693" spans="1:3">
      <c r="A11693" s="62">
        <v>38782</v>
      </c>
      <c r="B11693">
        <v>2.1964999999999999</v>
      </c>
      <c r="C11693" t="str">
        <f t="shared" si="187"/>
        <v>2006 q1</v>
      </c>
    </row>
    <row r="11694" spans="1:3">
      <c r="A11694" s="62">
        <v>38783</v>
      </c>
      <c r="B11694">
        <v>2.177</v>
      </c>
      <c r="C11694" t="str">
        <f t="shared" si="187"/>
        <v>2006 q1</v>
      </c>
    </row>
    <row r="11695" spans="1:3">
      <c r="A11695" s="62">
        <v>38784</v>
      </c>
      <c r="B11695">
        <v>2.1635</v>
      </c>
      <c r="C11695" t="str">
        <f t="shared" si="187"/>
        <v>2006 q1</v>
      </c>
    </row>
    <row r="11696" spans="1:3">
      <c r="A11696" s="62">
        <v>38785</v>
      </c>
      <c r="B11696">
        <v>2.1955</v>
      </c>
      <c r="C11696" t="str">
        <f t="shared" si="187"/>
        <v>2006 q1</v>
      </c>
    </row>
    <row r="11697" spans="1:3">
      <c r="A11697" s="62">
        <v>38786</v>
      </c>
      <c r="B11697">
        <v>2.21</v>
      </c>
      <c r="C11697" t="str">
        <f t="shared" si="187"/>
        <v>2006 q1</v>
      </c>
    </row>
    <row r="11698" spans="1:3">
      <c r="A11698" s="62">
        <v>38789</v>
      </c>
      <c r="B11698">
        <v>2.2454999999999998</v>
      </c>
      <c r="C11698" t="str">
        <f t="shared" si="187"/>
        <v>2006 q1</v>
      </c>
    </row>
    <row r="11699" spans="1:3">
      <c r="A11699" s="62">
        <v>38790</v>
      </c>
      <c r="B11699">
        <v>2.254</v>
      </c>
      <c r="C11699" t="str">
        <f t="shared" si="187"/>
        <v>2006 q1</v>
      </c>
    </row>
    <row r="11700" spans="1:3">
      <c r="A11700" s="62">
        <v>38791</v>
      </c>
      <c r="B11700">
        <v>2.2505000000000002</v>
      </c>
      <c r="C11700" t="str">
        <f t="shared" si="187"/>
        <v>2006 q1</v>
      </c>
    </row>
    <row r="11701" spans="1:3">
      <c r="A11701" s="62">
        <v>38792</v>
      </c>
      <c r="B11701">
        <v>2.2654999999999998</v>
      </c>
      <c r="C11701" t="str">
        <f t="shared" si="187"/>
        <v>2006 q1</v>
      </c>
    </row>
    <row r="11702" spans="1:3">
      <c r="A11702" s="62">
        <v>38793</v>
      </c>
      <c r="B11702">
        <v>2.36</v>
      </c>
      <c r="C11702" t="str">
        <f t="shared" si="187"/>
        <v>2006 q1</v>
      </c>
    </row>
    <row r="11703" spans="1:3">
      <c r="A11703" s="62">
        <v>38796</v>
      </c>
      <c r="B11703">
        <v>2.3340000000000001</v>
      </c>
      <c r="C11703" t="str">
        <f t="shared" si="187"/>
        <v>2006 q1</v>
      </c>
    </row>
    <row r="11704" spans="1:3">
      <c r="A11704" s="62">
        <v>38797</v>
      </c>
      <c r="B11704">
        <v>2.3239999999999998</v>
      </c>
      <c r="C11704" t="str">
        <f t="shared" si="187"/>
        <v>2006 q1</v>
      </c>
    </row>
    <row r="11705" spans="1:3">
      <c r="A11705" s="62">
        <v>38798</v>
      </c>
      <c r="B11705">
        <v>2.339</v>
      </c>
      <c r="C11705" t="str">
        <f t="shared" si="187"/>
        <v>2006 q1</v>
      </c>
    </row>
    <row r="11706" spans="1:3">
      <c r="A11706" s="62">
        <v>38799</v>
      </c>
      <c r="B11706">
        <v>2.3980000000000001</v>
      </c>
      <c r="C11706" t="str">
        <f t="shared" si="187"/>
        <v>2006 q1</v>
      </c>
    </row>
    <row r="11707" spans="1:3">
      <c r="A11707" s="62">
        <v>38800</v>
      </c>
      <c r="B11707">
        <v>2.3944999999999999</v>
      </c>
      <c r="C11707" t="str">
        <f t="shared" si="187"/>
        <v>2006 q1</v>
      </c>
    </row>
    <row r="11708" spans="1:3">
      <c r="A11708" s="62">
        <v>38803</v>
      </c>
      <c r="B11708">
        <v>2.4300000000000002</v>
      </c>
      <c r="C11708" t="str">
        <f t="shared" si="187"/>
        <v>2006 q1</v>
      </c>
    </row>
    <row r="11709" spans="1:3">
      <c r="A11709" s="62">
        <v>38804</v>
      </c>
      <c r="B11709">
        <v>2.4285000000000001</v>
      </c>
      <c r="C11709" t="str">
        <f t="shared" si="187"/>
        <v>2006 q1</v>
      </c>
    </row>
    <row r="11710" spans="1:3">
      <c r="A11710" s="62">
        <v>38805</v>
      </c>
      <c r="B11710">
        <v>2.4384999999999999</v>
      </c>
      <c r="C11710" t="str">
        <f t="shared" si="187"/>
        <v>2006 q1</v>
      </c>
    </row>
    <row r="11711" spans="1:3">
      <c r="A11711" s="62">
        <v>38806</v>
      </c>
      <c r="B11711">
        <v>2.4845000000000002</v>
      </c>
      <c r="C11711" t="str">
        <f t="shared" si="187"/>
        <v>2006 q1</v>
      </c>
    </row>
    <row r="11712" spans="1:3">
      <c r="A11712" s="62">
        <v>38807</v>
      </c>
      <c r="B11712">
        <v>2.4630000000000001</v>
      </c>
      <c r="C11712" t="str">
        <f t="shared" si="187"/>
        <v>2006 q1</v>
      </c>
    </row>
    <row r="11713" spans="1:3">
      <c r="A11713" s="62">
        <v>38810</v>
      </c>
      <c r="B11713">
        <v>2.5474999999999999</v>
      </c>
      <c r="C11713" t="str">
        <f t="shared" si="187"/>
        <v>2006 q2</v>
      </c>
    </row>
    <row r="11714" spans="1:3">
      <c r="A11714" s="62">
        <v>38811</v>
      </c>
      <c r="B11714">
        <v>2.5354999999999999</v>
      </c>
      <c r="C11714" t="str">
        <f t="shared" si="187"/>
        <v>2006 q2</v>
      </c>
    </row>
    <row r="11715" spans="1:3">
      <c r="A11715" s="62">
        <v>38812</v>
      </c>
      <c r="B11715">
        <v>2.5960000000000001</v>
      </c>
      <c r="C11715" t="str">
        <f t="shared" si="187"/>
        <v>2006 q2</v>
      </c>
    </row>
    <row r="11716" spans="1:3">
      <c r="A11716" s="62">
        <v>38813</v>
      </c>
      <c r="B11716">
        <v>2.6465000000000001</v>
      </c>
      <c r="C11716" t="str">
        <f t="shared" si="187"/>
        <v>2006 q2</v>
      </c>
    </row>
    <row r="11717" spans="1:3">
      <c r="A11717" s="62">
        <v>38814</v>
      </c>
      <c r="B11717">
        <v>2.6404999999999998</v>
      </c>
      <c r="C11717" t="str">
        <f t="shared" si="187"/>
        <v>2006 q2</v>
      </c>
    </row>
    <row r="11718" spans="1:3">
      <c r="A11718" s="62">
        <v>38817</v>
      </c>
      <c r="B11718">
        <v>2.7090000000000001</v>
      </c>
      <c r="C11718" t="str">
        <f t="shared" si="187"/>
        <v>2006 q2</v>
      </c>
    </row>
    <row r="11719" spans="1:3">
      <c r="A11719" s="62">
        <v>38818</v>
      </c>
      <c r="B11719">
        <v>2.7214999999999998</v>
      </c>
      <c r="C11719" t="str">
        <f t="shared" si="187"/>
        <v>2006 q2</v>
      </c>
    </row>
    <row r="11720" spans="1:3">
      <c r="A11720" s="62">
        <v>38819</v>
      </c>
      <c r="B11720">
        <v>2.7715000000000001</v>
      </c>
      <c r="C11720" t="str">
        <f t="shared" si="187"/>
        <v>2006 q2</v>
      </c>
    </row>
    <row r="11721" spans="1:3">
      <c r="A11721" s="62">
        <v>38824</v>
      </c>
      <c r="B11721">
        <v>2.895</v>
      </c>
      <c r="C11721" t="str">
        <f t="shared" si="187"/>
        <v>2006 q2</v>
      </c>
    </row>
    <row r="11722" spans="1:3">
      <c r="A11722" s="62">
        <v>38825</v>
      </c>
      <c r="B11722">
        <v>2.9710000000000001</v>
      </c>
      <c r="C11722" t="str">
        <f t="shared" si="187"/>
        <v>2006 q2</v>
      </c>
    </row>
    <row r="11723" spans="1:3">
      <c r="A11723" s="62">
        <v>38826</v>
      </c>
      <c r="B11723">
        <v>2.9594999999999998</v>
      </c>
      <c r="C11723" t="str">
        <f t="shared" si="187"/>
        <v>2006 q2</v>
      </c>
    </row>
    <row r="11724" spans="1:3">
      <c r="A11724" s="62">
        <v>38827</v>
      </c>
      <c r="B11724">
        <v>2.9620000000000002</v>
      </c>
      <c r="C11724" t="str">
        <f t="shared" si="187"/>
        <v>2006 q2</v>
      </c>
    </row>
    <row r="11725" spans="1:3">
      <c r="A11725" s="62">
        <v>38828</v>
      </c>
      <c r="B11725">
        <v>3.1404999999999998</v>
      </c>
      <c r="C11725" t="str">
        <f t="shared" si="187"/>
        <v>2006 q2</v>
      </c>
    </row>
    <row r="11726" spans="1:3">
      <c r="A11726" s="62">
        <v>38831</v>
      </c>
      <c r="B11726">
        <v>3.1110000000000002</v>
      </c>
      <c r="C11726" t="str">
        <f t="shared" si="187"/>
        <v>2006 q2</v>
      </c>
    </row>
    <row r="11727" spans="1:3">
      <c r="A11727" s="62">
        <v>38832</v>
      </c>
      <c r="B11727">
        <v>3.3109000000000002</v>
      </c>
      <c r="C11727" t="str">
        <f t="shared" si="187"/>
        <v>2006 q2</v>
      </c>
    </row>
    <row r="11728" spans="1:3">
      <c r="A11728" s="62">
        <v>38833</v>
      </c>
      <c r="B11728">
        <v>3.3626</v>
      </c>
      <c r="C11728" t="str">
        <f t="shared" si="187"/>
        <v>2006 q2</v>
      </c>
    </row>
    <row r="11729" spans="1:3">
      <c r="A11729" s="62">
        <v>38834</v>
      </c>
      <c r="B11729">
        <v>3.2126000000000001</v>
      </c>
      <c r="C11729" t="str">
        <f t="shared" si="187"/>
        <v>2006 q2</v>
      </c>
    </row>
    <row r="11730" spans="1:3">
      <c r="A11730" s="62">
        <v>38835</v>
      </c>
      <c r="B11730">
        <v>3.2435</v>
      </c>
      <c r="C11730" t="str">
        <f t="shared" ref="C11730:C11793" si="188">YEAR(A11730)&amp;" q"&amp;ROUNDUP(MONTH(A11730)/3,0)</f>
        <v>2006 q2</v>
      </c>
    </row>
    <row r="11731" spans="1:3">
      <c r="A11731" s="62">
        <v>38838</v>
      </c>
      <c r="B11731">
        <v>3.3205</v>
      </c>
      <c r="C11731" t="str">
        <f t="shared" si="188"/>
        <v>2006 q2</v>
      </c>
    </row>
    <row r="11732" spans="1:3">
      <c r="A11732" s="62">
        <v>38839</v>
      </c>
      <c r="B11732">
        <v>3.2765</v>
      </c>
      <c r="C11732" t="str">
        <f t="shared" si="188"/>
        <v>2006 q2</v>
      </c>
    </row>
    <row r="11733" spans="1:3">
      <c r="A11733" s="62">
        <v>38840</v>
      </c>
      <c r="B11733">
        <v>3.3050000000000002</v>
      </c>
      <c r="C11733" t="str">
        <f t="shared" si="188"/>
        <v>2006 q2</v>
      </c>
    </row>
    <row r="11734" spans="1:3">
      <c r="A11734" s="62">
        <v>38841</v>
      </c>
      <c r="B11734">
        <v>3.4794999999999998</v>
      </c>
      <c r="C11734" t="str">
        <f t="shared" si="188"/>
        <v>2006 q2</v>
      </c>
    </row>
    <row r="11735" spans="1:3">
      <c r="A11735" s="62">
        <v>38842</v>
      </c>
      <c r="B11735">
        <v>3.4935</v>
      </c>
      <c r="C11735" t="str">
        <f t="shared" si="188"/>
        <v>2006 q2</v>
      </c>
    </row>
    <row r="11736" spans="1:3">
      <c r="A11736" s="62">
        <v>38845</v>
      </c>
      <c r="B11736">
        <v>3.5015000000000001</v>
      </c>
      <c r="C11736" t="str">
        <f t="shared" si="188"/>
        <v>2006 q2</v>
      </c>
    </row>
    <row r="11737" spans="1:3">
      <c r="A11737" s="62">
        <v>38846</v>
      </c>
      <c r="B11737">
        <v>3.5960000000000001</v>
      </c>
      <c r="C11737" t="str">
        <f t="shared" si="188"/>
        <v>2006 q2</v>
      </c>
    </row>
    <row r="11738" spans="1:3">
      <c r="A11738" s="62">
        <v>38847</v>
      </c>
      <c r="B11738">
        <v>3.6880000000000002</v>
      </c>
      <c r="C11738" t="str">
        <f t="shared" si="188"/>
        <v>2006 q2</v>
      </c>
    </row>
    <row r="11739" spans="1:3">
      <c r="A11739" s="62">
        <v>38848</v>
      </c>
      <c r="B11739">
        <v>3.923</v>
      </c>
      <c r="C11739" t="str">
        <f t="shared" si="188"/>
        <v>2006 q2</v>
      </c>
    </row>
    <row r="11740" spans="1:3">
      <c r="A11740" s="62">
        <v>38849</v>
      </c>
      <c r="B11740">
        <v>3.8639999999999999</v>
      </c>
      <c r="C11740" t="str">
        <f t="shared" si="188"/>
        <v>2006 q2</v>
      </c>
    </row>
    <row r="11741" spans="1:3">
      <c r="A11741" s="62">
        <v>38852</v>
      </c>
      <c r="B11741">
        <v>3.7465000000000002</v>
      </c>
      <c r="C11741" t="str">
        <f t="shared" si="188"/>
        <v>2006 q2</v>
      </c>
    </row>
    <row r="11742" spans="1:3">
      <c r="A11742" s="62">
        <v>38853</v>
      </c>
      <c r="B11742">
        <v>3.8420000000000001</v>
      </c>
      <c r="C11742" t="str">
        <f t="shared" si="188"/>
        <v>2006 q2</v>
      </c>
    </row>
    <row r="11743" spans="1:3">
      <c r="A11743" s="62">
        <v>38854</v>
      </c>
      <c r="B11743">
        <v>3.6715</v>
      </c>
      <c r="C11743" t="str">
        <f t="shared" si="188"/>
        <v>2006 q2</v>
      </c>
    </row>
    <row r="11744" spans="1:3">
      <c r="A11744" s="62">
        <v>38855</v>
      </c>
      <c r="B11744">
        <v>3.7109999999999999</v>
      </c>
      <c r="C11744" t="str">
        <f t="shared" si="188"/>
        <v>2006 q2</v>
      </c>
    </row>
    <row r="11745" spans="1:3">
      <c r="A11745" s="62">
        <v>38856</v>
      </c>
      <c r="B11745">
        <v>3.4689999999999999</v>
      </c>
      <c r="C11745" t="str">
        <f t="shared" si="188"/>
        <v>2006 q2</v>
      </c>
    </row>
    <row r="11746" spans="1:3">
      <c r="A11746" s="62">
        <v>38859</v>
      </c>
      <c r="B11746">
        <v>3.4615</v>
      </c>
      <c r="C11746" t="str">
        <f t="shared" si="188"/>
        <v>2006 q2</v>
      </c>
    </row>
    <row r="11747" spans="1:3">
      <c r="A11747" s="62">
        <v>38860</v>
      </c>
      <c r="B11747">
        <v>3.8855</v>
      </c>
      <c r="C11747" t="str">
        <f t="shared" si="188"/>
        <v>2006 q2</v>
      </c>
    </row>
    <row r="11748" spans="1:3">
      <c r="A11748" s="62">
        <v>38861</v>
      </c>
      <c r="B11748">
        <v>3.6389999999999998</v>
      </c>
      <c r="C11748" t="str">
        <f t="shared" si="188"/>
        <v>2006 q2</v>
      </c>
    </row>
    <row r="11749" spans="1:3">
      <c r="A11749" s="62">
        <v>38862</v>
      </c>
      <c r="B11749">
        <v>3.7075</v>
      </c>
      <c r="C11749" t="str">
        <f t="shared" si="188"/>
        <v>2006 q2</v>
      </c>
    </row>
    <row r="11750" spans="1:3">
      <c r="A11750" s="62">
        <v>38863</v>
      </c>
      <c r="B11750">
        <v>3.8149999999999999</v>
      </c>
      <c r="C11750" t="str">
        <f t="shared" si="188"/>
        <v>2006 q2</v>
      </c>
    </row>
    <row r="11751" spans="1:3">
      <c r="A11751" s="62">
        <v>38867</v>
      </c>
      <c r="B11751">
        <v>3.6739999999999999</v>
      </c>
      <c r="C11751" t="str">
        <f t="shared" si="188"/>
        <v>2006 q2</v>
      </c>
    </row>
    <row r="11752" spans="1:3">
      <c r="A11752" s="62">
        <v>38868</v>
      </c>
      <c r="B11752">
        <v>3.6240000000000001</v>
      </c>
      <c r="C11752" t="str">
        <f t="shared" si="188"/>
        <v>2006 q2</v>
      </c>
    </row>
    <row r="11753" spans="1:3">
      <c r="A11753" s="62">
        <v>38869</v>
      </c>
      <c r="B11753">
        <v>3.4710000000000001</v>
      </c>
      <c r="C11753" t="str">
        <f t="shared" si="188"/>
        <v>2006 q2</v>
      </c>
    </row>
    <row r="11754" spans="1:3">
      <c r="A11754" s="62">
        <v>38870</v>
      </c>
      <c r="B11754">
        <v>3.5865</v>
      </c>
      <c r="C11754" t="str">
        <f t="shared" si="188"/>
        <v>2006 q2</v>
      </c>
    </row>
    <row r="11755" spans="1:3">
      <c r="A11755" s="62">
        <v>38873</v>
      </c>
      <c r="B11755">
        <v>3.601</v>
      </c>
      <c r="C11755" t="str">
        <f t="shared" si="188"/>
        <v>2006 q2</v>
      </c>
    </row>
    <row r="11756" spans="1:3">
      <c r="A11756" s="62">
        <v>38874</v>
      </c>
      <c r="B11756">
        <v>3.4895</v>
      </c>
      <c r="C11756" t="str">
        <f t="shared" si="188"/>
        <v>2006 q2</v>
      </c>
    </row>
    <row r="11757" spans="1:3">
      <c r="A11757" s="62">
        <v>38875</v>
      </c>
      <c r="B11757">
        <v>3.5840000000000001</v>
      </c>
      <c r="C11757" t="str">
        <f t="shared" si="188"/>
        <v>2006 q2</v>
      </c>
    </row>
    <row r="11758" spans="1:3">
      <c r="A11758" s="62">
        <v>38876</v>
      </c>
      <c r="B11758">
        <v>3.3570000000000002</v>
      </c>
      <c r="C11758" t="str">
        <f t="shared" si="188"/>
        <v>2006 q2</v>
      </c>
    </row>
    <row r="11759" spans="1:3">
      <c r="A11759" s="62">
        <v>38877</v>
      </c>
      <c r="B11759">
        <v>3.2675000000000001</v>
      </c>
      <c r="C11759" t="str">
        <f t="shared" si="188"/>
        <v>2006 q2</v>
      </c>
    </row>
    <row r="11760" spans="1:3">
      <c r="A11760" s="62">
        <v>38880</v>
      </c>
      <c r="B11760">
        <v>3.2284999999999999</v>
      </c>
      <c r="C11760" t="str">
        <f t="shared" si="188"/>
        <v>2006 q2</v>
      </c>
    </row>
    <row r="11761" spans="1:3">
      <c r="A11761" s="62">
        <v>38881</v>
      </c>
      <c r="B11761">
        <v>3.0105</v>
      </c>
      <c r="C11761" t="str">
        <f t="shared" si="188"/>
        <v>2006 q2</v>
      </c>
    </row>
    <row r="11762" spans="1:3">
      <c r="A11762" s="62">
        <v>38882</v>
      </c>
      <c r="B11762">
        <v>3.056</v>
      </c>
      <c r="C11762" t="str">
        <f t="shared" si="188"/>
        <v>2006 q2</v>
      </c>
    </row>
    <row r="11763" spans="1:3">
      <c r="A11763" s="62">
        <v>38883</v>
      </c>
      <c r="B11763">
        <v>3.2149999999999999</v>
      </c>
      <c r="C11763" t="str">
        <f t="shared" si="188"/>
        <v>2006 q2</v>
      </c>
    </row>
    <row r="11764" spans="1:3">
      <c r="A11764" s="62">
        <v>38884</v>
      </c>
      <c r="B11764">
        <v>3.2915000000000001</v>
      </c>
      <c r="C11764" t="str">
        <f t="shared" si="188"/>
        <v>2006 q2</v>
      </c>
    </row>
    <row r="11765" spans="1:3">
      <c r="A11765" s="62">
        <v>38887</v>
      </c>
      <c r="B11765">
        <v>3.1524999999999999</v>
      </c>
      <c r="C11765" t="str">
        <f t="shared" si="188"/>
        <v>2006 q2</v>
      </c>
    </row>
    <row r="11766" spans="1:3">
      <c r="A11766" s="62">
        <v>38888</v>
      </c>
      <c r="B11766">
        <v>3.1715</v>
      </c>
      <c r="C11766" t="str">
        <f t="shared" si="188"/>
        <v>2006 q2</v>
      </c>
    </row>
    <row r="11767" spans="1:3">
      <c r="A11767" s="62">
        <v>38889</v>
      </c>
      <c r="B11767">
        <v>3.1905000000000001</v>
      </c>
      <c r="C11767" t="str">
        <f t="shared" si="188"/>
        <v>2006 q2</v>
      </c>
    </row>
    <row r="11768" spans="1:3">
      <c r="A11768" s="62">
        <v>38890</v>
      </c>
      <c r="B11768">
        <v>3.1355</v>
      </c>
      <c r="C11768" t="str">
        <f t="shared" si="188"/>
        <v>2006 q2</v>
      </c>
    </row>
    <row r="11769" spans="1:3">
      <c r="A11769" s="62">
        <v>38891</v>
      </c>
      <c r="B11769">
        <v>3.2404999999999999</v>
      </c>
      <c r="C11769" t="str">
        <f t="shared" si="188"/>
        <v>2006 q2</v>
      </c>
    </row>
    <row r="11770" spans="1:3">
      <c r="A11770" s="62">
        <v>38894</v>
      </c>
      <c r="B11770">
        <v>3.3239999999999998</v>
      </c>
      <c r="C11770" t="str">
        <f t="shared" si="188"/>
        <v>2006 q2</v>
      </c>
    </row>
    <row r="11771" spans="1:3">
      <c r="A11771" s="62">
        <v>38895</v>
      </c>
      <c r="B11771">
        <v>3.1667999999999998</v>
      </c>
      <c r="C11771" t="str">
        <f t="shared" si="188"/>
        <v>2006 q2</v>
      </c>
    </row>
    <row r="11772" spans="1:3">
      <c r="A11772" s="62">
        <v>38896</v>
      </c>
      <c r="B11772">
        <v>3.2505999999999999</v>
      </c>
      <c r="C11772" t="str">
        <f t="shared" si="188"/>
        <v>2006 q2</v>
      </c>
    </row>
    <row r="11773" spans="1:3">
      <c r="A11773" s="62">
        <v>38897</v>
      </c>
      <c r="B11773">
        <v>3.3618000000000001</v>
      </c>
      <c r="C11773" t="str">
        <f t="shared" si="188"/>
        <v>2006 q2</v>
      </c>
    </row>
    <row r="11774" spans="1:3">
      <c r="A11774" s="62">
        <v>38898</v>
      </c>
      <c r="B11774">
        <v>3.3765000000000001</v>
      </c>
      <c r="C11774" t="str">
        <f t="shared" si="188"/>
        <v>2006 q2</v>
      </c>
    </row>
    <row r="11775" spans="1:3">
      <c r="A11775" s="62">
        <v>38903</v>
      </c>
      <c r="B11775">
        <v>3.4039999999999999</v>
      </c>
      <c r="C11775" t="str">
        <f t="shared" si="188"/>
        <v>2006 q3</v>
      </c>
    </row>
    <row r="11776" spans="1:3">
      <c r="A11776" s="62">
        <v>38904</v>
      </c>
      <c r="B11776">
        <v>3.617</v>
      </c>
      <c r="C11776" t="str">
        <f t="shared" si="188"/>
        <v>2006 q3</v>
      </c>
    </row>
    <row r="11777" spans="1:3">
      <c r="A11777" s="62">
        <v>38905</v>
      </c>
      <c r="B11777">
        <v>3.5474999999999999</v>
      </c>
      <c r="C11777" t="str">
        <f t="shared" si="188"/>
        <v>2006 q3</v>
      </c>
    </row>
    <row r="11778" spans="1:3">
      <c r="A11778" s="62">
        <v>38908</v>
      </c>
      <c r="B11778">
        <v>3.5825</v>
      </c>
      <c r="C11778" t="str">
        <f t="shared" si="188"/>
        <v>2006 q3</v>
      </c>
    </row>
    <row r="11779" spans="1:3">
      <c r="A11779" s="62">
        <v>38909</v>
      </c>
      <c r="B11779">
        <v>3.6349999999999998</v>
      </c>
      <c r="C11779" t="str">
        <f t="shared" si="188"/>
        <v>2006 q3</v>
      </c>
    </row>
    <row r="11780" spans="1:3">
      <c r="A11780" s="62">
        <v>38910</v>
      </c>
      <c r="B11780">
        <v>3.665</v>
      </c>
      <c r="C11780" t="str">
        <f t="shared" si="188"/>
        <v>2006 q3</v>
      </c>
    </row>
    <row r="11781" spans="1:3">
      <c r="A11781" s="62">
        <v>38911</v>
      </c>
      <c r="B11781">
        <v>3.6764999999999999</v>
      </c>
      <c r="C11781" t="str">
        <f t="shared" si="188"/>
        <v>2006 q3</v>
      </c>
    </row>
    <row r="11782" spans="1:3">
      <c r="A11782" s="62">
        <v>38912</v>
      </c>
      <c r="B11782">
        <v>3.7124999999999999</v>
      </c>
      <c r="C11782" t="str">
        <f t="shared" si="188"/>
        <v>2006 q3</v>
      </c>
    </row>
    <row r="11783" spans="1:3">
      <c r="A11783" s="62">
        <v>38915</v>
      </c>
      <c r="B11783">
        <v>3.5994999999999999</v>
      </c>
      <c r="C11783" t="str">
        <f t="shared" si="188"/>
        <v>2006 q3</v>
      </c>
    </row>
    <row r="11784" spans="1:3">
      <c r="A11784" s="62">
        <v>38916</v>
      </c>
      <c r="B11784">
        <v>3.5745</v>
      </c>
      <c r="C11784" t="str">
        <f t="shared" si="188"/>
        <v>2006 q3</v>
      </c>
    </row>
    <row r="11785" spans="1:3">
      <c r="A11785" s="62">
        <v>38917</v>
      </c>
      <c r="B11785">
        <v>3.5935000000000001</v>
      </c>
      <c r="C11785" t="str">
        <f t="shared" si="188"/>
        <v>2006 q3</v>
      </c>
    </row>
    <row r="11786" spans="1:3">
      <c r="A11786" s="62">
        <v>38918</v>
      </c>
      <c r="B11786">
        <v>3.4095</v>
      </c>
      <c r="C11786" t="str">
        <f t="shared" si="188"/>
        <v>2006 q3</v>
      </c>
    </row>
    <row r="11787" spans="1:3">
      <c r="A11787" s="62">
        <v>38919</v>
      </c>
      <c r="B11787">
        <v>3.323</v>
      </c>
      <c r="C11787" t="str">
        <f t="shared" si="188"/>
        <v>2006 q3</v>
      </c>
    </row>
    <row r="11788" spans="1:3">
      <c r="A11788" s="62">
        <v>38922</v>
      </c>
      <c r="B11788">
        <v>3.3820000000000001</v>
      </c>
      <c r="C11788" t="str">
        <f t="shared" si="188"/>
        <v>2006 q3</v>
      </c>
    </row>
    <row r="11789" spans="1:3">
      <c r="A11789" s="62">
        <v>38923</v>
      </c>
      <c r="B11789">
        <v>3.4609999999999999</v>
      </c>
      <c r="C11789" t="str">
        <f t="shared" si="188"/>
        <v>2006 q3</v>
      </c>
    </row>
    <row r="11790" spans="1:3">
      <c r="A11790" s="62">
        <v>38924</v>
      </c>
      <c r="B11790">
        <v>3.4495</v>
      </c>
      <c r="C11790" t="str">
        <f t="shared" si="188"/>
        <v>2006 q3</v>
      </c>
    </row>
    <row r="11791" spans="1:3">
      <c r="A11791" s="62">
        <v>38925</v>
      </c>
      <c r="B11791">
        <v>3.4784999999999999</v>
      </c>
      <c r="C11791" t="str">
        <f t="shared" si="188"/>
        <v>2006 q3</v>
      </c>
    </row>
    <row r="11792" spans="1:3">
      <c r="A11792" s="62">
        <v>38926</v>
      </c>
      <c r="B11792">
        <v>3.5489999999999999</v>
      </c>
      <c r="C11792" t="str">
        <f t="shared" si="188"/>
        <v>2006 q3</v>
      </c>
    </row>
    <row r="11793" spans="1:3">
      <c r="A11793" s="62">
        <v>38929</v>
      </c>
      <c r="B11793">
        <v>3.57</v>
      </c>
      <c r="C11793" t="str">
        <f t="shared" si="188"/>
        <v>2006 q3</v>
      </c>
    </row>
    <row r="11794" spans="1:3">
      <c r="A11794" s="62">
        <v>38930</v>
      </c>
      <c r="B11794">
        <v>3.593</v>
      </c>
      <c r="C11794" t="str">
        <f t="shared" ref="C11794:C11857" si="189">YEAR(A11794)&amp;" q"&amp;ROUNDUP(MONTH(A11794)/3,0)</f>
        <v>2006 q3</v>
      </c>
    </row>
    <row r="11795" spans="1:3">
      <c r="A11795" s="62">
        <v>38931</v>
      </c>
      <c r="B11795">
        <v>3.5910000000000002</v>
      </c>
      <c r="C11795" t="str">
        <f t="shared" si="189"/>
        <v>2006 q3</v>
      </c>
    </row>
    <row r="11796" spans="1:3">
      <c r="A11796" s="62">
        <v>38932</v>
      </c>
      <c r="B11796">
        <v>3.4895</v>
      </c>
      <c r="C11796" t="str">
        <f t="shared" si="189"/>
        <v>2006 q3</v>
      </c>
    </row>
    <row r="11797" spans="1:3">
      <c r="A11797" s="62">
        <v>38933</v>
      </c>
      <c r="B11797">
        <v>3.6324999999999998</v>
      </c>
      <c r="C11797" t="str">
        <f t="shared" si="189"/>
        <v>2006 q3</v>
      </c>
    </row>
    <row r="11798" spans="1:3">
      <c r="A11798" s="62">
        <v>38936</v>
      </c>
      <c r="B11798">
        <v>3.6105</v>
      </c>
      <c r="C11798" t="str">
        <f t="shared" si="189"/>
        <v>2006 q3</v>
      </c>
    </row>
    <row r="11799" spans="1:3">
      <c r="A11799" s="62">
        <v>38937</v>
      </c>
      <c r="B11799">
        <v>3.6019999999999999</v>
      </c>
      <c r="C11799" t="str">
        <f t="shared" si="189"/>
        <v>2006 q3</v>
      </c>
    </row>
    <row r="11800" spans="1:3">
      <c r="A11800" s="62">
        <v>38938</v>
      </c>
      <c r="B11800">
        <v>3.71</v>
      </c>
      <c r="C11800" t="str">
        <f t="shared" si="189"/>
        <v>2006 q3</v>
      </c>
    </row>
    <row r="11801" spans="1:3">
      <c r="A11801" s="62">
        <v>38939</v>
      </c>
      <c r="B11801">
        <v>3.6244999999999998</v>
      </c>
      <c r="C11801" t="str">
        <f t="shared" si="189"/>
        <v>2006 q3</v>
      </c>
    </row>
    <row r="11802" spans="1:3">
      <c r="A11802" s="62">
        <v>38940</v>
      </c>
      <c r="B11802">
        <v>3.4765000000000001</v>
      </c>
      <c r="C11802" t="str">
        <f t="shared" si="189"/>
        <v>2006 q3</v>
      </c>
    </row>
    <row r="11803" spans="1:3">
      <c r="A11803" s="62">
        <v>38943</v>
      </c>
      <c r="B11803">
        <v>3.5369999999999999</v>
      </c>
      <c r="C11803" t="str">
        <f t="shared" si="189"/>
        <v>2006 q3</v>
      </c>
    </row>
    <row r="11804" spans="1:3">
      <c r="A11804" s="62">
        <v>38944</v>
      </c>
      <c r="B11804">
        <v>3.5274999999999999</v>
      </c>
      <c r="C11804" t="str">
        <f t="shared" si="189"/>
        <v>2006 q3</v>
      </c>
    </row>
    <row r="11805" spans="1:3">
      <c r="A11805" s="62">
        <v>38945</v>
      </c>
      <c r="B11805">
        <v>3.47</v>
      </c>
      <c r="C11805" t="str">
        <f t="shared" si="189"/>
        <v>2006 q3</v>
      </c>
    </row>
    <row r="11806" spans="1:3">
      <c r="A11806" s="62">
        <v>38946</v>
      </c>
      <c r="B11806">
        <v>3.3574999999999999</v>
      </c>
      <c r="C11806" t="str">
        <f t="shared" si="189"/>
        <v>2006 q3</v>
      </c>
    </row>
    <row r="11807" spans="1:3">
      <c r="A11807" s="62">
        <v>38947</v>
      </c>
      <c r="B11807">
        <v>3.4344999999999999</v>
      </c>
      <c r="C11807" t="str">
        <f t="shared" si="189"/>
        <v>2006 q3</v>
      </c>
    </row>
    <row r="11808" spans="1:3">
      <c r="A11808" s="62">
        <v>38950</v>
      </c>
      <c r="B11808">
        <v>3.5194999999999999</v>
      </c>
      <c r="C11808" t="str">
        <f t="shared" si="189"/>
        <v>2006 q3</v>
      </c>
    </row>
    <row r="11809" spans="1:3">
      <c r="A11809" s="62">
        <v>38951</v>
      </c>
      <c r="B11809">
        <v>3.4929999999999999</v>
      </c>
      <c r="C11809" t="str">
        <f t="shared" si="189"/>
        <v>2006 q3</v>
      </c>
    </row>
    <row r="11810" spans="1:3">
      <c r="A11810" s="62">
        <v>38952</v>
      </c>
      <c r="B11810">
        <v>3.4649999999999999</v>
      </c>
      <c r="C11810" t="str">
        <f t="shared" si="189"/>
        <v>2006 q3</v>
      </c>
    </row>
    <row r="11811" spans="1:3">
      <c r="A11811" s="62">
        <v>38953</v>
      </c>
      <c r="B11811">
        <v>3.4285000000000001</v>
      </c>
      <c r="C11811" t="str">
        <f t="shared" si="189"/>
        <v>2006 q3</v>
      </c>
    </row>
    <row r="11812" spans="1:3">
      <c r="A11812" s="62">
        <v>38954</v>
      </c>
      <c r="B11812">
        <v>3.4424999999999999</v>
      </c>
      <c r="C11812" t="str">
        <f t="shared" si="189"/>
        <v>2006 q3</v>
      </c>
    </row>
    <row r="11813" spans="1:3">
      <c r="A11813" s="62">
        <v>38957</v>
      </c>
      <c r="B11813">
        <v>3.4537</v>
      </c>
      <c r="C11813" t="str">
        <f t="shared" si="189"/>
        <v>2006 q3</v>
      </c>
    </row>
    <row r="11814" spans="1:3">
      <c r="A11814" s="62">
        <v>38958</v>
      </c>
      <c r="B11814">
        <v>3.3879000000000001</v>
      </c>
      <c r="C11814" t="str">
        <f t="shared" si="189"/>
        <v>2006 q3</v>
      </c>
    </row>
    <row r="11815" spans="1:3">
      <c r="A11815" s="62">
        <v>38959</v>
      </c>
      <c r="B11815">
        <v>3.3574999999999999</v>
      </c>
      <c r="C11815" t="str">
        <f t="shared" si="189"/>
        <v>2006 q3</v>
      </c>
    </row>
    <row r="11816" spans="1:3">
      <c r="A11816" s="62">
        <v>38960</v>
      </c>
      <c r="B11816">
        <v>3.4586000000000001</v>
      </c>
      <c r="C11816" t="str">
        <f t="shared" si="189"/>
        <v>2006 q3</v>
      </c>
    </row>
    <row r="11817" spans="1:3">
      <c r="A11817" s="62">
        <v>38961</v>
      </c>
      <c r="B11817">
        <v>3.4609999999999999</v>
      </c>
      <c r="C11817" t="str">
        <f t="shared" si="189"/>
        <v>2006 q3</v>
      </c>
    </row>
    <row r="11818" spans="1:3">
      <c r="A11818" s="62">
        <v>38965</v>
      </c>
      <c r="B11818">
        <v>3.6244999999999998</v>
      </c>
      <c r="C11818" t="str">
        <f t="shared" si="189"/>
        <v>2006 q3</v>
      </c>
    </row>
    <row r="11819" spans="1:3">
      <c r="A11819" s="62">
        <v>38966</v>
      </c>
      <c r="B11819">
        <v>3.6795</v>
      </c>
      <c r="C11819" t="str">
        <f t="shared" si="189"/>
        <v>2006 q3</v>
      </c>
    </row>
    <row r="11820" spans="1:3">
      <c r="A11820" s="62">
        <v>38967</v>
      </c>
      <c r="B11820">
        <v>3.6480000000000001</v>
      </c>
      <c r="C11820" t="str">
        <f t="shared" si="189"/>
        <v>2006 q3</v>
      </c>
    </row>
    <row r="11821" spans="1:3">
      <c r="A11821" s="62">
        <v>38968</v>
      </c>
      <c r="B11821">
        <v>3.5680000000000001</v>
      </c>
      <c r="C11821" t="str">
        <f t="shared" si="189"/>
        <v>2006 q3</v>
      </c>
    </row>
    <row r="11822" spans="1:3">
      <c r="A11822" s="62">
        <v>38971</v>
      </c>
      <c r="B11822">
        <v>3.4175</v>
      </c>
      <c r="C11822" t="str">
        <f t="shared" si="189"/>
        <v>2006 q3</v>
      </c>
    </row>
    <row r="11823" spans="1:3">
      <c r="A11823" s="62">
        <v>38972</v>
      </c>
      <c r="B11823">
        <v>3.3730000000000002</v>
      </c>
      <c r="C11823" t="str">
        <f t="shared" si="189"/>
        <v>2006 q3</v>
      </c>
    </row>
    <row r="11824" spans="1:3">
      <c r="A11824" s="62">
        <v>38973</v>
      </c>
      <c r="B11824">
        <v>3.3849999999999998</v>
      </c>
      <c r="C11824" t="str">
        <f t="shared" si="189"/>
        <v>2006 q3</v>
      </c>
    </row>
    <row r="11825" spans="1:3">
      <c r="A11825" s="62">
        <v>38974</v>
      </c>
      <c r="B11825">
        <v>3.3744999999999998</v>
      </c>
      <c r="C11825" t="str">
        <f t="shared" si="189"/>
        <v>2006 q3</v>
      </c>
    </row>
    <row r="11826" spans="1:3">
      <c r="A11826" s="62">
        <v>38975</v>
      </c>
      <c r="B11826">
        <v>3.3115000000000001</v>
      </c>
      <c r="C11826" t="str">
        <f t="shared" si="189"/>
        <v>2006 q3</v>
      </c>
    </row>
    <row r="11827" spans="1:3">
      <c r="A11827" s="62">
        <v>38978</v>
      </c>
      <c r="B11827">
        <v>3.4144999999999999</v>
      </c>
      <c r="C11827" t="str">
        <f t="shared" si="189"/>
        <v>2006 q3</v>
      </c>
    </row>
    <row r="11828" spans="1:3">
      <c r="A11828" s="62">
        <v>38979</v>
      </c>
      <c r="B11828">
        <v>3.3755000000000002</v>
      </c>
      <c r="C11828" t="str">
        <f t="shared" si="189"/>
        <v>2006 q3</v>
      </c>
    </row>
    <row r="11829" spans="1:3">
      <c r="A11829" s="62">
        <v>38980</v>
      </c>
      <c r="B11829">
        <v>3.3759999999999999</v>
      </c>
      <c r="C11829" t="str">
        <f t="shared" si="189"/>
        <v>2006 q3</v>
      </c>
    </row>
    <row r="11830" spans="1:3">
      <c r="A11830" s="62">
        <v>38981</v>
      </c>
      <c r="B11830">
        <v>3.4315000000000002</v>
      </c>
      <c r="C11830" t="str">
        <f t="shared" si="189"/>
        <v>2006 q3</v>
      </c>
    </row>
    <row r="11831" spans="1:3">
      <c r="A11831" s="62">
        <v>38982</v>
      </c>
      <c r="B11831">
        <v>3.4434999999999998</v>
      </c>
      <c r="C11831" t="str">
        <f t="shared" si="189"/>
        <v>2006 q3</v>
      </c>
    </row>
    <row r="11832" spans="1:3">
      <c r="A11832" s="62">
        <v>38985</v>
      </c>
      <c r="B11832">
        <v>3.4474999999999998</v>
      </c>
      <c r="C11832" t="str">
        <f t="shared" si="189"/>
        <v>2006 q3</v>
      </c>
    </row>
    <row r="11833" spans="1:3">
      <c r="A11833" s="62">
        <v>38986</v>
      </c>
      <c r="B11833">
        <v>3.4660000000000002</v>
      </c>
      <c r="C11833" t="str">
        <f t="shared" si="189"/>
        <v>2006 q3</v>
      </c>
    </row>
    <row r="11834" spans="1:3">
      <c r="A11834" s="62">
        <v>38987</v>
      </c>
      <c r="B11834">
        <v>3.4870000000000001</v>
      </c>
      <c r="C11834" t="str">
        <f t="shared" si="189"/>
        <v>2006 q3</v>
      </c>
    </row>
    <row r="11835" spans="1:3">
      <c r="A11835" s="62">
        <v>38988</v>
      </c>
      <c r="B11835">
        <v>3.4279999999999999</v>
      </c>
      <c r="C11835" t="str">
        <f t="shared" si="189"/>
        <v>2006 q3</v>
      </c>
    </row>
    <row r="11836" spans="1:3">
      <c r="A11836" s="62">
        <v>38989</v>
      </c>
      <c r="B11836">
        <v>3.4605000000000001</v>
      </c>
      <c r="C11836" t="str">
        <f t="shared" si="189"/>
        <v>2006 q3</v>
      </c>
    </row>
    <row r="11837" spans="1:3">
      <c r="A11837" s="62">
        <v>38992</v>
      </c>
      <c r="B11837">
        <v>3.4295</v>
      </c>
      <c r="C11837" t="str">
        <f t="shared" si="189"/>
        <v>2006 q4</v>
      </c>
    </row>
    <row r="11838" spans="1:3">
      <c r="A11838" s="62">
        <v>38993</v>
      </c>
      <c r="B11838">
        <v>3.2825000000000002</v>
      </c>
      <c r="C11838" t="str">
        <f t="shared" si="189"/>
        <v>2006 q4</v>
      </c>
    </row>
    <row r="11839" spans="1:3">
      <c r="A11839" s="62">
        <v>38994</v>
      </c>
      <c r="B11839">
        <v>3.2054999999999998</v>
      </c>
      <c r="C11839" t="str">
        <f t="shared" si="189"/>
        <v>2006 q4</v>
      </c>
    </row>
    <row r="11840" spans="1:3">
      <c r="A11840" s="62">
        <v>38995</v>
      </c>
      <c r="B11840">
        <v>3.3</v>
      </c>
      <c r="C11840" t="str">
        <f t="shared" si="189"/>
        <v>2006 q4</v>
      </c>
    </row>
    <row r="11841" spans="1:3">
      <c r="A11841" s="62">
        <v>38996</v>
      </c>
      <c r="B11841">
        <v>3.3885000000000001</v>
      </c>
      <c r="C11841" t="str">
        <f t="shared" si="189"/>
        <v>2006 q4</v>
      </c>
    </row>
    <row r="11842" spans="1:3">
      <c r="A11842" s="62">
        <v>38999</v>
      </c>
      <c r="B11842">
        <v>3.4129999999999998</v>
      </c>
      <c r="C11842" t="str">
        <f t="shared" si="189"/>
        <v>2006 q4</v>
      </c>
    </row>
    <row r="11843" spans="1:3">
      <c r="A11843" s="62">
        <v>39000</v>
      </c>
      <c r="B11843">
        <v>3.3780000000000001</v>
      </c>
      <c r="C11843" t="str">
        <f t="shared" si="189"/>
        <v>2006 q4</v>
      </c>
    </row>
    <row r="11844" spans="1:3">
      <c r="A11844" s="62">
        <v>39001</v>
      </c>
      <c r="B11844">
        <v>3.41</v>
      </c>
      <c r="C11844" t="str">
        <f t="shared" si="189"/>
        <v>2006 q4</v>
      </c>
    </row>
    <row r="11845" spans="1:3">
      <c r="A11845" s="62">
        <v>39002</v>
      </c>
      <c r="B11845">
        <v>3.3864999999999998</v>
      </c>
      <c r="C11845" t="str">
        <f t="shared" si="189"/>
        <v>2006 q4</v>
      </c>
    </row>
    <row r="11846" spans="1:3">
      <c r="A11846" s="62">
        <v>39003</v>
      </c>
      <c r="B11846">
        <v>3.4135</v>
      </c>
      <c r="C11846" t="str">
        <f t="shared" si="189"/>
        <v>2006 q4</v>
      </c>
    </row>
    <row r="11847" spans="1:3">
      <c r="A11847" s="62">
        <v>39006</v>
      </c>
      <c r="B11847">
        <v>3.581</v>
      </c>
      <c r="C11847" t="str">
        <f t="shared" si="189"/>
        <v>2006 q4</v>
      </c>
    </row>
    <row r="11848" spans="1:3">
      <c r="A11848" s="62">
        <v>39007</v>
      </c>
      <c r="B11848">
        <v>3.496</v>
      </c>
      <c r="C11848" t="str">
        <f t="shared" si="189"/>
        <v>2006 q4</v>
      </c>
    </row>
    <row r="11849" spans="1:3">
      <c r="A11849" s="62">
        <v>39008</v>
      </c>
      <c r="B11849">
        <v>3.496</v>
      </c>
      <c r="C11849" t="str">
        <f t="shared" si="189"/>
        <v>2006 q4</v>
      </c>
    </row>
    <row r="11850" spans="1:3">
      <c r="A11850" s="62">
        <v>39009</v>
      </c>
      <c r="B11850">
        <v>3.5095000000000001</v>
      </c>
      <c r="C11850" t="str">
        <f t="shared" si="189"/>
        <v>2006 q4</v>
      </c>
    </row>
    <row r="11851" spans="1:3">
      <c r="A11851" s="62">
        <v>39010</v>
      </c>
      <c r="B11851">
        <v>3.4620000000000002</v>
      </c>
      <c r="C11851" t="str">
        <f t="shared" si="189"/>
        <v>2006 q4</v>
      </c>
    </row>
    <row r="11852" spans="1:3">
      <c r="A11852" s="62">
        <v>39013</v>
      </c>
      <c r="B11852">
        <v>3.4510000000000001</v>
      </c>
      <c r="C11852" t="str">
        <f t="shared" si="189"/>
        <v>2006 q4</v>
      </c>
    </row>
    <row r="11853" spans="1:3">
      <c r="A11853" s="62">
        <v>39014</v>
      </c>
      <c r="B11853">
        <v>3.4180000000000001</v>
      </c>
      <c r="C11853" t="str">
        <f t="shared" si="189"/>
        <v>2006 q4</v>
      </c>
    </row>
    <row r="11854" spans="1:3">
      <c r="A11854" s="62">
        <v>39015</v>
      </c>
      <c r="B11854">
        <v>3.4045000000000001</v>
      </c>
      <c r="C11854" t="str">
        <f t="shared" si="189"/>
        <v>2006 q4</v>
      </c>
    </row>
    <row r="11855" spans="1:3">
      <c r="A11855" s="62">
        <v>39016</v>
      </c>
      <c r="B11855">
        <v>3.4</v>
      </c>
      <c r="C11855" t="str">
        <f t="shared" si="189"/>
        <v>2006 q4</v>
      </c>
    </row>
    <row r="11856" spans="1:3">
      <c r="A11856" s="62">
        <v>39017</v>
      </c>
      <c r="B11856">
        <v>3.4049999999999998</v>
      </c>
      <c r="C11856" t="str">
        <f t="shared" si="189"/>
        <v>2006 q4</v>
      </c>
    </row>
    <row r="11857" spans="1:3">
      <c r="A11857" s="62">
        <v>39020</v>
      </c>
      <c r="B11857">
        <v>3.3584999999999998</v>
      </c>
      <c r="C11857" t="str">
        <f t="shared" si="189"/>
        <v>2006 q4</v>
      </c>
    </row>
    <row r="11858" spans="1:3">
      <c r="A11858" s="62">
        <v>39021</v>
      </c>
      <c r="B11858">
        <v>3.3454999999999999</v>
      </c>
      <c r="C11858" t="str">
        <f t="shared" ref="C11858:C11921" si="190">YEAR(A11858)&amp;" q"&amp;ROUNDUP(MONTH(A11858)/3,0)</f>
        <v>2006 q4</v>
      </c>
    </row>
    <row r="11859" spans="1:3">
      <c r="A11859" s="62">
        <v>39022</v>
      </c>
      <c r="B11859">
        <v>3.2410000000000001</v>
      </c>
      <c r="C11859" t="str">
        <f t="shared" si="190"/>
        <v>2006 q4</v>
      </c>
    </row>
    <row r="11860" spans="1:3">
      <c r="A11860" s="62">
        <v>39023</v>
      </c>
      <c r="B11860">
        <v>3.2915000000000001</v>
      </c>
      <c r="C11860" t="str">
        <f t="shared" si="190"/>
        <v>2006 q4</v>
      </c>
    </row>
    <row r="11861" spans="1:3">
      <c r="A11861" s="62">
        <v>39024</v>
      </c>
      <c r="B11861">
        <v>3.3224999999999998</v>
      </c>
      <c r="C11861" t="str">
        <f t="shared" si="190"/>
        <v>2006 q4</v>
      </c>
    </row>
    <row r="11862" spans="1:3">
      <c r="A11862" s="62">
        <v>39027</v>
      </c>
      <c r="B11862">
        <v>3.3370000000000002</v>
      </c>
      <c r="C11862" t="str">
        <f t="shared" si="190"/>
        <v>2006 q4</v>
      </c>
    </row>
    <row r="11863" spans="1:3">
      <c r="A11863" s="62">
        <v>39028</v>
      </c>
      <c r="B11863">
        <v>3.3654999999999999</v>
      </c>
      <c r="C11863" t="str">
        <f t="shared" si="190"/>
        <v>2006 q4</v>
      </c>
    </row>
    <row r="11864" spans="1:3">
      <c r="A11864" s="62">
        <v>39029</v>
      </c>
      <c r="B11864">
        <v>3.2444999999999999</v>
      </c>
      <c r="C11864" t="str">
        <f t="shared" si="190"/>
        <v>2006 q4</v>
      </c>
    </row>
    <row r="11865" spans="1:3">
      <c r="A11865" s="62">
        <v>39030</v>
      </c>
      <c r="B11865">
        <v>3.3090000000000002</v>
      </c>
      <c r="C11865" t="str">
        <f t="shared" si="190"/>
        <v>2006 q4</v>
      </c>
    </row>
    <row r="11866" spans="1:3">
      <c r="A11866" s="62">
        <v>39031</v>
      </c>
      <c r="B11866">
        <v>3.0884999999999998</v>
      </c>
      <c r="C11866" t="str">
        <f t="shared" si="190"/>
        <v>2006 q4</v>
      </c>
    </row>
    <row r="11867" spans="1:3">
      <c r="A11867" s="62">
        <v>39034</v>
      </c>
      <c r="B11867">
        <v>3.0750000000000002</v>
      </c>
      <c r="C11867" t="str">
        <f t="shared" si="190"/>
        <v>2006 q4</v>
      </c>
    </row>
    <row r="11868" spans="1:3">
      <c r="A11868" s="62">
        <v>39035</v>
      </c>
      <c r="B11868">
        <v>3.089</v>
      </c>
      <c r="C11868" t="str">
        <f t="shared" si="190"/>
        <v>2006 q4</v>
      </c>
    </row>
    <row r="11869" spans="1:3">
      <c r="A11869" s="62">
        <v>39036</v>
      </c>
      <c r="B11869">
        <v>3.0945</v>
      </c>
      <c r="C11869" t="str">
        <f t="shared" si="190"/>
        <v>2006 q4</v>
      </c>
    </row>
    <row r="11870" spans="1:3">
      <c r="A11870" s="62">
        <v>39037</v>
      </c>
      <c r="B11870">
        <v>3.0409999999999999</v>
      </c>
      <c r="C11870" t="str">
        <f t="shared" si="190"/>
        <v>2006 q4</v>
      </c>
    </row>
    <row r="11871" spans="1:3">
      <c r="A11871" s="62">
        <v>39038</v>
      </c>
      <c r="B11871">
        <v>3.0575000000000001</v>
      </c>
      <c r="C11871" t="str">
        <f t="shared" si="190"/>
        <v>2006 q4</v>
      </c>
    </row>
    <row r="11872" spans="1:3">
      <c r="A11872" s="62">
        <v>39041</v>
      </c>
      <c r="B11872">
        <v>3.0415000000000001</v>
      </c>
      <c r="C11872" t="str">
        <f t="shared" si="190"/>
        <v>2006 q4</v>
      </c>
    </row>
    <row r="11873" spans="1:3">
      <c r="A11873" s="62">
        <v>39042</v>
      </c>
      <c r="B11873">
        <v>3.1154999999999999</v>
      </c>
      <c r="C11873" t="str">
        <f t="shared" si="190"/>
        <v>2006 q4</v>
      </c>
    </row>
    <row r="11874" spans="1:3">
      <c r="A11874" s="62">
        <v>39043</v>
      </c>
      <c r="B11874">
        <v>3.1110000000000002</v>
      </c>
      <c r="C11874" t="str">
        <f t="shared" si="190"/>
        <v>2006 q4</v>
      </c>
    </row>
    <row r="11875" spans="1:3">
      <c r="A11875" s="62">
        <v>39048</v>
      </c>
      <c r="B11875">
        <v>3.1899000000000002</v>
      </c>
      <c r="C11875" t="str">
        <f t="shared" si="190"/>
        <v>2006 q4</v>
      </c>
    </row>
    <row r="11876" spans="1:3">
      <c r="A11876" s="62">
        <v>39049</v>
      </c>
      <c r="B11876">
        <v>3.1429999999999998</v>
      </c>
      <c r="C11876" t="str">
        <f t="shared" si="190"/>
        <v>2006 q4</v>
      </c>
    </row>
    <row r="11877" spans="1:3">
      <c r="A11877" s="62">
        <v>39050</v>
      </c>
      <c r="B11877">
        <v>3.1345999999999998</v>
      </c>
      <c r="C11877" t="str">
        <f t="shared" si="190"/>
        <v>2006 q4</v>
      </c>
    </row>
    <row r="11878" spans="1:3">
      <c r="A11878" s="62">
        <v>39051</v>
      </c>
      <c r="B11878">
        <v>3.1775000000000002</v>
      </c>
      <c r="C11878" t="str">
        <f t="shared" si="190"/>
        <v>2006 q4</v>
      </c>
    </row>
    <row r="11879" spans="1:3">
      <c r="A11879" s="62">
        <v>39052</v>
      </c>
      <c r="B11879">
        <v>3.1555</v>
      </c>
      <c r="C11879" t="str">
        <f t="shared" si="190"/>
        <v>2006 q4</v>
      </c>
    </row>
    <row r="11880" spans="1:3">
      <c r="A11880" s="62">
        <v>39055</v>
      </c>
      <c r="B11880">
        <v>3.1595</v>
      </c>
      <c r="C11880" t="str">
        <f t="shared" si="190"/>
        <v>2006 q4</v>
      </c>
    </row>
    <row r="11881" spans="1:3">
      <c r="A11881" s="62">
        <v>39056</v>
      </c>
      <c r="B11881">
        <v>3.2345000000000002</v>
      </c>
      <c r="C11881" t="str">
        <f t="shared" si="190"/>
        <v>2006 q4</v>
      </c>
    </row>
    <row r="11882" spans="1:3">
      <c r="A11882" s="62">
        <v>39057</v>
      </c>
      <c r="B11882">
        <v>3.149</v>
      </c>
      <c r="C11882" t="str">
        <f t="shared" si="190"/>
        <v>2006 q4</v>
      </c>
    </row>
    <row r="11883" spans="1:3">
      <c r="A11883" s="62">
        <v>39058</v>
      </c>
      <c r="B11883">
        <v>3.1019999999999999</v>
      </c>
      <c r="C11883" t="str">
        <f t="shared" si="190"/>
        <v>2006 q4</v>
      </c>
    </row>
    <row r="11884" spans="1:3">
      <c r="A11884" s="62">
        <v>39059</v>
      </c>
      <c r="B11884">
        <v>3.1120000000000001</v>
      </c>
      <c r="C11884" t="str">
        <f t="shared" si="190"/>
        <v>2006 q4</v>
      </c>
    </row>
    <row r="11885" spans="1:3">
      <c r="A11885" s="62">
        <v>39062</v>
      </c>
      <c r="B11885">
        <v>3.1234999999999999</v>
      </c>
      <c r="C11885" t="str">
        <f t="shared" si="190"/>
        <v>2006 q4</v>
      </c>
    </row>
    <row r="11886" spans="1:3">
      <c r="A11886" s="62">
        <v>39063</v>
      </c>
      <c r="B11886">
        <v>3.0870000000000002</v>
      </c>
      <c r="C11886" t="str">
        <f t="shared" si="190"/>
        <v>2006 q4</v>
      </c>
    </row>
    <row r="11887" spans="1:3">
      <c r="A11887" s="62">
        <v>39064</v>
      </c>
      <c r="B11887">
        <v>3.0245000000000002</v>
      </c>
      <c r="C11887" t="str">
        <f t="shared" si="190"/>
        <v>2006 q4</v>
      </c>
    </row>
    <row r="11888" spans="1:3">
      <c r="A11888" s="62">
        <v>39065</v>
      </c>
      <c r="B11888">
        <v>3.0474999999999999</v>
      </c>
      <c r="C11888" t="str">
        <f t="shared" si="190"/>
        <v>2006 q4</v>
      </c>
    </row>
    <row r="11889" spans="1:3">
      <c r="A11889" s="62">
        <v>39066</v>
      </c>
      <c r="B11889">
        <v>3.008</v>
      </c>
      <c r="C11889" t="str">
        <f t="shared" si="190"/>
        <v>2006 q4</v>
      </c>
    </row>
    <row r="11890" spans="1:3">
      <c r="A11890" s="62">
        <v>39069</v>
      </c>
      <c r="B11890">
        <v>3.0209999999999999</v>
      </c>
      <c r="C11890" t="str">
        <f t="shared" si="190"/>
        <v>2006 q4</v>
      </c>
    </row>
    <row r="11891" spans="1:3">
      <c r="A11891" s="62">
        <v>39070</v>
      </c>
      <c r="B11891">
        <v>3.0049999999999999</v>
      </c>
      <c r="C11891" t="str">
        <f t="shared" si="190"/>
        <v>2006 q4</v>
      </c>
    </row>
    <row r="11892" spans="1:3">
      <c r="A11892" s="62">
        <v>39071</v>
      </c>
      <c r="B11892">
        <v>2.9445000000000001</v>
      </c>
      <c r="C11892" t="str">
        <f t="shared" si="190"/>
        <v>2006 q4</v>
      </c>
    </row>
    <row r="11893" spans="1:3">
      <c r="A11893" s="62">
        <v>39072</v>
      </c>
      <c r="B11893">
        <v>2.8679999999999999</v>
      </c>
      <c r="C11893" t="str">
        <f t="shared" si="190"/>
        <v>2006 q4</v>
      </c>
    </row>
    <row r="11894" spans="1:3">
      <c r="A11894" s="62">
        <v>39073</v>
      </c>
      <c r="B11894">
        <v>2.843</v>
      </c>
      <c r="C11894" t="str">
        <f t="shared" si="190"/>
        <v>2006 q4</v>
      </c>
    </row>
    <row r="11895" spans="1:3">
      <c r="A11895" s="62">
        <v>39077</v>
      </c>
      <c r="B11895">
        <v>2.8639999999999999</v>
      </c>
      <c r="C11895" t="str">
        <f t="shared" si="190"/>
        <v>2006 q4</v>
      </c>
    </row>
    <row r="11896" spans="1:3">
      <c r="A11896" s="62">
        <v>39078</v>
      </c>
      <c r="B11896">
        <v>2.9007999999999998</v>
      </c>
      <c r="C11896" t="str">
        <f t="shared" si="190"/>
        <v>2006 q4</v>
      </c>
    </row>
    <row r="11897" spans="1:3">
      <c r="A11897" s="62">
        <v>39079</v>
      </c>
      <c r="B11897">
        <v>2.8889999999999998</v>
      </c>
      <c r="C11897" t="str">
        <f t="shared" si="190"/>
        <v>2006 q4</v>
      </c>
    </row>
    <row r="11898" spans="1:3">
      <c r="A11898" s="62">
        <v>39080</v>
      </c>
      <c r="B11898">
        <v>2.8675999999999999</v>
      </c>
      <c r="C11898" t="str">
        <f t="shared" si="190"/>
        <v>2006 q4</v>
      </c>
    </row>
    <row r="11899" spans="1:3">
      <c r="A11899" s="62">
        <v>39085</v>
      </c>
      <c r="B11899">
        <v>2.649</v>
      </c>
      <c r="C11899" t="str">
        <f t="shared" si="190"/>
        <v>2007 q1</v>
      </c>
    </row>
    <row r="11900" spans="1:3">
      <c r="A11900" s="62">
        <v>39086</v>
      </c>
      <c r="B11900">
        <v>2.6019999999999999</v>
      </c>
      <c r="C11900" t="str">
        <f t="shared" si="190"/>
        <v>2007 q1</v>
      </c>
    </row>
    <row r="11901" spans="1:3">
      <c r="A11901" s="62">
        <v>39087</v>
      </c>
      <c r="B11901">
        <v>2.5350000000000001</v>
      </c>
      <c r="C11901" t="str">
        <f t="shared" si="190"/>
        <v>2007 q1</v>
      </c>
    </row>
    <row r="11902" spans="1:3">
      <c r="A11902" s="62">
        <v>39090</v>
      </c>
      <c r="B11902">
        <v>2.528</v>
      </c>
      <c r="C11902" t="str">
        <f t="shared" si="190"/>
        <v>2007 q1</v>
      </c>
    </row>
    <row r="11903" spans="1:3">
      <c r="A11903" s="62">
        <v>39091</v>
      </c>
      <c r="B11903">
        <v>2.556</v>
      </c>
      <c r="C11903" t="str">
        <f t="shared" si="190"/>
        <v>2007 q1</v>
      </c>
    </row>
    <row r="11904" spans="1:3">
      <c r="A11904" s="62">
        <v>39092</v>
      </c>
      <c r="B11904">
        <v>2.6640000000000001</v>
      </c>
      <c r="C11904" t="str">
        <f t="shared" si="190"/>
        <v>2007 q1</v>
      </c>
    </row>
    <row r="11905" spans="1:3">
      <c r="A11905" s="62">
        <v>39093</v>
      </c>
      <c r="B11905">
        <v>2.6589999999999998</v>
      </c>
      <c r="C11905" t="str">
        <f t="shared" si="190"/>
        <v>2007 q1</v>
      </c>
    </row>
    <row r="11906" spans="1:3">
      <c r="A11906" s="62">
        <v>39094</v>
      </c>
      <c r="B11906">
        <v>2.6030000000000002</v>
      </c>
      <c r="C11906" t="str">
        <f t="shared" si="190"/>
        <v>2007 q1</v>
      </c>
    </row>
    <row r="11907" spans="1:3">
      <c r="A11907" s="62">
        <v>39098</v>
      </c>
      <c r="B11907">
        <v>2.5775000000000001</v>
      </c>
      <c r="C11907" t="str">
        <f t="shared" si="190"/>
        <v>2007 q1</v>
      </c>
    </row>
    <row r="11908" spans="1:3">
      <c r="A11908" s="62">
        <v>39099</v>
      </c>
      <c r="B11908">
        <v>2.5695000000000001</v>
      </c>
      <c r="C11908" t="str">
        <f t="shared" si="190"/>
        <v>2007 q1</v>
      </c>
    </row>
    <row r="11909" spans="1:3">
      <c r="A11909" s="62">
        <v>39100</v>
      </c>
      <c r="B11909">
        <v>2.492</v>
      </c>
      <c r="C11909" t="str">
        <f t="shared" si="190"/>
        <v>2007 q1</v>
      </c>
    </row>
    <row r="11910" spans="1:3">
      <c r="A11910" s="62">
        <v>39101</v>
      </c>
      <c r="B11910">
        <v>2.5169999999999999</v>
      </c>
      <c r="C11910" t="str">
        <f t="shared" si="190"/>
        <v>2007 q1</v>
      </c>
    </row>
    <row r="11911" spans="1:3">
      <c r="A11911" s="62">
        <v>39104</v>
      </c>
      <c r="B11911">
        <v>2.5295000000000001</v>
      </c>
      <c r="C11911" t="str">
        <f t="shared" si="190"/>
        <v>2007 q1</v>
      </c>
    </row>
    <row r="11912" spans="1:3">
      <c r="A11912" s="62">
        <v>39105</v>
      </c>
      <c r="B11912">
        <v>2.5794999999999999</v>
      </c>
      <c r="C11912" t="str">
        <f t="shared" si="190"/>
        <v>2007 q1</v>
      </c>
    </row>
    <row r="11913" spans="1:3">
      <c r="A11913" s="62">
        <v>39106</v>
      </c>
      <c r="B11913">
        <v>2.6015000000000001</v>
      </c>
      <c r="C11913" t="str">
        <f t="shared" si="190"/>
        <v>2007 q1</v>
      </c>
    </row>
    <row r="11914" spans="1:3">
      <c r="A11914" s="62">
        <v>39107</v>
      </c>
      <c r="B11914">
        <v>2.6545000000000001</v>
      </c>
      <c r="C11914" t="str">
        <f t="shared" si="190"/>
        <v>2007 q1</v>
      </c>
    </row>
    <row r="11915" spans="1:3">
      <c r="A11915" s="62">
        <v>39108</v>
      </c>
      <c r="B11915">
        <v>2.637</v>
      </c>
      <c r="C11915" t="str">
        <f t="shared" si="190"/>
        <v>2007 q1</v>
      </c>
    </row>
    <row r="11916" spans="1:3">
      <c r="A11916" s="62">
        <v>39111</v>
      </c>
      <c r="B11916">
        <v>2.5419999999999998</v>
      </c>
      <c r="C11916" t="str">
        <f t="shared" si="190"/>
        <v>2007 q1</v>
      </c>
    </row>
    <row r="11917" spans="1:3">
      <c r="A11917" s="62">
        <v>39112</v>
      </c>
      <c r="B11917">
        <v>2.5615000000000001</v>
      </c>
      <c r="C11917" t="str">
        <f t="shared" si="190"/>
        <v>2007 q1</v>
      </c>
    </row>
    <row r="11918" spans="1:3">
      <c r="A11918" s="62">
        <v>39113</v>
      </c>
      <c r="B11918">
        <v>2.5945</v>
      </c>
      <c r="C11918" t="str">
        <f t="shared" si="190"/>
        <v>2007 q1</v>
      </c>
    </row>
    <row r="11919" spans="1:3">
      <c r="A11919" s="62">
        <v>39114</v>
      </c>
      <c r="B11919">
        <v>2.5305</v>
      </c>
      <c r="C11919" t="str">
        <f t="shared" si="190"/>
        <v>2007 q1</v>
      </c>
    </row>
    <row r="11920" spans="1:3">
      <c r="A11920" s="62">
        <v>39115</v>
      </c>
      <c r="B11920">
        <v>2.423</v>
      </c>
      <c r="C11920" t="str">
        <f t="shared" si="190"/>
        <v>2007 q1</v>
      </c>
    </row>
    <row r="11921" spans="1:3">
      <c r="A11921" s="62">
        <v>39118</v>
      </c>
      <c r="B11921">
        <v>2.4165000000000001</v>
      </c>
      <c r="C11921" t="str">
        <f t="shared" si="190"/>
        <v>2007 q1</v>
      </c>
    </row>
    <row r="11922" spans="1:3">
      <c r="A11922" s="62">
        <v>39119</v>
      </c>
      <c r="B11922">
        <v>2.4965000000000002</v>
      </c>
      <c r="C11922" t="str">
        <f t="shared" ref="C11922:C11985" si="191">YEAR(A11922)&amp;" q"&amp;ROUNDUP(MONTH(A11922)/3,0)</f>
        <v>2007 q1</v>
      </c>
    </row>
    <row r="11923" spans="1:3">
      <c r="A11923" s="62">
        <v>39120</v>
      </c>
      <c r="B11923">
        <v>2.4550000000000001</v>
      </c>
      <c r="C11923" t="str">
        <f t="shared" si="191"/>
        <v>2007 q1</v>
      </c>
    </row>
    <row r="11924" spans="1:3">
      <c r="A11924" s="62">
        <v>39121</v>
      </c>
      <c r="B11924">
        <v>2.4504999999999999</v>
      </c>
      <c r="C11924" t="str">
        <f t="shared" si="191"/>
        <v>2007 q1</v>
      </c>
    </row>
    <row r="11925" spans="1:3">
      <c r="A11925" s="62">
        <v>39122</v>
      </c>
      <c r="B11925">
        <v>2.5175000000000001</v>
      </c>
      <c r="C11925" t="str">
        <f t="shared" si="191"/>
        <v>2007 q1</v>
      </c>
    </row>
    <row r="11926" spans="1:3">
      <c r="A11926" s="62">
        <v>39125</v>
      </c>
      <c r="B11926">
        <v>2.4775</v>
      </c>
      <c r="C11926" t="str">
        <f t="shared" si="191"/>
        <v>2007 q1</v>
      </c>
    </row>
    <row r="11927" spans="1:3">
      <c r="A11927" s="62">
        <v>39126</v>
      </c>
      <c r="B11927">
        <v>2.5844999999999998</v>
      </c>
      <c r="C11927" t="str">
        <f t="shared" si="191"/>
        <v>2007 q1</v>
      </c>
    </row>
    <row r="11928" spans="1:3">
      <c r="A11928" s="62">
        <v>39127</v>
      </c>
      <c r="B11928">
        <v>2.577</v>
      </c>
      <c r="C11928" t="str">
        <f t="shared" si="191"/>
        <v>2007 q1</v>
      </c>
    </row>
    <row r="11929" spans="1:3">
      <c r="A11929" s="62">
        <v>39128</v>
      </c>
      <c r="B11929">
        <v>2.6640000000000001</v>
      </c>
      <c r="C11929" t="str">
        <f t="shared" si="191"/>
        <v>2007 q1</v>
      </c>
    </row>
    <row r="11930" spans="1:3">
      <c r="A11930" s="62">
        <v>39129</v>
      </c>
      <c r="B11930">
        <v>2.6444999999999999</v>
      </c>
      <c r="C11930" t="str">
        <f t="shared" si="191"/>
        <v>2007 q1</v>
      </c>
    </row>
    <row r="11931" spans="1:3">
      <c r="A11931" s="62">
        <v>39133</v>
      </c>
      <c r="B11931">
        <v>2.5859999999999999</v>
      </c>
      <c r="C11931" t="str">
        <f t="shared" si="191"/>
        <v>2007 q1</v>
      </c>
    </row>
    <row r="11932" spans="1:3">
      <c r="A11932" s="62">
        <v>39134</v>
      </c>
      <c r="B11932">
        <v>2.6545000000000001</v>
      </c>
      <c r="C11932" t="str">
        <f t="shared" si="191"/>
        <v>2007 q1</v>
      </c>
    </row>
    <row r="11933" spans="1:3">
      <c r="A11933" s="62">
        <v>39135</v>
      </c>
      <c r="B11933">
        <v>2.766</v>
      </c>
      <c r="C11933" t="str">
        <f t="shared" si="191"/>
        <v>2007 q1</v>
      </c>
    </row>
    <row r="11934" spans="1:3">
      <c r="A11934" s="62">
        <v>39136</v>
      </c>
      <c r="B11934">
        <v>2.8426</v>
      </c>
      <c r="C11934" t="str">
        <f t="shared" si="191"/>
        <v>2007 q1</v>
      </c>
    </row>
    <row r="11935" spans="1:3">
      <c r="A11935" s="62">
        <v>39139</v>
      </c>
      <c r="B11935">
        <v>2.8613</v>
      </c>
      <c r="C11935" t="str">
        <f t="shared" si="191"/>
        <v>2007 q1</v>
      </c>
    </row>
    <row r="11936" spans="1:3">
      <c r="A11936" s="62">
        <v>39140</v>
      </c>
      <c r="B11936">
        <v>2.8170000000000002</v>
      </c>
      <c r="C11936" t="str">
        <f t="shared" si="191"/>
        <v>2007 q1</v>
      </c>
    </row>
    <row r="11937" spans="1:3">
      <c r="A11937" s="62">
        <v>39141</v>
      </c>
      <c r="B11937">
        <v>2.7482000000000002</v>
      </c>
      <c r="C11937" t="str">
        <f t="shared" si="191"/>
        <v>2007 q1</v>
      </c>
    </row>
    <row r="11938" spans="1:3">
      <c r="A11938" s="62">
        <v>39142</v>
      </c>
      <c r="B11938">
        <v>2.7545000000000002</v>
      </c>
      <c r="C11938" t="str">
        <f t="shared" si="191"/>
        <v>2007 q1</v>
      </c>
    </row>
    <row r="11939" spans="1:3">
      <c r="A11939" s="62">
        <v>39143</v>
      </c>
      <c r="B11939">
        <v>2.7069999999999999</v>
      </c>
      <c r="C11939" t="str">
        <f t="shared" si="191"/>
        <v>2007 q1</v>
      </c>
    </row>
    <row r="11940" spans="1:3">
      <c r="A11940" s="62">
        <v>39146</v>
      </c>
      <c r="B11940">
        <v>2.6705000000000001</v>
      </c>
      <c r="C11940" t="str">
        <f t="shared" si="191"/>
        <v>2007 q1</v>
      </c>
    </row>
    <row r="11941" spans="1:3">
      <c r="A11941" s="62">
        <v>39147</v>
      </c>
      <c r="B11941">
        <v>2.7134999999999998</v>
      </c>
      <c r="C11941" t="str">
        <f t="shared" si="191"/>
        <v>2007 q1</v>
      </c>
    </row>
    <row r="11942" spans="1:3">
      <c r="A11942" s="62">
        <v>39148</v>
      </c>
      <c r="B11942">
        <v>2.782</v>
      </c>
      <c r="C11942" t="str">
        <f t="shared" si="191"/>
        <v>2007 q1</v>
      </c>
    </row>
    <row r="11943" spans="1:3">
      <c r="A11943" s="62">
        <v>39149</v>
      </c>
      <c r="B11943">
        <v>2.8334999999999999</v>
      </c>
      <c r="C11943" t="str">
        <f t="shared" si="191"/>
        <v>2007 q1</v>
      </c>
    </row>
    <row r="11944" spans="1:3">
      <c r="A11944" s="62">
        <v>39150</v>
      </c>
      <c r="B11944">
        <v>2.7839999999999998</v>
      </c>
      <c r="C11944" t="str">
        <f t="shared" si="191"/>
        <v>2007 q1</v>
      </c>
    </row>
    <row r="11945" spans="1:3">
      <c r="A11945" s="62">
        <v>39153</v>
      </c>
      <c r="B11945">
        <v>2.8490000000000002</v>
      </c>
      <c r="C11945" t="str">
        <f t="shared" si="191"/>
        <v>2007 q1</v>
      </c>
    </row>
    <row r="11946" spans="1:3">
      <c r="A11946" s="62">
        <v>39154</v>
      </c>
      <c r="B11946">
        <v>2.8245</v>
      </c>
      <c r="C11946" t="str">
        <f t="shared" si="191"/>
        <v>2007 q1</v>
      </c>
    </row>
    <row r="11947" spans="1:3">
      <c r="A11947" s="62">
        <v>39155</v>
      </c>
      <c r="B11947">
        <v>2.8260000000000001</v>
      </c>
      <c r="C11947" t="str">
        <f t="shared" si="191"/>
        <v>2007 q1</v>
      </c>
    </row>
    <row r="11948" spans="1:3">
      <c r="A11948" s="62">
        <v>39156</v>
      </c>
      <c r="B11948">
        <v>2.988</v>
      </c>
      <c r="C11948" t="str">
        <f t="shared" si="191"/>
        <v>2007 q1</v>
      </c>
    </row>
    <row r="11949" spans="1:3">
      <c r="A11949" s="62">
        <v>39157</v>
      </c>
      <c r="B11949">
        <v>3.0110000000000001</v>
      </c>
      <c r="C11949" t="str">
        <f t="shared" si="191"/>
        <v>2007 q1</v>
      </c>
    </row>
    <row r="11950" spans="1:3">
      <c r="A11950" s="62">
        <v>39160</v>
      </c>
      <c r="B11950">
        <v>3.0215000000000001</v>
      </c>
      <c r="C11950" t="str">
        <f t="shared" si="191"/>
        <v>2007 q1</v>
      </c>
    </row>
    <row r="11951" spans="1:3">
      <c r="A11951" s="62">
        <v>39161</v>
      </c>
      <c r="B11951">
        <v>3.0339999999999998</v>
      </c>
      <c r="C11951" t="str">
        <f t="shared" si="191"/>
        <v>2007 q1</v>
      </c>
    </row>
    <row r="11952" spans="1:3">
      <c r="A11952" s="62">
        <v>39162</v>
      </c>
      <c r="B11952">
        <v>3.0190000000000001</v>
      </c>
      <c r="C11952" t="str">
        <f t="shared" si="191"/>
        <v>2007 q1</v>
      </c>
    </row>
    <row r="11953" spans="1:3">
      <c r="A11953" s="62">
        <v>39163</v>
      </c>
      <c r="B11953">
        <v>3.073</v>
      </c>
      <c r="C11953" t="str">
        <f t="shared" si="191"/>
        <v>2007 q1</v>
      </c>
    </row>
    <row r="11954" spans="1:3">
      <c r="A11954" s="62">
        <v>39164</v>
      </c>
      <c r="B11954">
        <v>3.069</v>
      </c>
      <c r="C11954" t="str">
        <f t="shared" si="191"/>
        <v>2007 q1</v>
      </c>
    </row>
    <row r="11955" spans="1:3">
      <c r="A11955" s="62">
        <v>39167</v>
      </c>
      <c r="B11955">
        <v>3.1385000000000001</v>
      </c>
      <c r="C11955" t="str">
        <f t="shared" si="191"/>
        <v>2007 q1</v>
      </c>
    </row>
    <row r="11956" spans="1:3">
      <c r="A11956" s="62">
        <v>39168</v>
      </c>
      <c r="B11956">
        <v>3.0575000000000001</v>
      </c>
      <c r="C11956" t="str">
        <f t="shared" si="191"/>
        <v>2007 q1</v>
      </c>
    </row>
    <row r="11957" spans="1:3">
      <c r="A11957" s="62">
        <v>39169</v>
      </c>
      <c r="B11957">
        <v>3.0625</v>
      </c>
      <c r="C11957" t="str">
        <f t="shared" si="191"/>
        <v>2007 q1</v>
      </c>
    </row>
    <row r="11958" spans="1:3">
      <c r="A11958" s="62">
        <v>39170</v>
      </c>
      <c r="B11958">
        <v>3.0865</v>
      </c>
      <c r="C11958" t="str">
        <f t="shared" si="191"/>
        <v>2007 q1</v>
      </c>
    </row>
    <row r="11959" spans="1:3">
      <c r="A11959" s="62">
        <v>39171</v>
      </c>
      <c r="B11959">
        <v>3.1459999999999999</v>
      </c>
      <c r="C11959" t="str">
        <f t="shared" si="191"/>
        <v>2007 q1</v>
      </c>
    </row>
    <row r="11960" spans="1:3">
      <c r="A11960" s="62">
        <v>39174</v>
      </c>
      <c r="B11960">
        <v>3.1789999999999998</v>
      </c>
      <c r="C11960" t="str">
        <f t="shared" si="191"/>
        <v>2007 q2</v>
      </c>
    </row>
    <row r="11961" spans="1:3">
      <c r="A11961" s="62">
        <v>39175</v>
      </c>
      <c r="B11961">
        <v>3.3144999999999998</v>
      </c>
      <c r="C11961" t="str">
        <f t="shared" si="191"/>
        <v>2007 q2</v>
      </c>
    </row>
    <row r="11962" spans="1:3">
      <c r="A11962" s="62">
        <v>39176</v>
      </c>
      <c r="B11962">
        <v>3.3875000000000002</v>
      </c>
      <c r="C11962" t="str">
        <f t="shared" si="191"/>
        <v>2007 q2</v>
      </c>
    </row>
    <row r="11963" spans="1:3">
      <c r="A11963" s="62">
        <v>39177</v>
      </c>
      <c r="B11963">
        <v>3.3769999999999998</v>
      </c>
      <c r="C11963" t="str">
        <f t="shared" si="191"/>
        <v>2007 q2</v>
      </c>
    </row>
    <row r="11964" spans="1:3">
      <c r="A11964" s="62">
        <v>39181</v>
      </c>
      <c r="B11964">
        <v>3.5059999999999998</v>
      </c>
      <c r="C11964" t="str">
        <f t="shared" si="191"/>
        <v>2007 q2</v>
      </c>
    </row>
    <row r="11965" spans="1:3">
      <c r="A11965" s="62">
        <v>39182</v>
      </c>
      <c r="B11965">
        <v>3.5259999999999998</v>
      </c>
      <c r="C11965" t="str">
        <f t="shared" si="191"/>
        <v>2007 q2</v>
      </c>
    </row>
    <row r="11966" spans="1:3">
      <c r="A11966" s="62">
        <v>39183</v>
      </c>
      <c r="B11966">
        <v>3.5825</v>
      </c>
      <c r="C11966" t="str">
        <f t="shared" si="191"/>
        <v>2007 q2</v>
      </c>
    </row>
    <row r="11967" spans="1:3">
      <c r="A11967" s="62">
        <v>39184</v>
      </c>
      <c r="B11967">
        <v>3.5019999999999998</v>
      </c>
      <c r="C11967" t="str">
        <f t="shared" si="191"/>
        <v>2007 q2</v>
      </c>
    </row>
    <row r="11968" spans="1:3">
      <c r="A11968" s="62">
        <v>39185</v>
      </c>
      <c r="B11968">
        <v>3.532</v>
      </c>
      <c r="C11968" t="str">
        <f t="shared" si="191"/>
        <v>2007 q2</v>
      </c>
    </row>
    <row r="11969" spans="1:3">
      <c r="A11969" s="62">
        <v>39188</v>
      </c>
      <c r="B11969">
        <v>3.5394999999999999</v>
      </c>
      <c r="C11969" t="str">
        <f t="shared" si="191"/>
        <v>2007 q2</v>
      </c>
    </row>
    <row r="11970" spans="1:3">
      <c r="A11970" s="62">
        <v>39189</v>
      </c>
      <c r="B11970">
        <v>3.677</v>
      </c>
      <c r="C11970" t="str">
        <f t="shared" si="191"/>
        <v>2007 q2</v>
      </c>
    </row>
    <row r="11971" spans="1:3">
      <c r="A11971" s="62">
        <v>39190</v>
      </c>
      <c r="B11971">
        <v>3.6190000000000002</v>
      </c>
      <c r="C11971" t="str">
        <f t="shared" si="191"/>
        <v>2007 q2</v>
      </c>
    </row>
    <row r="11972" spans="1:3">
      <c r="A11972" s="62">
        <v>39191</v>
      </c>
      <c r="B11972">
        <v>3.5865</v>
      </c>
      <c r="C11972" t="str">
        <f t="shared" si="191"/>
        <v>2007 q2</v>
      </c>
    </row>
    <row r="11973" spans="1:3">
      <c r="A11973" s="62">
        <v>39192</v>
      </c>
      <c r="B11973">
        <v>3.6105</v>
      </c>
      <c r="C11973" t="str">
        <f t="shared" si="191"/>
        <v>2007 q2</v>
      </c>
    </row>
    <row r="11974" spans="1:3">
      <c r="A11974" s="62">
        <v>39195</v>
      </c>
      <c r="B11974">
        <v>3.6324999999999998</v>
      </c>
      <c r="C11974" t="str">
        <f t="shared" si="191"/>
        <v>2007 q2</v>
      </c>
    </row>
    <row r="11975" spans="1:3">
      <c r="A11975" s="62">
        <v>39196</v>
      </c>
      <c r="B11975">
        <v>3.5525000000000002</v>
      </c>
      <c r="C11975" t="str">
        <f t="shared" si="191"/>
        <v>2007 q2</v>
      </c>
    </row>
    <row r="11976" spans="1:3">
      <c r="A11976" s="62">
        <v>39197</v>
      </c>
      <c r="B11976">
        <v>3.5899000000000001</v>
      </c>
      <c r="C11976" t="str">
        <f t="shared" si="191"/>
        <v>2007 q2</v>
      </c>
    </row>
    <row r="11977" spans="1:3">
      <c r="A11977" s="62">
        <v>39198</v>
      </c>
      <c r="B11977">
        <v>3.4964</v>
      </c>
      <c r="C11977" t="str">
        <f t="shared" si="191"/>
        <v>2007 q2</v>
      </c>
    </row>
    <row r="11978" spans="1:3">
      <c r="A11978" s="62">
        <v>39199</v>
      </c>
      <c r="B11978">
        <v>3.5253000000000001</v>
      </c>
      <c r="C11978" t="str">
        <f t="shared" si="191"/>
        <v>2007 q2</v>
      </c>
    </row>
    <row r="11979" spans="1:3">
      <c r="A11979" s="62">
        <v>39202</v>
      </c>
      <c r="B11979">
        <v>3.5535000000000001</v>
      </c>
      <c r="C11979" t="str">
        <f t="shared" si="191"/>
        <v>2007 q2</v>
      </c>
    </row>
    <row r="11980" spans="1:3">
      <c r="A11980" s="62">
        <v>39203</v>
      </c>
      <c r="B11980">
        <v>3.6345000000000001</v>
      </c>
      <c r="C11980" t="str">
        <f t="shared" si="191"/>
        <v>2007 q2</v>
      </c>
    </row>
    <row r="11981" spans="1:3">
      <c r="A11981" s="62">
        <v>39204</v>
      </c>
      <c r="B11981">
        <v>3.6444999999999999</v>
      </c>
      <c r="C11981" t="str">
        <f t="shared" si="191"/>
        <v>2007 q2</v>
      </c>
    </row>
    <row r="11982" spans="1:3">
      <c r="A11982" s="62">
        <v>39205</v>
      </c>
      <c r="B11982">
        <v>3.7265000000000001</v>
      </c>
      <c r="C11982" t="str">
        <f t="shared" si="191"/>
        <v>2007 q2</v>
      </c>
    </row>
    <row r="11983" spans="1:3">
      <c r="A11983" s="62">
        <v>39206</v>
      </c>
      <c r="B11983">
        <v>3.7585000000000002</v>
      </c>
      <c r="C11983" t="str">
        <f t="shared" si="191"/>
        <v>2007 q2</v>
      </c>
    </row>
    <row r="11984" spans="1:3">
      <c r="A11984" s="62">
        <v>39209</v>
      </c>
      <c r="B11984">
        <v>3.7155</v>
      </c>
      <c r="C11984" t="str">
        <f t="shared" si="191"/>
        <v>2007 q2</v>
      </c>
    </row>
    <row r="11985" spans="1:3">
      <c r="A11985" s="62">
        <v>39210</v>
      </c>
      <c r="B11985">
        <v>3.7225000000000001</v>
      </c>
      <c r="C11985" t="str">
        <f t="shared" si="191"/>
        <v>2007 q2</v>
      </c>
    </row>
    <row r="11986" spans="1:3">
      <c r="A11986" s="62">
        <v>39211</v>
      </c>
      <c r="B11986">
        <v>3.6789999999999998</v>
      </c>
      <c r="C11986" t="str">
        <f t="shared" ref="C11986:C12049" si="192">YEAR(A11986)&amp;" q"&amp;ROUNDUP(MONTH(A11986)/3,0)</f>
        <v>2007 q2</v>
      </c>
    </row>
    <row r="11987" spans="1:3">
      <c r="A11987" s="62">
        <v>39212</v>
      </c>
      <c r="B11987">
        <v>3.5665</v>
      </c>
      <c r="C11987" t="str">
        <f t="shared" si="192"/>
        <v>2007 q2</v>
      </c>
    </row>
    <row r="11988" spans="1:3">
      <c r="A11988" s="62">
        <v>39213</v>
      </c>
      <c r="B11988">
        <v>3.6040000000000001</v>
      </c>
      <c r="C11988" t="str">
        <f t="shared" si="192"/>
        <v>2007 q2</v>
      </c>
    </row>
    <row r="11989" spans="1:3">
      <c r="A11989" s="62">
        <v>39216</v>
      </c>
      <c r="B11989">
        <v>3.4969999999999999</v>
      </c>
      <c r="C11989" t="str">
        <f t="shared" si="192"/>
        <v>2007 q2</v>
      </c>
    </row>
    <row r="11990" spans="1:3">
      <c r="A11990" s="62">
        <v>39217</v>
      </c>
      <c r="B11990">
        <v>3.5375000000000001</v>
      </c>
      <c r="C11990" t="str">
        <f t="shared" si="192"/>
        <v>2007 q2</v>
      </c>
    </row>
    <row r="11991" spans="1:3">
      <c r="A11991" s="62">
        <v>39218</v>
      </c>
      <c r="B11991">
        <v>3.4224999999999999</v>
      </c>
      <c r="C11991" t="str">
        <f t="shared" si="192"/>
        <v>2007 q2</v>
      </c>
    </row>
    <row r="11992" spans="1:3">
      <c r="A11992" s="62">
        <v>39219</v>
      </c>
      <c r="B11992">
        <v>3.3065000000000002</v>
      </c>
      <c r="C11992" t="str">
        <f t="shared" si="192"/>
        <v>2007 q2</v>
      </c>
    </row>
    <row r="11993" spans="1:3">
      <c r="A11993" s="62">
        <v>39220</v>
      </c>
      <c r="B11993">
        <v>3.3235000000000001</v>
      </c>
      <c r="C11993" t="str">
        <f t="shared" si="192"/>
        <v>2007 q2</v>
      </c>
    </row>
    <row r="11994" spans="1:3">
      <c r="A11994" s="62">
        <v>39223</v>
      </c>
      <c r="B11994">
        <v>3.4005000000000001</v>
      </c>
      <c r="C11994" t="str">
        <f t="shared" si="192"/>
        <v>2007 q2</v>
      </c>
    </row>
    <row r="11995" spans="1:3">
      <c r="A11995" s="62">
        <v>39224</v>
      </c>
      <c r="B11995">
        <v>3.3025000000000002</v>
      </c>
      <c r="C11995" t="str">
        <f t="shared" si="192"/>
        <v>2007 q2</v>
      </c>
    </row>
    <row r="11996" spans="1:3">
      <c r="A11996" s="62">
        <v>39225</v>
      </c>
      <c r="B11996">
        <v>3.3005</v>
      </c>
      <c r="C11996" t="str">
        <f t="shared" si="192"/>
        <v>2007 q2</v>
      </c>
    </row>
    <row r="11997" spans="1:3">
      <c r="A11997" s="62">
        <v>39226</v>
      </c>
      <c r="B11997">
        <v>3.1804999999999999</v>
      </c>
      <c r="C11997" t="str">
        <f t="shared" si="192"/>
        <v>2007 q2</v>
      </c>
    </row>
    <row r="11998" spans="1:3">
      <c r="A11998" s="62">
        <v>39227</v>
      </c>
      <c r="B11998">
        <v>3.3205</v>
      </c>
      <c r="C11998" t="str">
        <f t="shared" si="192"/>
        <v>2007 q2</v>
      </c>
    </row>
    <row r="11999" spans="1:3">
      <c r="A11999" s="62">
        <v>39231</v>
      </c>
      <c r="B11999">
        <v>3.32</v>
      </c>
      <c r="C11999" t="str">
        <f t="shared" si="192"/>
        <v>2007 q2</v>
      </c>
    </row>
    <row r="12000" spans="1:3">
      <c r="A12000" s="62">
        <v>39232</v>
      </c>
      <c r="B12000">
        <v>3.3035000000000001</v>
      </c>
      <c r="C12000" t="str">
        <f t="shared" si="192"/>
        <v>2007 q2</v>
      </c>
    </row>
    <row r="12001" spans="1:3">
      <c r="A12001" s="62">
        <v>39233</v>
      </c>
      <c r="B12001">
        <v>3.3955000000000002</v>
      </c>
      <c r="C12001" t="str">
        <f t="shared" si="192"/>
        <v>2007 q2</v>
      </c>
    </row>
    <row r="12002" spans="1:3">
      <c r="A12002" s="62">
        <v>39234</v>
      </c>
      <c r="B12002">
        <v>3.4049999999999998</v>
      </c>
      <c r="C12002" t="str">
        <f t="shared" si="192"/>
        <v>2007 q2</v>
      </c>
    </row>
    <row r="12003" spans="1:3">
      <c r="A12003" s="62">
        <v>39237</v>
      </c>
      <c r="B12003">
        <v>3.468</v>
      </c>
      <c r="C12003" t="str">
        <f t="shared" si="192"/>
        <v>2007 q2</v>
      </c>
    </row>
    <row r="12004" spans="1:3">
      <c r="A12004" s="62">
        <v>39238</v>
      </c>
      <c r="B12004">
        <v>3.4415</v>
      </c>
      <c r="C12004" t="str">
        <f t="shared" si="192"/>
        <v>2007 q2</v>
      </c>
    </row>
    <row r="12005" spans="1:3">
      <c r="A12005" s="62">
        <v>39239</v>
      </c>
      <c r="B12005">
        <v>3.4039999999999999</v>
      </c>
      <c r="C12005" t="str">
        <f t="shared" si="192"/>
        <v>2007 q2</v>
      </c>
    </row>
    <row r="12006" spans="1:3">
      <c r="A12006" s="62">
        <v>39240</v>
      </c>
      <c r="B12006">
        <v>3.3769999999999998</v>
      </c>
      <c r="C12006" t="str">
        <f t="shared" si="192"/>
        <v>2007 q2</v>
      </c>
    </row>
    <row r="12007" spans="1:3">
      <c r="A12007" s="62">
        <v>39241</v>
      </c>
      <c r="B12007">
        <v>3.2574999999999998</v>
      </c>
      <c r="C12007" t="str">
        <f t="shared" si="192"/>
        <v>2007 q2</v>
      </c>
    </row>
    <row r="12008" spans="1:3">
      <c r="A12008" s="62">
        <v>39244</v>
      </c>
      <c r="B12008">
        <v>3.3559999999999999</v>
      </c>
      <c r="C12008" t="str">
        <f t="shared" si="192"/>
        <v>2007 q2</v>
      </c>
    </row>
    <row r="12009" spans="1:3">
      <c r="A12009" s="62">
        <v>39245</v>
      </c>
      <c r="B12009">
        <v>3.2869999999999999</v>
      </c>
      <c r="C12009" t="str">
        <f t="shared" si="192"/>
        <v>2007 q2</v>
      </c>
    </row>
    <row r="12010" spans="1:3">
      <c r="A12010" s="62">
        <v>39246</v>
      </c>
      <c r="B12010">
        <v>3.3130000000000002</v>
      </c>
      <c r="C12010" t="str">
        <f t="shared" si="192"/>
        <v>2007 q2</v>
      </c>
    </row>
    <row r="12011" spans="1:3">
      <c r="A12011" s="62">
        <v>39247</v>
      </c>
      <c r="B12011">
        <v>3.3925000000000001</v>
      </c>
      <c r="C12011" t="str">
        <f t="shared" si="192"/>
        <v>2007 q2</v>
      </c>
    </row>
    <row r="12012" spans="1:3">
      <c r="A12012" s="62">
        <v>39248</v>
      </c>
      <c r="B12012">
        <v>3.4220000000000002</v>
      </c>
      <c r="C12012" t="str">
        <f t="shared" si="192"/>
        <v>2007 q2</v>
      </c>
    </row>
    <row r="12013" spans="1:3">
      <c r="A12013" s="62">
        <v>39251</v>
      </c>
      <c r="B12013">
        <v>3.4180000000000001</v>
      </c>
      <c r="C12013" t="str">
        <f t="shared" si="192"/>
        <v>2007 q2</v>
      </c>
    </row>
    <row r="12014" spans="1:3">
      <c r="A12014" s="62">
        <v>39252</v>
      </c>
      <c r="B12014">
        <v>3.3944999999999999</v>
      </c>
      <c r="C12014" t="str">
        <f t="shared" si="192"/>
        <v>2007 q2</v>
      </c>
    </row>
    <row r="12015" spans="1:3">
      <c r="A12015" s="62">
        <v>39253</v>
      </c>
      <c r="B12015">
        <v>3.4424999999999999</v>
      </c>
      <c r="C12015" t="str">
        <f t="shared" si="192"/>
        <v>2007 q2</v>
      </c>
    </row>
    <row r="12016" spans="1:3">
      <c r="A12016" s="62">
        <v>39254</v>
      </c>
      <c r="B12016">
        <v>3.403</v>
      </c>
      <c r="C12016" t="str">
        <f t="shared" si="192"/>
        <v>2007 q2</v>
      </c>
    </row>
    <row r="12017" spans="1:3">
      <c r="A12017" s="62">
        <v>39255</v>
      </c>
      <c r="B12017">
        <v>3.3820000000000001</v>
      </c>
      <c r="C12017" t="str">
        <f t="shared" si="192"/>
        <v>2007 q2</v>
      </c>
    </row>
    <row r="12018" spans="1:3">
      <c r="A12018" s="62">
        <v>39258</v>
      </c>
      <c r="B12018">
        <v>3.3969999999999998</v>
      </c>
      <c r="C12018" t="str">
        <f t="shared" si="192"/>
        <v>2007 q2</v>
      </c>
    </row>
    <row r="12019" spans="1:3">
      <c r="A12019" s="62">
        <v>39259</v>
      </c>
      <c r="B12019">
        <v>3.3140999999999998</v>
      </c>
      <c r="C12019" t="str">
        <f t="shared" si="192"/>
        <v>2007 q2</v>
      </c>
    </row>
    <row r="12020" spans="1:3">
      <c r="A12020" s="62">
        <v>39260</v>
      </c>
      <c r="B12020">
        <v>3.3553999999999999</v>
      </c>
      <c r="C12020" t="str">
        <f t="shared" si="192"/>
        <v>2007 q2</v>
      </c>
    </row>
    <row r="12021" spans="1:3">
      <c r="A12021" s="62">
        <v>39261</v>
      </c>
      <c r="B12021">
        <v>3.4283000000000001</v>
      </c>
      <c r="C12021" t="str">
        <f t="shared" si="192"/>
        <v>2007 q2</v>
      </c>
    </row>
    <row r="12022" spans="1:3">
      <c r="A12022" s="62">
        <v>39262</v>
      </c>
      <c r="B12022">
        <v>3.4510999999999998</v>
      </c>
      <c r="C12022" t="str">
        <f t="shared" si="192"/>
        <v>2007 q2</v>
      </c>
    </row>
    <row r="12023" spans="1:3">
      <c r="A12023" s="62">
        <v>39265</v>
      </c>
      <c r="B12023">
        <v>3.5270000000000001</v>
      </c>
      <c r="C12023" t="str">
        <f t="shared" si="192"/>
        <v>2007 q3</v>
      </c>
    </row>
    <row r="12024" spans="1:3">
      <c r="A12024" s="62">
        <v>39266</v>
      </c>
      <c r="B12024">
        <v>3.5449999999999999</v>
      </c>
      <c r="C12024" t="str">
        <f t="shared" si="192"/>
        <v>2007 q3</v>
      </c>
    </row>
    <row r="12025" spans="1:3">
      <c r="A12025" s="62">
        <v>39268</v>
      </c>
      <c r="B12025">
        <v>3.5935000000000001</v>
      </c>
      <c r="C12025" t="str">
        <f t="shared" si="192"/>
        <v>2007 q3</v>
      </c>
    </row>
    <row r="12026" spans="1:3">
      <c r="A12026" s="62">
        <v>39269</v>
      </c>
      <c r="B12026">
        <v>3.5945</v>
      </c>
      <c r="C12026" t="str">
        <f t="shared" si="192"/>
        <v>2007 q3</v>
      </c>
    </row>
    <row r="12027" spans="1:3">
      <c r="A12027" s="62">
        <v>39272</v>
      </c>
      <c r="B12027">
        <v>3.6295000000000002</v>
      </c>
      <c r="C12027" t="str">
        <f t="shared" si="192"/>
        <v>2007 q3</v>
      </c>
    </row>
    <row r="12028" spans="1:3">
      <c r="A12028" s="62">
        <v>39273</v>
      </c>
      <c r="B12028">
        <v>3.61</v>
      </c>
      <c r="C12028" t="str">
        <f t="shared" si="192"/>
        <v>2007 q3</v>
      </c>
    </row>
    <row r="12029" spans="1:3">
      <c r="A12029" s="62">
        <v>39274</v>
      </c>
      <c r="B12029">
        <v>3.6215000000000002</v>
      </c>
      <c r="C12029" t="str">
        <f t="shared" si="192"/>
        <v>2007 q3</v>
      </c>
    </row>
    <row r="12030" spans="1:3">
      <c r="A12030" s="62">
        <v>39275</v>
      </c>
      <c r="B12030">
        <v>3.581</v>
      </c>
      <c r="C12030" t="str">
        <f t="shared" si="192"/>
        <v>2007 q3</v>
      </c>
    </row>
    <row r="12031" spans="1:3">
      <c r="A12031" s="62">
        <v>39276</v>
      </c>
      <c r="B12031">
        <v>3.593</v>
      </c>
      <c r="C12031" t="str">
        <f t="shared" si="192"/>
        <v>2007 q3</v>
      </c>
    </row>
    <row r="12032" spans="1:3">
      <c r="A12032" s="62">
        <v>39279</v>
      </c>
      <c r="B12032">
        <v>3.5619999999999998</v>
      </c>
      <c r="C12032" t="str">
        <f t="shared" si="192"/>
        <v>2007 q3</v>
      </c>
    </row>
    <row r="12033" spans="1:3">
      <c r="A12033" s="62">
        <v>39280</v>
      </c>
      <c r="B12033">
        <v>3.5525000000000002</v>
      </c>
      <c r="C12033" t="str">
        <f t="shared" si="192"/>
        <v>2007 q3</v>
      </c>
    </row>
    <row r="12034" spans="1:3">
      <c r="A12034" s="62">
        <v>39281</v>
      </c>
      <c r="B12034">
        <v>3.5630000000000002</v>
      </c>
      <c r="C12034" t="str">
        <f t="shared" si="192"/>
        <v>2007 q3</v>
      </c>
    </row>
    <row r="12035" spans="1:3">
      <c r="A12035" s="62">
        <v>39282</v>
      </c>
      <c r="B12035">
        <v>3.6619999999999999</v>
      </c>
      <c r="C12035" t="str">
        <f t="shared" si="192"/>
        <v>2007 q3</v>
      </c>
    </row>
    <row r="12036" spans="1:3">
      <c r="A12036" s="62">
        <v>39283</v>
      </c>
      <c r="B12036">
        <v>3.7054999999999998</v>
      </c>
      <c r="C12036" t="str">
        <f t="shared" si="192"/>
        <v>2007 q3</v>
      </c>
    </row>
    <row r="12037" spans="1:3">
      <c r="A12037" s="62">
        <v>39286</v>
      </c>
      <c r="B12037">
        <v>3.6564999999999999</v>
      </c>
      <c r="C12037" t="str">
        <f t="shared" si="192"/>
        <v>2007 q3</v>
      </c>
    </row>
    <row r="12038" spans="1:3">
      <c r="A12038" s="62">
        <v>39287</v>
      </c>
      <c r="B12038">
        <v>3.6194999999999999</v>
      </c>
      <c r="C12038" t="str">
        <f t="shared" si="192"/>
        <v>2007 q3</v>
      </c>
    </row>
    <row r="12039" spans="1:3">
      <c r="A12039" s="62">
        <v>39288</v>
      </c>
      <c r="B12039">
        <v>3.5554999999999999</v>
      </c>
      <c r="C12039" t="str">
        <f t="shared" si="192"/>
        <v>2007 q3</v>
      </c>
    </row>
    <row r="12040" spans="1:3">
      <c r="A12040" s="62">
        <v>39289</v>
      </c>
      <c r="B12040">
        <v>3.5225</v>
      </c>
      <c r="C12040" t="str">
        <f t="shared" si="192"/>
        <v>2007 q3</v>
      </c>
    </row>
    <row r="12041" spans="1:3">
      <c r="A12041" s="62">
        <v>39290</v>
      </c>
      <c r="B12041">
        <v>3.5470000000000002</v>
      </c>
      <c r="C12041" t="str">
        <f t="shared" si="192"/>
        <v>2007 q3</v>
      </c>
    </row>
    <row r="12042" spans="1:3">
      <c r="A12042" s="62">
        <v>39293</v>
      </c>
      <c r="B12042">
        <v>3.5884999999999998</v>
      </c>
      <c r="C12042" t="str">
        <f t="shared" si="192"/>
        <v>2007 q3</v>
      </c>
    </row>
    <row r="12043" spans="1:3">
      <c r="A12043" s="62">
        <v>39294</v>
      </c>
      <c r="B12043">
        <v>3.6484999999999999</v>
      </c>
      <c r="C12043" t="str">
        <f t="shared" si="192"/>
        <v>2007 q3</v>
      </c>
    </row>
    <row r="12044" spans="1:3">
      <c r="A12044" s="62">
        <v>39295</v>
      </c>
      <c r="B12044">
        <v>3.585</v>
      </c>
      <c r="C12044" t="str">
        <f t="shared" si="192"/>
        <v>2007 q3</v>
      </c>
    </row>
    <row r="12045" spans="1:3">
      <c r="A12045" s="62">
        <v>39296</v>
      </c>
      <c r="B12045">
        <v>3.573</v>
      </c>
      <c r="C12045" t="str">
        <f t="shared" si="192"/>
        <v>2007 q3</v>
      </c>
    </row>
    <row r="12046" spans="1:3">
      <c r="A12046" s="62">
        <v>39297</v>
      </c>
      <c r="B12046">
        <v>3.4790000000000001</v>
      </c>
      <c r="C12046" t="str">
        <f t="shared" si="192"/>
        <v>2007 q3</v>
      </c>
    </row>
    <row r="12047" spans="1:3">
      <c r="A12047" s="62">
        <v>39300</v>
      </c>
      <c r="B12047">
        <v>3.4735</v>
      </c>
      <c r="C12047" t="str">
        <f t="shared" si="192"/>
        <v>2007 q3</v>
      </c>
    </row>
    <row r="12048" spans="1:3">
      <c r="A12048" s="62">
        <v>39301</v>
      </c>
      <c r="B12048">
        <v>3.5065</v>
      </c>
      <c r="C12048" t="str">
        <f t="shared" si="192"/>
        <v>2007 q3</v>
      </c>
    </row>
    <row r="12049" spans="1:3">
      <c r="A12049" s="62">
        <v>39302</v>
      </c>
      <c r="B12049">
        <v>3.4390000000000001</v>
      </c>
      <c r="C12049" t="str">
        <f t="shared" si="192"/>
        <v>2007 q3</v>
      </c>
    </row>
    <row r="12050" spans="1:3">
      <c r="A12050" s="62">
        <v>39303</v>
      </c>
      <c r="B12050">
        <v>3.3610000000000002</v>
      </c>
      <c r="C12050" t="str">
        <f t="shared" ref="C12050:C12113" si="193">YEAR(A12050)&amp;" q"&amp;ROUNDUP(MONTH(A12050)/3,0)</f>
        <v>2007 q3</v>
      </c>
    </row>
    <row r="12051" spans="1:3">
      <c r="A12051" s="62">
        <v>39304</v>
      </c>
      <c r="B12051">
        <v>3.3595000000000002</v>
      </c>
      <c r="C12051" t="str">
        <f t="shared" si="193"/>
        <v>2007 q3</v>
      </c>
    </row>
    <row r="12052" spans="1:3">
      <c r="A12052" s="62">
        <v>39307</v>
      </c>
      <c r="B12052">
        <v>3.4409999999999998</v>
      </c>
      <c r="C12052" t="str">
        <f t="shared" si="193"/>
        <v>2007 q3</v>
      </c>
    </row>
    <row r="12053" spans="1:3">
      <c r="A12053" s="62">
        <v>39308</v>
      </c>
      <c r="B12053">
        <v>3.37</v>
      </c>
      <c r="C12053" t="str">
        <f t="shared" si="193"/>
        <v>2007 q3</v>
      </c>
    </row>
    <row r="12054" spans="1:3">
      <c r="A12054" s="62">
        <v>39309</v>
      </c>
      <c r="B12054">
        <v>3.3319999999999999</v>
      </c>
      <c r="C12054" t="str">
        <f t="shared" si="193"/>
        <v>2007 q3</v>
      </c>
    </row>
    <row r="12055" spans="1:3">
      <c r="A12055" s="62">
        <v>39310</v>
      </c>
      <c r="B12055">
        <v>3.09</v>
      </c>
      <c r="C12055" t="str">
        <f t="shared" si="193"/>
        <v>2007 q3</v>
      </c>
    </row>
    <row r="12056" spans="1:3">
      <c r="A12056" s="62">
        <v>39311</v>
      </c>
      <c r="B12056">
        <v>3.1465000000000001</v>
      </c>
      <c r="C12056" t="str">
        <f t="shared" si="193"/>
        <v>2007 q3</v>
      </c>
    </row>
    <row r="12057" spans="1:3">
      <c r="A12057" s="62">
        <v>39314</v>
      </c>
      <c r="B12057">
        <v>3.1595</v>
      </c>
      <c r="C12057" t="str">
        <f t="shared" si="193"/>
        <v>2007 q3</v>
      </c>
    </row>
    <row r="12058" spans="1:3">
      <c r="A12058" s="62">
        <v>39315</v>
      </c>
      <c r="B12058">
        <v>3.15</v>
      </c>
      <c r="C12058" t="str">
        <f t="shared" si="193"/>
        <v>2007 q3</v>
      </c>
    </row>
    <row r="12059" spans="1:3">
      <c r="A12059" s="62">
        <v>39316</v>
      </c>
      <c r="B12059">
        <v>3.2120000000000002</v>
      </c>
      <c r="C12059" t="str">
        <f t="shared" si="193"/>
        <v>2007 q3</v>
      </c>
    </row>
    <row r="12060" spans="1:3">
      <c r="A12060" s="62">
        <v>39317</v>
      </c>
      <c r="B12060">
        <v>3.2629999999999999</v>
      </c>
      <c r="C12060" t="str">
        <f t="shared" si="193"/>
        <v>2007 q3</v>
      </c>
    </row>
    <row r="12061" spans="1:3">
      <c r="A12061" s="62">
        <v>39318</v>
      </c>
      <c r="B12061">
        <v>3.3374999999999999</v>
      </c>
      <c r="C12061" t="str">
        <f t="shared" si="193"/>
        <v>2007 q3</v>
      </c>
    </row>
    <row r="12062" spans="1:3">
      <c r="A12062" s="62">
        <v>39321</v>
      </c>
      <c r="B12062">
        <v>3.3494999999999999</v>
      </c>
      <c r="C12062" t="str">
        <f t="shared" si="193"/>
        <v>2007 q3</v>
      </c>
    </row>
    <row r="12063" spans="1:3">
      <c r="A12063" s="62">
        <v>39322</v>
      </c>
      <c r="B12063">
        <v>3.3117000000000001</v>
      </c>
      <c r="C12063" t="str">
        <f t="shared" si="193"/>
        <v>2007 q3</v>
      </c>
    </row>
    <row r="12064" spans="1:3">
      <c r="A12064" s="62">
        <v>39323</v>
      </c>
      <c r="B12064">
        <v>3.3475999999999999</v>
      </c>
      <c r="C12064" t="str">
        <f t="shared" si="193"/>
        <v>2007 q3</v>
      </c>
    </row>
    <row r="12065" spans="1:3">
      <c r="A12065" s="62">
        <v>39324</v>
      </c>
      <c r="B12065">
        <v>3.3502000000000001</v>
      </c>
      <c r="C12065" t="str">
        <f t="shared" si="193"/>
        <v>2007 q3</v>
      </c>
    </row>
    <row r="12066" spans="1:3">
      <c r="A12066" s="62">
        <v>39325</v>
      </c>
      <c r="B12066">
        <v>3.3997999999999999</v>
      </c>
      <c r="C12066" t="str">
        <f t="shared" si="193"/>
        <v>2007 q3</v>
      </c>
    </row>
    <row r="12067" spans="1:3">
      <c r="A12067" s="62">
        <v>39329</v>
      </c>
      <c r="B12067">
        <v>3.306</v>
      </c>
      <c r="C12067" t="str">
        <f t="shared" si="193"/>
        <v>2007 q3</v>
      </c>
    </row>
    <row r="12068" spans="1:3">
      <c r="A12068" s="62">
        <v>39330</v>
      </c>
      <c r="B12068">
        <v>3.2629999999999999</v>
      </c>
      <c r="C12068" t="str">
        <f t="shared" si="193"/>
        <v>2007 q3</v>
      </c>
    </row>
    <row r="12069" spans="1:3">
      <c r="A12069" s="62">
        <v>39331</v>
      </c>
      <c r="B12069">
        <v>3.3025000000000002</v>
      </c>
      <c r="C12069" t="str">
        <f t="shared" si="193"/>
        <v>2007 q3</v>
      </c>
    </row>
    <row r="12070" spans="1:3">
      <c r="A12070" s="62">
        <v>39332</v>
      </c>
      <c r="B12070">
        <v>3.2515000000000001</v>
      </c>
      <c r="C12070" t="str">
        <f t="shared" si="193"/>
        <v>2007 q3</v>
      </c>
    </row>
    <row r="12071" spans="1:3">
      <c r="A12071" s="62">
        <v>39335</v>
      </c>
      <c r="B12071">
        <v>3.2559999999999998</v>
      </c>
      <c r="C12071" t="str">
        <f t="shared" si="193"/>
        <v>2007 q3</v>
      </c>
    </row>
    <row r="12072" spans="1:3">
      <c r="A12072" s="62">
        <v>39336</v>
      </c>
      <c r="B12072">
        <v>3.3875000000000002</v>
      </c>
      <c r="C12072" t="str">
        <f t="shared" si="193"/>
        <v>2007 q3</v>
      </c>
    </row>
    <row r="12073" spans="1:3">
      <c r="A12073" s="62">
        <v>39337</v>
      </c>
      <c r="B12073">
        <v>3.3595000000000002</v>
      </c>
      <c r="C12073" t="str">
        <f t="shared" si="193"/>
        <v>2007 q3</v>
      </c>
    </row>
    <row r="12074" spans="1:3">
      <c r="A12074" s="62">
        <v>39338</v>
      </c>
      <c r="B12074">
        <v>3.3965000000000001</v>
      </c>
      <c r="C12074" t="str">
        <f t="shared" si="193"/>
        <v>2007 q3</v>
      </c>
    </row>
    <row r="12075" spans="1:3">
      <c r="A12075" s="62">
        <v>39339</v>
      </c>
      <c r="B12075">
        <v>3.3925000000000001</v>
      </c>
      <c r="C12075" t="str">
        <f t="shared" si="193"/>
        <v>2007 q3</v>
      </c>
    </row>
    <row r="12076" spans="1:3">
      <c r="A12076" s="62">
        <v>39342</v>
      </c>
      <c r="B12076">
        <v>3.42</v>
      </c>
      <c r="C12076" t="str">
        <f t="shared" si="193"/>
        <v>2007 q3</v>
      </c>
    </row>
    <row r="12077" spans="1:3">
      <c r="A12077" s="62">
        <v>39343</v>
      </c>
      <c r="B12077">
        <v>3.448</v>
      </c>
      <c r="C12077" t="str">
        <f t="shared" si="193"/>
        <v>2007 q3</v>
      </c>
    </row>
    <row r="12078" spans="1:3">
      <c r="A12078" s="62">
        <v>39344</v>
      </c>
      <c r="B12078">
        <v>3.5754999999999999</v>
      </c>
      <c r="C12078" t="str">
        <f t="shared" si="193"/>
        <v>2007 q3</v>
      </c>
    </row>
    <row r="12079" spans="1:3">
      <c r="A12079" s="62">
        <v>39345</v>
      </c>
      <c r="B12079">
        <v>3.5945</v>
      </c>
      <c r="C12079" t="str">
        <f t="shared" si="193"/>
        <v>2007 q3</v>
      </c>
    </row>
    <row r="12080" spans="1:3">
      <c r="A12080" s="62">
        <v>39346</v>
      </c>
      <c r="B12080">
        <v>3.5924999999999998</v>
      </c>
      <c r="C12080" t="str">
        <f t="shared" si="193"/>
        <v>2007 q3</v>
      </c>
    </row>
    <row r="12081" spans="1:3">
      <c r="A12081" s="62">
        <v>39349</v>
      </c>
      <c r="B12081">
        <v>3.645</v>
      </c>
      <c r="C12081" t="str">
        <f t="shared" si="193"/>
        <v>2007 q3</v>
      </c>
    </row>
    <row r="12082" spans="1:3">
      <c r="A12082" s="62">
        <v>39350</v>
      </c>
      <c r="B12082">
        <v>3.629</v>
      </c>
      <c r="C12082" t="str">
        <f t="shared" si="193"/>
        <v>2007 q3</v>
      </c>
    </row>
    <row r="12083" spans="1:3">
      <c r="A12083" s="62">
        <v>39351</v>
      </c>
      <c r="B12083">
        <v>3.6139999999999999</v>
      </c>
      <c r="C12083" t="str">
        <f t="shared" si="193"/>
        <v>2007 q3</v>
      </c>
    </row>
    <row r="12084" spans="1:3">
      <c r="A12084" s="62">
        <v>39352</v>
      </c>
      <c r="B12084">
        <v>3.6480000000000001</v>
      </c>
      <c r="C12084" t="str">
        <f t="shared" si="193"/>
        <v>2007 q3</v>
      </c>
    </row>
    <row r="12085" spans="1:3">
      <c r="A12085" s="62">
        <v>39353</v>
      </c>
      <c r="B12085">
        <v>3.64</v>
      </c>
      <c r="C12085" t="str">
        <f t="shared" si="193"/>
        <v>2007 q3</v>
      </c>
    </row>
    <row r="12086" spans="1:3">
      <c r="A12086" s="62">
        <v>39356</v>
      </c>
      <c r="B12086">
        <v>3.6915</v>
      </c>
      <c r="C12086" t="str">
        <f t="shared" si="193"/>
        <v>2007 q4</v>
      </c>
    </row>
    <row r="12087" spans="1:3">
      <c r="A12087" s="62">
        <v>39357</v>
      </c>
      <c r="B12087">
        <v>3.7109999999999999</v>
      </c>
      <c r="C12087" t="str">
        <f t="shared" si="193"/>
        <v>2007 q4</v>
      </c>
    </row>
    <row r="12088" spans="1:3">
      <c r="A12088" s="62">
        <v>39358</v>
      </c>
      <c r="B12088">
        <v>3.7635000000000001</v>
      </c>
      <c r="C12088" t="str">
        <f t="shared" si="193"/>
        <v>2007 q4</v>
      </c>
    </row>
    <row r="12089" spans="1:3">
      <c r="A12089" s="62">
        <v>39359</v>
      </c>
      <c r="B12089">
        <v>3.738</v>
      </c>
      <c r="C12089" t="str">
        <f t="shared" si="193"/>
        <v>2007 q4</v>
      </c>
    </row>
    <row r="12090" spans="1:3">
      <c r="A12090" s="62">
        <v>39360</v>
      </c>
      <c r="B12090">
        <v>3.7254999999999998</v>
      </c>
      <c r="C12090" t="str">
        <f t="shared" si="193"/>
        <v>2007 q4</v>
      </c>
    </row>
    <row r="12091" spans="1:3">
      <c r="A12091" s="62">
        <v>39363</v>
      </c>
      <c r="B12091">
        <v>3.613</v>
      </c>
      <c r="C12091" t="str">
        <f t="shared" si="193"/>
        <v>2007 q4</v>
      </c>
    </row>
    <row r="12092" spans="1:3">
      <c r="A12092" s="62">
        <v>39364</v>
      </c>
      <c r="B12092">
        <v>3.6175000000000002</v>
      </c>
      <c r="C12092" t="str">
        <f t="shared" si="193"/>
        <v>2007 q4</v>
      </c>
    </row>
    <row r="12093" spans="1:3">
      <c r="A12093" s="62">
        <v>39365</v>
      </c>
      <c r="B12093">
        <v>3.694</v>
      </c>
      <c r="C12093" t="str">
        <f t="shared" si="193"/>
        <v>2007 q4</v>
      </c>
    </row>
    <row r="12094" spans="1:3">
      <c r="A12094" s="62">
        <v>39366</v>
      </c>
      <c r="B12094">
        <v>3.669</v>
      </c>
      <c r="C12094" t="str">
        <f t="shared" si="193"/>
        <v>2007 q4</v>
      </c>
    </row>
    <row r="12095" spans="1:3">
      <c r="A12095" s="62">
        <v>39367</v>
      </c>
      <c r="B12095">
        <v>3.6524999999999999</v>
      </c>
      <c r="C12095" t="str">
        <f t="shared" si="193"/>
        <v>2007 q4</v>
      </c>
    </row>
    <row r="12096" spans="1:3">
      <c r="A12096" s="62">
        <v>39370</v>
      </c>
      <c r="B12096">
        <v>3.6859999999999999</v>
      </c>
      <c r="C12096" t="str">
        <f t="shared" si="193"/>
        <v>2007 q4</v>
      </c>
    </row>
    <row r="12097" spans="1:3">
      <c r="A12097" s="62">
        <v>39371</v>
      </c>
      <c r="B12097">
        <v>3.641</v>
      </c>
      <c r="C12097" t="str">
        <f t="shared" si="193"/>
        <v>2007 q4</v>
      </c>
    </row>
    <row r="12098" spans="1:3">
      <c r="A12098" s="62">
        <v>39372</v>
      </c>
      <c r="B12098">
        <v>3.5960000000000001</v>
      </c>
      <c r="C12098" t="str">
        <f t="shared" si="193"/>
        <v>2007 q4</v>
      </c>
    </row>
    <row r="12099" spans="1:3">
      <c r="A12099" s="62">
        <v>39373</v>
      </c>
      <c r="B12099">
        <v>3.5415000000000001</v>
      </c>
      <c r="C12099" t="str">
        <f t="shared" si="193"/>
        <v>2007 q4</v>
      </c>
    </row>
    <row r="12100" spans="1:3">
      <c r="A12100" s="62">
        <v>39374</v>
      </c>
      <c r="B12100">
        <v>3.5514999999999999</v>
      </c>
      <c r="C12100" t="str">
        <f t="shared" si="193"/>
        <v>2007 q4</v>
      </c>
    </row>
    <row r="12101" spans="1:3">
      <c r="A12101" s="62">
        <v>39377</v>
      </c>
      <c r="B12101">
        <v>3.4864999999999999</v>
      </c>
      <c r="C12101" t="str">
        <f t="shared" si="193"/>
        <v>2007 q4</v>
      </c>
    </row>
    <row r="12102" spans="1:3">
      <c r="A12102" s="62">
        <v>39378</v>
      </c>
      <c r="B12102">
        <v>3.5135000000000001</v>
      </c>
      <c r="C12102" t="str">
        <f t="shared" si="193"/>
        <v>2007 q4</v>
      </c>
    </row>
    <row r="12103" spans="1:3">
      <c r="A12103" s="62">
        <v>39379</v>
      </c>
      <c r="B12103">
        <v>3.4525000000000001</v>
      </c>
      <c r="C12103" t="str">
        <f t="shared" si="193"/>
        <v>2007 q4</v>
      </c>
    </row>
    <row r="12104" spans="1:3">
      <c r="A12104" s="62">
        <v>39380</v>
      </c>
      <c r="B12104">
        <v>3.4860000000000002</v>
      </c>
      <c r="C12104" t="str">
        <f t="shared" si="193"/>
        <v>2007 q4</v>
      </c>
    </row>
    <row r="12105" spans="1:3">
      <c r="A12105" s="62">
        <v>39381</v>
      </c>
      <c r="B12105">
        <v>3.5375000000000001</v>
      </c>
      <c r="C12105" t="str">
        <f t="shared" si="193"/>
        <v>2007 q4</v>
      </c>
    </row>
    <row r="12106" spans="1:3">
      <c r="A12106" s="62">
        <v>39384</v>
      </c>
      <c r="B12106">
        <v>3.5209999999999999</v>
      </c>
      <c r="C12106" t="str">
        <f t="shared" si="193"/>
        <v>2007 q4</v>
      </c>
    </row>
    <row r="12107" spans="1:3">
      <c r="A12107" s="62">
        <v>39385</v>
      </c>
      <c r="B12107">
        <v>3.4815</v>
      </c>
      <c r="C12107" t="str">
        <f t="shared" si="193"/>
        <v>2007 q4</v>
      </c>
    </row>
    <row r="12108" spans="1:3">
      <c r="A12108" s="62">
        <v>39386</v>
      </c>
      <c r="B12108">
        <v>3.4729999999999999</v>
      </c>
      <c r="C12108" t="str">
        <f t="shared" si="193"/>
        <v>2007 q4</v>
      </c>
    </row>
    <row r="12109" spans="1:3">
      <c r="A12109" s="62">
        <v>39387</v>
      </c>
      <c r="B12109">
        <v>3.3624999999999998</v>
      </c>
      <c r="C12109" t="str">
        <f t="shared" si="193"/>
        <v>2007 q4</v>
      </c>
    </row>
    <row r="12110" spans="1:3">
      <c r="A12110" s="62">
        <v>39388</v>
      </c>
      <c r="B12110">
        <v>3.3250000000000002</v>
      </c>
      <c r="C12110" t="str">
        <f t="shared" si="193"/>
        <v>2007 q4</v>
      </c>
    </row>
    <row r="12111" spans="1:3">
      <c r="A12111" s="62">
        <v>39391</v>
      </c>
      <c r="B12111">
        <v>3.302</v>
      </c>
      <c r="C12111" t="str">
        <f t="shared" si="193"/>
        <v>2007 q4</v>
      </c>
    </row>
    <row r="12112" spans="1:3">
      <c r="A12112" s="62">
        <v>39392</v>
      </c>
      <c r="B12112">
        <v>3.3414999999999999</v>
      </c>
      <c r="C12112" t="str">
        <f t="shared" si="193"/>
        <v>2007 q4</v>
      </c>
    </row>
    <row r="12113" spans="1:3">
      <c r="A12113" s="62">
        <v>39393</v>
      </c>
      <c r="B12113">
        <v>3.2589999999999999</v>
      </c>
      <c r="C12113" t="str">
        <f t="shared" si="193"/>
        <v>2007 q4</v>
      </c>
    </row>
    <row r="12114" spans="1:3">
      <c r="A12114" s="62">
        <v>39394</v>
      </c>
      <c r="B12114">
        <v>3.2040000000000002</v>
      </c>
      <c r="C12114" t="str">
        <f t="shared" ref="C12114:C12177" si="194">YEAR(A12114)&amp;" q"&amp;ROUNDUP(MONTH(A12114)/3,0)</f>
        <v>2007 q4</v>
      </c>
    </row>
    <row r="12115" spans="1:3">
      <c r="A12115" s="62">
        <v>39395</v>
      </c>
      <c r="B12115">
        <v>3.1455000000000002</v>
      </c>
      <c r="C12115" t="str">
        <f t="shared" si="194"/>
        <v>2007 q4</v>
      </c>
    </row>
    <row r="12116" spans="1:3">
      <c r="A12116" s="62">
        <v>39398</v>
      </c>
      <c r="B12116">
        <v>3.109</v>
      </c>
      <c r="C12116" t="str">
        <f t="shared" si="194"/>
        <v>2007 q4</v>
      </c>
    </row>
    <row r="12117" spans="1:3">
      <c r="A12117" s="62">
        <v>39399</v>
      </c>
      <c r="B12117">
        <v>3.1070000000000002</v>
      </c>
      <c r="C12117" t="str">
        <f t="shared" si="194"/>
        <v>2007 q4</v>
      </c>
    </row>
    <row r="12118" spans="1:3">
      <c r="A12118" s="62">
        <v>39400</v>
      </c>
      <c r="B12118">
        <v>3.2965</v>
      </c>
      <c r="C12118" t="str">
        <f t="shared" si="194"/>
        <v>2007 q4</v>
      </c>
    </row>
    <row r="12119" spans="1:3">
      <c r="A12119" s="62">
        <v>39401</v>
      </c>
      <c r="B12119">
        <v>3.081</v>
      </c>
      <c r="C12119" t="str">
        <f t="shared" si="194"/>
        <v>2007 q4</v>
      </c>
    </row>
    <row r="12120" spans="1:3">
      <c r="A12120" s="62">
        <v>39402</v>
      </c>
      <c r="B12120">
        <v>3.1615000000000002</v>
      </c>
      <c r="C12120" t="str">
        <f t="shared" si="194"/>
        <v>2007 q4</v>
      </c>
    </row>
    <row r="12121" spans="1:3">
      <c r="A12121" s="62">
        <v>39405</v>
      </c>
      <c r="B12121">
        <v>2.9834999999999998</v>
      </c>
      <c r="C12121" t="str">
        <f t="shared" si="194"/>
        <v>2007 q4</v>
      </c>
    </row>
    <row r="12122" spans="1:3">
      <c r="A12122" s="62">
        <v>39406</v>
      </c>
      <c r="B12122">
        <v>3.0270000000000001</v>
      </c>
      <c r="C12122" t="str">
        <f t="shared" si="194"/>
        <v>2007 q4</v>
      </c>
    </row>
    <row r="12123" spans="1:3">
      <c r="A12123" s="62">
        <v>39407</v>
      </c>
      <c r="B12123">
        <v>2.8879999999999999</v>
      </c>
      <c r="C12123" t="str">
        <f t="shared" si="194"/>
        <v>2007 q4</v>
      </c>
    </row>
    <row r="12124" spans="1:3">
      <c r="A12124" s="62">
        <v>39409</v>
      </c>
      <c r="B12124">
        <v>2.9910000000000001</v>
      </c>
      <c r="C12124" t="str">
        <f t="shared" si="194"/>
        <v>2007 q4</v>
      </c>
    </row>
    <row r="12125" spans="1:3">
      <c r="A12125" s="62">
        <v>39412</v>
      </c>
      <c r="B12125">
        <v>3.0230000000000001</v>
      </c>
      <c r="C12125" t="str">
        <f t="shared" si="194"/>
        <v>2007 q4</v>
      </c>
    </row>
    <row r="12126" spans="1:3">
      <c r="A12126" s="62">
        <v>39413</v>
      </c>
      <c r="B12126">
        <v>2.9655</v>
      </c>
      <c r="C12126" t="str">
        <f t="shared" si="194"/>
        <v>2007 q4</v>
      </c>
    </row>
    <row r="12127" spans="1:3">
      <c r="A12127" s="62">
        <v>39414</v>
      </c>
      <c r="B12127">
        <v>3.0104000000000002</v>
      </c>
      <c r="C12127" t="str">
        <f t="shared" si="194"/>
        <v>2007 q4</v>
      </c>
    </row>
    <row r="12128" spans="1:3">
      <c r="A12128" s="62">
        <v>39415</v>
      </c>
      <c r="B12128">
        <v>3.0712999999999999</v>
      </c>
      <c r="C12128" t="str">
        <f t="shared" si="194"/>
        <v>2007 q4</v>
      </c>
    </row>
    <row r="12129" spans="1:3">
      <c r="A12129" s="62">
        <v>39416</v>
      </c>
      <c r="B12129">
        <v>3.1661999999999999</v>
      </c>
      <c r="C12129" t="str">
        <f t="shared" si="194"/>
        <v>2007 q4</v>
      </c>
    </row>
    <row r="12130" spans="1:3">
      <c r="A12130" s="62">
        <v>39419</v>
      </c>
      <c r="B12130">
        <v>3.07</v>
      </c>
      <c r="C12130" t="str">
        <f t="shared" si="194"/>
        <v>2007 q4</v>
      </c>
    </row>
    <row r="12131" spans="1:3">
      <c r="A12131" s="62">
        <v>39420</v>
      </c>
      <c r="B12131">
        <v>3.0110000000000001</v>
      </c>
      <c r="C12131" t="str">
        <f t="shared" si="194"/>
        <v>2007 q4</v>
      </c>
    </row>
    <row r="12132" spans="1:3">
      <c r="A12132" s="62">
        <v>39421</v>
      </c>
      <c r="B12132">
        <v>3.0289999999999999</v>
      </c>
      <c r="C12132" t="str">
        <f t="shared" si="194"/>
        <v>2007 q4</v>
      </c>
    </row>
    <row r="12133" spans="1:3">
      <c r="A12133" s="62">
        <v>39422</v>
      </c>
      <c r="B12133">
        <v>3.0325000000000002</v>
      </c>
      <c r="C12133" t="str">
        <f t="shared" si="194"/>
        <v>2007 q4</v>
      </c>
    </row>
    <row r="12134" spans="1:3">
      <c r="A12134" s="62">
        <v>39423</v>
      </c>
      <c r="B12134">
        <v>3.1074999999999999</v>
      </c>
      <c r="C12134" t="str">
        <f t="shared" si="194"/>
        <v>2007 q4</v>
      </c>
    </row>
    <row r="12135" spans="1:3">
      <c r="A12135" s="62">
        <v>39426</v>
      </c>
      <c r="B12135">
        <v>3.0735000000000001</v>
      </c>
      <c r="C12135" t="str">
        <f t="shared" si="194"/>
        <v>2007 q4</v>
      </c>
    </row>
    <row r="12136" spans="1:3">
      <c r="A12136" s="62">
        <v>39427</v>
      </c>
      <c r="B12136">
        <v>3.0684999999999998</v>
      </c>
      <c r="C12136" t="str">
        <f t="shared" si="194"/>
        <v>2007 q4</v>
      </c>
    </row>
    <row r="12137" spans="1:3">
      <c r="A12137" s="62">
        <v>39428</v>
      </c>
      <c r="B12137">
        <v>3.0209999999999999</v>
      </c>
      <c r="C12137" t="str">
        <f t="shared" si="194"/>
        <v>2007 q4</v>
      </c>
    </row>
    <row r="12138" spans="1:3">
      <c r="A12138" s="62">
        <v>39429</v>
      </c>
      <c r="B12138">
        <v>2.9470000000000001</v>
      </c>
      <c r="C12138" t="str">
        <f t="shared" si="194"/>
        <v>2007 q4</v>
      </c>
    </row>
    <row r="12139" spans="1:3">
      <c r="A12139" s="62">
        <v>39430</v>
      </c>
      <c r="B12139">
        <v>2.944</v>
      </c>
      <c r="C12139" t="str">
        <f t="shared" si="194"/>
        <v>2007 q4</v>
      </c>
    </row>
    <row r="12140" spans="1:3">
      <c r="A12140" s="62">
        <v>39433</v>
      </c>
      <c r="B12140">
        <v>2.879</v>
      </c>
      <c r="C12140" t="str">
        <f t="shared" si="194"/>
        <v>2007 q4</v>
      </c>
    </row>
    <row r="12141" spans="1:3">
      <c r="A12141" s="62">
        <v>39434</v>
      </c>
      <c r="B12141">
        <v>2.8730000000000002</v>
      </c>
      <c r="C12141" t="str">
        <f t="shared" si="194"/>
        <v>2007 q4</v>
      </c>
    </row>
    <row r="12142" spans="1:3">
      <c r="A12142" s="62">
        <v>39435</v>
      </c>
      <c r="B12142">
        <v>2.9464999999999999</v>
      </c>
      <c r="C12142" t="str">
        <f t="shared" si="194"/>
        <v>2007 q4</v>
      </c>
    </row>
    <row r="12143" spans="1:3">
      <c r="A12143" s="62">
        <v>39436</v>
      </c>
      <c r="B12143">
        <v>2.9630000000000001</v>
      </c>
      <c r="C12143" t="str">
        <f t="shared" si="194"/>
        <v>2007 q4</v>
      </c>
    </row>
    <row r="12144" spans="1:3">
      <c r="A12144" s="62">
        <v>39437</v>
      </c>
      <c r="B12144">
        <v>3.0954999999999999</v>
      </c>
      <c r="C12144" t="str">
        <f t="shared" si="194"/>
        <v>2007 q4</v>
      </c>
    </row>
    <row r="12145" spans="1:3">
      <c r="A12145" s="62">
        <v>39440</v>
      </c>
      <c r="B12145">
        <v>3.1480000000000001</v>
      </c>
      <c r="C12145" t="str">
        <f t="shared" si="194"/>
        <v>2007 q4</v>
      </c>
    </row>
    <row r="12146" spans="1:3">
      <c r="A12146" s="62">
        <v>39442</v>
      </c>
      <c r="B12146">
        <v>3.1616</v>
      </c>
      <c r="C12146" t="str">
        <f t="shared" si="194"/>
        <v>2007 q4</v>
      </c>
    </row>
    <row r="12147" spans="1:3">
      <c r="A12147" s="62">
        <v>39443</v>
      </c>
      <c r="B12147">
        <v>3.1173000000000002</v>
      </c>
      <c r="C12147" t="str">
        <f t="shared" si="194"/>
        <v>2007 q4</v>
      </c>
    </row>
    <row r="12148" spans="1:3">
      <c r="A12148" s="62">
        <v>39444</v>
      </c>
      <c r="B12148">
        <v>3.0661999999999998</v>
      </c>
      <c r="C12148" t="str">
        <f t="shared" si="194"/>
        <v>2007 q4</v>
      </c>
    </row>
    <row r="12149" spans="1:3">
      <c r="A12149" s="62">
        <v>39447</v>
      </c>
      <c r="B12149">
        <v>3.0388999999999999</v>
      </c>
      <c r="C12149" t="str">
        <f t="shared" si="194"/>
        <v>2007 q4</v>
      </c>
    </row>
    <row r="12150" spans="1:3">
      <c r="A12150" s="62">
        <v>39449</v>
      </c>
      <c r="B12150">
        <v>3.0640000000000001</v>
      </c>
      <c r="C12150" t="str">
        <f t="shared" si="194"/>
        <v>2008 q1</v>
      </c>
    </row>
    <row r="12151" spans="1:3">
      <c r="A12151" s="62">
        <v>39450</v>
      </c>
      <c r="B12151">
        <v>3.1880000000000002</v>
      </c>
      <c r="C12151" t="str">
        <f t="shared" si="194"/>
        <v>2008 q1</v>
      </c>
    </row>
    <row r="12152" spans="1:3">
      <c r="A12152" s="62">
        <v>39451</v>
      </c>
      <c r="B12152">
        <v>3.1575000000000002</v>
      </c>
      <c r="C12152" t="str">
        <f t="shared" si="194"/>
        <v>2008 q1</v>
      </c>
    </row>
    <row r="12153" spans="1:3">
      <c r="A12153" s="62">
        <v>39454</v>
      </c>
      <c r="B12153">
        <v>3.141</v>
      </c>
      <c r="C12153" t="str">
        <f t="shared" si="194"/>
        <v>2008 q1</v>
      </c>
    </row>
    <row r="12154" spans="1:3">
      <c r="A12154" s="62">
        <v>39455</v>
      </c>
      <c r="B12154">
        <v>3.2985000000000002</v>
      </c>
      <c r="C12154" t="str">
        <f t="shared" si="194"/>
        <v>2008 q1</v>
      </c>
    </row>
    <row r="12155" spans="1:3">
      <c r="A12155" s="62">
        <v>39456</v>
      </c>
      <c r="B12155">
        <v>3.2835000000000001</v>
      </c>
      <c r="C12155" t="str">
        <f t="shared" si="194"/>
        <v>2008 q1</v>
      </c>
    </row>
    <row r="12156" spans="1:3">
      <c r="A12156" s="62">
        <v>39457</v>
      </c>
      <c r="B12156">
        <v>3.2814999999999999</v>
      </c>
      <c r="C12156" t="str">
        <f t="shared" si="194"/>
        <v>2008 q1</v>
      </c>
    </row>
    <row r="12157" spans="1:3">
      <c r="A12157" s="62">
        <v>39458</v>
      </c>
      <c r="B12157">
        <v>3.3039999999999998</v>
      </c>
      <c r="C12157" t="str">
        <f t="shared" si="194"/>
        <v>2008 q1</v>
      </c>
    </row>
    <row r="12158" spans="1:3">
      <c r="A12158" s="62">
        <v>39461</v>
      </c>
      <c r="B12158">
        <v>3.339</v>
      </c>
      <c r="C12158" t="str">
        <f t="shared" si="194"/>
        <v>2008 q1</v>
      </c>
    </row>
    <row r="12159" spans="1:3">
      <c r="A12159" s="62">
        <v>39462</v>
      </c>
      <c r="B12159">
        <v>3.2414999999999998</v>
      </c>
      <c r="C12159" t="str">
        <f t="shared" si="194"/>
        <v>2008 q1</v>
      </c>
    </row>
    <row r="12160" spans="1:3">
      <c r="A12160" s="62">
        <v>39463</v>
      </c>
      <c r="B12160">
        <v>3.1724999999999999</v>
      </c>
      <c r="C12160" t="str">
        <f t="shared" si="194"/>
        <v>2008 q1</v>
      </c>
    </row>
    <row r="12161" spans="1:3">
      <c r="A12161" s="62">
        <v>39464</v>
      </c>
      <c r="B12161">
        <v>3.1819999999999999</v>
      </c>
      <c r="C12161" t="str">
        <f t="shared" si="194"/>
        <v>2008 q1</v>
      </c>
    </row>
    <row r="12162" spans="1:3">
      <c r="A12162" s="62">
        <v>39465</v>
      </c>
      <c r="B12162">
        <v>3.2345000000000002</v>
      </c>
      <c r="C12162" t="str">
        <f t="shared" si="194"/>
        <v>2008 q1</v>
      </c>
    </row>
    <row r="12163" spans="1:3">
      <c r="A12163" s="62">
        <v>39469</v>
      </c>
      <c r="B12163">
        <v>3.1964999999999999</v>
      </c>
      <c r="C12163" t="str">
        <f t="shared" si="194"/>
        <v>2008 q1</v>
      </c>
    </row>
    <row r="12164" spans="1:3">
      <c r="A12164" s="62">
        <v>39470</v>
      </c>
      <c r="B12164">
        <v>3.0720000000000001</v>
      </c>
      <c r="C12164" t="str">
        <f t="shared" si="194"/>
        <v>2008 q1</v>
      </c>
    </row>
    <row r="12165" spans="1:3">
      <c r="A12165" s="62">
        <v>39471</v>
      </c>
      <c r="B12165">
        <v>3.1715</v>
      </c>
      <c r="C12165" t="str">
        <f t="shared" si="194"/>
        <v>2008 q1</v>
      </c>
    </row>
    <row r="12166" spans="1:3">
      <c r="A12166" s="62">
        <v>39472</v>
      </c>
      <c r="B12166">
        <v>3.1840000000000002</v>
      </c>
      <c r="C12166" t="str">
        <f t="shared" si="194"/>
        <v>2008 q1</v>
      </c>
    </row>
    <row r="12167" spans="1:3">
      <c r="A12167" s="62">
        <v>39475</v>
      </c>
      <c r="B12167">
        <v>3.1894999999999998</v>
      </c>
      <c r="C12167" t="str">
        <f t="shared" si="194"/>
        <v>2008 q1</v>
      </c>
    </row>
    <row r="12168" spans="1:3">
      <c r="A12168" s="62">
        <v>39476</v>
      </c>
      <c r="B12168">
        <v>3.2989999999999999</v>
      </c>
      <c r="C12168" t="str">
        <f t="shared" si="194"/>
        <v>2008 q1</v>
      </c>
    </row>
    <row r="12169" spans="1:3">
      <c r="A12169" s="62">
        <v>39477</v>
      </c>
      <c r="B12169">
        <v>3.2265000000000001</v>
      </c>
      <c r="C12169" t="str">
        <f t="shared" si="194"/>
        <v>2008 q1</v>
      </c>
    </row>
    <row r="12170" spans="1:3">
      <c r="A12170" s="62">
        <v>39478</v>
      </c>
      <c r="B12170">
        <v>3.298</v>
      </c>
      <c r="C12170" t="str">
        <f t="shared" si="194"/>
        <v>2008 q1</v>
      </c>
    </row>
    <row r="12171" spans="1:3">
      <c r="A12171" s="62">
        <v>39479</v>
      </c>
      <c r="B12171">
        <v>3.2730000000000001</v>
      </c>
      <c r="C12171" t="str">
        <f t="shared" si="194"/>
        <v>2008 q1</v>
      </c>
    </row>
    <row r="12172" spans="1:3">
      <c r="A12172" s="62">
        <v>39482</v>
      </c>
      <c r="B12172">
        <v>3.2985000000000002</v>
      </c>
      <c r="C12172" t="str">
        <f t="shared" si="194"/>
        <v>2008 q1</v>
      </c>
    </row>
    <row r="12173" spans="1:3">
      <c r="A12173" s="62">
        <v>39483</v>
      </c>
      <c r="B12173">
        <v>3.2120000000000002</v>
      </c>
      <c r="C12173" t="str">
        <f t="shared" si="194"/>
        <v>2008 q1</v>
      </c>
    </row>
    <row r="12174" spans="1:3">
      <c r="A12174" s="62">
        <v>39484</v>
      </c>
      <c r="B12174">
        <v>3.3090000000000002</v>
      </c>
      <c r="C12174" t="str">
        <f t="shared" si="194"/>
        <v>2008 q1</v>
      </c>
    </row>
    <row r="12175" spans="1:3">
      <c r="A12175" s="62">
        <v>39485</v>
      </c>
      <c r="B12175">
        <v>3.4540000000000002</v>
      </c>
      <c r="C12175" t="str">
        <f t="shared" si="194"/>
        <v>2008 q1</v>
      </c>
    </row>
    <row r="12176" spans="1:3">
      <c r="A12176" s="62">
        <v>39486</v>
      </c>
      <c r="B12176">
        <v>3.5394999999999999</v>
      </c>
      <c r="C12176" t="str">
        <f t="shared" si="194"/>
        <v>2008 q1</v>
      </c>
    </row>
    <row r="12177" spans="1:3">
      <c r="A12177" s="62">
        <v>39489</v>
      </c>
      <c r="B12177">
        <v>3.5585</v>
      </c>
      <c r="C12177" t="str">
        <f t="shared" si="194"/>
        <v>2008 q1</v>
      </c>
    </row>
    <row r="12178" spans="1:3">
      <c r="A12178" s="62">
        <v>39490</v>
      </c>
      <c r="B12178">
        <v>3.56</v>
      </c>
      <c r="C12178" t="str">
        <f t="shared" ref="C12178:C12241" si="195">YEAR(A12178)&amp;" q"&amp;ROUNDUP(MONTH(A12178)/3,0)</f>
        <v>2008 q1</v>
      </c>
    </row>
    <row r="12179" spans="1:3">
      <c r="A12179" s="62">
        <v>39491</v>
      </c>
      <c r="B12179">
        <v>3.5305</v>
      </c>
      <c r="C12179" t="str">
        <f t="shared" si="195"/>
        <v>2008 q1</v>
      </c>
    </row>
    <row r="12180" spans="1:3">
      <c r="A12180" s="62">
        <v>39492</v>
      </c>
      <c r="B12180">
        <v>3.488</v>
      </c>
      <c r="C12180" t="str">
        <f t="shared" si="195"/>
        <v>2008 q1</v>
      </c>
    </row>
    <row r="12181" spans="1:3">
      <c r="A12181" s="62">
        <v>39493</v>
      </c>
      <c r="B12181">
        <v>3.5230000000000001</v>
      </c>
      <c r="C12181" t="str">
        <f t="shared" si="195"/>
        <v>2008 q1</v>
      </c>
    </row>
    <row r="12182" spans="1:3">
      <c r="A12182" s="62">
        <v>39497</v>
      </c>
      <c r="B12182">
        <v>3.7235</v>
      </c>
      <c r="C12182" t="str">
        <f t="shared" si="195"/>
        <v>2008 q1</v>
      </c>
    </row>
    <row r="12183" spans="1:3">
      <c r="A12183" s="62">
        <v>39498</v>
      </c>
      <c r="B12183">
        <v>3.7084999999999999</v>
      </c>
      <c r="C12183" t="str">
        <f t="shared" si="195"/>
        <v>2008 q1</v>
      </c>
    </row>
    <row r="12184" spans="1:3">
      <c r="A12184" s="62">
        <v>39499</v>
      </c>
      <c r="B12184">
        <v>3.8105000000000002</v>
      </c>
      <c r="C12184" t="str">
        <f t="shared" si="195"/>
        <v>2008 q1</v>
      </c>
    </row>
    <row r="12185" spans="1:3">
      <c r="A12185" s="62">
        <v>39500</v>
      </c>
      <c r="B12185">
        <v>3.7894999999999999</v>
      </c>
      <c r="C12185" t="str">
        <f t="shared" si="195"/>
        <v>2008 q1</v>
      </c>
    </row>
    <row r="12186" spans="1:3">
      <c r="A12186" s="62">
        <v>39503</v>
      </c>
      <c r="B12186">
        <v>3.7395</v>
      </c>
      <c r="C12186" t="str">
        <f t="shared" si="195"/>
        <v>2008 q1</v>
      </c>
    </row>
    <row r="12187" spans="1:3">
      <c r="A12187" s="62">
        <v>39504</v>
      </c>
      <c r="B12187">
        <v>3.7816999999999998</v>
      </c>
      <c r="C12187" t="str">
        <f t="shared" si="195"/>
        <v>2008 q1</v>
      </c>
    </row>
    <row r="12188" spans="1:3">
      <c r="A12188" s="62">
        <v>39505</v>
      </c>
      <c r="B12188">
        <v>3.843</v>
      </c>
      <c r="C12188" t="str">
        <f t="shared" si="195"/>
        <v>2008 q1</v>
      </c>
    </row>
    <row r="12189" spans="1:3">
      <c r="A12189" s="62">
        <v>39506</v>
      </c>
      <c r="B12189">
        <v>3.8721999999999999</v>
      </c>
      <c r="C12189" t="str">
        <f t="shared" si="195"/>
        <v>2008 q1</v>
      </c>
    </row>
    <row r="12190" spans="1:3">
      <c r="A12190" s="62">
        <v>39507</v>
      </c>
      <c r="B12190">
        <v>3.8544</v>
      </c>
      <c r="C12190" t="str">
        <f t="shared" si="195"/>
        <v>2008 q1</v>
      </c>
    </row>
    <row r="12191" spans="1:3">
      <c r="A12191" s="62">
        <v>39510</v>
      </c>
      <c r="B12191">
        <v>3.9285000000000001</v>
      </c>
      <c r="C12191" t="str">
        <f t="shared" si="195"/>
        <v>2008 q1</v>
      </c>
    </row>
    <row r="12192" spans="1:3">
      <c r="A12192" s="62">
        <v>39512</v>
      </c>
      <c r="B12192">
        <v>3.9820000000000002</v>
      </c>
      <c r="C12192" t="str">
        <f t="shared" si="195"/>
        <v>2008 q1</v>
      </c>
    </row>
    <row r="12193" spans="1:3">
      <c r="A12193" s="62">
        <v>39513</v>
      </c>
      <c r="B12193">
        <v>3.9035000000000002</v>
      </c>
      <c r="C12193" t="str">
        <f t="shared" si="195"/>
        <v>2008 q1</v>
      </c>
    </row>
    <row r="12194" spans="1:3">
      <c r="A12194" s="62">
        <v>39514</v>
      </c>
      <c r="B12194">
        <v>3.9215</v>
      </c>
      <c r="C12194" t="str">
        <f t="shared" si="195"/>
        <v>2008 q1</v>
      </c>
    </row>
    <row r="12195" spans="1:3">
      <c r="A12195" s="62">
        <v>39517</v>
      </c>
      <c r="B12195">
        <v>3.7949999999999999</v>
      </c>
      <c r="C12195" t="str">
        <f t="shared" si="195"/>
        <v>2008 q1</v>
      </c>
    </row>
    <row r="12196" spans="1:3">
      <c r="A12196" s="62">
        <v>39518</v>
      </c>
      <c r="B12196">
        <v>3.7854999999999999</v>
      </c>
      <c r="C12196" t="str">
        <f t="shared" si="195"/>
        <v>2008 q1</v>
      </c>
    </row>
    <row r="12197" spans="1:3">
      <c r="A12197" s="62">
        <v>39519</v>
      </c>
      <c r="B12197">
        <v>3.8370000000000002</v>
      </c>
      <c r="C12197" t="str">
        <f t="shared" si="195"/>
        <v>2008 q1</v>
      </c>
    </row>
    <row r="12198" spans="1:3">
      <c r="A12198" s="62">
        <v>39520</v>
      </c>
      <c r="B12198">
        <v>3.8250000000000002</v>
      </c>
      <c r="C12198" t="str">
        <f t="shared" si="195"/>
        <v>2008 q1</v>
      </c>
    </row>
    <row r="12199" spans="1:3">
      <c r="A12199" s="62">
        <v>39521</v>
      </c>
      <c r="B12199">
        <v>3.8279999999999998</v>
      </c>
      <c r="C12199" t="str">
        <f t="shared" si="195"/>
        <v>2008 q1</v>
      </c>
    </row>
    <row r="12200" spans="1:3">
      <c r="A12200" s="62">
        <v>39524</v>
      </c>
      <c r="B12200">
        <v>3.6850000000000001</v>
      </c>
      <c r="C12200" t="str">
        <f t="shared" si="195"/>
        <v>2008 q1</v>
      </c>
    </row>
    <row r="12201" spans="1:3">
      <c r="A12201" s="62">
        <v>39525</v>
      </c>
      <c r="B12201">
        <v>3.7465000000000002</v>
      </c>
      <c r="C12201" t="str">
        <f t="shared" si="195"/>
        <v>2008 q1</v>
      </c>
    </row>
    <row r="12202" spans="1:3">
      <c r="A12202" s="62">
        <v>39526</v>
      </c>
      <c r="B12202">
        <v>3.6335000000000002</v>
      </c>
      <c r="C12202" t="str">
        <f t="shared" si="195"/>
        <v>2008 q1</v>
      </c>
    </row>
    <row r="12203" spans="1:3">
      <c r="A12203" s="62">
        <v>39527</v>
      </c>
      <c r="B12203">
        <v>3.5735000000000001</v>
      </c>
      <c r="C12203" t="str">
        <f t="shared" si="195"/>
        <v>2008 q1</v>
      </c>
    </row>
    <row r="12204" spans="1:3">
      <c r="A12204" s="62">
        <v>39531</v>
      </c>
      <c r="B12204">
        <v>3.6225000000000001</v>
      </c>
      <c r="C12204" t="str">
        <f t="shared" si="195"/>
        <v>2008 q1</v>
      </c>
    </row>
    <row r="12205" spans="1:3">
      <c r="A12205" s="62">
        <v>39532</v>
      </c>
      <c r="B12205">
        <v>3.6785000000000001</v>
      </c>
      <c r="C12205" t="str">
        <f t="shared" si="195"/>
        <v>2008 q1</v>
      </c>
    </row>
    <row r="12206" spans="1:3">
      <c r="A12206" s="62">
        <v>39533</v>
      </c>
      <c r="B12206">
        <v>3.7250000000000001</v>
      </c>
      <c r="C12206" t="str">
        <f t="shared" si="195"/>
        <v>2008 q1</v>
      </c>
    </row>
    <row r="12207" spans="1:3">
      <c r="A12207" s="62">
        <v>39534</v>
      </c>
      <c r="B12207">
        <v>3.8730000000000002</v>
      </c>
      <c r="C12207" t="str">
        <f t="shared" si="195"/>
        <v>2008 q1</v>
      </c>
    </row>
    <row r="12208" spans="1:3">
      <c r="A12208" s="62">
        <v>39535</v>
      </c>
      <c r="B12208">
        <v>3.8315000000000001</v>
      </c>
      <c r="C12208" t="str">
        <f t="shared" si="195"/>
        <v>2008 q1</v>
      </c>
    </row>
    <row r="12209" spans="1:3">
      <c r="A12209" s="62">
        <v>39538</v>
      </c>
      <c r="B12209">
        <v>3.831</v>
      </c>
      <c r="C12209" t="str">
        <f t="shared" si="195"/>
        <v>2008 q1</v>
      </c>
    </row>
    <row r="12210" spans="1:3">
      <c r="A12210" s="62">
        <v>39539</v>
      </c>
      <c r="B12210">
        <v>3.8065000000000002</v>
      </c>
      <c r="C12210" t="str">
        <f t="shared" si="195"/>
        <v>2008 q2</v>
      </c>
    </row>
    <row r="12211" spans="1:3">
      <c r="A12211" s="62">
        <v>39540</v>
      </c>
      <c r="B12211">
        <v>3.8774999999999999</v>
      </c>
      <c r="C12211" t="str">
        <f t="shared" si="195"/>
        <v>2008 q2</v>
      </c>
    </row>
    <row r="12212" spans="1:3">
      <c r="A12212" s="62">
        <v>39541</v>
      </c>
      <c r="B12212">
        <v>3.9015</v>
      </c>
      <c r="C12212" t="str">
        <f t="shared" si="195"/>
        <v>2008 q2</v>
      </c>
    </row>
    <row r="12213" spans="1:3">
      <c r="A12213" s="62">
        <v>39542</v>
      </c>
      <c r="B12213">
        <v>3.9544999999999999</v>
      </c>
      <c r="C12213" t="str">
        <f t="shared" si="195"/>
        <v>2008 q2</v>
      </c>
    </row>
    <row r="12214" spans="1:3">
      <c r="A12214" s="62">
        <v>39545</v>
      </c>
      <c r="B12214">
        <v>3.9794999999999998</v>
      </c>
      <c r="C12214" t="str">
        <f t="shared" si="195"/>
        <v>2008 q2</v>
      </c>
    </row>
    <row r="12215" spans="1:3">
      <c r="A12215" s="62">
        <v>39546</v>
      </c>
      <c r="B12215">
        <v>3.8904999999999998</v>
      </c>
      <c r="C12215" t="str">
        <f t="shared" si="195"/>
        <v>2008 q2</v>
      </c>
    </row>
    <row r="12216" spans="1:3">
      <c r="A12216" s="62">
        <v>39547</v>
      </c>
      <c r="B12216">
        <v>4</v>
      </c>
      <c r="C12216" t="str">
        <f t="shared" si="195"/>
        <v>2008 q2</v>
      </c>
    </row>
    <row r="12217" spans="1:3">
      <c r="A12217" s="62">
        <v>39548</v>
      </c>
      <c r="B12217">
        <v>3.9239999999999999</v>
      </c>
      <c r="C12217" t="str">
        <f t="shared" si="195"/>
        <v>2008 q2</v>
      </c>
    </row>
    <row r="12218" spans="1:3">
      <c r="A12218" s="62">
        <v>39549</v>
      </c>
      <c r="B12218">
        <v>3.9445000000000001</v>
      </c>
      <c r="C12218" t="str">
        <f t="shared" si="195"/>
        <v>2008 q2</v>
      </c>
    </row>
    <row r="12219" spans="1:3">
      <c r="A12219" s="62">
        <v>39552</v>
      </c>
      <c r="B12219">
        <v>3.8965000000000001</v>
      </c>
      <c r="C12219" t="str">
        <f t="shared" si="195"/>
        <v>2008 q2</v>
      </c>
    </row>
    <row r="12220" spans="1:3">
      <c r="A12220" s="62">
        <v>39553</v>
      </c>
      <c r="B12220">
        <v>3.859</v>
      </c>
      <c r="C12220" t="str">
        <f t="shared" si="195"/>
        <v>2008 q2</v>
      </c>
    </row>
    <row r="12221" spans="1:3">
      <c r="A12221" s="62">
        <v>39554</v>
      </c>
      <c r="B12221">
        <v>3.9580000000000002</v>
      </c>
      <c r="C12221" t="str">
        <f t="shared" si="195"/>
        <v>2008 q2</v>
      </c>
    </row>
    <row r="12222" spans="1:3">
      <c r="A12222" s="62">
        <v>39555</v>
      </c>
      <c r="B12222">
        <v>3.9119999999999999</v>
      </c>
      <c r="C12222" t="str">
        <f t="shared" si="195"/>
        <v>2008 q2</v>
      </c>
    </row>
    <row r="12223" spans="1:3">
      <c r="A12223" s="62">
        <v>39556</v>
      </c>
      <c r="B12223">
        <v>3.8879999999999999</v>
      </c>
      <c r="C12223" t="str">
        <f t="shared" si="195"/>
        <v>2008 q2</v>
      </c>
    </row>
    <row r="12224" spans="1:3">
      <c r="A12224" s="62">
        <v>39559</v>
      </c>
      <c r="B12224">
        <v>3.8660000000000001</v>
      </c>
      <c r="C12224" t="str">
        <f t="shared" si="195"/>
        <v>2008 q2</v>
      </c>
    </row>
    <row r="12225" spans="1:3">
      <c r="A12225" s="62">
        <v>39560</v>
      </c>
      <c r="B12225">
        <v>3.9655</v>
      </c>
      <c r="C12225" t="str">
        <f t="shared" si="195"/>
        <v>2008 q2</v>
      </c>
    </row>
    <row r="12226" spans="1:3">
      <c r="A12226" s="62">
        <v>39561</v>
      </c>
      <c r="B12226">
        <v>3.9039999999999999</v>
      </c>
      <c r="C12226" t="str">
        <f t="shared" si="195"/>
        <v>2008 q2</v>
      </c>
    </row>
    <row r="12227" spans="1:3">
      <c r="A12227" s="62">
        <v>39562</v>
      </c>
      <c r="B12227">
        <v>3.875</v>
      </c>
      <c r="C12227" t="str">
        <f t="shared" si="195"/>
        <v>2008 q2</v>
      </c>
    </row>
    <row r="12228" spans="1:3">
      <c r="A12228" s="62">
        <v>39563</v>
      </c>
      <c r="B12228">
        <v>3.9146000000000001</v>
      </c>
      <c r="C12228" t="str">
        <f t="shared" si="195"/>
        <v>2008 q2</v>
      </c>
    </row>
    <row r="12229" spans="1:3">
      <c r="A12229" s="62">
        <v>39566</v>
      </c>
      <c r="B12229">
        <v>3.9329000000000001</v>
      </c>
      <c r="C12229" t="str">
        <f t="shared" si="195"/>
        <v>2008 q2</v>
      </c>
    </row>
    <row r="12230" spans="1:3">
      <c r="A12230" s="62">
        <v>39567</v>
      </c>
      <c r="B12230">
        <v>3.8883999999999999</v>
      </c>
      <c r="C12230" t="str">
        <f t="shared" si="195"/>
        <v>2008 q2</v>
      </c>
    </row>
    <row r="12231" spans="1:3">
      <c r="A12231" s="62">
        <v>39568</v>
      </c>
      <c r="B12231">
        <v>3.9104000000000001</v>
      </c>
      <c r="C12231" t="str">
        <f t="shared" si="195"/>
        <v>2008 q2</v>
      </c>
    </row>
    <row r="12232" spans="1:3">
      <c r="A12232" s="62">
        <v>39570</v>
      </c>
      <c r="B12232">
        <v>3.8205</v>
      </c>
      <c r="C12232" t="str">
        <f t="shared" si="195"/>
        <v>2008 q2</v>
      </c>
    </row>
    <row r="12233" spans="1:3">
      <c r="A12233" s="62">
        <v>39573</v>
      </c>
      <c r="B12233">
        <v>3.9474999999999998</v>
      </c>
      <c r="C12233" t="str">
        <f t="shared" si="195"/>
        <v>2008 q2</v>
      </c>
    </row>
    <row r="12234" spans="1:3">
      <c r="A12234" s="62">
        <v>39574</v>
      </c>
      <c r="B12234">
        <v>3.8784999999999998</v>
      </c>
      <c r="C12234" t="str">
        <f t="shared" si="195"/>
        <v>2008 q2</v>
      </c>
    </row>
    <row r="12235" spans="1:3">
      <c r="A12235" s="62">
        <v>39575</v>
      </c>
      <c r="B12235">
        <v>3.8340000000000001</v>
      </c>
      <c r="C12235" t="str">
        <f t="shared" si="195"/>
        <v>2008 q2</v>
      </c>
    </row>
    <row r="12236" spans="1:3">
      <c r="A12236" s="62">
        <v>39576</v>
      </c>
      <c r="B12236">
        <v>3.7875000000000001</v>
      </c>
      <c r="C12236" t="str">
        <f t="shared" si="195"/>
        <v>2008 q2</v>
      </c>
    </row>
    <row r="12237" spans="1:3">
      <c r="A12237" s="62">
        <v>39577</v>
      </c>
      <c r="B12237">
        <v>3.7164999999999999</v>
      </c>
      <c r="C12237" t="str">
        <f t="shared" si="195"/>
        <v>2008 q2</v>
      </c>
    </row>
    <row r="12238" spans="1:3">
      <c r="A12238" s="62">
        <v>39580</v>
      </c>
      <c r="B12238">
        <v>3.7494999999999998</v>
      </c>
      <c r="C12238" t="str">
        <f t="shared" si="195"/>
        <v>2008 q2</v>
      </c>
    </row>
    <row r="12239" spans="1:3">
      <c r="A12239" s="62">
        <v>39581</v>
      </c>
      <c r="B12239">
        <v>3.7315</v>
      </c>
      <c r="C12239" t="str">
        <f t="shared" si="195"/>
        <v>2008 q2</v>
      </c>
    </row>
    <row r="12240" spans="1:3">
      <c r="A12240" s="62">
        <v>39582</v>
      </c>
      <c r="B12240">
        <v>3.681</v>
      </c>
      <c r="C12240" t="str">
        <f t="shared" si="195"/>
        <v>2008 q2</v>
      </c>
    </row>
    <row r="12241" spans="1:3">
      <c r="A12241" s="62">
        <v>39583</v>
      </c>
      <c r="B12241">
        <v>3.7385000000000002</v>
      </c>
      <c r="C12241" t="str">
        <f t="shared" si="195"/>
        <v>2008 q2</v>
      </c>
    </row>
    <row r="12242" spans="1:3">
      <c r="A12242" s="62">
        <v>39584</v>
      </c>
      <c r="B12242">
        <v>3.8264999999999998</v>
      </c>
      <c r="C12242" t="str">
        <f t="shared" ref="C12242:C12305" si="196">YEAR(A12242)&amp;" q"&amp;ROUNDUP(MONTH(A12242)/3,0)</f>
        <v>2008 q2</v>
      </c>
    </row>
    <row r="12243" spans="1:3">
      <c r="A12243" s="62">
        <v>39587</v>
      </c>
      <c r="B12243">
        <v>3.7755000000000001</v>
      </c>
      <c r="C12243" t="str">
        <f t="shared" si="196"/>
        <v>2008 q2</v>
      </c>
    </row>
    <row r="12244" spans="1:3">
      <c r="A12244" s="62">
        <v>39588</v>
      </c>
      <c r="B12244">
        <v>3.7765</v>
      </c>
      <c r="C12244" t="str">
        <f t="shared" si="196"/>
        <v>2008 q2</v>
      </c>
    </row>
    <row r="12245" spans="1:3">
      <c r="A12245" s="62">
        <v>39589</v>
      </c>
      <c r="B12245">
        <v>3.7444999999999999</v>
      </c>
      <c r="C12245" t="str">
        <f t="shared" si="196"/>
        <v>2008 q2</v>
      </c>
    </row>
    <row r="12246" spans="1:3">
      <c r="A12246" s="62">
        <v>39590</v>
      </c>
      <c r="B12246">
        <v>3.7124999999999999</v>
      </c>
      <c r="C12246" t="str">
        <f t="shared" si="196"/>
        <v>2008 q2</v>
      </c>
    </row>
    <row r="12247" spans="1:3">
      <c r="A12247" s="62">
        <v>39591</v>
      </c>
      <c r="B12247">
        <v>3.7360000000000002</v>
      </c>
      <c r="C12247" t="str">
        <f t="shared" si="196"/>
        <v>2008 q2</v>
      </c>
    </row>
    <row r="12248" spans="1:3">
      <c r="A12248" s="62">
        <v>39595</v>
      </c>
      <c r="B12248">
        <v>3.7160000000000002</v>
      </c>
      <c r="C12248" t="str">
        <f t="shared" si="196"/>
        <v>2008 q2</v>
      </c>
    </row>
    <row r="12249" spans="1:3">
      <c r="A12249" s="62">
        <v>39596</v>
      </c>
      <c r="B12249">
        <v>3.6949999999999998</v>
      </c>
      <c r="C12249" t="str">
        <f t="shared" si="196"/>
        <v>2008 q2</v>
      </c>
    </row>
    <row r="12250" spans="1:3">
      <c r="A12250" s="62">
        <v>39597</v>
      </c>
      <c r="B12250">
        <v>3.5585</v>
      </c>
      <c r="C12250" t="str">
        <f t="shared" si="196"/>
        <v>2008 q2</v>
      </c>
    </row>
    <row r="12251" spans="1:3">
      <c r="A12251" s="62">
        <v>39598</v>
      </c>
      <c r="B12251">
        <v>3.6059999999999999</v>
      </c>
      <c r="C12251" t="str">
        <f t="shared" si="196"/>
        <v>2008 q2</v>
      </c>
    </row>
    <row r="12252" spans="1:3">
      <c r="A12252" s="62">
        <v>39601</v>
      </c>
      <c r="B12252">
        <v>3.5964999999999998</v>
      </c>
      <c r="C12252" t="str">
        <f t="shared" si="196"/>
        <v>2008 q2</v>
      </c>
    </row>
    <row r="12253" spans="1:3">
      <c r="A12253" s="62">
        <v>39602</v>
      </c>
      <c r="B12253">
        <v>3.5779999999999998</v>
      </c>
      <c r="C12253" t="str">
        <f t="shared" si="196"/>
        <v>2008 q2</v>
      </c>
    </row>
    <row r="12254" spans="1:3">
      <c r="A12254" s="62">
        <v>39603</v>
      </c>
      <c r="B12254">
        <v>3.5449999999999999</v>
      </c>
      <c r="C12254" t="str">
        <f t="shared" si="196"/>
        <v>2008 q2</v>
      </c>
    </row>
    <row r="12255" spans="1:3">
      <c r="A12255" s="62">
        <v>39604</v>
      </c>
      <c r="B12255">
        <v>3.5430000000000001</v>
      </c>
      <c r="C12255" t="str">
        <f t="shared" si="196"/>
        <v>2008 q2</v>
      </c>
    </row>
    <row r="12256" spans="1:3">
      <c r="A12256" s="62">
        <v>39605</v>
      </c>
      <c r="B12256">
        <v>3.6230000000000002</v>
      </c>
      <c r="C12256" t="str">
        <f t="shared" si="196"/>
        <v>2008 q2</v>
      </c>
    </row>
    <row r="12257" spans="1:3">
      <c r="A12257" s="62">
        <v>39608</v>
      </c>
      <c r="B12257">
        <v>3.613</v>
      </c>
      <c r="C12257" t="str">
        <f t="shared" si="196"/>
        <v>2008 q2</v>
      </c>
    </row>
    <row r="12258" spans="1:3">
      <c r="A12258" s="62">
        <v>39609</v>
      </c>
      <c r="B12258">
        <v>3.56</v>
      </c>
      <c r="C12258" t="str">
        <f t="shared" si="196"/>
        <v>2008 q2</v>
      </c>
    </row>
    <row r="12259" spans="1:3">
      <c r="A12259" s="62">
        <v>39610</v>
      </c>
      <c r="B12259">
        <v>3.5794999999999999</v>
      </c>
      <c r="C12259" t="str">
        <f t="shared" si="196"/>
        <v>2008 q2</v>
      </c>
    </row>
    <row r="12260" spans="1:3">
      <c r="A12260" s="62">
        <v>39611</v>
      </c>
      <c r="B12260">
        <v>3.5379999999999998</v>
      </c>
      <c r="C12260" t="str">
        <f t="shared" si="196"/>
        <v>2008 q2</v>
      </c>
    </row>
    <row r="12261" spans="1:3">
      <c r="A12261" s="62">
        <v>39612</v>
      </c>
      <c r="B12261">
        <v>3.589</v>
      </c>
      <c r="C12261" t="str">
        <f t="shared" si="196"/>
        <v>2008 q2</v>
      </c>
    </row>
    <row r="12262" spans="1:3">
      <c r="A12262" s="62">
        <v>39616</v>
      </c>
      <c r="B12262">
        <v>3.6495000000000002</v>
      </c>
      <c r="C12262" t="str">
        <f t="shared" si="196"/>
        <v>2008 q2</v>
      </c>
    </row>
    <row r="12263" spans="1:3">
      <c r="A12263" s="62">
        <v>39617</v>
      </c>
      <c r="B12263">
        <v>3.7475000000000001</v>
      </c>
      <c r="C12263" t="str">
        <f t="shared" si="196"/>
        <v>2008 q2</v>
      </c>
    </row>
    <row r="12264" spans="1:3">
      <c r="A12264" s="62">
        <v>39618</v>
      </c>
      <c r="B12264">
        <v>3.7795000000000001</v>
      </c>
      <c r="C12264" t="str">
        <f t="shared" si="196"/>
        <v>2008 q2</v>
      </c>
    </row>
    <row r="12265" spans="1:3">
      <c r="A12265" s="62">
        <v>39619</v>
      </c>
      <c r="B12265">
        <v>3.8319999999999999</v>
      </c>
      <c r="C12265" t="str">
        <f t="shared" si="196"/>
        <v>2008 q2</v>
      </c>
    </row>
    <row r="12266" spans="1:3">
      <c r="A12266" s="62">
        <v>39622</v>
      </c>
      <c r="B12266">
        <v>3.8094999999999999</v>
      </c>
      <c r="C12266" t="str">
        <f t="shared" si="196"/>
        <v>2008 q2</v>
      </c>
    </row>
    <row r="12267" spans="1:3">
      <c r="A12267" s="62">
        <v>39623</v>
      </c>
      <c r="B12267">
        <v>3.7879999999999998</v>
      </c>
      <c r="C12267" t="str">
        <f t="shared" si="196"/>
        <v>2008 q2</v>
      </c>
    </row>
    <row r="12268" spans="1:3">
      <c r="A12268" s="62">
        <v>39624</v>
      </c>
      <c r="B12268">
        <v>3.7761999999999998</v>
      </c>
      <c r="C12268" t="str">
        <f t="shared" si="196"/>
        <v>2008 q2</v>
      </c>
    </row>
    <row r="12269" spans="1:3">
      <c r="A12269" s="62">
        <v>39625</v>
      </c>
      <c r="B12269">
        <v>3.8279999999999998</v>
      </c>
      <c r="C12269" t="str">
        <f t="shared" si="196"/>
        <v>2008 q2</v>
      </c>
    </row>
    <row r="12270" spans="1:3">
      <c r="A12270" s="62">
        <v>39626</v>
      </c>
      <c r="B12270">
        <v>3.8803999999999998</v>
      </c>
      <c r="C12270" t="str">
        <f t="shared" si="196"/>
        <v>2008 q2</v>
      </c>
    </row>
    <row r="12271" spans="1:3">
      <c r="A12271" s="62">
        <v>39629</v>
      </c>
      <c r="B12271">
        <v>3.8851</v>
      </c>
      <c r="C12271" t="str">
        <f t="shared" si="196"/>
        <v>2008 q2</v>
      </c>
    </row>
    <row r="12272" spans="1:3">
      <c r="A12272" s="62">
        <v>39630</v>
      </c>
      <c r="B12272">
        <v>3.9104999999999999</v>
      </c>
      <c r="C12272" t="str">
        <f t="shared" si="196"/>
        <v>2008 q3</v>
      </c>
    </row>
    <row r="12273" spans="1:3">
      <c r="A12273" s="62">
        <v>39631</v>
      </c>
      <c r="B12273">
        <v>4.0635000000000003</v>
      </c>
      <c r="C12273" t="str">
        <f t="shared" si="196"/>
        <v>2008 q3</v>
      </c>
    </row>
    <row r="12274" spans="1:3">
      <c r="A12274" s="62">
        <v>39632</v>
      </c>
      <c r="B12274">
        <v>3.9489999999999998</v>
      </c>
      <c r="C12274" t="str">
        <f t="shared" si="196"/>
        <v>2008 q3</v>
      </c>
    </row>
    <row r="12275" spans="1:3">
      <c r="A12275" s="62">
        <v>39636</v>
      </c>
      <c r="B12275">
        <v>3.8490000000000002</v>
      </c>
      <c r="C12275" t="str">
        <f t="shared" si="196"/>
        <v>2008 q3</v>
      </c>
    </row>
    <row r="12276" spans="1:3">
      <c r="A12276" s="62">
        <v>39637</v>
      </c>
      <c r="B12276">
        <v>3.6964999999999999</v>
      </c>
      <c r="C12276" t="str">
        <f t="shared" si="196"/>
        <v>2008 q3</v>
      </c>
    </row>
    <row r="12277" spans="1:3">
      <c r="A12277" s="62">
        <v>39638</v>
      </c>
      <c r="B12277">
        <v>3.7389999999999999</v>
      </c>
      <c r="C12277" t="str">
        <f t="shared" si="196"/>
        <v>2008 q3</v>
      </c>
    </row>
    <row r="12278" spans="1:3">
      <c r="A12278" s="62">
        <v>39639</v>
      </c>
      <c r="B12278">
        <v>3.7185000000000001</v>
      </c>
      <c r="C12278" t="str">
        <f t="shared" si="196"/>
        <v>2008 q3</v>
      </c>
    </row>
    <row r="12279" spans="1:3">
      <c r="A12279" s="62">
        <v>39640</v>
      </c>
      <c r="B12279">
        <v>3.74</v>
      </c>
      <c r="C12279" t="str">
        <f t="shared" si="196"/>
        <v>2008 q3</v>
      </c>
    </row>
    <row r="12280" spans="1:3">
      <c r="A12280" s="62">
        <v>39644</v>
      </c>
      <c r="B12280">
        <v>3.7</v>
      </c>
      <c r="C12280" t="str">
        <f t="shared" si="196"/>
        <v>2008 q3</v>
      </c>
    </row>
    <row r="12281" spans="1:3">
      <c r="A12281" s="62">
        <v>39645</v>
      </c>
      <c r="B12281">
        <v>3.6505000000000001</v>
      </c>
      <c r="C12281" t="str">
        <f t="shared" si="196"/>
        <v>2008 q3</v>
      </c>
    </row>
    <row r="12282" spans="1:3">
      <c r="A12282" s="62">
        <v>39646</v>
      </c>
      <c r="B12282">
        <v>3.7149999999999999</v>
      </c>
      <c r="C12282" t="str">
        <f t="shared" si="196"/>
        <v>2008 q3</v>
      </c>
    </row>
    <row r="12283" spans="1:3">
      <c r="A12283" s="62">
        <v>39647</v>
      </c>
      <c r="B12283">
        <v>3.669</v>
      </c>
      <c r="C12283" t="str">
        <f t="shared" si="196"/>
        <v>2008 q3</v>
      </c>
    </row>
    <row r="12284" spans="1:3">
      <c r="A12284" s="62">
        <v>39650</v>
      </c>
      <c r="B12284">
        <v>3.681</v>
      </c>
      <c r="C12284" t="str">
        <f t="shared" si="196"/>
        <v>2008 q3</v>
      </c>
    </row>
    <row r="12285" spans="1:3">
      <c r="A12285" s="62">
        <v>39651</v>
      </c>
      <c r="B12285">
        <v>3.6905000000000001</v>
      </c>
      <c r="C12285" t="str">
        <f t="shared" si="196"/>
        <v>2008 q3</v>
      </c>
    </row>
    <row r="12286" spans="1:3">
      <c r="A12286" s="62">
        <v>39652</v>
      </c>
      <c r="B12286">
        <v>3.6575000000000002</v>
      </c>
      <c r="C12286" t="str">
        <f t="shared" si="196"/>
        <v>2008 q3</v>
      </c>
    </row>
    <row r="12287" spans="1:3">
      <c r="A12287" s="62">
        <v>39653</v>
      </c>
      <c r="B12287">
        <v>3.577</v>
      </c>
      <c r="C12287" t="str">
        <f t="shared" si="196"/>
        <v>2008 q3</v>
      </c>
    </row>
    <row r="12288" spans="1:3">
      <c r="A12288" s="62">
        <v>39654</v>
      </c>
      <c r="B12288">
        <v>3.605</v>
      </c>
      <c r="C12288" t="str">
        <f t="shared" si="196"/>
        <v>2008 q3</v>
      </c>
    </row>
    <row r="12289" spans="1:3">
      <c r="A12289" s="62">
        <v>39657</v>
      </c>
      <c r="B12289">
        <v>3.6120000000000001</v>
      </c>
      <c r="C12289" t="str">
        <f t="shared" si="196"/>
        <v>2008 q3</v>
      </c>
    </row>
    <row r="12290" spans="1:3">
      <c r="A12290" s="62">
        <v>39658</v>
      </c>
      <c r="B12290">
        <v>3.5905</v>
      </c>
      <c r="C12290" t="str">
        <f t="shared" si="196"/>
        <v>2008 q3</v>
      </c>
    </row>
    <row r="12291" spans="1:3">
      <c r="A12291" s="62">
        <v>39659</v>
      </c>
      <c r="B12291">
        <v>3.6459999999999999</v>
      </c>
      <c r="C12291" t="str">
        <f t="shared" si="196"/>
        <v>2008 q3</v>
      </c>
    </row>
    <row r="12292" spans="1:3">
      <c r="A12292" s="62">
        <v>39660</v>
      </c>
      <c r="B12292">
        <v>3.6615000000000002</v>
      </c>
      <c r="C12292" t="str">
        <f t="shared" si="196"/>
        <v>2008 q3</v>
      </c>
    </row>
    <row r="12293" spans="1:3">
      <c r="A12293" s="62">
        <v>39661</v>
      </c>
      <c r="B12293">
        <v>3.5785</v>
      </c>
      <c r="C12293" t="str">
        <f t="shared" si="196"/>
        <v>2008 q3</v>
      </c>
    </row>
    <row r="12294" spans="1:3">
      <c r="A12294" s="62">
        <v>39664</v>
      </c>
      <c r="B12294">
        <v>3.44</v>
      </c>
      <c r="C12294" t="str">
        <f t="shared" si="196"/>
        <v>2008 q3</v>
      </c>
    </row>
    <row r="12295" spans="1:3">
      <c r="A12295" s="62">
        <v>39665</v>
      </c>
      <c r="B12295">
        <v>3.4169999999999998</v>
      </c>
      <c r="C12295" t="str">
        <f t="shared" si="196"/>
        <v>2008 q3</v>
      </c>
    </row>
    <row r="12296" spans="1:3">
      <c r="A12296" s="62">
        <v>39666</v>
      </c>
      <c r="B12296">
        <v>3.4235000000000002</v>
      </c>
      <c r="C12296" t="str">
        <f t="shared" si="196"/>
        <v>2008 q3</v>
      </c>
    </row>
    <row r="12297" spans="1:3">
      <c r="A12297" s="62">
        <v>39667</v>
      </c>
      <c r="B12297">
        <v>3.4180000000000001</v>
      </c>
      <c r="C12297" t="str">
        <f t="shared" si="196"/>
        <v>2008 q3</v>
      </c>
    </row>
    <row r="12298" spans="1:3">
      <c r="A12298" s="62">
        <v>39668</v>
      </c>
      <c r="B12298">
        <v>3.3330000000000002</v>
      </c>
      <c r="C12298" t="str">
        <f t="shared" si="196"/>
        <v>2008 q3</v>
      </c>
    </row>
    <row r="12299" spans="1:3">
      <c r="A12299" s="62">
        <v>39671</v>
      </c>
      <c r="B12299">
        <v>3.2915000000000001</v>
      </c>
      <c r="C12299" t="str">
        <f t="shared" si="196"/>
        <v>2008 q3</v>
      </c>
    </row>
    <row r="12300" spans="1:3">
      <c r="A12300" s="62">
        <v>39672</v>
      </c>
      <c r="B12300">
        <v>3.2275</v>
      </c>
      <c r="C12300" t="str">
        <f t="shared" si="196"/>
        <v>2008 q3</v>
      </c>
    </row>
    <row r="12301" spans="1:3">
      <c r="A12301" s="62">
        <v>39673</v>
      </c>
      <c r="B12301">
        <v>3.3519999999999999</v>
      </c>
      <c r="C12301" t="str">
        <f t="shared" si="196"/>
        <v>2008 q3</v>
      </c>
    </row>
    <row r="12302" spans="1:3">
      <c r="A12302" s="62">
        <v>39674</v>
      </c>
      <c r="B12302">
        <v>3.3050000000000002</v>
      </c>
      <c r="C12302" t="str">
        <f t="shared" si="196"/>
        <v>2008 q3</v>
      </c>
    </row>
    <row r="12303" spans="1:3">
      <c r="A12303" s="62">
        <v>39675</v>
      </c>
      <c r="B12303">
        <v>3.3224999999999998</v>
      </c>
      <c r="C12303" t="str">
        <f t="shared" si="196"/>
        <v>2008 q3</v>
      </c>
    </row>
    <row r="12304" spans="1:3">
      <c r="A12304" s="62">
        <v>39678</v>
      </c>
      <c r="B12304">
        <v>3.3149999999999999</v>
      </c>
      <c r="C12304" t="str">
        <f t="shared" si="196"/>
        <v>2008 q3</v>
      </c>
    </row>
    <row r="12305" spans="1:3">
      <c r="A12305" s="62">
        <v>39679</v>
      </c>
      <c r="B12305">
        <v>3.4285000000000001</v>
      </c>
      <c r="C12305" t="str">
        <f t="shared" si="196"/>
        <v>2008 q3</v>
      </c>
    </row>
    <row r="12306" spans="1:3">
      <c r="A12306" s="62">
        <v>39680</v>
      </c>
      <c r="B12306">
        <v>3.3969999999999998</v>
      </c>
      <c r="C12306" t="str">
        <f t="shared" ref="C12306:C12369" si="197">YEAR(A12306)&amp;" q"&amp;ROUNDUP(MONTH(A12306)/3,0)</f>
        <v>2008 q3</v>
      </c>
    </row>
    <row r="12307" spans="1:3">
      <c r="A12307" s="62">
        <v>39681</v>
      </c>
      <c r="B12307">
        <v>3.5459999999999998</v>
      </c>
      <c r="C12307" t="str">
        <f t="shared" si="197"/>
        <v>2008 q3</v>
      </c>
    </row>
    <row r="12308" spans="1:3">
      <c r="A12308" s="62">
        <v>39682</v>
      </c>
      <c r="B12308">
        <v>3.4725000000000001</v>
      </c>
      <c r="C12308" t="str">
        <f t="shared" si="197"/>
        <v>2008 q3</v>
      </c>
    </row>
    <row r="12309" spans="1:3">
      <c r="A12309" s="62">
        <v>39685</v>
      </c>
      <c r="B12309">
        <v>3.4815</v>
      </c>
      <c r="C12309" t="str">
        <f t="shared" si="197"/>
        <v>2008 q3</v>
      </c>
    </row>
    <row r="12310" spans="1:3">
      <c r="A12310" s="62">
        <v>39686</v>
      </c>
      <c r="B12310">
        <v>3.4340999999999999</v>
      </c>
      <c r="C12310" t="str">
        <f t="shared" si="197"/>
        <v>2008 q3</v>
      </c>
    </row>
    <row r="12311" spans="1:3">
      <c r="A12311" s="62">
        <v>39687</v>
      </c>
      <c r="B12311">
        <v>3.4609000000000001</v>
      </c>
      <c r="C12311" t="str">
        <f t="shared" si="197"/>
        <v>2008 q3</v>
      </c>
    </row>
    <row r="12312" spans="1:3">
      <c r="A12312" s="62">
        <v>39688</v>
      </c>
      <c r="B12312">
        <v>3.4110999999999998</v>
      </c>
      <c r="C12312" t="str">
        <f t="shared" si="197"/>
        <v>2008 q3</v>
      </c>
    </row>
    <row r="12313" spans="1:3">
      <c r="A12313" s="62">
        <v>39689</v>
      </c>
      <c r="B12313">
        <v>3.3955000000000002</v>
      </c>
      <c r="C12313" t="str">
        <f t="shared" si="197"/>
        <v>2008 q3</v>
      </c>
    </row>
    <row r="12314" spans="1:3">
      <c r="A12314" s="62">
        <v>39693</v>
      </c>
      <c r="B12314">
        <v>3.2730000000000001</v>
      </c>
      <c r="C12314" t="str">
        <f t="shared" si="197"/>
        <v>2008 q3</v>
      </c>
    </row>
    <row r="12315" spans="1:3">
      <c r="A12315" s="62">
        <v>39694</v>
      </c>
      <c r="B12315">
        <v>3.3119999999999998</v>
      </c>
      <c r="C12315" t="str">
        <f t="shared" si="197"/>
        <v>2008 q3</v>
      </c>
    </row>
    <row r="12316" spans="1:3">
      <c r="A12316" s="62">
        <v>39695</v>
      </c>
      <c r="B12316">
        <v>3.266</v>
      </c>
      <c r="C12316" t="str">
        <f t="shared" si="197"/>
        <v>2008 q3</v>
      </c>
    </row>
    <row r="12317" spans="1:3">
      <c r="A12317" s="62">
        <v>39696</v>
      </c>
      <c r="B12317">
        <v>3.0985</v>
      </c>
      <c r="C12317" t="str">
        <f t="shared" si="197"/>
        <v>2008 q3</v>
      </c>
    </row>
    <row r="12318" spans="1:3">
      <c r="A12318" s="62">
        <v>39699</v>
      </c>
      <c r="B12318">
        <v>3.093</v>
      </c>
      <c r="C12318" t="str">
        <f t="shared" si="197"/>
        <v>2008 q3</v>
      </c>
    </row>
    <row r="12319" spans="1:3">
      <c r="A12319" s="62">
        <v>39700</v>
      </c>
      <c r="B12319">
        <v>3.0870000000000002</v>
      </c>
      <c r="C12319" t="str">
        <f t="shared" si="197"/>
        <v>2008 q3</v>
      </c>
    </row>
    <row r="12320" spans="1:3">
      <c r="A12320" s="62">
        <v>39701</v>
      </c>
      <c r="B12320">
        <v>3.1139999999999999</v>
      </c>
      <c r="C12320" t="str">
        <f t="shared" si="197"/>
        <v>2008 q3</v>
      </c>
    </row>
    <row r="12321" spans="1:3">
      <c r="A12321" s="62">
        <v>39702</v>
      </c>
      <c r="B12321">
        <v>3.1225000000000001</v>
      </c>
      <c r="C12321" t="str">
        <f t="shared" si="197"/>
        <v>2008 q3</v>
      </c>
    </row>
    <row r="12322" spans="1:3">
      <c r="A12322" s="62">
        <v>39703</v>
      </c>
      <c r="B12322">
        <v>3.194</v>
      </c>
      <c r="C12322" t="str">
        <f t="shared" si="197"/>
        <v>2008 q3</v>
      </c>
    </row>
    <row r="12323" spans="1:3">
      <c r="A12323" s="62">
        <v>39706</v>
      </c>
      <c r="B12323">
        <v>3.1364999999999998</v>
      </c>
      <c r="C12323" t="str">
        <f t="shared" si="197"/>
        <v>2008 q3</v>
      </c>
    </row>
    <row r="12324" spans="1:3">
      <c r="A12324" s="62">
        <v>39707</v>
      </c>
      <c r="B12324">
        <v>3.089</v>
      </c>
      <c r="C12324" t="str">
        <f t="shared" si="197"/>
        <v>2008 q3</v>
      </c>
    </row>
    <row r="12325" spans="1:3">
      <c r="A12325" s="62">
        <v>39708</v>
      </c>
      <c r="B12325">
        <v>3.0425</v>
      </c>
      <c r="C12325" t="str">
        <f t="shared" si="197"/>
        <v>2008 q3</v>
      </c>
    </row>
    <row r="12326" spans="1:3">
      <c r="A12326" s="62">
        <v>39709</v>
      </c>
      <c r="B12326">
        <v>3.0659999999999998</v>
      </c>
      <c r="C12326" t="str">
        <f t="shared" si="197"/>
        <v>2008 q3</v>
      </c>
    </row>
    <row r="12327" spans="1:3">
      <c r="A12327" s="62">
        <v>39710</v>
      </c>
      <c r="B12327">
        <v>3.1764999999999999</v>
      </c>
      <c r="C12327" t="str">
        <f t="shared" si="197"/>
        <v>2008 q3</v>
      </c>
    </row>
    <row r="12328" spans="1:3">
      <c r="A12328" s="62">
        <v>39713</v>
      </c>
      <c r="B12328">
        <v>3.2549999999999999</v>
      </c>
      <c r="C12328" t="str">
        <f t="shared" si="197"/>
        <v>2008 q3</v>
      </c>
    </row>
    <row r="12329" spans="1:3">
      <c r="A12329" s="62">
        <v>39714</v>
      </c>
      <c r="B12329">
        <v>3.1520000000000001</v>
      </c>
      <c r="C12329" t="str">
        <f t="shared" si="197"/>
        <v>2008 q3</v>
      </c>
    </row>
    <row r="12330" spans="1:3">
      <c r="A12330" s="62">
        <v>39715</v>
      </c>
      <c r="B12330">
        <v>3.1065</v>
      </c>
      <c r="C12330" t="str">
        <f t="shared" si="197"/>
        <v>2008 q3</v>
      </c>
    </row>
    <row r="12331" spans="1:3">
      <c r="A12331" s="62">
        <v>39716</v>
      </c>
      <c r="B12331">
        <v>3.1345000000000001</v>
      </c>
      <c r="C12331" t="str">
        <f t="shared" si="197"/>
        <v>2008 q3</v>
      </c>
    </row>
    <row r="12332" spans="1:3">
      <c r="A12332" s="62">
        <v>39717</v>
      </c>
      <c r="B12332">
        <v>3.0745</v>
      </c>
      <c r="C12332" t="str">
        <f t="shared" si="197"/>
        <v>2008 q3</v>
      </c>
    </row>
    <row r="12333" spans="1:3">
      <c r="A12333" s="62">
        <v>39720</v>
      </c>
      <c r="B12333">
        <v>2.9064999999999999</v>
      </c>
      <c r="C12333" t="str">
        <f t="shared" si="197"/>
        <v>2008 q3</v>
      </c>
    </row>
    <row r="12334" spans="1:3">
      <c r="A12334" s="62">
        <v>39721</v>
      </c>
      <c r="B12334">
        <v>2.879</v>
      </c>
      <c r="C12334" t="str">
        <f t="shared" si="197"/>
        <v>2008 q3</v>
      </c>
    </row>
    <row r="12335" spans="1:3">
      <c r="A12335" s="62">
        <v>39722</v>
      </c>
      <c r="B12335">
        <v>2.7894999999999999</v>
      </c>
      <c r="C12335" t="str">
        <f t="shared" si="197"/>
        <v>2008 q4</v>
      </c>
    </row>
    <row r="12336" spans="1:3">
      <c r="A12336" s="62">
        <v>39723</v>
      </c>
      <c r="B12336">
        <v>2.6274999999999999</v>
      </c>
      <c r="C12336" t="str">
        <f t="shared" si="197"/>
        <v>2008 q4</v>
      </c>
    </row>
    <row r="12337" spans="1:3">
      <c r="A12337" s="62">
        <v>39724</v>
      </c>
      <c r="B12337">
        <v>2.69</v>
      </c>
      <c r="C12337" t="str">
        <f t="shared" si="197"/>
        <v>2008 q4</v>
      </c>
    </row>
    <row r="12338" spans="1:3">
      <c r="A12338" s="62">
        <v>39727</v>
      </c>
      <c r="B12338">
        <v>2.4929999999999999</v>
      </c>
      <c r="C12338" t="str">
        <f t="shared" si="197"/>
        <v>2008 q4</v>
      </c>
    </row>
    <row r="12339" spans="1:3">
      <c r="A12339" s="62">
        <v>39728</v>
      </c>
      <c r="B12339">
        <v>2.5345</v>
      </c>
      <c r="C12339" t="str">
        <f t="shared" si="197"/>
        <v>2008 q4</v>
      </c>
    </row>
    <row r="12340" spans="1:3">
      <c r="A12340" s="62">
        <v>39729</v>
      </c>
      <c r="B12340">
        <v>2.355</v>
      </c>
      <c r="C12340" t="str">
        <f t="shared" si="197"/>
        <v>2008 q4</v>
      </c>
    </row>
    <row r="12341" spans="1:3">
      <c r="A12341" s="62">
        <v>39730</v>
      </c>
      <c r="B12341">
        <v>2.4060000000000001</v>
      </c>
      <c r="C12341" t="str">
        <f t="shared" si="197"/>
        <v>2008 q4</v>
      </c>
    </row>
    <row r="12342" spans="1:3">
      <c r="A12342" s="62">
        <v>39731</v>
      </c>
      <c r="B12342">
        <v>2.1444999999999999</v>
      </c>
      <c r="C12342" t="str">
        <f t="shared" si="197"/>
        <v>2008 q4</v>
      </c>
    </row>
    <row r="12343" spans="1:3">
      <c r="A12343" s="62">
        <v>39734</v>
      </c>
      <c r="B12343">
        <v>2.3125</v>
      </c>
      <c r="C12343" t="str">
        <f t="shared" si="197"/>
        <v>2008 q4</v>
      </c>
    </row>
    <row r="12344" spans="1:3">
      <c r="A12344" s="62">
        <v>39735</v>
      </c>
      <c r="B12344">
        <v>2.3944999999999999</v>
      </c>
      <c r="C12344" t="str">
        <f t="shared" si="197"/>
        <v>2008 q4</v>
      </c>
    </row>
    <row r="12345" spans="1:3">
      <c r="A12345" s="62">
        <v>39736</v>
      </c>
      <c r="B12345">
        <v>2.2105000000000001</v>
      </c>
      <c r="C12345" t="str">
        <f t="shared" si="197"/>
        <v>2008 q4</v>
      </c>
    </row>
    <row r="12346" spans="1:3">
      <c r="A12346" s="62">
        <v>39737</v>
      </c>
      <c r="B12346">
        <v>2.0855000000000001</v>
      </c>
      <c r="C12346" t="str">
        <f t="shared" si="197"/>
        <v>2008 q4</v>
      </c>
    </row>
    <row r="12347" spans="1:3">
      <c r="A12347" s="62">
        <v>39738</v>
      </c>
      <c r="B12347">
        <v>2.1795</v>
      </c>
      <c r="C12347" t="str">
        <f t="shared" si="197"/>
        <v>2008 q4</v>
      </c>
    </row>
    <row r="12348" spans="1:3">
      <c r="A12348" s="62">
        <v>39741</v>
      </c>
      <c r="B12348">
        <v>2.1164999999999998</v>
      </c>
      <c r="C12348" t="str">
        <f t="shared" si="197"/>
        <v>2008 q4</v>
      </c>
    </row>
    <row r="12349" spans="1:3">
      <c r="A12349" s="62">
        <v>39742</v>
      </c>
      <c r="B12349">
        <v>2.0070000000000001</v>
      </c>
      <c r="C12349" t="str">
        <f t="shared" si="197"/>
        <v>2008 q4</v>
      </c>
    </row>
    <row r="12350" spans="1:3">
      <c r="A12350" s="62">
        <v>39743</v>
      </c>
      <c r="B12350">
        <v>1.8654999999999999</v>
      </c>
      <c r="C12350" t="str">
        <f t="shared" si="197"/>
        <v>2008 q4</v>
      </c>
    </row>
    <row r="12351" spans="1:3">
      <c r="A12351" s="62">
        <v>39744</v>
      </c>
      <c r="B12351">
        <v>1.8045</v>
      </c>
      <c r="C12351" t="str">
        <f t="shared" si="197"/>
        <v>2008 q4</v>
      </c>
    </row>
    <row r="12352" spans="1:3">
      <c r="A12352" s="62">
        <v>39745</v>
      </c>
      <c r="B12352">
        <v>1.6865000000000001</v>
      </c>
      <c r="C12352" t="str">
        <f t="shared" si="197"/>
        <v>2008 q4</v>
      </c>
    </row>
    <row r="12353" spans="1:3">
      <c r="A12353" s="62">
        <v>39748</v>
      </c>
      <c r="B12353">
        <v>1.8049999999999999</v>
      </c>
      <c r="C12353" t="str">
        <f t="shared" si="197"/>
        <v>2008 q4</v>
      </c>
    </row>
    <row r="12354" spans="1:3">
      <c r="A12354" s="62">
        <v>39749</v>
      </c>
      <c r="B12354">
        <v>1.8585</v>
      </c>
      <c r="C12354" t="str">
        <f t="shared" si="197"/>
        <v>2008 q4</v>
      </c>
    </row>
    <row r="12355" spans="1:3">
      <c r="A12355" s="62">
        <v>39751</v>
      </c>
      <c r="B12355">
        <v>1.8905000000000001</v>
      </c>
      <c r="C12355" t="str">
        <f t="shared" si="197"/>
        <v>2008 q4</v>
      </c>
    </row>
    <row r="12356" spans="1:3">
      <c r="A12356" s="62">
        <v>39752</v>
      </c>
      <c r="B12356">
        <v>1.829</v>
      </c>
      <c r="C12356" t="str">
        <f t="shared" si="197"/>
        <v>2008 q4</v>
      </c>
    </row>
    <row r="12357" spans="1:3">
      <c r="A12357" s="62">
        <v>39755</v>
      </c>
      <c r="B12357">
        <v>1.84</v>
      </c>
      <c r="C12357" t="str">
        <f t="shared" si="197"/>
        <v>2008 q4</v>
      </c>
    </row>
    <row r="12358" spans="1:3">
      <c r="A12358" s="62">
        <v>39756</v>
      </c>
      <c r="B12358">
        <v>1.958</v>
      </c>
      <c r="C12358" t="str">
        <f t="shared" si="197"/>
        <v>2008 q4</v>
      </c>
    </row>
    <row r="12359" spans="1:3">
      <c r="A12359" s="62">
        <v>39757</v>
      </c>
      <c r="B12359">
        <v>1.819</v>
      </c>
      <c r="C12359" t="str">
        <f t="shared" si="197"/>
        <v>2008 q4</v>
      </c>
    </row>
    <row r="12360" spans="1:3">
      <c r="A12360" s="62">
        <v>39758</v>
      </c>
      <c r="B12360">
        <v>1.7255</v>
      </c>
      <c r="C12360" t="str">
        <f t="shared" si="197"/>
        <v>2008 q4</v>
      </c>
    </row>
    <row r="12361" spans="1:3">
      <c r="A12361" s="62">
        <v>39759</v>
      </c>
      <c r="B12361">
        <v>1.6970000000000001</v>
      </c>
      <c r="C12361" t="str">
        <f t="shared" si="197"/>
        <v>2008 q4</v>
      </c>
    </row>
    <row r="12362" spans="1:3">
      <c r="A12362" s="62">
        <v>39762</v>
      </c>
      <c r="B12362">
        <v>1.752</v>
      </c>
      <c r="C12362" t="str">
        <f t="shared" si="197"/>
        <v>2008 q4</v>
      </c>
    </row>
    <row r="12363" spans="1:3">
      <c r="A12363" s="62">
        <v>39763</v>
      </c>
      <c r="B12363">
        <v>1.6479999999999999</v>
      </c>
      <c r="C12363" t="str">
        <f t="shared" si="197"/>
        <v>2008 q4</v>
      </c>
    </row>
    <row r="12364" spans="1:3">
      <c r="A12364" s="62">
        <v>39764</v>
      </c>
      <c r="B12364">
        <v>1.6555</v>
      </c>
      <c r="C12364" t="str">
        <f t="shared" si="197"/>
        <v>2008 q4</v>
      </c>
    </row>
    <row r="12365" spans="1:3">
      <c r="A12365" s="62">
        <v>39765</v>
      </c>
      <c r="B12365">
        <v>1.6240000000000001</v>
      </c>
      <c r="C12365" t="str">
        <f t="shared" si="197"/>
        <v>2008 q4</v>
      </c>
    </row>
    <row r="12366" spans="1:3">
      <c r="A12366" s="62">
        <v>39766</v>
      </c>
      <c r="B12366">
        <v>1.708</v>
      </c>
      <c r="C12366" t="str">
        <f t="shared" si="197"/>
        <v>2008 q4</v>
      </c>
    </row>
    <row r="12367" spans="1:3">
      <c r="A12367" s="62">
        <v>39769</v>
      </c>
      <c r="B12367">
        <v>1.6565000000000001</v>
      </c>
      <c r="C12367" t="str">
        <f t="shared" si="197"/>
        <v>2008 q4</v>
      </c>
    </row>
    <row r="12368" spans="1:3">
      <c r="A12368" s="62">
        <v>39770</v>
      </c>
      <c r="B12368">
        <v>1.6619999999999999</v>
      </c>
      <c r="C12368" t="str">
        <f t="shared" si="197"/>
        <v>2008 q4</v>
      </c>
    </row>
    <row r="12369" spans="1:3">
      <c r="A12369" s="62">
        <v>39771</v>
      </c>
      <c r="B12369">
        <v>1.6014999999999999</v>
      </c>
      <c r="C12369" t="str">
        <f t="shared" si="197"/>
        <v>2008 q4</v>
      </c>
    </row>
    <row r="12370" spans="1:3">
      <c r="A12370" s="62">
        <v>39772</v>
      </c>
      <c r="B12370">
        <v>1.5754999999999999</v>
      </c>
      <c r="C12370" t="str">
        <f t="shared" ref="C12370:C12433" si="198">YEAR(A12370)&amp;" q"&amp;ROUNDUP(MONTH(A12370)/3,0)</f>
        <v>2008 q4</v>
      </c>
    </row>
    <row r="12371" spans="1:3">
      <c r="A12371" s="62">
        <v>39773</v>
      </c>
      <c r="B12371">
        <v>1.579</v>
      </c>
      <c r="C12371" t="str">
        <f t="shared" si="198"/>
        <v>2008 q4</v>
      </c>
    </row>
    <row r="12372" spans="1:3">
      <c r="A12372" s="62">
        <v>39776</v>
      </c>
      <c r="B12372">
        <v>1.6733</v>
      </c>
      <c r="C12372" t="str">
        <f t="shared" si="198"/>
        <v>2008 q4</v>
      </c>
    </row>
    <row r="12373" spans="1:3">
      <c r="A12373" s="62">
        <v>39777</v>
      </c>
      <c r="B12373">
        <v>1.653</v>
      </c>
      <c r="C12373" t="str">
        <f t="shared" si="198"/>
        <v>2008 q4</v>
      </c>
    </row>
    <row r="12374" spans="1:3">
      <c r="A12374" s="62">
        <v>39778</v>
      </c>
      <c r="B12374">
        <v>1.6758</v>
      </c>
      <c r="C12374" t="str">
        <f t="shared" si="198"/>
        <v>2008 q4</v>
      </c>
    </row>
    <row r="12375" spans="1:3">
      <c r="A12375" s="62">
        <v>39780</v>
      </c>
      <c r="B12375">
        <v>1.6358999999999999</v>
      </c>
      <c r="C12375" t="str">
        <f t="shared" si="198"/>
        <v>2008 q4</v>
      </c>
    </row>
    <row r="12376" spans="1:3">
      <c r="A12376" s="62">
        <v>39783</v>
      </c>
      <c r="B12376">
        <v>1.6174999999999999</v>
      </c>
      <c r="C12376" t="str">
        <f t="shared" si="198"/>
        <v>2008 q4</v>
      </c>
    </row>
    <row r="12377" spans="1:3">
      <c r="A12377" s="62">
        <v>39784</v>
      </c>
      <c r="B12377">
        <v>1.59</v>
      </c>
      <c r="C12377" t="str">
        <f t="shared" si="198"/>
        <v>2008 q4</v>
      </c>
    </row>
    <row r="12378" spans="1:3">
      <c r="A12378" s="62">
        <v>39785</v>
      </c>
      <c r="B12378">
        <v>1.5455000000000001</v>
      </c>
      <c r="C12378" t="str">
        <f t="shared" si="198"/>
        <v>2008 q4</v>
      </c>
    </row>
    <row r="12379" spans="1:3">
      <c r="A12379" s="62">
        <v>39786</v>
      </c>
      <c r="B12379">
        <v>1.464</v>
      </c>
      <c r="C12379" t="str">
        <f t="shared" si="198"/>
        <v>2008 q4</v>
      </c>
    </row>
    <row r="12380" spans="1:3">
      <c r="A12380" s="62">
        <v>39787</v>
      </c>
      <c r="B12380">
        <v>1.3665</v>
      </c>
      <c r="C12380" t="str">
        <f t="shared" si="198"/>
        <v>2008 q4</v>
      </c>
    </row>
    <row r="12381" spans="1:3">
      <c r="A12381" s="62">
        <v>39790</v>
      </c>
      <c r="B12381">
        <v>1.4884999999999999</v>
      </c>
      <c r="C12381" t="str">
        <f t="shared" si="198"/>
        <v>2008 q4</v>
      </c>
    </row>
    <row r="12382" spans="1:3">
      <c r="A12382" s="62">
        <v>39791</v>
      </c>
      <c r="B12382">
        <v>1.4319999999999999</v>
      </c>
      <c r="C12382" t="str">
        <f t="shared" si="198"/>
        <v>2008 q4</v>
      </c>
    </row>
    <row r="12383" spans="1:3">
      <c r="A12383" s="62">
        <v>39792</v>
      </c>
      <c r="B12383">
        <v>1.4815</v>
      </c>
      <c r="C12383" t="str">
        <f t="shared" si="198"/>
        <v>2008 q4</v>
      </c>
    </row>
    <row r="12384" spans="1:3">
      <c r="A12384" s="62">
        <v>39793</v>
      </c>
      <c r="B12384">
        <v>1.4984999999999999</v>
      </c>
      <c r="C12384" t="str">
        <f t="shared" si="198"/>
        <v>2008 q4</v>
      </c>
    </row>
    <row r="12385" spans="1:3">
      <c r="A12385" s="62">
        <v>39794</v>
      </c>
      <c r="B12385">
        <v>1.4159999999999999</v>
      </c>
      <c r="C12385" t="str">
        <f t="shared" si="198"/>
        <v>2008 q4</v>
      </c>
    </row>
    <row r="12386" spans="1:3">
      <c r="A12386" s="62">
        <v>39797</v>
      </c>
      <c r="B12386">
        <v>1.3945000000000001</v>
      </c>
      <c r="C12386" t="str">
        <f t="shared" si="198"/>
        <v>2008 q4</v>
      </c>
    </row>
    <row r="12387" spans="1:3">
      <c r="A12387" s="62">
        <v>39798</v>
      </c>
      <c r="B12387">
        <v>1.365</v>
      </c>
      <c r="C12387" t="str">
        <f t="shared" si="198"/>
        <v>2008 q4</v>
      </c>
    </row>
    <row r="12388" spans="1:3">
      <c r="A12388" s="62">
        <v>39799</v>
      </c>
      <c r="B12388">
        <v>1.3580000000000001</v>
      </c>
      <c r="C12388" t="str">
        <f t="shared" si="198"/>
        <v>2008 q4</v>
      </c>
    </row>
    <row r="12389" spans="1:3">
      <c r="A12389" s="62">
        <v>39800</v>
      </c>
      <c r="B12389">
        <v>1.2855000000000001</v>
      </c>
      <c r="C12389" t="str">
        <f t="shared" si="198"/>
        <v>2008 q4</v>
      </c>
    </row>
    <row r="12390" spans="1:3">
      <c r="A12390" s="62">
        <v>39801</v>
      </c>
      <c r="B12390">
        <v>1.3149999999999999</v>
      </c>
      <c r="C12390" t="str">
        <f t="shared" si="198"/>
        <v>2008 q4</v>
      </c>
    </row>
    <row r="12391" spans="1:3">
      <c r="A12391" s="62">
        <v>39804</v>
      </c>
      <c r="B12391">
        <v>1.331</v>
      </c>
      <c r="C12391" t="str">
        <f t="shared" si="198"/>
        <v>2008 q4</v>
      </c>
    </row>
    <row r="12392" spans="1:3">
      <c r="A12392" s="62">
        <v>39805</v>
      </c>
      <c r="B12392">
        <v>1.2669999999999999</v>
      </c>
      <c r="C12392" t="str">
        <f t="shared" si="198"/>
        <v>2008 q4</v>
      </c>
    </row>
    <row r="12393" spans="1:3">
      <c r="A12393" s="62">
        <v>39806</v>
      </c>
      <c r="B12393">
        <v>1.2595000000000001</v>
      </c>
      <c r="C12393" t="str">
        <f t="shared" si="198"/>
        <v>2008 q4</v>
      </c>
    </row>
    <row r="12394" spans="1:3">
      <c r="A12394" s="62">
        <v>39808</v>
      </c>
      <c r="B12394">
        <v>1.2907</v>
      </c>
      <c r="C12394" t="str">
        <f t="shared" si="198"/>
        <v>2008 q4</v>
      </c>
    </row>
    <row r="12395" spans="1:3">
      <c r="A12395" s="62">
        <v>39811</v>
      </c>
      <c r="B12395">
        <v>1.304</v>
      </c>
      <c r="C12395" t="str">
        <f t="shared" si="198"/>
        <v>2008 q4</v>
      </c>
    </row>
    <row r="12396" spans="1:3">
      <c r="A12396" s="62">
        <v>39812</v>
      </c>
      <c r="B12396">
        <v>1.3150999999999999</v>
      </c>
      <c r="C12396" t="str">
        <f t="shared" si="198"/>
        <v>2008 q4</v>
      </c>
    </row>
    <row r="12397" spans="1:3">
      <c r="A12397" s="62">
        <v>39813</v>
      </c>
      <c r="B12397">
        <v>1.407</v>
      </c>
      <c r="C12397" t="str">
        <f t="shared" si="198"/>
        <v>2008 q4</v>
      </c>
    </row>
    <row r="12398" spans="1:3">
      <c r="A12398" s="62">
        <v>39815</v>
      </c>
      <c r="B12398">
        <v>1.4610000000000001</v>
      </c>
      <c r="C12398" t="str">
        <f t="shared" si="198"/>
        <v>2009 q1</v>
      </c>
    </row>
    <row r="12399" spans="1:3">
      <c r="A12399" s="62">
        <v>39818</v>
      </c>
      <c r="B12399">
        <v>1.4590000000000001</v>
      </c>
      <c r="C12399" t="str">
        <f t="shared" si="198"/>
        <v>2009 q1</v>
      </c>
    </row>
    <row r="12400" spans="1:3">
      <c r="A12400" s="62">
        <v>39819</v>
      </c>
      <c r="B12400">
        <v>1.583</v>
      </c>
      <c r="C12400" t="str">
        <f t="shared" si="198"/>
        <v>2009 q1</v>
      </c>
    </row>
    <row r="12401" spans="1:3">
      <c r="A12401" s="62">
        <v>39820</v>
      </c>
      <c r="B12401">
        <v>1.5115000000000001</v>
      </c>
      <c r="C12401" t="str">
        <f t="shared" si="198"/>
        <v>2009 q1</v>
      </c>
    </row>
    <row r="12402" spans="1:3">
      <c r="A12402" s="62">
        <v>39821</v>
      </c>
      <c r="B12402">
        <v>1.4790000000000001</v>
      </c>
      <c r="C12402" t="str">
        <f t="shared" si="198"/>
        <v>2009 q1</v>
      </c>
    </row>
    <row r="12403" spans="1:3">
      <c r="A12403" s="62">
        <v>39822</v>
      </c>
      <c r="B12403">
        <v>1.5595000000000001</v>
      </c>
      <c r="C12403" t="str">
        <f t="shared" si="198"/>
        <v>2009 q1</v>
      </c>
    </row>
    <row r="12404" spans="1:3">
      <c r="A12404" s="62">
        <v>39825</v>
      </c>
      <c r="B12404">
        <v>1.4884999999999999</v>
      </c>
      <c r="C12404" t="str">
        <f t="shared" si="198"/>
        <v>2009 q1</v>
      </c>
    </row>
    <row r="12405" spans="1:3">
      <c r="A12405" s="62">
        <v>39826</v>
      </c>
      <c r="B12405">
        <v>1.5469999999999999</v>
      </c>
      <c r="C12405" t="str">
        <f t="shared" si="198"/>
        <v>2009 q1</v>
      </c>
    </row>
    <row r="12406" spans="1:3">
      <c r="A12406" s="62">
        <v>39827</v>
      </c>
      <c r="B12406">
        <v>1.4875</v>
      </c>
      <c r="C12406" t="str">
        <f t="shared" si="198"/>
        <v>2009 q1</v>
      </c>
    </row>
    <row r="12407" spans="1:3">
      <c r="A12407" s="62">
        <v>39828</v>
      </c>
      <c r="B12407">
        <v>1.4535</v>
      </c>
      <c r="C12407" t="str">
        <f t="shared" si="198"/>
        <v>2009 q1</v>
      </c>
    </row>
    <row r="12408" spans="1:3">
      <c r="A12408" s="62">
        <v>39829</v>
      </c>
      <c r="B12408">
        <v>1.5275000000000001</v>
      </c>
      <c r="C12408" t="str">
        <f t="shared" si="198"/>
        <v>2009 q1</v>
      </c>
    </row>
    <row r="12409" spans="1:3">
      <c r="A12409" s="62">
        <v>39833</v>
      </c>
      <c r="B12409">
        <v>1.5044999999999999</v>
      </c>
      <c r="C12409" t="str">
        <f t="shared" si="198"/>
        <v>2009 q1</v>
      </c>
    </row>
    <row r="12410" spans="1:3">
      <c r="A12410" s="62">
        <v>39834</v>
      </c>
      <c r="B12410">
        <v>1.4335</v>
      </c>
      <c r="C12410" t="str">
        <f t="shared" si="198"/>
        <v>2009 q1</v>
      </c>
    </row>
    <row r="12411" spans="1:3">
      <c r="A12411" s="62">
        <v>39835</v>
      </c>
      <c r="B12411">
        <v>1.3959999999999999</v>
      </c>
      <c r="C12411" t="str">
        <f t="shared" si="198"/>
        <v>2009 q1</v>
      </c>
    </row>
    <row r="12412" spans="1:3">
      <c r="A12412" s="62">
        <v>39836</v>
      </c>
      <c r="B12412">
        <v>1.472</v>
      </c>
      <c r="C12412" t="str">
        <f t="shared" si="198"/>
        <v>2009 q1</v>
      </c>
    </row>
    <row r="12413" spans="1:3">
      <c r="A12413" s="62">
        <v>39839</v>
      </c>
      <c r="B12413">
        <v>1.5865</v>
      </c>
      <c r="C12413" t="str">
        <f t="shared" si="198"/>
        <v>2009 q1</v>
      </c>
    </row>
    <row r="12414" spans="1:3">
      <c r="A12414" s="62">
        <v>39840</v>
      </c>
      <c r="B12414">
        <v>1.4844999999999999</v>
      </c>
      <c r="C12414" t="str">
        <f t="shared" si="198"/>
        <v>2009 q1</v>
      </c>
    </row>
    <row r="12415" spans="1:3">
      <c r="A12415" s="62">
        <v>39841</v>
      </c>
      <c r="B12415">
        <v>1.496</v>
      </c>
      <c r="C12415" t="str">
        <f t="shared" si="198"/>
        <v>2009 q1</v>
      </c>
    </row>
    <row r="12416" spans="1:3">
      <c r="A12416" s="62">
        <v>39842</v>
      </c>
      <c r="B12416">
        <v>1.4575</v>
      </c>
      <c r="C12416" t="str">
        <f t="shared" si="198"/>
        <v>2009 q1</v>
      </c>
    </row>
    <row r="12417" spans="1:3">
      <c r="A12417" s="62">
        <v>39843</v>
      </c>
      <c r="B12417">
        <v>1.4684999999999999</v>
      </c>
      <c r="C12417" t="str">
        <f t="shared" si="198"/>
        <v>2009 q1</v>
      </c>
    </row>
    <row r="12418" spans="1:3">
      <c r="A12418" s="62">
        <v>39846</v>
      </c>
      <c r="B12418">
        <v>1.431</v>
      </c>
      <c r="C12418" t="str">
        <f t="shared" si="198"/>
        <v>2009 q1</v>
      </c>
    </row>
    <row r="12419" spans="1:3">
      <c r="A12419" s="62">
        <v>39847</v>
      </c>
      <c r="B12419">
        <v>1.522</v>
      </c>
      <c r="C12419" t="str">
        <f t="shared" si="198"/>
        <v>2009 q1</v>
      </c>
    </row>
    <row r="12420" spans="1:3">
      <c r="A12420" s="62">
        <v>39848</v>
      </c>
      <c r="B12420">
        <v>1.5309999999999999</v>
      </c>
      <c r="C12420" t="str">
        <f t="shared" si="198"/>
        <v>2009 q1</v>
      </c>
    </row>
    <row r="12421" spans="1:3">
      <c r="A12421" s="62">
        <v>39849</v>
      </c>
      <c r="B12421">
        <v>1.5</v>
      </c>
      <c r="C12421" t="str">
        <f t="shared" si="198"/>
        <v>2009 q1</v>
      </c>
    </row>
    <row r="12422" spans="1:3">
      <c r="A12422" s="62">
        <v>39850</v>
      </c>
      <c r="B12422">
        <v>1.6285000000000001</v>
      </c>
      <c r="C12422" t="str">
        <f t="shared" si="198"/>
        <v>2009 q1</v>
      </c>
    </row>
    <row r="12423" spans="1:3">
      <c r="A12423" s="62">
        <v>39853</v>
      </c>
      <c r="B12423">
        <v>1.613</v>
      </c>
      <c r="C12423" t="str">
        <f t="shared" si="198"/>
        <v>2009 q1</v>
      </c>
    </row>
    <row r="12424" spans="1:3">
      <c r="A12424" s="62">
        <v>39854</v>
      </c>
      <c r="B12424">
        <v>1.5760000000000001</v>
      </c>
      <c r="C12424" t="str">
        <f t="shared" si="198"/>
        <v>2009 q1</v>
      </c>
    </row>
    <row r="12425" spans="1:3">
      <c r="A12425" s="62">
        <v>39855</v>
      </c>
      <c r="B12425">
        <v>1.54</v>
      </c>
      <c r="C12425" t="str">
        <f t="shared" si="198"/>
        <v>2009 q1</v>
      </c>
    </row>
    <row r="12426" spans="1:3">
      <c r="A12426" s="62">
        <v>39856</v>
      </c>
      <c r="B12426">
        <v>1.5345</v>
      </c>
      <c r="C12426" t="str">
        <f t="shared" si="198"/>
        <v>2009 q1</v>
      </c>
    </row>
    <row r="12427" spans="1:3">
      <c r="A12427" s="62">
        <v>39857</v>
      </c>
      <c r="B12427">
        <v>1.5385</v>
      </c>
      <c r="C12427" t="str">
        <f t="shared" si="198"/>
        <v>2009 q1</v>
      </c>
    </row>
    <row r="12428" spans="1:3">
      <c r="A12428" s="62">
        <v>39861</v>
      </c>
      <c r="B12428">
        <v>1.423</v>
      </c>
      <c r="C12428" t="str">
        <f t="shared" si="198"/>
        <v>2009 q1</v>
      </c>
    </row>
    <row r="12429" spans="1:3">
      <c r="A12429" s="62">
        <v>39862</v>
      </c>
      <c r="B12429">
        <v>1.4359999999999999</v>
      </c>
      <c r="C12429" t="str">
        <f t="shared" si="198"/>
        <v>2009 q1</v>
      </c>
    </row>
    <row r="12430" spans="1:3">
      <c r="A12430" s="62">
        <v>39863</v>
      </c>
      <c r="B12430">
        <v>1.4710000000000001</v>
      </c>
      <c r="C12430" t="str">
        <f t="shared" si="198"/>
        <v>2009 q1</v>
      </c>
    </row>
    <row r="12431" spans="1:3">
      <c r="A12431" s="62">
        <v>39864</v>
      </c>
      <c r="B12431">
        <v>1.4159999999999999</v>
      </c>
      <c r="C12431" t="str">
        <f t="shared" si="198"/>
        <v>2009 q1</v>
      </c>
    </row>
    <row r="12432" spans="1:3">
      <c r="A12432" s="62">
        <v>39867</v>
      </c>
      <c r="B12432">
        <v>1.4398</v>
      </c>
      <c r="C12432" t="str">
        <f t="shared" si="198"/>
        <v>2009 q1</v>
      </c>
    </row>
    <row r="12433" spans="1:3">
      <c r="A12433" s="62">
        <v>39868</v>
      </c>
      <c r="B12433">
        <v>1.4922</v>
      </c>
      <c r="C12433" t="str">
        <f t="shared" si="198"/>
        <v>2009 q1</v>
      </c>
    </row>
    <row r="12434" spans="1:3">
      <c r="A12434" s="62">
        <v>39870</v>
      </c>
      <c r="B12434">
        <v>1.5733999999999999</v>
      </c>
      <c r="C12434" t="str">
        <f t="shared" ref="C12434:C12497" si="199">YEAR(A12434)&amp;" q"&amp;ROUNDUP(MONTH(A12434)/3,0)</f>
        <v>2009 q1</v>
      </c>
    </row>
    <row r="12435" spans="1:3">
      <c r="A12435" s="62">
        <v>39871</v>
      </c>
      <c r="B12435">
        <v>1.536</v>
      </c>
      <c r="C12435" t="str">
        <f t="shared" si="199"/>
        <v>2009 q1</v>
      </c>
    </row>
    <row r="12436" spans="1:3">
      <c r="A12436" s="62">
        <v>39874</v>
      </c>
      <c r="B12436">
        <v>1.516</v>
      </c>
      <c r="C12436" t="str">
        <f t="shared" si="199"/>
        <v>2009 q1</v>
      </c>
    </row>
    <row r="12437" spans="1:3">
      <c r="A12437" s="62">
        <v>39875</v>
      </c>
      <c r="B12437">
        <v>1.6045</v>
      </c>
      <c r="C12437" t="str">
        <f t="shared" si="199"/>
        <v>2009 q1</v>
      </c>
    </row>
    <row r="12438" spans="1:3">
      <c r="A12438" s="62">
        <v>39876</v>
      </c>
      <c r="B12438">
        <v>1.694</v>
      </c>
      <c r="C12438" t="str">
        <f t="shared" si="199"/>
        <v>2009 q1</v>
      </c>
    </row>
    <row r="12439" spans="1:3">
      <c r="A12439" s="62">
        <v>39877</v>
      </c>
      <c r="B12439">
        <v>1.6535</v>
      </c>
      <c r="C12439" t="str">
        <f t="shared" si="199"/>
        <v>2009 q1</v>
      </c>
    </row>
    <row r="12440" spans="1:3">
      <c r="A12440" s="62">
        <v>39878</v>
      </c>
      <c r="B12440">
        <v>1.6890000000000001</v>
      </c>
      <c r="C12440" t="str">
        <f t="shared" si="199"/>
        <v>2009 q1</v>
      </c>
    </row>
    <row r="12441" spans="1:3">
      <c r="A12441" s="62">
        <v>39881</v>
      </c>
      <c r="B12441">
        <v>1.6395</v>
      </c>
      <c r="C12441" t="str">
        <f t="shared" si="199"/>
        <v>2009 q1</v>
      </c>
    </row>
    <row r="12442" spans="1:3">
      <c r="A12442" s="62">
        <v>39882</v>
      </c>
      <c r="B12442">
        <v>1.6845000000000001</v>
      </c>
      <c r="C12442" t="str">
        <f t="shared" si="199"/>
        <v>2009 q1</v>
      </c>
    </row>
    <row r="12443" spans="1:3">
      <c r="A12443" s="62">
        <v>39883</v>
      </c>
      <c r="B12443">
        <v>1.6254999999999999</v>
      </c>
      <c r="C12443" t="str">
        <f t="shared" si="199"/>
        <v>2009 q1</v>
      </c>
    </row>
    <row r="12444" spans="1:3">
      <c r="A12444" s="62">
        <v>39884</v>
      </c>
      <c r="B12444">
        <v>1.6245000000000001</v>
      </c>
      <c r="C12444" t="str">
        <f t="shared" si="199"/>
        <v>2009 q1</v>
      </c>
    </row>
    <row r="12445" spans="1:3">
      <c r="A12445" s="62">
        <v>39885</v>
      </c>
      <c r="B12445">
        <v>1.6645000000000001</v>
      </c>
      <c r="C12445" t="str">
        <f t="shared" si="199"/>
        <v>2009 q1</v>
      </c>
    </row>
    <row r="12446" spans="1:3">
      <c r="A12446" s="62">
        <v>39888</v>
      </c>
      <c r="B12446">
        <v>1.7470000000000001</v>
      </c>
      <c r="C12446" t="str">
        <f t="shared" si="199"/>
        <v>2009 q1</v>
      </c>
    </row>
    <row r="12447" spans="1:3">
      <c r="A12447" s="62">
        <v>39889</v>
      </c>
      <c r="B12447">
        <v>1.724</v>
      </c>
      <c r="C12447" t="str">
        <f t="shared" si="199"/>
        <v>2009 q1</v>
      </c>
    </row>
    <row r="12448" spans="1:3">
      <c r="A12448" s="62">
        <v>39890</v>
      </c>
      <c r="B12448">
        <v>1.7164999999999999</v>
      </c>
      <c r="C12448" t="str">
        <f t="shared" si="199"/>
        <v>2009 q1</v>
      </c>
    </row>
    <row r="12449" spans="1:3">
      <c r="A12449" s="62">
        <v>39891</v>
      </c>
      <c r="B12449">
        <v>1.8075000000000001</v>
      </c>
      <c r="C12449" t="str">
        <f t="shared" si="199"/>
        <v>2009 q1</v>
      </c>
    </row>
    <row r="12450" spans="1:3">
      <c r="A12450" s="62">
        <v>39892</v>
      </c>
      <c r="B12450">
        <v>1.796</v>
      </c>
      <c r="C12450" t="str">
        <f t="shared" si="199"/>
        <v>2009 q1</v>
      </c>
    </row>
    <row r="12451" spans="1:3">
      <c r="A12451" s="62">
        <v>39895</v>
      </c>
      <c r="B12451">
        <v>1.841</v>
      </c>
      <c r="C12451" t="str">
        <f t="shared" si="199"/>
        <v>2009 q1</v>
      </c>
    </row>
    <row r="12452" spans="1:3">
      <c r="A12452" s="62">
        <v>39896</v>
      </c>
      <c r="B12452">
        <v>1.806</v>
      </c>
      <c r="C12452" t="str">
        <f t="shared" si="199"/>
        <v>2009 q1</v>
      </c>
    </row>
    <row r="12453" spans="1:3">
      <c r="A12453" s="62">
        <v>39897</v>
      </c>
      <c r="B12453">
        <v>1.8029999999999999</v>
      </c>
      <c r="C12453" t="str">
        <f t="shared" si="199"/>
        <v>2009 q1</v>
      </c>
    </row>
    <row r="12454" spans="1:3">
      <c r="A12454" s="62">
        <v>39898</v>
      </c>
      <c r="B12454">
        <v>1.855</v>
      </c>
      <c r="C12454" t="str">
        <f t="shared" si="199"/>
        <v>2009 q1</v>
      </c>
    </row>
    <row r="12455" spans="1:3">
      <c r="A12455" s="62">
        <v>39899</v>
      </c>
      <c r="B12455">
        <v>1.8360000000000001</v>
      </c>
      <c r="C12455" t="str">
        <f t="shared" si="199"/>
        <v>2009 q1</v>
      </c>
    </row>
    <row r="12456" spans="1:3">
      <c r="A12456" s="62">
        <v>39902</v>
      </c>
      <c r="B12456">
        <v>1.766</v>
      </c>
      <c r="C12456" t="str">
        <f t="shared" si="199"/>
        <v>2009 q1</v>
      </c>
    </row>
    <row r="12457" spans="1:3">
      <c r="A12457" s="62">
        <v>39903</v>
      </c>
      <c r="B12457">
        <v>1.8445</v>
      </c>
      <c r="C12457" t="str">
        <f t="shared" si="199"/>
        <v>2009 q1</v>
      </c>
    </row>
    <row r="12458" spans="1:3">
      <c r="A12458" s="62">
        <v>39904</v>
      </c>
      <c r="B12458">
        <v>1.849</v>
      </c>
      <c r="C12458" t="str">
        <f t="shared" si="199"/>
        <v>2009 q2</v>
      </c>
    </row>
    <row r="12459" spans="1:3">
      <c r="A12459" s="62">
        <v>39905</v>
      </c>
      <c r="B12459">
        <v>1.89</v>
      </c>
      <c r="C12459" t="str">
        <f t="shared" si="199"/>
        <v>2009 q2</v>
      </c>
    </row>
    <row r="12460" spans="1:3">
      <c r="A12460" s="62">
        <v>39906</v>
      </c>
      <c r="B12460">
        <v>2.0005000000000002</v>
      </c>
      <c r="C12460" t="str">
        <f t="shared" si="199"/>
        <v>2009 q2</v>
      </c>
    </row>
    <row r="12461" spans="1:3">
      <c r="A12461" s="62">
        <v>39909</v>
      </c>
      <c r="B12461">
        <v>1.9590000000000001</v>
      </c>
      <c r="C12461" t="str">
        <f t="shared" si="199"/>
        <v>2009 q2</v>
      </c>
    </row>
    <row r="12462" spans="1:3">
      <c r="A12462" s="62">
        <v>39910</v>
      </c>
      <c r="B12462">
        <v>1.99</v>
      </c>
      <c r="C12462" t="str">
        <f t="shared" si="199"/>
        <v>2009 q2</v>
      </c>
    </row>
    <row r="12463" spans="1:3">
      <c r="A12463" s="62">
        <v>39911</v>
      </c>
      <c r="B12463">
        <v>1.9984999999999999</v>
      </c>
      <c r="C12463" t="str">
        <f t="shared" si="199"/>
        <v>2009 q2</v>
      </c>
    </row>
    <row r="12464" spans="1:3">
      <c r="A12464" s="62">
        <v>39912</v>
      </c>
      <c r="B12464">
        <v>2.0710000000000002</v>
      </c>
      <c r="C12464" t="str">
        <f t="shared" si="199"/>
        <v>2009 q2</v>
      </c>
    </row>
    <row r="12465" spans="1:3">
      <c r="A12465" s="62">
        <v>39916</v>
      </c>
      <c r="B12465">
        <v>2.1255000000000002</v>
      </c>
      <c r="C12465" t="str">
        <f t="shared" si="199"/>
        <v>2009 q2</v>
      </c>
    </row>
    <row r="12466" spans="1:3">
      <c r="A12466" s="62">
        <v>39917</v>
      </c>
      <c r="B12466">
        <v>2.1150000000000002</v>
      </c>
      <c r="C12466" t="str">
        <f t="shared" si="199"/>
        <v>2009 q2</v>
      </c>
    </row>
    <row r="12467" spans="1:3">
      <c r="A12467" s="62">
        <v>39918</v>
      </c>
      <c r="B12467">
        <v>2.1989999999999998</v>
      </c>
      <c r="C12467" t="str">
        <f t="shared" si="199"/>
        <v>2009 q2</v>
      </c>
    </row>
    <row r="12468" spans="1:3">
      <c r="A12468" s="62">
        <v>39919</v>
      </c>
      <c r="B12468">
        <v>2.1695000000000002</v>
      </c>
      <c r="C12468" t="str">
        <f t="shared" si="199"/>
        <v>2009 q2</v>
      </c>
    </row>
    <row r="12469" spans="1:3">
      <c r="A12469" s="62">
        <v>39920</v>
      </c>
      <c r="B12469">
        <v>2.194</v>
      </c>
      <c r="C12469" t="str">
        <f t="shared" si="199"/>
        <v>2009 q2</v>
      </c>
    </row>
    <row r="12470" spans="1:3">
      <c r="A12470" s="62">
        <v>39923</v>
      </c>
      <c r="B12470">
        <v>2.1034999999999999</v>
      </c>
      <c r="C12470" t="str">
        <f t="shared" si="199"/>
        <v>2009 q2</v>
      </c>
    </row>
    <row r="12471" spans="1:3">
      <c r="A12471" s="62">
        <v>39924</v>
      </c>
      <c r="B12471">
        <v>2.0870000000000002</v>
      </c>
      <c r="C12471" t="str">
        <f t="shared" si="199"/>
        <v>2009 q2</v>
      </c>
    </row>
    <row r="12472" spans="1:3">
      <c r="A12472" s="62">
        <v>39925</v>
      </c>
      <c r="B12472">
        <v>2.0594999999999999</v>
      </c>
      <c r="C12472" t="str">
        <f t="shared" si="199"/>
        <v>2009 q2</v>
      </c>
    </row>
    <row r="12473" spans="1:3">
      <c r="A12473" s="62">
        <v>39926</v>
      </c>
      <c r="B12473">
        <v>1.992</v>
      </c>
      <c r="C12473" t="str">
        <f t="shared" si="199"/>
        <v>2009 q2</v>
      </c>
    </row>
    <row r="12474" spans="1:3">
      <c r="A12474" s="62">
        <v>39927</v>
      </c>
      <c r="B12474">
        <v>2.0505</v>
      </c>
      <c r="C12474" t="str">
        <f t="shared" si="199"/>
        <v>2009 q2</v>
      </c>
    </row>
    <row r="12475" spans="1:3">
      <c r="A12475" s="62">
        <v>39930</v>
      </c>
      <c r="B12475">
        <v>1.9863</v>
      </c>
      <c r="C12475" t="str">
        <f t="shared" si="199"/>
        <v>2009 q2</v>
      </c>
    </row>
    <row r="12476" spans="1:3">
      <c r="A12476" s="62">
        <v>39931</v>
      </c>
      <c r="B12476">
        <v>1.9161999999999999</v>
      </c>
      <c r="C12476" t="str">
        <f t="shared" si="199"/>
        <v>2009 q2</v>
      </c>
    </row>
    <row r="12477" spans="1:3">
      <c r="A12477" s="62">
        <v>39932</v>
      </c>
      <c r="B12477">
        <v>2.0070000000000001</v>
      </c>
      <c r="C12477" t="str">
        <f t="shared" si="199"/>
        <v>2009 q2</v>
      </c>
    </row>
    <row r="12478" spans="1:3">
      <c r="A12478" s="62">
        <v>39933</v>
      </c>
      <c r="B12478">
        <v>2.0486</v>
      </c>
      <c r="C12478" t="str">
        <f t="shared" si="199"/>
        <v>2009 q2</v>
      </c>
    </row>
    <row r="12479" spans="1:3">
      <c r="A12479" s="62">
        <v>39934</v>
      </c>
      <c r="B12479">
        <v>2.101</v>
      </c>
      <c r="C12479" t="str">
        <f t="shared" si="199"/>
        <v>2009 q2</v>
      </c>
    </row>
    <row r="12480" spans="1:3">
      <c r="A12480" s="62">
        <v>39937</v>
      </c>
      <c r="B12480">
        <v>2.1440000000000001</v>
      </c>
      <c r="C12480" t="str">
        <f t="shared" si="199"/>
        <v>2009 q2</v>
      </c>
    </row>
    <row r="12481" spans="1:3">
      <c r="A12481" s="62">
        <v>39938</v>
      </c>
      <c r="B12481">
        <v>2.0825</v>
      </c>
      <c r="C12481" t="str">
        <f t="shared" si="199"/>
        <v>2009 q2</v>
      </c>
    </row>
    <row r="12482" spans="1:3">
      <c r="A12482" s="62">
        <v>39939</v>
      </c>
      <c r="B12482">
        <v>2.1869999999999998</v>
      </c>
      <c r="C12482" t="str">
        <f t="shared" si="199"/>
        <v>2009 q2</v>
      </c>
    </row>
    <row r="12483" spans="1:3">
      <c r="A12483" s="62">
        <v>39940</v>
      </c>
      <c r="B12483">
        <v>2.1644999999999999</v>
      </c>
      <c r="C12483" t="str">
        <f t="shared" si="199"/>
        <v>2009 q2</v>
      </c>
    </row>
    <row r="12484" spans="1:3">
      <c r="A12484" s="62">
        <v>39941</v>
      </c>
      <c r="B12484">
        <v>2.1455000000000002</v>
      </c>
      <c r="C12484" t="str">
        <f t="shared" si="199"/>
        <v>2009 q2</v>
      </c>
    </row>
    <row r="12485" spans="1:3">
      <c r="A12485" s="62">
        <v>39944</v>
      </c>
      <c r="B12485">
        <v>2.0884999999999998</v>
      </c>
      <c r="C12485" t="str">
        <f t="shared" si="199"/>
        <v>2009 q2</v>
      </c>
    </row>
    <row r="12486" spans="1:3">
      <c r="A12486" s="62">
        <v>39945</v>
      </c>
      <c r="B12486">
        <v>2.0859999999999999</v>
      </c>
      <c r="C12486" t="str">
        <f t="shared" si="199"/>
        <v>2009 q2</v>
      </c>
    </row>
    <row r="12487" spans="1:3">
      <c r="A12487" s="62">
        <v>39946</v>
      </c>
      <c r="B12487">
        <v>2.0310000000000001</v>
      </c>
      <c r="C12487" t="str">
        <f t="shared" si="199"/>
        <v>2009 q2</v>
      </c>
    </row>
    <row r="12488" spans="1:3">
      <c r="A12488" s="62">
        <v>39947</v>
      </c>
      <c r="B12488">
        <v>2.0270000000000001</v>
      </c>
      <c r="C12488" t="str">
        <f t="shared" si="199"/>
        <v>2009 q2</v>
      </c>
    </row>
    <row r="12489" spans="1:3">
      <c r="A12489" s="62">
        <v>39948</v>
      </c>
      <c r="B12489">
        <v>2.0175000000000001</v>
      </c>
      <c r="C12489" t="str">
        <f t="shared" si="199"/>
        <v>2009 q2</v>
      </c>
    </row>
    <row r="12490" spans="1:3">
      <c r="A12490" s="62">
        <v>39951</v>
      </c>
      <c r="B12490">
        <v>2.0720000000000001</v>
      </c>
      <c r="C12490" t="str">
        <f t="shared" si="199"/>
        <v>2009 q2</v>
      </c>
    </row>
    <row r="12491" spans="1:3">
      <c r="A12491" s="62">
        <v>39952</v>
      </c>
      <c r="B12491">
        <v>2.0695000000000001</v>
      </c>
      <c r="C12491" t="str">
        <f t="shared" si="199"/>
        <v>2009 q2</v>
      </c>
    </row>
    <row r="12492" spans="1:3">
      <c r="A12492" s="62">
        <v>39953</v>
      </c>
      <c r="B12492">
        <v>2.1065</v>
      </c>
      <c r="C12492" t="str">
        <f t="shared" si="199"/>
        <v>2009 q2</v>
      </c>
    </row>
    <row r="12493" spans="1:3">
      <c r="A12493" s="62">
        <v>39954</v>
      </c>
      <c r="B12493">
        <v>2.0510000000000002</v>
      </c>
      <c r="C12493" t="str">
        <f t="shared" si="199"/>
        <v>2009 q2</v>
      </c>
    </row>
    <row r="12494" spans="1:3">
      <c r="A12494" s="62">
        <v>39955</v>
      </c>
      <c r="B12494">
        <v>2.0975000000000001</v>
      </c>
      <c r="C12494" t="str">
        <f t="shared" si="199"/>
        <v>2009 q2</v>
      </c>
    </row>
    <row r="12495" spans="1:3">
      <c r="A12495" s="62">
        <v>39959</v>
      </c>
      <c r="B12495">
        <v>2.141</v>
      </c>
      <c r="C12495" t="str">
        <f t="shared" si="199"/>
        <v>2009 q2</v>
      </c>
    </row>
    <row r="12496" spans="1:3">
      <c r="A12496" s="62">
        <v>39960</v>
      </c>
      <c r="B12496">
        <v>2.121</v>
      </c>
      <c r="C12496" t="str">
        <f t="shared" si="199"/>
        <v>2009 q2</v>
      </c>
    </row>
    <row r="12497" spans="1:3">
      <c r="A12497" s="62">
        <v>39961</v>
      </c>
      <c r="B12497">
        <v>2.137</v>
      </c>
      <c r="C12497" t="str">
        <f t="shared" si="199"/>
        <v>2009 q2</v>
      </c>
    </row>
    <row r="12498" spans="1:3">
      <c r="A12498" s="62">
        <v>39962</v>
      </c>
      <c r="B12498">
        <v>2.1974999999999998</v>
      </c>
      <c r="C12498" t="str">
        <f t="shared" ref="C12498:C12561" si="200">YEAR(A12498)&amp;" q"&amp;ROUNDUP(MONTH(A12498)/3,0)</f>
        <v>2009 q2</v>
      </c>
    </row>
    <row r="12499" spans="1:3">
      <c r="A12499" s="62">
        <v>39965</v>
      </c>
      <c r="B12499">
        <v>2.319</v>
      </c>
      <c r="C12499" t="str">
        <f t="shared" si="200"/>
        <v>2009 q2</v>
      </c>
    </row>
    <row r="12500" spans="1:3">
      <c r="A12500" s="62">
        <v>39966</v>
      </c>
      <c r="B12500">
        <v>2.2974999999999999</v>
      </c>
      <c r="C12500" t="str">
        <f t="shared" si="200"/>
        <v>2009 q2</v>
      </c>
    </row>
    <row r="12501" spans="1:3">
      <c r="A12501" s="62">
        <v>39967</v>
      </c>
      <c r="B12501">
        <v>2.2120000000000002</v>
      </c>
      <c r="C12501" t="str">
        <f t="shared" si="200"/>
        <v>2009 q2</v>
      </c>
    </row>
    <row r="12502" spans="1:3">
      <c r="A12502" s="62">
        <v>39968</v>
      </c>
      <c r="B12502">
        <v>2.3010000000000002</v>
      </c>
      <c r="C12502" t="str">
        <f t="shared" si="200"/>
        <v>2009 q2</v>
      </c>
    </row>
    <row r="12503" spans="1:3">
      <c r="A12503" s="62">
        <v>39969</v>
      </c>
      <c r="B12503">
        <v>2.2839999999999998</v>
      </c>
      <c r="C12503" t="str">
        <f t="shared" si="200"/>
        <v>2009 q2</v>
      </c>
    </row>
    <row r="12504" spans="1:3">
      <c r="A12504" s="62">
        <v>39972</v>
      </c>
      <c r="B12504">
        <v>2.2530000000000001</v>
      </c>
      <c r="C12504" t="str">
        <f t="shared" si="200"/>
        <v>2009 q2</v>
      </c>
    </row>
    <row r="12505" spans="1:3">
      <c r="A12505" s="62">
        <v>39973</v>
      </c>
      <c r="B12505">
        <v>2.3654999999999999</v>
      </c>
      <c r="C12505" t="str">
        <f t="shared" si="200"/>
        <v>2009 q2</v>
      </c>
    </row>
    <row r="12506" spans="1:3">
      <c r="A12506" s="62">
        <v>39974</v>
      </c>
      <c r="B12506">
        <v>2.367</v>
      </c>
      <c r="C12506" t="str">
        <f t="shared" si="200"/>
        <v>2009 q2</v>
      </c>
    </row>
    <row r="12507" spans="1:3">
      <c r="A12507" s="62">
        <v>39975</v>
      </c>
      <c r="B12507">
        <v>2.4449999999999998</v>
      </c>
      <c r="C12507" t="str">
        <f t="shared" si="200"/>
        <v>2009 q2</v>
      </c>
    </row>
    <row r="12508" spans="1:3">
      <c r="A12508" s="62">
        <v>39976</v>
      </c>
      <c r="B12508">
        <v>2.3734999999999999</v>
      </c>
      <c r="C12508" t="str">
        <f t="shared" si="200"/>
        <v>2009 q2</v>
      </c>
    </row>
    <row r="12509" spans="1:3">
      <c r="A12509" s="62">
        <v>39979</v>
      </c>
      <c r="B12509">
        <v>2.2850000000000001</v>
      </c>
      <c r="C12509" t="str">
        <f t="shared" si="200"/>
        <v>2009 q2</v>
      </c>
    </row>
    <row r="12510" spans="1:3">
      <c r="A12510" s="62">
        <v>39980</v>
      </c>
      <c r="B12510">
        <v>2.2555000000000001</v>
      </c>
      <c r="C12510" t="str">
        <f t="shared" si="200"/>
        <v>2009 q2</v>
      </c>
    </row>
    <row r="12511" spans="1:3">
      <c r="A12511" s="62">
        <v>39981</v>
      </c>
      <c r="B12511">
        <v>2.2595000000000001</v>
      </c>
      <c r="C12511" t="str">
        <f t="shared" si="200"/>
        <v>2009 q2</v>
      </c>
    </row>
    <row r="12512" spans="1:3">
      <c r="A12512" s="62">
        <v>39982</v>
      </c>
      <c r="B12512">
        <v>2.2719999999999998</v>
      </c>
      <c r="C12512" t="str">
        <f t="shared" si="200"/>
        <v>2009 q2</v>
      </c>
    </row>
    <row r="12513" spans="1:3">
      <c r="A12513" s="62">
        <v>39983</v>
      </c>
      <c r="B12513">
        <v>2.2505000000000002</v>
      </c>
      <c r="C12513" t="str">
        <f t="shared" si="200"/>
        <v>2009 q2</v>
      </c>
    </row>
    <row r="12514" spans="1:3">
      <c r="A12514" s="62">
        <v>39986</v>
      </c>
      <c r="B12514">
        <v>2.1320000000000001</v>
      </c>
      <c r="C12514" t="str">
        <f t="shared" si="200"/>
        <v>2009 q2</v>
      </c>
    </row>
    <row r="12515" spans="1:3">
      <c r="A12515" s="62">
        <v>39987</v>
      </c>
      <c r="B12515">
        <v>2.1985000000000001</v>
      </c>
      <c r="C12515" t="str">
        <f t="shared" si="200"/>
        <v>2009 q2</v>
      </c>
    </row>
    <row r="12516" spans="1:3">
      <c r="A12516" s="62">
        <v>39988</v>
      </c>
      <c r="B12516">
        <v>2.2675000000000001</v>
      </c>
      <c r="C12516" t="str">
        <f t="shared" si="200"/>
        <v>2009 q2</v>
      </c>
    </row>
    <row r="12517" spans="1:3">
      <c r="A12517" s="62">
        <v>39989</v>
      </c>
      <c r="B12517">
        <v>2.3043999999999998</v>
      </c>
      <c r="C12517" t="str">
        <f t="shared" si="200"/>
        <v>2009 q2</v>
      </c>
    </row>
    <row r="12518" spans="1:3">
      <c r="A12518" s="62">
        <v>39990</v>
      </c>
      <c r="B12518">
        <v>2.2997000000000001</v>
      </c>
      <c r="C12518" t="str">
        <f t="shared" si="200"/>
        <v>2009 q2</v>
      </c>
    </row>
    <row r="12519" spans="1:3">
      <c r="A12519" s="62">
        <v>39993</v>
      </c>
      <c r="B12519">
        <v>2.3206000000000002</v>
      </c>
      <c r="C12519" t="str">
        <f t="shared" si="200"/>
        <v>2009 q2</v>
      </c>
    </row>
    <row r="12520" spans="1:3">
      <c r="A12520" s="62">
        <v>39994</v>
      </c>
      <c r="B12520">
        <v>2.2692000000000001</v>
      </c>
      <c r="C12520" t="str">
        <f t="shared" si="200"/>
        <v>2009 q2</v>
      </c>
    </row>
    <row r="12521" spans="1:3">
      <c r="A12521" s="62">
        <v>39995</v>
      </c>
      <c r="B12521">
        <v>2.3304999999999998</v>
      </c>
      <c r="C12521" t="str">
        <f t="shared" si="200"/>
        <v>2009 q3</v>
      </c>
    </row>
    <row r="12522" spans="1:3">
      <c r="A12522" s="62">
        <v>39996</v>
      </c>
      <c r="B12522">
        <v>2.3054999999999999</v>
      </c>
      <c r="C12522" t="str">
        <f t="shared" si="200"/>
        <v>2009 q3</v>
      </c>
    </row>
    <row r="12523" spans="1:3">
      <c r="A12523" s="62">
        <v>40000</v>
      </c>
      <c r="B12523">
        <v>2.2625000000000002</v>
      </c>
      <c r="C12523" t="str">
        <f t="shared" si="200"/>
        <v>2009 q3</v>
      </c>
    </row>
    <row r="12524" spans="1:3">
      <c r="A12524" s="62">
        <v>40001</v>
      </c>
      <c r="B12524">
        <v>2.2254999999999998</v>
      </c>
      <c r="C12524" t="str">
        <f t="shared" si="200"/>
        <v>2009 q3</v>
      </c>
    </row>
    <row r="12525" spans="1:3">
      <c r="A12525" s="62">
        <v>40002</v>
      </c>
      <c r="B12525">
        <v>2.1589999999999998</v>
      </c>
      <c r="C12525" t="str">
        <f t="shared" si="200"/>
        <v>2009 q3</v>
      </c>
    </row>
    <row r="12526" spans="1:3">
      <c r="A12526" s="62">
        <v>40003</v>
      </c>
      <c r="B12526">
        <v>2.2374999999999998</v>
      </c>
      <c r="C12526" t="str">
        <f t="shared" si="200"/>
        <v>2009 q3</v>
      </c>
    </row>
    <row r="12527" spans="1:3">
      <c r="A12527" s="62">
        <v>40004</v>
      </c>
      <c r="B12527">
        <v>2.2115</v>
      </c>
      <c r="C12527" t="str">
        <f t="shared" si="200"/>
        <v>2009 q3</v>
      </c>
    </row>
    <row r="12528" spans="1:3">
      <c r="A12528" s="62">
        <v>40007</v>
      </c>
      <c r="B12528">
        <v>2.2229999999999999</v>
      </c>
      <c r="C12528" t="str">
        <f t="shared" si="200"/>
        <v>2009 q3</v>
      </c>
    </row>
    <row r="12529" spans="1:3">
      <c r="A12529" s="62">
        <v>40008</v>
      </c>
      <c r="B12529">
        <v>2.2989999999999999</v>
      </c>
      <c r="C12529" t="str">
        <f t="shared" si="200"/>
        <v>2009 q3</v>
      </c>
    </row>
    <row r="12530" spans="1:3">
      <c r="A12530" s="62">
        <v>40009</v>
      </c>
      <c r="B12530">
        <v>2.3919999999999999</v>
      </c>
      <c r="C12530" t="str">
        <f t="shared" si="200"/>
        <v>2009 q3</v>
      </c>
    </row>
    <row r="12531" spans="1:3">
      <c r="A12531" s="62">
        <v>40010</v>
      </c>
      <c r="B12531">
        <v>2.3895</v>
      </c>
      <c r="C12531" t="str">
        <f t="shared" si="200"/>
        <v>2009 q3</v>
      </c>
    </row>
    <row r="12532" spans="1:3">
      <c r="A12532" s="62">
        <v>40011</v>
      </c>
      <c r="B12532">
        <v>2.423</v>
      </c>
      <c r="C12532" t="str">
        <f t="shared" si="200"/>
        <v>2009 q3</v>
      </c>
    </row>
    <row r="12533" spans="1:3">
      <c r="A12533" s="62">
        <v>40014</v>
      </c>
      <c r="B12533">
        <v>2.4689999999999999</v>
      </c>
      <c r="C12533" t="str">
        <f t="shared" si="200"/>
        <v>2009 q3</v>
      </c>
    </row>
    <row r="12534" spans="1:3">
      <c r="A12534" s="62">
        <v>40015</v>
      </c>
      <c r="B12534">
        <v>2.4510000000000001</v>
      </c>
      <c r="C12534" t="str">
        <f t="shared" si="200"/>
        <v>2009 q3</v>
      </c>
    </row>
    <row r="12535" spans="1:3">
      <c r="A12535" s="62">
        <v>40016</v>
      </c>
      <c r="B12535">
        <v>2.5255000000000001</v>
      </c>
      <c r="C12535" t="str">
        <f t="shared" si="200"/>
        <v>2009 q3</v>
      </c>
    </row>
    <row r="12536" spans="1:3">
      <c r="A12536" s="62">
        <v>40017</v>
      </c>
      <c r="B12536">
        <v>2.524</v>
      </c>
      <c r="C12536" t="str">
        <f t="shared" si="200"/>
        <v>2009 q3</v>
      </c>
    </row>
    <row r="12537" spans="1:3">
      <c r="A12537" s="62">
        <v>40018</v>
      </c>
      <c r="B12537">
        <v>2.5219999999999998</v>
      </c>
      <c r="C12537" t="str">
        <f t="shared" si="200"/>
        <v>2009 q3</v>
      </c>
    </row>
    <row r="12538" spans="1:3">
      <c r="A12538" s="62">
        <v>40021</v>
      </c>
      <c r="B12538">
        <v>2.5449999999999999</v>
      </c>
      <c r="C12538" t="str">
        <f t="shared" si="200"/>
        <v>2009 q3</v>
      </c>
    </row>
    <row r="12539" spans="1:3">
      <c r="A12539" s="62">
        <v>40022</v>
      </c>
      <c r="B12539">
        <v>2.5205000000000002</v>
      </c>
      <c r="C12539" t="str">
        <f t="shared" si="200"/>
        <v>2009 q3</v>
      </c>
    </row>
    <row r="12540" spans="1:3">
      <c r="A12540" s="62">
        <v>40023</v>
      </c>
      <c r="B12540">
        <v>2.4775</v>
      </c>
      <c r="C12540" t="str">
        <f t="shared" si="200"/>
        <v>2009 q3</v>
      </c>
    </row>
    <row r="12541" spans="1:3">
      <c r="A12541" s="62">
        <v>40024</v>
      </c>
      <c r="B12541">
        <v>2.5640000000000001</v>
      </c>
      <c r="C12541" t="str">
        <f t="shared" si="200"/>
        <v>2009 q3</v>
      </c>
    </row>
    <row r="12542" spans="1:3">
      <c r="A12542" s="62">
        <v>40025</v>
      </c>
      <c r="B12542">
        <v>2.6234999999999999</v>
      </c>
      <c r="C12542" t="str">
        <f t="shared" si="200"/>
        <v>2009 q3</v>
      </c>
    </row>
    <row r="12543" spans="1:3">
      <c r="A12543" s="62">
        <v>40028</v>
      </c>
      <c r="B12543">
        <v>2.7385000000000002</v>
      </c>
      <c r="C12543" t="str">
        <f t="shared" si="200"/>
        <v>2009 q3</v>
      </c>
    </row>
    <row r="12544" spans="1:3">
      <c r="A12544" s="62">
        <v>40029</v>
      </c>
      <c r="B12544">
        <v>2.7955000000000001</v>
      </c>
      <c r="C12544" t="str">
        <f t="shared" si="200"/>
        <v>2009 q3</v>
      </c>
    </row>
    <row r="12545" spans="1:3">
      <c r="A12545" s="62">
        <v>40030</v>
      </c>
      <c r="B12545">
        <v>2.8119999999999998</v>
      </c>
      <c r="C12545" t="str">
        <f t="shared" si="200"/>
        <v>2009 q3</v>
      </c>
    </row>
    <row r="12546" spans="1:3">
      <c r="A12546" s="62">
        <v>40031</v>
      </c>
      <c r="B12546">
        <v>2.7519999999999998</v>
      </c>
      <c r="C12546" t="str">
        <f t="shared" si="200"/>
        <v>2009 q3</v>
      </c>
    </row>
    <row r="12547" spans="1:3">
      <c r="A12547" s="62">
        <v>40032</v>
      </c>
      <c r="B12547">
        <v>2.7854999999999999</v>
      </c>
      <c r="C12547" t="str">
        <f t="shared" si="200"/>
        <v>2009 q3</v>
      </c>
    </row>
    <row r="12548" spans="1:3">
      <c r="A12548" s="62">
        <v>40035</v>
      </c>
      <c r="B12548">
        <v>2.7705000000000002</v>
      </c>
      <c r="C12548" t="str">
        <f t="shared" si="200"/>
        <v>2009 q3</v>
      </c>
    </row>
    <row r="12549" spans="1:3">
      <c r="A12549" s="62">
        <v>40036</v>
      </c>
      <c r="B12549">
        <v>2.7364999999999999</v>
      </c>
      <c r="C12549" t="str">
        <f t="shared" si="200"/>
        <v>2009 q3</v>
      </c>
    </row>
    <row r="12550" spans="1:3">
      <c r="A12550" s="62">
        <v>40037</v>
      </c>
      <c r="B12550">
        <v>2.8235000000000001</v>
      </c>
      <c r="C12550" t="str">
        <f t="shared" si="200"/>
        <v>2009 q3</v>
      </c>
    </row>
    <row r="12551" spans="1:3">
      <c r="A12551" s="62">
        <v>40038</v>
      </c>
      <c r="B12551">
        <v>2.9140000000000001</v>
      </c>
      <c r="C12551" t="str">
        <f t="shared" si="200"/>
        <v>2009 q3</v>
      </c>
    </row>
    <row r="12552" spans="1:3">
      <c r="A12552" s="62">
        <v>40039</v>
      </c>
      <c r="B12552">
        <v>2.8359999999999999</v>
      </c>
      <c r="C12552" t="str">
        <f t="shared" si="200"/>
        <v>2009 q3</v>
      </c>
    </row>
    <row r="12553" spans="1:3">
      <c r="A12553" s="62">
        <v>40042</v>
      </c>
      <c r="B12553">
        <v>2.7705000000000002</v>
      </c>
      <c r="C12553" t="str">
        <f t="shared" si="200"/>
        <v>2009 q3</v>
      </c>
    </row>
    <row r="12554" spans="1:3">
      <c r="A12554" s="62">
        <v>40043</v>
      </c>
      <c r="B12554">
        <v>2.7614999999999998</v>
      </c>
      <c r="C12554" t="str">
        <f t="shared" si="200"/>
        <v>2009 q3</v>
      </c>
    </row>
    <row r="12555" spans="1:3">
      <c r="A12555" s="62">
        <v>40044</v>
      </c>
      <c r="B12555">
        <v>2.7605</v>
      </c>
      <c r="C12555" t="str">
        <f t="shared" si="200"/>
        <v>2009 q3</v>
      </c>
    </row>
    <row r="12556" spans="1:3">
      <c r="A12556" s="62">
        <v>40045</v>
      </c>
      <c r="B12556">
        <v>2.7414999999999998</v>
      </c>
      <c r="C12556" t="str">
        <f t="shared" si="200"/>
        <v>2009 q3</v>
      </c>
    </row>
    <row r="12557" spans="1:3">
      <c r="A12557" s="62">
        <v>40046</v>
      </c>
      <c r="B12557">
        <v>2.8805000000000001</v>
      </c>
      <c r="C12557" t="str">
        <f t="shared" si="200"/>
        <v>2009 q3</v>
      </c>
    </row>
    <row r="12558" spans="1:3">
      <c r="A12558" s="62">
        <v>40049</v>
      </c>
      <c r="B12558">
        <v>2.915</v>
      </c>
      <c r="C12558" t="str">
        <f t="shared" si="200"/>
        <v>2009 q3</v>
      </c>
    </row>
    <row r="12559" spans="1:3">
      <c r="A12559" s="62">
        <v>40050</v>
      </c>
      <c r="B12559">
        <v>2.8559999999999999</v>
      </c>
      <c r="C12559" t="str">
        <f t="shared" si="200"/>
        <v>2009 q3</v>
      </c>
    </row>
    <row r="12560" spans="1:3">
      <c r="A12560" s="62">
        <v>40051</v>
      </c>
      <c r="B12560">
        <v>2.8610000000000002</v>
      </c>
      <c r="C12560" t="str">
        <f t="shared" si="200"/>
        <v>2009 q3</v>
      </c>
    </row>
    <row r="12561" spans="1:3">
      <c r="A12561" s="62">
        <v>40052</v>
      </c>
      <c r="B12561">
        <v>2.8578999999999999</v>
      </c>
      <c r="C12561" t="str">
        <f t="shared" si="200"/>
        <v>2009 q3</v>
      </c>
    </row>
    <row r="12562" spans="1:3">
      <c r="A12562" s="62">
        <v>40053</v>
      </c>
      <c r="B12562">
        <v>2.9394999999999998</v>
      </c>
      <c r="C12562" t="str">
        <f t="shared" ref="C12562:C12625" si="201">YEAR(A12562)&amp;" q"&amp;ROUNDUP(MONTH(A12562)/3,0)</f>
        <v>2009 q3</v>
      </c>
    </row>
    <row r="12563" spans="1:3">
      <c r="A12563" s="62">
        <v>40056</v>
      </c>
      <c r="B12563">
        <v>2.8228</v>
      </c>
      <c r="C12563" t="str">
        <f t="shared" si="201"/>
        <v>2009 q3</v>
      </c>
    </row>
    <row r="12564" spans="1:3">
      <c r="A12564" s="62">
        <v>40057</v>
      </c>
      <c r="B12564">
        <v>2.8184999999999998</v>
      </c>
      <c r="C12564" t="str">
        <f t="shared" si="201"/>
        <v>2009 q3</v>
      </c>
    </row>
    <row r="12565" spans="1:3">
      <c r="A12565" s="62">
        <v>40058</v>
      </c>
      <c r="B12565">
        <v>2.8260000000000001</v>
      </c>
      <c r="C12565" t="str">
        <f t="shared" si="201"/>
        <v>2009 q3</v>
      </c>
    </row>
    <row r="12566" spans="1:3">
      <c r="A12566" s="62">
        <v>40059</v>
      </c>
      <c r="B12566">
        <v>2.8650000000000002</v>
      </c>
      <c r="C12566" t="str">
        <f t="shared" si="201"/>
        <v>2009 q3</v>
      </c>
    </row>
    <row r="12567" spans="1:3">
      <c r="A12567" s="62">
        <v>40060</v>
      </c>
      <c r="B12567">
        <v>2.8664999999999998</v>
      </c>
      <c r="C12567" t="str">
        <f t="shared" si="201"/>
        <v>2009 q3</v>
      </c>
    </row>
    <row r="12568" spans="1:3">
      <c r="A12568" s="62">
        <v>40064</v>
      </c>
      <c r="B12568">
        <v>2.956</v>
      </c>
      <c r="C12568" t="str">
        <f t="shared" si="201"/>
        <v>2009 q3</v>
      </c>
    </row>
    <row r="12569" spans="1:3">
      <c r="A12569" s="62">
        <v>40065</v>
      </c>
      <c r="B12569">
        <v>2.9239999999999999</v>
      </c>
      <c r="C12569" t="str">
        <f t="shared" si="201"/>
        <v>2009 q3</v>
      </c>
    </row>
    <row r="12570" spans="1:3">
      <c r="A12570" s="62">
        <v>40066</v>
      </c>
      <c r="B12570">
        <v>2.8765000000000001</v>
      </c>
      <c r="C12570" t="str">
        <f t="shared" si="201"/>
        <v>2009 q3</v>
      </c>
    </row>
    <row r="12571" spans="1:3">
      <c r="A12571" s="62">
        <v>40067</v>
      </c>
      <c r="B12571">
        <v>2.8464999999999998</v>
      </c>
      <c r="C12571" t="str">
        <f t="shared" si="201"/>
        <v>2009 q3</v>
      </c>
    </row>
    <row r="12572" spans="1:3">
      <c r="A12572" s="62">
        <v>40070</v>
      </c>
      <c r="B12572">
        <v>2.8045</v>
      </c>
      <c r="C12572" t="str">
        <f t="shared" si="201"/>
        <v>2009 q3</v>
      </c>
    </row>
    <row r="12573" spans="1:3">
      <c r="A12573" s="62">
        <v>40071</v>
      </c>
      <c r="B12573">
        <v>2.8450000000000002</v>
      </c>
      <c r="C12573" t="str">
        <f t="shared" si="201"/>
        <v>2009 q3</v>
      </c>
    </row>
    <row r="12574" spans="1:3">
      <c r="A12574" s="62">
        <v>40072</v>
      </c>
      <c r="B12574">
        <v>2.9365000000000001</v>
      </c>
      <c r="C12574" t="str">
        <f t="shared" si="201"/>
        <v>2009 q3</v>
      </c>
    </row>
    <row r="12575" spans="1:3">
      <c r="A12575" s="62">
        <v>40073</v>
      </c>
      <c r="B12575">
        <v>2.8959999999999999</v>
      </c>
      <c r="C12575" t="str">
        <f t="shared" si="201"/>
        <v>2009 q3</v>
      </c>
    </row>
    <row r="12576" spans="1:3">
      <c r="A12576" s="62">
        <v>40074</v>
      </c>
      <c r="B12576">
        <v>2.7850000000000001</v>
      </c>
      <c r="C12576" t="str">
        <f t="shared" si="201"/>
        <v>2009 q3</v>
      </c>
    </row>
    <row r="12577" spans="1:3">
      <c r="A12577" s="62">
        <v>40077</v>
      </c>
      <c r="B12577">
        <v>2.8054999999999999</v>
      </c>
      <c r="C12577" t="str">
        <f t="shared" si="201"/>
        <v>2009 q3</v>
      </c>
    </row>
    <row r="12578" spans="1:3">
      <c r="A12578" s="62">
        <v>40078</v>
      </c>
      <c r="B12578">
        <v>2.8645</v>
      </c>
      <c r="C12578" t="str">
        <f t="shared" si="201"/>
        <v>2009 q3</v>
      </c>
    </row>
    <row r="12579" spans="1:3">
      <c r="A12579" s="62">
        <v>40079</v>
      </c>
      <c r="B12579">
        <v>2.8079999999999998</v>
      </c>
      <c r="C12579" t="str">
        <f t="shared" si="201"/>
        <v>2009 q3</v>
      </c>
    </row>
    <row r="12580" spans="1:3">
      <c r="A12580" s="62">
        <v>40080</v>
      </c>
      <c r="B12580">
        <v>2.7094999999999998</v>
      </c>
      <c r="C12580" t="str">
        <f t="shared" si="201"/>
        <v>2009 q3</v>
      </c>
    </row>
    <row r="12581" spans="1:3">
      <c r="A12581" s="62">
        <v>40081</v>
      </c>
      <c r="B12581">
        <v>2.7404999999999999</v>
      </c>
      <c r="C12581" t="str">
        <f t="shared" si="201"/>
        <v>2009 q3</v>
      </c>
    </row>
    <row r="12582" spans="1:3">
      <c r="A12582" s="62">
        <v>40084</v>
      </c>
      <c r="B12582">
        <v>2.7269999999999999</v>
      </c>
      <c r="C12582" t="str">
        <f t="shared" si="201"/>
        <v>2009 q3</v>
      </c>
    </row>
    <row r="12583" spans="1:3">
      <c r="A12583" s="62">
        <v>40085</v>
      </c>
      <c r="B12583">
        <v>2.7290000000000001</v>
      </c>
      <c r="C12583" t="str">
        <f t="shared" si="201"/>
        <v>2009 q3</v>
      </c>
    </row>
    <row r="12584" spans="1:3">
      <c r="A12584" s="62">
        <v>40086</v>
      </c>
      <c r="B12584">
        <v>2.819</v>
      </c>
      <c r="C12584" t="str">
        <f t="shared" si="201"/>
        <v>2009 q3</v>
      </c>
    </row>
    <row r="12585" spans="1:3">
      <c r="A12585" s="62">
        <v>40087</v>
      </c>
      <c r="B12585">
        <v>2.7370000000000001</v>
      </c>
      <c r="C12585" t="str">
        <f t="shared" si="201"/>
        <v>2009 q4</v>
      </c>
    </row>
    <row r="12586" spans="1:3">
      <c r="A12586" s="62">
        <v>40088</v>
      </c>
      <c r="B12586">
        <v>2.6815000000000002</v>
      </c>
      <c r="C12586" t="str">
        <f t="shared" si="201"/>
        <v>2009 q4</v>
      </c>
    </row>
    <row r="12587" spans="1:3">
      <c r="A12587" s="62">
        <v>40091</v>
      </c>
      <c r="B12587">
        <v>2.7269999999999999</v>
      </c>
      <c r="C12587" t="str">
        <f t="shared" si="201"/>
        <v>2009 q4</v>
      </c>
    </row>
    <row r="12588" spans="1:3">
      <c r="A12588" s="62">
        <v>40092</v>
      </c>
      <c r="B12588">
        <v>2.7845</v>
      </c>
      <c r="C12588" t="str">
        <f t="shared" si="201"/>
        <v>2009 q4</v>
      </c>
    </row>
    <row r="12589" spans="1:3">
      <c r="A12589" s="62">
        <v>40093</v>
      </c>
      <c r="B12589">
        <v>2.7795000000000001</v>
      </c>
      <c r="C12589" t="str">
        <f t="shared" si="201"/>
        <v>2009 q4</v>
      </c>
    </row>
    <row r="12590" spans="1:3">
      <c r="A12590" s="62">
        <v>40094</v>
      </c>
      <c r="B12590">
        <v>2.8984999999999999</v>
      </c>
      <c r="C12590" t="str">
        <f t="shared" si="201"/>
        <v>2009 q4</v>
      </c>
    </row>
    <row r="12591" spans="1:3">
      <c r="A12591" s="62">
        <v>40095</v>
      </c>
      <c r="B12591">
        <v>2.8380000000000001</v>
      </c>
      <c r="C12591" t="str">
        <f t="shared" si="201"/>
        <v>2009 q4</v>
      </c>
    </row>
    <row r="12592" spans="1:3">
      <c r="A12592" s="62">
        <v>40098</v>
      </c>
      <c r="B12592">
        <v>2.8570000000000002</v>
      </c>
      <c r="C12592" t="str">
        <f t="shared" si="201"/>
        <v>2009 q4</v>
      </c>
    </row>
    <row r="12593" spans="1:3">
      <c r="A12593" s="62">
        <v>40099</v>
      </c>
      <c r="B12593">
        <v>2.7945000000000002</v>
      </c>
      <c r="C12593" t="str">
        <f t="shared" si="201"/>
        <v>2009 q4</v>
      </c>
    </row>
    <row r="12594" spans="1:3">
      <c r="A12594" s="62">
        <v>40100</v>
      </c>
      <c r="B12594">
        <v>2.8445</v>
      </c>
      <c r="C12594" t="str">
        <f t="shared" si="201"/>
        <v>2009 q4</v>
      </c>
    </row>
    <row r="12595" spans="1:3">
      <c r="A12595" s="62">
        <v>40101</v>
      </c>
      <c r="B12595">
        <v>2.859</v>
      </c>
      <c r="C12595" t="str">
        <f t="shared" si="201"/>
        <v>2009 q4</v>
      </c>
    </row>
    <row r="12596" spans="1:3">
      <c r="A12596" s="62">
        <v>40102</v>
      </c>
      <c r="B12596">
        <v>2.8454999999999999</v>
      </c>
      <c r="C12596" t="str">
        <f t="shared" si="201"/>
        <v>2009 q4</v>
      </c>
    </row>
    <row r="12597" spans="1:3">
      <c r="A12597" s="62">
        <v>40105</v>
      </c>
      <c r="B12597">
        <v>2.9664999999999999</v>
      </c>
      <c r="C12597" t="str">
        <f t="shared" si="201"/>
        <v>2009 q4</v>
      </c>
    </row>
    <row r="12598" spans="1:3">
      <c r="A12598" s="62">
        <v>40106</v>
      </c>
      <c r="B12598">
        <v>2.9319999999999999</v>
      </c>
      <c r="C12598" t="str">
        <f t="shared" si="201"/>
        <v>2009 q4</v>
      </c>
    </row>
    <row r="12599" spans="1:3">
      <c r="A12599" s="62">
        <v>40107</v>
      </c>
      <c r="B12599">
        <v>3.036</v>
      </c>
      <c r="C12599" t="str">
        <f t="shared" si="201"/>
        <v>2009 q4</v>
      </c>
    </row>
    <row r="12600" spans="1:3">
      <c r="A12600" s="62">
        <v>40108</v>
      </c>
      <c r="B12600">
        <v>2.9980000000000002</v>
      </c>
      <c r="C12600" t="str">
        <f t="shared" si="201"/>
        <v>2009 q4</v>
      </c>
    </row>
    <row r="12601" spans="1:3">
      <c r="A12601" s="62">
        <v>40112</v>
      </c>
      <c r="B12601">
        <v>3.0110000000000001</v>
      </c>
      <c r="C12601" t="str">
        <f t="shared" si="201"/>
        <v>2009 q4</v>
      </c>
    </row>
    <row r="12602" spans="1:3">
      <c r="A12602" s="62">
        <v>40113</v>
      </c>
      <c r="B12602">
        <v>2.9990000000000001</v>
      </c>
      <c r="C12602" t="str">
        <f t="shared" si="201"/>
        <v>2009 q4</v>
      </c>
    </row>
    <row r="12603" spans="1:3">
      <c r="A12603" s="62">
        <v>40114</v>
      </c>
      <c r="B12603">
        <v>2.9304999999999999</v>
      </c>
      <c r="C12603" t="str">
        <f t="shared" si="201"/>
        <v>2009 q4</v>
      </c>
    </row>
    <row r="12604" spans="1:3">
      <c r="A12604" s="62">
        <v>40115</v>
      </c>
      <c r="B12604">
        <v>3.0295000000000001</v>
      </c>
      <c r="C12604" t="str">
        <f t="shared" si="201"/>
        <v>2009 q4</v>
      </c>
    </row>
    <row r="12605" spans="1:3">
      <c r="A12605" s="62">
        <v>40116</v>
      </c>
      <c r="B12605">
        <v>2.9554999999999998</v>
      </c>
      <c r="C12605" t="str">
        <f t="shared" si="201"/>
        <v>2009 q4</v>
      </c>
    </row>
    <row r="12606" spans="1:3">
      <c r="A12606" s="62">
        <v>40119</v>
      </c>
      <c r="B12606">
        <v>2.9449999999999998</v>
      </c>
      <c r="C12606" t="str">
        <f t="shared" si="201"/>
        <v>2009 q4</v>
      </c>
    </row>
    <row r="12607" spans="1:3">
      <c r="A12607" s="62">
        <v>40120</v>
      </c>
      <c r="B12607">
        <v>2.956</v>
      </c>
      <c r="C12607" t="str">
        <f t="shared" si="201"/>
        <v>2009 q4</v>
      </c>
    </row>
    <row r="12608" spans="1:3">
      <c r="A12608" s="62">
        <v>40121</v>
      </c>
      <c r="B12608">
        <v>2.9929999999999999</v>
      </c>
      <c r="C12608" t="str">
        <f t="shared" si="201"/>
        <v>2009 q4</v>
      </c>
    </row>
    <row r="12609" spans="1:3">
      <c r="A12609" s="62">
        <v>40122</v>
      </c>
      <c r="B12609">
        <v>2.9569999999999999</v>
      </c>
      <c r="C12609" t="str">
        <f t="shared" si="201"/>
        <v>2009 q4</v>
      </c>
    </row>
    <row r="12610" spans="1:3">
      <c r="A12610" s="62">
        <v>40123</v>
      </c>
      <c r="B12610">
        <v>2.9525000000000001</v>
      </c>
      <c r="C12610" t="str">
        <f t="shared" si="201"/>
        <v>2009 q4</v>
      </c>
    </row>
    <row r="12611" spans="1:3">
      <c r="A12611" s="62">
        <v>40126</v>
      </c>
      <c r="B12611">
        <v>2.9674999999999998</v>
      </c>
      <c r="C12611" t="str">
        <f t="shared" si="201"/>
        <v>2009 q4</v>
      </c>
    </row>
    <row r="12612" spans="1:3">
      <c r="A12612" s="62">
        <v>40127</v>
      </c>
      <c r="B12612">
        <v>2.9615</v>
      </c>
      <c r="C12612" t="str">
        <f t="shared" si="201"/>
        <v>2009 q4</v>
      </c>
    </row>
    <row r="12613" spans="1:3">
      <c r="A12613" s="62">
        <v>40128</v>
      </c>
      <c r="B12613">
        <v>2.9660000000000002</v>
      </c>
      <c r="C12613" t="str">
        <f t="shared" si="201"/>
        <v>2009 q4</v>
      </c>
    </row>
    <row r="12614" spans="1:3">
      <c r="A12614" s="62">
        <v>40129</v>
      </c>
      <c r="B12614">
        <v>2.9474999999999998</v>
      </c>
      <c r="C12614" t="str">
        <f t="shared" si="201"/>
        <v>2009 q4</v>
      </c>
    </row>
    <row r="12615" spans="1:3">
      <c r="A12615" s="62">
        <v>40130</v>
      </c>
      <c r="B12615">
        <v>2.9725000000000001</v>
      </c>
      <c r="C12615" t="str">
        <f t="shared" si="201"/>
        <v>2009 q4</v>
      </c>
    </row>
    <row r="12616" spans="1:3">
      <c r="A12616" s="62">
        <v>40133</v>
      </c>
      <c r="B12616">
        <v>3.1034999999999999</v>
      </c>
      <c r="C12616" t="str">
        <f t="shared" si="201"/>
        <v>2009 q4</v>
      </c>
    </row>
    <row r="12617" spans="1:3">
      <c r="A12617" s="62">
        <v>40134</v>
      </c>
      <c r="B12617">
        <v>3.1084999999999998</v>
      </c>
      <c r="C12617" t="str">
        <f t="shared" si="201"/>
        <v>2009 q4</v>
      </c>
    </row>
    <row r="12618" spans="1:3">
      <c r="A12618" s="62">
        <v>40135</v>
      </c>
      <c r="B12618">
        <v>3.1105</v>
      </c>
      <c r="C12618" t="str">
        <f t="shared" si="201"/>
        <v>2009 q4</v>
      </c>
    </row>
    <row r="12619" spans="1:3">
      <c r="A12619" s="62">
        <v>40136</v>
      </c>
      <c r="B12619">
        <v>3.081</v>
      </c>
      <c r="C12619" t="str">
        <f t="shared" si="201"/>
        <v>2009 q4</v>
      </c>
    </row>
    <row r="12620" spans="1:3">
      <c r="A12620" s="62">
        <v>40137</v>
      </c>
      <c r="B12620">
        <v>3.1080000000000001</v>
      </c>
      <c r="C12620" t="str">
        <f t="shared" si="201"/>
        <v>2009 q4</v>
      </c>
    </row>
    <row r="12621" spans="1:3">
      <c r="A12621" s="62">
        <v>40140</v>
      </c>
      <c r="B12621">
        <v>3.1355</v>
      </c>
      <c r="C12621" t="str">
        <f t="shared" si="201"/>
        <v>2009 q4</v>
      </c>
    </row>
    <row r="12622" spans="1:3">
      <c r="A12622" s="62">
        <v>40141</v>
      </c>
      <c r="B12622">
        <v>3.1160999999999999</v>
      </c>
      <c r="C12622" t="str">
        <f t="shared" si="201"/>
        <v>2009 q4</v>
      </c>
    </row>
    <row r="12623" spans="1:3">
      <c r="A12623" s="62">
        <v>40142</v>
      </c>
      <c r="B12623">
        <v>3.1707999999999998</v>
      </c>
      <c r="C12623" t="str">
        <f t="shared" si="201"/>
        <v>2009 q4</v>
      </c>
    </row>
    <row r="12624" spans="1:3">
      <c r="A12624" s="62">
        <v>40144</v>
      </c>
      <c r="B12624">
        <v>3.1019000000000001</v>
      </c>
      <c r="C12624" t="str">
        <f t="shared" si="201"/>
        <v>2009 q4</v>
      </c>
    </row>
    <row r="12625" spans="1:3">
      <c r="A12625" s="62">
        <v>40147</v>
      </c>
      <c r="B12625">
        <v>3.1573000000000002</v>
      </c>
      <c r="C12625" t="str">
        <f t="shared" si="201"/>
        <v>2009 q4</v>
      </c>
    </row>
    <row r="12626" spans="1:3">
      <c r="A12626" s="62">
        <v>40148</v>
      </c>
      <c r="B12626">
        <v>3.2134999999999998</v>
      </c>
      <c r="C12626" t="str">
        <f t="shared" ref="C12626:C12689" si="202">YEAR(A12626)&amp;" q"&amp;ROUNDUP(MONTH(A12626)/3,0)</f>
        <v>2009 q4</v>
      </c>
    </row>
    <row r="12627" spans="1:3">
      <c r="A12627" s="62">
        <v>40149</v>
      </c>
      <c r="B12627">
        <v>3.24</v>
      </c>
      <c r="C12627" t="str">
        <f t="shared" si="202"/>
        <v>2009 q4</v>
      </c>
    </row>
    <row r="12628" spans="1:3">
      <c r="A12628" s="62">
        <v>40150</v>
      </c>
      <c r="B12628">
        <v>3.2275</v>
      </c>
      <c r="C12628" t="str">
        <f t="shared" si="202"/>
        <v>2009 q4</v>
      </c>
    </row>
    <row r="12629" spans="1:3">
      <c r="A12629" s="62">
        <v>40151</v>
      </c>
      <c r="B12629">
        <v>3.2195</v>
      </c>
      <c r="C12629" t="str">
        <f t="shared" si="202"/>
        <v>2009 q4</v>
      </c>
    </row>
    <row r="12630" spans="1:3">
      <c r="A12630" s="62">
        <v>40154</v>
      </c>
      <c r="B12630">
        <v>3.1909999999999998</v>
      </c>
      <c r="C12630" t="str">
        <f t="shared" si="202"/>
        <v>2009 q4</v>
      </c>
    </row>
    <row r="12631" spans="1:3">
      <c r="A12631" s="62">
        <v>40155</v>
      </c>
      <c r="B12631">
        <v>3.1459999999999999</v>
      </c>
      <c r="C12631" t="str">
        <f t="shared" si="202"/>
        <v>2009 q4</v>
      </c>
    </row>
    <row r="12632" spans="1:3">
      <c r="A12632" s="62">
        <v>40156</v>
      </c>
      <c r="B12632">
        <v>3.1040000000000001</v>
      </c>
      <c r="C12632" t="str">
        <f t="shared" si="202"/>
        <v>2009 q4</v>
      </c>
    </row>
    <row r="12633" spans="1:3">
      <c r="A12633" s="62">
        <v>40157</v>
      </c>
      <c r="B12633">
        <v>3.0844999999999998</v>
      </c>
      <c r="C12633" t="str">
        <f t="shared" si="202"/>
        <v>2009 q4</v>
      </c>
    </row>
    <row r="12634" spans="1:3">
      <c r="A12634" s="62">
        <v>40158</v>
      </c>
      <c r="B12634">
        <v>3.1150000000000002</v>
      </c>
      <c r="C12634" t="str">
        <f t="shared" si="202"/>
        <v>2009 q4</v>
      </c>
    </row>
    <row r="12635" spans="1:3">
      <c r="A12635" s="62">
        <v>40161</v>
      </c>
      <c r="B12635">
        <v>3.1345000000000001</v>
      </c>
      <c r="C12635" t="str">
        <f t="shared" si="202"/>
        <v>2009 q4</v>
      </c>
    </row>
    <row r="12636" spans="1:3">
      <c r="A12636" s="62">
        <v>40162</v>
      </c>
      <c r="B12636">
        <v>3.125</v>
      </c>
      <c r="C12636" t="str">
        <f t="shared" si="202"/>
        <v>2009 q4</v>
      </c>
    </row>
    <row r="12637" spans="1:3">
      <c r="A12637" s="62">
        <v>40163</v>
      </c>
      <c r="B12637">
        <v>3.1894999999999998</v>
      </c>
      <c r="C12637" t="str">
        <f t="shared" si="202"/>
        <v>2009 q4</v>
      </c>
    </row>
    <row r="12638" spans="1:3">
      <c r="A12638" s="62">
        <v>40164</v>
      </c>
      <c r="B12638">
        <v>3.113</v>
      </c>
      <c r="C12638" t="str">
        <f t="shared" si="202"/>
        <v>2009 q4</v>
      </c>
    </row>
    <row r="12639" spans="1:3">
      <c r="A12639" s="62">
        <v>40165</v>
      </c>
      <c r="B12639">
        <v>3.1230000000000002</v>
      </c>
      <c r="C12639" t="str">
        <f t="shared" si="202"/>
        <v>2009 q4</v>
      </c>
    </row>
    <row r="12640" spans="1:3">
      <c r="A12640" s="62">
        <v>40168</v>
      </c>
      <c r="B12640">
        <v>3.1425000000000001</v>
      </c>
      <c r="C12640" t="str">
        <f t="shared" si="202"/>
        <v>2009 q4</v>
      </c>
    </row>
    <row r="12641" spans="1:3">
      <c r="A12641" s="62">
        <v>40169</v>
      </c>
      <c r="B12641">
        <v>3.1215000000000002</v>
      </c>
      <c r="C12641" t="str">
        <f t="shared" si="202"/>
        <v>2009 q4</v>
      </c>
    </row>
    <row r="12642" spans="1:3">
      <c r="A12642" s="62">
        <v>40170</v>
      </c>
      <c r="B12642">
        <v>3.1869999999999998</v>
      </c>
      <c r="C12642" t="str">
        <f t="shared" si="202"/>
        <v>2009 q4</v>
      </c>
    </row>
    <row r="12643" spans="1:3">
      <c r="A12643" s="62">
        <v>40171</v>
      </c>
      <c r="B12643">
        <v>3.2725</v>
      </c>
      <c r="C12643" t="str">
        <f t="shared" si="202"/>
        <v>2009 q4</v>
      </c>
    </row>
    <row r="12644" spans="1:3">
      <c r="A12644" s="62">
        <v>40175</v>
      </c>
      <c r="B12644">
        <v>3.3212999999999999</v>
      </c>
      <c r="C12644" t="str">
        <f t="shared" si="202"/>
        <v>2009 q4</v>
      </c>
    </row>
    <row r="12645" spans="1:3">
      <c r="A12645" s="62">
        <v>40176</v>
      </c>
      <c r="B12645">
        <v>3.3029999999999999</v>
      </c>
      <c r="C12645" t="str">
        <f t="shared" si="202"/>
        <v>2009 q4</v>
      </c>
    </row>
    <row r="12646" spans="1:3">
      <c r="A12646" s="62">
        <v>40177</v>
      </c>
      <c r="B12646">
        <v>3.3372000000000002</v>
      </c>
      <c r="C12646" t="str">
        <f t="shared" si="202"/>
        <v>2009 q4</v>
      </c>
    </row>
    <row r="12647" spans="1:3">
      <c r="A12647" s="62">
        <v>40178</v>
      </c>
      <c r="B12647">
        <v>3.3426999999999998</v>
      </c>
      <c r="C12647" t="str">
        <f t="shared" si="202"/>
        <v>2009 q4</v>
      </c>
    </row>
    <row r="12648" spans="1:3">
      <c r="A12648" s="62">
        <v>40182</v>
      </c>
      <c r="B12648">
        <v>3.4060000000000001</v>
      </c>
      <c r="C12648" t="str">
        <f t="shared" si="202"/>
        <v>2010 q1</v>
      </c>
    </row>
    <row r="12649" spans="1:3">
      <c r="A12649" s="62">
        <v>40184</v>
      </c>
      <c r="B12649">
        <v>3.4944999999999999</v>
      </c>
      <c r="C12649" t="str">
        <f t="shared" si="202"/>
        <v>2010 q1</v>
      </c>
    </row>
    <row r="12650" spans="1:3">
      <c r="A12650" s="62">
        <v>40185</v>
      </c>
      <c r="B12650">
        <v>3.427</v>
      </c>
      <c r="C12650" t="str">
        <f t="shared" si="202"/>
        <v>2010 q1</v>
      </c>
    </row>
    <row r="12651" spans="1:3">
      <c r="A12651" s="62">
        <v>40186</v>
      </c>
      <c r="B12651">
        <v>3.4005000000000001</v>
      </c>
      <c r="C12651" t="str">
        <f t="shared" si="202"/>
        <v>2010 q1</v>
      </c>
    </row>
    <row r="12652" spans="1:3">
      <c r="A12652" s="62">
        <v>40189</v>
      </c>
      <c r="B12652">
        <v>3.4409999999999998</v>
      </c>
      <c r="C12652" t="str">
        <f t="shared" si="202"/>
        <v>2010 q1</v>
      </c>
    </row>
    <row r="12653" spans="1:3">
      <c r="A12653" s="62">
        <v>40190</v>
      </c>
      <c r="B12653">
        <v>3.3494999999999999</v>
      </c>
      <c r="C12653" t="str">
        <f t="shared" si="202"/>
        <v>2010 q1</v>
      </c>
    </row>
    <row r="12654" spans="1:3">
      <c r="A12654" s="62">
        <v>40191</v>
      </c>
      <c r="B12654">
        <v>3.4</v>
      </c>
      <c r="C12654" t="str">
        <f t="shared" si="202"/>
        <v>2010 q1</v>
      </c>
    </row>
    <row r="12655" spans="1:3">
      <c r="A12655" s="62">
        <v>40192</v>
      </c>
      <c r="B12655">
        <v>3.3875000000000002</v>
      </c>
      <c r="C12655" t="str">
        <f t="shared" si="202"/>
        <v>2010 q1</v>
      </c>
    </row>
    <row r="12656" spans="1:3">
      <c r="A12656" s="62">
        <v>40193</v>
      </c>
      <c r="B12656">
        <v>3.3660000000000001</v>
      </c>
      <c r="C12656" t="str">
        <f t="shared" si="202"/>
        <v>2010 q1</v>
      </c>
    </row>
    <row r="12657" spans="1:3">
      <c r="A12657" s="62">
        <v>40197</v>
      </c>
      <c r="B12657">
        <v>3.4470000000000001</v>
      </c>
      <c r="C12657" t="str">
        <f t="shared" si="202"/>
        <v>2010 q1</v>
      </c>
    </row>
    <row r="12658" spans="1:3">
      <c r="A12658" s="62">
        <v>40198</v>
      </c>
      <c r="B12658">
        <v>3.355</v>
      </c>
      <c r="C12658" t="str">
        <f t="shared" si="202"/>
        <v>2010 q1</v>
      </c>
    </row>
    <row r="12659" spans="1:3">
      <c r="A12659" s="62">
        <v>40199</v>
      </c>
      <c r="B12659">
        <v>3.2949999999999999</v>
      </c>
      <c r="C12659" t="str">
        <f t="shared" si="202"/>
        <v>2010 q1</v>
      </c>
    </row>
    <row r="12660" spans="1:3">
      <c r="A12660" s="62">
        <v>40200</v>
      </c>
      <c r="B12660">
        <v>3.347</v>
      </c>
      <c r="C12660" t="str">
        <f t="shared" si="202"/>
        <v>2010 q1</v>
      </c>
    </row>
    <row r="12661" spans="1:3">
      <c r="A12661" s="62">
        <v>40203</v>
      </c>
      <c r="B12661">
        <v>3.3929999999999998</v>
      </c>
      <c r="C12661" t="str">
        <f t="shared" si="202"/>
        <v>2010 q1</v>
      </c>
    </row>
    <row r="12662" spans="1:3">
      <c r="A12662" s="62">
        <v>40204</v>
      </c>
      <c r="B12662">
        <v>3.3395000000000001</v>
      </c>
      <c r="C12662" t="str">
        <f t="shared" si="202"/>
        <v>2010 q1</v>
      </c>
    </row>
    <row r="12663" spans="1:3">
      <c r="A12663" s="62">
        <v>40205</v>
      </c>
      <c r="B12663">
        <v>3.2225000000000001</v>
      </c>
      <c r="C12663" t="str">
        <f t="shared" si="202"/>
        <v>2010 q1</v>
      </c>
    </row>
    <row r="12664" spans="1:3">
      <c r="A12664" s="62">
        <v>40206</v>
      </c>
      <c r="B12664">
        <v>3.0979999999999999</v>
      </c>
      <c r="C12664" t="str">
        <f t="shared" si="202"/>
        <v>2010 q1</v>
      </c>
    </row>
    <row r="12665" spans="1:3">
      <c r="A12665" s="62">
        <v>40207</v>
      </c>
      <c r="B12665">
        <v>3.0525000000000002</v>
      </c>
      <c r="C12665" t="str">
        <f t="shared" si="202"/>
        <v>2010 q1</v>
      </c>
    </row>
    <row r="12666" spans="1:3">
      <c r="A12666" s="62">
        <v>40210</v>
      </c>
      <c r="B12666">
        <v>3.0834999999999999</v>
      </c>
      <c r="C12666" t="str">
        <f t="shared" si="202"/>
        <v>2010 q1</v>
      </c>
    </row>
    <row r="12667" spans="1:3">
      <c r="A12667" s="62">
        <v>40211</v>
      </c>
      <c r="B12667">
        <v>3.0895000000000001</v>
      </c>
      <c r="C12667" t="str">
        <f t="shared" si="202"/>
        <v>2010 q1</v>
      </c>
    </row>
    <row r="12668" spans="1:3">
      <c r="A12668" s="62">
        <v>40212</v>
      </c>
      <c r="B12668">
        <v>2.9735</v>
      </c>
      <c r="C12668" t="str">
        <f t="shared" si="202"/>
        <v>2010 q1</v>
      </c>
    </row>
    <row r="12669" spans="1:3">
      <c r="A12669" s="62">
        <v>40213</v>
      </c>
      <c r="B12669">
        <v>2.879</v>
      </c>
      <c r="C12669" t="str">
        <f t="shared" si="202"/>
        <v>2010 q1</v>
      </c>
    </row>
    <row r="12670" spans="1:3">
      <c r="A12670" s="62">
        <v>40214</v>
      </c>
      <c r="B12670">
        <v>2.8574999999999999</v>
      </c>
      <c r="C12670" t="str">
        <f t="shared" si="202"/>
        <v>2010 q1</v>
      </c>
    </row>
    <row r="12671" spans="1:3">
      <c r="A12671" s="62">
        <v>40217</v>
      </c>
      <c r="B12671">
        <v>2.9129999999999998</v>
      </c>
      <c r="C12671" t="str">
        <f t="shared" si="202"/>
        <v>2010 q1</v>
      </c>
    </row>
    <row r="12672" spans="1:3">
      <c r="A12672" s="62">
        <v>40218</v>
      </c>
      <c r="B12672">
        <v>2.9870000000000001</v>
      </c>
      <c r="C12672" t="str">
        <f t="shared" si="202"/>
        <v>2010 q1</v>
      </c>
    </row>
    <row r="12673" spans="1:3">
      <c r="A12673" s="62">
        <v>40219</v>
      </c>
      <c r="B12673">
        <v>2.9889999999999999</v>
      </c>
      <c r="C12673" t="str">
        <f t="shared" si="202"/>
        <v>2010 q1</v>
      </c>
    </row>
    <row r="12674" spans="1:3">
      <c r="A12674" s="62">
        <v>40220</v>
      </c>
      <c r="B12674">
        <v>3.1335000000000002</v>
      </c>
      <c r="C12674" t="str">
        <f t="shared" si="202"/>
        <v>2010 q1</v>
      </c>
    </row>
    <row r="12675" spans="1:3">
      <c r="A12675" s="62">
        <v>40221</v>
      </c>
      <c r="B12675">
        <v>3.0825</v>
      </c>
      <c r="C12675" t="str">
        <f t="shared" si="202"/>
        <v>2010 q1</v>
      </c>
    </row>
    <row r="12676" spans="1:3">
      <c r="A12676" s="62">
        <v>40225</v>
      </c>
      <c r="B12676">
        <v>3.2214999999999998</v>
      </c>
      <c r="C12676" t="str">
        <f t="shared" si="202"/>
        <v>2010 q1</v>
      </c>
    </row>
    <row r="12677" spans="1:3">
      <c r="A12677" s="62">
        <v>40226</v>
      </c>
      <c r="B12677">
        <v>3.2395</v>
      </c>
      <c r="C12677" t="str">
        <f t="shared" si="202"/>
        <v>2010 q1</v>
      </c>
    </row>
    <row r="12678" spans="1:3">
      <c r="A12678" s="62">
        <v>40227</v>
      </c>
      <c r="B12678">
        <v>3.2854999999999999</v>
      </c>
      <c r="C12678" t="str">
        <f t="shared" si="202"/>
        <v>2010 q1</v>
      </c>
    </row>
    <row r="12679" spans="1:3">
      <c r="A12679" s="62">
        <v>40228</v>
      </c>
      <c r="B12679">
        <v>3.3570000000000002</v>
      </c>
      <c r="C12679" t="str">
        <f t="shared" si="202"/>
        <v>2010 q1</v>
      </c>
    </row>
    <row r="12680" spans="1:3">
      <c r="A12680" s="62">
        <v>40231</v>
      </c>
      <c r="B12680">
        <v>3.3109000000000002</v>
      </c>
      <c r="C12680" t="str">
        <f t="shared" si="202"/>
        <v>2010 q1</v>
      </c>
    </row>
    <row r="12681" spans="1:3">
      <c r="A12681" s="62">
        <v>40233</v>
      </c>
      <c r="B12681">
        <v>3.2429999999999999</v>
      </c>
      <c r="C12681" t="str">
        <f t="shared" si="202"/>
        <v>2010 q1</v>
      </c>
    </row>
    <row r="12682" spans="1:3">
      <c r="A12682" s="62">
        <v>40234</v>
      </c>
      <c r="B12682">
        <v>3.2029999999999998</v>
      </c>
      <c r="C12682" t="str">
        <f t="shared" si="202"/>
        <v>2010 q1</v>
      </c>
    </row>
    <row r="12683" spans="1:3">
      <c r="A12683" s="62">
        <v>40235</v>
      </c>
      <c r="B12683">
        <v>3.2808999999999999</v>
      </c>
      <c r="C12683" t="str">
        <f t="shared" si="202"/>
        <v>2010 q1</v>
      </c>
    </row>
    <row r="12684" spans="1:3">
      <c r="A12684" s="62">
        <v>40238</v>
      </c>
      <c r="B12684">
        <v>3.35</v>
      </c>
      <c r="C12684" t="str">
        <f t="shared" si="202"/>
        <v>2010 q1</v>
      </c>
    </row>
    <row r="12685" spans="1:3">
      <c r="A12685" s="62">
        <v>40239</v>
      </c>
      <c r="B12685">
        <v>3.4115000000000002</v>
      </c>
      <c r="C12685" t="str">
        <f t="shared" si="202"/>
        <v>2010 q1</v>
      </c>
    </row>
    <row r="12686" spans="1:3">
      <c r="A12686" s="62">
        <v>40240</v>
      </c>
      <c r="B12686">
        <v>3.4350000000000001</v>
      </c>
      <c r="C12686" t="str">
        <f t="shared" si="202"/>
        <v>2010 q1</v>
      </c>
    </row>
    <row r="12687" spans="1:3">
      <c r="A12687" s="62">
        <v>40241</v>
      </c>
      <c r="B12687">
        <v>3.3755000000000002</v>
      </c>
      <c r="C12687" t="str">
        <f t="shared" si="202"/>
        <v>2010 q1</v>
      </c>
    </row>
    <row r="12688" spans="1:3">
      <c r="A12688" s="62">
        <v>40242</v>
      </c>
      <c r="B12688">
        <v>3.4175</v>
      </c>
      <c r="C12688" t="str">
        <f t="shared" si="202"/>
        <v>2010 q1</v>
      </c>
    </row>
    <row r="12689" spans="1:3">
      <c r="A12689" s="62">
        <v>40245</v>
      </c>
      <c r="B12689">
        <v>3.4104999999999999</v>
      </c>
      <c r="C12689" t="str">
        <f t="shared" si="202"/>
        <v>2010 q1</v>
      </c>
    </row>
    <row r="12690" spans="1:3">
      <c r="A12690" s="62">
        <v>40246</v>
      </c>
      <c r="B12690">
        <v>3.4115000000000002</v>
      </c>
      <c r="C12690" t="str">
        <f t="shared" ref="C12690:C12753" si="203">YEAR(A12690)&amp;" q"&amp;ROUNDUP(MONTH(A12690)/3,0)</f>
        <v>2010 q1</v>
      </c>
    </row>
    <row r="12691" spans="1:3">
      <c r="A12691" s="62">
        <v>40247</v>
      </c>
      <c r="B12691">
        <v>3.3679999999999999</v>
      </c>
      <c r="C12691" t="str">
        <f t="shared" si="203"/>
        <v>2010 q1</v>
      </c>
    </row>
    <row r="12692" spans="1:3">
      <c r="A12692" s="62">
        <v>40248</v>
      </c>
      <c r="B12692">
        <v>3.3769999999999998</v>
      </c>
      <c r="C12692" t="str">
        <f t="shared" si="203"/>
        <v>2010 q1</v>
      </c>
    </row>
    <row r="12693" spans="1:3">
      <c r="A12693" s="62">
        <v>40249</v>
      </c>
      <c r="B12693">
        <v>3.38</v>
      </c>
      <c r="C12693" t="str">
        <f t="shared" si="203"/>
        <v>2010 q1</v>
      </c>
    </row>
    <row r="12694" spans="1:3">
      <c r="A12694" s="62">
        <v>40252</v>
      </c>
      <c r="B12694">
        <v>3.3149999999999999</v>
      </c>
      <c r="C12694" t="str">
        <f t="shared" si="203"/>
        <v>2010 q1</v>
      </c>
    </row>
    <row r="12695" spans="1:3">
      <c r="A12695" s="62">
        <v>40253</v>
      </c>
      <c r="B12695">
        <v>3.3650000000000002</v>
      </c>
      <c r="C12695" t="str">
        <f t="shared" si="203"/>
        <v>2010 q1</v>
      </c>
    </row>
    <row r="12696" spans="1:3">
      <c r="A12696" s="62">
        <v>40254</v>
      </c>
      <c r="B12696">
        <v>3.4180000000000001</v>
      </c>
      <c r="C12696" t="str">
        <f t="shared" si="203"/>
        <v>2010 q1</v>
      </c>
    </row>
    <row r="12697" spans="1:3">
      <c r="A12697" s="62">
        <v>40255</v>
      </c>
      <c r="B12697">
        <v>3.3955000000000002</v>
      </c>
      <c r="C12697" t="str">
        <f t="shared" si="203"/>
        <v>2010 q1</v>
      </c>
    </row>
    <row r="12698" spans="1:3">
      <c r="A12698" s="62">
        <v>40256</v>
      </c>
      <c r="B12698">
        <v>3.3725000000000001</v>
      </c>
      <c r="C12698" t="str">
        <f t="shared" si="203"/>
        <v>2010 q1</v>
      </c>
    </row>
    <row r="12699" spans="1:3">
      <c r="A12699" s="62">
        <v>40259</v>
      </c>
      <c r="B12699">
        <v>3.3805000000000001</v>
      </c>
      <c r="C12699" t="str">
        <f t="shared" si="203"/>
        <v>2010 q1</v>
      </c>
    </row>
    <row r="12700" spans="1:3">
      <c r="A12700" s="62">
        <v>40260</v>
      </c>
      <c r="B12700">
        <v>3.379</v>
      </c>
      <c r="C12700" t="str">
        <f t="shared" si="203"/>
        <v>2010 q1</v>
      </c>
    </row>
    <row r="12701" spans="1:3">
      <c r="A12701" s="62">
        <v>40261</v>
      </c>
      <c r="B12701">
        <v>3.3454999999999999</v>
      </c>
      <c r="C12701" t="str">
        <f t="shared" si="203"/>
        <v>2010 q1</v>
      </c>
    </row>
    <row r="12702" spans="1:3">
      <c r="A12702" s="62">
        <v>40262</v>
      </c>
      <c r="B12702">
        <v>3.3805000000000001</v>
      </c>
      <c r="C12702" t="str">
        <f t="shared" si="203"/>
        <v>2010 q1</v>
      </c>
    </row>
    <row r="12703" spans="1:3">
      <c r="A12703" s="62">
        <v>40263</v>
      </c>
      <c r="B12703">
        <v>3.403</v>
      </c>
      <c r="C12703" t="str">
        <f t="shared" si="203"/>
        <v>2010 q1</v>
      </c>
    </row>
    <row r="12704" spans="1:3">
      <c r="A12704" s="62">
        <v>40266</v>
      </c>
      <c r="B12704">
        <v>3.5354999999999999</v>
      </c>
      <c r="C12704" t="str">
        <f t="shared" si="203"/>
        <v>2010 q1</v>
      </c>
    </row>
    <row r="12705" spans="1:3">
      <c r="A12705" s="62">
        <v>40267</v>
      </c>
      <c r="B12705">
        <v>3.5634999999999999</v>
      </c>
      <c r="C12705" t="str">
        <f t="shared" si="203"/>
        <v>2010 q1</v>
      </c>
    </row>
    <row r="12706" spans="1:3">
      <c r="A12706" s="62">
        <v>40268</v>
      </c>
      <c r="B12706">
        <v>3.5535000000000001</v>
      </c>
      <c r="C12706" t="str">
        <f t="shared" si="203"/>
        <v>2010 q1</v>
      </c>
    </row>
    <row r="12707" spans="1:3">
      <c r="A12707" s="62">
        <v>40269</v>
      </c>
      <c r="B12707">
        <v>3.5840000000000001</v>
      </c>
      <c r="C12707" t="str">
        <f t="shared" si="203"/>
        <v>2010 q2</v>
      </c>
    </row>
    <row r="12708" spans="1:3">
      <c r="A12708" s="62">
        <v>40273</v>
      </c>
      <c r="B12708">
        <v>3.6315</v>
      </c>
      <c r="C12708" t="str">
        <f t="shared" si="203"/>
        <v>2010 q2</v>
      </c>
    </row>
    <row r="12709" spans="1:3">
      <c r="A12709" s="62">
        <v>40274</v>
      </c>
      <c r="B12709">
        <v>3.617</v>
      </c>
      <c r="C12709" t="str">
        <f t="shared" si="203"/>
        <v>2010 q2</v>
      </c>
    </row>
    <row r="12710" spans="1:3">
      <c r="A12710" s="62">
        <v>40275</v>
      </c>
      <c r="B12710">
        <v>3.5975000000000001</v>
      </c>
      <c r="C12710" t="str">
        <f t="shared" si="203"/>
        <v>2010 q2</v>
      </c>
    </row>
    <row r="12711" spans="1:3">
      <c r="A12711" s="62">
        <v>40276</v>
      </c>
      <c r="B12711">
        <v>3.5865</v>
      </c>
      <c r="C12711" t="str">
        <f t="shared" si="203"/>
        <v>2010 q2</v>
      </c>
    </row>
    <row r="12712" spans="1:3">
      <c r="A12712" s="62">
        <v>40277</v>
      </c>
      <c r="B12712">
        <v>3.59</v>
      </c>
      <c r="C12712" t="str">
        <f t="shared" si="203"/>
        <v>2010 q2</v>
      </c>
    </row>
    <row r="12713" spans="1:3">
      <c r="A12713" s="62">
        <v>40280</v>
      </c>
      <c r="B12713">
        <v>3.5644999999999998</v>
      </c>
      <c r="C12713" t="str">
        <f t="shared" si="203"/>
        <v>2010 q2</v>
      </c>
    </row>
    <row r="12714" spans="1:3">
      <c r="A12714" s="62">
        <v>40281</v>
      </c>
      <c r="B12714">
        <v>3.6004999999999998</v>
      </c>
      <c r="C12714" t="str">
        <f t="shared" si="203"/>
        <v>2010 q2</v>
      </c>
    </row>
    <row r="12715" spans="1:3">
      <c r="A12715" s="62">
        <v>40282</v>
      </c>
      <c r="B12715">
        <v>3.6105</v>
      </c>
      <c r="C12715" t="str">
        <f t="shared" si="203"/>
        <v>2010 q2</v>
      </c>
    </row>
    <row r="12716" spans="1:3">
      <c r="A12716" s="62">
        <v>40283</v>
      </c>
      <c r="B12716">
        <v>3.6004999999999998</v>
      </c>
      <c r="C12716" t="str">
        <f t="shared" si="203"/>
        <v>2010 q2</v>
      </c>
    </row>
    <row r="12717" spans="1:3">
      <c r="A12717" s="62">
        <v>40284</v>
      </c>
      <c r="B12717">
        <v>3.5145</v>
      </c>
      <c r="C12717" t="str">
        <f t="shared" si="203"/>
        <v>2010 q2</v>
      </c>
    </row>
    <row r="12718" spans="1:3">
      <c r="A12718" s="62">
        <v>40287</v>
      </c>
      <c r="B12718">
        <v>3.4969999999999999</v>
      </c>
      <c r="C12718" t="str">
        <f t="shared" si="203"/>
        <v>2010 q2</v>
      </c>
    </row>
    <row r="12719" spans="1:3">
      <c r="A12719" s="62">
        <v>40288</v>
      </c>
      <c r="B12719">
        <v>3.5135000000000001</v>
      </c>
      <c r="C12719" t="str">
        <f t="shared" si="203"/>
        <v>2010 q2</v>
      </c>
    </row>
    <row r="12720" spans="1:3">
      <c r="A12720" s="62">
        <v>40289</v>
      </c>
      <c r="B12720">
        <v>3.5350000000000001</v>
      </c>
      <c r="C12720" t="str">
        <f t="shared" si="203"/>
        <v>2010 q2</v>
      </c>
    </row>
    <row r="12721" spans="1:3">
      <c r="A12721" s="62">
        <v>40290</v>
      </c>
      <c r="B12721">
        <v>3.4864999999999999</v>
      </c>
      <c r="C12721" t="str">
        <f t="shared" si="203"/>
        <v>2010 q2</v>
      </c>
    </row>
    <row r="12722" spans="1:3">
      <c r="A12722" s="62">
        <v>40291</v>
      </c>
      <c r="B12722">
        <v>3.5129999999999999</v>
      </c>
      <c r="C12722" t="str">
        <f t="shared" si="203"/>
        <v>2010 q2</v>
      </c>
    </row>
    <row r="12723" spans="1:3">
      <c r="A12723" s="62">
        <v>40294</v>
      </c>
      <c r="B12723">
        <v>3.528</v>
      </c>
      <c r="C12723" t="str">
        <f t="shared" si="203"/>
        <v>2010 q2</v>
      </c>
    </row>
    <row r="12724" spans="1:3">
      <c r="A12724" s="62">
        <v>40295</v>
      </c>
      <c r="B12724">
        <v>3.3673000000000002</v>
      </c>
      <c r="C12724" t="str">
        <f t="shared" si="203"/>
        <v>2010 q2</v>
      </c>
    </row>
    <row r="12725" spans="1:3">
      <c r="A12725" s="62">
        <v>40296</v>
      </c>
      <c r="B12725">
        <v>3.3757000000000001</v>
      </c>
      <c r="C12725" t="str">
        <f t="shared" si="203"/>
        <v>2010 q2</v>
      </c>
    </row>
    <row r="12726" spans="1:3">
      <c r="A12726" s="62">
        <v>40297</v>
      </c>
      <c r="B12726">
        <v>3.3437000000000001</v>
      </c>
      <c r="C12726" t="str">
        <f t="shared" si="203"/>
        <v>2010 q2</v>
      </c>
    </row>
    <row r="12727" spans="1:3">
      <c r="A12727" s="62">
        <v>40298</v>
      </c>
      <c r="B12727">
        <v>3.3502999999999998</v>
      </c>
      <c r="C12727" t="str">
        <f t="shared" si="203"/>
        <v>2010 q2</v>
      </c>
    </row>
    <row r="12728" spans="1:3">
      <c r="A12728" s="62">
        <v>40301</v>
      </c>
      <c r="B12728">
        <v>3.2934999999999999</v>
      </c>
      <c r="C12728" t="str">
        <f t="shared" si="203"/>
        <v>2010 q2</v>
      </c>
    </row>
    <row r="12729" spans="1:3">
      <c r="A12729" s="62">
        <v>40302</v>
      </c>
      <c r="B12729">
        <v>3.1785000000000001</v>
      </c>
      <c r="C12729" t="str">
        <f t="shared" si="203"/>
        <v>2010 q2</v>
      </c>
    </row>
    <row r="12730" spans="1:3">
      <c r="A12730" s="62">
        <v>40303</v>
      </c>
      <c r="B12730">
        <v>3.1515</v>
      </c>
      <c r="C12730" t="str">
        <f t="shared" si="203"/>
        <v>2010 q2</v>
      </c>
    </row>
    <row r="12731" spans="1:3">
      <c r="A12731" s="62">
        <v>40304</v>
      </c>
      <c r="B12731">
        <v>3.117</v>
      </c>
      <c r="C12731" t="str">
        <f t="shared" si="203"/>
        <v>2010 q2</v>
      </c>
    </row>
    <row r="12732" spans="1:3">
      <c r="A12732" s="62">
        <v>40305</v>
      </c>
      <c r="B12732">
        <v>3.1444999999999999</v>
      </c>
      <c r="C12732" t="str">
        <f t="shared" si="203"/>
        <v>2010 q2</v>
      </c>
    </row>
    <row r="12733" spans="1:3">
      <c r="A12733" s="62">
        <v>40308</v>
      </c>
      <c r="B12733">
        <v>3.2280000000000002</v>
      </c>
      <c r="C12733" t="str">
        <f t="shared" si="203"/>
        <v>2010 q2</v>
      </c>
    </row>
    <row r="12734" spans="1:3">
      <c r="A12734" s="62">
        <v>40309</v>
      </c>
      <c r="B12734">
        <v>3.2065000000000001</v>
      </c>
      <c r="C12734" t="str">
        <f t="shared" si="203"/>
        <v>2010 q2</v>
      </c>
    </row>
    <row r="12735" spans="1:3">
      <c r="A12735" s="62">
        <v>40310</v>
      </c>
      <c r="B12735">
        <v>3.1880000000000002</v>
      </c>
      <c r="C12735" t="str">
        <f t="shared" si="203"/>
        <v>2010 q2</v>
      </c>
    </row>
    <row r="12736" spans="1:3">
      <c r="A12736" s="62">
        <v>40311</v>
      </c>
      <c r="B12736">
        <v>3.2315</v>
      </c>
      <c r="C12736" t="str">
        <f t="shared" si="203"/>
        <v>2010 q2</v>
      </c>
    </row>
    <row r="12737" spans="1:3">
      <c r="A12737" s="62">
        <v>40312</v>
      </c>
      <c r="B12737">
        <v>3.1339999999999999</v>
      </c>
      <c r="C12737" t="str">
        <f t="shared" si="203"/>
        <v>2010 q2</v>
      </c>
    </row>
    <row r="12738" spans="1:3">
      <c r="A12738" s="62">
        <v>40315</v>
      </c>
      <c r="B12738">
        <v>2.9319999999999999</v>
      </c>
      <c r="C12738" t="str">
        <f t="shared" si="203"/>
        <v>2010 q2</v>
      </c>
    </row>
    <row r="12739" spans="1:3">
      <c r="A12739" s="62">
        <v>40316</v>
      </c>
      <c r="B12739">
        <v>3.0310000000000001</v>
      </c>
      <c r="C12739" t="str">
        <f t="shared" si="203"/>
        <v>2010 q2</v>
      </c>
    </row>
    <row r="12740" spans="1:3">
      <c r="A12740" s="62">
        <v>40317</v>
      </c>
      <c r="B12740">
        <v>2.9594999999999998</v>
      </c>
      <c r="C12740" t="str">
        <f t="shared" si="203"/>
        <v>2010 q2</v>
      </c>
    </row>
    <row r="12741" spans="1:3">
      <c r="A12741" s="62">
        <v>40318</v>
      </c>
      <c r="B12741">
        <v>2.9445000000000001</v>
      </c>
      <c r="C12741" t="str">
        <f t="shared" si="203"/>
        <v>2010 q2</v>
      </c>
    </row>
    <row r="12742" spans="1:3">
      <c r="A12742" s="62">
        <v>40319</v>
      </c>
      <c r="B12742">
        <v>3.0609999999999999</v>
      </c>
      <c r="C12742" t="str">
        <f t="shared" si="203"/>
        <v>2010 q2</v>
      </c>
    </row>
    <row r="12743" spans="1:3">
      <c r="A12743" s="62">
        <v>40322</v>
      </c>
      <c r="B12743">
        <v>3.1475</v>
      </c>
      <c r="C12743" t="str">
        <f t="shared" si="203"/>
        <v>2010 q2</v>
      </c>
    </row>
    <row r="12744" spans="1:3">
      <c r="A12744" s="62">
        <v>40323</v>
      </c>
      <c r="B12744">
        <v>3.0419999999999998</v>
      </c>
      <c r="C12744" t="str">
        <f t="shared" si="203"/>
        <v>2010 q2</v>
      </c>
    </row>
    <row r="12745" spans="1:3">
      <c r="A12745" s="62">
        <v>40324</v>
      </c>
      <c r="B12745">
        <v>3.0804999999999998</v>
      </c>
      <c r="C12745" t="str">
        <f t="shared" si="203"/>
        <v>2010 q2</v>
      </c>
    </row>
    <row r="12746" spans="1:3">
      <c r="A12746" s="62">
        <v>40325</v>
      </c>
      <c r="B12746">
        <v>3.1585000000000001</v>
      </c>
      <c r="C12746" t="str">
        <f t="shared" si="203"/>
        <v>2010 q2</v>
      </c>
    </row>
    <row r="12747" spans="1:3">
      <c r="A12747" s="62">
        <v>40326</v>
      </c>
      <c r="B12747">
        <v>3.1044999999999998</v>
      </c>
      <c r="C12747" t="str">
        <f t="shared" si="203"/>
        <v>2010 q2</v>
      </c>
    </row>
    <row r="12748" spans="1:3">
      <c r="A12748" s="62">
        <v>40330</v>
      </c>
      <c r="B12748">
        <v>3.0630000000000002</v>
      </c>
      <c r="C12748" t="str">
        <f t="shared" si="203"/>
        <v>2010 q2</v>
      </c>
    </row>
    <row r="12749" spans="1:3">
      <c r="A12749" s="62">
        <v>40331</v>
      </c>
      <c r="B12749">
        <v>3.0405000000000002</v>
      </c>
      <c r="C12749" t="str">
        <f t="shared" si="203"/>
        <v>2010 q2</v>
      </c>
    </row>
    <row r="12750" spans="1:3">
      <c r="A12750" s="62">
        <v>40332</v>
      </c>
      <c r="B12750">
        <v>2.9464999999999999</v>
      </c>
      <c r="C12750" t="str">
        <f t="shared" si="203"/>
        <v>2010 q2</v>
      </c>
    </row>
    <row r="12751" spans="1:3">
      <c r="A12751" s="62">
        <v>40333</v>
      </c>
      <c r="B12751">
        <v>2.8195000000000001</v>
      </c>
      <c r="C12751" t="str">
        <f t="shared" si="203"/>
        <v>2010 q2</v>
      </c>
    </row>
    <row r="12752" spans="1:3">
      <c r="A12752" s="62">
        <v>40336</v>
      </c>
      <c r="B12752">
        <v>2.766</v>
      </c>
      <c r="C12752" t="str">
        <f t="shared" si="203"/>
        <v>2010 q2</v>
      </c>
    </row>
    <row r="12753" spans="1:3">
      <c r="A12753" s="62">
        <v>40337</v>
      </c>
      <c r="B12753">
        <v>2.7795000000000001</v>
      </c>
      <c r="C12753" t="str">
        <f t="shared" si="203"/>
        <v>2010 q2</v>
      </c>
    </row>
    <row r="12754" spans="1:3">
      <c r="A12754" s="62">
        <v>40338</v>
      </c>
      <c r="B12754">
        <v>2.85</v>
      </c>
      <c r="C12754" t="str">
        <f t="shared" ref="C12754:C12817" si="204">YEAR(A12754)&amp;" q"&amp;ROUNDUP(MONTH(A12754)/3,0)</f>
        <v>2010 q2</v>
      </c>
    </row>
    <row r="12755" spans="1:3">
      <c r="A12755" s="62">
        <v>40339</v>
      </c>
      <c r="B12755">
        <v>2.8624999999999998</v>
      </c>
      <c r="C12755" t="str">
        <f t="shared" si="204"/>
        <v>2010 q2</v>
      </c>
    </row>
    <row r="12756" spans="1:3">
      <c r="A12756" s="62">
        <v>40340</v>
      </c>
      <c r="B12756">
        <v>2.9039999999999999</v>
      </c>
      <c r="C12756" t="str">
        <f t="shared" si="204"/>
        <v>2010 q2</v>
      </c>
    </row>
    <row r="12757" spans="1:3">
      <c r="A12757" s="62">
        <v>40343</v>
      </c>
      <c r="B12757">
        <v>2.992</v>
      </c>
      <c r="C12757" t="str">
        <f t="shared" si="204"/>
        <v>2010 q2</v>
      </c>
    </row>
    <row r="12758" spans="1:3">
      <c r="A12758" s="62">
        <v>40344</v>
      </c>
      <c r="B12758">
        <v>3.0045000000000002</v>
      </c>
      <c r="C12758" t="str">
        <f t="shared" si="204"/>
        <v>2010 q2</v>
      </c>
    </row>
    <row r="12759" spans="1:3">
      <c r="A12759" s="62">
        <v>40345</v>
      </c>
      <c r="B12759">
        <v>2.9954999999999998</v>
      </c>
      <c r="C12759" t="str">
        <f t="shared" si="204"/>
        <v>2010 q2</v>
      </c>
    </row>
    <row r="12760" spans="1:3">
      <c r="A12760" s="62">
        <v>40346</v>
      </c>
      <c r="B12760">
        <v>2.9055</v>
      </c>
      <c r="C12760" t="str">
        <f t="shared" si="204"/>
        <v>2010 q2</v>
      </c>
    </row>
    <row r="12761" spans="1:3">
      <c r="A12761" s="62">
        <v>40347</v>
      </c>
      <c r="B12761">
        <v>2.8839999999999999</v>
      </c>
      <c r="C12761" t="str">
        <f t="shared" si="204"/>
        <v>2010 q2</v>
      </c>
    </row>
    <row r="12762" spans="1:3">
      <c r="A12762" s="62">
        <v>40350</v>
      </c>
      <c r="B12762">
        <v>2.9420000000000002</v>
      </c>
      <c r="C12762" t="str">
        <f t="shared" si="204"/>
        <v>2010 q2</v>
      </c>
    </row>
    <row r="12763" spans="1:3">
      <c r="A12763" s="62">
        <v>40351</v>
      </c>
      <c r="B12763">
        <v>2.992</v>
      </c>
      <c r="C12763" t="str">
        <f t="shared" si="204"/>
        <v>2010 q2</v>
      </c>
    </row>
    <row r="12764" spans="1:3">
      <c r="A12764" s="62">
        <v>40352</v>
      </c>
      <c r="B12764">
        <v>2.9355000000000002</v>
      </c>
      <c r="C12764" t="str">
        <f t="shared" si="204"/>
        <v>2010 q2</v>
      </c>
    </row>
    <row r="12765" spans="1:3">
      <c r="A12765" s="62">
        <v>40353</v>
      </c>
      <c r="B12765">
        <v>3.0055000000000001</v>
      </c>
      <c r="C12765" t="str">
        <f t="shared" si="204"/>
        <v>2010 q2</v>
      </c>
    </row>
    <row r="12766" spans="1:3">
      <c r="A12766" s="62">
        <v>40354</v>
      </c>
      <c r="B12766">
        <v>3.0985999999999998</v>
      </c>
      <c r="C12766" t="str">
        <f t="shared" si="204"/>
        <v>2010 q2</v>
      </c>
    </row>
    <row r="12767" spans="1:3">
      <c r="A12767" s="62">
        <v>40357</v>
      </c>
      <c r="B12767">
        <v>3.0787</v>
      </c>
      <c r="C12767" t="str">
        <f t="shared" si="204"/>
        <v>2010 q2</v>
      </c>
    </row>
    <row r="12768" spans="1:3">
      <c r="A12768" s="62">
        <v>40358</v>
      </c>
      <c r="B12768">
        <v>2.9245000000000001</v>
      </c>
      <c r="C12768" t="str">
        <f t="shared" si="204"/>
        <v>2010 q2</v>
      </c>
    </row>
    <row r="12769" spans="1:3">
      <c r="A12769" s="62">
        <v>40359</v>
      </c>
      <c r="B12769">
        <v>2.9476</v>
      </c>
      <c r="C12769" t="str">
        <f t="shared" si="204"/>
        <v>2010 q2</v>
      </c>
    </row>
    <row r="12770" spans="1:3">
      <c r="A12770" s="62">
        <v>40360</v>
      </c>
      <c r="B12770">
        <v>2.8769999999999998</v>
      </c>
      <c r="C12770" t="str">
        <f t="shared" si="204"/>
        <v>2010 q3</v>
      </c>
    </row>
    <row r="12771" spans="1:3">
      <c r="A12771" s="62">
        <v>40361</v>
      </c>
      <c r="B12771">
        <v>2.9159999999999999</v>
      </c>
      <c r="C12771" t="str">
        <f t="shared" si="204"/>
        <v>2010 q3</v>
      </c>
    </row>
    <row r="12772" spans="1:3">
      <c r="A12772" s="62">
        <v>40365</v>
      </c>
      <c r="B12772">
        <v>2.9710000000000001</v>
      </c>
      <c r="C12772" t="str">
        <f t="shared" si="204"/>
        <v>2010 q3</v>
      </c>
    </row>
    <row r="12773" spans="1:3">
      <c r="A12773" s="62">
        <v>40366</v>
      </c>
      <c r="B12773">
        <v>3.0150000000000001</v>
      </c>
      <c r="C12773" t="str">
        <f t="shared" si="204"/>
        <v>2010 q3</v>
      </c>
    </row>
    <row r="12774" spans="1:3">
      <c r="A12774" s="62">
        <v>40367</v>
      </c>
      <c r="B12774">
        <v>3.0154999999999998</v>
      </c>
      <c r="C12774" t="str">
        <f t="shared" si="204"/>
        <v>2010 q3</v>
      </c>
    </row>
    <row r="12775" spans="1:3">
      <c r="A12775" s="62">
        <v>40368</v>
      </c>
      <c r="B12775">
        <v>3.0535000000000001</v>
      </c>
      <c r="C12775" t="str">
        <f t="shared" si="204"/>
        <v>2010 q3</v>
      </c>
    </row>
    <row r="12776" spans="1:3">
      <c r="A12776" s="62">
        <v>40371</v>
      </c>
      <c r="B12776">
        <v>3.0089999999999999</v>
      </c>
      <c r="C12776" t="str">
        <f t="shared" si="204"/>
        <v>2010 q3</v>
      </c>
    </row>
    <row r="12777" spans="1:3">
      <c r="A12777" s="62">
        <v>40372</v>
      </c>
      <c r="B12777">
        <v>3.0175000000000001</v>
      </c>
      <c r="C12777" t="str">
        <f t="shared" si="204"/>
        <v>2010 q3</v>
      </c>
    </row>
    <row r="12778" spans="1:3">
      <c r="A12778" s="62">
        <v>40373</v>
      </c>
      <c r="B12778">
        <v>3.0085000000000002</v>
      </c>
      <c r="C12778" t="str">
        <f t="shared" si="204"/>
        <v>2010 q3</v>
      </c>
    </row>
    <row r="12779" spans="1:3">
      <c r="A12779" s="62">
        <v>40374</v>
      </c>
      <c r="B12779">
        <v>3.012</v>
      </c>
      <c r="C12779" t="str">
        <f t="shared" si="204"/>
        <v>2010 q3</v>
      </c>
    </row>
    <row r="12780" spans="1:3">
      <c r="A12780" s="62">
        <v>40375</v>
      </c>
      <c r="B12780">
        <v>2.9295</v>
      </c>
      <c r="C12780" t="str">
        <f t="shared" si="204"/>
        <v>2010 q3</v>
      </c>
    </row>
    <row r="12781" spans="1:3">
      <c r="A12781" s="62">
        <v>40378</v>
      </c>
      <c r="B12781">
        <v>2.9380000000000002</v>
      </c>
      <c r="C12781" t="str">
        <f t="shared" si="204"/>
        <v>2010 q3</v>
      </c>
    </row>
    <row r="12782" spans="1:3">
      <c r="A12782" s="62">
        <v>40379</v>
      </c>
      <c r="B12782">
        <v>3.0015000000000001</v>
      </c>
      <c r="C12782" t="str">
        <f t="shared" si="204"/>
        <v>2010 q3</v>
      </c>
    </row>
    <row r="12783" spans="1:3">
      <c r="A12783" s="62">
        <v>40380</v>
      </c>
      <c r="B12783">
        <v>3.093</v>
      </c>
      <c r="C12783" t="str">
        <f t="shared" si="204"/>
        <v>2010 q3</v>
      </c>
    </row>
    <row r="12784" spans="1:3">
      <c r="A12784" s="62">
        <v>40381</v>
      </c>
      <c r="B12784">
        <v>3.1644999999999999</v>
      </c>
      <c r="C12784" t="str">
        <f t="shared" si="204"/>
        <v>2010 q3</v>
      </c>
    </row>
    <row r="12785" spans="1:3">
      <c r="A12785" s="62">
        <v>40382</v>
      </c>
      <c r="B12785">
        <v>3.1850000000000001</v>
      </c>
      <c r="C12785" t="str">
        <f t="shared" si="204"/>
        <v>2010 q3</v>
      </c>
    </row>
    <row r="12786" spans="1:3">
      <c r="A12786" s="62">
        <v>40385</v>
      </c>
      <c r="B12786">
        <v>3.2229999999999999</v>
      </c>
      <c r="C12786" t="str">
        <f t="shared" si="204"/>
        <v>2010 q3</v>
      </c>
    </row>
    <row r="12787" spans="1:3">
      <c r="A12787" s="62">
        <v>40386</v>
      </c>
      <c r="B12787">
        <v>3.2065000000000001</v>
      </c>
      <c r="C12787" t="str">
        <f t="shared" si="204"/>
        <v>2010 q3</v>
      </c>
    </row>
    <row r="12788" spans="1:3">
      <c r="A12788" s="62">
        <v>40387</v>
      </c>
      <c r="B12788">
        <v>3.2454999999999998</v>
      </c>
      <c r="C12788" t="str">
        <f t="shared" si="204"/>
        <v>2010 q3</v>
      </c>
    </row>
    <row r="12789" spans="1:3">
      <c r="A12789" s="62">
        <v>40388</v>
      </c>
      <c r="B12789">
        <v>3.29</v>
      </c>
      <c r="C12789" t="str">
        <f t="shared" si="204"/>
        <v>2010 q3</v>
      </c>
    </row>
    <row r="12790" spans="1:3">
      <c r="A12790" s="62">
        <v>40389</v>
      </c>
      <c r="B12790">
        <v>3.3115000000000001</v>
      </c>
      <c r="C12790" t="str">
        <f t="shared" si="204"/>
        <v>2010 q3</v>
      </c>
    </row>
    <row r="12791" spans="1:3">
      <c r="A12791" s="62">
        <v>40392</v>
      </c>
      <c r="B12791">
        <v>3.3895</v>
      </c>
      <c r="C12791" t="str">
        <f t="shared" si="204"/>
        <v>2010 q3</v>
      </c>
    </row>
    <row r="12792" spans="1:3">
      <c r="A12792" s="62">
        <v>40393</v>
      </c>
      <c r="B12792">
        <v>3.3584999999999998</v>
      </c>
      <c r="C12792" t="str">
        <f t="shared" si="204"/>
        <v>2010 q3</v>
      </c>
    </row>
    <row r="12793" spans="1:3">
      <c r="A12793" s="62">
        <v>40394</v>
      </c>
      <c r="B12793">
        <v>3.4045000000000001</v>
      </c>
      <c r="C12793" t="str">
        <f t="shared" si="204"/>
        <v>2010 q3</v>
      </c>
    </row>
    <row r="12794" spans="1:3">
      <c r="A12794" s="62">
        <v>40395</v>
      </c>
      <c r="B12794">
        <v>3.3534999999999999</v>
      </c>
      <c r="C12794" t="str">
        <f t="shared" si="204"/>
        <v>2010 q3</v>
      </c>
    </row>
    <row r="12795" spans="1:3">
      <c r="A12795" s="62">
        <v>40396</v>
      </c>
      <c r="B12795">
        <v>3.343</v>
      </c>
      <c r="C12795" t="str">
        <f t="shared" si="204"/>
        <v>2010 q3</v>
      </c>
    </row>
    <row r="12796" spans="1:3">
      <c r="A12796" s="62">
        <v>40399</v>
      </c>
      <c r="B12796">
        <v>3.3540000000000001</v>
      </c>
      <c r="C12796" t="str">
        <f t="shared" si="204"/>
        <v>2010 q3</v>
      </c>
    </row>
    <row r="12797" spans="1:3">
      <c r="A12797" s="62">
        <v>40400</v>
      </c>
      <c r="B12797">
        <v>3.3125</v>
      </c>
      <c r="C12797" t="str">
        <f t="shared" si="204"/>
        <v>2010 q3</v>
      </c>
    </row>
    <row r="12798" spans="1:3">
      <c r="A12798" s="62">
        <v>40401</v>
      </c>
      <c r="B12798">
        <v>3.254</v>
      </c>
      <c r="C12798" t="str">
        <f t="shared" si="204"/>
        <v>2010 q3</v>
      </c>
    </row>
    <row r="12799" spans="1:3">
      <c r="A12799" s="62">
        <v>40402</v>
      </c>
      <c r="B12799">
        <v>3.2839999999999998</v>
      </c>
      <c r="C12799" t="str">
        <f t="shared" si="204"/>
        <v>2010 q3</v>
      </c>
    </row>
    <row r="12800" spans="1:3">
      <c r="A12800" s="62">
        <v>40403</v>
      </c>
      <c r="B12800">
        <v>3.2519999999999998</v>
      </c>
      <c r="C12800" t="str">
        <f t="shared" si="204"/>
        <v>2010 q3</v>
      </c>
    </row>
    <row r="12801" spans="1:3">
      <c r="A12801" s="62">
        <v>40406</v>
      </c>
      <c r="B12801">
        <v>3.2795000000000001</v>
      </c>
      <c r="C12801" t="str">
        <f t="shared" si="204"/>
        <v>2010 q3</v>
      </c>
    </row>
    <row r="12802" spans="1:3">
      <c r="A12802" s="62">
        <v>40407</v>
      </c>
      <c r="B12802">
        <v>3.3384999999999998</v>
      </c>
      <c r="C12802" t="str">
        <f t="shared" si="204"/>
        <v>2010 q3</v>
      </c>
    </row>
    <row r="12803" spans="1:3">
      <c r="A12803" s="62">
        <v>40408</v>
      </c>
      <c r="B12803">
        <v>3.3494999999999999</v>
      </c>
      <c r="C12803" t="str">
        <f t="shared" si="204"/>
        <v>2010 q3</v>
      </c>
    </row>
    <row r="12804" spans="1:3">
      <c r="A12804" s="62">
        <v>40409</v>
      </c>
      <c r="B12804">
        <v>3.3184999999999998</v>
      </c>
      <c r="C12804" t="str">
        <f t="shared" si="204"/>
        <v>2010 q3</v>
      </c>
    </row>
    <row r="12805" spans="1:3">
      <c r="A12805" s="62">
        <v>40410</v>
      </c>
      <c r="B12805">
        <v>3.2909999999999999</v>
      </c>
      <c r="C12805" t="str">
        <f t="shared" si="204"/>
        <v>2010 q3</v>
      </c>
    </row>
    <row r="12806" spans="1:3">
      <c r="A12806" s="62">
        <v>40413</v>
      </c>
      <c r="B12806">
        <v>3.2915000000000001</v>
      </c>
      <c r="C12806" t="str">
        <f t="shared" si="204"/>
        <v>2010 q3</v>
      </c>
    </row>
    <row r="12807" spans="1:3">
      <c r="A12807" s="62">
        <v>40414</v>
      </c>
      <c r="B12807">
        <v>3.2410000000000001</v>
      </c>
      <c r="C12807" t="str">
        <f t="shared" si="204"/>
        <v>2010 q3</v>
      </c>
    </row>
    <row r="12808" spans="1:3">
      <c r="A12808" s="62">
        <v>40415</v>
      </c>
      <c r="B12808">
        <v>3.2109999999999999</v>
      </c>
      <c r="C12808" t="str">
        <f t="shared" si="204"/>
        <v>2010 q3</v>
      </c>
    </row>
    <row r="12809" spans="1:3">
      <c r="A12809" s="62">
        <v>40416</v>
      </c>
      <c r="B12809">
        <v>3.3087</v>
      </c>
      <c r="C12809" t="str">
        <f t="shared" si="204"/>
        <v>2010 q3</v>
      </c>
    </row>
    <row r="12810" spans="1:3">
      <c r="A12810" s="62">
        <v>40417</v>
      </c>
      <c r="B12810">
        <v>3.3715999999999999</v>
      </c>
      <c r="C12810" t="str">
        <f t="shared" si="204"/>
        <v>2010 q3</v>
      </c>
    </row>
    <row r="12811" spans="1:3">
      <c r="A12811" s="62">
        <v>40420</v>
      </c>
      <c r="B12811">
        <v>3.4228999999999998</v>
      </c>
      <c r="C12811" t="str">
        <f t="shared" si="204"/>
        <v>2010 q3</v>
      </c>
    </row>
    <row r="12812" spans="1:3">
      <c r="A12812" s="62">
        <v>40421</v>
      </c>
      <c r="B12812">
        <v>3.3681999999999999</v>
      </c>
      <c r="C12812" t="str">
        <f t="shared" si="204"/>
        <v>2010 q3</v>
      </c>
    </row>
    <row r="12813" spans="1:3">
      <c r="A12813" s="62">
        <v>40422</v>
      </c>
      <c r="B12813">
        <v>3.4775</v>
      </c>
      <c r="C12813" t="str">
        <f t="shared" si="204"/>
        <v>2010 q3</v>
      </c>
    </row>
    <row r="12814" spans="1:3">
      <c r="A12814" s="62">
        <v>40423</v>
      </c>
      <c r="B12814">
        <v>3.4954999999999998</v>
      </c>
      <c r="C12814" t="str">
        <f t="shared" si="204"/>
        <v>2010 q3</v>
      </c>
    </row>
    <row r="12815" spans="1:3">
      <c r="A12815" s="62">
        <v>40424</v>
      </c>
      <c r="B12815">
        <v>3.5</v>
      </c>
      <c r="C12815" t="str">
        <f t="shared" si="204"/>
        <v>2010 q3</v>
      </c>
    </row>
    <row r="12816" spans="1:3">
      <c r="A12816" s="62">
        <v>40428</v>
      </c>
      <c r="B12816">
        <v>3.4704999999999999</v>
      </c>
      <c r="C12816" t="str">
        <f t="shared" si="204"/>
        <v>2010 q3</v>
      </c>
    </row>
    <row r="12817" spans="1:3">
      <c r="A12817" s="62">
        <v>40430</v>
      </c>
      <c r="B12817">
        <v>3.4434999999999998</v>
      </c>
      <c r="C12817" t="str">
        <f t="shared" si="204"/>
        <v>2010 q3</v>
      </c>
    </row>
    <row r="12818" spans="1:3">
      <c r="A12818" s="62">
        <v>40431</v>
      </c>
      <c r="B12818">
        <v>3.4064999999999999</v>
      </c>
      <c r="C12818" t="str">
        <f t="shared" ref="C12818:C12881" si="205">YEAR(A12818)&amp;" q"&amp;ROUNDUP(MONTH(A12818)/3,0)</f>
        <v>2010 q3</v>
      </c>
    </row>
    <row r="12819" spans="1:3">
      <c r="A12819" s="62">
        <v>40434</v>
      </c>
      <c r="B12819">
        <v>3.4790000000000001</v>
      </c>
      <c r="C12819" t="str">
        <f t="shared" si="205"/>
        <v>2010 q3</v>
      </c>
    </row>
    <row r="12820" spans="1:3">
      <c r="A12820" s="62">
        <v>40435</v>
      </c>
      <c r="B12820">
        <v>3.4685000000000001</v>
      </c>
      <c r="C12820" t="str">
        <f t="shared" si="205"/>
        <v>2010 q3</v>
      </c>
    </row>
    <row r="12821" spans="1:3">
      <c r="A12821" s="62">
        <v>40436</v>
      </c>
      <c r="B12821">
        <v>3.4664999999999999</v>
      </c>
      <c r="C12821" t="str">
        <f t="shared" si="205"/>
        <v>2010 q3</v>
      </c>
    </row>
    <row r="12822" spans="1:3">
      <c r="A12822" s="62">
        <v>40437</v>
      </c>
      <c r="B12822">
        <v>3.4935</v>
      </c>
      <c r="C12822" t="str">
        <f t="shared" si="205"/>
        <v>2010 q3</v>
      </c>
    </row>
    <row r="12823" spans="1:3">
      <c r="A12823" s="62">
        <v>40438</v>
      </c>
      <c r="B12823">
        <v>3.5219999999999998</v>
      </c>
      <c r="C12823" t="str">
        <f t="shared" si="205"/>
        <v>2010 q3</v>
      </c>
    </row>
    <row r="12824" spans="1:3">
      <c r="A12824" s="62">
        <v>40441</v>
      </c>
      <c r="B12824">
        <v>3.5045000000000002</v>
      </c>
      <c r="C12824" t="str">
        <f t="shared" si="205"/>
        <v>2010 q3</v>
      </c>
    </row>
    <row r="12825" spans="1:3">
      <c r="A12825" s="62">
        <v>40442</v>
      </c>
      <c r="B12825">
        <v>3.4809999999999999</v>
      </c>
      <c r="C12825" t="str">
        <f t="shared" si="205"/>
        <v>2010 q3</v>
      </c>
    </row>
    <row r="12826" spans="1:3">
      <c r="A12826" s="62">
        <v>40443</v>
      </c>
      <c r="B12826">
        <v>3.5649999999999999</v>
      </c>
      <c r="C12826" t="str">
        <f t="shared" si="205"/>
        <v>2010 q3</v>
      </c>
    </row>
    <row r="12827" spans="1:3">
      <c r="A12827" s="62">
        <v>40444</v>
      </c>
      <c r="B12827">
        <v>3.5905</v>
      </c>
      <c r="C12827" t="str">
        <f t="shared" si="205"/>
        <v>2010 q3</v>
      </c>
    </row>
    <row r="12828" spans="1:3">
      <c r="A12828" s="62">
        <v>40445</v>
      </c>
      <c r="B12828">
        <v>3.6179999999999999</v>
      </c>
      <c r="C12828" t="str">
        <f t="shared" si="205"/>
        <v>2010 q3</v>
      </c>
    </row>
    <row r="12829" spans="1:3">
      <c r="A12829" s="62">
        <v>40448</v>
      </c>
      <c r="B12829">
        <v>3.597</v>
      </c>
      <c r="C12829" t="str">
        <f t="shared" si="205"/>
        <v>2010 q3</v>
      </c>
    </row>
    <row r="12830" spans="1:3">
      <c r="A12830" s="62">
        <v>40450</v>
      </c>
      <c r="B12830">
        <v>3.6615000000000002</v>
      </c>
      <c r="C12830" t="str">
        <f t="shared" si="205"/>
        <v>2010 q3</v>
      </c>
    </row>
    <row r="12831" spans="1:3">
      <c r="A12831" s="62">
        <v>40451</v>
      </c>
      <c r="B12831">
        <v>3.6515</v>
      </c>
      <c r="C12831" t="str">
        <f t="shared" si="205"/>
        <v>2010 q3</v>
      </c>
    </row>
    <row r="12832" spans="1:3">
      <c r="A12832" s="62">
        <v>40452</v>
      </c>
      <c r="B12832">
        <v>3.6905000000000001</v>
      </c>
      <c r="C12832" t="str">
        <f t="shared" si="205"/>
        <v>2010 q4</v>
      </c>
    </row>
    <row r="12833" spans="1:3">
      <c r="A12833" s="62">
        <v>40455</v>
      </c>
      <c r="B12833">
        <v>3.6640000000000001</v>
      </c>
      <c r="C12833" t="str">
        <f t="shared" si="205"/>
        <v>2010 q4</v>
      </c>
    </row>
    <row r="12834" spans="1:3">
      <c r="A12834" s="62">
        <v>40456</v>
      </c>
      <c r="B12834">
        <v>3.7265000000000001</v>
      </c>
      <c r="C12834" t="str">
        <f t="shared" si="205"/>
        <v>2010 q4</v>
      </c>
    </row>
    <row r="12835" spans="1:3">
      <c r="A12835" s="62">
        <v>40457</v>
      </c>
      <c r="B12835">
        <v>3.7530000000000001</v>
      </c>
      <c r="C12835" t="str">
        <f t="shared" si="205"/>
        <v>2010 q4</v>
      </c>
    </row>
    <row r="12836" spans="1:3">
      <c r="A12836" s="62">
        <v>40458</v>
      </c>
      <c r="B12836">
        <v>3.6795</v>
      </c>
      <c r="C12836" t="str">
        <f t="shared" si="205"/>
        <v>2010 q4</v>
      </c>
    </row>
    <row r="12837" spans="1:3">
      <c r="A12837" s="62">
        <v>40459</v>
      </c>
      <c r="B12837">
        <v>3.7745000000000002</v>
      </c>
      <c r="C12837" t="str">
        <f t="shared" si="205"/>
        <v>2010 q4</v>
      </c>
    </row>
    <row r="12838" spans="1:3">
      <c r="A12838" s="62">
        <v>40462</v>
      </c>
      <c r="B12838">
        <v>3.7894999999999999</v>
      </c>
      <c r="C12838" t="str">
        <f t="shared" si="205"/>
        <v>2010 q4</v>
      </c>
    </row>
    <row r="12839" spans="1:3">
      <c r="A12839" s="62">
        <v>40463</v>
      </c>
      <c r="B12839">
        <v>3.7894999999999999</v>
      </c>
      <c r="C12839" t="str">
        <f t="shared" si="205"/>
        <v>2010 q4</v>
      </c>
    </row>
    <row r="12840" spans="1:3">
      <c r="A12840" s="62">
        <v>40464</v>
      </c>
      <c r="B12840">
        <v>3.8205</v>
      </c>
      <c r="C12840" t="str">
        <f t="shared" si="205"/>
        <v>2010 q4</v>
      </c>
    </row>
    <row r="12841" spans="1:3">
      <c r="A12841" s="62">
        <v>40465</v>
      </c>
      <c r="B12841">
        <v>3.8155000000000001</v>
      </c>
      <c r="C12841" t="str">
        <f t="shared" si="205"/>
        <v>2010 q4</v>
      </c>
    </row>
    <row r="12842" spans="1:3">
      <c r="A12842" s="62">
        <v>40466</v>
      </c>
      <c r="B12842">
        <v>3.839</v>
      </c>
      <c r="C12842" t="str">
        <f t="shared" si="205"/>
        <v>2010 q4</v>
      </c>
    </row>
    <row r="12843" spans="1:3">
      <c r="A12843" s="62">
        <v>40469</v>
      </c>
      <c r="B12843">
        <v>3.855</v>
      </c>
      <c r="C12843" t="str">
        <f t="shared" si="205"/>
        <v>2010 q4</v>
      </c>
    </row>
    <row r="12844" spans="1:3">
      <c r="A12844" s="62">
        <v>40470</v>
      </c>
      <c r="B12844">
        <v>3.7574999999999998</v>
      </c>
      <c r="C12844" t="str">
        <f t="shared" si="205"/>
        <v>2010 q4</v>
      </c>
    </row>
    <row r="12845" spans="1:3">
      <c r="A12845" s="62">
        <v>40471</v>
      </c>
      <c r="B12845">
        <v>3.7934999999999999</v>
      </c>
      <c r="C12845" t="str">
        <f t="shared" si="205"/>
        <v>2010 q4</v>
      </c>
    </row>
    <row r="12846" spans="1:3">
      <c r="A12846" s="62">
        <v>40472</v>
      </c>
      <c r="B12846">
        <v>3.7814999999999999</v>
      </c>
      <c r="C12846" t="str">
        <f t="shared" si="205"/>
        <v>2010 q4</v>
      </c>
    </row>
    <row r="12847" spans="1:3">
      <c r="A12847" s="62">
        <v>40473</v>
      </c>
      <c r="B12847">
        <v>3.7970000000000002</v>
      </c>
      <c r="C12847" t="str">
        <f t="shared" si="205"/>
        <v>2010 q4</v>
      </c>
    </row>
    <row r="12848" spans="1:3">
      <c r="A12848" s="62">
        <v>40476</v>
      </c>
      <c r="B12848">
        <v>3.863</v>
      </c>
      <c r="C12848" t="str">
        <f t="shared" si="205"/>
        <v>2010 q4</v>
      </c>
    </row>
    <row r="12849" spans="1:3">
      <c r="A12849" s="62">
        <v>40477</v>
      </c>
      <c r="B12849">
        <v>3.8690000000000002</v>
      </c>
      <c r="C12849" t="str">
        <f t="shared" si="205"/>
        <v>2010 q4</v>
      </c>
    </row>
    <row r="12850" spans="1:3">
      <c r="A12850" s="62">
        <v>40478</v>
      </c>
      <c r="B12850">
        <v>3.7755000000000001</v>
      </c>
      <c r="C12850" t="str">
        <f t="shared" si="205"/>
        <v>2010 q4</v>
      </c>
    </row>
    <row r="12851" spans="1:3">
      <c r="A12851" s="62">
        <v>40479</v>
      </c>
      <c r="B12851">
        <v>3.7875000000000001</v>
      </c>
      <c r="C12851" t="str">
        <f t="shared" si="205"/>
        <v>2010 q4</v>
      </c>
    </row>
    <row r="12852" spans="1:3">
      <c r="A12852" s="62">
        <v>40480</v>
      </c>
      <c r="B12852">
        <v>3.7334999999999998</v>
      </c>
      <c r="C12852" t="str">
        <f t="shared" si="205"/>
        <v>2010 q4</v>
      </c>
    </row>
    <row r="12853" spans="1:3">
      <c r="A12853" s="62">
        <v>40483</v>
      </c>
      <c r="B12853">
        <v>3.7850000000000001</v>
      </c>
      <c r="C12853" t="str">
        <f t="shared" si="205"/>
        <v>2010 q4</v>
      </c>
    </row>
    <row r="12854" spans="1:3">
      <c r="A12854" s="62">
        <v>40484</v>
      </c>
      <c r="B12854">
        <v>3.839</v>
      </c>
      <c r="C12854" t="str">
        <f t="shared" si="205"/>
        <v>2010 q4</v>
      </c>
    </row>
    <row r="12855" spans="1:3">
      <c r="A12855" s="62">
        <v>40485</v>
      </c>
      <c r="B12855">
        <v>3.7850000000000001</v>
      </c>
      <c r="C12855" t="str">
        <f t="shared" si="205"/>
        <v>2010 q4</v>
      </c>
    </row>
    <row r="12856" spans="1:3">
      <c r="A12856" s="62">
        <v>40486</v>
      </c>
      <c r="B12856">
        <v>3.9119999999999999</v>
      </c>
      <c r="C12856" t="str">
        <f t="shared" si="205"/>
        <v>2010 q4</v>
      </c>
    </row>
    <row r="12857" spans="1:3">
      <c r="A12857" s="62">
        <v>40487</v>
      </c>
      <c r="B12857">
        <v>3.9485000000000001</v>
      </c>
      <c r="C12857" t="str">
        <f t="shared" si="205"/>
        <v>2010 q4</v>
      </c>
    </row>
    <row r="12858" spans="1:3">
      <c r="A12858" s="62">
        <v>40490</v>
      </c>
      <c r="B12858">
        <v>3.9565000000000001</v>
      </c>
      <c r="C12858" t="str">
        <f t="shared" si="205"/>
        <v>2010 q4</v>
      </c>
    </row>
    <row r="12859" spans="1:3">
      <c r="A12859" s="62">
        <v>40491</v>
      </c>
      <c r="B12859">
        <v>4.0430000000000001</v>
      </c>
      <c r="C12859" t="str">
        <f t="shared" si="205"/>
        <v>2010 q4</v>
      </c>
    </row>
    <row r="12860" spans="1:3">
      <c r="A12860" s="62">
        <v>40492</v>
      </c>
      <c r="B12860">
        <v>3.9689999999999999</v>
      </c>
      <c r="C12860" t="str">
        <f t="shared" si="205"/>
        <v>2010 q4</v>
      </c>
    </row>
    <row r="12861" spans="1:3">
      <c r="A12861" s="62">
        <v>40493</v>
      </c>
      <c r="B12861">
        <v>4.0225</v>
      </c>
      <c r="C12861" t="str">
        <f t="shared" si="205"/>
        <v>2010 q4</v>
      </c>
    </row>
    <row r="12862" spans="1:3">
      <c r="A12862" s="62">
        <v>40494</v>
      </c>
      <c r="B12862">
        <v>3.8935</v>
      </c>
      <c r="C12862" t="str">
        <f t="shared" si="205"/>
        <v>2010 q4</v>
      </c>
    </row>
    <row r="12863" spans="1:3">
      <c r="A12863" s="62">
        <v>40497</v>
      </c>
      <c r="B12863">
        <v>3.9249999999999998</v>
      </c>
      <c r="C12863" t="str">
        <f t="shared" si="205"/>
        <v>2010 q4</v>
      </c>
    </row>
    <row r="12864" spans="1:3">
      <c r="A12864" s="62">
        <v>40498</v>
      </c>
      <c r="B12864">
        <v>3.7275</v>
      </c>
      <c r="C12864" t="str">
        <f t="shared" si="205"/>
        <v>2010 q4</v>
      </c>
    </row>
    <row r="12865" spans="1:3">
      <c r="A12865" s="62">
        <v>40499</v>
      </c>
      <c r="B12865">
        <v>3.7294999999999998</v>
      </c>
      <c r="C12865" t="str">
        <f t="shared" si="205"/>
        <v>2010 q4</v>
      </c>
    </row>
    <row r="12866" spans="1:3">
      <c r="A12866" s="62">
        <v>40500</v>
      </c>
      <c r="B12866">
        <v>3.831</v>
      </c>
      <c r="C12866" t="str">
        <f t="shared" si="205"/>
        <v>2010 q4</v>
      </c>
    </row>
    <row r="12867" spans="1:3">
      <c r="A12867" s="62">
        <v>40501</v>
      </c>
      <c r="B12867">
        <v>3.8334999999999999</v>
      </c>
      <c r="C12867" t="str">
        <f t="shared" si="205"/>
        <v>2010 q4</v>
      </c>
    </row>
    <row r="12868" spans="1:3">
      <c r="A12868" s="62">
        <v>40504</v>
      </c>
      <c r="B12868">
        <v>3.7515000000000001</v>
      </c>
      <c r="C12868" t="str">
        <f t="shared" si="205"/>
        <v>2010 q4</v>
      </c>
    </row>
    <row r="12869" spans="1:3">
      <c r="A12869" s="62">
        <v>40505</v>
      </c>
      <c r="B12869">
        <v>3.7025000000000001</v>
      </c>
      <c r="C12869" t="str">
        <f t="shared" si="205"/>
        <v>2010 q4</v>
      </c>
    </row>
    <row r="12870" spans="1:3">
      <c r="A12870" s="62">
        <v>40506</v>
      </c>
      <c r="B12870">
        <v>3.7563</v>
      </c>
      <c r="C12870" t="str">
        <f t="shared" si="205"/>
        <v>2010 q4</v>
      </c>
    </row>
    <row r="12871" spans="1:3">
      <c r="A12871" s="62">
        <v>40508</v>
      </c>
      <c r="B12871">
        <v>3.7532000000000001</v>
      </c>
      <c r="C12871" t="str">
        <f t="shared" si="205"/>
        <v>2010 q4</v>
      </c>
    </row>
    <row r="12872" spans="1:3">
      <c r="A12872" s="62">
        <v>40511</v>
      </c>
      <c r="B12872">
        <v>3.7610000000000001</v>
      </c>
      <c r="C12872" t="str">
        <f t="shared" si="205"/>
        <v>2010 q4</v>
      </c>
    </row>
    <row r="12873" spans="1:3">
      <c r="A12873" s="62">
        <v>40512</v>
      </c>
      <c r="B12873">
        <v>3.8241999999999998</v>
      </c>
      <c r="C12873" t="str">
        <f t="shared" si="205"/>
        <v>2010 q4</v>
      </c>
    </row>
    <row r="12874" spans="1:3">
      <c r="A12874" s="62">
        <v>40513</v>
      </c>
      <c r="B12874">
        <v>3.9474999999999998</v>
      </c>
      <c r="C12874" t="str">
        <f t="shared" si="205"/>
        <v>2010 q4</v>
      </c>
    </row>
    <row r="12875" spans="1:3">
      <c r="A12875" s="62">
        <v>40514</v>
      </c>
      <c r="B12875">
        <v>3.9784999999999999</v>
      </c>
      <c r="C12875" t="str">
        <f t="shared" si="205"/>
        <v>2010 q4</v>
      </c>
    </row>
    <row r="12876" spans="1:3">
      <c r="A12876" s="62">
        <v>40515</v>
      </c>
      <c r="B12876">
        <v>3.9984999999999999</v>
      </c>
      <c r="C12876" t="str">
        <f t="shared" si="205"/>
        <v>2010 q4</v>
      </c>
    </row>
    <row r="12877" spans="1:3">
      <c r="A12877" s="62">
        <v>40518</v>
      </c>
      <c r="B12877">
        <v>4.0075000000000003</v>
      </c>
      <c r="C12877" t="str">
        <f t="shared" si="205"/>
        <v>2010 q4</v>
      </c>
    </row>
    <row r="12878" spans="1:3">
      <c r="A12878" s="62">
        <v>40519</v>
      </c>
      <c r="B12878">
        <v>4.0475000000000003</v>
      </c>
      <c r="C12878" t="str">
        <f t="shared" si="205"/>
        <v>2010 q4</v>
      </c>
    </row>
    <row r="12879" spans="1:3">
      <c r="A12879" s="62">
        <v>40520</v>
      </c>
      <c r="B12879">
        <v>4.0990000000000002</v>
      </c>
      <c r="C12879" t="str">
        <f t="shared" si="205"/>
        <v>2010 q4</v>
      </c>
    </row>
    <row r="12880" spans="1:3">
      <c r="A12880" s="62">
        <v>40521</v>
      </c>
      <c r="B12880">
        <v>4.085</v>
      </c>
      <c r="C12880" t="str">
        <f t="shared" si="205"/>
        <v>2010 q4</v>
      </c>
    </row>
    <row r="12881" spans="1:3">
      <c r="A12881" s="62">
        <v>40522</v>
      </c>
      <c r="B12881">
        <v>4.1094999999999997</v>
      </c>
      <c r="C12881" t="str">
        <f t="shared" si="205"/>
        <v>2010 q4</v>
      </c>
    </row>
    <row r="12882" spans="1:3">
      <c r="A12882" s="62">
        <v>40525</v>
      </c>
      <c r="B12882">
        <v>4.2045000000000003</v>
      </c>
      <c r="C12882" t="str">
        <f t="shared" ref="C12882:C12945" si="206">YEAR(A12882)&amp;" q"&amp;ROUNDUP(MONTH(A12882)/3,0)</f>
        <v>2010 q4</v>
      </c>
    </row>
    <row r="12883" spans="1:3">
      <c r="A12883" s="62">
        <v>40526</v>
      </c>
      <c r="B12883">
        <v>4.2060000000000004</v>
      </c>
      <c r="C12883" t="str">
        <f t="shared" si="206"/>
        <v>2010 q4</v>
      </c>
    </row>
    <row r="12884" spans="1:3">
      <c r="A12884" s="62">
        <v>40527</v>
      </c>
      <c r="B12884">
        <v>4.1295000000000002</v>
      </c>
      <c r="C12884" t="str">
        <f t="shared" si="206"/>
        <v>2010 q4</v>
      </c>
    </row>
    <row r="12885" spans="1:3">
      <c r="A12885" s="62">
        <v>40528</v>
      </c>
      <c r="B12885">
        <v>4.1130000000000004</v>
      </c>
      <c r="C12885" t="str">
        <f t="shared" si="206"/>
        <v>2010 q4</v>
      </c>
    </row>
    <row r="12886" spans="1:3">
      <c r="A12886" s="62">
        <v>40529</v>
      </c>
      <c r="B12886">
        <v>4.1559999999999997</v>
      </c>
      <c r="C12886" t="str">
        <f t="shared" si="206"/>
        <v>2010 q4</v>
      </c>
    </row>
    <row r="12887" spans="1:3">
      <c r="A12887" s="62">
        <v>40532</v>
      </c>
      <c r="B12887">
        <v>4.2035</v>
      </c>
      <c r="C12887" t="str">
        <f t="shared" si="206"/>
        <v>2010 q4</v>
      </c>
    </row>
    <row r="12888" spans="1:3">
      <c r="A12888" s="62">
        <v>40533</v>
      </c>
      <c r="B12888">
        <v>4.2729999999999997</v>
      </c>
      <c r="C12888" t="str">
        <f t="shared" si="206"/>
        <v>2010 q4</v>
      </c>
    </row>
    <row r="12889" spans="1:3">
      <c r="A12889" s="62">
        <v>40534</v>
      </c>
      <c r="B12889">
        <v>4.2720000000000002</v>
      </c>
      <c r="C12889" t="str">
        <f t="shared" si="206"/>
        <v>2010 q4</v>
      </c>
    </row>
    <row r="12890" spans="1:3">
      <c r="A12890" s="62">
        <v>40535</v>
      </c>
      <c r="B12890">
        <v>4.2560000000000002</v>
      </c>
      <c r="C12890" t="str">
        <f t="shared" si="206"/>
        <v>2010 q4</v>
      </c>
    </row>
    <row r="12891" spans="1:3">
      <c r="A12891" s="62">
        <v>40539</v>
      </c>
      <c r="B12891">
        <v>4.2765000000000004</v>
      </c>
      <c r="C12891" t="str">
        <f t="shared" si="206"/>
        <v>2010 q4</v>
      </c>
    </row>
    <row r="12892" spans="1:3">
      <c r="A12892" s="62">
        <v>40540</v>
      </c>
      <c r="B12892">
        <v>4.3247999999999998</v>
      </c>
      <c r="C12892" t="str">
        <f t="shared" si="206"/>
        <v>2010 q4</v>
      </c>
    </row>
    <row r="12893" spans="1:3">
      <c r="A12893" s="62">
        <v>40541</v>
      </c>
      <c r="B12893">
        <v>4.3085000000000004</v>
      </c>
      <c r="C12893" t="str">
        <f t="shared" si="206"/>
        <v>2010 q4</v>
      </c>
    </row>
    <row r="12894" spans="1:3">
      <c r="A12894" s="62">
        <v>40542</v>
      </c>
      <c r="B12894">
        <v>4.3601000000000001</v>
      </c>
      <c r="C12894" t="str">
        <f t="shared" si="206"/>
        <v>2010 q4</v>
      </c>
    </row>
    <row r="12895" spans="1:3">
      <c r="A12895" s="62">
        <v>40543</v>
      </c>
      <c r="B12895">
        <v>4.4455</v>
      </c>
      <c r="C12895" t="str">
        <f t="shared" si="206"/>
        <v>2010 q4</v>
      </c>
    </row>
    <row r="12896" spans="1:3">
      <c r="A12896" s="62">
        <v>40546</v>
      </c>
      <c r="B12896">
        <v>4.4574999999999996</v>
      </c>
      <c r="C12896" t="str">
        <f t="shared" si="206"/>
        <v>2011 q1</v>
      </c>
    </row>
    <row r="12897" spans="1:3">
      <c r="A12897" s="62">
        <v>40547</v>
      </c>
      <c r="B12897">
        <v>4.3689999999999998</v>
      </c>
      <c r="C12897" t="str">
        <f t="shared" si="206"/>
        <v>2011 q1</v>
      </c>
    </row>
    <row r="12898" spans="1:3">
      <c r="A12898" s="62">
        <v>40548</v>
      </c>
      <c r="B12898">
        <v>4.4080000000000004</v>
      </c>
      <c r="C12898" t="str">
        <f t="shared" si="206"/>
        <v>2011 q1</v>
      </c>
    </row>
    <row r="12899" spans="1:3">
      <c r="A12899" s="62">
        <v>40549</v>
      </c>
      <c r="B12899">
        <v>4.3295000000000003</v>
      </c>
      <c r="C12899" t="str">
        <f t="shared" si="206"/>
        <v>2011 q1</v>
      </c>
    </row>
    <row r="12900" spans="1:3">
      <c r="A12900" s="62">
        <v>40550</v>
      </c>
      <c r="B12900">
        <v>4.2824999999999998</v>
      </c>
      <c r="C12900" t="str">
        <f t="shared" si="206"/>
        <v>2011 q1</v>
      </c>
    </row>
    <row r="12901" spans="1:3">
      <c r="A12901" s="62">
        <v>40553</v>
      </c>
      <c r="B12901">
        <v>4.2645</v>
      </c>
      <c r="C12901" t="str">
        <f t="shared" si="206"/>
        <v>2011 q1</v>
      </c>
    </row>
    <row r="12902" spans="1:3">
      <c r="A12902" s="62">
        <v>40554</v>
      </c>
      <c r="B12902">
        <v>4.3490000000000002</v>
      </c>
      <c r="C12902" t="str">
        <f t="shared" si="206"/>
        <v>2011 q1</v>
      </c>
    </row>
    <row r="12903" spans="1:3">
      <c r="A12903" s="62">
        <v>40555</v>
      </c>
      <c r="B12903">
        <v>4.4115000000000002</v>
      </c>
      <c r="C12903" t="str">
        <f t="shared" si="206"/>
        <v>2011 q1</v>
      </c>
    </row>
    <row r="12904" spans="1:3">
      <c r="A12904" s="62">
        <v>40556</v>
      </c>
      <c r="B12904">
        <v>4.3769999999999998</v>
      </c>
      <c r="C12904" t="str">
        <f t="shared" si="206"/>
        <v>2011 q1</v>
      </c>
    </row>
    <row r="12905" spans="1:3">
      <c r="A12905" s="62">
        <v>40557</v>
      </c>
      <c r="B12905">
        <v>4.4119999999999999</v>
      </c>
      <c r="C12905" t="str">
        <f t="shared" si="206"/>
        <v>2011 q1</v>
      </c>
    </row>
    <row r="12906" spans="1:3">
      <c r="A12906" s="62">
        <v>40561</v>
      </c>
      <c r="B12906">
        <v>4.4279999999999999</v>
      </c>
      <c r="C12906" t="str">
        <f t="shared" si="206"/>
        <v>2011 q1</v>
      </c>
    </row>
    <row r="12907" spans="1:3">
      <c r="A12907" s="62">
        <v>40562</v>
      </c>
      <c r="B12907">
        <v>4.37</v>
      </c>
      <c r="C12907" t="str">
        <f t="shared" si="206"/>
        <v>2011 q1</v>
      </c>
    </row>
    <row r="12908" spans="1:3">
      <c r="A12908" s="62">
        <v>40563</v>
      </c>
      <c r="B12908">
        <v>4.2720000000000002</v>
      </c>
      <c r="C12908" t="str">
        <f t="shared" si="206"/>
        <v>2011 q1</v>
      </c>
    </row>
    <row r="12909" spans="1:3">
      <c r="A12909" s="62">
        <v>40564</v>
      </c>
      <c r="B12909">
        <v>4.3090000000000002</v>
      </c>
      <c r="C12909" t="str">
        <f t="shared" si="206"/>
        <v>2011 q1</v>
      </c>
    </row>
    <row r="12910" spans="1:3">
      <c r="A12910" s="62">
        <v>40567</v>
      </c>
      <c r="B12910">
        <v>4.3484999999999996</v>
      </c>
      <c r="C12910" t="str">
        <f t="shared" si="206"/>
        <v>2011 q1</v>
      </c>
    </row>
    <row r="12911" spans="1:3">
      <c r="A12911" s="62">
        <v>40568</v>
      </c>
      <c r="B12911">
        <v>4.226</v>
      </c>
      <c r="C12911" t="str">
        <f t="shared" si="206"/>
        <v>2011 q1</v>
      </c>
    </row>
    <row r="12912" spans="1:3">
      <c r="A12912" s="62">
        <v>40569</v>
      </c>
      <c r="B12912">
        <v>4.2670000000000003</v>
      </c>
      <c r="C12912" t="str">
        <f t="shared" si="206"/>
        <v>2011 q1</v>
      </c>
    </row>
    <row r="12913" spans="1:3">
      <c r="A12913" s="62">
        <v>40570</v>
      </c>
      <c r="B12913">
        <v>4.3384999999999998</v>
      </c>
      <c r="C12913" t="str">
        <f t="shared" si="206"/>
        <v>2011 q1</v>
      </c>
    </row>
    <row r="12914" spans="1:3">
      <c r="A12914" s="62">
        <v>40571</v>
      </c>
      <c r="B12914">
        <v>4.3730000000000002</v>
      </c>
      <c r="C12914" t="str">
        <f t="shared" si="206"/>
        <v>2011 q1</v>
      </c>
    </row>
    <row r="12915" spans="1:3">
      <c r="A12915" s="62">
        <v>40574</v>
      </c>
      <c r="B12915">
        <v>4.4584999999999999</v>
      </c>
      <c r="C12915" t="str">
        <f t="shared" si="206"/>
        <v>2011 q1</v>
      </c>
    </row>
    <row r="12916" spans="1:3">
      <c r="A12916" s="62">
        <v>40575</v>
      </c>
      <c r="B12916">
        <v>4.5469999999999997</v>
      </c>
      <c r="C12916" t="str">
        <f t="shared" si="206"/>
        <v>2011 q1</v>
      </c>
    </row>
    <row r="12917" spans="1:3">
      <c r="A12917" s="62">
        <v>40576</v>
      </c>
      <c r="B12917">
        <v>4.5439999999999996</v>
      </c>
      <c r="C12917" t="str">
        <f t="shared" si="206"/>
        <v>2011 q1</v>
      </c>
    </row>
    <row r="12918" spans="1:3">
      <c r="A12918" s="62">
        <v>40577</v>
      </c>
      <c r="B12918">
        <v>4.5445000000000002</v>
      </c>
      <c r="C12918" t="str">
        <f t="shared" si="206"/>
        <v>2011 q1</v>
      </c>
    </row>
    <row r="12919" spans="1:3">
      <c r="A12919" s="62">
        <v>40578</v>
      </c>
      <c r="B12919">
        <v>4.5795000000000003</v>
      </c>
      <c r="C12919" t="str">
        <f t="shared" si="206"/>
        <v>2011 q1</v>
      </c>
    </row>
    <row r="12920" spans="1:3">
      <c r="A12920" s="62">
        <v>40581</v>
      </c>
      <c r="B12920">
        <v>4.5750000000000002</v>
      </c>
      <c r="C12920" t="str">
        <f t="shared" si="206"/>
        <v>2011 q1</v>
      </c>
    </row>
    <row r="12921" spans="1:3">
      <c r="A12921" s="62">
        <v>40582</v>
      </c>
      <c r="B12921">
        <v>4.5739999999999998</v>
      </c>
      <c r="C12921" t="str">
        <f t="shared" si="206"/>
        <v>2011 q1</v>
      </c>
    </row>
    <row r="12922" spans="1:3">
      <c r="A12922" s="62">
        <v>40583</v>
      </c>
      <c r="B12922">
        <v>4.524</v>
      </c>
      <c r="C12922" t="str">
        <f t="shared" si="206"/>
        <v>2011 q1</v>
      </c>
    </row>
    <row r="12923" spans="1:3">
      <c r="A12923" s="62">
        <v>40584</v>
      </c>
      <c r="B12923">
        <v>4.5434999999999999</v>
      </c>
      <c r="C12923" t="str">
        <f t="shared" si="206"/>
        <v>2011 q1</v>
      </c>
    </row>
    <row r="12924" spans="1:3">
      <c r="A12924" s="62">
        <v>40585</v>
      </c>
      <c r="B12924">
        <v>4.5359999999999996</v>
      </c>
      <c r="C12924" t="str">
        <f t="shared" si="206"/>
        <v>2011 q1</v>
      </c>
    </row>
    <row r="12925" spans="1:3">
      <c r="A12925" s="62">
        <v>40588</v>
      </c>
      <c r="B12925">
        <v>4.6284999999999998</v>
      </c>
      <c r="C12925" t="str">
        <f t="shared" si="206"/>
        <v>2011 q1</v>
      </c>
    </row>
    <row r="12926" spans="1:3">
      <c r="A12926" s="62">
        <v>40589</v>
      </c>
      <c r="B12926">
        <v>4.5359999999999996</v>
      </c>
      <c r="C12926" t="str">
        <f t="shared" si="206"/>
        <v>2011 q1</v>
      </c>
    </row>
    <row r="12927" spans="1:3">
      <c r="A12927" s="62">
        <v>40590</v>
      </c>
      <c r="B12927">
        <v>4.47</v>
      </c>
      <c r="C12927" t="str">
        <f t="shared" si="206"/>
        <v>2011 q1</v>
      </c>
    </row>
    <row r="12928" spans="1:3">
      <c r="A12928" s="62">
        <v>40591</v>
      </c>
      <c r="B12928">
        <v>4.484</v>
      </c>
      <c r="C12928" t="str">
        <f t="shared" si="206"/>
        <v>2011 q1</v>
      </c>
    </row>
    <row r="12929" spans="1:3">
      <c r="A12929" s="62">
        <v>40592</v>
      </c>
      <c r="B12929">
        <v>4.4820000000000002</v>
      </c>
      <c r="C12929" t="str">
        <f t="shared" si="206"/>
        <v>2011 q1</v>
      </c>
    </row>
    <row r="12930" spans="1:3">
      <c r="A12930" s="62">
        <v>40596</v>
      </c>
      <c r="B12930">
        <v>4.3470000000000004</v>
      </c>
      <c r="C12930" t="str">
        <f t="shared" si="206"/>
        <v>2011 q1</v>
      </c>
    </row>
    <row r="12931" spans="1:3">
      <c r="A12931" s="62">
        <v>40597</v>
      </c>
      <c r="B12931">
        <v>4.2786999999999997</v>
      </c>
      <c r="C12931" t="str">
        <f t="shared" si="206"/>
        <v>2011 q1</v>
      </c>
    </row>
    <row r="12932" spans="1:3">
      <c r="A12932" s="62">
        <v>40598</v>
      </c>
      <c r="B12932">
        <v>4.3333000000000004</v>
      </c>
      <c r="C12932" t="str">
        <f t="shared" si="206"/>
        <v>2011 q1</v>
      </c>
    </row>
    <row r="12933" spans="1:3">
      <c r="A12933" s="62">
        <v>40599</v>
      </c>
      <c r="B12933">
        <v>4.4474</v>
      </c>
      <c r="C12933" t="str">
        <f t="shared" si="206"/>
        <v>2011 q1</v>
      </c>
    </row>
    <row r="12934" spans="1:3">
      <c r="A12934" s="62">
        <v>40602</v>
      </c>
      <c r="B12934">
        <v>4.4927999999999999</v>
      </c>
      <c r="C12934" t="str">
        <f t="shared" si="206"/>
        <v>2011 q1</v>
      </c>
    </row>
    <row r="12935" spans="1:3">
      <c r="A12935" s="62">
        <v>40603</v>
      </c>
      <c r="B12935">
        <v>4.5095000000000001</v>
      </c>
      <c r="C12935" t="str">
        <f t="shared" si="206"/>
        <v>2011 q1</v>
      </c>
    </row>
    <row r="12936" spans="1:3">
      <c r="A12936" s="62">
        <v>40604</v>
      </c>
      <c r="B12936">
        <v>4.4980000000000002</v>
      </c>
      <c r="C12936" t="str">
        <f t="shared" si="206"/>
        <v>2011 q1</v>
      </c>
    </row>
    <row r="12937" spans="1:3">
      <c r="A12937" s="62">
        <v>40605</v>
      </c>
      <c r="B12937">
        <v>4.49</v>
      </c>
      <c r="C12937" t="str">
        <f t="shared" si="206"/>
        <v>2011 q1</v>
      </c>
    </row>
    <row r="12938" spans="1:3">
      <c r="A12938" s="62">
        <v>40606</v>
      </c>
      <c r="B12938">
        <v>4.4855</v>
      </c>
      <c r="C12938" t="str">
        <f t="shared" si="206"/>
        <v>2011 q1</v>
      </c>
    </row>
    <row r="12939" spans="1:3">
      <c r="A12939" s="62">
        <v>40609</v>
      </c>
      <c r="B12939">
        <v>4.327</v>
      </c>
      <c r="C12939" t="str">
        <f t="shared" si="206"/>
        <v>2011 q1</v>
      </c>
    </row>
    <row r="12940" spans="1:3">
      <c r="A12940" s="62">
        <v>40610</v>
      </c>
      <c r="B12940">
        <v>4.3384999999999998</v>
      </c>
      <c r="C12940" t="str">
        <f t="shared" si="206"/>
        <v>2011 q1</v>
      </c>
    </row>
    <row r="12941" spans="1:3">
      <c r="A12941" s="62">
        <v>40611</v>
      </c>
      <c r="B12941">
        <v>4.2125000000000004</v>
      </c>
      <c r="C12941" t="str">
        <f t="shared" si="206"/>
        <v>2011 q1</v>
      </c>
    </row>
    <row r="12942" spans="1:3">
      <c r="A12942" s="62">
        <v>40612</v>
      </c>
      <c r="B12942">
        <v>4.1974999999999998</v>
      </c>
      <c r="C12942" t="str">
        <f t="shared" si="206"/>
        <v>2011 q1</v>
      </c>
    </row>
    <row r="12943" spans="1:3">
      <c r="A12943" s="62">
        <v>40613</v>
      </c>
      <c r="B12943">
        <v>4.2074999999999996</v>
      </c>
      <c r="C12943" t="str">
        <f t="shared" si="206"/>
        <v>2011 q1</v>
      </c>
    </row>
    <row r="12944" spans="1:3">
      <c r="A12944" s="62">
        <v>40616</v>
      </c>
      <c r="B12944">
        <v>4.1864999999999997</v>
      </c>
      <c r="C12944" t="str">
        <f t="shared" si="206"/>
        <v>2011 q1</v>
      </c>
    </row>
    <row r="12945" spans="1:3">
      <c r="A12945" s="62">
        <v>40617</v>
      </c>
      <c r="B12945">
        <v>4.1369999999999996</v>
      </c>
      <c r="C12945" t="str">
        <f t="shared" si="206"/>
        <v>2011 q1</v>
      </c>
    </row>
    <row r="12946" spans="1:3">
      <c r="A12946" s="62">
        <v>40618</v>
      </c>
      <c r="B12946">
        <v>4.1974999999999998</v>
      </c>
      <c r="C12946" t="str">
        <f t="shared" ref="C12946:C13009" si="207">YEAR(A12946)&amp;" q"&amp;ROUNDUP(MONTH(A12946)/3,0)</f>
        <v>2011 q1</v>
      </c>
    </row>
    <row r="12947" spans="1:3">
      <c r="A12947" s="62">
        <v>40619</v>
      </c>
      <c r="B12947">
        <v>4.3440000000000003</v>
      </c>
      <c r="C12947" t="str">
        <f t="shared" si="207"/>
        <v>2011 q1</v>
      </c>
    </row>
    <row r="12948" spans="1:3">
      <c r="A12948" s="62">
        <v>40620</v>
      </c>
      <c r="B12948">
        <v>4.3390000000000004</v>
      </c>
      <c r="C12948" t="str">
        <f t="shared" si="207"/>
        <v>2011 q1</v>
      </c>
    </row>
    <row r="12949" spans="1:3">
      <c r="A12949" s="62">
        <v>40623</v>
      </c>
      <c r="B12949">
        <v>4.2859999999999996</v>
      </c>
      <c r="C12949" t="str">
        <f t="shared" si="207"/>
        <v>2011 q1</v>
      </c>
    </row>
    <row r="12950" spans="1:3">
      <c r="A12950" s="62">
        <v>40625</v>
      </c>
      <c r="B12950">
        <v>4.4284999999999997</v>
      </c>
      <c r="C12950" t="str">
        <f t="shared" si="207"/>
        <v>2011 q1</v>
      </c>
    </row>
    <row r="12951" spans="1:3">
      <c r="A12951" s="62">
        <v>40626</v>
      </c>
      <c r="B12951">
        <v>4.4245000000000001</v>
      </c>
      <c r="C12951" t="str">
        <f t="shared" si="207"/>
        <v>2011 q1</v>
      </c>
    </row>
    <row r="12952" spans="1:3">
      <c r="A12952" s="62">
        <v>40627</v>
      </c>
      <c r="B12952">
        <v>4.4189999999999996</v>
      </c>
      <c r="C12952" t="str">
        <f t="shared" si="207"/>
        <v>2011 q1</v>
      </c>
    </row>
    <row r="12953" spans="1:3">
      <c r="A12953" s="62">
        <v>40630</v>
      </c>
      <c r="B12953">
        <v>4.3499999999999996</v>
      </c>
      <c r="C12953" t="str">
        <f t="shared" si="207"/>
        <v>2011 q1</v>
      </c>
    </row>
    <row r="12954" spans="1:3">
      <c r="A12954" s="62">
        <v>40631</v>
      </c>
      <c r="B12954">
        <v>4.3464999999999998</v>
      </c>
      <c r="C12954" t="str">
        <f t="shared" si="207"/>
        <v>2011 q1</v>
      </c>
    </row>
    <row r="12955" spans="1:3">
      <c r="A12955" s="62">
        <v>40632</v>
      </c>
      <c r="B12955">
        <v>4.274</v>
      </c>
      <c r="C12955" t="str">
        <f t="shared" si="207"/>
        <v>2011 q1</v>
      </c>
    </row>
    <row r="12956" spans="1:3">
      <c r="A12956" s="62">
        <v>40633</v>
      </c>
      <c r="B12956">
        <v>4.3075000000000001</v>
      </c>
      <c r="C12956" t="str">
        <f t="shared" si="207"/>
        <v>2011 q1</v>
      </c>
    </row>
    <row r="12957" spans="1:3">
      <c r="A12957" s="62">
        <v>40634</v>
      </c>
      <c r="B12957">
        <v>4.2584999999999997</v>
      </c>
      <c r="C12957" t="str">
        <f t="shared" si="207"/>
        <v>2011 q2</v>
      </c>
    </row>
    <row r="12958" spans="1:3">
      <c r="A12958" s="62">
        <v>40637</v>
      </c>
      <c r="B12958">
        <v>4.2549999999999999</v>
      </c>
      <c r="C12958" t="str">
        <f t="shared" si="207"/>
        <v>2011 q2</v>
      </c>
    </row>
    <row r="12959" spans="1:3">
      <c r="A12959" s="62">
        <v>40638</v>
      </c>
      <c r="B12959">
        <v>4.2645</v>
      </c>
      <c r="C12959" t="str">
        <f t="shared" si="207"/>
        <v>2011 q2</v>
      </c>
    </row>
    <row r="12960" spans="1:3">
      <c r="A12960" s="62">
        <v>40639</v>
      </c>
      <c r="B12960">
        <v>4.37</v>
      </c>
      <c r="C12960" t="str">
        <f t="shared" si="207"/>
        <v>2011 q2</v>
      </c>
    </row>
    <row r="12961" spans="1:3">
      <c r="A12961" s="62">
        <v>40640</v>
      </c>
      <c r="B12961">
        <v>4.4165000000000001</v>
      </c>
      <c r="C12961" t="str">
        <f t="shared" si="207"/>
        <v>2011 q2</v>
      </c>
    </row>
    <row r="12962" spans="1:3">
      <c r="A12962" s="62">
        <v>40641</v>
      </c>
      <c r="B12962">
        <v>4.5015000000000001</v>
      </c>
      <c r="C12962" t="str">
        <f t="shared" si="207"/>
        <v>2011 q2</v>
      </c>
    </row>
    <row r="12963" spans="1:3">
      <c r="A12963" s="62">
        <v>40645</v>
      </c>
      <c r="B12963">
        <v>4.3834999999999997</v>
      </c>
      <c r="C12963" t="str">
        <f t="shared" si="207"/>
        <v>2011 q2</v>
      </c>
    </row>
    <row r="12964" spans="1:3">
      <c r="A12964" s="62">
        <v>40646</v>
      </c>
      <c r="B12964">
        <v>4.2945000000000002</v>
      </c>
      <c r="C12964" t="str">
        <f t="shared" si="207"/>
        <v>2011 q2</v>
      </c>
    </row>
    <row r="12965" spans="1:3">
      <c r="A12965" s="62">
        <v>40647</v>
      </c>
      <c r="B12965">
        <v>4.2839999999999998</v>
      </c>
      <c r="C12965" t="str">
        <f t="shared" si="207"/>
        <v>2011 q2</v>
      </c>
    </row>
    <row r="12966" spans="1:3">
      <c r="A12966" s="62">
        <v>40648</v>
      </c>
      <c r="B12966">
        <v>4.2575000000000003</v>
      </c>
      <c r="C12966" t="str">
        <f t="shared" si="207"/>
        <v>2011 q2</v>
      </c>
    </row>
    <row r="12967" spans="1:3">
      <c r="A12967" s="62">
        <v>40651</v>
      </c>
      <c r="B12967">
        <v>4.1980000000000004</v>
      </c>
      <c r="C12967" t="str">
        <f t="shared" si="207"/>
        <v>2011 q2</v>
      </c>
    </row>
    <row r="12968" spans="1:3">
      <c r="A12968" s="62">
        <v>40652</v>
      </c>
      <c r="B12968">
        <v>4.2294999999999998</v>
      </c>
      <c r="C12968" t="str">
        <f t="shared" si="207"/>
        <v>2011 q2</v>
      </c>
    </row>
    <row r="12969" spans="1:3">
      <c r="A12969" s="62">
        <v>40653</v>
      </c>
      <c r="B12969">
        <v>4.3395000000000001</v>
      </c>
      <c r="C12969" t="str">
        <f t="shared" si="207"/>
        <v>2011 q2</v>
      </c>
    </row>
    <row r="12970" spans="1:3">
      <c r="A12970" s="62">
        <v>40654</v>
      </c>
      <c r="B12970">
        <v>4.4000000000000004</v>
      </c>
      <c r="C12970" t="str">
        <f t="shared" si="207"/>
        <v>2011 q2</v>
      </c>
    </row>
    <row r="12971" spans="1:3">
      <c r="A12971" s="62">
        <v>40658</v>
      </c>
      <c r="B12971">
        <v>4.3029999999999999</v>
      </c>
      <c r="C12971" t="str">
        <f t="shared" si="207"/>
        <v>2011 q2</v>
      </c>
    </row>
    <row r="12972" spans="1:3">
      <c r="A12972" s="62">
        <v>40659</v>
      </c>
      <c r="B12972">
        <v>4.3231000000000002</v>
      </c>
      <c r="C12972" t="str">
        <f t="shared" si="207"/>
        <v>2011 q2</v>
      </c>
    </row>
    <row r="12973" spans="1:3">
      <c r="A12973" s="62">
        <v>40660</v>
      </c>
      <c r="B12973">
        <v>4.2354000000000003</v>
      </c>
      <c r="C12973" t="str">
        <f t="shared" si="207"/>
        <v>2011 q2</v>
      </c>
    </row>
    <row r="12974" spans="1:3">
      <c r="A12974" s="62">
        <v>40661</v>
      </c>
      <c r="B12974">
        <v>4.2549000000000001</v>
      </c>
      <c r="C12974" t="str">
        <f t="shared" si="207"/>
        <v>2011 q2</v>
      </c>
    </row>
    <row r="12975" spans="1:3">
      <c r="A12975" s="62">
        <v>40662</v>
      </c>
      <c r="B12975">
        <v>4.1763000000000003</v>
      </c>
      <c r="C12975" t="str">
        <f t="shared" si="207"/>
        <v>2011 q2</v>
      </c>
    </row>
    <row r="12976" spans="1:3">
      <c r="A12976" s="62">
        <v>40665</v>
      </c>
      <c r="B12976">
        <v>4.1959999999999997</v>
      </c>
      <c r="C12976" t="str">
        <f t="shared" si="207"/>
        <v>2011 q2</v>
      </c>
    </row>
    <row r="12977" spans="1:3">
      <c r="A12977" s="62">
        <v>40666</v>
      </c>
      <c r="B12977">
        <v>4.2530000000000001</v>
      </c>
      <c r="C12977" t="str">
        <f t="shared" si="207"/>
        <v>2011 q2</v>
      </c>
    </row>
    <row r="12978" spans="1:3">
      <c r="A12978" s="62">
        <v>40667</v>
      </c>
      <c r="B12978">
        <v>4.1340000000000003</v>
      </c>
      <c r="C12978" t="str">
        <f t="shared" si="207"/>
        <v>2011 q2</v>
      </c>
    </row>
    <row r="12979" spans="1:3">
      <c r="A12979" s="62">
        <v>40668</v>
      </c>
      <c r="B12979">
        <v>3.9980000000000002</v>
      </c>
      <c r="C12979" t="str">
        <f t="shared" si="207"/>
        <v>2011 q2</v>
      </c>
    </row>
    <row r="12980" spans="1:3">
      <c r="A12980" s="62">
        <v>40669</v>
      </c>
      <c r="B12980">
        <v>3.9754999999999998</v>
      </c>
      <c r="C12980" t="str">
        <f t="shared" si="207"/>
        <v>2011 q2</v>
      </c>
    </row>
    <row r="12981" spans="1:3">
      <c r="A12981" s="62">
        <v>40672</v>
      </c>
      <c r="B12981">
        <v>4.0164999999999997</v>
      </c>
      <c r="C12981" t="str">
        <f t="shared" si="207"/>
        <v>2011 q2</v>
      </c>
    </row>
    <row r="12982" spans="1:3">
      <c r="A12982" s="62">
        <v>40673</v>
      </c>
      <c r="B12982">
        <v>4.0419999999999998</v>
      </c>
      <c r="C12982" t="str">
        <f t="shared" si="207"/>
        <v>2011 q2</v>
      </c>
    </row>
    <row r="12983" spans="1:3">
      <c r="A12983" s="62">
        <v>40674</v>
      </c>
      <c r="B12983">
        <v>3.9135</v>
      </c>
      <c r="C12983" t="str">
        <f t="shared" si="207"/>
        <v>2011 q2</v>
      </c>
    </row>
    <row r="12984" spans="1:3">
      <c r="A12984" s="62">
        <v>40675</v>
      </c>
      <c r="B12984">
        <v>3.9704999999999999</v>
      </c>
      <c r="C12984" t="str">
        <f t="shared" si="207"/>
        <v>2011 q2</v>
      </c>
    </row>
    <row r="12985" spans="1:3">
      <c r="A12985" s="62">
        <v>40676</v>
      </c>
      <c r="B12985">
        <v>3.9834999999999998</v>
      </c>
      <c r="C12985" t="str">
        <f t="shared" si="207"/>
        <v>2011 q2</v>
      </c>
    </row>
    <row r="12986" spans="1:3">
      <c r="A12986" s="62">
        <v>40679</v>
      </c>
      <c r="B12986">
        <v>3.9904999999999999</v>
      </c>
      <c r="C12986" t="str">
        <f t="shared" si="207"/>
        <v>2011 q2</v>
      </c>
    </row>
    <row r="12987" spans="1:3">
      <c r="A12987" s="62">
        <v>40680</v>
      </c>
      <c r="B12987">
        <v>3.9984999999999999</v>
      </c>
      <c r="C12987" t="str">
        <f t="shared" si="207"/>
        <v>2011 q2</v>
      </c>
    </row>
    <row r="12988" spans="1:3">
      <c r="A12988" s="62">
        <v>40681</v>
      </c>
      <c r="B12988">
        <v>4.1050000000000004</v>
      </c>
      <c r="C12988" t="str">
        <f t="shared" si="207"/>
        <v>2011 q2</v>
      </c>
    </row>
    <row r="12989" spans="1:3">
      <c r="A12989" s="62">
        <v>40682</v>
      </c>
      <c r="B12989">
        <v>4.0525000000000002</v>
      </c>
      <c r="C12989" t="str">
        <f t="shared" si="207"/>
        <v>2011 q2</v>
      </c>
    </row>
    <row r="12990" spans="1:3">
      <c r="A12990" s="62">
        <v>40683</v>
      </c>
      <c r="B12990">
        <v>4.1215000000000002</v>
      </c>
      <c r="C12990" t="str">
        <f t="shared" si="207"/>
        <v>2011 q2</v>
      </c>
    </row>
    <row r="12991" spans="1:3">
      <c r="A12991" s="62">
        <v>40686</v>
      </c>
      <c r="B12991">
        <v>3.9914999999999998</v>
      </c>
      <c r="C12991" t="str">
        <f t="shared" si="207"/>
        <v>2011 q2</v>
      </c>
    </row>
    <row r="12992" spans="1:3">
      <c r="A12992" s="62">
        <v>40687</v>
      </c>
      <c r="B12992">
        <v>4.0129999999999999</v>
      </c>
      <c r="C12992" t="str">
        <f t="shared" si="207"/>
        <v>2011 q2</v>
      </c>
    </row>
    <row r="12993" spans="1:3">
      <c r="A12993" s="62">
        <v>40688</v>
      </c>
      <c r="B12993">
        <v>4.1070000000000002</v>
      </c>
      <c r="C12993" t="str">
        <f t="shared" si="207"/>
        <v>2011 q2</v>
      </c>
    </row>
    <row r="12994" spans="1:3">
      <c r="A12994" s="62">
        <v>40689</v>
      </c>
      <c r="B12994">
        <v>4.1109999999999998</v>
      </c>
      <c r="C12994" t="str">
        <f t="shared" si="207"/>
        <v>2011 q2</v>
      </c>
    </row>
    <row r="12995" spans="1:3">
      <c r="A12995" s="62">
        <v>40690</v>
      </c>
      <c r="B12995">
        <v>4.1859999999999999</v>
      </c>
      <c r="C12995" t="str">
        <f t="shared" si="207"/>
        <v>2011 q2</v>
      </c>
    </row>
    <row r="12996" spans="1:3">
      <c r="A12996" s="62">
        <v>40694</v>
      </c>
      <c r="B12996">
        <v>4.1775000000000002</v>
      </c>
      <c r="C12996" t="str">
        <f t="shared" si="207"/>
        <v>2011 q2</v>
      </c>
    </row>
    <row r="12997" spans="1:3">
      <c r="A12997" s="62">
        <v>40695</v>
      </c>
      <c r="B12997">
        <v>4.1064999999999996</v>
      </c>
      <c r="C12997" t="str">
        <f t="shared" si="207"/>
        <v>2011 q2</v>
      </c>
    </row>
    <row r="12998" spans="1:3">
      <c r="A12998" s="62">
        <v>40696</v>
      </c>
      <c r="B12998">
        <v>4.0845000000000002</v>
      </c>
      <c r="C12998" t="str">
        <f t="shared" si="207"/>
        <v>2011 q2</v>
      </c>
    </row>
    <row r="12999" spans="1:3">
      <c r="A12999" s="62">
        <v>40697</v>
      </c>
      <c r="B12999">
        <v>4.1345000000000001</v>
      </c>
      <c r="C12999" t="str">
        <f t="shared" si="207"/>
        <v>2011 q2</v>
      </c>
    </row>
    <row r="13000" spans="1:3">
      <c r="A13000" s="62">
        <v>40700</v>
      </c>
      <c r="B13000">
        <v>4.1420000000000003</v>
      </c>
      <c r="C13000" t="str">
        <f t="shared" si="207"/>
        <v>2011 q2</v>
      </c>
    </row>
    <row r="13001" spans="1:3">
      <c r="A13001" s="62">
        <v>40701</v>
      </c>
      <c r="B13001">
        <v>4.1494999999999997</v>
      </c>
      <c r="C13001" t="str">
        <f t="shared" si="207"/>
        <v>2011 q2</v>
      </c>
    </row>
    <row r="13002" spans="1:3">
      <c r="A13002" s="62">
        <v>40702</v>
      </c>
      <c r="B13002">
        <v>4.1085000000000003</v>
      </c>
      <c r="C13002" t="str">
        <f t="shared" si="207"/>
        <v>2011 q2</v>
      </c>
    </row>
    <row r="13003" spans="1:3">
      <c r="A13003" s="62">
        <v>40703</v>
      </c>
      <c r="B13003">
        <v>4.1074999999999999</v>
      </c>
      <c r="C13003" t="str">
        <f t="shared" si="207"/>
        <v>2011 q2</v>
      </c>
    </row>
    <row r="13004" spans="1:3">
      <c r="A13004" s="62">
        <v>40704</v>
      </c>
      <c r="B13004">
        <v>4.056</v>
      </c>
      <c r="C13004" t="str">
        <f t="shared" si="207"/>
        <v>2011 q2</v>
      </c>
    </row>
    <row r="13005" spans="1:3">
      <c r="A13005" s="62">
        <v>40707</v>
      </c>
      <c r="B13005">
        <v>4.0345000000000004</v>
      </c>
      <c r="C13005" t="str">
        <f t="shared" si="207"/>
        <v>2011 q2</v>
      </c>
    </row>
    <row r="13006" spans="1:3">
      <c r="A13006" s="62">
        <v>40708</v>
      </c>
      <c r="B13006">
        <v>4.1550000000000002</v>
      </c>
      <c r="C13006" t="str">
        <f t="shared" si="207"/>
        <v>2011 q2</v>
      </c>
    </row>
    <row r="13007" spans="1:3">
      <c r="A13007" s="62">
        <v>40709</v>
      </c>
      <c r="B13007">
        <v>4.1219999999999999</v>
      </c>
      <c r="C13007" t="str">
        <f t="shared" si="207"/>
        <v>2011 q2</v>
      </c>
    </row>
    <row r="13008" spans="1:3">
      <c r="A13008" s="62">
        <v>40710</v>
      </c>
      <c r="B13008">
        <v>4.1174999999999997</v>
      </c>
      <c r="C13008" t="str">
        <f t="shared" si="207"/>
        <v>2011 q2</v>
      </c>
    </row>
    <row r="13009" spans="1:3">
      <c r="A13009" s="62">
        <v>40711</v>
      </c>
      <c r="B13009">
        <v>4.1020000000000003</v>
      </c>
      <c r="C13009" t="str">
        <f t="shared" si="207"/>
        <v>2011 q2</v>
      </c>
    </row>
    <row r="13010" spans="1:3">
      <c r="A13010" s="62">
        <v>40714</v>
      </c>
      <c r="B13010">
        <v>4.0735000000000001</v>
      </c>
      <c r="C13010" t="str">
        <f t="shared" ref="C13010:C13073" si="208">YEAR(A13010)&amp;" q"&amp;ROUNDUP(MONTH(A13010)/3,0)</f>
        <v>2011 q2</v>
      </c>
    </row>
    <row r="13011" spans="1:3">
      <c r="A13011" s="62">
        <v>40715</v>
      </c>
      <c r="B13011">
        <v>4.0884999999999998</v>
      </c>
      <c r="C13011" t="str">
        <f t="shared" si="208"/>
        <v>2011 q2</v>
      </c>
    </row>
    <row r="13012" spans="1:3">
      <c r="A13012" s="62">
        <v>40716</v>
      </c>
      <c r="B13012">
        <v>4.0880000000000001</v>
      </c>
      <c r="C13012" t="str">
        <f t="shared" si="208"/>
        <v>2011 q2</v>
      </c>
    </row>
    <row r="13013" spans="1:3">
      <c r="A13013" s="62">
        <v>40717</v>
      </c>
      <c r="B13013">
        <v>4.0389999999999997</v>
      </c>
      <c r="C13013" t="str">
        <f t="shared" si="208"/>
        <v>2011 q2</v>
      </c>
    </row>
    <row r="13014" spans="1:3">
      <c r="A13014" s="62">
        <v>40718</v>
      </c>
      <c r="B13014">
        <v>4.0984999999999996</v>
      </c>
      <c r="C13014" t="str">
        <f t="shared" si="208"/>
        <v>2011 q2</v>
      </c>
    </row>
    <row r="13015" spans="1:3">
      <c r="A13015" s="62">
        <v>40721</v>
      </c>
      <c r="B13015">
        <v>4.0547000000000004</v>
      </c>
      <c r="C13015" t="str">
        <f t="shared" si="208"/>
        <v>2011 q2</v>
      </c>
    </row>
    <row r="13016" spans="1:3">
      <c r="A13016" s="62">
        <v>40722</v>
      </c>
      <c r="B13016">
        <v>4.0983999999999998</v>
      </c>
      <c r="C13016" t="str">
        <f t="shared" si="208"/>
        <v>2011 q2</v>
      </c>
    </row>
    <row r="13017" spans="1:3">
      <c r="A13017" s="62">
        <v>40723</v>
      </c>
      <c r="B13017">
        <v>4.2182000000000004</v>
      </c>
      <c r="C13017" t="str">
        <f t="shared" si="208"/>
        <v>2011 q2</v>
      </c>
    </row>
    <row r="13018" spans="1:3">
      <c r="A13018" s="62">
        <v>40724</v>
      </c>
      <c r="B13018">
        <v>4.2804000000000002</v>
      </c>
      <c r="C13018" t="str">
        <f t="shared" si="208"/>
        <v>2011 q2</v>
      </c>
    </row>
    <row r="13019" spans="1:3">
      <c r="A13019" s="62">
        <v>40725</v>
      </c>
      <c r="B13019">
        <v>4.3025000000000002</v>
      </c>
      <c r="C13019" t="str">
        <f t="shared" si="208"/>
        <v>2011 q3</v>
      </c>
    </row>
    <row r="13020" spans="1:3">
      <c r="A13020" s="62">
        <v>40729</v>
      </c>
      <c r="B13020">
        <v>4.3475000000000001</v>
      </c>
      <c r="C13020" t="str">
        <f t="shared" si="208"/>
        <v>2011 q3</v>
      </c>
    </row>
    <row r="13021" spans="1:3">
      <c r="A13021" s="62">
        <v>40730</v>
      </c>
      <c r="B13021">
        <v>4.335</v>
      </c>
      <c r="C13021" t="str">
        <f t="shared" si="208"/>
        <v>2011 q3</v>
      </c>
    </row>
    <row r="13022" spans="1:3">
      <c r="A13022" s="62">
        <v>40731</v>
      </c>
      <c r="B13022">
        <v>4.4420000000000002</v>
      </c>
      <c r="C13022" t="str">
        <f t="shared" si="208"/>
        <v>2011 q3</v>
      </c>
    </row>
    <row r="13023" spans="1:3">
      <c r="A13023" s="62">
        <v>40732</v>
      </c>
      <c r="B13023">
        <v>4.4119999999999999</v>
      </c>
      <c r="C13023" t="str">
        <f t="shared" si="208"/>
        <v>2011 q3</v>
      </c>
    </row>
    <row r="13024" spans="1:3">
      <c r="A13024" s="62">
        <v>40735</v>
      </c>
      <c r="B13024">
        <v>4.3680000000000003</v>
      </c>
      <c r="C13024" t="str">
        <f t="shared" si="208"/>
        <v>2011 q3</v>
      </c>
    </row>
    <row r="13025" spans="1:3">
      <c r="A13025" s="62">
        <v>40736</v>
      </c>
      <c r="B13025">
        <v>4.3914999999999997</v>
      </c>
      <c r="C13025" t="str">
        <f t="shared" si="208"/>
        <v>2011 q3</v>
      </c>
    </row>
    <row r="13026" spans="1:3">
      <c r="A13026" s="62">
        <v>40737</v>
      </c>
      <c r="B13026">
        <v>4.4035000000000002</v>
      </c>
      <c r="C13026" t="str">
        <f t="shared" si="208"/>
        <v>2011 q3</v>
      </c>
    </row>
    <row r="13027" spans="1:3">
      <c r="A13027" s="62">
        <v>40738</v>
      </c>
      <c r="B13027">
        <v>4.38</v>
      </c>
      <c r="C13027" t="str">
        <f t="shared" si="208"/>
        <v>2011 q3</v>
      </c>
    </row>
    <row r="13028" spans="1:3">
      <c r="A13028" s="62">
        <v>40739</v>
      </c>
      <c r="B13028">
        <v>4.4130000000000003</v>
      </c>
      <c r="C13028" t="str">
        <f t="shared" si="208"/>
        <v>2011 q3</v>
      </c>
    </row>
    <row r="13029" spans="1:3">
      <c r="A13029" s="62">
        <v>40742</v>
      </c>
      <c r="B13029">
        <v>4.4029999999999996</v>
      </c>
      <c r="C13029" t="str">
        <f t="shared" si="208"/>
        <v>2011 q3</v>
      </c>
    </row>
    <row r="13030" spans="1:3">
      <c r="A13030" s="62">
        <v>40743</v>
      </c>
      <c r="B13030">
        <v>4.468</v>
      </c>
      <c r="C13030" t="str">
        <f t="shared" si="208"/>
        <v>2011 q3</v>
      </c>
    </row>
    <row r="13031" spans="1:3">
      <c r="A13031" s="62">
        <v>40744</v>
      </c>
      <c r="B13031">
        <v>4.4359999999999999</v>
      </c>
      <c r="C13031" t="str">
        <f t="shared" si="208"/>
        <v>2011 q3</v>
      </c>
    </row>
    <row r="13032" spans="1:3">
      <c r="A13032" s="62">
        <v>40745</v>
      </c>
      <c r="B13032">
        <v>4.3834999999999997</v>
      </c>
      <c r="C13032" t="str">
        <f t="shared" si="208"/>
        <v>2011 q3</v>
      </c>
    </row>
    <row r="13033" spans="1:3">
      <c r="A13033" s="62">
        <v>40746</v>
      </c>
      <c r="B13033">
        <v>4.41</v>
      </c>
      <c r="C13033" t="str">
        <f t="shared" si="208"/>
        <v>2011 q3</v>
      </c>
    </row>
    <row r="13034" spans="1:3">
      <c r="A13034" s="62">
        <v>40749</v>
      </c>
      <c r="B13034">
        <v>4.4065000000000003</v>
      </c>
      <c r="C13034" t="str">
        <f t="shared" si="208"/>
        <v>2011 q3</v>
      </c>
    </row>
    <row r="13035" spans="1:3">
      <c r="A13035" s="62">
        <v>40750</v>
      </c>
      <c r="B13035">
        <v>4.4779999999999998</v>
      </c>
      <c r="C13035" t="str">
        <f t="shared" si="208"/>
        <v>2011 q3</v>
      </c>
    </row>
    <row r="13036" spans="1:3">
      <c r="A13036" s="62">
        <v>40751</v>
      </c>
      <c r="B13036">
        <v>4.4465000000000003</v>
      </c>
      <c r="C13036" t="str">
        <f t="shared" si="208"/>
        <v>2011 q3</v>
      </c>
    </row>
    <row r="13037" spans="1:3">
      <c r="A13037" s="62">
        <v>40752</v>
      </c>
      <c r="B13037">
        <v>4.4695</v>
      </c>
      <c r="C13037" t="str">
        <f t="shared" si="208"/>
        <v>2011 q3</v>
      </c>
    </row>
    <row r="13038" spans="1:3">
      <c r="A13038" s="62">
        <v>40753</v>
      </c>
      <c r="B13038">
        <v>4.4794999999999998</v>
      </c>
      <c r="C13038" t="str">
        <f t="shared" si="208"/>
        <v>2011 q3</v>
      </c>
    </row>
    <row r="13039" spans="1:3">
      <c r="A13039" s="62">
        <v>40756</v>
      </c>
      <c r="B13039">
        <v>4.41</v>
      </c>
      <c r="C13039" t="str">
        <f t="shared" si="208"/>
        <v>2011 q3</v>
      </c>
    </row>
    <row r="13040" spans="1:3">
      <c r="A13040" s="62">
        <v>40757</v>
      </c>
      <c r="B13040">
        <v>4.3949999999999996</v>
      </c>
      <c r="C13040" t="str">
        <f t="shared" si="208"/>
        <v>2011 q3</v>
      </c>
    </row>
    <row r="13041" spans="1:3">
      <c r="A13041" s="62">
        <v>40758</v>
      </c>
      <c r="B13041">
        <v>4.3259999999999996</v>
      </c>
      <c r="C13041" t="str">
        <f t="shared" si="208"/>
        <v>2011 q3</v>
      </c>
    </row>
    <row r="13042" spans="1:3">
      <c r="A13042" s="62">
        <v>40759</v>
      </c>
      <c r="B13042">
        <v>4.2355</v>
      </c>
      <c r="C13042" t="str">
        <f t="shared" si="208"/>
        <v>2011 q3</v>
      </c>
    </row>
    <row r="13043" spans="1:3">
      <c r="A13043" s="62">
        <v>40760</v>
      </c>
      <c r="B13043">
        <v>4.117</v>
      </c>
      <c r="C13043" t="str">
        <f t="shared" si="208"/>
        <v>2011 q3</v>
      </c>
    </row>
    <row r="13044" spans="1:3">
      <c r="A13044" s="62">
        <v>40763</v>
      </c>
      <c r="B13044">
        <v>3.9615</v>
      </c>
      <c r="C13044" t="str">
        <f t="shared" si="208"/>
        <v>2011 q3</v>
      </c>
    </row>
    <row r="13045" spans="1:3">
      <c r="A13045" s="62">
        <v>40764</v>
      </c>
      <c r="B13045">
        <v>3.97</v>
      </c>
      <c r="C13045" t="str">
        <f t="shared" si="208"/>
        <v>2011 q3</v>
      </c>
    </row>
    <row r="13046" spans="1:3">
      <c r="A13046" s="62">
        <v>40765</v>
      </c>
      <c r="B13046">
        <v>3.8885000000000001</v>
      </c>
      <c r="C13046" t="str">
        <f t="shared" si="208"/>
        <v>2011 q3</v>
      </c>
    </row>
    <row r="13047" spans="1:3">
      <c r="A13047" s="62">
        <v>40766</v>
      </c>
      <c r="B13047">
        <v>4.0084999999999997</v>
      </c>
      <c r="C13047" t="str">
        <f t="shared" si="208"/>
        <v>2011 q3</v>
      </c>
    </row>
    <row r="13048" spans="1:3">
      <c r="A13048" s="62">
        <v>40767</v>
      </c>
      <c r="B13048">
        <v>4.0119999999999996</v>
      </c>
      <c r="C13048" t="str">
        <f t="shared" si="208"/>
        <v>2011 q3</v>
      </c>
    </row>
    <row r="13049" spans="1:3">
      <c r="A13049" s="62">
        <v>40770</v>
      </c>
      <c r="B13049">
        <v>4.032</v>
      </c>
      <c r="C13049" t="str">
        <f t="shared" si="208"/>
        <v>2011 q3</v>
      </c>
    </row>
    <row r="13050" spans="1:3">
      <c r="A13050" s="62">
        <v>40771</v>
      </c>
      <c r="B13050">
        <v>3.9940000000000002</v>
      </c>
      <c r="C13050" t="str">
        <f t="shared" si="208"/>
        <v>2011 q3</v>
      </c>
    </row>
    <row r="13051" spans="1:3">
      <c r="A13051" s="62">
        <v>40772</v>
      </c>
      <c r="B13051">
        <v>4.032</v>
      </c>
      <c r="C13051" t="str">
        <f t="shared" si="208"/>
        <v>2011 q3</v>
      </c>
    </row>
    <row r="13052" spans="1:3">
      <c r="A13052" s="62">
        <v>40773</v>
      </c>
      <c r="B13052">
        <v>3.9660000000000002</v>
      </c>
      <c r="C13052" t="str">
        <f t="shared" si="208"/>
        <v>2011 q3</v>
      </c>
    </row>
    <row r="13053" spans="1:3">
      <c r="A13053" s="62">
        <v>40774</v>
      </c>
      <c r="B13053">
        <v>3.9834999999999998</v>
      </c>
      <c r="C13053" t="str">
        <f t="shared" si="208"/>
        <v>2011 q3</v>
      </c>
    </row>
    <row r="13054" spans="1:3">
      <c r="A13054" s="62">
        <v>40777</v>
      </c>
      <c r="B13054">
        <v>3.9554999999999998</v>
      </c>
      <c r="C13054" t="str">
        <f t="shared" si="208"/>
        <v>2011 q3</v>
      </c>
    </row>
    <row r="13055" spans="1:3">
      <c r="A13055" s="62">
        <v>40778</v>
      </c>
      <c r="B13055">
        <v>3.996</v>
      </c>
      <c r="C13055" t="str">
        <f t="shared" si="208"/>
        <v>2011 q3</v>
      </c>
    </row>
    <row r="13056" spans="1:3">
      <c r="A13056" s="62">
        <v>40779</v>
      </c>
      <c r="B13056">
        <v>3.9980000000000002</v>
      </c>
      <c r="C13056" t="str">
        <f t="shared" si="208"/>
        <v>2011 q3</v>
      </c>
    </row>
    <row r="13057" spans="1:3">
      <c r="A13057" s="62">
        <v>40780</v>
      </c>
      <c r="B13057">
        <v>4.0789999999999997</v>
      </c>
      <c r="C13057" t="str">
        <f t="shared" si="208"/>
        <v>2011 q3</v>
      </c>
    </row>
    <row r="13058" spans="1:3">
      <c r="A13058" s="62">
        <v>40781</v>
      </c>
      <c r="B13058">
        <v>4.1026999999999996</v>
      </c>
      <c r="C13058" t="str">
        <f t="shared" si="208"/>
        <v>2011 q3</v>
      </c>
    </row>
    <row r="13059" spans="1:3">
      <c r="A13059" s="62">
        <v>40784</v>
      </c>
      <c r="B13059">
        <v>4.0972</v>
      </c>
      <c r="C13059" t="str">
        <f t="shared" si="208"/>
        <v>2011 q3</v>
      </c>
    </row>
    <row r="13060" spans="1:3">
      <c r="A13060" s="62">
        <v>40785</v>
      </c>
      <c r="B13060">
        <v>4.1341000000000001</v>
      </c>
      <c r="C13060" t="str">
        <f t="shared" si="208"/>
        <v>2011 q3</v>
      </c>
    </row>
    <row r="13061" spans="1:3">
      <c r="A13061" s="62">
        <v>40786</v>
      </c>
      <c r="B13061">
        <v>4.2009999999999996</v>
      </c>
      <c r="C13061" t="str">
        <f t="shared" si="208"/>
        <v>2011 q3</v>
      </c>
    </row>
    <row r="13062" spans="1:3">
      <c r="A13062" s="62">
        <v>40787</v>
      </c>
      <c r="B13062">
        <v>4.1604999999999999</v>
      </c>
      <c r="C13062" t="str">
        <f t="shared" si="208"/>
        <v>2011 q3</v>
      </c>
    </row>
    <row r="13063" spans="1:3">
      <c r="A13063" s="62">
        <v>40788</v>
      </c>
      <c r="B13063">
        <v>4.1245000000000003</v>
      </c>
      <c r="C13063" t="str">
        <f t="shared" si="208"/>
        <v>2011 q3</v>
      </c>
    </row>
    <row r="13064" spans="1:3">
      <c r="A13064" s="62">
        <v>40792</v>
      </c>
      <c r="B13064">
        <v>4.056</v>
      </c>
      <c r="C13064" t="str">
        <f t="shared" si="208"/>
        <v>2011 q3</v>
      </c>
    </row>
    <row r="13065" spans="1:3">
      <c r="A13065" s="62">
        <v>40793</v>
      </c>
      <c r="B13065">
        <v>4.1319999999999997</v>
      </c>
      <c r="C13065" t="str">
        <f t="shared" si="208"/>
        <v>2011 q3</v>
      </c>
    </row>
    <row r="13066" spans="1:3">
      <c r="A13066" s="62">
        <v>40794</v>
      </c>
      <c r="B13066">
        <v>4.1435000000000004</v>
      </c>
      <c r="C13066" t="str">
        <f t="shared" si="208"/>
        <v>2011 q3</v>
      </c>
    </row>
    <row r="13067" spans="1:3">
      <c r="A13067" s="62">
        <v>40795</v>
      </c>
      <c r="B13067">
        <v>4.0025000000000004</v>
      </c>
      <c r="C13067" t="str">
        <f t="shared" si="208"/>
        <v>2011 q3</v>
      </c>
    </row>
    <row r="13068" spans="1:3">
      <c r="A13068" s="62">
        <v>40798</v>
      </c>
      <c r="B13068">
        <v>3.9655</v>
      </c>
      <c r="C13068" t="str">
        <f t="shared" si="208"/>
        <v>2011 q3</v>
      </c>
    </row>
    <row r="13069" spans="1:3">
      <c r="A13069" s="62">
        <v>40799</v>
      </c>
      <c r="B13069">
        <v>3.97</v>
      </c>
      <c r="C13069" t="str">
        <f t="shared" si="208"/>
        <v>2011 q3</v>
      </c>
    </row>
    <row r="13070" spans="1:3">
      <c r="A13070" s="62">
        <v>40800</v>
      </c>
      <c r="B13070">
        <v>3.8980000000000001</v>
      </c>
      <c r="C13070" t="str">
        <f t="shared" si="208"/>
        <v>2011 q3</v>
      </c>
    </row>
    <row r="13071" spans="1:3">
      <c r="A13071" s="62">
        <v>40801</v>
      </c>
      <c r="B13071">
        <v>3.9569999999999999</v>
      </c>
      <c r="C13071" t="str">
        <f t="shared" si="208"/>
        <v>2011 q3</v>
      </c>
    </row>
    <row r="13072" spans="1:3">
      <c r="A13072" s="62">
        <v>40802</v>
      </c>
      <c r="B13072">
        <v>3.9315000000000002</v>
      </c>
      <c r="C13072" t="str">
        <f t="shared" si="208"/>
        <v>2011 q3</v>
      </c>
    </row>
    <row r="13073" spans="1:3">
      <c r="A13073" s="62">
        <v>40805</v>
      </c>
      <c r="B13073">
        <v>3.7825000000000002</v>
      </c>
      <c r="C13073" t="str">
        <f t="shared" si="208"/>
        <v>2011 q3</v>
      </c>
    </row>
    <row r="13074" spans="1:3">
      <c r="A13074" s="62">
        <v>40806</v>
      </c>
      <c r="B13074">
        <v>3.7254999999999998</v>
      </c>
      <c r="C13074" t="str">
        <f t="shared" ref="C13074:C13137" si="209">YEAR(A13074)&amp;" q"&amp;ROUNDUP(MONTH(A13074)/3,0)</f>
        <v>2011 q3</v>
      </c>
    </row>
    <row r="13075" spans="1:3">
      <c r="A13075" s="62">
        <v>40807</v>
      </c>
      <c r="B13075">
        <v>3.7639999999999998</v>
      </c>
      <c r="C13075" t="str">
        <f t="shared" si="209"/>
        <v>2011 q3</v>
      </c>
    </row>
    <row r="13076" spans="1:3">
      <c r="A13076" s="62">
        <v>40808</v>
      </c>
      <c r="B13076">
        <v>3.4885000000000002</v>
      </c>
      <c r="C13076" t="str">
        <f t="shared" si="209"/>
        <v>2011 q3</v>
      </c>
    </row>
    <row r="13077" spans="1:3">
      <c r="A13077" s="62">
        <v>40809</v>
      </c>
      <c r="B13077">
        <v>3.28</v>
      </c>
      <c r="C13077" t="str">
        <f t="shared" si="209"/>
        <v>2011 q3</v>
      </c>
    </row>
    <row r="13078" spans="1:3">
      <c r="A13078" s="62">
        <v>40812</v>
      </c>
      <c r="B13078">
        <v>3.2829999999999999</v>
      </c>
      <c r="C13078" t="str">
        <f t="shared" si="209"/>
        <v>2011 q3</v>
      </c>
    </row>
    <row r="13079" spans="1:3">
      <c r="A13079" s="62">
        <v>40813</v>
      </c>
      <c r="B13079">
        <v>3.4394999999999998</v>
      </c>
      <c r="C13079" t="str">
        <f t="shared" si="209"/>
        <v>2011 q3</v>
      </c>
    </row>
    <row r="13080" spans="1:3">
      <c r="A13080" s="62">
        <v>40814</v>
      </c>
      <c r="B13080">
        <v>3.2465000000000002</v>
      </c>
      <c r="C13080" t="str">
        <f t="shared" si="209"/>
        <v>2011 q3</v>
      </c>
    </row>
    <row r="13081" spans="1:3">
      <c r="A13081" s="62">
        <v>40815</v>
      </c>
      <c r="B13081">
        <v>3.246</v>
      </c>
      <c r="C13081" t="str">
        <f t="shared" si="209"/>
        <v>2011 q3</v>
      </c>
    </row>
    <row r="13082" spans="1:3">
      <c r="A13082" s="62">
        <v>40816</v>
      </c>
      <c r="B13082">
        <v>3.1520000000000001</v>
      </c>
      <c r="C13082" t="str">
        <f t="shared" si="209"/>
        <v>2011 q3</v>
      </c>
    </row>
    <row r="13083" spans="1:3">
      <c r="A13083" s="62">
        <v>40819</v>
      </c>
      <c r="B13083">
        <v>3.1505000000000001</v>
      </c>
      <c r="C13083" t="str">
        <f t="shared" si="209"/>
        <v>2011 q4</v>
      </c>
    </row>
    <row r="13084" spans="1:3">
      <c r="A13084" s="62">
        <v>40820</v>
      </c>
      <c r="B13084">
        <v>3.1034999999999999</v>
      </c>
      <c r="C13084" t="str">
        <f t="shared" si="209"/>
        <v>2011 q4</v>
      </c>
    </row>
    <row r="13085" spans="1:3">
      <c r="A13085" s="62">
        <v>40821</v>
      </c>
      <c r="B13085">
        <v>3.1059999999999999</v>
      </c>
      <c r="C13085" t="str">
        <f t="shared" si="209"/>
        <v>2011 q4</v>
      </c>
    </row>
    <row r="13086" spans="1:3">
      <c r="A13086" s="62">
        <v>40822</v>
      </c>
      <c r="B13086">
        <v>3.2465000000000002</v>
      </c>
      <c r="C13086" t="str">
        <f t="shared" si="209"/>
        <v>2011 q4</v>
      </c>
    </row>
    <row r="13087" spans="1:3">
      <c r="A13087" s="62">
        <v>40823</v>
      </c>
      <c r="B13087">
        <v>3.2734999999999999</v>
      </c>
      <c r="C13087" t="str">
        <f t="shared" si="209"/>
        <v>2011 q4</v>
      </c>
    </row>
    <row r="13088" spans="1:3">
      <c r="A13088" s="62">
        <v>40826</v>
      </c>
      <c r="B13088">
        <v>3.3679999999999999</v>
      </c>
      <c r="C13088" t="str">
        <f t="shared" si="209"/>
        <v>2011 q4</v>
      </c>
    </row>
    <row r="13089" spans="1:3">
      <c r="A13089" s="62">
        <v>40827</v>
      </c>
      <c r="B13089">
        <v>3.2905000000000002</v>
      </c>
      <c r="C13089" t="str">
        <f t="shared" si="209"/>
        <v>2011 q4</v>
      </c>
    </row>
    <row r="13090" spans="1:3">
      <c r="A13090" s="62">
        <v>40828</v>
      </c>
      <c r="B13090">
        <v>3.3935</v>
      </c>
      <c r="C13090" t="str">
        <f t="shared" si="209"/>
        <v>2011 q4</v>
      </c>
    </row>
    <row r="13091" spans="1:3">
      <c r="A13091" s="62">
        <v>40829</v>
      </c>
      <c r="B13091">
        <v>3.3069999999999999</v>
      </c>
      <c r="C13091" t="str">
        <f t="shared" si="209"/>
        <v>2011 q4</v>
      </c>
    </row>
    <row r="13092" spans="1:3">
      <c r="A13092" s="62">
        <v>40830</v>
      </c>
      <c r="B13092">
        <v>3.4085000000000001</v>
      </c>
      <c r="C13092" t="str">
        <f t="shared" si="209"/>
        <v>2011 q4</v>
      </c>
    </row>
    <row r="13093" spans="1:3">
      <c r="A13093" s="62">
        <v>40833</v>
      </c>
      <c r="B13093">
        <v>3.3780000000000001</v>
      </c>
      <c r="C13093" t="str">
        <f t="shared" si="209"/>
        <v>2011 q4</v>
      </c>
    </row>
    <row r="13094" spans="1:3">
      <c r="A13094" s="62">
        <v>40834</v>
      </c>
      <c r="B13094">
        <v>3.36</v>
      </c>
      <c r="C13094" t="str">
        <f t="shared" si="209"/>
        <v>2011 q4</v>
      </c>
    </row>
    <row r="13095" spans="1:3">
      <c r="A13095" s="62">
        <v>40835</v>
      </c>
      <c r="B13095">
        <v>3.258</v>
      </c>
      <c r="C13095" t="str">
        <f t="shared" si="209"/>
        <v>2011 q4</v>
      </c>
    </row>
    <row r="13096" spans="1:3">
      <c r="A13096" s="62">
        <v>40836</v>
      </c>
      <c r="B13096">
        <v>3.0575000000000001</v>
      </c>
      <c r="C13096" t="str">
        <f t="shared" si="209"/>
        <v>2011 q4</v>
      </c>
    </row>
    <row r="13097" spans="1:3">
      <c r="A13097" s="62">
        <v>40837</v>
      </c>
      <c r="B13097">
        <v>3.2229999999999999</v>
      </c>
      <c r="C13097" t="str">
        <f t="shared" si="209"/>
        <v>2011 q4</v>
      </c>
    </row>
    <row r="13098" spans="1:3">
      <c r="A13098" s="62">
        <v>40840</v>
      </c>
      <c r="B13098">
        <v>3.4489999999999998</v>
      </c>
      <c r="C13098" t="str">
        <f t="shared" si="209"/>
        <v>2011 q4</v>
      </c>
    </row>
    <row r="13099" spans="1:3">
      <c r="A13099" s="62">
        <v>40841</v>
      </c>
      <c r="B13099">
        <v>3.4205000000000001</v>
      </c>
      <c r="C13099" t="str">
        <f t="shared" si="209"/>
        <v>2011 q4</v>
      </c>
    </row>
    <row r="13100" spans="1:3">
      <c r="A13100" s="62">
        <v>40842</v>
      </c>
      <c r="B13100">
        <v>3.49</v>
      </c>
      <c r="C13100" t="str">
        <f t="shared" si="209"/>
        <v>2011 q4</v>
      </c>
    </row>
    <row r="13101" spans="1:3">
      <c r="A13101" s="62">
        <v>40843</v>
      </c>
      <c r="B13101">
        <v>3.6920000000000002</v>
      </c>
      <c r="C13101" t="str">
        <f t="shared" si="209"/>
        <v>2011 q4</v>
      </c>
    </row>
    <row r="13102" spans="1:3">
      <c r="A13102" s="62">
        <v>40844</v>
      </c>
      <c r="B13102">
        <v>3.706</v>
      </c>
      <c r="C13102" t="str">
        <f t="shared" si="209"/>
        <v>2011 q4</v>
      </c>
    </row>
    <row r="13103" spans="1:3">
      <c r="A13103" s="62">
        <v>40847</v>
      </c>
      <c r="B13103">
        <v>3.6320000000000001</v>
      </c>
      <c r="C13103" t="str">
        <f t="shared" si="209"/>
        <v>2011 q4</v>
      </c>
    </row>
    <row r="13104" spans="1:3">
      <c r="A13104" s="62">
        <v>40848</v>
      </c>
      <c r="B13104">
        <v>3.5024999999999999</v>
      </c>
      <c r="C13104" t="str">
        <f t="shared" si="209"/>
        <v>2011 q4</v>
      </c>
    </row>
    <row r="13105" spans="1:3">
      <c r="A13105" s="62">
        <v>40849</v>
      </c>
      <c r="B13105">
        <v>3.581</v>
      </c>
      <c r="C13105" t="str">
        <f t="shared" si="209"/>
        <v>2011 q4</v>
      </c>
    </row>
    <row r="13106" spans="1:3">
      <c r="A13106" s="62">
        <v>40850</v>
      </c>
      <c r="B13106">
        <v>3.5884999999999998</v>
      </c>
      <c r="C13106" t="str">
        <f t="shared" si="209"/>
        <v>2011 q4</v>
      </c>
    </row>
    <row r="13107" spans="1:3">
      <c r="A13107" s="62">
        <v>40851</v>
      </c>
      <c r="B13107">
        <v>3.5644999999999998</v>
      </c>
      <c r="C13107" t="str">
        <f t="shared" si="209"/>
        <v>2011 q4</v>
      </c>
    </row>
    <row r="13108" spans="1:3">
      <c r="A13108" s="62">
        <v>40854</v>
      </c>
      <c r="B13108">
        <v>3.5354999999999999</v>
      </c>
      <c r="C13108" t="str">
        <f t="shared" si="209"/>
        <v>2011 q4</v>
      </c>
    </row>
    <row r="13109" spans="1:3">
      <c r="A13109" s="62">
        <v>40855</v>
      </c>
      <c r="B13109">
        <v>3.5329999999999999</v>
      </c>
      <c r="C13109" t="str">
        <f t="shared" si="209"/>
        <v>2011 q4</v>
      </c>
    </row>
    <row r="13110" spans="1:3">
      <c r="A13110" s="62">
        <v>40856</v>
      </c>
      <c r="B13110">
        <v>3.4409999999999998</v>
      </c>
      <c r="C13110" t="str">
        <f t="shared" si="209"/>
        <v>2011 q4</v>
      </c>
    </row>
    <row r="13111" spans="1:3">
      <c r="A13111" s="62">
        <v>40857</v>
      </c>
      <c r="B13111">
        <v>3.3740000000000001</v>
      </c>
      <c r="C13111" t="str">
        <f t="shared" si="209"/>
        <v>2011 q4</v>
      </c>
    </row>
    <row r="13112" spans="1:3">
      <c r="A13112" s="62">
        <v>40858</v>
      </c>
      <c r="B13112">
        <v>3.4634999999999998</v>
      </c>
      <c r="C13112" t="str">
        <f t="shared" si="209"/>
        <v>2011 q4</v>
      </c>
    </row>
    <row r="13113" spans="1:3">
      <c r="A13113" s="62">
        <v>40861</v>
      </c>
      <c r="B13113">
        <v>3.488</v>
      </c>
      <c r="C13113" t="str">
        <f t="shared" si="209"/>
        <v>2011 q4</v>
      </c>
    </row>
    <row r="13114" spans="1:3">
      <c r="A13114" s="62">
        <v>40862</v>
      </c>
      <c r="B13114">
        <v>3.5015000000000001</v>
      </c>
      <c r="C13114" t="str">
        <f t="shared" si="209"/>
        <v>2011 q4</v>
      </c>
    </row>
    <row r="13115" spans="1:3">
      <c r="A13115" s="62">
        <v>40863</v>
      </c>
      <c r="B13115">
        <v>3.4845000000000002</v>
      </c>
      <c r="C13115" t="str">
        <f t="shared" si="209"/>
        <v>2011 q4</v>
      </c>
    </row>
    <row r="13116" spans="1:3">
      <c r="A13116" s="62">
        <v>40864</v>
      </c>
      <c r="B13116">
        <v>3.3824999999999998</v>
      </c>
      <c r="C13116" t="str">
        <f t="shared" si="209"/>
        <v>2011 q4</v>
      </c>
    </row>
    <row r="13117" spans="1:3">
      <c r="A13117" s="62">
        <v>40865</v>
      </c>
      <c r="B13117">
        <v>3.4020000000000001</v>
      </c>
      <c r="C13117" t="str">
        <f t="shared" si="209"/>
        <v>2011 q4</v>
      </c>
    </row>
    <row r="13118" spans="1:3">
      <c r="A13118" s="62">
        <v>40868</v>
      </c>
      <c r="B13118">
        <v>3.3029999999999999</v>
      </c>
      <c r="C13118" t="str">
        <f t="shared" si="209"/>
        <v>2011 q4</v>
      </c>
    </row>
    <row r="13119" spans="1:3">
      <c r="A13119" s="62">
        <v>40869</v>
      </c>
      <c r="B13119">
        <v>3.3330000000000002</v>
      </c>
      <c r="C13119" t="str">
        <f t="shared" si="209"/>
        <v>2011 q4</v>
      </c>
    </row>
    <row r="13120" spans="1:3">
      <c r="A13120" s="62">
        <v>40870</v>
      </c>
      <c r="B13120">
        <v>3.2789999999999999</v>
      </c>
      <c r="C13120" t="str">
        <f t="shared" si="209"/>
        <v>2011 q4</v>
      </c>
    </row>
    <row r="13121" spans="1:3">
      <c r="A13121" s="62">
        <v>40872</v>
      </c>
      <c r="B13121">
        <v>3.2715999999999998</v>
      </c>
      <c r="C13121" t="str">
        <f t="shared" si="209"/>
        <v>2011 q4</v>
      </c>
    </row>
    <row r="13122" spans="1:3">
      <c r="A13122" s="62">
        <v>40875</v>
      </c>
      <c r="B13122">
        <v>3.3624999999999998</v>
      </c>
      <c r="C13122" t="str">
        <f t="shared" si="209"/>
        <v>2011 q4</v>
      </c>
    </row>
    <row r="13123" spans="1:3">
      <c r="A13123" s="62">
        <v>40876</v>
      </c>
      <c r="B13123">
        <v>3.3801999999999999</v>
      </c>
      <c r="C13123" t="str">
        <f t="shared" si="209"/>
        <v>2011 q4</v>
      </c>
    </row>
    <row r="13124" spans="1:3">
      <c r="A13124" s="62">
        <v>40877</v>
      </c>
      <c r="B13124">
        <v>3.5674000000000001</v>
      </c>
      <c r="C13124" t="str">
        <f t="shared" si="209"/>
        <v>2011 q4</v>
      </c>
    </row>
    <row r="13125" spans="1:3">
      <c r="A13125" s="62">
        <v>40878</v>
      </c>
      <c r="B13125">
        <v>3.5274999999999999</v>
      </c>
      <c r="C13125" t="str">
        <f t="shared" si="209"/>
        <v>2011 q4</v>
      </c>
    </row>
    <row r="13126" spans="1:3">
      <c r="A13126" s="62">
        <v>40879</v>
      </c>
      <c r="B13126">
        <v>3.5775000000000001</v>
      </c>
      <c r="C13126" t="str">
        <f t="shared" si="209"/>
        <v>2011 q4</v>
      </c>
    </row>
    <row r="13127" spans="1:3">
      <c r="A13127" s="62">
        <v>40882</v>
      </c>
      <c r="B13127">
        <v>3.6084999999999998</v>
      </c>
      <c r="C13127" t="str">
        <f t="shared" si="209"/>
        <v>2011 q4</v>
      </c>
    </row>
    <row r="13128" spans="1:3">
      <c r="A13128" s="62">
        <v>40883</v>
      </c>
      <c r="B13128">
        <v>3.5684999999999998</v>
      </c>
      <c r="C13128" t="str">
        <f t="shared" si="209"/>
        <v>2011 q4</v>
      </c>
    </row>
    <row r="13129" spans="1:3">
      <c r="A13129" s="62">
        <v>40884</v>
      </c>
      <c r="B13129">
        <v>3.5489999999999999</v>
      </c>
      <c r="C13129" t="str">
        <f t="shared" si="209"/>
        <v>2011 q4</v>
      </c>
    </row>
    <row r="13130" spans="1:3">
      <c r="A13130" s="62">
        <v>40885</v>
      </c>
      <c r="B13130">
        <v>3.4929999999999999</v>
      </c>
      <c r="C13130" t="str">
        <f t="shared" si="209"/>
        <v>2011 q4</v>
      </c>
    </row>
    <row r="13131" spans="1:3">
      <c r="A13131" s="62">
        <v>40886</v>
      </c>
      <c r="B13131">
        <v>3.5505</v>
      </c>
      <c r="C13131" t="str">
        <f t="shared" si="209"/>
        <v>2011 q4</v>
      </c>
    </row>
    <row r="13132" spans="1:3">
      <c r="A13132" s="62">
        <v>40889</v>
      </c>
      <c r="B13132">
        <v>3.4580000000000002</v>
      </c>
      <c r="C13132" t="str">
        <f t="shared" si="209"/>
        <v>2011 q4</v>
      </c>
    </row>
    <row r="13133" spans="1:3">
      <c r="A13133" s="62">
        <v>40890</v>
      </c>
      <c r="B13133">
        <v>3.4359999999999999</v>
      </c>
      <c r="C13133" t="str">
        <f t="shared" si="209"/>
        <v>2011 q4</v>
      </c>
    </row>
    <row r="13134" spans="1:3">
      <c r="A13134" s="62">
        <v>40891</v>
      </c>
      <c r="B13134">
        <v>3.2749999999999999</v>
      </c>
      <c r="C13134" t="str">
        <f t="shared" si="209"/>
        <v>2011 q4</v>
      </c>
    </row>
    <row r="13135" spans="1:3">
      <c r="A13135" s="62">
        <v>40892</v>
      </c>
      <c r="B13135">
        <v>3.2629999999999999</v>
      </c>
      <c r="C13135" t="str">
        <f t="shared" si="209"/>
        <v>2011 q4</v>
      </c>
    </row>
    <row r="13136" spans="1:3">
      <c r="A13136" s="62">
        <v>40893</v>
      </c>
      <c r="B13136">
        <v>3.3264999999999998</v>
      </c>
      <c r="C13136" t="str">
        <f t="shared" si="209"/>
        <v>2011 q4</v>
      </c>
    </row>
    <row r="13137" spans="1:3">
      <c r="A13137" s="62">
        <v>40896</v>
      </c>
      <c r="B13137">
        <v>3.3035000000000001</v>
      </c>
      <c r="C13137" t="str">
        <f t="shared" si="209"/>
        <v>2011 q4</v>
      </c>
    </row>
    <row r="13138" spans="1:3">
      <c r="A13138" s="62">
        <v>40897</v>
      </c>
      <c r="B13138">
        <v>3.3645</v>
      </c>
      <c r="C13138" t="str">
        <f t="shared" ref="C13138:C13201" si="210">YEAR(A13138)&amp;" q"&amp;ROUNDUP(MONTH(A13138)/3,0)</f>
        <v>2011 q4</v>
      </c>
    </row>
    <row r="13139" spans="1:3">
      <c r="A13139" s="62">
        <v>40898</v>
      </c>
      <c r="B13139">
        <v>3.3895</v>
      </c>
      <c r="C13139" t="str">
        <f t="shared" si="210"/>
        <v>2011 q4</v>
      </c>
    </row>
    <row r="13140" spans="1:3">
      <c r="A13140" s="62">
        <v>40899</v>
      </c>
      <c r="B13140">
        <v>3.41</v>
      </c>
      <c r="C13140" t="str">
        <f t="shared" si="210"/>
        <v>2011 q4</v>
      </c>
    </row>
    <row r="13141" spans="1:3">
      <c r="A13141" s="62">
        <v>40900</v>
      </c>
      <c r="B13141">
        <v>3.4645000000000001</v>
      </c>
      <c r="C13141" t="str">
        <f t="shared" si="210"/>
        <v>2011 q4</v>
      </c>
    </row>
    <row r="13142" spans="1:3">
      <c r="A13142" s="62">
        <v>40904</v>
      </c>
      <c r="B13142">
        <v>3.4058000000000002</v>
      </c>
      <c r="C13142" t="str">
        <f t="shared" si="210"/>
        <v>2011 q4</v>
      </c>
    </row>
    <row r="13143" spans="1:3">
      <c r="A13143" s="62">
        <v>40905</v>
      </c>
      <c r="B13143">
        <v>3.3631000000000002</v>
      </c>
      <c r="C13143" t="str">
        <f t="shared" si="210"/>
        <v>2011 q4</v>
      </c>
    </row>
    <row r="13144" spans="1:3">
      <c r="A13144" s="62">
        <v>40906</v>
      </c>
      <c r="B13144">
        <v>3.3681999999999999</v>
      </c>
      <c r="C13144" t="str">
        <f t="shared" si="210"/>
        <v>2011 q4</v>
      </c>
    </row>
    <row r="13145" spans="1:3">
      <c r="A13145" s="62">
        <v>40907</v>
      </c>
      <c r="B13145">
        <v>3.4350999999999998</v>
      </c>
      <c r="C13145" t="str">
        <f t="shared" si="210"/>
        <v>2011 q4</v>
      </c>
    </row>
    <row r="13146" spans="1:3">
      <c r="A13146" s="62">
        <v>40911</v>
      </c>
      <c r="B13146">
        <v>3.5285000000000002</v>
      </c>
      <c r="C13146" t="str">
        <f t="shared" si="210"/>
        <v>2012 q1</v>
      </c>
    </row>
    <row r="13147" spans="1:3">
      <c r="A13147" s="62">
        <v>40912</v>
      </c>
      <c r="B13147">
        <v>3.4344999999999999</v>
      </c>
      <c r="C13147" t="str">
        <f t="shared" si="210"/>
        <v>2012 q1</v>
      </c>
    </row>
    <row r="13148" spans="1:3">
      <c r="A13148" s="62">
        <v>40913</v>
      </c>
      <c r="B13148">
        <v>3.4264999999999999</v>
      </c>
      <c r="C13148" t="str">
        <f t="shared" si="210"/>
        <v>2012 q1</v>
      </c>
    </row>
    <row r="13149" spans="1:3">
      <c r="A13149" s="62">
        <v>40914</v>
      </c>
      <c r="B13149">
        <v>3.4350000000000001</v>
      </c>
      <c r="C13149" t="str">
        <f t="shared" si="210"/>
        <v>2012 q1</v>
      </c>
    </row>
    <row r="13150" spans="1:3">
      <c r="A13150" s="62">
        <v>40917</v>
      </c>
      <c r="B13150">
        <v>3.4159999999999999</v>
      </c>
      <c r="C13150" t="str">
        <f t="shared" si="210"/>
        <v>2012 q1</v>
      </c>
    </row>
    <row r="13151" spans="1:3">
      <c r="A13151" s="62">
        <v>40918</v>
      </c>
      <c r="B13151">
        <v>3.5129999999999999</v>
      </c>
      <c r="C13151" t="str">
        <f t="shared" si="210"/>
        <v>2012 q1</v>
      </c>
    </row>
    <row r="13152" spans="1:3">
      <c r="A13152" s="62">
        <v>40919</v>
      </c>
      <c r="B13152">
        <v>3.5459999999999998</v>
      </c>
      <c r="C13152" t="str">
        <f t="shared" si="210"/>
        <v>2012 q1</v>
      </c>
    </row>
    <row r="13153" spans="1:3">
      <c r="A13153" s="62">
        <v>40920</v>
      </c>
      <c r="B13153">
        <v>3.649</v>
      </c>
      <c r="C13153" t="str">
        <f t="shared" si="210"/>
        <v>2012 q1</v>
      </c>
    </row>
    <row r="13154" spans="1:3">
      <c r="A13154" s="62">
        <v>40921</v>
      </c>
      <c r="B13154">
        <v>3.637</v>
      </c>
      <c r="C13154" t="str">
        <f t="shared" si="210"/>
        <v>2012 q1</v>
      </c>
    </row>
    <row r="13155" spans="1:3">
      <c r="A13155" s="62">
        <v>40925</v>
      </c>
      <c r="B13155">
        <v>3.7294999999999998</v>
      </c>
      <c r="C13155" t="str">
        <f t="shared" si="210"/>
        <v>2012 q1</v>
      </c>
    </row>
    <row r="13156" spans="1:3">
      <c r="A13156" s="62">
        <v>40926</v>
      </c>
      <c r="B13156">
        <v>3.7524999999999999</v>
      </c>
      <c r="C13156" t="str">
        <f t="shared" si="210"/>
        <v>2012 q1</v>
      </c>
    </row>
    <row r="13157" spans="1:3">
      <c r="A13157" s="62">
        <v>40927</v>
      </c>
      <c r="B13157">
        <v>3.8005</v>
      </c>
      <c r="C13157" t="str">
        <f t="shared" si="210"/>
        <v>2012 q1</v>
      </c>
    </row>
    <row r="13158" spans="1:3">
      <c r="A13158" s="62">
        <v>40928</v>
      </c>
      <c r="B13158">
        <v>3.7450000000000001</v>
      </c>
      <c r="C13158" t="str">
        <f t="shared" si="210"/>
        <v>2012 q1</v>
      </c>
    </row>
    <row r="13159" spans="1:3">
      <c r="A13159" s="62">
        <v>40931</v>
      </c>
      <c r="B13159">
        <v>3.7985000000000002</v>
      </c>
      <c r="C13159" t="str">
        <f t="shared" si="210"/>
        <v>2012 q1</v>
      </c>
    </row>
    <row r="13160" spans="1:3">
      <c r="A13160" s="62">
        <v>40932</v>
      </c>
      <c r="B13160">
        <v>3.8075000000000001</v>
      </c>
      <c r="C13160" t="str">
        <f t="shared" si="210"/>
        <v>2012 q1</v>
      </c>
    </row>
    <row r="13161" spans="1:3">
      <c r="A13161" s="62">
        <v>40933</v>
      </c>
      <c r="B13161">
        <v>3.8294999999999999</v>
      </c>
      <c r="C13161" t="str">
        <f t="shared" si="210"/>
        <v>2012 q1</v>
      </c>
    </row>
    <row r="13162" spans="1:3">
      <c r="A13162" s="62">
        <v>40934</v>
      </c>
      <c r="B13162">
        <v>3.9015</v>
      </c>
      <c r="C13162" t="str">
        <f t="shared" si="210"/>
        <v>2012 q1</v>
      </c>
    </row>
    <row r="13163" spans="1:3">
      <c r="A13163" s="62">
        <v>40935</v>
      </c>
      <c r="B13163">
        <v>3.8889999999999998</v>
      </c>
      <c r="C13163" t="str">
        <f t="shared" si="210"/>
        <v>2012 q1</v>
      </c>
    </row>
    <row r="13164" spans="1:3">
      <c r="A13164" s="62">
        <v>40938</v>
      </c>
      <c r="B13164">
        <v>3.8264999999999998</v>
      </c>
      <c r="C13164" t="str">
        <f t="shared" si="210"/>
        <v>2012 q1</v>
      </c>
    </row>
    <row r="13165" spans="1:3">
      <c r="A13165" s="62">
        <v>40939</v>
      </c>
      <c r="B13165">
        <v>3.79</v>
      </c>
      <c r="C13165" t="str">
        <f t="shared" si="210"/>
        <v>2012 q1</v>
      </c>
    </row>
    <row r="13166" spans="1:3">
      <c r="A13166" s="62">
        <v>40940</v>
      </c>
      <c r="B13166">
        <v>3.8420000000000001</v>
      </c>
      <c r="C13166" t="str">
        <f t="shared" si="210"/>
        <v>2012 q1</v>
      </c>
    </row>
    <row r="13167" spans="1:3">
      <c r="A13167" s="62">
        <v>40941</v>
      </c>
      <c r="B13167">
        <v>3.7810000000000001</v>
      </c>
      <c r="C13167" t="str">
        <f t="shared" si="210"/>
        <v>2012 q1</v>
      </c>
    </row>
    <row r="13168" spans="1:3">
      <c r="A13168" s="62">
        <v>40942</v>
      </c>
      <c r="B13168">
        <v>3.9015</v>
      </c>
      <c r="C13168" t="str">
        <f t="shared" si="210"/>
        <v>2012 q1</v>
      </c>
    </row>
    <row r="13169" spans="1:3">
      <c r="A13169" s="62">
        <v>40945</v>
      </c>
      <c r="B13169">
        <v>3.8645</v>
      </c>
      <c r="C13169" t="str">
        <f t="shared" si="210"/>
        <v>2012 q1</v>
      </c>
    </row>
    <row r="13170" spans="1:3">
      <c r="A13170" s="62">
        <v>40946</v>
      </c>
      <c r="B13170">
        <v>3.8759999999999999</v>
      </c>
      <c r="C13170" t="str">
        <f t="shared" si="210"/>
        <v>2012 q1</v>
      </c>
    </row>
    <row r="13171" spans="1:3">
      <c r="A13171" s="62">
        <v>40947</v>
      </c>
      <c r="B13171">
        <v>3.9095</v>
      </c>
      <c r="C13171" t="str">
        <f t="shared" si="210"/>
        <v>2012 q1</v>
      </c>
    </row>
    <row r="13172" spans="1:3">
      <c r="A13172" s="62">
        <v>40948</v>
      </c>
      <c r="B13172">
        <v>3.9784999999999999</v>
      </c>
      <c r="C13172" t="str">
        <f t="shared" si="210"/>
        <v>2012 q1</v>
      </c>
    </row>
    <row r="13173" spans="1:3">
      <c r="A13173" s="62">
        <v>40949</v>
      </c>
      <c r="B13173">
        <v>3.8620000000000001</v>
      </c>
      <c r="C13173" t="str">
        <f t="shared" si="210"/>
        <v>2012 q1</v>
      </c>
    </row>
    <row r="13174" spans="1:3">
      <c r="A13174" s="62">
        <v>40952</v>
      </c>
      <c r="B13174">
        <v>3.8395000000000001</v>
      </c>
      <c r="C13174" t="str">
        <f t="shared" si="210"/>
        <v>2012 q1</v>
      </c>
    </row>
    <row r="13175" spans="1:3">
      <c r="A13175" s="62">
        <v>40953</v>
      </c>
      <c r="B13175">
        <v>3.8144999999999998</v>
      </c>
      <c r="C13175" t="str">
        <f t="shared" si="210"/>
        <v>2012 q1</v>
      </c>
    </row>
    <row r="13176" spans="1:3">
      <c r="A13176" s="62">
        <v>40954</v>
      </c>
      <c r="B13176">
        <v>3.8014999999999999</v>
      </c>
      <c r="C13176" t="str">
        <f t="shared" si="210"/>
        <v>2012 q1</v>
      </c>
    </row>
    <row r="13177" spans="1:3">
      <c r="A13177" s="62">
        <v>40955</v>
      </c>
      <c r="B13177">
        <v>3.7909999999999999</v>
      </c>
      <c r="C13177" t="str">
        <f t="shared" si="210"/>
        <v>2012 q1</v>
      </c>
    </row>
    <row r="13178" spans="1:3">
      <c r="A13178" s="62">
        <v>40956</v>
      </c>
      <c r="B13178">
        <v>3.7080000000000002</v>
      </c>
      <c r="C13178" t="str">
        <f t="shared" si="210"/>
        <v>2012 q1</v>
      </c>
    </row>
    <row r="13179" spans="1:3">
      <c r="A13179" s="62">
        <v>40960</v>
      </c>
      <c r="B13179">
        <v>3.8365</v>
      </c>
      <c r="C13179" t="str">
        <f t="shared" si="210"/>
        <v>2012 q1</v>
      </c>
    </row>
    <row r="13180" spans="1:3">
      <c r="A13180" s="62">
        <v>40961</v>
      </c>
      <c r="B13180">
        <v>3.8334999999999999</v>
      </c>
      <c r="C13180" t="str">
        <f t="shared" si="210"/>
        <v>2012 q1</v>
      </c>
    </row>
    <row r="13181" spans="1:3">
      <c r="A13181" s="62">
        <v>40962</v>
      </c>
      <c r="B13181">
        <v>3.806</v>
      </c>
      <c r="C13181" t="str">
        <f t="shared" si="210"/>
        <v>2012 q1</v>
      </c>
    </row>
    <row r="13182" spans="1:3">
      <c r="A13182" s="62">
        <v>40963</v>
      </c>
      <c r="B13182">
        <v>3.8643999999999998</v>
      </c>
      <c r="C13182" t="str">
        <f t="shared" si="210"/>
        <v>2012 q1</v>
      </c>
    </row>
    <row r="13183" spans="1:3">
      <c r="A13183" s="62">
        <v>40966</v>
      </c>
      <c r="B13183">
        <v>3.8839000000000001</v>
      </c>
      <c r="C13183" t="str">
        <f t="shared" si="210"/>
        <v>2012 q1</v>
      </c>
    </row>
    <row r="13184" spans="1:3">
      <c r="A13184" s="62">
        <v>40967</v>
      </c>
      <c r="B13184">
        <v>3.9177</v>
      </c>
      <c r="C13184" t="str">
        <f t="shared" si="210"/>
        <v>2012 q1</v>
      </c>
    </row>
    <row r="13185" spans="1:3">
      <c r="A13185" s="62">
        <v>40968</v>
      </c>
      <c r="B13185">
        <v>3.8776999999999999</v>
      </c>
      <c r="C13185" t="str">
        <f t="shared" si="210"/>
        <v>2012 q1</v>
      </c>
    </row>
    <row r="13186" spans="1:3">
      <c r="A13186" s="62">
        <v>40969</v>
      </c>
      <c r="B13186">
        <v>3.9315000000000002</v>
      </c>
      <c r="C13186" t="str">
        <f t="shared" si="210"/>
        <v>2012 q1</v>
      </c>
    </row>
    <row r="13187" spans="1:3">
      <c r="A13187" s="62">
        <v>40970</v>
      </c>
      <c r="B13187">
        <v>3.903</v>
      </c>
      <c r="C13187" t="str">
        <f t="shared" si="210"/>
        <v>2012 q1</v>
      </c>
    </row>
    <row r="13188" spans="1:3">
      <c r="A13188" s="62">
        <v>40973</v>
      </c>
      <c r="B13188">
        <v>3.8595000000000002</v>
      </c>
      <c r="C13188" t="str">
        <f t="shared" si="210"/>
        <v>2012 q1</v>
      </c>
    </row>
    <row r="13189" spans="1:3">
      <c r="A13189" s="62">
        <v>40974</v>
      </c>
      <c r="B13189">
        <v>3.7374999999999998</v>
      </c>
      <c r="C13189" t="str">
        <f t="shared" si="210"/>
        <v>2012 q1</v>
      </c>
    </row>
    <row r="13190" spans="1:3">
      <c r="A13190" s="62">
        <v>40975</v>
      </c>
      <c r="B13190">
        <v>3.7669999999999999</v>
      </c>
      <c r="C13190" t="str">
        <f t="shared" si="210"/>
        <v>2012 q1</v>
      </c>
    </row>
    <row r="13191" spans="1:3">
      <c r="A13191" s="62">
        <v>40976</v>
      </c>
      <c r="B13191">
        <v>3.7915000000000001</v>
      </c>
      <c r="C13191" t="str">
        <f t="shared" si="210"/>
        <v>2012 q1</v>
      </c>
    </row>
    <row r="13192" spans="1:3">
      <c r="A13192" s="62">
        <v>40977</v>
      </c>
      <c r="B13192">
        <v>3.8584999999999998</v>
      </c>
      <c r="C13192" t="str">
        <f t="shared" si="210"/>
        <v>2012 q1</v>
      </c>
    </row>
    <row r="13193" spans="1:3">
      <c r="A13193" s="62">
        <v>40981</v>
      </c>
      <c r="B13193">
        <v>3.9024999999999999</v>
      </c>
      <c r="C13193" t="str">
        <f t="shared" si="210"/>
        <v>2012 q1</v>
      </c>
    </row>
    <row r="13194" spans="1:3">
      <c r="A13194" s="62">
        <v>40982</v>
      </c>
      <c r="B13194">
        <v>3.8479999999999999</v>
      </c>
      <c r="C13194" t="str">
        <f t="shared" si="210"/>
        <v>2012 q1</v>
      </c>
    </row>
    <row r="13195" spans="1:3">
      <c r="A13195" s="62">
        <v>40983</v>
      </c>
      <c r="B13195">
        <v>3.8975</v>
      </c>
      <c r="C13195" t="str">
        <f t="shared" si="210"/>
        <v>2012 q1</v>
      </c>
    </row>
    <row r="13196" spans="1:3">
      <c r="A13196" s="62">
        <v>40984</v>
      </c>
      <c r="B13196">
        <v>3.8780000000000001</v>
      </c>
      <c r="C13196" t="str">
        <f t="shared" si="210"/>
        <v>2012 q1</v>
      </c>
    </row>
    <row r="13197" spans="1:3">
      <c r="A13197" s="62">
        <v>40987</v>
      </c>
      <c r="B13197">
        <v>3.9089999999999998</v>
      </c>
      <c r="C13197" t="str">
        <f t="shared" si="210"/>
        <v>2012 q1</v>
      </c>
    </row>
    <row r="13198" spans="1:3">
      <c r="A13198" s="62">
        <v>40988</v>
      </c>
      <c r="B13198">
        <v>3.8304999999999998</v>
      </c>
      <c r="C13198" t="str">
        <f t="shared" si="210"/>
        <v>2012 q1</v>
      </c>
    </row>
    <row r="13199" spans="1:3">
      <c r="A13199" s="62">
        <v>40989</v>
      </c>
      <c r="B13199">
        <v>3.8454999999999999</v>
      </c>
      <c r="C13199" t="str">
        <f t="shared" si="210"/>
        <v>2012 q1</v>
      </c>
    </row>
    <row r="13200" spans="1:3">
      <c r="A13200" s="62">
        <v>40990</v>
      </c>
      <c r="B13200">
        <v>3.7654999999999998</v>
      </c>
      <c r="C13200" t="str">
        <f t="shared" si="210"/>
        <v>2012 q1</v>
      </c>
    </row>
    <row r="13201" spans="1:3">
      <c r="A13201" s="62">
        <v>40991</v>
      </c>
      <c r="B13201">
        <v>3.8085</v>
      </c>
      <c r="C13201" t="str">
        <f t="shared" si="210"/>
        <v>2012 q1</v>
      </c>
    </row>
    <row r="13202" spans="1:3">
      <c r="A13202" s="62">
        <v>40994</v>
      </c>
      <c r="B13202">
        <v>3.8875000000000002</v>
      </c>
      <c r="C13202" t="str">
        <f t="shared" ref="C13202:C13265" si="211">YEAR(A13202)&amp;" q"&amp;ROUNDUP(MONTH(A13202)/3,0)</f>
        <v>2012 q1</v>
      </c>
    </row>
    <row r="13203" spans="1:3">
      <c r="A13203" s="62">
        <v>40995</v>
      </c>
      <c r="B13203">
        <v>3.88</v>
      </c>
      <c r="C13203" t="str">
        <f t="shared" si="211"/>
        <v>2012 q1</v>
      </c>
    </row>
    <row r="13204" spans="1:3">
      <c r="A13204" s="62">
        <v>40996</v>
      </c>
      <c r="B13204">
        <v>3.7925</v>
      </c>
      <c r="C13204" t="str">
        <f t="shared" si="211"/>
        <v>2012 q1</v>
      </c>
    </row>
    <row r="13205" spans="1:3">
      <c r="A13205" s="62">
        <v>40997</v>
      </c>
      <c r="B13205">
        <v>3.7965</v>
      </c>
      <c r="C13205" t="str">
        <f t="shared" si="211"/>
        <v>2012 q1</v>
      </c>
    </row>
    <row r="13206" spans="1:3">
      <c r="A13206" s="62">
        <v>40998</v>
      </c>
      <c r="B13206">
        <v>3.8250000000000002</v>
      </c>
      <c r="C13206" t="str">
        <f t="shared" si="211"/>
        <v>2012 q1</v>
      </c>
    </row>
    <row r="13207" spans="1:3">
      <c r="A13207" s="62">
        <v>41001</v>
      </c>
      <c r="B13207">
        <v>3.9209999999999998</v>
      </c>
      <c r="C13207" t="str">
        <f t="shared" si="211"/>
        <v>2012 q2</v>
      </c>
    </row>
    <row r="13208" spans="1:3">
      <c r="A13208" s="62">
        <v>41002</v>
      </c>
      <c r="B13208">
        <v>3.919</v>
      </c>
      <c r="C13208" t="str">
        <f t="shared" si="211"/>
        <v>2012 q2</v>
      </c>
    </row>
    <row r="13209" spans="1:3">
      <c r="A13209" s="62">
        <v>41003</v>
      </c>
      <c r="B13209">
        <v>3.7905000000000002</v>
      </c>
      <c r="C13209" t="str">
        <f t="shared" si="211"/>
        <v>2012 q2</v>
      </c>
    </row>
    <row r="13210" spans="1:3">
      <c r="A13210" s="62">
        <v>41004</v>
      </c>
      <c r="B13210">
        <v>3.7955000000000001</v>
      </c>
      <c r="C13210" t="str">
        <f t="shared" si="211"/>
        <v>2012 q2</v>
      </c>
    </row>
    <row r="13211" spans="1:3">
      <c r="A13211" s="62">
        <v>41008</v>
      </c>
      <c r="B13211">
        <v>3.72</v>
      </c>
      <c r="C13211" t="str">
        <f t="shared" si="211"/>
        <v>2012 q2</v>
      </c>
    </row>
    <row r="13212" spans="1:3">
      <c r="A13212" s="62">
        <v>41009</v>
      </c>
      <c r="B13212">
        <v>3.65</v>
      </c>
      <c r="C13212" t="str">
        <f t="shared" si="211"/>
        <v>2012 q2</v>
      </c>
    </row>
    <row r="13213" spans="1:3">
      <c r="A13213" s="62">
        <v>41010</v>
      </c>
      <c r="B13213">
        <v>3.6395</v>
      </c>
      <c r="C13213" t="str">
        <f t="shared" si="211"/>
        <v>2012 q2</v>
      </c>
    </row>
    <row r="13214" spans="1:3">
      <c r="A13214" s="62">
        <v>41011</v>
      </c>
      <c r="B13214">
        <v>3.7204999999999999</v>
      </c>
      <c r="C13214" t="str">
        <f t="shared" si="211"/>
        <v>2012 q2</v>
      </c>
    </row>
    <row r="13215" spans="1:3">
      <c r="A13215" s="62">
        <v>41012</v>
      </c>
      <c r="B13215">
        <v>3.6269999999999998</v>
      </c>
      <c r="C13215" t="str">
        <f t="shared" si="211"/>
        <v>2012 q2</v>
      </c>
    </row>
    <row r="13216" spans="1:3">
      <c r="A13216" s="62">
        <v>41015</v>
      </c>
      <c r="B13216">
        <v>3.6280000000000001</v>
      </c>
      <c r="C13216" t="str">
        <f t="shared" si="211"/>
        <v>2012 q2</v>
      </c>
    </row>
    <row r="13217" spans="1:3">
      <c r="A13217" s="62">
        <v>41016</v>
      </c>
      <c r="B13217">
        <v>3.6469999999999998</v>
      </c>
      <c r="C13217" t="str">
        <f t="shared" si="211"/>
        <v>2012 q2</v>
      </c>
    </row>
    <row r="13218" spans="1:3">
      <c r="A13218" s="62">
        <v>41017</v>
      </c>
      <c r="B13218">
        <v>3.6309999999999998</v>
      </c>
      <c r="C13218" t="str">
        <f t="shared" si="211"/>
        <v>2012 q2</v>
      </c>
    </row>
    <row r="13219" spans="1:3">
      <c r="A13219" s="62">
        <v>41018</v>
      </c>
      <c r="B13219">
        <v>3.6274999999999999</v>
      </c>
      <c r="C13219" t="str">
        <f t="shared" si="211"/>
        <v>2012 q2</v>
      </c>
    </row>
    <row r="13220" spans="1:3">
      <c r="A13220" s="62">
        <v>41019</v>
      </c>
      <c r="B13220">
        <v>3.698</v>
      </c>
      <c r="C13220" t="str">
        <f t="shared" si="211"/>
        <v>2012 q2</v>
      </c>
    </row>
    <row r="13221" spans="1:3">
      <c r="A13221" s="62">
        <v>41022</v>
      </c>
      <c r="B13221">
        <v>3.6259999999999999</v>
      </c>
      <c r="C13221" t="str">
        <f t="shared" si="211"/>
        <v>2012 q2</v>
      </c>
    </row>
    <row r="13222" spans="1:3">
      <c r="A13222" s="62">
        <v>41023</v>
      </c>
      <c r="B13222">
        <v>3.6724999999999999</v>
      </c>
      <c r="C13222" t="str">
        <f t="shared" si="211"/>
        <v>2012 q2</v>
      </c>
    </row>
    <row r="13223" spans="1:3">
      <c r="A13223" s="62">
        <v>41024</v>
      </c>
      <c r="B13223">
        <v>3.7014999999999998</v>
      </c>
      <c r="C13223" t="str">
        <f t="shared" si="211"/>
        <v>2012 q2</v>
      </c>
    </row>
    <row r="13224" spans="1:3">
      <c r="A13224" s="62">
        <v>41025</v>
      </c>
      <c r="B13224">
        <v>3.7696000000000001</v>
      </c>
      <c r="C13224" t="str">
        <f t="shared" si="211"/>
        <v>2012 q2</v>
      </c>
    </row>
    <row r="13225" spans="1:3">
      <c r="A13225" s="62">
        <v>41026</v>
      </c>
      <c r="B13225">
        <v>3.823</v>
      </c>
      <c r="C13225" t="str">
        <f t="shared" si="211"/>
        <v>2012 q2</v>
      </c>
    </row>
    <row r="13226" spans="1:3">
      <c r="A13226" s="62">
        <v>41029</v>
      </c>
      <c r="B13226">
        <v>3.8302999999999998</v>
      </c>
      <c r="C13226" t="str">
        <f t="shared" si="211"/>
        <v>2012 q2</v>
      </c>
    </row>
    <row r="13227" spans="1:3">
      <c r="A13227" s="62">
        <v>41030</v>
      </c>
      <c r="B13227">
        <v>3.8435000000000001</v>
      </c>
      <c r="C13227" t="str">
        <f t="shared" si="211"/>
        <v>2012 q2</v>
      </c>
    </row>
    <row r="13228" spans="1:3">
      <c r="A13228" s="62">
        <v>41031</v>
      </c>
      <c r="B13228">
        <v>3.7869999999999999</v>
      </c>
      <c r="C13228" t="str">
        <f t="shared" si="211"/>
        <v>2012 q2</v>
      </c>
    </row>
    <row r="13229" spans="1:3">
      <c r="A13229" s="62">
        <v>41032</v>
      </c>
      <c r="B13229">
        <v>3.7360000000000002</v>
      </c>
      <c r="C13229" t="str">
        <f t="shared" si="211"/>
        <v>2012 q2</v>
      </c>
    </row>
    <row r="13230" spans="1:3">
      <c r="A13230" s="62">
        <v>41033</v>
      </c>
      <c r="B13230">
        <v>3.7210000000000001</v>
      </c>
      <c r="C13230" t="str">
        <f t="shared" si="211"/>
        <v>2012 q2</v>
      </c>
    </row>
    <row r="13231" spans="1:3">
      <c r="A13231" s="62">
        <v>41036</v>
      </c>
      <c r="B13231">
        <v>3.7734999999999999</v>
      </c>
      <c r="C13231" t="str">
        <f t="shared" si="211"/>
        <v>2012 q2</v>
      </c>
    </row>
    <row r="13232" spans="1:3">
      <c r="A13232" s="62">
        <v>41037</v>
      </c>
      <c r="B13232">
        <v>3.6775000000000002</v>
      </c>
      <c r="C13232" t="str">
        <f t="shared" si="211"/>
        <v>2012 q2</v>
      </c>
    </row>
    <row r="13233" spans="1:3">
      <c r="A13233" s="62">
        <v>41038</v>
      </c>
      <c r="B13233">
        <v>3.6595</v>
      </c>
      <c r="C13233" t="str">
        <f t="shared" si="211"/>
        <v>2012 q2</v>
      </c>
    </row>
    <row r="13234" spans="1:3">
      <c r="A13234" s="62">
        <v>41039</v>
      </c>
      <c r="B13234">
        <v>3.6905000000000001</v>
      </c>
      <c r="C13234" t="str">
        <f t="shared" si="211"/>
        <v>2012 q2</v>
      </c>
    </row>
    <row r="13235" spans="1:3">
      <c r="A13235" s="62">
        <v>41040</v>
      </c>
      <c r="B13235">
        <v>3.6480000000000001</v>
      </c>
      <c r="C13235" t="str">
        <f t="shared" si="211"/>
        <v>2012 q2</v>
      </c>
    </row>
    <row r="13236" spans="1:3">
      <c r="A13236" s="62">
        <v>41043</v>
      </c>
      <c r="B13236">
        <v>3.5539999999999998</v>
      </c>
      <c r="C13236" t="str">
        <f t="shared" si="211"/>
        <v>2012 q2</v>
      </c>
    </row>
    <row r="13237" spans="1:3">
      <c r="A13237" s="62">
        <v>41044</v>
      </c>
      <c r="B13237">
        <v>3.5175000000000001</v>
      </c>
      <c r="C13237" t="str">
        <f t="shared" si="211"/>
        <v>2012 q2</v>
      </c>
    </row>
    <row r="13238" spans="1:3">
      <c r="A13238" s="62">
        <v>41045</v>
      </c>
      <c r="B13238">
        <v>3.4780000000000002</v>
      </c>
      <c r="C13238" t="str">
        <f t="shared" si="211"/>
        <v>2012 q2</v>
      </c>
    </row>
    <row r="13239" spans="1:3">
      <c r="A13239" s="62">
        <v>41046</v>
      </c>
      <c r="B13239">
        <v>3.4790000000000001</v>
      </c>
      <c r="C13239" t="str">
        <f t="shared" si="211"/>
        <v>2012 q2</v>
      </c>
    </row>
    <row r="13240" spans="1:3">
      <c r="A13240" s="62">
        <v>41047</v>
      </c>
      <c r="B13240">
        <v>3.4685000000000001</v>
      </c>
      <c r="C13240" t="str">
        <f t="shared" si="211"/>
        <v>2012 q2</v>
      </c>
    </row>
    <row r="13241" spans="1:3">
      <c r="A13241" s="62">
        <v>41050</v>
      </c>
      <c r="B13241">
        <v>3.5019999999999998</v>
      </c>
      <c r="C13241" t="str">
        <f t="shared" si="211"/>
        <v>2012 q2</v>
      </c>
    </row>
    <row r="13242" spans="1:3">
      <c r="A13242" s="62">
        <v>41051</v>
      </c>
      <c r="B13242">
        <v>3.4870000000000001</v>
      </c>
      <c r="C13242" t="str">
        <f t="shared" si="211"/>
        <v>2012 q2</v>
      </c>
    </row>
    <row r="13243" spans="1:3">
      <c r="A13243" s="62">
        <v>41052</v>
      </c>
      <c r="B13243">
        <v>3.3959999999999999</v>
      </c>
      <c r="C13243" t="str">
        <f t="shared" si="211"/>
        <v>2012 q2</v>
      </c>
    </row>
    <row r="13244" spans="1:3">
      <c r="A13244" s="62">
        <v>41053</v>
      </c>
      <c r="B13244">
        <v>3.4285000000000001</v>
      </c>
      <c r="C13244" t="str">
        <f t="shared" si="211"/>
        <v>2012 q2</v>
      </c>
    </row>
    <row r="13245" spans="1:3">
      <c r="A13245" s="62">
        <v>41054</v>
      </c>
      <c r="B13245">
        <v>3.448</v>
      </c>
      <c r="C13245" t="str">
        <f t="shared" si="211"/>
        <v>2012 q2</v>
      </c>
    </row>
    <row r="13246" spans="1:3">
      <c r="A13246" s="62">
        <v>41058</v>
      </c>
      <c r="B13246">
        <v>3.4620000000000002</v>
      </c>
      <c r="C13246" t="str">
        <f t="shared" si="211"/>
        <v>2012 q2</v>
      </c>
    </row>
    <row r="13247" spans="1:3">
      <c r="A13247" s="62">
        <v>41059</v>
      </c>
      <c r="B13247">
        <v>3.39</v>
      </c>
      <c r="C13247" t="str">
        <f t="shared" si="211"/>
        <v>2012 q2</v>
      </c>
    </row>
    <row r="13248" spans="1:3">
      <c r="A13248" s="62">
        <v>41060</v>
      </c>
      <c r="B13248">
        <v>3.3654999999999999</v>
      </c>
      <c r="C13248" t="str">
        <f t="shared" si="211"/>
        <v>2012 q2</v>
      </c>
    </row>
    <row r="13249" spans="1:3">
      <c r="A13249" s="62">
        <v>41061</v>
      </c>
      <c r="B13249">
        <v>3.3134999999999999</v>
      </c>
      <c r="C13249" t="str">
        <f t="shared" si="211"/>
        <v>2012 q2</v>
      </c>
    </row>
    <row r="13250" spans="1:3">
      <c r="A13250" s="62">
        <v>41064</v>
      </c>
      <c r="B13250">
        <v>3.3069999999999999</v>
      </c>
      <c r="C13250" t="str">
        <f t="shared" si="211"/>
        <v>2012 q2</v>
      </c>
    </row>
    <row r="13251" spans="1:3">
      <c r="A13251" s="62">
        <v>41065</v>
      </c>
      <c r="B13251">
        <v>3.2890000000000001</v>
      </c>
      <c r="C13251" t="str">
        <f t="shared" si="211"/>
        <v>2012 q2</v>
      </c>
    </row>
    <row r="13252" spans="1:3">
      <c r="A13252" s="62">
        <v>41066</v>
      </c>
      <c r="B13252">
        <v>3.379</v>
      </c>
      <c r="C13252" t="str">
        <f t="shared" si="211"/>
        <v>2012 q2</v>
      </c>
    </row>
    <row r="13253" spans="1:3">
      <c r="A13253" s="62">
        <v>41067</v>
      </c>
      <c r="B13253">
        <v>3.3704999999999998</v>
      </c>
      <c r="C13253" t="str">
        <f t="shared" si="211"/>
        <v>2012 q2</v>
      </c>
    </row>
    <row r="13254" spans="1:3">
      <c r="A13254" s="62">
        <v>41068</v>
      </c>
      <c r="B13254">
        <v>3.2850000000000001</v>
      </c>
      <c r="C13254" t="str">
        <f t="shared" si="211"/>
        <v>2012 q2</v>
      </c>
    </row>
    <row r="13255" spans="1:3">
      <c r="A13255" s="62">
        <v>41071</v>
      </c>
      <c r="B13255">
        <v>3.343</v>
      </c>
      <c r="C13255" t="str">
        <f t="shared" si="211"/>
        <v>2012 q2</v>
      </c>
    </row>
    <row r="13256" spans="1:3">
      <c r="A13256" s="62">
        <v>41072</v>
      </c>
      <c r="B13256">
        <v>3.3355000000000001</v>
      </c>
      <c r="C13256" t="str">
        <f t="shared" si="211"/>
        <v>2012 q2</v>
      </c>
    </row>
    <row r="13257" spans="1:3">
      <c r="A13257" s="62">
        <v>41073</v>
      </c>
      <c r="B13257">
        <v>3.3395000000000001</v>
      </c>
      <c r="C13257" t="str">
        <f t="shared" si="211"/>
        <v>2012 q2</v>
      </c>
    </row>
    <row r="13258" spans="1:3">
      <c r="A13258" s="62">
        <v>41074</v>
      </c>
      <c r="B13258">
        <v>3.3544999999999998</v>
      </c>
      <c r="C13258" t="str">
        <f t="shared" si="211"/>
        <v>2012 q2</v>
      </c>
    </row>
    <row r="13259" spans="1:3">
      <c r="A13259" s="62">
        <v>41075</v>
      </c>
      <c r="B13259">
        <v>3.3835000000000002</v>
      </c>
      <c r="C13259" t="str">
        <f t="shared" si="211"/>
        <v>2012 q2</v>
      </c>
    </row>
    <row r="13260" spans="1:3">
      <c r="A13260" s="62">
        <v>41078</v>
      </c>
      <c r="B13260">
        <v>3.3955000000000002</v>
      </c>
      <c r="C13260" t="str">
        <f t="shared" si="211"/>
        <v>2012 q2</v>
      </c>
    </row>
    <row r="13261" spans="1:3">
      <c r="A13261" s="62">
        <v>41079</v>
      </c>
      <c r="B13261">
        <v>3.4335</v>
      </c>
      <c r="C13261" t="str">
        <f t="shared" si="211"/>
        <v>2012 q2</v>
      </c>
    </row>
    <row r="13262" spans="1:3">
      <c r="A13262" s="62">
        <v>41080</v>
      </c>
      <c r="B13262">
        <v>3.3875000000000002</v>
      </c>
      <c r="C13262" t="str">
        <f t="shared" si="211"/>
        <v>2012 q2</v>
      </c>
    </row>
    <row r="13263" spans="1:3">
      <c r="A13263" s="62">
        <v>41081</v>
      </c>
      <c r="B13263">
        <v>3.298</v>
      </c>
      <c r="C13263" t="str">
        <f t="shared" si="211"/>
        <v>2012 q2</v>
      </c>
    </row>
    <row r="13264" spans="1:3">
      <c r="A13264" s="62">
        <v>41082</v>
      </c>
      <c r="B13264">
        <v>3.306</v>
      </c>
      <c r="C13264" t="str">
        <f t="shared" si="211"/>
        <v>2012 q2</v>
      </c>
    </row>
    <row r="13265" spans="1:3">
      <c r="A13265" s="62">
        <v>41085</v>
      </c>
      <c r="B13265">
        <v>3.3159999999999998</v>
      </c>
      <c r="C13265" t="str">
        <f t="shared" si="211"/>
        <v>2012 q2</v>
      </c>
    </row>
    <row r="13266" spans="1:3">
      <c r="A13266" s="62">
        <v>41086</v>
      </c>
      <c r="B13266">
        <v>3.3144999999999998</v>
      </c>
      <c r="C13266" t="str">
        <f t="shared" ref="C13266:C13329" si="212">YEAR(A13266)&amp;" q"&amp;ROUNDUP(MONTH(A13266)/3,0)</f>
        <v>2012 q2</v>
      </c>
    </row>
    <row r="13267" spans="1:3">
      <c r="A13267" s="62">
        <v>41087</v>
      </c>
      <c r="B13267">
        <v>3.3523000000000001</v>
      </c>
      <c r="C13267" t="str">
        <f t="shared" si="212"/>
        <v>2012 q2</v>
      </c>
    </row>
    <row r="13268" spans="1:3">
      <c r="A13268" s="62">
        <v>41088</v>
      </c>
      <c r="B13268">
        <v>3.3292999999999999</v>
      </c>
      <c r="C13268" t="str">
        <f t="shared" si="212"/>
        <v>2012 q2</v>
      </c>
    </row>
    <row r="13269" spans="1:3">
      <c r="A13269" s="62">
        <v>41089</v>
      </c>
      <c r="B13269">
        <v>3.4952000000000001</v>
      </c>
      <c r="C13269" t="str">
        <f t="shared" si="212"/>
        <v>2012 q2</v>
      </c>
    </row>
    <row r="13270" spans="1:3">
      <c r="A13270" s="62">
        <v>41092</v>
      </c>
      <c r="B13270">
        <v>3.4689999999999999</v>
      </c>
      <c r="C13270" t="str">
        <f t="shared" si="212"/>
        <v>2012 q3</v>
      </c>
    </row>
    <row r="13271" spans="1:3">
      <c r="A13271" s="62">
        <v>41093</v>
      </c>
      <c r="B13271">
        <v>3.54</v>
      </c>
      <c r="C13271" t="str">
        <f t="shared" si="212"/>
        <v>2012 q3</v>
      </c>
    </row>
    <row r="13272" spans="1:3">
      <c r="A13272" s="62">
        <v>41095</v>
      </c>
      <c r="B13272">
        <v>3.4929999999999999</v>
      </c>
      <c r="C13272" t="str">
        <f t="shared" si="212"/>
        <v>2012 q3</v>
      </c>
    </row>
    <row r="13273" spans="1:3">
      <c r="A13273" s="62">
        <v>41096</v>
      </c>
      <c r="B13273">
        <v>3.4095</v>
      </c>
      <c r="C13273" t="str">
        <f t="shared" si="212"/>
        <v>2012 q3</v>
      </c>
    </row>
    <row r="13274" spans="1:3">
      <c r="A13274" s="62">
        <v>41099</v>
      </c>
      <c r="B13274">
        <v>3.4315000000000002</v>
      </c>
      <c r="C13274" t="str">
        <f t="shared" si="212"/>
        <v>2012 q3</v>
      </c>
    </row>
    <row r="13275" spans="1:3">
      <c r="A13275" s="62">
        <v>41100</v>
      </c>
      <c r="B13275">
        <v>3.3980000000000001</v>
      </c>
      <c r="C13275" t="str">
        <f t="shared" si="212"/>
        <v>2012 q3</v>
      </c>
    </row>
    <row r="13276" spans="1:3">
      <c r="A13276" s="62">
        <v>41101</v>
      </c>
      <c r="B13276">
        <v>3.4474999999999998</v>
      </c>
      <c r="C13276" t="str">
        <f t="shared" si="212"/>
        <v>2012 q3</v>
      </c>
    </row>
    <row r="13277" spans="1:3">
      <c r="A13277" s="62">
        <v>41102</v>
      </c>
      <c r="B13277">
        <v>3.415</v>
      </c>
      <c r="C13277" t="str">
        <f t="shared" si="212"/>
        <v>2012 q3</v>
      </c>
    </row>
    <row r="13278" spans="1:3">
      <c r="A13278" s="62">
        <v>41103</v>
      </c>
      <c r="B13278">
        <v>3.504</v>
      </c>
      <c r="C13278" t="str">
        <f t="shared" si="212"/>
        <v>2012 q3</v>
      </c>
    </row>
    <row r="13279" spans="1:3">
      <c r="A13279" s="62">
        <v>41106</v>
      </c>
      <c r="B13279">
        <v>3.4849999999999999</v>
      </c>
      <c r="C13279" t="str">
        <f t="shared" si="212"/>
        <v>2012 q3</v>
      </c>
    </row>
    <row r="13280" spans="1:3">
      <c r="A13280" s="62">
        <v>41107</v>
      </c>
      <c r="B13280">
        <v>3.4554999999999998</v>
      </c>
      <c r="C13280" t="str">
        <f t="shared" si="212"/>
        <v>2012 q3</v>
      </c>
    </row>
    <row r="13281" spans="1:3">
      <c r="A13281" s="62">
        <v>41108</v>
      </c>
      <c r="B13281">
        <v>3.4740000000000002</v>
      </c>
      <c r="C13281" t="str">
        <f t="shared" si="212"/>
        <v>2012 q3</v>
      </c>
    </row>
    <row r="13282" spans="1:3">
      <c r="A13282" s="62">
        <v>41109</v>
      </c>
      <c r="B13282">
        <v>3.5345</v>
      </c>
      <c r="C13282" t="str">
        <f t="shared" si="212"/>
        <v>2012 q3</v>
      </c>
    </row>
    <row r="13283" spans="1:3">
      <c r="A13283" s="62">
        <v>41110</v>
      </c>
      <c r="B13283">
        <v>3.448</v>
      </c>
      <c r="C13283" t="str">
        <f t="shared" si="212"/>
        <v>2012 q3</v>
      </c>
    </row>
    <row r="13284" spans="1:3">
      <c r="A13284" s="62">
        <v>41113</v>
      </c>
      <c r="B13284">
        <v>3.38</v>
      </c>
      <c r="C13284" t="str">
        <f t="shared" si="212"/>
        <v>2012 q3</v>
      </c>
    </row>
    <row r="13285" spans="1:3">
      <c r="A13285" s="62">
        <v>41114</v>
      </c>
      <c r="B13285">
        <v>3.3530000000000002</v>
      </c>
      <c r="C13285" t="str">
        <f t="shared" si="212"/>
        <v>2012 q3</v>
      </c>
    </row>
    <row r="13286" spans="1:3">
      <c r="A13286" s="62">
        <v>41115</v>
      </c>
      <c r="B13286">
        <v>3.3744999999999998</v>
      </c>
      <c r="C13286" t="str">
        <f t="shared" si="212"/>
        <v>2012 q3</v>
      </c>
    </row>
    <row r="13287" spans="1:3">
      <c r="A13287" s="62">
        <v>41116</v>
      </c>
      <c r="B13287">
        <v>3.3935</v>
      </c>
      <c r="C13287" t="str">
        <f t="shared" si="212"/>
        <v>2012 q3</v>
      </c>
    </row>
    <row r="13288" spans="1:3">
      <c r="A13288" s="62">
        <v>41117</v>
      </c>
      <c r="B13288">
        <v>3.4260000000000002</v>
      </c>
      <c r="C13288" t="str">
        <f t="shared" si="212"/>
        <v>2012 q3</v>
      </c>
    </row>
    <row r="13289" spans="1:3">
      <c r="A13289" s="62">
        <v>41120</v>
      </c>
      <c r="B13289">
        <v>3.4159999999999999</v>
      </c>
      <c r="C13289" t="str">
        <f t="shared" si="212"/>
        <v>2012 q3</v>
      </c>
    </row>
    <row r="13290" spans="1:3">
      <c r="A13290" s="62">
        <v>41121</v>
      </c>
      <c r="B13290">
        <v>3.4175</v>
      </c>
      <c r="C13290" t="str">
        <f t="shared" si="212"/>
        <v>2012 q3</v>
      </c>
    </row>
    <row r="13291" spans="1:3">
      <c r="A13291" s="62">
        <v>41122</v>
      </c>
      <c r="B13291">
        <v>3.375</v>
      </c>
      <c r="C13291" t="str">
        <f t="shared" si="212"/>
        <v>2012 q3</v>
      </c>
    </row>
    <row r="13292" spans="1:3">
      <c r="A13292" s="62">
        <v>41123</v>
      </c>
      <c r="B13292">
        <v>3.2905000000000002</v>
      </c>
      <c r="C13292" t="str">
        <f t="shared" si="212"/>
        <v>2012 q3</v>
      </c>
    </row>
    <row r="13293" spans="1:3">
      <c r="A13293" s="62">
        <v>41124</v>
      </c>
      <c r="B13293">
        <v>3.3675000000000002</v>
      </c>
      <c r="C13293" t="str">
        <f t="shared" si="212"/>
        <v>2012 q3</v>
      </c>
    </row>
    <row r="13294" spans="1:3">
      <c r="A13294" s="62">
        <v>41127</v>
      </c>
      <c r="B13294">
        <v>3.3889999999999998</v>
      </c>
      <c r="C13294" t="str">
        <f t="shared" si="212"/>
        <v>2012 q3</v>
      </c>
    </row>
    <row r="13295" spans="1:3">
      <c r="A13295" s="62">
        <v>41128</v>
      </c>
      <c r="B13295">
        <v>3.4405000000000001</v>
      </c>
      <c r="C13295" t="str">
        <f t="shared" si="212"/>
        <v>2012 q3</v>
      </c>
    </row>
    <row r="13296" spans="1:3">
      <c r="A13296" s="62">
        <v>41129</v>
      </c>
      <c r="B13296">
        <v>3.4215</v>
      </c>
      <c r="C13296" t="str">
        <f t="shared" si="212"/>
        <v>2012 q3</v>
      </c>
    </row>
    <row r="13297" spans="1:3">
      <c r="A13297" s="62">
        <v>41130</v>
      </c>
      <c r="B13297">
        <v>3.4249999999999998</v>
      </c>
      <c r="C13297" t="str">
        <f t="shared" si="212"/>
        <v>2012 q3</v>
      </c>
    </row>
    <row r="13298" spans="1:3">
      <c r="A13298" s="62">
        <v>41131</v>
      </c>
      <c r="B13298">
        <v>3.3925000000000001</v>
      </c>
      <c r="C13298" t="str">
        <f t="shared" si="212"/>
        <v>2012 q3</v>
      </c>
    </row>
    <row r="13299" spans="1:3">
      <c r="A13299" s="62">
        <v>41134</v>
      </c>
      <c r="B13299">
        <v>3.3534999999999999</v>
      </c>
      <c r="C13299" t="str">
        <f t="shared" si="212"/>
        <v>2012 q3</v>
      </c>
    </row>
    <row r="13300" spans="1:3">
      <c r="A13300" s="62">
        <v>41135</v>
      </c>
      <c r="B13300">
        <v>3.359</v>
      </c>
      <c r="C13300" t="str">
        <f t="shared" si="212"/>
        <v>2012 q3</v>
      </c>
    </row>
    <row r="13301" spans="1:3">
      <c r="A13301" s="62">
        <v>41136</v>
      </c>
      <c r="B13301">
        <v>3.3494999999999999</v>
      </c>
      <c r="C13301" t="str">
        <f t="shared" si="212"/>
        <v>2012 q3</v>
      </c>
    </row>
    <row r="13302" spans="1:3">
      <c r="A13302" s="62">
        <v>41137</v>
      </c>
      <c r="B13302">
        <v>3.3824999999999998</v>
      </c>
      <c r="C13302" t="str">
        <f t="shared" si="212"/>
        <v>2012 q3</v>
      </c>
    </row>
    <row r="13303" spans="1:3">
      <c r="A13303" s="62">
        <v>41138</v>
      </c>
      <c r="B13303">
        <v>3.4195000000000002</v>
      </c>
      <c r="C13303" t="str">
        <f t="shared" si="212"/>
        <v>2012 q3</v>
      </c>
    </row>
    <row r="13304" spans="1:3">
      <c r="A13304" s="62">
        <v>41141</v>
      </c>
      <c r="B13304">
        <v>3.371</v>
      </c>
      <c r="C13304" t="str">
        <f t="shared" si="212"/>
        <v>2012 q3</v>
      </c>
    </row>
    <row r="13305" spans="1:3">
      <c r="A13305" s="62">
        <v>41142</v>
      </c>
      <c r="B13305">
        <v>3.4529999999999998</v>
      </c>
      <c r="C13305" t="str">
        <f t="shared" si="212"/>
        <v>2012 q3</v>
      </c>
    </row>
    <row r="13306" spans="1:3">
      <c r="A13306" s="62">
        <v>41143</v>
      </c>
      <c r="B13306">
        <v>3.4544999999999999</v>
      </c>
      <c r="C13306" t="str">
        <f t="shared" si="212"/>
        <v>2012 q3</v>
      </c>
    </row>
    <row r="13307" spans="1:3">
      <c r="A13307" s="62">
        <v>41144</v>
      </c>
      <c r="B13307">
        <v>3.4925000000000002</v>
      </c>
      <c r="C13307" t="str">
        <f t="shared" si="212"/>
        <v>2012 q3</v>
      </c>
    </row>
    <row r="13308" spans="1:3">
      <c r="A13308" s="62">
        <v>41145</v>
      </c>
      <c r="B13308">
        <v>3.4834999999999998</v>
      </c>
      <c r="C13308" t="str">
        <f t="shared" si="212"/>
        <v>2012 q3</v>
      </c>
    </row>
    <row r="13309" spans="1:3">
      <c r="A13309" s="62">
        <v>41148</v>
      </c>
      <c r="B13309">
        <v>3.4765000000000001</v>
      </c>
      <c r="C13309" t="str">
        <f t="shared" si="212"/>
        <v>2012 q3</v>
      </c>
    </row>
    <row r="13310" spans="1:3">
      <c r="A13310" s="62">
        <v>41149</v>
      </c>
      <c r="B13310">
        <v>3.4638</v>
      </c>
      <c r="C13310" t="str">
        <f t="shared" si="212"/>
        <v>2012 q3</v>
      </c>
    </row>
    <row r="13311" spans="1:3">
      <c r="A13311" s="62">
        <v>41150</v>
      </c>
      <c r="B13311">
        <v>3.4451000000000001</v>
      </c>
      <c r="C13311" t="str">
        <f t="shared" si="212"/>
        <v>2012 q3</v>
      </c>
    </row>
    <row r="13312" spans="1:3">
      <c r="A13312" s="62">
        <v>41151</v>
      </c>
      <c r="B13312">
        <v>3.4443999999999999</v>
      </c>
      <c r="C13312" t="str">
        <f t="shared" si="212"/>
        <v>2012 q3</v>
      </c>
    </row>
    <row r="13313" spans="1:3">
      <c r="A13313" s="62">
        <v>41152</v>
      </c>
      <c r="B13313">
        <v>3.4563999999999999</v>
      </c>
      <c r="C13313" t="str">
        <f t="shared" si="212"/>
        <v>2012 q3</v>
      </c>
    </row>
    <row r="13314" spans="1:3">
      <c r="A13314" s="62">
        <v>41156</v>
      </c>
      <c r="B13314">
        <v>3.4689999999999999</v>
      </c>
      <c r="C13314" t="str">
        <f t="shared" si="212"/>
        <v>2012 q3</v>
      </c>
    </row>
    <row r="13315" spans="1:3">
      <c r="A13315" s="62">
        <v>41157</v>
      </c>
      <c r="B13315">
        <v>3.5289999999999999</v>
      </c>
      <c r="C13315" t="str">
        <f t="shared" si="212"/>
        <v>2012 q3</v>
      </c>
    </row>
    <row r="13316" spans="1:3">
      <c r="A13316" s="62">
        <v>41158</v>
      </c>
      <c r="B13316">
        <v>3.5165000000000002</v>
      </c>
      <c r="C13316" t="str">
        <f t="shared" si="212"/>
        <v>2012 q3</v>
      </c>
    </row>
    <row r="13317" spans="1:3">
      <c r="A13317" s="62">
        <v>41159</v>
      </c>
      <c r="B13317">
        <v>3.645</v>
      </c>
      <c r="C13317" t="str">
        <f t="shared" si="212"/>
        <v>2012 q3</v>
      </c>
    </row>
    <row r="13318" spans="1:3">
      <c r="A13318" s="62">
        <v>41162</v>
      </c>
      <c r="B13318">
        <v>3.6884999999999999</v>
      </c>
      <c r="C13318" t="str">
        <f t="shared" si="212"/>
        <v>2012 q3</v>
      </c>
    </row>
    <row r="13319" spans="1:3">
      <c r="A13319" s="62">
        <v>41163</v>
      </c>
      <c r="B13319">
        <v>3.6970000000000001</v>
      </c>
      <c r="C13319" t="str">
        <f t="shared" si="212"/>
        <v>2012 q3</v>
      </c>
    </row>
    <row r="13320" spans="1:3">
      <c r="A13320" s="62">
        <v>41164</v>
      </c>
      <c r="B13320">
        <v>3.6924999999999999</v>
      </c>
      <c r="C13320" t="str">
        <f t="shared" si="212"/>
        <v>2012 q3</v>
      </c>
    </row>
    <row r="13321" spans="1:3">
      <c r="A13321" s="62">
        <v>41165</v>
      </c>
      <c r="B13321">
        <v>3.71</v>
      </c>
      <c r="C13321" t="str">
        <f t="shared" si="212"/>
        <v>2012 q3</v>
      </c>
    </row>
    <row r="13322" spans="1:3">
      <c r="A13322" s="62">
        <v>41166</v>
      </c>
      <c r="B13322">
        <v>3.8325</v>
      </c>
      <c r="C13322" t="str">
        <f t="shared" si="212"/>
        <v>2012 q3</v>
      </c>
    </row>
    <row r="13323" spans="1:3">
      <c r="A13323" s="62">
        <v>41169</v>
      </c>
      <c r="B13323">
        <v>3.7919999999999998</v>
      </c>
      <c r="C13323" t="str">
        <f t="shared" si="212"/>
        <v>2012 q3</v>
      </c>
    </row>
    <row r="13324" spans="1:3">
      <c r="A13324" s="62">
        <v>41170</v>
      </c>
      <c r="B13324">
        <v>3.7869999999999999</v>
      </c>
      <c r="C13324" t="str">
        <f t="shared" si="212"/>
        <v>2012 q3</v>
      </c>
    </row>
    <row r="13325" spans="1:3">
      <c r="A13325" s="62">
        <v>41171</v>
      </c>
      <c r="B13325">
        <v>3.8140000000000001</v>
      </c>
      <c r="C13325" t="str">
        <f t="shared" si="212"/>
        <v>2012 q3</v>
      </c>
    </row>
    <row r="13326" spans="1:3">
      <c r="A13326" s="62">
        <v>41172</v>
      </c>
      <c r="B13326">
        <v>3.7589999999999999</v>
      </c>
      <c r="C13326" t="str">
        <f t="shared" si="212"/>
        <v>2012 q3</v>
      </c>
    </row>
    <row r="13327" spans="1:3">
      <c r="A13327" s="62">
        <v>41173</v>
      </c>
      <c r="B13327">
        <v>3.7890000000000001</v>
      </c>
      <c r="C13327" t="str">
        <f t="shared" si="212"/>
        <v>2012 q3</v>
      </c>
    </row>
    <row r="13328" spans="1:3">
      <c r="A13328" s="62">
        <v>41176</v>
      </c>
      <c r="B13328">
        <v>3.7315</v>
      </c>
      <c r="C13328" t="str">
        <f t="shared" si="212"/>
        <v>2012 q3</v>
      </c>
    </row>
    <row r="13329" spans="1:3">
      <c r="A13329" s="62">
        <v>41177</v>
      </c>
      <c r="B13329">
        <v>3.7585000000000002</v>
      </c>
      <c r="C13329" t="str">
        <f t="shared" si="212"/>
        <v>2012 q3</v>
      </c>
    </row>
    <row r="13330" spans="1:3">
      <c r="A13330" s="62">
        <v>41178</v>
      </c>
      <c r="B13330">
        <v>3.71</v>
      </c>
      <c r="C13330" t="str">
        <f t="shared" ref="C13330:C13393" si="213">YEAR(A13330)&amp;" q"&amp;ROUNDUP(MONTH(A13330)/3,0)</f>
        <v>2012 q3</v>
      </c>
    </row>
    <row r="13331" spans="1:3">
      <c r="A13331" s="62">
        <v>41179</v>
      </c>
      <c r="B13331">
        <v>3.7440000000000002</v>
      </c>
      <c r="C13331" t="str">
        <f t="shared" si="213"/>
        <v>2012 q3</v>
      </c>
    </row>
    <row r="13332" spans="1:3">
      <c r="A13332" s="62">
        <v>41180</v>
      </c>
      <c r="B13332">
        <v>3.758</v>
      </c>
      <c r="C13332" t="str">
        <f t="shared" si="213"/>
        <v>2012 q3</v>
      </c>
    </row>
    <row r="13333" spans="1:3">
      <c r="A13333" s="62">
        <v>41183</v>
      </c>
      <c r="B13333">
        <v>3.7854999999999999</v>
      </c>
      <c r="C13333" t="str">
        <f t="shared" si="213"/>
        <v>2012 q4</v>
      </c>
    </row>
    <row r="13334" spans="1:3">
      <c r="A13334" s="62">
        <v>41184</v>
      </c>
      <c r="B13334">
        <v>3.8010000000000002</v>
      </c>
      <c r="C13334" t="str">
        <f t="shared" si="213"/>
        <v>2012 q4</v>
      </c>
    </row>
    <row r="13335" spans="1:3">
      <c r="A13335" s="62">
        <v>41185</v>
      </c>
      <c r="B13335">
        <v>3.7839999999999998</v>
      </c>
      <c r="C13335" t="str">
        <f t="shared" si="213"/>
        <v>2012 q4</v>
      </c>
    </row>
    <row r="13336" spans="1:3">
      <c r="A13336" s="62">
        <v>41186</v>
      </c>
      <c r="B13336">
        <v>3.786</v>
      </c>
      <c r="C13336" t="str">
        <f t="shared" si="213"/>
        <v>2012 q4</v>
      </c>
    </row>
    <row r="13337" spans="1:3">
      <c r="A13337" s="62">
        <v>41187</v>
      </c>
      <c r="B13337">
        <v>3.778</v>
      </c>
      <c r="C13337" t="str">
        <f t="shared" si="213"/>
        <v>2012 q4</v>
      </c>
    </row>
    <row r="13338" spans="1:3">
      <c r="A13338" s="62">
        <v>41191</v>
      </c>
      <c r="B13338">
        <v>3.718</v>
      </c>
      <c r="C13338" t="str">
        <f t="shared" si="213"/>
        <v>2012 q4</v>
      </c>
    </row>
    <row r="13339" spans="1:3">
      <c r="A13339" s="62">
        <v>41192</v>
      </c>
      <c r="B13339">
        <v>3.718</v>
      </c>
      <c r="C13339" t="str">
        <f t="shared" si="213"/>
        <v>2012 q4</v>
      </c>
    </row>
    <row r="13340" spans="1:3">
      <c r="A13340" s="62">
        <v>41193</v>
      </c>
      <c r="B13340">
        <v>3.7515000000000001</v>
      </c>
      <c r="C13340" t="str">
        <f t="shared" si="213"/>
        <v>2012 q4</v>
      </c>
    </row>
    <row r="13341" spans="1:3">
      <c r="A13341" s="62">
        <v>41194</v>
      </c>
      <c r="B13341">
        <v>3.7029999999999998</v>
      </c>
      <c r="C13341" t="str">
        <f t="shared" si="213"/>
        <v>2012 q4</v>
      </c>
    </row>
    <row r="13342" spans="1:3">
      <c r="A13342" s="62">
        <v>41197</v>
      </c>
      <c r="B13342">
        <v>3.7014999999999998</v>
      </c>
      <c r="C13342" t="str">
        <f t="shared" si="213"/>
        <v>2012 q4</v>
      </c>
    </row>
    <row r="13343" spans="1:3">
      <c r="A13343" s="62">
        <v>41198</v>
      </c>
      <c r="B13343">
        <v>3.7</v>
      </c>
      <c r="C13343" t="str">
        <f t="shared" si="213"/>
        <v>2012 q4</v>
      </c>
    </row>
    <row r="13344" spans="1:3">
      <c r="A13344" s="62">
        <v>41199</v>
      </c>
      <c r="B13344">
        <v>3.7480000000000002</v>
      </c>
      <c r="C13344" t="str">
        <f t="shared" si="213"/>
        <v>2012 q4</v>
      </c>
    </row>
    <row r="13345" spans="1:3">
      <c r="A13345" s="62">
        <v>41200</v>
      </c>
      <c r="B13345">
        <v>3.7429999999999999</v>
      </c>
      <c r="C13345" t="str">
        <f t="shared" si="213"/>
        <v>2012 q4</v>
      </c>
    </row>
    <row r="13346" spans="1:3">
      <c r="A13346" s="62">
        <v>41201</v>
      </c>
      <c r="B13346">
        <v>3.6375000000000002</v>
      </c>
      <c r="C13346" t="str">
        <f t="shared" si="213"/>
        <v>2012 q4</v>
      </c>
    </row>
    <row r="13347" spans="1:3">
      <c r="A13347" s="62">
        <v>41204</v>
      </c>
      <c r="B13347">
        <v>3.6219999999999999</v>
      </c>
      <c r="C13347" t="str">
        <f t="shared" si="213"/>
        <v>2012 q4</v>
      </c>
    </row>
    <row r="13348" spans="1:3">
      <c r="A13348" s="62">
        <v>41205</v>
      </c>
      <c r="B13348">
        <v>3.5695000000000001</v>
      </c>
      <c r="C13348" t="str">
        <f t="shared" si="213"/>
        <v>2012 q4</v>
      </c>
    </row>
    <row r="13349" spans="1:3">
      <c r="A13349" s="62">
        <v>41206</v>
      </c>
      <c r="B13349">
        <v>3.5680000000000001</v>
      </c>
      <c r="C13349" t="str">
        <f t="shared" si="213"/>
        <v>2012 q4</v>
      </c>
    </row>
    <row r="13350" spans="1:3">
      <c r="A13350" s="62">
        <v>41207</v>
      </c>
      <c r="B13350">
        <v>3.5505</v>
      </c>
      <c r="C13350" t="str">
        <f t="shared" si="213"/>
        <v>2012 q4</v>
      </c>
    </row>
    <row r="13351" spans="1:3">
      <c r="A13351" s="62">
        <v>41208</v>
      </c>
      <c r="B13351">
        <v>3.55</v>
      </c>
      <c r="C13351" t="str">
        <f t="shared" si="213"/>
        <v>2012 q4</v>
      </c>
    </row>
    <row r="13352" spans="1:3">
      <c r="A13352" s="62">
        <v>41211</v>
      </c>
      <c r="B13352">
        <v>3.4944999999999999</v>
      </c>
      <c r="C13352" t="str">
        <f t="shared" si="213"/>
        <v>2012 q4</v>
      </c>
    </row>
    <row r="13353" spans="1:3">
      <c r="A13353" s="62">
        <v>41212</v>
      </c>
      <c r="B13353">
        <v>3.5059999999999998</v>
      </c>
      <c r="C13353" t="str">
        <f t="shared" si="213"/>
        <v>2012 q4</v>
      </c>
    </row>
    <row r="13354" spans="1:3">
      <c r="A13354" s="62">
        <v>41213</v>
      </c>
      <c r="B13354">
        <v>3.5175000000000001</v>
      </c>
      <c r="C13354" t="str">
        <f t="shared" si="213"/>
        <v>2012 q4</v>
      </c>
    </row>
    <row r="13355" spans="1:3">
      <c r="A13355" s="62">
        <v>41214</v>
      </c>
      <c r="B13355">
        <v>3.552</v>
      </c>
      <c r="C13355" t="str">
        <f t="shared" si="213"/>
        <v>2012 q4</v>
      </c>
    </row>
    <row r="13356" spans="1:3">
      <c r="A13356" s="62">
        <v>41215</v>
      </c>
      <c r="B13356">
        <v>3.4815</v>
      </c>
      <c r="C13356" t="str">
        <f t="shared" si="213"/>
        <v>2012 q4</v>
      </c>
    </row>
    <row r="13357" spans="1:3">
      <c r="A13357" s="62">
        <v>41218</v>
      </c>
      <c r="B13357">
        <v>3.47</v>
      </c>
      <c r="C13357" t="str">
        <f t="shared" si="213"/>
        <v>2012 q4</v>
      </c>
    </row>
    <row r="13358" spans="1:3">
      <c r="A13358" s="62">
        <v>41219</v>
      </c>
      <c r="B13358">
        <v>3.5059999999999998</v>
      </c>
      <c r="C13358" t="str">
        <f t="shared" si="213"/>
        <v>2012 q4</v>
      </c>
    </row>
    <row r="13359" spans="1:3">
      <c r="A13359" s="62">
        <v>41220</v>
      </c>
      <c r="B13359">
        <v>3.4415</v>
      </c>
      <c r="C13359" t="str">
        <f t="shared" si="213"/>
        <v>2012 q4</v>
      </c>
    </row>
    <row r="13360" spans="1:3">
      <c r="A13360" s="62">
        <v>41221</v>
      </c>
      <c r="B13360">
        <v>3.4695</v>
      </c>
      <c r="C13360" t="str">
        <f t="shared" si="213"/>
        <v>2012 q4</v>
      </c>
    </row>
    <row r="13361" spans="1:3">
      <c r="A13361" s="62">
        <v>41222</v>
      </c>
      <c r="B13361">
        <v>3.4455</v>
      </c>
      <c r="C13361" t="str">
        <f t="shared" si="213"/>
        <v>2012 q4</v>
      </c>
    </row>
    <row r="13362" spans="1:3">
      <c r="A13362" s="62">
        <v>41225</v>
      </c>
      <c r="B13362">
        <v>3.468</v>
      </c>
      <c r="C13362" t="str">
        <f t="shared" si="213"/>
        <v>2012 q4</v>
      </c>
    </row>
    <row r="13363" spans="1:3">
      <c r="A13363" s="62">
        <v>41226</v>
      </c>
      <c r="B13363">
        <v>3.4710000000000001</v>
      </c>
      <c r="C13363" t="str">
        <f t="shared" si="213"/>
        <v>2012 q4</v>
      </c>
    </row>
    <row r="13364" spans="1:3">
      <c r="A13364" s="62">
        <v>41227</v>
      </c>
      <c r="B13364">
        <v>3.4535</v>
      </c>
      <c r="C13364" t="str">
        <f t="shared" si="213"/>
        <v>2012 q4</v>
      </c>
    </row>
    <row r="13365" spans="1:3">
      <c r="A13365" s="62">
        <v>41228</v>
      </c>
      <c r="B13365">
        <v>3.4624999999999999</v>
      </c>
      <c r="C13365" t="str">
        <f t="shared" si="213"/>
        <v>2012 q4</v>
      </c>
    </row>
    <row r="13366" spans="1:3">
      <c r="A13366" s="62">
        <v>41229</v>
      </c>
      <c r="B13366">
        <v>3.4514999999999998</v>
      </c>
      <c r="C13366" t="str">
        <f t="shared" si="213"/>
        <v>2012 q4</v>
      </c>
    </row>
    <row r="13367" spans="1:3">
      <c r="A13367" s="62">
        <v>41232</v>
      </c>
      <c r="B13367">
        <v>3.5274999999999999</v>
      </c>
      <c r="C13367" t="str">
        <f t="shared" si="213"/>
        <v>2012 q4</v>
      </c>
    </row>
    <row r="13368" spans="1:3">
      <c r="A13368" s="62">
        <v>41233</v>
      </c>
      <c r="B13368">
        <v>3.5165000000000002</v>
      </c>
      <c r="C13368" t="str">
        <f t="shared" si="213"/>
        <v>2012 q4</v>
      </c>
    </row>
    <row r="13369" spans="1:3">
      <c r="A13369" s="62">
        <v>41234</v>
      </c>
      <c r="B13369">
        <v>3.496</v>
      </c>
      <c r="C13369" t="str">
        <f t="shared" si="213"/>
        <v>2012 q4</v>
      </c>
    </row>
    <row r="13370" spans="1:3">
      <c r="A13370" s="62">
        <v>41236</v>
      </c>
      <c r="B13370">
        <v>3.528</v>
      </c>
      <c r="C13370" t="str">
        <f t="shared" si="213"/>
        <v>2012 q4</v>
      </c>
    </row>
    <row r="13371" spans="1:3">
      <c r="A13371" s="62">
        <v>41239</v>
      </c>
      <c r="B13371">
        <v>3.5365000000000002</v>
      </c>
      <c r="C13371" t="str">
        <f t="shared" si="213"/>
        <v>2012 q4</v>
      </c>
    </row>
    <row r="13372" spans="1:3">
      <c r="A13372" s="62">
        <v>41240</v>
      </c>
      <c r="B13372">
        <v>3.5381999999999998</v>
      </c>
      <c r="C13372" t="str">
        <f t="shared" si="213"/>
        <v>2012 q4</v>
      </c>
    </row>
    <row r="13373" spans="1:3">
      <c r="A13373" s="62">
        <v>41241</v>
      </c>
      <c r="B13373">
        <v>3.5272999999999999</v>
      </c>
      <c r="C13373" t="str">
        <f t="shared" si="213"/>
        <v>2012 q4</v>
      </c>
    </row>
    <row r="13374" spans="1:3">
      <c r="A13374" s="62">
        <v>41242</v>
      </c>
      <c r="B13374">
        <v>3.5941999999999998</v>
      </c>
      <c r="C13374" t="str">
        <f t="shared" si="213"/>
        <v>2012 q4</v>
      </c>
    </row>
    <row r="13375" spans="1:3">
      <c r="A13375" s="62">
        <v>41243</v>
      </c>
      <c r="B13375">
        <v>3.6383000000000001</v>
      </c>
      <c r="C13375" t="str">
        <f t="shared" si="213"/>
        <v>2012 q4</v>
      </c>
    </row>
    <row r="13376" spans="1:3">
      <c r="A13376" s="62">
        <v>41246</v>
      </c>
      <c r="B13376">
        <v>3.6480000000000001</v>
      </c>
      <c r="C13376" t="str">
        <f t="shared" si="213"/>
        <v>2012 q4</v>
      </c>
    </row>
    <row r="13377" spans="1:3">
      <c r="A13377" s="62">
        <v>41247</v>
      </c>
      <c r="B13377">
        <v>3.6435</v>
      </c>
      <c r="C13377" t="str">
        <f t="shared" si="213"/>
        <v>2012 q4</v>
      </c>
    </row>
    <row r="13378" spans="1:3">
      <c r="A13378" s="62">
        <v>41248</v>
      </c>
      <c r="B13378">
        <v>3.6749999999999998</v>
      </c>
      <c r="C13378" t="str">
        <f t="shared" si="213"/>
        <v>2012 q4</v>
      </c>
    </row>
    <row r="13379" spans="1:3">
      <c r="A13379" s="62">
        <v>41249</v>
      </c>
      <c r="B13379">
        <v>3.6349999999999998</v>
      </c>
      <c r="C13379" t="str">
        <f t="shared" si="213"/>
        <v>2012 q4</v>
      </c>
    </row>
    <row r="13380" spans="1:3">
      <c r="A13380" s="62">
        <v>41250</v>
      </c>
      <c r="B13380">
        <v>3.6535000000000002</v>
      </c>
      <c r="C13380" t="str">
        <f t="shared" si="213"/>
        <v>2012 q4</v>
      </c>
    </row>
    <row r="13381" spans="1:3">
      <c r="A13381" s="62">
        <v>41253</v>
      </c>
      <c r="B13381">
        <v>3.6964999999999999</v>
      </c>
      <c r="C13381" t="str">
        <f t="shared" si="213"/>
        <v>2012 q4</v>
      </c>
    </row>
    <row r="13382" spans="1:3">
      <c r="A13382" s="62">
        <v>41254</v>
      </c>
      <c r="B13382">
        <v>3.6764999999999999</v>
      </c>
      <c r="C13382" t="str">
        <f t="shared" si="213"/>
        <v>2012 q4</v>
      </c>
    </row>
    <row r="13383" spans="1:3">
      <c r="A13383" s="62">
        <v>41255</v>
      </c>
      <c r="B13383">
        <v>3.7065000000000001</v>
      </c>
      <c r="C13383" t="str">
        <f t="shared" si="213"/>
        <v>2012 q4</v>
      </c>
    </row>
    <row r="13384" spans="1:3">
      <c r="A13384" s="62">
        <v>41256</v>
      </c>
      <c r="B13384">
        <v>3.65</v>
      </c>
      <c r="C13384" t="str">
        <f t="shared" si="213"/>
        <v>2012 q4</v>
      </c>
    </row>
    <row r="13385" spans="1:3">
      <c r="A13385" s="62">
        <v>41257</v>
      </c>
      <c r="B13385">
        <v>3.6720000000000002</v>
      </c>
      <c r="C13385" t="str">
        <f t="shared" si="213"/>
        <v>2012 q4</v>
      </c>
    </row>
    <row r="13386" spans="1:3">
      <c r="A13386" s="62">
        <v>41260</v>
      </c>
      <c r="B13386">
        <v>3.6545000000000001</v>
      </c>
      <c r="C13386" t="str">
        <f t="shared" si="213"/>
        <v>2012 q4</v>
      </c>
    </row>
    <row r="13387" spans="1:3">
      <c r="A13387" s="62">
        <v>41261</v>
      </c>
      <c r="B13387">
        <v>3.6419999999999999</v>
      </c>
      <c r="C13387" t="str">
        <f t="shared" si="213"/>
        <v>2012 q4</v>
      </c>
    </row>
    <row r="13388" spans="1:3">
      <c r="A13388" s="62">
        <v>41262</v>
      </c>
      <c r="B13388">
        <v>3.5945</v>
      </c>
      <c r="C13388" t="str">
        <f t="shared" si="213"/>
        <v>2012 q4</v>
      </c>
    </row>
    <row r="13389" spans="1:3">
      <c r="A13389" s="62">
        <v>41263</v>
      </c>
      <c r="B13389">
        <v>3.5249999999999999</v>
      </c>
      <c r="C13389" t="str">
        <f t="shared" si="213"/>
        <v>2012 q4</v>
      </c>
    </row>
    <row r="13390" spans="1:3">
      <c r="A13390" s="62">
        <v>41264</v>
      </c>
      <c r="B13390">
        <v>3.556</v>
      </c>
      <c r="C13390" t="str">
        <f t="shared" si="213"/>
        <v>2012 q4</v>
      </c>
    </row>
    <row r="13391" spans="1:3">
      <c r="A13391" s="62">
        <v>41267</v>
      </c>
      <c r="B13391">
        <v>3.5339999999999998</v>
      </c>
      <c r="C13391" t="str">
        <f t="shared" si="213"/>
        <v>2012 q4</v>
      </c>
    </row>
    <row r="13392" spans="1:3">
      <c r="A13392" s="62">
        <v>41269</v>
      </c>
      <c r="B13392">
        <v>3.5863</v>
      </c>
      <c r="C13392" t="str">
        <f t="shared" si="213"/>
        <v>2012 q4</v>
      </c>
    </row>
    <row r="13393" spans="1:3">
      <c r="A13393" s="62">
        <v>41270</v>
      </c>
      <c r="B13393">
        <v>3.5943999999999998</v>
      </c>
      <c r="C13393" t="str">
        <f t="shared" si="213"/>
        <v>2012 q4</v>
      </c>
    </row>
    <row r="13394" spans="1:3">
      <c r="A13394" s="62">
        <v>41271</v>
      </c>
      <c r="B13394">
        <v>3.5847000000000002</v>
      </c>
      <c r="C13394" t="str">
        <f t="shared" ref="C13394:C13457" si="214">YEAR(A13394)&amp;" q"&amp;ROUNDUP(MONTH(A13394)/3,0)</f>
        <v>2012 q4</v>
      </c>
    </row>
    <row r="13395" spans="1:3">
      <c r="A13395" s="62">
        <v>41274</v>
      </c>
      <c r="B13395">
        <v>3.6501999999999999</v>
      </c>
      <c r="C13395" t="str">
        <f t="shared" si="214"/>
        <v>2012 q4</v>
      </c>
    </row>
    <row r="13396" spans="1:3">
      <c r="A13396" s="62">
        <v>41276</v>
      </c>
      <c r="B13396">
        <v>3.7360000000000002</v>
      </c>
      <c r="C13396" t="str">
        <f t="shared" si="214"/>
        <v>2013 q1</v>
      </c>
    </row>
    <row r="13397" spans="1:3">
      <c r="A13397" s="62">
        <v>41277</v>
      </c>
      <c r="B13397">
        <v>3.7170000000000001</v>
      </c>
      <c r="C13397" t="str">
        <f t="shared" si="214"/>
        <v>2013 q1</v>
      </c>
    </row>
    <row r="13398" spans="1:3">
      <c r="A13398" s="62">
        <v>41278</v>
      </c>
      <c r="B13398">
        <v>3.6934999999999998</v>
      </c>
      <c r="C13398" t="str">
        <f t="shared" si="214"/>
        <v>2013 q1</v>
      </c>
    </row>
    <row r="13399" spans="1:3">
      <c r="A13399" s="62">
        <v>41281</v>
      </c>
      <c r="B13399">
        <v>3.6779999999999999</v>
      </c>
      <c r="C13399" t="str">
        <f t="shared" si="214"/>
        <v>2013 q1</v>
      </c>
    </row>
    <row r="13400" spans="1:3">
      <c r="A13400" s="62">
        <v>41282</v>
      </c>
      <c r="B13400">
        <v>3.6720000000000002</v>
      </c>
      <c r="C13400" t="str">
        <f t="shared" si="214"/>
        <v>2013 q1</v>
      </c>
    </row>
    <row r="13401" spans="1:3">
      <c r="A13401" s="62">
        <v>41283</v>
      </c>
      <c r="B13401">
        <v>3.6705000000000001</v>
      </c>
      <c r="C13401" t="str">
        <f t="shared" si="214"/>
        <v>2013 q1</v>
      </c>
    </row>
    <row r="13402" spans="1:3">
      <c r="A13402" s="62">
        <v>41284</v>
      </c>
      <c r="B13402">
        <v>3.7090000000000001</v>
      </c>
      <c r="C13402" t="str">
        <f t="shared" si="214"/>
        <v>2013 q1</v>
      </c>
    </row>
    <row r="13403" spans="1:3">
      <c r="A13403" s="62">
        <v>41285</v>
      </c>
      <c r="B13403">
        <v>3.6539999999999999</v>
      </c>
      <c r="C13403" t="str">
        <f t="shared" si="214"/>
        <v>2013 q1</v>
      </c>
    </row>
    <row r="13404" spans="1:3">
      <c r="A13404" s="62">
        <v>41288</v>
      </c>
      <c r="B13404">
        <v>3.6339999999999999</v>
      </c>
      <c r="C13404" t="str">
        <f t="shared" si="214"/>
        <v>2013 q1</v>
      </c>
    </row>
    <row r="13405" spans="1:3">
      <c r="A13405" s="62">
        <v>41289</v>
      </c>
      <c r="B13405">
        <v>3.6375000000000002</v>
      </c>
      <c r="C13405" t="str">
        <f t="shared" si="214"/>
        <v>2013 q1</v>
      </c>
    </row>
    <row r="13406" spans="1:3">
      <c r="A13406" s="62">
        <v>41290</v>
      </c>
      <c r="B13406">
        <v>3.6065</v>
      </c>
      <c r="C13406" t="str">
        <f t="shared" si="214"/>
        <v>2013 q1</v>
      </c>
    </row>
    <row r="13407" spans="1:3">
      <c r="A13407" s="62">
        <v>41291</v>
      </c>
      <c r="B13407">
        <v>3.6619999999999999</v>
      </c>
      <c r="C13407" t="str">
        <f t="shared" si="214"/>
        <v>2013 q1</v>
      </c>
    </row>
    <row r="13408" spans="1:3">
      <c r="A13408" s="62">
        <v>41292</v>
      </c>
      <c r="B13408">
        <v>3.6789999999999998</v>
      </c>
      <c r="C13408" t="str">
        <f t="shared" si="214"/>
        <v>2013 q1</v>
      </c>
    </row>
    <row r="13409" spans="1:3">
      <c r="A13409" s="62">
        <v>41296</v>
      </c>
      <c r="B13409">
        <v>3.7050000000000001</v>
      </c>
      <c r="C13409" t="str">
        <f t="shared" si="214"/>
        <v>2013 q1</v>
      </c>
    </row>
    <row r="13410" spans="1:3">
      <c r="A13410" s="62">
        <v>41297</v>
      </c>
      <c r="B13410">
        <v>3.6844999999999999</v>
      </c>
      <c r="C13410" t="str">
        <f t="shared" si="214"/>
        <v>2013 q1</v>
      </c>
    </row>
    <row r="13411" spans="1:3">
      <c r="A13411" s="62">
        <v>41298</v>
      </c>
      <c r="B13411">
        <v>3.6764999999999999</v>
      </c>
      <c r="C13411" t="str">
        <f t="shared" si="214"/>
        <v>2013 q1</v>
      </c>
    </row>
    <row r="13412" spans="1:3">
      <c r="A13412" s="62">
        <v>41299</v>
      </c>
      <c r="B13412">
        <v>3.6520000000000001</v>
      </c>
      <c r="C13412" t="str">
        <f t="shared" si="214"/>
        <v>2013 q1</v>
      </c>
    </row>
    <row r="13413" spans="1:3">
      <c r="A13413" s="62">
        <v>41302</v>
      </c>
      <c r="B13413">
        <v>3.6615000000000002</v>
      </c>
      <c r="C13413" t="str">
        <f t="shared" si="214"/>
        <v>2013 q1</v>
      </c>
    </row>
    <row r="13414" spans="1:3">
      <c r="A13414" s="62">
        <v>41303</v>
      </c>
      <c r="B13414">
        <v>3.6915</v>
      </c>
      <c r="C13414" t="str">
        <f t="shared" si="214"/>
        <v>2013 q1</v>
      </c>
    </row>
    <row r="13415" spans="1:3">
      <c r="A13415" s="62">
        <v>41304</v>
      </c>
      <c r="B13415">
        <v>3.75</v>
      </c>
      <c r="C13415" t="str">
        <f t="shared" si="214"/>
        <v>2013 q1</v>
      </c>
    </row>
    <row r="13416" spans="1:3">
      <c r="A13416" s="62">
        <v>41305</v>
      </c>
      <c r="B13416">
        <v>3.7320000000000002</v>
      </c>
      <c r="C13416" t="str">
        <f t="shared" si="214"/>
        <v>2013 q1</v>
      </c>
    </row>
    <row r="13417" spans="1:3">
      <c r="A13417" s="62">
        <v>41306</v>
      </c>
      <c r="B13417">
        <v>3.7845</v>
      </c>
      <c r="C13417" t="str">
        <f t="shared" si="214"/>
        <v>2013 q1</v>
      </c>
    </row>
    <row r="13418" spans="1:3">
      <c r="A13418" s="62">
        <v>41309</v>
      </c>
      <c r="B13418">
        <v>3.7685</v>
      </c>
      <c r="C13418" t="str">
        <f t="shared" si="214"/>
        <v>2013 q1</v>
      </c>
    </row>
    <row r="13419" spans="1:3">
      <c r="A13419" s="62">
        <v>41310</v>
      </c>
      <c r="B13419">
        <v>3.77</v>
      </c>
      <c r="C13419" t="str">
        <f t="shared" si="214"/>
        <v>2013 q1</v>
      </c>
    </row>
    <row r="13420" spans="1:3">
      <c r="A13420" s="62">
        <v>41311</v>
      </c>
      <c r="B13420">
        <v>3.7404999999999999</v>
      </c>
      <c r="C13420" t="str">
        <f t="shared" si="214"/>
        <v>2013 q1</v>
      </c>
    </row>
    <row r="13421" spans="1:3">
      <c r="A13421" s="62">
        <v>41312</v>
      </c>
      <c r="B13421">
        <v>3.7269999999999999</v>
      </c>
      <c r="C13421" t="str">
        <f t="shared" si="214"/>
        <v>2013 q1</v>
      </c>
    </row>
    <row r="13422" spans="1:3">
      <c r="A13422" s="62">
        <v>41313</v>
      </c>
      <c r="B13422">
        <v>3.7595000000000001</v>
      </c>
      <c r="C13422" t="str">
        <f t="shared" si="214"/>
        <v>2013 q1</v>
      </c>
    </row>
    <row r="13423" spans="1:3">
      <c r="A13423" s="62">
        <v>41316</v>
      </c>
      <c r="B13423">
        <v>3.7225000000000001</v>
      </c>
      <c r="C13423" t="str">
        <f t="shared" si="214"/>
        <v>2013 q1</v>
      </c>
    </row>
    <row r="13424" spans="1:3">
      <c r="A13424" s="62">
        <v>41317</v>
      </c>
      <c r="B13424">
        <v>3.7440000000000002</v>
      </c>
      <c r="C13424" t="str">
        <f t="shared" si="214"/>
        <v>2013 q1</v>
      </c>
    </row>
    <row r="13425" spans="1:3">
      <c r="A13425" s="62">
        <v>41318</v>
      </c>
      <c r="B13425">
        <v>3.7425000000000002</v>
      </c>
      <c r="C13425" t="str">
        <f t="shared" si="214"/>
        <v>2013 q1</v>
      </c>
    </row>
    <row r="13426" spans="1:3">
      <c r="A13426" s="62">
        <v>41319</v>
      </c>
      <c r="B13426">
        <v>3.7374999999999998</v>
      </c>
      <c r="C13426" t="str">
        <f t="shared" si="214"/>
        <v>2013 q1</v>
      </c>
    </row>
    <row r="13427" spans="1:3">
      <c r="A13427" s="62">
        <v>41320</v>
      </c>
      <c r="B13427">
        <v>3.7370000000000001</v>
      </c>
      <c r="C13427" t="str">
        <f t="shared" si="214"/>
        <v>2013 q1</v>
      </c>
    </row>
    <row r="13428" spans="1:3">
      <c r="A13428" s="62">
        <v>41324</v>
      </c>
      <c r="B13428">
        <v>3.6495000000000002</v>
      </c>
      <c r="C13428" t="str">
        <f t="shared" si="214"/>
        <v>2013 q1</v>
      </c>
    </row>
    <row r="13429" spans="1:3">
      <c r="A13429" s="62">
        <v>41325</v>
      </c>
      <c r="B13429">
        <v>3.6080000000000001</v>
      </c>
      <c r="C13429" t="str">
        <f t="shared" si="214"/>
        <v>2013 q1</v>
      </c>
    </row>
    <row r="13430" spans="1:3">
      <c r="A13430" s="62">
        <v>41326</v>
      </c>
      <c r="B13430">
        <v>3.5529999999999999</v>
      </c>
      <c r="C13430" t="str">
        <f t="shared" si="214"/>
        <v>2013 q1</v>
      </c>
    </row>
    <row r="13431" spans="1:3">
      <c r="A13431" s="62">
        <v>41327</v>
      </c>
      <c r="B13431">
        <v>3.5329999999999999</v>
      </c>
      <c r="C13431" t="str">
        <f t="shared" si="214"/>
        <v>2013 q1</v>
      </c>
    </row>
    <row r="13432" spans="1:3">
      <c r="A13432" s="62">
        <v>41330</v>
      </c>
      <c r="B13432">
        <v>3.5466000000000002</v>
      </c>
      <c r="C13432" t="str">
        <f t="shared" si="214"/>
        <v>2013 q1</v>
      </c>
    </row>
    <row r="13433" spans="1:3">
      <c r="A13433" s="62">
        <v>41331</v>
      </c>
      <c r="B13433">
        <v>3.5731000000000002</v>
      </c>
      <c r="C13433" t="str">
        <f t="shared" si="214"/>
        <v>2013 q1</v>
      </c>
    </row>
    <row r="13434" spans="1:3">
      <c r="A13434" s="62">
        <v>41332</v>
      </c>
      <c r="B13434">
        <v>3.5581999999999998</v>
      </c>
      <c r="C13434" t="str">
        <f t="shared" si="214"/>
        <v>2013 q1</v>
      </c>
    </row>
    <row r="13435" spans="1:3">
      <c r="A13435" s="62">
        <v>41333</v>
      </c>
      <c r="B13435">
        <v>3.5434999999999999</v>
      </c>
      <c r="C13435" t="str">
        <f t="shared" si="214"/>
        <v>2013 q1</v>
      </c>
    </row>
    <row r="13436" spans="1:3">
      <c r="A13436" s="62">
        <v>41334</v>
      </c>
      <c r="B13436">
        <v>3.5009999999999999</v>
      </c>
      <c r="C13436" t="str">
        <f t="shared" si="214"/>
        <v>2013 q1</v>
      </c>
    </row>
    <row r="13437" spans="1:3">
      <c r="A13437" s="62">
        <v>41337</v>
      </c>
      <c r="B13437">
        <v>3.5015000000000001</v>
      </c>
      <c r="C13437" t="str">
        <f t="shared" si="214"/>
        <v>2013 q1</v>
      </c>
    </row>
    <row r="13438" spans="1:3">
      <c r="A13438" s="62">
        <v>41338</v>
      </c>
      <c r="B13438">
        <v>3.5150000000000001</v>
      </c>
      <c r="C13438" t="str">
        <f t="shared" si="214"/>
        <v>2013 q1</v>
      </c>
    </row>
    <row r="13439" spans="1:3">
      <c r="A13439" s="62">
        <v>41339</v>
      </c>
      <c r="B13439">
        <v>3.4929999999999999</v>
      </c>
      <c r="C13439" t="str">
        <f t="shared" si="214"/>
        <v>2013 q1</v>
      </c>
    </row>
    <row r="13440" spans="1:3">
      <c r="A13440" s="62">
        <v>41340</v>
      </c>
      <c r="B13440">
        <v>3.5205000000000002</v>
      </c>
      <c r="C13440" t="str">
        <f t="shared" si="214"/>
        <v>2013 q1</v>
      </c>
    </row>
    <row r="13441" spans="1:3">
      <c r="A13441" s="62">
        <v>41341</v>
      </c>
      <c r="B13441">
        <v>3.5089999999999999</v>
      </c>
      <c r="C13441" t="str">
        <f t="shared" si="214"/>
        <v>2013 q1</v>
      </c>
    </row>
    <row r="13442" spans="1:3">
      <c r="A13442" s="62">
        <v>41344</v>
      </c>
      <c r="B13442">
        <v>3.5169999999999999</v>
      </c>
      <c r="C13442" t="str">
        <f t="shared" si="214"/>
        <v>2013 q1</v>
      </c>
    </row>
    <row r="13443" spans="1:3">
      <c r="A13443" s="62">
        <v>41345</v>
      </c>
      <c r="B13443">
        <v>3.5545</v>
      </c>
      <c r="C13443" t="str">
        <f t="shared" si="214"/>
        <v>2013 q1</v>
      </c>
    </row>
    <row r="13444" spans="1:3">
      <c r="A13444" s="62">
        <v>41346</v>
      </c>
      <c r="B13444">
        <v>3.5249999999999999</v>
      </c>
      <c r="C13444" t="str">
        <f t="shared" si="214"/>
        <v>2013 q1</v>
      </c>
    </row>
    <row r="13445" spans="1:3">
      <c r="A13445" s="62">
        <v>41347</v>
      </c>
      <c r="B13445">
        <v>3.5365000000000002</v>
      </c>
      <c r="C13445" t="str">
        <f t="shared" si="214"/>
        <v>2013 q1</v>
      </c>
    </row>
    <row r="13446" spans="1:3">
      <c r="A13446" s="62">
        <v>41348</v>
      </c>
      <c r="B13446">
        <v>3.5205000000000002</v>
      </c>
      <c r="C13446" t="str">
        <f t="shared" si="214"/>
        <v>2013 q1</v>
      </c>
    </row>
    <row r="13447" spans="1:3">
      <c r="A13447" s="62">
        <v>41351</v>
      </c>
      <c r="B13447">
        <v>3.4279999999999999</v>
      </c>
      <c r="C13447" t="str">
        <f t="shared" si="214"/>
        <v>2013 q1</v>
      </c>
    </row>
    <row r="13448" spans="1:3">
      <c r="A13448" s="62">
        <v>41352</v>
      </c>
      <c r="B13448">
        <v>3.4055</v>
      </c>
      <c r="C13448" t="str">
        <f t="shared" si="214"/>
        <v>2013 q1</v>
      </c>
    </row>
    <row r="13449" spans="1:3">
      <c r="A13449" s="62">
        <v>41353</v>
      </c>
      <c r="B13449">
        <v>3.4464999999999999</v>
      </c>
      <c r="C13449" t="str">
        <f t="shared" si="214"/>
        <v>2013 q1</v>
      </c>
    </row>
    <row r="13450" spans="1:3">
      <c r="A13450" s="62">
        <v>41354</v>
      </c>
      <c r="B13450">
        <v>3.4350000000000001</v>
      </c>
      <c r="C13450" t="str">
        <f t="shared" si="214"/>
        <v>2013 q1</v>
      </c>
    </row>
    <row r="13451" spans="1:3">
      <c r="A13451" s="62">
        <v>41355</v>
      </c>
      <c r="B13451">
        <v>3.4660000000000002</v>
      </c>
      <c r="C13451" t="str">
        <f t="shared" si="214"/>
        <v>2013 q1</v>
      </c>
    </row>
    <row r="13452" spans="1:3">
      <c r="A13452" s="62">
        <v>41358</v>
      </c>
      <c r="B13452">
        <v>3.4449999999999998</v>
      </c>
      <c r="C13452" t="str">
        <f t="shared" si="214"/>
        <v>2013 q1</v>
      </c>
    </row>
    <row r="13453" spans="1:3">
      <c r="A13453" s="62">
        <v>41359</v>
      </c>
      <c r="B13453">
        <v>3.4424999999999999</v>
      </c>
      <c r="C13453" t="str">
        <f t="shared" si="214"/>
        <v>2013 q1</v>
      </c>
    </row>
    <row r="13454" spans="1:3">
      <c r="A13454" s="62">
        <v>41360</v>
      </c>
      <c r="B13454">
        <v>3.4434999999999998</v>
      </c>
      <c r="C13454" t="str">
        <f t="shared" si="214"/>
        <v>2013 q1</v>
      </c>
    </row>
    <row r="13455" spans="1:3">
      <c r="A13455" s="62">
        <v>41361</v>
      </c>
      <c r="B13455">
        <v>3.4020000000000001</v>
      </c>
      <c r="C13455" t="str">
        <f t="shared" si="214"/>
        <v>2013 q1</v>
      </c>
    </row>
    <row r="13456" spans="1:3">
      <c r="A13456" s="62">
        <v>41365</v>
      </c>
      <c r="B13456">
        <v>3.3744999999999998</v>
      </c>
      <c r="C13456" t="str">
        <f t="shared" si="214"/>
        <v>2013 q2</v>
      </c>
    </row>
    <row r="13457" spans="1:3">
      <c r="A13457" s="62">
        <v>41366</v>
      </c>
      <c r="B13457">
        <v>3.3784999999999998</v>
      </c>
      <c r="C13457" t="str">
        <f t="shared" si="214"/>
        <v>2013 q2</v>
      </c>
    </row>
    <row r="13458" spans="1:3">
      <c r="A13458" s="62">
        <v>41367</v>
      </c>
      <c r="B13458">
        <v>3.3330000000000002</v>
      </c>
      <c r="C13458" t="str">
        <f t="shared" ref="C13458:C13521" si="215">YEAR(A13458)&amp;" q"&amp;ROUNDUP(MONTH(A13458)/3,0)</f>
        <v>2013 q2</v>
      </c>
    </row>
    <row r="13459" spans="1:3">
      <c r="A13459" s="62">
        <v>41368</v>
      </c>
      <c r="B13459">
        <v>3.3515000000000001</v>
      </c>
      <c r="C13459" t="str">
        <f t="shared" si="215"/>
        <v>2013 q2</v>
      </c>
    </row>
    <row r="13460" spans="1:3">
      <c r="A13460" s="62">
        <v>41369</v>
      </c>
      <c r="B13460">
        <v>3.3439999999999999</v>
      </c>
      <c r="C13460" t="str">
        <f t="shared" si="215"/>
        <v>2013 q2</v>
      </c>
    </row>
    <row r="13461" spans="1:3">
      <c r="A13461" s="62">
        <v>41372</v>
      </c>
      <c r="B13461">
        <v>3.371</v>
      </c>
      <c r="C13461" t="str">
        <f t="shared" si="215"/>
        <v>2013 q2</v>
      </c>
    </row>
    <row r="13462" spans="1:3">
      <c r="A13462" s="62">
        <v>41373</v>
      </c>
      <c r="B13462">
        <v>3.4415</v>
      </c>
      <c r="C13462" t="str">
        <f t="shared" si="215"/>
        <v>2013 q2</v>
      </c>
    </row>
    <row r="13463" spans="1:3">
      <c r="A13463" s="62">
        <v>41374</v>
      </c>
      <c r="B13463">
        <v>3.4180000000000001</v>
      </c>
      <c r="C13463" t="str">
        <f t="shared" si="215"/>
        <v>2013 q2</v>
      </c>
    </row>
    <row r="13464" spans="1:3">
      <c r="A13464" s="62">
        <v>41375</v>
      </c>
      <c r="B13464">
        <v>3.4335</v>
      </c>
      <c r="C13464" t="str">
        <f t="shared" si="215"/>
        <v>2013 q2</v>
      </c>
    </row>
    <row r="13465" spans="1:3">
      <c r="A13465" s="62">
        <v>41376</v>
      </c>
      <c r="B13465">
        <v>3.35</v>
      </c>
      <c r="C13465" t="str">
        <f t="shared" si="215"/>
        <v>2013 q2</v>
      </c>
    </row>
    <row r="13466" spans="1:3">
      <c r="A13466" s="62">
        <v>41379</v>
      </c>
      <c r="B13466">
        <v>3.2730000000000001</v>
      </c>
      <c r="C13466" t="str">
        <f t="shared" si="215"/>
        <v>2013 q2</v>
      </c>
    </row>
    <row r="13467" spans="1:3">
      <c r="A13467" s="62">
        <v>41380</v>
      </c>
      <c r="B13467">
        <v>3.3054999999999999</v>
      </c>
      <c r="C13467" t="str">
        <f t="shared" si="215"/>
        <v>2013 q2</v>
      </c>
    </row>
    <row r="13468" spans="1:3">
      <c r="A13468" s="62">
        <v>41381</v>
      </c>
      <c r="B13468">
        <v>3.1875</v>
      </c>
      <c r="C13468" t="str">
        <f t="shared" si="215"/>
        <v>2013 q2</v>
      </c>
    </row>
    <row r="13469" spans="1:3">
      <c r="A13469" s="62">
        <v>41382</v>
      </c>
      <c r="B13469">
        <v>3.2044999999999999</v>
      </c>
      <c r="C13469" t="str">
        <f t="shared" si="215"/>
        <v>2013 q2</v>
      </c>
    </row>
    <row r="13470" spans="1:3">
      <c r="A13470" s="62">
        <v>41383</v>
      </c>
      <c r="B13470">
        <v>3.1484999999999999</v>
      </c>
      <c r="C13470" t="str">
        <f t="shared" si="215"/>
        <v>2013 q2</v>
      </c>
    </row>
    <row r="13471" spans="1:3">
      <c r="A13471" s="62">
        <v>41386</v>
      </c>
      <c r="B13471">
        <v>3.1309999999999998</v>
      </c>
      <c r="C13471" t="str">
        <f t="shared" si="215"/>
        <v>2013 q2</v>
      </c>
    </row>
    <row r="13472" spans="1:3">
      <c r="A13472" s="62">
        <v>41387</v>
      </c>
      <c r="B13472">
        <v>3.093</v>
      </c>
      <c r="C13472" t="str">
        <f t="shared" si="215"/>
        <v>2013 q2</v>
      </c>
    </row>
    <row r="13473" spans="1:3">
      <c r="A13473" s="62">
        <v>41388</v>
      </c>
      <c r="B13473">
        <v>3.157</v>
      </c>
      <c r="C13473" t="str">
        <f t="shared" si="215"/>
        <v>2013 q2</v>
      </c>
    </row>
    <row r="13474" spans="1:3">
      <c r="A13474" s="62">
        <v>41389</v>
      </c>
      <c r="B13474">
        <v>3.2381000000000002</v>
      </c>
      <c r="C13474" t="str">
        <f t="shared" si="215"/>
        <v>2013 q2</v>
      </c>
    </row>
    <row r="13475" spans="1:3">
      <c r="A13475" s="62">
        <v>41390</v>
      </c>
      <c r="B13475">
        <v>3.1850999999999998</v>
      </c>
      <c r="C13475" t="str">
        <f t="shared" si="215"/>
        <v>2013 q2</v>
      </c>
    </row>
    <row r="13476" spans="1:3">
      <c r="A13476" s="62">
        <v>41393</v>
      </c>
      <c r="B13476">
        <v>3.2261000000000002</v>
      </c>
      <c r="C13476" t="str">
        <f t="shared" si="215"/>
        <v>2013 q2</v>
      </c>
    </row>
    <row r="13477" spans="1:3">
      <c r="A13477" s="62">
        <v>41394</v>
      </c>
      <c r="B13477">
        <v>3.1875</v>
      </c>
      <c r="C13477" t="str">
        <f t="shared" si="215"/>
        <v>2013 q2</v>
      </c>
    </row>
    <row r="13478" spans="1:3">
      <c r="A13478" s="62">
        <v>41395</v>
      </c>
      <c r="B13478">
        <v>3.08</v>
      </c>
      <c r="C13478" t="str">
        <f t="shared" si="215"/>
        <v>2013 q2</v>
      </c>
    </row>
    <row r="13479" spans="1:3">
      <c r="A13479" s="62">
        <v>41396</v>
      </c>
      <c r="B13479">
        <v>3.1044999999999998</v>
      </c>
      <c r="C13479" t="str">
        <f t="shared" si="215"/>
        <v>2013 q2</v>
      </c>
    </row>
    <row r="13480" spans="1:3">
      <c r="A13480" s="62">
        <v>41397</v>
      </c>
      <c r="B13480">
        <v>3.3144999999999998</v>
      </c>
      <c r="C13480" t="str">
        <f t="shared" si="215"/>
        <v>2013 q2</v>
      </c>
    </row>
    <row r="13481" spans="1:3">
      <c r="A13481" s="62">
        <v>41400</v>
      </c>
      <c r="B13481">
        <v>3.3105000000000002</v>
      </c>
      <c r="C13481" t="str">
        <f t="shared" si="215"/>
        <v>2013 q2</v>
      </c>
    </row>
    <row r="13482" spans="1:3">
      <c r="A13482" s="62">
        <v>41401</v>
      </c>
      <c r="B13482">
        <v>3.3025000000000002</v>
      </c>
      <c r="C13482" t="str">
        <f t="shared" si="215"/>
        <v>2013 q2</v>
      </c>
    </row>
    <row r="13483" spans="1:3">
      <c r="A13483" s="62">
        <v>41402</v>
      </c>
      <c r="B13483">
        <v>3.3704999999999998</v>
      </c>
      <c r="C13483" t="str">
        <f t="shared" si="215"/>
        <v>2013 q2</v>
      </c>
    </row>
    <row r="13484" spans="1:3">
      <c r="A13484" s="62">
        <v>41403</v>
      </c>
      <c r="B13484">
        <v>3.3405</v>
      </c>
      <c r="C13484" t="str">
        <f t="shared" si="215"/>
        <v>2013 q2</v>
      </c>
    </row>
    <row r="13485" spans="1:3">
      <c r="A13485" s="62">
        <v>41404</v>
      </c>
      <c r="B13485">
        <v>3.3530000000000002</v>
      </c>
      <c r="C13485" t="str">
        <f t="shared" si="215"/>
        <v>2013 q2</v>
      </c>
    </row>
    <row r="13486" spans="1:3">
      <c r="A13486" s="62">
        <v>41407</v>
      </c>
      <c r="B13486">
        <v>3.3595000000000002</v>
      </c>
      <c r="C13486" t="str">
        <f t="shared" si="215"/>
        <v>2013 q2</v>
      </c>
    </row>
    <row r="13487" spans="1:3">
      <c r="A13487" s="62">
        <v>41408</v>
      </c>
      <c r="B13487">
        <v>3.2879999999999998</v>
      </c>
      <c r="C13487" t="str">
        <f t="shared" si="215"/>
        <v>2013 q2</v>
      </c>
    </row>
    <row r="13488" spans="1:3">
      <c r="A13488" s="62">
        <v>41409</v>
      </c>
      <c r="B13488">
        <v>3.2650000000000001</v>
      </c>
      <c r="C13488" t="str">
        <f t="shared" si="215"/>
        <v>2013 q2</v>
      </c>
    </row>
    <row r="13489" spans="1:3">
      <c r="A13489" s="62">
        <v>41410</v>
      </c>
      <c r="B13489">
        <v>3.2945000000000002</v>
      </c>
      <c r="C13489" t="str">
        <f t="shared" si="215"/>
        <v>2013 q2</v>
      </c>
    </row>
    <row r="13490" spans="1:3">
      <c r="A13490" s="62">
        <v>41411</v>
      </c>
      <c r="B13490">
        <v>3.323</v>
      </c>
      <c r="C13490" t="str">
        <f t="shared" si="215"/>
        <v>2013 q2</v>
      </c>
    </row>
    <row r="13491" spans="1:3">
      <c r="A13491" s="62">
        <v>41414</v>
      </c>
      <c r="B13491">
        <v>3.36</v>
      </c>
      <c r="C13491" t="str">
        <f t="shared" si="215"/>
        <v>2013 q2</v>
      </c>
    </row>
    <row r="13492" spans="1:3">
      <c r="A13492" s="62">
        <v>41415</v>
      </c>
      <c r="B13492">
        <v>3.3435000000000001</v>
      </c>
      <c r="C13492" t="str">
        <f t="shared" si="215"/>
        <v>2013 q2</v>
      </c>
    </row>
    <row r="13493" spans="1:3">
      <c r="A13493" s="62">
        <v>41416</v>
      </c>
      <c r="B13493">
        <v>3.3805000000000001</v>
      </c>
      <c r="C13493" t="str">
        <f t="shared" si="215"/>
        <v>2013 q2</v>
      </c>
    </row>
    <row r="13494" spans="1:3">
      <c r="A13494" s="62">
        <v>41417</v>
      </c>
      <c r="B13494">
        <v>3.3039999999999998</v>
      </c>
      <c r="C13494" t="str">
        <f t="shared" si="215"/>
        <v>2013 q2</v>
      </c>
    </row>
    <row r="13495" spans="1:3">
      <c r="A13495" s="62">
        <v>41418</v>
      </c>
      <c r="B13495">
        <v>3.2955000000000001</v>
      </c>
      <c r="C13495" t="str">
        <f t="shared" si="215"/>
        <v>2013 q2</v>
      </c>
    </row>
    <row r="13496" spans="1:3">
      <c r="A13496" s="62">
        <v>41422</v>
      </c>
      <c r="B13496">
        <v>3.3149999999999999</v>
      </c>
      <c r="C13496" t="str">
        <f t="shared" si="215"/>
        <v>2013 q2</v>
      </c>
    </row>
    <row r="13497" spans="1:3">
      <c r="A13497" s="62">
        <v>41423</v>
      </c>
      <c r="B13497">
        <v>3.2970000000000002</v>
      </c>
      <c r="C13497" t="str">
        <f t="shared" si="215"/>
        <v>2013 q2</v>
      </c>
    </row>
    <row r="13498" spans="1:3">
      <c r="A13498" s="62">
        <v>41424</v>
      </c>
      <c r="B13498">
        <v>3.3155000000000001</v>
      </c>
      <c r="C13498" t="str">
        <f t="shared" si="215"/>
        <v>2013 q2</v>
      </c>
    </row>
    <row r="13499" spans="1:3">
      <c r="A13499" s="62">
        <v>41425</v>
      </c>
      <c r="B13499">
        <v>3.2925</v>
      </c>
      <c r="C13499" t="str">
        <f t="shared" si="215"/>
        <v>2013 q2</v>
      </c>
    </row>
    <row r="13500" spans="1:3">
      <c r="A13500" s="62">
        <v>41428</v>
      </c>
      <c r="B13500">
        <v>3.3304999999999998</v>
      </c>
      <c r="C13500" t="str">
        <f t="shared" si="215"/>
        <v>2013 q2</v>
      </c>
    </row>
    <row r="13501" spans="1:3">
      <c r="A13501" s="62">
        <v>41429</v>
      </c>
      <c r="B13501">
        <v>3.3690000000000002</v>
      </c>
      <c r="C13501" t="str">
        <f t="shared" si="215"/>
        <v>2013 q2</v>
      </c>
    </row>
    <row r="13502" spans="1:3">
      <c r="A13502" s="62">
        <v>41430</v>
      </c>
      <c r="B13502">
        <v>3.3715000000000002</v>
      </c>
      <c r="C13502" t="str">
        <f t="shared" si="215"/>
        <v>2013 q2</v>
      </c>
    </row>
    <row r="13503" spans="1:3">
      <c r="A13503" s="62">
        <v>41431</v>
      </c>
      <c r="B13503">
        <v>3.319</v>
      </c>
      <c r="C13503" t="str">
        <f t="shared" si="215"/>
        <v>2013 q2</v>
      </c>
    </row>
    <row r="13504" spans="1:3">
      <c r="A13504" s="62">
        <v>41432</v>
      </c>
      <c r="B13504">
        <v>3.2685</v>
      </c>
      <c r="C13504" t="str">
        <f t="shared" si="215"/>
        <v>2013 q2</v>
      </c>
    </row>
    <row r="13505" spans="1:3">
      <c r="A13505" s="62">
        <v>41435</v>
      </c>
      <c r="B13505">
        <v>3.2410000000000001</v>
      </c>
      <c r="C13505" t="str">
        <f t="shared" si="215"/>
        <v>2013 q2</v>
      </c>
    </row>
    <row r="13506" spans="1:3">
      <c r="A13506" s="62">
        <v>41436</v>
      </c>
      <c r="B13506">
        <v>3.1949999999999998</v>
      </c>
      <c r="C13506" t="str">
        <f t="shared" si="215"/>
        <v>2013 q2</v>
      </c>
    </row>
    <row r="13507" spans="1:3">
      <c r="A13507" s="62">
        <v>41437</v>
      </c>
      <c r="B13507">
        <v>3.2254999999999998</v>
      </c>
      <c r="C13507" t="str">
        <f t="shared" si="215"/>
        <v>2013 q2</v>
      </c>
    </row>
    <row r="13508" spans="1:3">
      <c r="A13508" s="62">
        <v>41438</v>
      </c>
      <c r="B13508">
        <v>3.1850000000000001</v>
      </c>
      <c r="C13508" t="str">
        <f t="shared" si="215"/>
        <v>2013 q2</v>
      </c>
    </row>
    <row r="13509" spans="1:3">
      <c r="A13509" s="62">
        <v>41439</v>
      </c>
      <c r="B13509">
        <v>3.2014999999999998</v>
      </c>
      <c r="C13509" t="str">
        <f t="shared" si="215"/>
        <v>2013 q2</v>
      </c>
    </row>
    <row r="13510" spans="1:3">
      <c r="A13510" s="62">
        <v>41442</v>
      </c>
      <c r="B13510">
        <v>3.1974999999999998</v>
      </c>
      <c r="C13510" t="str">
        <f t="shared" si="215"/>
        <v>2013 q2</v>
      </c>
    </row>
    <row r="13511" spans="1:3">
      <c r="A13511" s="62">
        <v>41443</v>
      </c>
      <c r="B13511">
        <v>3.1549999999999998</v>
      </c>
      <c r="C13511" t="str">
        <f t="shared" si="215"/>
        <v>2013 q2</v>
      </c>
    </row>
    <row r="13512" spans="1:3">
      <c r="A13512" s="62">
        <v>41444</v>
      </c>
      <c r="B13512">
        <v>3.141</v>
      </c>
      <c r="C13512" t="str">
        <f t="shared" si="215"/>
        <v>2013 q2</v>
      </c>
    </row>
    <row r="13513" spans="1:3">
      <c r="A13513" s="62">
        <v>41445</v>
      </c>
      <c r="B13513">
        <v>3.0619999999999998</v>
      </c>
      <c r="C13513" t="str">
        <f t="shared" si="215"/>
        <v>2013 q2</v>
      </c>
    </row>
    <row r="13514" spans="1:3">
      <c r="A13514" s="62">
        <v>41446</v>
      </c>
      <c r="B13514">
        <v>3.0954999999999999</v>
      </c>
      <c r="C13514" t="str">
        <f t="shared" si="215"/>
        <v>2013 q2</v>
      </c>
    </row>
    <row r="13515" spans="1:3">
      <c r="A13515" s="62">
        <v>41449</v>
      </c>
      <c r="B13515">
        <v>3.0245000000000002</v>
      </c>
      <c r="C13515" t="str">
        <f t="shared" si="215"/>
        <v>2013 q2</v>
      </c>
    </row>
    <row r="13516" spans="1:3">
      <c r="A13516" s="62">
        <v>41450</v>
      </c>
      <c r="B13516">
        <v>3.0731999999999999</v>
      </c>
      <c r="C13516" t="str">
        <f t="shared" si="215"/>
        <v>2013 q2</v>
      </c>
    </row>
    <row r="13517" spans="1:3">
      <c r="A13517" s="62">
        <v>41451</v>
      </c>
      <c r="B13517">
        <v>3.0407999999999999</v>
      </c>
      <c r="C13517" t="str">
        <f t="shared" si="215"/>
        <v>2013 q2</v>
      </c>
    </row>
    <row r="13518" spans="1:3">
      <c r="A13518" s="62">
        <v>41452</v>
      </c>
      <c r="B13518">
        <v>3.0567000000000002</v>
      </c>
      <c r="C13518" t="str">
        <f t="shared" si="215"/>
        <v>2013 q2</v>
      </c>
    </row>
    <row r="13519" spans="1:3">
      <c r="A13519" s="62">
        <v>41453</v>
      </c>
      <c r="B13519">
        <v>3.0560999999999998</v>
      </c>
      <c r="C13519" t="str">
        <f t="shared" si="215"/>
        <v>2013 q2</v>
      </c>
    </row>
    <row r="13520" spans="1:3">
      <c r="A13520" s="62">
        <v>41456</v>
      </c>
      <c r="B13520">
        <v>3.157</v>
      </c>
      <c r="C13520" t="str">
        <f t="shared" si="215"/>
        <v>2013 q3</v>
      </c>
    </row>
    <row r="13521" spans="1:3">
      <c r="A13521" s="62">
        <v>41457</v>
      </c>
      <c r="B13521">
        <v>3.1429999999999998</v>
      </c>
      <c r="C13521" t="str">
        <f t="shared" si="215"/>
        <v>2013 q3</v>
      </c>
    </row>
    <row r="13522" spans="1:3">
      <c r="A13522" s="62">
        <v>41458</v>
      </c>
      <c r="B13522">
        <v>3.1745000000000001</v>
      </c>
      <c r="C13522" t="str">
        <f t="shared" ref="C13522:C13585" si="216">YEAR(A13522)&amp;" q"&amp;ROUNDUP(MONTH(A13522)/3,0)</f>
        <v>2013 q3</v>
      </c>
    </row>
    <row r="13523" spans="1:3">
      <c r="A13523" s="62">
        <v>41460</v>
      </c>
      <c r="B13523">
        <v>3.0649999999999999</v>
      </c>
      <c r="C13523" t="str">
        <f t="shared" si="216"/>
        <v>2013 q3</v>
      </c>
    </row>
    <row r="13524" spans="1:3">
      <c r="A13524" s="62">
        <v>41463</v>
      </c>
      <c r="B13524">
        <v>3.0994999999999999</v>
      </c>
      <c r="C13524" t="str">
        <f t="shared" si="216"/>
        <v>2013 q3</v>
      </c>
    </row>
    <row r="13525" spans="1:3">
      <c r="A13525" s="62">
        <v>41464</v>
      </c>
      <c r="B13525">
        <v>3.0644999999999998</v>
      </c>
      <c r="C13525" t="str">
        <f t="shared" si="216"/>
        <v>2013 q3</v>
      </c>
    </row>
    <row r="13526" spans="1:3">
      <c r="A13526" s="62">
        <v>41465</v>
      </c>
      <c r="B13526">
        <v>3.0910000000000002</v>
      </c>
      <c r="C13526" t="str">
        <f t="shared" si="216"/>
        <v>2013 q3</v>
      </c>
    </row>
    <row r="13527" spans="1:3">
      <c r="A13527" s="62">
        <v>41466</v>
      </c>
      <c r="B13527">
        <v>3.1775000000000002</v>
      </c>
      <c r="C13527" t="str">
        <f t="shared" si="216"/>
        <v>2013 q3</v>
      </c>
    </row>
    <row r="13528" spans="1:3">
      <c r="A13528" s="62">
        <v>41467</v>
      </c>
      <c r="B13528">
        <v>3.1549999999999998</v>
      </c>
      <c r="C13528" t="str">
        <f t="shared" si="216"/>
        <v>2013 q3</v>
      </c>
    </row>
    <row r="13529" spans="1:3">
      <c r="A13529" s="62">
        <v>41470</v>
      </c>
      <c r="B13529">
        <v>3.1444999999999999</v>
      </c>
      <c r="C13529" t="str">
        <f t="shared" si="216"/>
        <v>2013 q3</v>
      </c>
    </row>
    <row r="13530" spans="1:3">
      <c r="A13530" s="62">
        <v>41471</v>
      </c>
      <c r="B13530">
        <v>3.1865000000000001</v>
      </c>
      <c r="C13530" t="str">
        <f t="shared" si="216"/>
        <v>2013 q3</v>
      </c>
    </row>
    <row r="13531" spans="1:3">
      <c r="A13531" s="62">
        <v>41472</v>
      </c>
      <c r="B13531">
        <v>3.1284999999999998</v>
      </c>
      <c r="C13531" t="str">
        <f t="shared" si="216"/>
        <v>2013 q3</v>
      </c>
    </row>
    <row r="13532" spans="1:3">
      <c r="A13532" s="62">
        <v>41473</v>
      </c>
      <c r="B13532">
        <v>3.1315</v>
      </c>
      <c r="C13532" t="str">
        <f t="shared" si="216"/>
        <v>2013 q3</v>
      </c>
    </row>
    <row r="13533" spans="1:3">
      <c r="A13533" s="62">
        <v>41474</v>
      </c>
      <c r="B13533">
        <v>3.14</v>
      </c>
      <c r="C13533" t="str">
        <f t="shared" si="216"/>
        <v>2013 q3</v>
      </c>
    </row>
    <row r="13534" spans="1:3">
      <c r="A13534" s="62">
        <v>41477</v>
      </c>
      <c r="B13534">
        <v>3.1850000000000001</v>
      </c>
      <c r="C13534" t="str">
        <f t="shared" si="216"/>
        <v>2013 q3</v>
      </c>
    </row>
    <row r="13535" spans="1:3">
      <c r="A13535" s="62">
        <v>41478</v>
      </c>
      <c r="B13535">
        <v>3.198</v>
      </c>
      <c r="C13535" t="str">
        <f t="shared" si="216"/>
        <v>2013 q3</v>
      </c>
    </row>
    <row r="13536" spans="1:3">
      <c r="A13536" s="62">
        <v>41479</v>
      </c>
      <c r="B13536">
        <v>3.1789999999999998</v>
      </c>
      <c r="C13536" t="str">
        <f t="shared" si="216"/>
        <v>2013 q3</v>
      </c>
    </row>
    <row r="13537" spans="1:3">
      <c r="A13537" s="62">
        <v>41480</v>
      </c>
      <c r="B13537">
        <v>3.1855000000000002</v>
      </c>
      <c r="C13537" t="str">
        <f t="shared" si="216"/>
        <v>2013 q3</v>
      </c>
    </row>
    <row r="13538" spans="1:3">
      <c r="A13538" s="62">
        <v>41481</v>
      </c>
      <c r="B13538">
        <v>3.1055000000000001</v>
      </c>
      <c r="C13538" t="str">
        <f t="shared" si="216"/>
        <v>2013 q3</v>
      </c>
    </row>
    <row r="13539" spans="1:3">
      <c r="A13539" s="62">
        <v>41484</v>
      </c>
      <c r="B13539">
        <v>3.1074999999999999</v>
      </c>
      <c r="C13539" t="str">
        <f t="shared" si="216"/>
        <v>2013 q3</v>
      </c>
    </row>
    <row r="13540" spans="1:3">
      <c r="A13540" s="62">
        <v>41485</v>
      </c>
      <c r="B13540">
        <v>3.0419999999999998</v>
      </c>
      <c r="C13540" t="str">
        <f t="shared" si="216"/>
        <v>2013 q3</v>
      </c>
    </row>
    <row r="13541" spans="1:3">
      <c r="A13541" s="62">
        <v>41486</v>
      </c>
      <c r="B13541">
        <v>3.1185</v>
      </c>
      <c r="C13541" t="str">
        <f t="shared" si="216"/>
        <v>2013 q3</v>
      </c>
    </row>
    <row r="13542" spans="1:3">
      <c r="A13542" s="62">
        <v>41487</v>
      </c>
      <c r="B13542">
        <v>3.1659999999999999</v>
      </c>
      <c r="C13542" t="str">
        <f t="shared" si="216"/>
        <v>2013 q3</v>
      </c>
    </row>
    <row r="13543" spans="1:3">
      <c r="A13543" s="62">
        <v>41488</v>
      </c>
      <c r="B13543">
        <v>3.1724999999999999</v>
      </c>
      <c r="C13543" t="str">
        <f t="shared" si="216"/>
        <v>2013 q3</v>
      </c>
    </row>
    <row r="13544" spans="1:3">
      <c r="A13544" s="62">
        <v>41491</v>
      </c>
      <c r="B13544">
        <v>3.1680000000000001</v>
      </c>
      <c r="C13544" t="str">
        <f t="shared" si="216"/>
        <v>2013 q3</v>
      </c>
    </row>
    <row r="13545" spans="1:3">
      <c r="A13545" s="62">
        <v>41492</v>
      </c>
      <c r="B13545">
        <v>3.173</v>
      </c>
      <c r="C13545" t="str">
        <f t="shared" si="216"/>
        <v>2013 q3</v>
      </c>
    </row>
    <row r="13546" spans="1:3">
      <c r="A13546" s="62">
        <v>41493</v>
      </c>
      <c r="B13546">
        <v>3.173</v>
      </c>
      <c r="C13546" t="str">
        <f t="shared" si="216"/>
        <v>2013 q3</v>
      </c>
    </row>
    <row r="13547" spans="1:3">
      <c r="A13547" s="62">
        <v>41494</v>
      </c>
      <c r="B13547">
        <v>3.2705000000000002</v>
      </c>
      <c r="C13547" t="str">
        <f t="shared" si="216"/>
        <v>2013 q3</v>
      </c>
    </row>
    <row r="13548" spans="1:3">
      <c r="A13548" s="62">
        <v>41495</v>
      </c>
      <c r="B13548">
        <v>3.3065000000000002</v>
      </c>
      <c r="C13548" t="str">
        <f t="shared" si="216"/>
        <v>2013 q3</v>
      </c>
    </row>
    <row r="13549" spans="1:3">
      <c r="A13549" s="62">
        <v>41498</v>
      </c>
      <c r="B13549">
        <v>3.3029999999999999</v>
      </c>
      <c r="C13549" t="str">
        <f t="shared" si="216"/>
        <v>2013 q3</v>
      </c>
    </row>
    <row r="13550" spans="1:3">
      <c r="A13550" s="62">
        <v>41499</v>
      </c>
      <c r="B13550">
        <v>3.3170000000000002</v>
      </c>
      <c r="C13550" t="str">
        <f t="shared" si="216"/>
        <v>2013 q3</v>
      </c>
    </row>
    <row r="13551" spans="1:3">
      <c r="A13551" s="62">
        <v>41500</v>
      </c>
      <c r="B13551">
        <v>3.34</v>
      </c>
      <c r="C13551" t="str">
        <f t="shared" si="216"/>
        <v>2013 q3</v>
      </c>
    </row>
    <row r="13552" spans="1:3">
      <c r="A13552" s="62">
        <v>41501</v>
      </c>
      <c r="B13552">
        <v>3.3374999999999999</v>
      </c>
      <c r="C13552" t="str">
        <f t="shared" si="216"/>
        <v>2013 q3</v>
      </c>
    </row>
    <row r="13553" spans="1:3">
      <c r="A13553" s="62">
        <v>41502</v>
      </c>
      <c r="B13553">
        <v>3.363</v>
      </c>
      <c r="C13553" t="str">
        <f t="shared" si="216"/>
        <v>2013 q3</v>
      </c>
    </row>
    <row r="13554" spans="1:3">
      <c r="A13554" s="62">
        <v>41505</v>
      </c>
      <c r="B13554">
        <v>3.3319999999999999</v>
      </c>
      <c r="C13554" t="str">
        <f t="shared" si="216"/>
        <v>2013 q3</v>
      </c>
    </row>
    <row r="13555" spans="1:3">
      <c r="A13555" s="62">
        <v>41506</v>
      </c>
      <c r="B13555">
        <v>3.3380000000000001</v>
      </c>
      <c r="C13555" t="str">
        <f t="shared" si="216"/>
        <v>2013 q3</v>
      </c>
    </row>
    <row r="13556" spans="1:3">
      <c r="A13556" s="62">
        <v>41507</v>
      </c>
      <c r="B13556">
        <v>3.3065000000000002</v>
      </c>
      <c r="C13556" t="str">
        <f t="shared" si="216"/>
        <v>2013 q3</v>
      </c>
    </row>
    <row r="13557" spans="1:3">
      <c r="A13557" s="62">
        <v>41508</v>
      </c>
      <c r="B13557">
        <v>3.33</v>
      </c>
      <c r="C13557" t="str">
        <f t="shared" si="216"/>
        <v>2013 q3</v>
      </c>
    </row>
    <row r="13558" spans="1:3">
      <c r="A13558" s="62">
        <v>41509</v>
      </c>
      <c r="B13558">
        <v>3.3485</v>
      </c>
      <c r="C13558" t="str">
        <f t="shared" si="216"/>
        <v>2013 q3</v>
      </c>
    </row>
    <row r="13559" spans="1:3">
      <c r="A13559" s="62">
        <v>41512</v>
      </c>
      <c r="B13559">
        <v>3.3195000000000001</v>
      </c>
      <c r="C13559" t="str">
        <f t="shared" si="216"/>
        <v>2013 q3</v>
      </c>
    </row>
    <row r="13560" spans="1:3">
      <c r="A13560" s="62">
        <v>41513</v>
      </c>
      <c r="B13560">
        <v>3.3298999999999999</v>
      </c>
      <c r="C13560" t="str">
        <f t="shared" si="216"/>
        <v>2013 q3</v>
      </c>
    </row>
    <row r="13561" spans="1:3">
      <c r="A13561" s="62">
        <v>41514</v>
      </c>
      <c r="B13561">
        <v>3.3052999999999999</v>
      </c>
      <c r="C13561" t="str">
        <f t="shared" si="216"/>
        <v>2013 q3</v>
      </c>
    </row>
    <row r="13562" spans="1:3">
      <c r="A13562" s="62">
        <v>41515</v>
      </c>
      <c r="B13562">
        <v>3.2538999999999998</v>
      </c>
      <c r="C13562" t="str">
        <f t="shared" si="216"/>
        <v>2013 q3</v>
      </c>
    </row>
    <row r="13563" spans="1:3">
      <c r="A13563" s="62">
        <v>41516</v>
      </c>
      <c r="B13563">
        <v>3.2313999999999998</v>
      </c>
      <c r="C13563" t="str">
        <f t="shared" si="216"/>
        <v>2013 q3</v>
      </c>
    </row>
    <row r="13564" spans="1:3">
      <c r="A13564" s="62">
        <v>41520</v>
      </c>
      <c r="B13564">
        <v>3.3045</v>
      </c>
      <c r="C13564" t="str">
        <f t="shared" si="216"/>
        <v>2013 q3</v>
      </c>
    </row>
    <row r="13565" spans="1:3">
      <c r="A13565" s="62">
        <v>41521</v>
      </c>
      <c r="B13565">
        <v>3.2410000000000001</v>
      </c>
      <c r="C13565" t="str">
        <f t="shared" si="216"/>
        <v>2013 q3</v>
      </c>
    </row>
    <row r="13566" spans="1:3">
      <c r="A13566" s="62">
        <v>41522</v>
      </c>
      <c r="B13566">
        <v>3.2440000000000002</v>
      </c>
      <c r="C13566" t="str">
        <f t="shared" si="216"/>
        <v>2013 q3</v>
      </c>
    </row>
    <row r="13567" spans="1:3">
      <c r="A13567" s="62">
        <v>41523</v>
      </c>
      <c r="B13567">
        <v>3.2614999999999998</v>
      </c>
      <c r="C13567" t="str">
        <f t="shared" si="216"/>
        <v>2013 q3</v>
      </c>
    </row>
    <row r="13568" spans="1:3">
      <c r="A13568" s="62">
        <v>41526</v>
      </c>
      <c r="B13568">
        <v>3.278</v>
      </c>
      <c r="C13568" t="str">
        <f t="shared" si="216"/>
        <v>2013 q3</v>
      </c>
    </row>
    <row r="13569" spans="1:3">
      <c r="A13569" s="62">
        <v>41527</v>
      </c>
      <c r="B13569">
        <v>3.2625000000000002</v>
      </c>
      <c r="C13569" t="str">
        <f t="shared" si="216"/>
        <v>2013 q3</v>
      </c>
    </row>
    <row r="13570" spans="1:3">
      <c r="A13570" s="62">
        <v>41528</v>
      </c>
      <c r="B13570">
        <v>3.2570000000000001</v>
      </c>
      <c r="C13570" t="str">
        <f t="shared" si="216"/>
        <v>2013 q3</v>
      </c>
    </row>
    <row r="13571" spans="1:3">
      <c r="A13571" s="62">
        <v>41529</v>
      </c>
      <c r="B13571">
        <v>3.21</v>
      </c>
      <c r="C13571" t="str">
        <f t="shared" si="216"/>
        <v>2013 q3</v>
      </c>
    </row>
    <row r="13572" spans="1:3">
      <c r="A13572" s="62">
        <v>41530</v>
      </c>
      <c r="B13572">
        <v>3.2035</v>
      </c>
      <c r="C13572" t="str">
        <f t="shared" si="216"/>
        <v>2013 q3</v>
      </c>
    </row>
    <row r="13573" spans="1:3">
      <c r="A13573" s="62">
        <v>41533</v>
      </c>
      <c r="B13573">
        <v>3.222</v>
      </c>
      <c r="C13573" t="str">
        <f t="shared" si="216"/>
        <v>2013 q3</v>
      </c>
    </row>
    <row r="13574" spans="1:3">
      <c r="A13574" s="62">
        <v>41534</v>
      </c>
      <c r="B13574">
        <v>3.2229999999999999</v>
      </c>
      <c r="C13574" t="str">
        <f t="shared" si="216"/>
        <v>2013 q3</v>
      </c>
    </row>
    <row r="13575" spans="1:3">
      <c r="A13575" s="62">
        <v>41535</v>
      </c>
      <c r="B13575">
        <v>3.2785000000000002</v>
      </c>
      <c r="C13575" t="str">
        <f t="shared" si="216"/>
        <v>2013 q3</v>
      </c>
    </row>
    <row r="13576" spans="1:3">
      <c r="A13576" s="62">
        <v>41536</v>
      </c>
      <c r="B13576">
        <v>3.347</v>
      </c>
      <c r="C13576" t="str">
        <f t="shared" si="216"/>
        <v>2013 q3</v>
      </c>
    </row>
    <row r="13577" spans="1:3">
      <c r="A13577" s="62">
        <v>41537</v>
      </c>
      <c r="B13577">
        <v>3.3205</v>
      </c>
      <c r="C13577" t="str">
        <f t="shared" si="216"/>
        <v>2013 q3</v>
      </c>
    </row>
    <row r="13578" spans="1:3">
      <c r="A13578" s="62">
        <v>41540</v>
      </c>
      <c r="B13578">
        <v>3.2985000000000002</v>
      </c>
      <c r="C13578" t="str">
        <f t="shared" si="216"/>
        <v>2013 q3</v>
      </c>
    </row>
    <row r="13579" spans="1:3">
      <c r="A13579" s="62">
        <v>41541</v>
      </c>
      <c r="B13579">
        <v>3.2565</v>
      </c>
      <c r="C13579" t="str">
        <f t="shared" si="216"/>
        <v>2013 q3</v>
      </c>
    </row>
    <row r="13580" spans="1:3">
      <c r="A13580" s="62">
        <v>41542</v>
      </c>
      <c r="B13580">
        <v>3.2719999999999998</v>
      </c>
      <c r="C13580" t="str">
        <f t="shared" si="216"/>
        <v>2013 q3</v>
      </c>
    </row>
    <row r="13581" spans="1:3">
      <c r="A13581" s="62">
        <v>41543</v>
      </c>
      <c r="B13581">
        <v>3.3069999999999999</v>
      </c>
      <c r="C13581" t="str">
        <f t="shared" si="216"/>
        <v>2013 q3</v>
      </c>
    </row>
    <row r="13582" spans="1:3">
      <c r="A13582" s="62">
        <v>41544</v>
      </c>
      <c r="B13582">
        <v>3.3294999999999999</v>
      </c>
      <c r="C13582" t="str">
        <f t="shared" si="216"/>
        <v>2013 q3</v>
      </c>
    </row>
    <row r="13583" spans="1:3">
      <c r="A13583" s="62">
        <v>41547</v>
      </c>
      <c r="B13583">
        <v>3.323</v>
      </c>
      <c r="C13583" t="str">
        <f t="shared" si="216"/>
        <v>2013 q3</v>
      </c>
    </row>
    <row r="13584" spans="1:3">
      <c r="A13584" s="62">
        <v>41548</v>
      </c>
      <c r="B13584">
        <v>3.274</v>
      </c>
      <c r="C13584" t="str">
        <f t="shared" si="216"/>
        <v>2013 q4</v>
      </c>
    </row>
    <row r="13585" spans="1:3">
      <c r="A13585" s="62">
        <v>41549</v>
      </c>
      <c r="B13585">
        <v>3.3159999999999998</v>
      </c>
      <c r="C13585" t="str">
        <f t="shared" si="216"/>
        <v>2013 q4</v>
      </c>
    </row>
    <row r="13586" spans="1:3">
      <c r="A13586" s="62">
        <v>41550</v>
      </c>
      <c r="B13586">
        <v>3.2685</v>
      </c>
      <c r="C13586" t="str">
        <f t="shared" ref="C13586:C13649" si="217">YEAR(A13586)&amp;" q"&amp;ROUNDUP(MONTH(A13586)/3,0)</f>
        <v>2013 q4</v>
      </c>
    </row>
    <row r="13587" spans="1:3">
      <c r="A13587" s="62">
        <v>41551</v>
      </c>
      <c r="B13587">
        <v>3.3010000000000002</v>
      </c>
      <c r="C13587" t="str">
        <f t="shared" si="217"/>
        <v>2013 q4</v>
      </c>
    </row>
    <row r="13588" spans="1:3">
      <c r="A13588" s="62">
        <v>41554</v>
      </c>
      <c r="B13588">
        <v>3.2965</v>
      </c>
      <c r="C13588" t="str">
        <f t="shared" si="217"/>
        <v>2013 q4</v>
      </c>
    </row>
    <row r="13589" spans="1:3">
      <c r="A13589" s="62">
        <v>41555</v>
      </c>
      <c r="B13589">
        <v>3.2925</v>
      </c>
      <c r="C13589" t="str">
        <f t="shared" si="217"/>
        <v>2013 q4</v>
      </c>
    </row>
    <row r="13590" spans="1:3">
      <c r="A13590" s="62">
        <v>41556</v>
      </c>
      <c r="B13590">
        <v>3.2309999999999999</v>
      </c>
      <c r="C13590" t="str">
        <f t="shared" si="217"/>
        <v>2013 q4</v>
      </c>
    </row>
    <row r="13591" spans="1:3">
      <c r="A13591" s="62">
        <v>41557</v>
      </c>
      <c r="B13591">
        <v>3.2484999999999999</v>
      </c>
      <c r="C13591" t="str">
        <f t="shared" si="217"/>
        <v>2013 q4</v>
      </c>
    </row>
    <row r="13592" spans="1:3">
      <c r="A13592" s="62">
        <v>41558</v>
      </c>
      <c r="B13592">
        <v>3.2690000000000001</v>
      </c>
      <c r="C13592" t="str">
        <f t="shared" si="217"/>
        <v>2013 q4</v>
      </c>
    </row>
    <row r="13593" spans="1:3">
      <c r="A13593" s="62">
        <v>41561</v>
      </c>
      <c r="B13593">
        <v>3.3029999999999999</v>
      </c>
      <c r="C13593" t="str">
        <f t="shared" si="217"/>
        <v>2013 q4</v>
      </c>
    </row>
    <row r="13594" spans="1:3">
      <c r="A13594" s="62">
        <v>41562</v>
      </c>
      <c r="B13594">
        <v>3.3075000000000001</v>
      </c>
      <c r="C13594" t="str">
        <f t="shared" si="217"/>
        <v>2013 q4</v>
      </c>
    </row>
    <row r="13595" spans="1:3">
      <c r="A13595" s="62">
        <v>41563</v>
      </c>
      <c r="B13595">
        <v>3.3079999999999998</v>
      </c>
      <c r="C13595" t="str">
        <f t="shared" si="217"/>
        <v>2013 q4</v>
      </c>
    </row>
    <row r="13596" spans="1:3">
      <c r="A13596" s="62">
        <v>41564</v>
      </c>
      <c r="B13596">
        <v>3.2970000000000002</v>
      </c>
      <c r="C13596" t="str">
        <f t="shared" si="217"/>
        <v>2013 q4</v>
      </c>
    </row>
    <row r="13597" spans="1:3">
      <c r="A13597" s="62">
        <v>41565</v>
      </c>
      <c r="B13597">
        <v>3.2989999999999999</v>
      </c>
      <c r="C13597" t="str">
        <f t="shared" si="217"/>
        <v>2013 q4</v>
      </c>
    </row>
    <row r="13598" spans="1:3">
      <c r="A13598" s="62">
        <v>41568</v>
      </c>
      <c r="B13598">
        <v>3.3035000000000001</v>
      </c>
      <c r="C13598" t="str">
        <f t="shared" si="217"/>
        <v>2013 q4</v>
      </c>
    </row>
    <row r="13599" spans="1:3">
      <c r="A13599" s="62">
        <v>41569</v>
      </c>
      <c r="B13599">
        <v>3.3355000000000001</v>
      </c>
      <c r="C13599" t="str">
        <f t="shared" si="217"/>
        <v>2013 q4</v>
      </c>
    </row>
    <row r="13600" spans="1:3">
      <c r="A13600" s="62">
        <v>41570</v>
      </c>
      <c r="B13600">
        <v>3.2675000000000001</v>
      </c>
      <c r="C13600" t="str">
        <f t="shared" si="217"/>
        <v>2013 q4</v>
      </c>
    </row>
    <row r="13601" spans="1:3">
      <c r="A13601" s="62">
        <v>41571</v>
      </c>
      <c r="B13601">
        <v>3.2635000000000001</v>
      </c>
      <c r="C13601" t="str">
        <f t="shared" si="217"/>
        <v>2013 q4</v>
      </c>
    </row>
    <row r="13602" spans="1:3">
      <c r="A13602" s="62">
        <v>41572</v>
      </c>
      <c r="B13602">
        <v>3.2690000000000001</v>
      </c>
      <c r="C13602" t="str">
        <f t="shared" si="217"/>
        <v>2013 q4</v>
      </c>
    </row>
    <row r="13603" spans="1:3">
      <c r="A13603" s="62">
        <v>41575</v>
      </c>
      <c r="B13603">
        <v>3.2690000000000001</v>
      </c>
      <c r="C13603" t="str">
        <f t="shared" si="217"/>
        <v>2013 q4</v>
      </c>
    </row>
    <row r="13604" spans="1:3">
      <c r="A13604" s="62">
        <v>41576</v>
      </c>
      <c r="B13604">
        <v>3.278</v>
      </c>
      <c r="C13604" t="str">
        <f t="shared" si="217"/>
        <v>2013 q4</v>
      </c>
    </row>
    <row r="13605" spans="1:3">
      <c r="A13605" s="62">
        <v>41577</v>
      </c>
      <c r="B13605">
        <v>3.3254999999999999</v>
      </c>
      <c r="C13605" t="str">
        <f t="shared" si="217"/>
        <v>2013 q4</v>
      </c>
    </row>
    <row r="13606" spans="1:3">
      <c r="A13606" s="62">
        <v>41578</v>
      </c>
      <c r="B13606">
        <v>3.3005</v>
      </c>
      <c r="C13606" t="str">
        <f t="shared" si="217"/>
        <v>2013 q4</v>
      </c>
    </row>
    <row r="13607" spans="1:3">
      <c r="A13607" s="62">
        <v>41579</v>
      </c>
      <c r="B13607">
        <v>3.2985000000000002</v>
      </c>
      <c r="C13607" t="str">
        <f t="shared" si="217"/>
        <v>2013 q4</v>
      </c>
    </row>
    <row r="13608" spans="1:3">
      <c r="A13608" s="62">
        <v>41582</v>
      </c>
      <c r="B13608">
        <v>3.2530000000000001</v>
      </c>
      <c r="C13608" t="str">
        <f t="shared" si="217"/>
        <v>2013 q4</v>
      </c>
    </row>
    <row r="13609" spans="1:3">
      <c r="A13609" s="62">
        <v>41583</v>
      </c>
      <c r="B13609">
        <v>3.2585000000000002</v>
      </c>
      <c r="C13609" t="str">
        <f t="shared" si="217"/>
        <v>2013 q4</v>
      </c>
    </row>
    <row r="13610" spans="1:3">
      <c r="A13610" s="62">
        <v>41584</v>
      </c>
      <c r="B13610">
        <v>3.2370000000000001</v>
      </c>
      <c r="C13610" t="str">
        <f t="shared" si="217"/>
        <v>2013 q4</v>
      </c>
    </row>
    <row r="13611" spans="1:3">
      <c r="A13611" s="62">
        <v>41585</v>
      </c>
      <c r="B13611">
        <v>3.2484999999999999</v>
      </c>
      <c r="C13611" t="str">
        <f t="shared" si="217"/>
        <v>2013 q4</v>
      </c>
    </row>
    <row r="13612" spans="1:3">
      <c r="A13612" s="62">
        <v>41586</v>
      </c>
      <c r="B13612">
        <v>3.254</v>
      </c>
      <c r="C13612" t="str">
        <f t="shared" si="217"/>
        <v>2013 q4</v>
      </c>
    </row>
    <row r="13613" spans="1:3">
      <c r="A13613" s="62">
        <v>41589</v>
      </c>
      <c r="B13613">
        <v>3.2595000000000001</v>
      </c>
      <c r="C13613" t="str">
        <f t="shared" si="217"/>
        <v>2013 q4</v>
      </c>
    </row>
    <row r="13614" spans="1:3">
      <c r="A13614" s="62">
        <v>41590</v>
      </c>
      <c r="B13614">
        <v>3.234</v>
      </c>
      <c r="C13614" t="str">
        <f t="shared" si="217"/>
        <v>2013 q4</v>
      </c>
    </row>
    <row r="13615" spans="1:3">
      <c r="A13615" s="62">
        <v>41591</v>
      </c>
      <c r="B13615">
        <v>3.1595</v>
      </c>
      <c r="C13615" t="str">
        <f t="shared" si="217"/>
        <v>2013 q4</v>
      </c>
    </row>
    <row r="13616" spans="1:3">
      <c r="A13616" s="62">
        <v>41592</v>
      </c>
      <c r="B13616">
        <v>3.1604999999999999</v>
      </c>
      <c r="C13616" t="str">
        <f t="shared" si="217"/>
        <v>2013 q4</v>
      </c>
    </row>
    <row r="13617" spans="1:3">
      <c r="A13617" s="62">
        <v>41593</v>
      </c>
      <c r="B13617">
        <v>3.1709999999999998</v>
      </c>
      <c r="C13617" t="str">
        <f t="shared" si="217"/>
        <v>2013 q4</v>
      </c>
    </row>
    <row r="13618" spans="1:3">
      <c r="A13618" s="62">
        <v>41596</v>
      </c>
      <c r="B13618">
        <v>3.1495000000000002</v>
      </c>
      <c r="C13618" t="str">
        <f t="shared" si="217"/>
        <v>2013 q4</v>
      </c>
    </row>
    <row r="13619" spans="1:3">
      <c r="A13619" s="62">
        <v>41597</v>
      </c>
      <c r="B13619">
        <v>3.1575000000000002</v>
      </c>
      <c r="C13619" t="str">
        <f t="shared" si="217"/>
        <v>2013 q4</v>
      </c>
    </row>
    <row r="13620" spans="1:3">
      <c r="A13620" s="62">
        <v>41598</v>
      </c>
      <c r="B13620">
        <v>3.1595</v>
      </c>
      <c r="C13620" t="str">
        <f t="shared" si="217"/>
        <v>2013 q4</v>
      </c>
    </row>
    <row r="13621" spans="1:3">
      <c r="A13621" s="62">
        <v>41599</v>
      </c>
      <c r="B13621">
        <v>3.1915</v>
      </c>
      <c r="C13621" t="str">
        <f t="shared" si="217"/>
        <v>2013 q4</v>
      </c>
    </row>
    <row r="13622" spans="1:3">
      <c r="A13622" s="62">
        <v>41600</v>
      </c>
      <c r="B13622">
        <v>3.214</v>
      </c>
      <c r="C13622" t="str">
        <f t="shared" si="217"/>
        <v>2013 q4</v>
      </c>
    </row>
    <row r="13623" spans="1:3">
      <c r="A13623" s="62">
        <v>41603</v>
      </c>
      <c r="B13623">
        <v>3.2256999999999998</v>
      </c>
      <c r="C13623" t="str">
        <f t="shared" si="217"/>
        <v>2013 q4</v>
      </c>
    </row>
    <row r="13624" spans="1:3">
      <c r="A13624" s="62">
        <v>41604</v>
      </c>
      <c r="B13624">
        <v>3.2155999999999998</v>
      </c>
      <c r="C13624" t="str">
        <f t="shared" si="217"/>
        <v>2013 q4</v>
      </c>
    </row>
    <row r="13625" spans="1:3">
      <c r="A13625" s="62">
        <v>41605</v>
      </c>
      <c r="B13625">
        <v>3.1972</v>
      </c>
      <c r="C13625" t="str">
        <f t="shared" si="217"/>
        <v>2013 q4</v>
      </c>
    </row>
    <row r="13626" spans="1:3">
      <c r="A13626" s="62">
        <v>41607</v>
      </c>
      <c r="B13626">
        <v>3.2237</v>
      </c>
      <c r="C13626" t="str">
        <f t="shared" si="217"/>
        <v>2013 q4</v>
      </c>
    </row>
    <row r="13627" spans="1:3">
      <c r="A13627" s="62">
        <v>41610</v>
      </c>
      <c r="B13627">
        <v>3.2025000000000001</v>
      </c>
      <c r="C13627" t="str">
        <f t="shared" si="217"/>
        <v>2013 q4</v>
      </c>
    </row>
    <row r="13628" spans="1:3">
      <c r="A13628" s="62">
        <v>41611</v>
      </c>
      <c r="B13628">
        <v>3.1970000000000001</v>
      </c>
      <c r="C13628" t="str">
        <f t="shared" si="217"/>
        <v>2013 q4</v>
      </c>
    </row>
    <row r="13629" spans="1:3">
      <c r="A13629" s="62">
        <v>41612</v>
      </c>
      <c r="B13629">
        <v>3.2629999999999999</v>
      </c>
      <c r="C13629" t="str">
        <f t="shared" si="217"/>
        <v>2013 q4</v>
      </c>
    </row>
    <row r="13630" spans="1:3">
      <c r="A13630" s="62">
        <v>41613</v>
      </c>
      <c r="B13630">
        <v>3.2465000000000002</v>
      </c>
      <c r="C13630" t="str">
        <f t="shared" si="217"/>
        <v>2013 q4</v>
      </c>
    </row>
    <row r="13631" spans="1:3">
      <c r="A13631" s="62">
        <v>41614</v>
      </c>
      <c r="B13631">
        <v>3.2625000000000002</v>
      </c>
      <c r="C13631" t="str">
        <f t="shared" si="217"/>
        <v>2013 q4</v>
      </c>
    </row>
    <row r="13632" spans="1:3">
      <c r="A13632" s="62">
        <v>41617</v>
      </c>
      <c r="B13632">
        <v>3.2805</v>
      </c>
      <c r="C13632" t="str">
        <f t="shared" si="217"/>
        <v>2013 q4</v>
      </c>
    </row>
    <row r="13633" spans="1:3">
      <c r="A13633" s="62">
        <v>41618</v>
      </c>
      <c r="B13633">
        <v>3.2865000000000002</v>
      </c>
      <c r="C13633" t="str">
        <f t="shared" si="217"/>
        <v>2013 q4</v>
      </c>
    </row>
    <row r="13634" spans="1:3">
      <c r="A13634" s="62">
        <v>41619</v>
      </c>
      <c r="B13634">
        <v>3.3174999999999999</v>
      </c>
      <c r="C13634" t="str">
        <f t="shared" si="217"/>
        <v>2013 q4</v>
      </c>
    </row>
    <row r="13635" spans="1:3">
      <c r="A13635" s="62">
        <v>41620</v>
      </c>
      <c r="B13635">
        <v>3.3140000000000001</v>
      </c>
      <c r="C13635" t="str">
        <f t="shared" si="217"/>
        <v>2013 q4</v>
      </c>
    </row>
    <row r="13636" spans="1:3">
      <c r="A13636" s="62">
        <v>41621</v>
      </c>
      <c r="B13636">
        <v>3.3340000000000001</v>
      </c>
      <c r="C13636" t="str">
        <f t="shared" si="217"/>
        <v>2013 q4</v>
      </c>
    </row>
    <row r="13637" spans="1:3">
      <c r="A13637" s="62">
        <v>41624</v>
      </c>
      <c r="B13637">
        <v>3.3565</v>
      </c>
      <c r="C13637" t="str">
        <f t="shared" si="217"/>
        <v>2013 q4</v>
      </c>
    </row>
    <row r="13638" spans="1:3">
      <c r="A13638" s="62">
        <v>41625</v>
      </c>
      <c r="B13638">
        <v>3.3475000000000001</v>
      </c>
      <c r="C13638" t="str">
        <f t="shared" si="217"/>
        <v>2013 q4</v>
      </c>
    </row>
    <row r="13639" spans="1:3">
      <c r="A13639" s="62">
        <v>41626</v>
      </c>
      <c r="B13639">
        <v>3.34</v>
      </c>
      <c r="C13639" t="str">
        <f t="shared" si="217"/>
        <v>2013 q4</v>
      </c>
    </row>
    <row r="13640" spans="1:3">
      <c r="A13640" s="62">
        <v>41627</v>
      </c>
      <c r="B13640">
        <v>3.3174999999999999</v>
      </c>
      <c r="C13640" t="str">
        <f t="shared" si="217"/>
        <v>2013 q4</v>
      </c>
    </row>
    <row r="13641" spans="1:3">
      <c r="A13641" s="62">
        <v>41628</v>
      </c>
      <c r="B13641">
        <v>3.3260000000000001</v>
      </c>
      <c r="C13641" t="str">
        <f t="shared" si="217"/>
        <v>2013 q4</v>
      </c>
    </row>
    <row r="13642" spans="1:3">
      <c r="A13642" s="62">
        <v>41631</v>
      </c>
      <c r="B13642">
        <v>3.3319999999999999</v>
      </c>
      <c r="C13642" t="str">
        <f t="shared" si="217"/>
        <v>2013 q4</v>
      </c>
    </row>
    <row r="13643" spans="1:3">
      <c r="A13643" s="62">
        <v>41632</v>
      </c>
      <c r="B13643">
        <v>3.3980000000000001</v>
      </c>
      <c r="C13643" t="str">
        <f t="shared" si="217"/>
        <v>2013 q4</v>
      </c>
    </row>
    <row r="13644" spans="1:3">
      <c r="A13644" s="62">
        <v>41634</v>
      </c>
      <c r="B13644">
        <v>3.4205000000000001</v>
      </c>
      <c r="C13644" t="str">
        <f t="shared" si="217"/>
        <v>2013 q4</v>
      </c>
    </row>
    <row r="13645" spans="1:3">
      <c r="A13645" s="62">
        <v>41635</v>
      </c>
      <c r="B13645">
        <v>3.4060000000000001</v>
      </c>
      <c r="C13645" t="str">
        <f t="shared" si="217"/>
        <v>2013 q4</v>
      </c>
    </row>
    <row r="13646" spans="1:3">
      <c r="A13646" s="62">
        <v>41638</v>
      </c>
      <c r="B13646">
        <v>3.3976999999999999</v>
      </c>
      <c r="C13646" t="str">
        <f t="shared" si="217"/>
        <v>2013 q4</v>
      </c>
    </row>
    <row r="13647" spans="1:3">
      <c r="A13647" s="62">
        <v>41639</v>
      </c>
      <c r="B13647">
        <v>3.4055</v>
      </c>
      <c r="C13647" t="str">
        <f t="shared" si="217"/>
        <v>2013 q4</v>
      </c>
    </row>
    <row r="13648" spans="1:3">
      <c r="A13648" s="62">
        <v>41641</v>
      </c>
      <c r="B13648">
        <v>3.3815</v>
      </c>
      <c r="C13648" t="str">
        <f t="shared" si="217"/>
        <v>2014 q1</v>
      </c>
    </row>
    <row r="13649" spans="1:3">
      <c r="A13649" s="62">
        <v>41642</v>
      </c>
      <c r="B13649">
        <v>3.355</v>
      </c>
      <c r="C13649" t="str">
        <f t="shared" si="217"/>
        <v>2014 q1</v>
      </c>
    </row>
    <row r="13650" spans="1:3">
      <c r="A13650" s="62">
        <v>41645</v>
      </c>
      <c r="B13650">
        <v>3.3595000000000002</v>
      </c>
      <c r="C13650" t="str">
        <f t="shared" ref="C13650:C13713" si="218">YEAR(A13650)&amp;" q"&amp;ROUNDUP(MONTH(A13650)/3,0)</f>
        <v>2014 q1</v>
      </c>
    </row>
    <row r="13651" spans="1:3">
      <c r="A13651" s="62">
        <v>41646</v>
      </c>
      <c r="B13651">
        <v>3.3595000000000002</v>
      </c>
      <c r="C13651" t="str">
        <f t="shared" si="218"/>
        <v>2014 q1</v>
      </c>
    </row>
    <row r="13652" spans="1:3">
      <c r="A13652" s="62">
        <v>41647</v>
      </c>
      <c r="B13652">
        <v>3.3424999999999998</v>
      </c>
      <c r="C13652" t="str">
        <f t="shared" si="218"/>
        <v>2014 q1</v>
      </c>
    </row>
    <row r="13653" spans="1:3">
      <c r="A13653" s="62">
        <v>41648</v>
      </c>
      <c r="B13653">
        <v>3.2989999999999999</v>
      </c>
      <c r="C13653" t="str">
        <f t="shared" si="218"/>
        <v>2014 q1</v>
      </c>
    </row>
    <row r="13654" spans="1:3">
      <c r="A13654" s="62">
        <v>41649</v>
      </c>
      <c r="B13654">
        <v>3.3414999999999999</v>
      </c>
      <c r="C13654" t="str">
        <f t="shared" si="218"/>
        <v>2014 q1</v>
      </c>
    </row>
    <row r="13655" spans="1:3">
      <c r="A13655" s="62">
        <v>41652</v>
      </c>
      <c r="B13655">
        <v>3.3464999999999998</v>
      </c>
      <c r="C13655" t="str">
        <f t="shared" si="218"/>
        <v>2014 q1</v>
      </c>
    </row>
    <row r="13656" spans="1:3">
      <c r="A13656" s="62">
        <v>41653</v>
      </c>
      <c r="B13656">
        <v>3.3359999999999999</v>
      </c>
      <c r="C13656" t="str">
        <f t="shared" si="218"/>
        <v>2014 q1</v>
      </c>
    </row>
    <row r="13657" spans="1:3">
      <c r="A13657" s="62">
        <v>41654</v>
      </c>
      <c r="B13657">
        <v>3.3580000000000001</v>
      </c>
      <c r="C13657" t="str">
        <f t="shared" si="218"/>
        <v>2014 q1</v>
      </c>
    </row>
    <row r="13658" spans="1:3">
      <c r="A13658" s="62">
        <v>41655</v>
      </c>
      <c r="B13658">
        <v>3.3424999999999998</v>
      </c>
      <c r="C13658" t="str">
        <f t="shared" si="218"/>
        <v>2014 q1</v>
      </c>
    </row>
    <row r="13659" spans="1:3">
      <c r="A13659" s="62">
        <v>41656</v>
      </c>
      <c r="B13659">
        <v>3.3445</v>
      </c>
      <c r="C13659" t="str">
        <f t="shared" si="218"/>
        <v>2014 q1</v>
      </c>
    </row>
    <row r="13660" spans="1:3">
      <c r="A13660" s="62">
        <v>41660</v>
      </c>
      <c r="B13660">
        <v>3.351</v>
      </c>
      <c r="C13660" t="str">
        <f t="shared" si="218"/>
        <v>2014 q1</v>
      </c>
    </row>
    <row r="13661" spans="1:3">
      <c r="A13661" s="62">
        <v>41661</v>
      </c>
      <c r="B13661">
        <v>3.3370000000000002</v>
      </c>
      <c r="C13661" t="str">
        <f t="shared" si="218"/>
        <v>2014 q1</v>
      </c>
    </row>
    <row r="13662" spans="1:3">
      <c r="A13662" s="62">
        <v>41662</v>
      </c>
      <c r="B13662">
        <v>3.2854999999999999</v>
      </c>
      <c r="C13662" t="str">
        <f t="shared" si="218"/>
        <v>2014 q1</v>
      </c>
    </row>
    <row r="13663" spans="1:3">
      <c r="A13663" s="62">
        <v>41663</v>
      </c>
      <c r="B13663">
        <v>3.2715000000000001</v>
      </c>
      <c r="C13663" t="str">
        <f t="shared" si="218"/>
        <v>2014 q1</v>
      </c>
    </row>
    <row r="13664" spans="1:3">
      <c r="A13664" s="62">
        <v>41666</v>
      </c>
      <c r="B13664">
        <v>3.2589999999999999</v>
      </c>
      <c r="C13664" t="str">
        <f t="shared" si="218"/>
        <v>2014 q1</v>
      </c>
    </row>
    <row r="13665" spans="1:3">
      <c r="A13665" s="62">
        <v>41667</v>
      </c>
      <c r="B13665">
        <v>3.2530000000000001</v>
      </c>
      <c r="C13665" t="str">
        <f t="shared" si="218"/>
        <v>2014 q1</v>
      </c>
    </row>
    <row r="13666" spans="1:3">
      <c r="A13666" s="62">
        <v>41668</v>
      </c>
      <c r="B13666">
        <v>3.2404999999999999</v>
      </c>
      <c r="C13666" t="str">
        <f t="shared" si="218"/>
        <v>2014 q1</v>
      </c>
    </row>
    <row r="13667" spans="1:3">
      <c r="A13667" s="62">
        <v>41669</v>
      </c>
      <c r="B13667">
        <v>3.2265000000000001</v>
      </c>
      <c r="C13667" t="str">
        <f t="shared" si="218"/>
        <v>2014 q1</v>
      </c>
    </row>
    <row r="13668" spans="1:3">
      <c r="A13668" s="62">
        <v>41670</v>
      </c>
      <c r="B13668">
        <v>3.1970000000000001</v>
      </c>
      <c r="C13668" t="str">
        <f t="shared" si="218"/>
        <v>2014 q1</v>
      </c>
    </row>
    <row r="13669" spans="1:3">
      <c r="A13669" s="62">
        <v>41673</v>
      </c>
      <c r="B13669">
        <v>3.1835</v>
      </c>
      <c r="C13669" t="str">
        <f t="shared" si="218"/>
        <v>2014 q1</v>
      </c>
    </row>
    <row r="13670" spans="1:3">
      <c r="A13670" s="62">
        <v>41674</v>
      </c>
      <c r="B13670">
        <v>3.1920000000000002</v>
      </c>
      <c r="C13670" t="str">
        <f t="shared" si="218"/>
        <v>2014 q1</v>
      </c>
    </row>
    <row r="13671" spans="1:3">
      <c r="A13671" s="62">
        <v>41675</v>
      </c>
      <c r="B13671">
        <v>3.1884999999999999</v>
      </c>
      <c r="C13671" t="str">
        <f t="shared" si="218"/>
        <v>2014 q1</v>
      </c>
    </row>
    <row r="13672" spans="1:3">
      <c r="A13672" s="62">
        <v>41676</v>
      </c>
      <c r="B13672">
        <v>3.2290000000000001</v>
      </c>
      <c r="C13672" t="str">
        <f t="shared" si="218"/>
        <v>2014 q1</v>
      </c>
    </row>
    <row r="13673" spans="1:3">
      <c r="A13673" s="62">
        <v>41677</v>
      </c>
      <c r="B13673">
        <v>3.2360000000000002</v>
      </c>
      <c r="C13673" t="str">
        <f t="shared" si="218"/>
        <v>2014 q1</v>
      </c>
    </row>
    <row r="13674" spans="1:3">
      <c r="A13674" s="62">
        <v>41680</v>
      </c>
      <c r="B13674">
        <v>3.2244999999999999</v>
      </c>
      <c r="C13674" t="str">
        <f t="shared" si="218"/>
        <v>2014 q1</v>
      </c>
    </row>
    <row r="13675" spans="1:3">
      <c r="A13675" s="62">
        <v>41681</v>
      </c>
      <c r="B13675">
        <v>3.2149999999999999</v>
      </c>
      <c r="C13675" t="str">
        <f t="shared" si="218"/>
        <v>2014 q1</v>
      </c>
    </row>
    <row r="13676" spans="1:3">
      <c r="A13676" s="62">
        <v>41682</v>
      </c>
      <c r="B13676">
        <v>3.2559999999999998</v>
      </c>
      <c r="C13676" t="str">
        <f t="shared" si="218"/>
        <v>2014 q1</v>
      </c>
    </row>
    <row r="13677" spans="1:3">
      <c r="A13677" s="62">
        <v>41683</v>
      </c>
      <c r="B13677">
        <v>3.25</v>
      </c>
      <c r="C13677" t="str">
        <f t="shared" si="218"/>
        <v>2014 q1</v>
      </c>
    </row>
    <row r="13678" spans="1:3">
      <c r="A13678" s="62">
        <v>41684</v>
      </c>
      <c r="B13678">
        <v>3.2645</v>
      </c>
      <c r="C13678" t="str">
        <f t="shared" si="218"/>
        <v>2014 q1</v>
      </c>
    </row>
    <row r="13679" spans="1:3">
      <c r="A13679" s="62">
        <v>41688</v>
      </c>
      <c r="B13679">
        <v>3.2854999999999999</v>
      </c>
      <c r="C13679" t="str">
        <f t="shared" si="218"/>
        <v>2014 q1</v>
      </c>
    </row>
    <row r="13680" spans="1:3">
      <c r="A13680" s="62">
        <v>41689</v>
      </c>
      <c r="B13680">
        <v>3.2854999999999999</v>
      </c>
      <c r="C13680" t="str">
        <f t="shared" si="218"/>
        <v>2014 q1</v>
      </c>
    </row>
    <row r="13681" spans="1:3">
      <c r="A13681" s="62">
        <v>41690</v>
      </c>
      <c r="B13681">
        <v>3.2789999999999999</v>
      </c>
      <c r="C13681" t="str">
        <f t="shared" si="218"/>
        <v>2014 q1</v>
      </c>
    </row>
    <row r="13682" spans="1:3">
      <c r="A13682" s="62">
        <v>41691</v>
      </c>
      <c r="B13682">
        <v>3.2909999999999999</v>
      </c>
      <c r="C13682" t="str">
        <f t="shared" si="218"/>
        <v>2014 q1</v>
      </c>
    </row>
    <row r="13683" spans="1:3">
      <c r="A13683" s="62">
        <v>41694</v>
      </c>
      <c r="B13683">
        <v>3.27</v>
      </c>
      <c r="C13683" t="str">
        <f t="shared" si="218"/>
        <v>2014 q1</v>
      </c>
    </row>
    <row r="13684" spans="1:3">
      <c r="A13684" s="62">
        <v>41695</v>
      </c>
      <c r="B13684">
        <v>3.2522000000000002</v>
      </c>
      <c r="C13684" t="str">
        <f t="shared" si="218"/>
        <v>2014 q1</v>
      </c>
    </row>
    <row r="13685" spans="1:3">
      <c r="A13685" s="62">
        <v>41696</v>
      </c>
      <c r="B13685">
        <v>3.2328999999999999</v>
      </c>
      <c r="C13685" t="str">
        <f t="shared" si="218"/>
        <v>2014 q1</v>
      </c>
    </row>
    <row r="13686" spans="1:3">
      <c r="A13686" s="62">
        <v>41697</v>
      </c>
      <c r="B13686">
        <v>3.2151999999999998</v>
      </c>
      <c r="C13686" t="str">
        <f t="shared" si="218"/>
        <v>2014 q1</v>
      </c>
    </row>
    <row r="13687" spans="1:3">
      <c r="A13687" s="62">
        <v>41698</v>
      </c>
      <c r="B13687">
        <v>3.1977000000000002</v>
      </c>
      <c r="C13687" t="str">
        <f t="shared" si="218"/>
        <v>2014 q1</v>
      </c>
    </row>
    <row r="13688" spans="1:3">
      <c r="A13688" s="62">
        <v>41701</v>
      </c>
      <c r="B13688">
        <v>3.1720000000000002</v>
      </c>
      <c r="C13688" t="str">
        <f t="shared" si="218"/>
        <v>2014 q1</v>
      </c>
    </row>
    <row r="13689" spans="1:3">
      <c r="A13689" s="62">
        <v>41702</v>
      </c>
      <c r="B13689">
        <v>3.2145000000000001</v>
      </c>
      <c r="C13689" t="str">
        <f t="shared" si="218"/>
        <v>2014 q1</v>
      </c>
    </row>
    <row r="13690" spans="1:3">
      <c r="A13690" s="62">
        <v>41704</v>
      </c>
      <c r="B13690">
        <v>3.218</v>
      </c>
      <c r="C13690" t="str">
        <f t="shared" si="218"/>
        <v>2014 q1</v>
      </c>
    </row>
    <row r="13691" spans="1:3">
      <c r="A13691" s="62">
        <v>41705</v>
      </c>
      <c r="B13691">
        <v>3.0825</v>
      </c>
      <c r="C13691" t="str">
        <f t="shared" si="218"/>
        <v>2014 q1</v>
      </c>
    </row>
    <row r="13692" spans="1:3">
      <c r="A13692" s="62">
        <v>41708</v>
      </c>
      <c r="B13692">
        <v>3.0314999999999999</v>
      </c>
      <c r="C13692" t="str">
        <f t="shared" si="218"/>
        <v>2014 q1</v>
      </c>
    </row>
    <row r="13693" spans="1:3">
      <c r="A13693" s="62">
        <v>41709</v>
      </c>
      <c r="B13693">
        <v>2.952</v>
      </c>
      <c r="C13693" t="str">
        <f t="shared" si="218"/>
        <v>2014 q1</v>
      </c>
    </row>
    <row r="13694" spans="1:3">
      <c r="A13694" s="62">
        <v>41710</v>
      </c>
      <c r="B13694">
        <v>2.9620000000000002</v>
      </c>
      <c r="C13694" t="str">
        <f t="shared" si="218"/>
        <v>2014 q1</v>
      </c>
    </row>
    <row r="13695" spans="1:3">
      <c r="A13695" s="62">
        <v>41711</v>
      </c>
      <c r="B13695">
        <v>2.923</v>
      </c>
      <c r="C13695" t="str">
        <f t="shared" si="218"/>
        <v>2014 q1</v>
      </c>
    </row>
    <row r="13696" spans="1:3">
      <c r="A13696" s="62">
        <v>41712</v>
      </c>
      <c r="B13696">
        <v>2.9504999999999999</v>
      </c>
      <c r="C13696" t="str">
        <f t="shared" si="218"/>
        <v>2014 q1</v>
      </c>
    </row>
    <row r="13697" spans="1:3">
      <c r="A13697" s="62">
        <v>41715</v>
      </c>
      <c r="B13697">
        <v>2.952</v>
      </c>
      <c r="C13697" t="str">
        <f t="shared" si="218"/>
        <v>2014 q1</v>
      </c>
    </row>
    <row r="13698" spans="1:3">
      <c r="A13698" s="62">
        <v>41716</v>
      </c>
      <c r="B13698">
        <v>2.9514999999999998</v>
      </c>
      <c r="C13698" t="str">
        <f t="shared" si="218"/>
        <v>2014 q1</v>
      </c>
    </row>
    <row r="13699" spans="1:3">
      <c r="A13699" s="62">
        <v>41717</v>
      </c>
      <c r="B13699">
        <v>2.9870000000000001</v>
      </c>
      <c r="C13699" t="str">
        <f t="shared" si="218"/>
        <v>2014 q1</v>
      </c>
    </row>
    <row r="13700" spans="1:3">
      <c r="A13700" s="62">
        <v>41718</v>
      </c>
      <c r="B13700">
        <v>2.9285000000000001</v>
      </c>
      <c r="C13700" t="str">
        <f t="shared" si="218"/>
        <v>2014 q1</v>
      </c>
    </row>
    <row r="13701" spans="1:3">
      <c r="A13701" s="62">
        <v>41719</v>
      </c>
      <c r="B13701">
        <v>2.9504999999999999</v>
      </c>
      <c r="C13701" t="str">
        <f t="shared" si="218"/>
        <v>2014 q1</v>
      </c>
    </row>
    <row r="13702" spans="1:3">
      <c r="A13702" s="62">
        <v>41722</v>
      </c>
      <c r="B13702">
        <v>2.9455</v>
      </c>
      <c r="C13702" t="str">
        <f t="shared" si="218"/>
        <v>2014 q1</v>
      </c>
    </row>
    <row r="13703" spans="1:3">
      <c r="A13703" s="62">
        <v>41723</v>
      </c>
      <c r="B13703">
        <v>3.0055000000000001</v>
      </c>
      <c r="C13703" t="str">
        <f t="shared" si="218"/>
        <v>2014 q1</v>
      </c>
    </row>
    <row r="13704" spans="1:3">
      <c r="A13704" s="62">
        <v>41724</v>
      </c>
      <c r="B13704">
        <v>2.9655</v>
      </c>
      <c r="C13704" t="str">
        <f t="shared" si="218"/>
        <v>2014 q1</v>
      </c>
    </row>
    <row r="13705" spans="1:3">
      <c r="A13705" s="62">
        <v>41725</v>
      </c>
      <c r="B13705">
        <v>2.9929999999999999</v>
      </c>
      <c r="C13705" t="str">
        <f t="shared" si="218"/>
        <v>2014 q1</v>
      </c>
    </row>
    <row r="13706" spans="1:3">
      <c r="A13706" s="62">
        <v>41726</v>
      </c>
      <c r="B13706">
        <v>3.0415000000000001</v>
      </c>
      <c r="C13706" t="str">
        <f t="shared" si="218"/>
        <v>2014 q1</v>
      </c>
    </row>
    <row r="13707" spans="1:3">
      <c r="A13707" s="62">
        <v>41729</v>
      </c>
      <c r="B13707">
        <v>3.0255000000000001</v>
      </c>
      <c r="C13707" t="str">
        <f t="shared" si="218"/>
        <v>2014 q1</v>
      </c>
    </row>
    <row r="13708" spans="1:3">
      <c r="A13708" s="62">
        <v>41730</v>
      </c>
      <c r="B13708">
        <v>3.0345</v>
      </c>
      <c r="C13708" t="str">
        <f t="shared" si="218"/>
        <v>2014 q2</v>
      </c>
    </row>
    <row r="13709" spans="1:3">
      <c r="A13709" s="62">
        <v>41731</v>
      </c>
      <c r="B13709">
        <v>3.0455000000000001</v>
      </c>
      <c r="C13709" t="str">
        <f t="shared" si="218"/>
        <v>2014 q2</v>
      </c>
    </row>
    <row r="13710" spans="1:3">
      <c r="A13710" s="62">
        <v>41732</v>
      </c>
      <c r="B13710">
        <v>3.0270000000000001</v>
      </c>
      <c r="C13710" t="str">
        <f t="shared" si="218"/>
        <v>2014 q2</v>
      </c>
    </row>
    <row r="13711" spans="1:3">
      <c r="A13711" s="62">
        <v>41733</v>
      </c>
      <c r="B13711">
        <v>3.0225</v>
      </c>
      <c r="C13711" t="str">
        <f t="shared" si="218"/>
        <v>2014 q2</v>
      </c>
    </row>
    <row r="13712" spans="1:3">
      <c r="A13712" s="62">
        <v>41736</v>
      </c>
      <c r="B13712">
        <v>3.0394999999999999</v>
      </c>
      <c r="C13712" t="str">
        <f t="shared" si="218"/>
        <v>2014 q2</v>
      </c>
    </row>
    <row r="13713" spans="1:3">
      <c r="A13713" s="62">
        <v>41737</v>
      </c>
      <c r="B13713">
        <v>3.0510000000000002</v>
      </c>
      <c r="C13713" t="str">
        <f t="shared" si="218"/>
        <v>2014 q2</v>
      </c>
    </row>
    <row r="13714" spans="1:3">
      <c r="A13714" s="62">
        <v>41738</v>
      </c>
      <c r="B13714">
        <v>3.0369999999999999</v>
      </c>
      <c r="C13714" t="str">
        <f t="shared" ref="C13714:C13777" si="219">YEAR(A13714)&amp;" q"&amp;ROUNDUP(MONTH(A13714)/3,0)</f>
        <v>2014 q2</v>
      </c>
    </row>
    <row r="13715" spans="1:3">
      <c r="A13715" s="62">
        <v>41739</v>
      </c>
      <c r="B13715">
        <v>3.0449999999999999</v>
      </c>
      <c r="C13715" t="str">
        <f t="shared" si="219"/>
        <v>2014 q2</v>
      </c>
    </row>
    <row r="13716" spans="1:3">
      <c r="A13716" s="62">
        <v>41740</v>
      </c>
      <c r="B13716">
        <v>3.0415000000000001</v>
      </c>
      <c r="C13716" t="str">
        <f t="shared" si="219"/>
        <v>2014 q2</v>
      </c>
    </row>
    <row r="13717" spans="1:3">
      <c r="A13717" s="62">
        <v>41743</v>
      </c>
      <c r="B13717">
        <v>3.0474999999999999</v>
      </c>
      <c r="C13717" t="str">
        <f t="shared" si="219"/>
        <v>2014 q2</v>
      </c>
    </row>
    <row r="13718" spans="1:3">
      <c r="A13718" s="62">
        <v>41744</v>
      </c>
      <c r="B13718">
        <v>2.9874999999999998</v>
      </c>
      <c r="C13718" t="str">
        <f t="shared" si="219"/>
        <v>2014 q2</v>
      </c>
    </row>
    <row r="13719" spans="1:3">
      <c r="A13719" s="62">
        <v>41745</v>
      </c>
      <c r="B13719">
        <v>3.0255000000000001</v>
      </c>
      <c r="C13719" t="str">
        <f t="shared" si="219"/>
        <v>2014 q2</v>
      </c>
    </row>
    <row r="13720" spans="1:3">
      <c r="A13720" s="62">
        <v>41746</v>
      </c>
      <c r="B13720">
        <v>3.0449999999999999</v>
      </c>
      <c r="C13720" t="str">
        <f t="shared" si="219"/>
        <v>2014 q2</v>
      </c>
    </row>
    <row r="13721" spans="1:3">
      <c r="A13721" s="62">
        <v>41750</v>
      </c>
      <c r="B13721">
        <v>3.0430000000000001</v>
      </c>
      <c r="C13721" t="str">
        <f t="shared" si="219"/>
        <v>2014 q2</v>
      </c>
    </row>
    <row r="13722" spans="1:3">
      <c r="A13722" s="62">
        <v>41751</v>
      </c>
      <c r="B13722">
        <v>3.0535000000000001</v>
      </c>
      <c r="C13722" t="str">
        <f t="shared" si="219"/>
        <v>2014 q2</v>
      </c>
    </row>
    <row r="13723" spans="1:3">
      <c r="A13723" s="62">
        <v>41752</v>
      </c>
      <c r="B13723">
        <v>3.0590000000000002</v>
      </c>
      <c r="C13723" t="str">
        <f t="shared" si="219"/>
        <v>2014 q2</v>
      </c>
    </row>
    <row r="13724" spans="1:3">
      <c r="A13724" s="62">
        <v>41753</v>
      </c>
      <c r="B13724">
        <v>3.1204999999999998</v>
      </c>
      <c r="C13724" t="str">
        <f t="shared" si="219"/>
        <v>2014 q2</v>
      </c>
    </row>
    <row r="13725" spans="1:3">
      <c r="A13725" s="62">
        <v>41754</v>
      </c>
      <c r="B13725">
        <v>3.1181999999999999</v>
      </c>
      <c r="C13725" t="str">
        <f t="shared" si="219"/>
        <v>2014 q2</v>
      </c>
    </row>
    <row r="13726" spans="1:3">
      <c r="A13726" s="62">
        <v>41757</v>
      </c>
      <c r="B13726">
        <v>3.1032000000000002</v>
      </c>
      <c r="C13726" t="str">
        <f t="shared" si="219"/>
        <v>2014 q2</v>
      </c>
    </row>
    <row r="13727" spans="1:3">
      <c r="A13727" s="62">
        <v>41758</v>
      </c>
      <c r="B13727">
        <v>3.0728</v>
      </c>
      <c r="C13727" t="str">
        <f t="shared" si="219"/>
        <v>2014 q2</v>
      </c>
    </row>
    <row r="13728" spans="1:3">
      <c r="A13728" s="62">
        <v>41759</v>
      </c>
      <c r="B13728">
        <v>3.0278999999999998</v>
      </c>
      <c r="C13728" t="str">
        <f t="shared" si="219"/>
        <v>2014 q2</v>
      </c>
    </row>
    <row r="13729" spans="1:3">
      <c r="A13729" s="62">
        <v>41760</v>
      </c>
      <c r="B13729">
        <v>3.0215000000000001</v>
      </c>
      <c r="C13729" t="str">
        <f t="shared" si="219"/>
        <v>2014 q2</v>
      </c>
    </row>
    <row r="13730" spans="1:3">
      <c r="A13730" s="62">
        <v>41761</v>
      </c>
      <c r="B13730">
        <v>3.07</v>
      </c>
      <c r="C13730" t="str">
        <f t="shared" si="219"/>
        <v>2014 q2</v>
      </c>
    </row>
    <row r="13731" spans="1:3">
      <c r="A13731" s="62">
        <v>41764</v>
      </c>
      <c r="B13731">
        <v>3.0535000000000001</v>
      </c>
      <c r="C13731" t="str">
        <f t="shared" si="219"/>
        <v>2014 q2</v>
      </c>
    </row>
    <row r="13732" spans="1:3">
      <c r="A13732" s="62">
        <v>41765</v>
      </c>
      <c r="B13732">
        <v>3.0569999999999999</v>
      </c>
      <c r="C13732" t="str">
        <f t="shared" si="219"/>
        <v>2014 q2</v>
      </c>
    </row>
    <row r="13733" spans="1:3">
      <c r="A13733" s="62">
        <v>41766</v>
      </c>
      <c r="B13733">
        <v>3.0325000000000002</v>
      </c>
      <c r="C13733" t="str">
        <f t="shared" si="219"/>
        <v>2014 q2</v>
      </c>
    </row>
    <row r="13734" spans="1:3">
      <c r="A13734" s="62">
        <v>41767</v>
      </c>
      <c r="B13734">
        <v>3.0625</v>
      </c>
      <c r="C13734" t="str">
        <f t="shared" si="219"/>
        <v>2014 q2</v>
      </c>
    </row>
    <row r="13735" spans="1:3">
      <c r="A13735" s="62">
        <v>41768</v>
      </c>
      <c r="B13735">
        <v>3.0830000000000002</v>
      </c>
      <c r="C13735" t="str">
        <f t="shared" si="219"/>
        <v>2014 q2</v>
      </c>
    </row>
    <row r="13736" spans="1:3">
      <c r="A13736" s="62">
        <v>41771</v>
      </c>
      <c r="B13736">
        <v>3.1495000000000002</v>
      </c>
      <c r="C13736" t="str">
        <f t="shared" si="219"/>
        <v>2014 q2</v>
      </c>
    </row>
    <row r="13737" spans="1:3">
      <c r="A13737" s="62">
        <v>41772</v>
      </c>
      <c r="B13737">
        <v>3.1355</v>
      </c>
      <c r="C13737" t="str">
        <f t="shared" si="219"/>
        <v>2014 q2</v>
      </c>
    </row>
    <row r="13738" spans="1:3">
      <c r="A13738" s="62">
        <v>41773</v>
      </c>
      <c r="B13738">
        <v>3.16</v>
      </c>
      <c r="C13738" t="str">
        <f t="shared" si="219"/>
        <v>2014 q2</v>
      </c>
    </row>
    <row r="13739" spans="1:3">
      <c r="A13739" s="62">
        <v>41774</v>
      </c>
      <c r="B13739">
        <v>3.1444999999999999</v>
      </c>
      <c r="C13739" t="str">
        <f t="shared" si="219"/>
        <v>2014 q2</v>
      </c>
    </row>
    <row r="13740" spans="1:3">
      <c r="A13740" s="62">
        <v>41775</v>
      </c>
      <c r="B13740">
        <v>3.1469999999999998</v>
      </c>
      <c r="C13740" t="str">
        <f t="shared" si="219"/>
        <v>2014 q2</v>
      </c>
    </row>
    <row r="13741" spans="1:3">
      <c r="A13741" s="62">
        <v>41778</v>
      </c>
      <c r="B13741">
        <v>3.1669999999999998</v>
      </c>
      <c r="C13741" t="str">
        <f t="shared" si="219"/>
        <v>2014 q2</v>
      </c>
    </row>
    <row r="13742" spans="1:3">
      <c r="A13742" s="62">
        <v>41779</v>
      </c>
      <c r="B13742">
        <v>3.145</v>
      </c>
      <c r="C13742" t="str">
        <f t="shared" si="219"/>
        <v>2014 q2</v>
      </c>
    </row>
    <row r="13743" spans="1:3">
      <c r="A13743" s="62">
        <v>41780</v>
      </c>
      <c r="B13743">
        <v>3.1230000000000002</v>
      </c>
      <c r="C13743" t="str">
        <f t="shared" si="219"/>
        <v>2014 q2</v>
      </c>
    </row>
    <row r="13744" spans="1:3">
      <c r="A13744" s="62">
        <v>41781</v>
      </c>
      <c r="B13744">
        <v>3.1419999999999999</v>
      </c>
      <c r="C13744" t="str">
        <f t="shared" si="219"/>
        <v>2014 q2</v>
      </c>
    </row>
    <row r="13745" spans="1:3">
      <c r="A13745" s="62">
        <v>41782</v>
      </c>
      <c r="B13745">
        <v>3.1675</v>
      </c>
      <c r="C13745" t="str">
        <f t="shared" si="219"/>
        <v>2014 q2</v>
      </c>
    </row>
    <row r="13746" spans="1:3">
      <c r="A13746" s="62">
        <v>41786</v>
      </c>
      <c r="B13746">
        <v>3.1775000000000002</v>
      </c>
      <c r="C13746" t="str">
        <f t="shared" si="219"/>
        <v>2014 q2</v>
      </c>
    </row>
    <row r="13747" spans="1:3">
      <c r="A13747" s="62">
        <v>41787</v>
      </c>
      <c r="B13747">
        <v>3.1735000000000002</v>
      </c>
      <c r="C13747" t="str">
        <f t="shared" si="219"/>
        <v>2014 q2</v>
      </c>
    </row>
    <row r="13748" spans="1:3">
      <c r="A13748" s="62">
        <v>41788</v>
      </c>
      <c r="B13748">
        <v>3.1444999999999999</v>
      </c>
      <c r="C13748" t="str">
        <f t="shared" si="219"/>
        <v>2014 q2</v>
      </c>
    </row>
    <row r="13749" spans="1:3">
      <c r="A13749" s="62">
        <v>41789</v>
      </c>
      <c r="B13749">
        <v>3.1234999999999999</v>
      </c>
      <c r="C13749" t="str">
        <f t="shared" si="219"/>
        <v>2014 q2</v>
      </c>
    </row>
    <row r="13750" spans="1:3">
      <c r="A13750" s="62">
        <v>41792</v>
      </c>
      <c r="B13750">
        <v>3.1705000000000001</v>
      </c>
      <c r="C13750" t="str">
        <f t="shared" si="219"/>
        <v>2014 q2</v>
      </c>
    </row>
    <row r="13751" spans="1:3">
      <c r="A13751" s="62">
        <v>41793</v>
      </c>
      <c r="B13751">
        <v>3.137</v>
      </c>
      <c r="C13751" t="str">
        <f t="shared" si="219"/>
        <v>2014 q2</v>
      </c>
    </row>
    <row r="13752" spans="1:3">
      <c r="A13752" s="62">
        <v>41794</v>
      </c>
      <c r="B13752">
        <v>3.093</v>
      </c>
      <c r="C13752" t="str">
        <f t="shared" si="219"/>
        <v>2014 q2</v>
      </c>
    </row>
    <row r="13753" spans="1:3">
      <c r="A13753" s="62">
        <v>41795</v>
      </c>
      <c r="B13753">
        <v>3.0905</v>
      </c>
      <c r="C13753" t="str">
        <f t="shared" si="219"/>
        <v>2014 q2</v>
      </c>
    </row>
    <row r="13754" spans="1:3">
      <c r="A13754" s="62">
        <v>41796</v>
      </c>
      <c r="B13754">
        <v>3.0510000000000002</v>
      </c>
      <c r="C13754" t="str">
        <f t="shared" si="219"/>
        <v>2014 q2</v>
      </c>
    </row>
    <row r="13755" spans="1:3">
      <c r="A13755" s="62">
        <v>41799</v>
      </c>
      <c r="B13755">
        <v>3.0434999999999999</v>
      </c>
      <c r="C13755" t="str">
        <f t="shared" si="219"/>
        <v>2014 q2</v>
      </c>
    </row>
    <row r="13756" spans="1:3">
      <c r="A13756" s="62">
        <v>41800</v>
      </c>
      <c r="B13756">
        <v>3.0529999999999999</v>
      </c>
      <c r="C13756" t="str">
        <f t="shared" si="219"/>
        <v>2014 q2</v>
      </c>
    </row>
    <row r="13757" spans="1:3">
      <c r="A13757" s="62">
        <v>41801</v>
      </c>
      <c r="B13757">
        <v>3.0405000000000002</v>
      </c>
      <c r="C13757" t="str">
        <f t="shared" si="219"/>
        <v>2014 q2</v>
      </c>
    </row>
    <row r="13758" spans="1:3">
      <c r="A13758" s="62">
        <v>41802</v>
      </c>
      <c r="B13758">
        <v>3.0154999999999998</v>
      </c>
      <c r="C13758" t="str">
        <f t="shared" si="219"/>
        <v>2014 q2</v>
      </c>
    </row>
    <row r="13759" spans="1:3">
      <c r="A13759" s="62">
        <v>41803</v>
      </c>
      <c r="B13759">
        <v>3.0295000000000001</v>
      </c>
      <c r="C13759" t="str">
        <f t="shared" si="219"/>
        <v>2014 q2</v>
      </c>
    </row>
    <row r="13760" spans="1:3">
      <c r="A13760" s="62">
        <v>41806</v>
      </c>
      <c r="B13760">
        <v>3.05</v>
      </c>
      <c r="C13760" t="str">
        <f t="shared" si="219"/>
        <v>2014 q2</v>
      </c>
    </row>
    <row r="13761" spans="1:3">
      <c r="A13761" s="62">
        <v>41807</v>
      </c>
      <c r="B13761">
        <v>3.0609999999999999</v>
      </c>
      <c r="C13761" t="str">
        <f t="shared" si="219"/>
        <v>2014 q2</v>
      </c>
    </row>
    <row r="13762" spans="1:3">
      <c r="A13762" s="62">
        <v>41808</v>
      </c>
      <c r="B13762">
        <v>3.06</v>
      </c>
      <c r="C13762" t="str">
        <f t="shared" si="219"/>
        <v>2014 q2</v>
      </c>
    </row>
    <row r="13763" spans="1:3">
      <c r="A13763" s="62">
        <v>41809</v>
      </c>
      <c r="B13763">
        <v>3.0785</v>
      </c>
      <c r="C13763" t="str">
        <f t="shared" si="219"/>
        <v>2014 q2</v>
      </c>
    </row>
    <row r="13764" spans="1:3">
      <c r="A13764" s="62">
        <v>41810</v>
      </c>
      <c r="B13764">
        <v>3.1215000000000002</v>
      </c>
      <c r="C13764" t="str">
        <f t="shared" si="219"/>
        <v>2014 q2</v>
      </c>
    </row>
    <row r="13765" spans="1:3">
      <c r="A13765" s="62">
        <v>41813</v>
      </c>
      <c r="B13765">
        <v>3.1495000000000002</v>
      </c>
      <c r="C13765" t="str">
        <f t="shared" si="219"/>
        <v>2014 q2</v>
      </c>
    </row>
    <row r="13766" spans="1:3">
      <c r="A13766" s="62">
        <v>41814</v>
      </c>
      <c r="B13766">
        <v>3.1509999999999998</v>
      </c>
      <c r="C13766" t="str">
        <f t="shared" si="219"/>
        <v>2014 q2</v>
      </c>
    </row>
    <row r="13767" spans="1:3">
      <c r="A13767" s="62">
        <v>41815</v>
      </c>
      <c r="B13767">
        <v>3.1667999999999998</v>
      </c>
      <c r="C13767" t="str">
        <f t="shared" si="219"/>
        <v>2014 q2</v>
      </c>
    </row>
    <row r="13768" spans="1:3">
      <c r="A13768" s="62">
        <v>41816</v>
      </c>
      <c r="B13768">
        <v>3.1680999999999999</v>
      </c>
      <c r="C13768" t="str">
        <f t="shared" si="219"/>
        <v>2014 q2</v>
      </c>
    </row>
    <row r="13769" spans="1:3">
      <c r="A13769" s="62">
        <v>41817</v>
      </c>
      <c r="B13769">
        <v>3.1604000000000001</v>
      </c>
      <c r="C13769" t="str">
        <f t="shared" si="219"/>
        <v>2014 q2</v>
      </c>
    </row>
    <row r="13770" spans="1:3">
      <c r="A13770" s="62">
        <v>41820</v>
      </c>
      <c r="B13770">
        <v>3.2004000000000001</v>
      </c>
      <c r="C13770" t="str">
        <f t="shared" si="219"/>
        <v>2014 q2</v>
      </c>
    </row>
    <row r="13771" spans="1:3">
      <c r="A13771" s="62">
        <v>41821</v>
      </c>
      <c r="B13771">
        <v>3.2040000000000002</v>
      </c>
      <c r="C13771" t="str">
        <f t="shared" si="219"/>
        <v>2014 q3</v>
      </c>
    </row>
    <row r="13772" spans="1:3">
      <c r="A13772" s="62">
        <v>41822</v>
      </c>
      <c r="B13772">
        <v>3.2650000000000001</v>
      </c>
      <c r="C13772" t="str">
        <f t="shared" si="219"/>
        <v>2014 q3</v>
      </c>
    </row>
    <row r="13773" spans="1:3">
      <c r="A13773" s="62">
        <v>41823</v>
      </c>
      <c r="B13773">
        <v>3.2795000000000001</v>
      </c>
      <c r="C13773" t="str">
        <f t="shared" si="219"/>
        <v>2014 q3</v>
      </c>
    </row>
    <row r="13774" spans="1:3">
      <c r="A13774" s="62">
        <v>41827</v>
      </c>
      <c r="B13774">
        <v>3.2610000000000001</v>
      </c>
      <c r="C13774" t="str">
        <f t="shared" si="219"/>
        <v>2014 q3</v>
      </c>
    </row>
    <row r="13775" spans="1:3">
      <c r="A13775" s="62">
        <v>41828</v>
      </c>
      <c r="B13775">
        <v>3.2570000000000001</v>
      </c>
      <c r="C13775" t="str">
        <f t="shared" si="219"/>
        <v>2014 q3</v>
      </c>
    </row>
    <row r="13776" spans="1:3">
      <c r="A13776" s="62">
        <v>41829</v>
      </c>
      <c r="B13776">
        <v>3.2480000000000002</v>
      </c>
      <c r="C13776" t="str">
        <f t="shared" si="219"/>
        <v>2014 q3</v>
      </c>
    </row>
    <row r="13777" spans="1:3">
      <c r="A13777" s="62">
        <v>41830</v>
      </c>
      <c r="B13777">
        <v>3.2669999999999999</v>
      </c>
      <c r="C13777" t="str">
        <f t="shared" si="219"/>
        <v>2014 q3</v>
      </c>
    </row>
    <row r="13778" spans="1:3">
      <c r="A13778" s="62">
        <v>41831</v>
      </c>
      <c r="B13778">
        <v>3.2690000000000001</v>
      </c>
      <c r="C13778" t="str">
        <f t="shared" ref="C13778:C13841" si="220">YEAR(A13778)&amp;" q"&amp;ROUNDUP(MONTH(A13778)/3,0)</f>
        <v>2014 q3</v>
      </c>
    </row>
    <row r="13779" spans="1:3">
      <c r="A13779" s="62">
        <v>41834</v>
      </c>
      <c r="B13779">
        <v>3.2490000000000001</v>
      </c>
      <c r="C13779" t="str">
        <f t="shared" si="220"/>
        <v>2014 q3</v>
      </c>
    </row>
    <row r="13780" spans="1:3">
      <c r="A13780" s="62">
        <v>41835</v>
      </c>
      <c r="B13780">
        <v>3.2494999999999998</v>
      </c>
      <c r="C13780" t="str">
        <f t="shared" si="220"/>
        <v>2014 q3</v>
      </c>
    </row>
    <row r="13781" spans="1:3">
      <c r="A13781" s="62">
        <v>41836</v>
      </c>
      <c r="B13781">
        <v>3.2145000000000001</v>
      </c>
      <c r="C13781" t="str">
        <f t="shared" si="220"/>
        <v>2014 q3</v>
      </c>
    </row>
    <row r="13782" spans="1:3">
      <c r="A13782" s="62">
        <v>41837</v>
      </c>
      <c r="B13782">
        <v>3.2204999999999999</v>
      </c>
      <c r="C13782" t="str">
        <f t="shared" si="220"/>
        <v>2014 q3</v>
      </c>
    </row>
    <row r="13783" spans="1:3">
      <c r="A13783" s="62">
        <v>41838</v>
      </c>
      <c r="B13783">
        <v>3.1844999999999999</v>
      </c>
      <c r="C13783" t="str">
        <f t="shared" si="220"/>
        <v>2014 q3</v>
      </c>
    </row>
    <row r="13784" spans="1:3">
      <c r="A13784" s="62">
        <v>41841</v>
      </c>
      <c r="B13784">
        <v>3.1989999999999998</v>
      </c>
      <c r="C13784" t="str">
        <f t="shared" si="220"/>
        <v>2014 q3</v>
      </c>
    </row>
    <row r="13785" spans="1:3">
      <c r="A13785" s="62">
        <v>41842</v>
      </c>
      <c r="B13785">
        <v>3.2080000000000002</v>
      </c>
      <c r="C13785" t="str">
        <f t="shared" si="220"/>
        <v>2014 q3</v>
      </c>
    </row>
    <row r="13786" spans="1:3">
      <c r="A13786" s="62">
        <v>41843</v>
      </c>
      <c r="B13786">
        <v>3.2069999999999999</v>
      </c>
      <c r="C13786" t="str">
        <f t="shared" si="220"/>
        <v>2014 q3</v>
      </c>
    </row>
    <row r="13787" spans="1:3">
      <c r="A13787" s="62">
        <v>41844</v>
      </c>
      <c r="B13787">
        <v>3.2665000000000002</v>
      </c>
      <c r="C13787" t="str">
        <f t="shared" si="220"/>
        <v>2014 q3</v>
      </c>
    </row>
    <row r="13788" spans="1:3">
      <c r="A13788" s="62">
        <v>41845</v>
      </c>
      <c r="B13788">
        <v>3.2404999999999999</v>
      </c>
      <c r="C13788" t="str">
        <f t="shared" si="220"/>
        <v>2014 q3</v>
      </c>
    </row>
    <row r="13789" spans="1:3">
      <c r="A13789" s="62">
        <v>41848</v>
      </c>
      <c r="B13789">
        <v>3.2435</v>
      </c>
      <c r="C13789" t="str">
        <f t="shared" si="220"/>
        <v>2014 q3</v>
      </c>
    </row>
    <row r="13790" spans="1:3">
      <c r="A13790" s="62">
        <v>41849</v>
      </c>
      <c r="B13790">
        <v>3.2189999999999999</v>
      </c>
      <c r="C13790" t="str">
        <f t="shared" si="220"/>
        <v>2014 q3</v>
      </c>
    </row>
    <row r="13791" spans="1:3">
      <c r="A13791" s="62">
        <v>41850</v>
      </c>
      <c r="B13791">
        <v>3.2414999999999998</v>
      </c>
      <c r="C13791" t="str">
        <f t="shared" si="220"/>
        <v>2014 q3</v>
      </c>
    </row>
    <row r="13792" spans="1:3">
      <c r="A13792" s="62">
        <v>41851</v>
      </c>
      <c r="B13792">
        <v>3.2309999999999999</v>
      </c>
      <c r="C13792" t="str">
        <f t="shared" si="220"/>
        <v>2014 q3</v>
      </c>
    </row>
    <row r="13793" spans="1:3">
      <c r="A13793" s="62">
        <v>41852</v>
      </c>
      <c r="B13793">
        <v>3.2145000000000001</v>
      </c>
      <c r="C13793" t="str">
        <f t="shared" si="220"/>
        <v>2014 q3</v>
      </c>
    </row>
    <row r="13794" spans="1:3">
      <c r="A13794" s="62">
        <v>41855</v>
      </c>
      <c r="B13794">
        <v>3.2440000000000002</v>
      </c>
      <c r="C13794" t="str">
        <f t="shared" si="220"/>
        <v>2014 q3</v>
      </c>
    </row>
    <row r="13795" spans="1:3">
      <c r="A13795" s="62">
        <v>41856</v>
      </c>
      <c r="B13795">
        <v>3.2044999999999999</v>
      </c>
      <c r="C13795" t="str">
        <f t="shared" si="220"/>
        <v>2014 q3</v>
      </c>
    </row>
    <row r="13796" spans="1:3">
      <c r="A13796" s="62">
        <v>41857</v>
      </c>
      <c r="B13796">
        <v>3.1659999999999999</v>
      </c>
      <c r="C13796" t="str">
        <f t="shared" si="220"/>
        <v>2014 q3</v>
      </c>
    </row>
    <row r="13797" spans="1:3">
      <c r="A13797" s="62">
        <v>41858</v>
      </c>
      <c r="B13797">
        <v>3.1760000000000002</v>
      </c>
      <c r="C13797" t="str">
        <f t="shared" si="220"/>
        <v>2014 q3</v>
      </c>
    </row>
    <row r="13798" spans="1:3">
      <c r="A13798" s="62">
        <v>41859</v>
      </c>
      <c r="B13798">
        <v>3.1735000000000002</v>
      </c>
      <c r="C13798" t="str">
        <f t="shared" si="220"/>
        <v>2014 q3</v>
      </c>
    </row>
    <row r="13799" spans="1:3">
      <c r="A13799" s="62">
        <v>41862</v>
      </c>
      <c r="B13799">
        <v>3.1745000000000001</v>
      </c>
      <c r="C13799" t="str">
        <f t="shared" si="220"/>
        <v>2014 q3</v>
      </c>
    </row>
    <row r="13800" spans="1:3">
      <c r="A13800" s="62">
        <v>41863</v>
      </c>
      <c r="B13800">
        <v>3.1545000000000001</v>
      </c>
      <c r="C13800" t="str">
        <f t="shared" si="220"/>
        <v>2014 q3</v>
      </c>
    </row>
    <row r="13801" spans="1:3">
      <c r="A13801" s="62">
        <v>41864</v>
      </c>
      <c r="B13801">
        <v>3.1120000000000001</v>
      </c>
      <c r="C13801" t="str">
        <f t="shared" si="220"/>
        <v>2014 q3</v>
      </c>
    </row>
    <row r="13802" spans="1:3">
      <c r="A13802" s="62">
        <v>41865</v>
      </c>
      <c r="B13802">
        <v>3.0910000000000002</v>
      </c>
      <c r="C13802" t="str">
        <f t="shared" si="220"/>
        <v>2014 q3</v>
      </c>
    </row>
    <row r="13803" spans="1:3">
      <c r="A13803" s="62">
        <v>41866</v>
      </c>
      <c r="B13803">
        <v>3.1030000000000002</v>
      </c>
      <c r="C13803" t="str">
        <f t="shared" si="220"/>
        <v>2014 q3</v>
      </c>
    </row>
    <row r="13804" spans="1:3">
      <c r="A13804" s="62">
        <v>41869</v>
      </c>
      <c r="B13804">
        <v>3.109</v>
      </c>
      <c r="C13804" t="str">
        <f t="shared" si="220"/>
        <v>2014 q3</v>
      </c>
    </row>
    <row r="13805" spans="1:3">
      <c r="A13805" s="62">
        <v>41870</v>
      </c>
      <c r="B13805">
        <v>3.0884999999999998</v>
      </c>
      <c r="C13805" t="str">
        <f t="shared" si="220"/>
        <v>2014 q3</v>
      </c>
    </row>
    <row r="13806" spans="1:3">
      <c r="A13806" s="62">
        <v>41871</v>
      </c>
      <c r="B13806">
        <v>3.177</v>
      </c>
      <c r="C13806" t="str">
        <f t="shared" si="220"/>
        <v>2014 q3</v>
      </c>
    </row>
    <row r="13807" spans="1:3">
      <c r="A13807" s="62">
        <v>41872</v>
      </c>
      <c r="B13807">
        <v>3.1760000000000002</v>
      </c>
      <c r="C13807" t="str">
        <f t="shared" si="220"/>
        <v>2014 q3</v>
      </c>
    </row>
    <row r="13808" spans="1:3">
      <c r="A13808" s="62">
        <v>41873</v>
      </c>
      <c r="B13808">
        <v>3.2044999999999999</v>
      </c>
      <c r="C13808" t="str">
        <f t="shared" si="220"/>
        <v>2014 q3</v>
      </c>
    </row>
    <row r="13809" spans="1:3">
      <c r="A13809" s="62">
        <v>41876</v>
      </c>
      <c r="B13809">
        <v>3.218</v>
      </c>
      <c r="C13809" t="str">
        <f t="shared" si="220"/>
        <v>2014 q3</v>
      </c>
    </row>
    <row r="13810" spans="1:3">
      <c r="A13810" s="62">
        <v>41877</v>
      </c>
      <c r="B13810">
        <v>3.1913</v>
      </c>
      <c r="C13810" t="str">
        <f t="shared" si="220"/>
        <v>2014 q3</v>
      </c>
    </row>
    <row r="13811" spans="1:3">
      <c r="A13811" s="62">
        <v>41878</v>
      </c>
      <c r="B13811">
        <v>3.1861999999999999</v>
      </c>
      <c r="C13811" t="str">
        <f t="shared" si="220"/>
        <v>2014 q3</v>
      </c>
    </row>
    <row r="13812" spans="1:3">
      <c r="A13812" s="62">
        <v>41879</v>
      </c>
      <c r="B13812">
        <v>3.1408999999999998</v>
      </c>
      <c r="C13812" t="str">
        <f t="shared" si="220"/>
        <v>2014 q3</v>
      </c>
    </row>
    <row r="13813" spans="1:3">
      <c r="A13813" s="62">
        <v>41880</v>
      </c>
      <c r="B13813">
        <v>3.1554000000000002</v>
      </c>
      <c r="C13813" t="str">
        <f t="shared" si="220"/>
        <v>2014 q3</v>
      </c>
    </row>
    <row r="13814" spans="1:3">
      <c r="A13814" s="62">
        <v>41884</v>
      </c>
      <c r="B13814">
        <v>3.1549999999999998</v>
      </c>
      <c r="C13814" t="str">
        <f t="shared" si="220"/>
        <v>2014 q3</v>
      </c>
    </row>
    <row r="13815" spans="1:3">
      <c r="A13815" s="62">
        <v>41885</v>
      </c>
      <c r="B13815">
        <v>3.1269999999999998</v>
      </c>
      <c r="C13815" t="str">
        <f t="shared" si="220"/>
        <v>2014 q3</v>
      </c>
    </row>
    <row r="13816" spans="1:3">
      <c r="A13816" s="62">
        <v>41886</v>
      </c>
      <c r="B13816">
        <v>3.1509999999999998</v>
      </c>
      <c r="C13816" t="str">
        <f t="shared" si="220"/>
        <v>2014 q3</v>
      </c>
    </row>
    <row r="13817" spans="1:3">
      <c r="A13817" s="62">
        <v>41887</v>
      </c>
      <c r="B13817">
        <v>3.1695000000000002</v>
      </c>
      <c r="C13817" t="str">
        <f t="shared" si="220"/>
        <v>2014 q3</v>
      </c>
    </row>
    <row r="13818" spans="1:3">
      <c r="A13818" s="62">
        <v>41890</v>
      </c>
      <c r="B13818">
        <v>3.1684999999999999</v>
      </c>
      <c r="C13818" t="str">
        <f t="shared" si="220"/>
        <v>2014 q3</v>
      </c>
    </row>
    <row r="13819" spans="1:3">
      <c r="A13819" s="62">
        <v>41891</v>
      </c>
      <c r="B13819">
        <v>3.1019999999999999</v>
      </c>
      <c r="C13819" t="str">
        <f t="shared" si="220"/>
        <v>2014 q3</v>
      </c>
    </row>
    <row r="13820" spans="1:3">
      <c r="A13820" s="62">
        <v>41892</v>
      </c>
      <c r="B13820">
        <v>3.1105</v>
      </c>
      <c r="C13820" t="str">
        <f t="shared" si="220"/>
        <v>2014 q3</v>
      </c>
    </row>
    <row r="13821" spans="1:3">
      <c r="A13821" s="62">
        <v>41893</v>
      </c>
      <c r="B13821">
        <v>3.0924999999999998</v>
      </c>
      <c r="C13821" t="str">
        <f t="shared" si="220"/>
        <v>2014 q3</v>
      </c>
    </row>
    <row r="13822" spans="1:3">
      <c r="A13822" s="62">
        <v>41894</v>
      </c>
      <c r="B13822">
        <v>3.1065</v>
      </c>
      <c r="C13822" t="str">
        <f t="shared" si="220"/>
        <v>2014 q3</v>
      </c>
    </row>
    <row r="13823" spans="1:3">
      <c r="A13823" s="62">
        <v>41897</v>
      </c>
      <c r="B13823">
        <v>3.0855000000000001</v>
      </c>
      <c r="C13823" t="str">
        <f t="shared" si="220"/>
        <v>2014 q3</v>
      </c>
    </row>
    <row r="13824" spans="1:3">
      <c r="A13824" s="62">
        <v>41898</v>
      </c>
      <c r="B13824">
        <v>3.1659999999999999</v>
      </c>
      <c r="C13824" t="str">
        <f t="shared" si="220"/>
        <v>2014 q3</v>
      </c>
    </row>
    <row r="13825" spans="1:3">
      <c r="A13825" s="62">
        <v>41899</v>
      </c>
      <c r="B13825">
        <v>3.1435</v>
      </c>
      <c r="C13825" t="str">
        <f t="shared" si="220"/>
        <v>2014 q3</v>
      </c>
    </row>
    <row r="13826" spans="1:3">
      <c r="A13826" s="62">
        <v>41900</v>
      </c>
      <c r="B13826">
        <v>3.0939999999999999</v>
      </c>
      <c r="C13826" t="str">
        <f t="shared" si="220"/>
        <v>2014 q3</v>
      </c>
    </row>
    <row r="13827" spans="1:3">
      <c r="A13827" s="62">
        <v>41901</v>
      </c>
      <c r="B13827">
        <v>3.0914999999999999</v>
      </c>
      <c r="C13827" t="str">
        <f t="shared" si="220"/>
        <v>2014 q3</v>
      </c>
    </row>
    <row r="13828" spans="1:3">
      <c r="A13828" s="62">
        <v>41904</v>
      </c>
      <c r="B13828">
        <v>3.0385</v>
      </c>
      <c r="C13828" t="str">
        <f t="shared" si="220"/>
        <v>2014 q3</v>
      </c>
    </row>
    <row r="13829" spans="1:3">
      <c r="A13829" s="62">
        <v>41905</v>
      </c>
      <c r="B13829">
        <v>3.0350000000000001</v>
      </c>
      <c r="C13829" t="str">
        <f t="shared" si="220"/>
        <v>2014 q3</v>
      </c>
    </row>
    <row r="13830" spans="1:3">
      <c r="A13830" s="62">
        <v>41906</v>
      </c>
      <c r="B13830">
        <v>3.0535000000000001</v>
      </c>
      <c r="C13830" t="str">
        <f t="shared" si="220"/>
        <v>2014 q3</v>
      </c>
    </row>
    <row r="13831" spans="1:3">
      <c r="A13831" s="62">
        <v>41907</v>
      </c>
      <c r="B13831">
        <v>3.03</v>
      </c>
      <c r="C13831" t="str">
        <f t="shared" si="220"/>
        <v>2014 q3</v>
      </c>
    </row>
    <row r="13832" spans="1:3">
      <c r="A13832" s="62">
        <v>41908</v>
      </c>
      <c r="B13832">
        <v>3.0354999999999999</v>
      </c>
      <c r="C13832" t="str">
        <f t="shared" si="220"/>
        <v>2014 q3</v>
      </c>
    </row>
    <row r="13833" spans="1:3">
      <c r="A13833" s="62">
        <v>41911</v>
      </c>
      <c r="B13833">
        <v>3.0565000000000002</v>
      </c>
      <c r="C13833" t="str">
        <f t="shared" si="220"/>
        <v>2014 q3</v>
      </c>
    </row>
    <row r="13834" spans="1:3">
      <c r="A13834" s="62">
        <v>41912</v>
      </c>
      <c r="B13834">
        <v>3.0074999999999998</v>
      </c>
      <c r="C13834" t="str">
        <f t="shared" si="220"/>
        <v>2014 q3</v>
      </c>
    </row>
    <row r="13835" spans="1:3">
      <c r="A13835" s="62">
        <v>41913</v>
      </c>
      <c r="B13835">
        <v>3.036</v>
      </c>
      <c r="C13835" t="str">
        <f t="shared" si="220"/>
        <v>2014 q4</v>
      </c>
    </row>
    <row r="13836" spans="1:3">
      <c r="A13836" s="62">
        <v>41914</v>
      </c>
      <c r="B13836">
        <v>2.9984999999999999</v>
      </c>
      <c r="C13836" t="str">
        <f t="shared" si="220"/>
        <v>2014 q4</v>
      </c>
    </row>
    <row r="13837" spans="1:3">
      <c r="A13837" s="62">
        <v>41915</v>
      </c>
      <c r="B13837">
        <v>2.9984999999999999</v>
      </c>
      <c r="C13837" t="str">
        <f t="shared" si="220"/>
        <v>2014 q4</v>
      </c>
    </row>
    <row r="13838" spans="1:3">
      <c r="A13838" s="62">
        <v>41918</v>
      </c>
      <c r="B13838">
        <v>3.0354999999999999</v>
      </c>
      <c r="C13838" t="str">
        <f t="shared" si="220"/>
        <v>2014 q4</v>
      </c>
    </row>
    <row r="13839" spans="1:3">
      <c r="A13839" s="62">
        <v>41919</v>
      </c>
      <c r="B13839">
        <v>3.0390000000000001</v>
      </c>
      <c r="C13839" t="str">
        <f t="shared" si="220"/>
        <v>2014 q4</v>
      </c>
    </row>
    <row r="13840" spans="1:3">
      <c r="A13840" s="62">
        <v>41920</v>
      </c>
      <c r="B13840">
        <v>3.0034999999999998</v>
      </c>
      <c r="C13840" t="str">
        <f t="shared" si="220"/>
        <v>2014 q4</v>
      </c>
    </row>
    <row r="13841" spans="1:3">
      <c r="A13841" s="62">
        <v>41921</v>
      </c>
      <c r="B13841">
        <v>3.03</v>
      </c>
      <c r="C13841" t="str">
        <f t="shared" si="220"/>
        <v>2014 q4</v>
      </c>
    </row>
    <row r="13842" spans="1:3">
      <c r="A13842" s="62">
        <v>41922</v>
      </c>
      <c r="B13842">
        <v>3.0350000000000001</v>
      </c>
      <c r="C13842" t="str">
        <f t="shared" ref="C13842:C13905" si="221">YEAR(A13842)&amp;" q"&amp;ROUNDUP(MONTH(A13842)/3,0)</f>
        <v>2014 q4</v>
      </c>
    </row>
    <row r="13843" spans="1:3">
      <c r="A13843" s="62">
        <v>41925</v>
      </c>
      <c r="B13843">
        <v>3.0405000000000002</v>
      </c>
      <c r="C13843" t="str">
        <f t="shared" si="221"/>
        <v>2014 q4</v>
      </c>
    </row>
    <row r="13844" spans="1:3">
      <c r="A13844" s="62">
        <v>41926</v>
      </c>
      <c r="B13844">
        <v>3.09</v>
      </c>
      <c r="C13844" t="str">
        <f t="shared" si="221"/>
        <v>2014 q4</v>
      </c>
    </row>
    <row r="13845" spans="1:3">
      <c r="A13845" s="62">
        <v>41927</v>
      </c>
      <c r="B13845">
        <v>3.0089999999999999</v>
      </c>
      <c r="C13845" t="str">
        <f t="shared" si="221"/>
        <v>2014 q4</v>
      </c>
    </row>
    <row r="13846" spans="1:3">
      <c r="A13846" s="62">
        <v>41928</v>
      </c>
      <c r="B13846">
        <v>2.9815</v>
      </c>
      <c r="C13846" t="str">
        <f t="shared" si="221"/>
        <v>2014 q4</v>
      </c>
    </row>
    <row r="13847" spans="1:3">
      <c r="A13847" s="62">
        <v>41929</v>
      </c>
      <c r="B13847">
        <v>3.0034999999999998</v>
      </c>
      <c r="C13847" t="str">
        <f t="shared" si="221"/>
        <v>2014 q4</v>
      </c>
    </row>
    <row r="13848" spans="1:3">
      <c r="A13848" s="62">
        <v>41932</v>
      </c>
      <c r="B13848">
        <v>2.988</v>
      </c>
      <c r="C13848" t="str">
        <f t="shared" si="221"/>
        <v>2014 q4</v>
      </c>
    </row>
    <row r="13849" spans="1:3">
      <c r="A13849" s="62">
        <v>41933</v>
      </c>
      <c r="B13849">
        <v>3.028</v>
      </c>
      <c r="C13849" t="str">
        <f t="shared" si="221"/>
        <v>2014 q4</v>
      </c>
    </row>
    <row r="13850" spans="1:3">
      <c r="A13850" s="62">
        <v>41934</v>
      </c>
      <c r="B13850">
        <v>3.0175000000000001</v>
      </c>
      <c r="C13850" t="str">
        <f t="shared" si="221"/>
        <v>2014 q4</v>
      </c>
    </row>
    <row r="13851" spans="1:3">
      <c r="A13851" s="62">
        <v>41935</v>
      </c>
      <c r="B13851">
        <v>3.04</v>
      </c>
      <c r="C13851" t="str">
        <f t="shared" si="221"/>
        <v>2014 q4</v>
      </c>
    </row>
    <row r="13852" spans="1:3">
      <c r="A13852" s="62">
        <v>41936</v>
      </c>
      <c r="B13852">
        <v>3.0409999999999999</v>
      </c>
      <c r="C13852" t="str">
        <f t="shared" si="221"/>
        <v>2014 q4</v>
      </c>
    </row>
    <row r="13853" spans="1:3">
      <c r="A13853" s="62">
        <v>41939</v>
      </c>
      <c r="B13853">
        <v>3.0640000000000001</v>
      </c>
      <c r="C13853" t="str">
        <f t="shared" si="221"/>
        <v>2014 q4</v>
      </c>
    </row>
    <row r="13854" spans="1:3">
      <c r="A13854" s="62">
        <v>41940</v>
      </c>
      <c r="B13854">
        <v>3.093</v>
      </c>
      <c r="C13854" t="str">
        <f t="shared" si="221"/>
        <v>2014 q4</v>
      </c>
    </row>
    <row r="13855" spans="1:3">
      <c r="A13855" s="62">
        <v>41941</v>
      </c>
      <c r="B13855">
        <v>3.1044999999999998</v>
      </c>
      <c r="C13855" t="str">
        <f t="shared" si="221"/>
        <v>2014 q4</v>
      </c>
    </row>
    <row r="13856" spans="1:3">
      <c r="A13856" s="62">
        <v>41942</v>
      </c>
      <c r="B13856">
        <v>3.0625</v>
      </c>
      <c r="C13856" t="str">
        <f t="shared" si="221"/>
        <v>2014 q4</v>
      </c>
    </row>
    <row r="13857" spans="1:3">
      <c r="A13857" s="62">
        <v>41943</v>
      </c>
      <c r="B13857">
        <v>3.0470000000000002</v>
      </c>
      <c r="C13857" t="str">
        <f t="shared" si="221"/>
        <v>2014 q4</v>
      </c>
    </row>
    <row r="13858" spans="1:3">
      <c r="A13858" s="62">
        <v>41946</v>
      </c>
      <c r="B13858">
        <v>3.0649999999999999</v>
      </c>
      <c r="C13858" t="str">
        <f t="shared" si="221"/>
        <v>2014 q4</v>
      </c>
    </row>
    <row r="13859" spans="1:3">
      <c r="A13859" s="62">
        <v>41947</v>
      </c>
      <c r="B13859">
        <v>3.0185</v>
      </c>
      <c r="C13859" t="str">
        <f t="shared" si="221"/>
        <v>2014 q4</v>
      </c>
    </row>
    <row r="13860" spans="1:3">
      <c r="A13860" s="62">
        <v>41948</v>
      </c>
      <c r="B13860">
        <v>3.0074999999999998</v>
      </c>
      <c r="C13860" t="str">
        <f t="shared" si="221"/>
        <v>2014 q4</v>
      </c>
    </row>
    <row r="13861" spans="1:3">
      <c r="A13861" s="62">
        <v>41949</v>
      </c>
      <c r="B13861">
        <v>3.0175000000000001</v>
      </c>
      <c r="C13861" t="str">
        <f t="shared" si="221"/>
        <v>2014 q4</v>
      </c>
    </row>
    <row r="13862" spans="1:3">
      <c r="A13862" s="62">
        <v>41950</v>
      </c>
      <c r="B13862">
        <v>3.0385</v>
      </c>
      <c r="C13862" t="str">
        <f t="shared" si="221"/>
        <v>2014 q4</v>
      </c>
    </row>
    <row r="13863" spans="1:3">
      <c r="A13863" s="62">
        <v>41953</v>
      </c>
      <c r="B13863">
        <v>3.02</v>
      </c>
      <c r="C13863" t="str">
        <f t="shared" si="221"/>
        <v>2014 q4</v>
      </c>
    </row>
    <row r="13864" spans="1:3">
      <c r="A13864" s="62">
        <v>41954</v>
      </c>
      <c r="B13864">
        <v>3.0329999999999999</v>
      </c>
      <c r="C13864" t="str">
        <f t="shared" si="221"/>
        <v>2014 q4</v>
      </c>
    </row>
    <row r="13865" spans="1:3">
      <c r="A13865" s="62">
        <v>41955</v>
      </c>
      <c r="B13865">
        <v>3.0249999999999999</v>
      </c>
      <c r="C13865" t="str">
        <f t="shared" si="221"/>
        <v>2014 q4</v>
      </c>
    </row>
    <row r="13866" spans="1:3">
      <c r="A13866" s="62">
        <v>41956</v>
      </c>
      <c r="B13866">
        <v>2.9944999999999999</v>
      </c>
      <c r="C13866" t="str">
        <f t="shared" si="221"/>
        <v>2014 q4</v>
      </c>
    </row>
    <row r="13867" spans="1:3">
      <c r="A13867" s="62">
        <v>41957</v>
      </c>
      <c r="B13867">
        <v>3.0465</v>
      </c>
      <c r="C13867" t="str">
        <f t="shared" si="221"/>
        <v>2014 q4</v>
      </c>
    </row>
    <row r="13868" spans="1:3">
      <c r="A13868" s="62">
        <v>41960</v>
      </c>
      <c r="B13868">
        <v>3.0394999999999999</v>
      </c>
      <c r="C13868" t="str">
        <f t="shared" si="221"/>
        <v>2014 q4</v>
      </c>
    </row>
    <row r="13869" spans="1:3">
      <c r="A13869" s="62">
        <v>41961</v>
      </c>
      <c r="B13869">
        <v>3.0019999999999998</v>
      </c>
      <c r="C13869" t="str">
        <f t="shared" si="221"/>
        <v>2014 q4</v>
      </c>
    </row>
    <row r="13870" spans="1:3">
      <c r="A13870" s="62">
        <v>41962</v>
      </c>
      <c r="B13870">
        <v>3.0449999999999999</v>
      </c>
      <c r="C13870" t="str">
        <f t="shared" si="221"/>
        <v>2014 q4</v>
      </c>
    </row>
    <row r="13871" spans="1:3">
      <c r="A13871" s="62">
        <v>41963</v>
      </c>
      <c r="B13871">
        <v>3.0194999999999999</v>
      </c>
      <c r="C13871" t="str">
        <f t="shared" si="221"/>
        <v>2014 q4</v>
      </c>
    </row>
    <row r="13872" spans="1:3">
      <c r="A13872" s="62">
        <v>41964</v>
      </c>
      <c r="B13872">
        <v>3.0314999999999999</v>
      </c>
      <c r="C13872" t="str">
        <f t="shared" si="221"/>
        <v>2014 q4</v>
      </c>
    </row>
    <row r="13873" spans="1:3">
      <c r="A13873" s="62">
        <v>41967</v>
      </c>
      <c r="B13873">
        <v>3.0015999999999998</v>
      </c>
      <c r="C13873" t="str">
        <f t="shared" si="221"/>
        <v>2014 q4</v>
      </c>
    </row>
    <row r="13874" spans="1:3">
      <c r="A13874" s="62">
        <v>41968</v>
      </c>
      <c r="B13874">
        <v>2.9636</v>
      </c>
      <c r="C13874" t="str">
        <f t="shared" si="221"/>
        <v>2014 q4</v>
      </c>
    </row>
    <row r="13875" spans="1:3">
      <c r="A13875" s="62">
        <v>41969</v>
      </c>
      <c r="B13875">
        <v>2.9636</v>
      </c>
      <c r="C13875" t="str">
        <f t="shared" si="221"/>
        <v>2014 q4</v>
      </c>
    </row>
    <row r="13876" spans="1:3">
      <c r="A13876" s="62">
        <v>41971</v>
      </c>
      <c r="B13876">
        <v>2.8607999999999998</v>
      </c>
      <c r="C13876" t="str">
        <f t="shared" si="221"/>
        <v>2014 q4</v>
      </c>
    </row>
    <row r="13877" spans="1:3">
      <c r="A13877" s="62">
        <v>41974</v>
      </c>
      <c r="B13877">
        <v>2.9205000000000001</v>
      </c>
      <c r="C13877" t="str">
        <f t="shared" si="221"/>
        <v>2014 q4</v>
      </c>
    </row>
    <row r="13878" spans="1:3">
      <c r="A13878" s="62">
        <v>41975</v>
      </c>
      <c r="B13878">
        <v>2.9089999999999998</v>
      </c>
      <c r="C13878" t="str">
        <f t="shared" si="221"/>
        <v>2014 q4</v>
      </c>
    </row>
    <row r="13879" spans="1:3">
      <c r="A13879" s="62">
        <v>41976</v>
      </c>
      <c r="B13879">
        <v>2.887</v>
      </c>
      <c r="C13879" t="str">
        <f t="shared" si="221"/>
        <v>2014 q4</v>
      </c>
    </row>
    <row r="13880" spans="1:3">
      <c r="A13880" s="62">
        <v>41977</v>
      </c>
      <c r="B13880">
        <v>2.9264999999999999</v>
      </c>
      <c r="C13880" t="str">
        <f t="shared" si="221"/>
        <v>2014 q4</v>
      </c>
    </row>
    <row r="13881" spans="1:3">
      <c r="A13881" s="62">
        <v>41978</v>
      </c>
      <c r="B13881">
        <v>2.9175</v>
      </c>
      <c r="C13881" t="str">
        <f t="shared" si="221"/>
        <v>2014 q4</v>
      </c>
    </row>
    <row r="13882" spans="1:3">
      <c r="A13882" s="62">
        <v>41981</v>
      </c>
      <c r="B13882">
        <v>2.9024999999999999</v>
      </c>
      <c r="C13882" t="str">
        <f t="shared" si="221"/>
        <v>2014 q4</v>
      </c>
    </row>
    <row r="13883" spans="1:3">
      <c r="A13883" s="62">
        <v>41982</v>
      </c>
      <c r="B13883">
        <v>2.9394999999999998</v>
      </c>
      <c r="C13883" t="str">
        <f t="shared" si="221"/>
        <v>2014 q4</v>
      </c>
    </row>
    <row r="13884" spans="1:3">
      <c r="A13884" s="62">
        <v>41983</v>
      </c>
      <c r="B13884">
        <v>2.9075000000000002</v>
      </c>
      <c r="C13884" t="str">
        <f t="shared" si="221"/>
        <v>2014 q4</v>
      </c>
    </row>
    <row r="13885" spans="1:3">
      <c r="A13885" s="62">
        <v>41984</v>
      </c>
      <c r="B13885">
        <v>2.9359999999999999</v>
      </c>
      <c r="C13885" t="str">
        <f t="shared" si="221"/>
        <v>2014 q4</v>
      </c>
    </row>
    <row r="13886" spans="1:3">
      <c r="A13886" s="62">
        <v>41985</v>
      </c>
      <c r="B13886">
        <v>2.9449999999999998</v>
      </c>
      <c r="C13886" t="str">
        <f t="shared" si="221"/>
        <v>2014 q4</v>
      </c>
    </row>
    <row r="13887" spans="1:3">
      <c r="A13887" s="62">
        <v>41988</v>
      </c>
      <c r="B13887">
        <v>2.8925000000000001</v>
      </c>
      <c r="C13887" t="str">
        <f t="shared" si="221"/>
        <v>2014 q4</v>
      </c>
    </row>
    <row r="13888" spans="1:3">
      <c r="A13888" s="62">
        <v>41989</v>
      </c>
      <c r="B13888">
        <v>2.8725000000000001</v>
      </c>
      <c r="C13888" t="str">
        <f t="shared" si="221"/>
        <v>2014 q4</v>
      </c>
    </row>
    <row r="13889" spans="1:3">
      <c r="A13889" s="62">
        <v>41990</v>
      </c>
      <c r="B13889">
        <v>2.8824999999999998</v>
      </c>
      <c r="C13889" t="str">
        <f t="shared" si="221"/>
        <v>2014 q4</v>
      </c>
    </row>
    <row r="13890" spans="1:3">
      <c r="A13890" s="62">
        <v>41991</v>
      </c>
      <c r="B13890">
        <v>2.867</v>
      </c>
      <c r="C13890" t="str">
        <f t="shared" si="221"/>
        <v>2014 q4</v>
      </c>
    </row>
    <row r="13891" spans="1:3">
      <c r="A13891" s="62">
        <v>41992</v>
      </c>
      <c r="B13891">
        <v>2.9020000000000001</v>
      </c>
      <c r="C13891" t="str">
        <f t="shared" si="221"/>
        <v>2014 q4</v>
      </c>
    </row>
    <row r="13892" spans="1:3">
      <c r="A13892" s="62">
        <v>41995</v>
      </c>
      <c r="B13892">
        <v>2.9</v>
      </c>
      <c r="C13892" t="str">
        <f t="shared" si="221"/>
        <v>2014 q4</v>
      </c>
    </row>
    <row r="13893" spans="1:3">
      <c r="A13893" s="62">
        <v>41996</v>
      </c>
      <c r="B13893">
        <v>2.895</v>
      </c>
      <c r="C13893" t="str">
        <f t="shared" si="221"/>
        <v>2014 q4</v>
      </c>
    </row>
    <row r="13894" spans="1:3">
      <c r="A13894" s="62">
        <v>41997</v>
      </c>
      <c r="B13894">
        <v>2.8702999999999999</v>
      </c>
      <c r="C13894" t="str">
        <f t="shared" si="221"/>
        <v>2014 q4</v>
      </c>
    </row>
    <row r="13895" spans="1:3">
      <c r="A13895" s="62">
        <v>41999</v>
      </c>
      <c r="B13895">
        <v>2.8266</v>
      </c>
      <c r="C13895" t="str">
        <f t="shared" si="221"/>
        <v>2014 q4</v>
      </c>
    </row>
    <row r="13896" spans="1:3">
      <c r="A13896" s="62">
        <v>42002</v>
      </c>
      <c r="B13896">
        <v>2.8292000000000002</v>
      </c>
      <c r="C13896" t="str">
        <f t="shared" si="221"/>
        <v>2014 q4</v>
      </c>
    </row>
    <row r="13897" spans="1:3">
      <c r="A13897" s="62">
        <v>42004</v>
      </c>
      <c r="B13897">
        <v>2.8281000000000001</v>
      </c>
      <c r="C13897" t="str">
        <f t="shared" si="221"/>
        <v>2014 q4</v>
      </c>
    </row>
    <row r="13898" spans="1:3">
      <c r="A13898" s="62">
        <v>42006</v>
      </c>
      <c r="B13898">
        <v>2.8174999999999999</v>
      </c>
      <c r="C13898" t="str">
        <f t="shared" si="221"/>
        <v>2015 q1</v>
      </c>
    </row>
    <row r="13899" spans="1:3">
      <c r="A13899" s="62">
        <v>42009</v>
      </c>
      <c r="B13899">
        <v>2.766</v>
      </c>
      <c r="C13899" t="str">
        <f t="shared" si="221"/>
        <v>2015 q1</v>
      </c>
    </row>
    <row r="13900" spans="1:3">
      <c r="A13900" s="62">
        <v>42010</v>
      </c>
      <c r="B13900">
        <v>2.7669999999999999</v>
      </c>
      <c r="C13900" t="str">
        <f t="shared" si="221"/>
        <v>2015 q1</v>
      </c>
    </row>
    <row r="13901" spans="1:3">
      <c r="A13901" s="62">
        <v>42011</v>
      </c>
      <c r="B13901">
        <v>2.7585000000000002</v>
      </c>
      <c r="C13901" t="str">
        <f t="shared" si="221"/>
        <v>2015 q1</v>
      </c>
    </row>
    <row r="13902" spans="1:3">
      <c r="A13902" s="62">
        <v>42012</v>
      </c>
      <c r="B13902">
        <v>2.7694999999999999</v>
      </c>
      <c r="C13902" t="str">
        <f t="shared" si="221"/>
        <v>2015 q1</v>
      </c>
    </row>
    <row r="13903" spans="1:3">
      <c r="A13903" s="62">
        <v>42013</v>
      </c>
      <c r="B13903">
        <v>2.7545000000000002</v>
      </c>
      <c r="C13903" t="str">
        <f t="shared" si="221"/>
        <v>2015 q1</v>
      </c>
    </row>
    <row r="13904" spans="1:3">
      <c r="A13904" s="62">
        <v>42016</v>
      </c>
      <c r="B13904">
        <v>2.7254999999999998</v>
      </c>
      <c r="C13904" t="str">
        <f t="shared" si="221"/>
        <v>2015 q1</v>
      </c>
    </row>
    <row r="13905" spans="1:3">
      <c r="A13905" s="62">
        <v>42017</v>
      </c>
      <c r="B13905">
        <v>2.6440000000000001</v>
      </c>
      <c r="C13905" t="str">
        <f t="shared" si="221"/>
        <v>2015 q1</v>
      </c>
    </row>
    <row r="13906" spans="1:3">
      <c r="A13906" s="62">
        <v>42018</v>
      </c>
      <c r="B13906">
        <v>2.5055000000000001</v>
      </c>
      <c r="C13906" t="str">
        <f t="shared" ref="C13906:C13969" si="222">YEAR(A13906)&amp;" q"&amp;ROUNDUP(MONTH(A13906)/3,0)</f>
        <v>2015 q1</v>
      </c>
    </row>
    <row r="13907" spans="1:3">
      <c r="A13907" s="62">
        <v>42019</v>
      </c>
      <c r="B13907">
        <v>2.5579999999999998</v>
      </c>
      <c r="C13907" t="str">
        <f t="shared" si="222"/>
        <v>2015 q1</v>
      </c>
    </row>
    <row r="13908" spans="1:3">
      <c r="A13908" s="62">
        <v>42020</v>
      </c>
      <c r="B13908">
        <v>2.617</v>
      </c>
      <c r="C13908" t="str">
        <f t="shared" si="222"/>
        <v>2015 q1</v>
      </c>
    </row>
    <row r="13909" spans="1:3">
      <c r="A13909" s="62">
        <v>42024</v>
      </c>
      <c r="B13909">
        <v>2.5939999999999999</v>
      </c>
      <c r="C13909" t="str">
        <f t="shared" si="222"/>
        <v>2015 q1</v>
      </c>
    </row>
    <row r="13910" spans="1:3">
      <c r="A13910" s="62">
        <v>42025</v>
      </c>
      <c r="B13910">
        <v>2.6124999999999998</v>
      </c>
      <c r="C13910" t="str">
        <f t="shared" si="222"/>
        <v>2015 q1</v>
      </c>
    </row>
    <row r="13911" spans="1:3">
      <c r="A13911" s="62">
        <v>42026</v>
      </c>
      <c r="B13911">
        <v>2.5785</v>
      </c>
      <c r="C13911" t="str">
        <f t="shared" si="222"/>
        <v>2015 q1</v>
      </c>
    </row>
    <row r="13912" spans="1:3">
      <c r="A13912" s="62">
        <v>42027</v>
      </c>
      <c r="B13912">
        <v>2.5015000000000001</v>
      </c>
      <c r="C13912" t="str">
        <f t="shared" si="222"/>
        <v>2015 q1</v>
      </c>
    </row>
    <row r="13913" spans="1:3">
      <c r="A13913" s="62">
        <v>42030</v>
      </c>
      <c r="B13913">
        <v>2.5430000000000001</v>
      </c>
      <c r="C13913" t="str">
        <f t="shared" si="222"/>
        <v>2015 q1</v>
      </c>
    </row>
    <row r="13914" spans="1:3">
      <c r="A13914" s="62">
        <v>42031</v>
      </c>
      <c r="B13914">
        <v>2.4624999999999999</v>
      </c>
      <c r="C13914" t="str">
        <f t="shared" si="222"/>
        <v>2015 q1</v>
      </c>
    </row>
    <row r="13915" spans="1:3">
      <c r="A13915" s="62">
        <v>42033</v>
      </c>
      <c r="B13915">
        <v>2.4514999999999998</v>
      </c>
      <c r="C13915" t="str">
        <f t="shared" si="222"/>
        <v>2015 q1</v>
      </c>
    </row>
    <row r="13916" spans="1:3">
      <c r="A13916" s="62">
        <v>42034</v>
      </c>
      <c r="B13916">
        <v>2.4944999999999999</v>
      </c>
      <c r="C13916" t="str">
        <f t="shared" si="222"/>
        <v>2015 q1</v>
      </c>
    </row>
    <row r="13917" spans="1:3">
      <c r="A13917" s="62">
        <v>42037</v>
      </c>
      <c r="B13917">
        <v>2.4900000000000002</v>
      </c>
      <c r="C13917" t="str">
        <f t="shared" si="222"/>
        <v>2015 q1</v>
      </c>
    </row>
    <row r="13918" spans="1:3">
      <c r="A13918" s="62">
        <v>42038</v>
      </c>
      <c r="B13918">
        <v>2.5815000000000001</v>
      </c>
      <c r="C13918" t="str">
        <f t="shared" si="222"/>
        <v>2015 q1</v>
      </c>
    </row>
    <row r="13919" spans="1:3">
      <c r="A13919" s="62">
        <v>42039</v>
      </c>
      <c r="B13919">
        <v>2.5910000000000002</v>
      </c>
      <c r="C13919" t="str">
        <f t="shared" si="222"/>
        <v>2015 q1</v>
      </c>
    </row>
    <row r="13920" spans="1:3">
      <c r="A13920" s="62">
        <v>42040</v>
      </c>
      <c r="B13920">
        <v>2.5950000000000002</v>
      </c>
      <c r="C13920" t="str">
        <f t="shared" si="222"/>
        <v>2015 q1</v>
      </c>
    </row>
    <row r="13921" spans="1:3">
      <c r="A13921" s="62">
        <v>42041</v>
      </c>
      <c r="B13921">
        <v>2.5855000000000001</v>
      </c>
      <c r="C13921" t="str">
        <f t="shared" si="222"/>
        <v>2015 q1</v>
      </c>
    </row>
    <row r="13922" spans="1:3">
      <c r="A13922" s="62">
        <v>42044</v>
      </c>
      <c r="B13922">
        <v>2.5804999999999998</v>
      </c>
      <c r="C13922" t="str">
        <f t="shared" si="222"/>
        <v>2015 q1</v>
      </c>
    </row>
    <row r="13923" spans="1:3">
      <c r="A13923" s="62">
        <v>42045</v>
      </c>
      <c r="B13923">
        <v>2.5514999999999999</v>
      </c>
      <c r="C13923" t="str">
        <f t="shared" si="222"/>
        <v>2015 q1</v>
      </c>
    </row>
    <row r="13924" spans="1:3">
      <c r="A13924" s="62">
        <v>42046</v>
      </c>
      <c r="B13924">
        <v>2.5409999999999999</v>
      </c>
      <c r="C13924" t="str">
        <f t="shared" si="222"/>
        <v>2015 q1</v>
      </c>
    </row>
    <row r="13925" spans="1:3">
      <c r="A13925" s="62">
        <v>42047</v>
      </c>
      <c r="B13925">
        <v>2.6019999999999999</v>
      </c>
      <c r="C13925" t="str">
        <f t="shared" si="222"/>
        <v>2015 q1</v>
      </c>
    </row>
    <row r="13926" spans="1:3">
      <c r="A13926" s="62">
        <v>42048</v>
      </c>
      <c r="B13926">
        <v>2.605</v>
      </c>
      <c r="C13926" t="str">
        <f t="shared" si="222"/>
        <v>2015 q1</v>
      </c>
    </row>
    <row r="13927" spans="1:3">
      <c r="A13927" s="62">
        <v>42052</v>
      </c>
      <c r="B13927">
        <v>2.5815000000000001</v>
      </c>
      <c r="C13927" t="str">
        <f t="shared" si="222"/>
        <v>2015 q1</v>
      </c>
    </row>
    <row r="13928" spans="1:3">
      <c r="A13928" s="62">
        <v>42053</v>
      </c>
      <c r="B13928">
        <v>2.6145</v>
      </c>
      <c r="C13928" t="str">
        <f t="shared" si="222"/>
        <v>2015 q1</v>
      </c>
    </row>
    <row r="13929" spans="1:3">
      <c r="A13929" s="62">
        <v>42054</v>
      </c>
      <c r="B13929">
        <v>2.62</v>
      </c>
      <c r="C13929" t="str">
        <f t="shared" si="222"/>
        <v>2015 q1</v>
      </c>
    </row>
    <row r="13930" spans="1:3">
      <c r="A13930" s="62">
        <v>42055</v>
      </c>
      <c r="B13930">
        <v>2.5945</v>
      </c>
      <c r="C13930" t="str">
        <f t="shared" si="222"/>
        <v>2015 q1</v>
      </c>
    </row>
    <row r="13931" spans="1:3">
      <c r="A13931" s="62">
        <v>42058</v>
      </c>
      <c r="B13931">
        <v>2.5924999999999998</v>
      </c>
      <c r="C13931" t="str">
        <f t="shared" si="222"/>
        <v>2015 q1</v>
      </c>
    </row>
    <row r="13932" spans="1:3">
      <c r="A13932" s="62">
        <v>42059</v>
      </c>
      <c r="B13932">
        <v>2.6463000000000001</v>
      </c>
      <c r="C13932" t="str">
        <f t="shared" si="222"/>
        <v>2015 q1</v>
      </c>
    </row>
    <row r="13933" spans="1:3">
      <c r="A13933" s="62">
        <v>42060</v>
      </c>
      <c r="B13933">
        <v>2.6555</v>
      </c>
      <c r="C13933" t="str">
        <f t="shared" si="222"/>
        <v>2015 q1</v>
      </c>
    </row>
    <row r="13934" spans="1:3">
      <c r="A13934" s="62">
        <v>42061</v>
      </c>
      <c r="B13934">
        <v>2.7023000000000001</v>
      </c>
      <c r="C13934" t="str">
        <f t="shared" si="222"/>
        <v>2015 q1</v>
      </c>
    </row>
    <row r="13935" spans="1:3">
      <c r="A13935" s="62">
        <v>42062</v>
      </c>
      <c r="B13935">
        <v>2.6964000000000001</v>
      </c>
      <c r="C13935" t="str">
        <f t="shared" si="222"/>
        <v>2015 q1</v>
      </c>
    </row>
    <row r="13936" spans="1:3">
      <c r="A13936" s="62">
        <v>42065</v>
      </c>
      <c r="B13936">
        <v>2.6974999999999998</v>
      </c>
      <c r="C13936" t="str">
        <f t="shared" si="222"/>
        <v>2015 q1</v>
      </c>
    </row>
    <row r="13937" spans="1:3">
      <c r="A13937" s="62">
        <v>42066</v>
      </c>
      <c r="B13937">
        <v>2.6564999999999999</v>
      </c>
      <c r="C13937" t="str">
        <f t="shared" si="222"/>
        <v>2015 q1</v>
      </c>
    </row>
    <row r="13938" spans="1:3">
      <c r="A13938" s="62">
        <v>42067</v>
      </c>
      <c r="B13938">
        <v>2.6595</v>
      </c>
      <c r="C13938" t="str">
        <f t="shared" si="222"/>
        <v>2015 q1</v>
      </c>
    </row>
    <row r="13939" spans="1:3">
      <c r="A13939" s="62">
        <v>42068</v>
      </c>
      <c r="B13939">
        <v>2.6524999999999999</v>
      </c>
      <c r="C13939" t="str">
        <f t="shared" si="222"/>
        <v>2015 q1</v>
      </c>
    </row>
    <row r="13940" spans="1:3">
      <c r="A13940" s="62">
        <v>42069</v>
      </c>
      <c r="B13940">
        <v>2.609</v>
      </c>
      <c r="C13940" t="str">
        <f t="shared" si="222"/>
        <v>2015 q1</v>
      </c>
    </row>
    <row r="13941" spans="1:3">
      <c r="A13941" s="62">
        <v>42072</v>
      </c>
      <c r="B13941">
        <v>2.6705000000000001</v>
      </c>
      <c r="C13941" t="str">
        <f t="shared" si="222"/>
        <v>2015 q1</v>
      </c>
    </row>
    <row r="13942" spans="1:3">
      <c r="A13942" s="62">
        <v>42073</v>
      </c>
      <c r="B13942">
        <v>2.6240000000000001</v>
      </c>
      <c r="C13942" t="str">
        <f t="shared" si="222"/>
        <v>2015 q1</v>
      </c>
    </row>
    <row r="13943" spans="1:3">
      <c r="A13943" s="62">
        <v>42074</v>
      </c>
      <c r="B13943">
        <v>2.6059999999999999</v>
      </c>
      <c r="C13943" t="str">
        <f t="shared" si="222"/>
        <v>2015 q1</v>
      </c>
    </row>
    <row r="13944" spans="1:3">
      <c r="A13944" s="62">
        <v>42075</v>
      </c>
      <c r="B13944">
        <v>2.6585000000000001</v>
      </c>
      <c r="C13944" t="str">
        <f t="shared" si="222"/>
        <v>2015 q1</v>
      </c>
    </row>
    <row r="13945" spans="1:3">
      <c r="A13945" s="62">
        <v>42076</v>
      </c>
      <c r="B13945">
        <v>2.6635</v>
      </c>
      <c r="C13945" t="str">
        <f t="shared" si="222"/>
        <v>2015 q1</v>
      </c>
    </row>
    <row r="13946" spans="1:3">
      <c r="A13946" s="62">
        <v>42079</v>
      </c>
      <c r="B13946">
        <v>2.6675</v>
      </c>
      <c r="C13946" t="str">
        <f t="shared" si="222"/>
        <v>2015 q1</v>
      </c>
    </row>
    <row r="13947" spans="1:3">
      <c r="A13947" s="62">
        <v>42080</v>
      </c>
      <c r="B13947">
        <v>2.633</v>
      </c>
      <c r="C13947" t="str">
        <f t="shared" si="222"/>
        <v>2015 q1</v>
      </c>
    </row>
    <row r="13948" spans="1:3">
      <c r="A13948" s="62">
        <v>42081</v>
      </c>
      <c r="B13948">
        <v>2.5705</v>
      </c>
      <c r="C13948" t="str">
        <f t="shared" si="222"/>
        <v>2015 q1</v>
      </c>
    </row>
    <row r="13949" spans="1:3">
      <c r="A13949" s="62">
        <v>42082</v>
      </c>
      <c r="B13949">
        <v>2.66</v>
      </c>
      <c r="C13949" t="str">
        <f t="shared" si="222"/>
        <v>2015 q1</v>
      </c>
    </row>
    <row r="13950" spans="1:3">
      <c r="A13950" s="62">
        <v>42083</v>
      </c>
      <c r="B13950">
        <v>2.7610000000000001</v>
      </c>
      <c r="C13950" t="str">
        <f t="shared" si="222"/>
        <v>2015 q1</v>
      </c>
    </row>
    <row r="13951" spans="1:3">
      <c r="A13951" s="62">
        <v>42086</v>
      </c>
      <c r="B13951">
        <v>2.7894999999999999</v>
      </c>
      <c r="C13951" t="str">
        <f t="shared" si="222"/>
        <v>2015 q1</v>
      </c>
    </row>
    <row r="13952" spans="1:3">
      <c r="A13952" s="62">
        <v>42087</v>
      </c>
      <c r="B13952">
        <v>2.8029999999999999</v>
      </c>
      <c r="C13952" t="str">
        <f t="shared" si="222"/>
        <v>2015 q1</v>
      </c>
    </row>
    <row r="13953" spans="1:3">
      <c r="A13953" s="62">
        <v>42088</v>
      </c>
      <c r="B13953">
        <v>2.7919999999999998</v>
      </c>
      <c r="C13953" t="str">
        <f t="shared" si="222"/>
        <v>2015 q1</v>
      </c>
    </row>
    <row r="13954" spans="1:3">
      <c r="A13954" s="62">
        <v>42089</v>
      </c>
      <c r="B13954">
        <v>2.8109999999999999</v>
      </c>
      <c r="C13954" t="str">
        <f t="shared" si="222"/>
        <v>2015 q1</v>
      </c>
    </row>
    <row r="13955" spans="1:3">
      <c r="A13955" s="62">
        <v>42090</v>
      </c>
      <c r="B13955">
        <v>2.7675000000000001</v>
      </c>
      <c r="C13955" t="str">
        <f t="shared" si="222"/>
        <v>2015 q1</v>
      </c>
    </row>
    <row r="13956" spans="1:3">
      <c r="A13956" s="62">
        <v>42093</v>
      </c>
      <c r="B13956">
        <v>2.7814999999999999</v>
      </c>
      <c r="C13956" t="str">
        <f t="shared" si="222"/>
        <v>2015 q1</v>
      </c>
    </row>
    <row r="13957" spans="1:3">
      <c r="A13957" s="62">
        <v>42094</v>
      </c>
      <c r="B13957">
        <v>2.74</v>
      </c>
      <c r="C13957" t="str">
        <f t="shared" si="222"/>
        <v>2015 q1</v>
      </c>
    </row>
    <row r="13958" spans="1:3">
      <c r="A13958" s="62">
        <v>42095</v>
      </c>
      <c r="B13958">
        <v>2.7484999999999999</v>
      </c>
      <c r="C13958" t="str">
        <f t="shared" si="222"/>
        <v>2015 q2</v>
      </c>
    </row>
    <row r="13959" spans="1:3">
      <c r="A13959" s="62">
        <v>42096</v>
      </c>
      <c r="B13959">
        <v>2.734</v>
      </c>
      <c r="C13959" t="str">
        <f t="shared" si="222"/>
        <v>2015 q2</v>
      </c>
    </row>
    <row r="13960" spans="1:3">
      <c r="A13960" s="62">
        <v>42100</v>
      </c>
      <c r="B13960">
        <v>2.7170000000000001</v>
      </c>
      <c r="C13960" t="str">
        <f t="shared" si="222"/>
        <v>2015 q2</v>
      </c>
    </row>
    <row r="13961" spans="1:3">
      <c r="A13961" s="62">
        <v>42101</v>
      </c>
      <c r="B13961">
        <v>2.7629999999999999</v>
      </c>
      <c r="C13961" t="str">
        <f t="shared" si="222"/>
        <v>2015 q2</v>
      </c>
    </row>
    <row r="13962" spans="1:3">
      <c r="A13962" s="62">
        <v>42102</v>
      </c>
      <c r="B13962">
        <v>2.7315</v>
      </c>
      <c r="C13962" t="str">
        <f t="shared" si="222"/>
        <v>2015 q2</v>
      </c>
    </row>
    <row r="13963" spans="1:3">
      <c r="A13963" s="62">
        <v>42103</v>
      </c>
      <c r="B13963">
        <v>2.7290000000000001</v>
      </c>
      <c r="C13963" t="str">
        <f t="shared" si="222"/>
        <v>2015 q2</v>
      </c>
    </row>
    <row r="13964" spans="1:3">
      <c r="A13964" s="62">
        <v>42104</v>
      </c>
      <c r="B13964">
        <v>2.734</v>
      </c>
      <c r="C13964" t="str">
        <f t="shared" si="222"/>
        <v>2015 q2</v>
      </c>
    </row>
    <row r="13965" spans="1:3">
      <c r="A13965" s="62">
        <v>42107</v>
      </c>
      <c r="B13965">
        <v>2.7189999999999999</v>
      </c>
      <c r="C13965" t="str">
        <f t="shared" si="222"/>
        <v>2015 q2</v>
      </c>
    </row>
    <row r="13966" spans="1:3">
      <c r="A13966" s="62">
        <v>42108</v>
      </c>
      <c r="B13966">
        <v>2.7</v>
      </c>
      <c r="C13966" t="str">
        <f t="shared" si="222"/>
        <v>2015 q2</v>
      </c>
    </row>
    <row r="13967" spans="1:3">
      <c r="A13967" s="62">
        <v>42109</v>
      </c>
      <c r="B13967">
        <v>2.7124999999999999</v>
      </c>
      <c r="C13967" t="str">
        <f t="shared" si="222"/>
        <v>2015 q2</v>
      </c>
    </row>
    <row r="13968" spans="1:3">
      <c r="A13968" s="62">
        <v>42110</v>
      </c>
      <c r="B13968">
        <v>2.774</v>
      </c>
      <c r="C13968" t="str">
        <f t="shared" si="222"/>
        <v>2015 q2</v>
      </c>
    </row>
    <row r="13969" spans="1:3">
      <c r="A13969" s="62">
        <v>42111</v>
      </c>
      <c r="B13969">
        <v>2.774</v>
      </c>
      <c r="C13969" t="str">
        <f t="shared" si="222"/>
        <v>2015 q2</v>
      </c>
    </row>
    <row r="13970" spans="1:3">
      <c r="A13970" s="62">
        <v>42114</v>
      </c>
      <c r="B13970">
        <v>2.7324999999999999</v>
      </c>
      <c r="C13970" t="str">
        <f t="shared" ref="C13970:C14033" si="223">YEAR(A13970)&amp;" q"&amp;ROUNDUP(MONTH(A13970)/3,0)</f>
        <v>2015 q2</v>
      </c>
    </row>
    <row r="13971" spans="1:3">
      <c r="A13971" s="62">
        <v>42115</v>
      </c>
      <c r="B13971">
        <v>2.702</v>
      </c>
      <c r="C13971" t="str">
        <f t="shared" si="223"/>
        <v>2015 q2</v>
      </c>
    </row>
    <row r="13972" spans="1:3">
      <c r="A13972" s="62">
        <v>42116</v>
      </c>
      <c r="B13972">
        <v>2.6655000000000002</v>
      </c>
      <c r="C13972" t="str">
        <f t="shared" si="223"/>
        <v>2015 q2</v>
      </c>
    </row>
    <row r="13973" spans="1:3">
      <c r="A13973" s="62">
        <v>42117</v>
      </c>
      <c r="B13973">
        <v>2.694</v>
      </c>
      <c r="C13973" t="str">
        <f t="shared" si="223"/>
        <v>2015 q2</v>
      </c>
    </row>
    <row r="13974" spans="1:3">
      <c r="A13974" s="62">
        <v>42118</v>
      </c>
      <c r="B13974">
        <v>2.7480000000000002</v>
      </c>
      <c r="C13974" t="str">
        <f t="shared" si="223"/>
        <v>2015 q2</v>
      </c>
    </row>
    <row r="13975" spans="1:3">
      <c r="A13975" s="62">
        <v>42121</v>
      </c>
      <c r="B13975">
        <v>2.7713999999999999</v>
      </c>
      <c r="C13975" t="str">
        <f t="shared" si="223"/>
        <v>2015 q2</v>
      </c>
    </row>
    <row r="13976" spans="1:3">
      <c r="A13976" s="62">
        <v>42122</v>
      </c>
      <c r="B13976">
        <v>2.7826</v>
      </c>
      <c r="C13976" t="str">
        <f t="shared" si="223"/>
        <v>2015 q2</v>
      </c>
    </row>
    <row r="13977" spans="1:3">
      <c r="A13977" s="62">
        <v>42123</v>
      </c>
      <c r="B13977">
        <v>2.7974000000000001</v>
      </c>
      <c r="C13977" t="str">
        <f t="shared" si="223"/>
        <v>2015 q2</v>
      </c>
    </row>
    <row r="13978" spans="1:3">
      <c r="A13978" s="62">
        <v>42124</v>
      </c>
      <c r="B13978">
        <v>2.8864999999999998</v>
      </c>
      <c r="C13978" t="str">
        <f t="shared" si="223"/>
        <v>2015 q2</v>
      </c>
    </row>
    <row r="13979" spans="1:3">
      <c r="A13979" s="62">
        <v>42125</v>
      </c>
      <c r="B13979">
        <v>2.9295</v>
      </c>
      <c r="C13979" t="str">
        <f t="shared" si="223"/>
        <v>2015 q2</v>
      </c>
    </row>
    <row r="13980" spans="1:3">
      <c r="A13980" s="62">
        <v>42128</v>
      </c>
      <c r="B13980">
        <v>2.9205000000000001</v>
      </c>
      <c r="C13980" t="str">
        <f t="shared" si="223"/>
        <v>2015 q2</v>
      </c>
    </row>
    <row r="13981" spans="1:3">
      <c r="A13981" s="62">
        <v>42129</v>
      </c>
      <c r="B13981">
        <v>2.9350000000000001</v>
      </c>
      <c r="C13981" t="str">
        <f t="shared" si="223"/>
        <v>2015 q2</v>
      </c>
    </row>
    <row r="13982" spans="1:3">
      <c r="A13982" s="62">
        <v>42130</v>
      </c>
      <c r="B13982">
        <v>2.9260000000000002</v>
      </c>
      <c r="C13982" t="str">
        <f t="shared" si="223"/>
        <v>2015 q2</v>
      </c>
    </row>
    <row r="13983" spans="1:3">
      <c r="A13983" s="62">
        <v>42131</v>
      </c>
      <c r="B13983">
        <v>2.9180000000000001</v>
      </c>
      <c r="C13983" t="str">
        <f t="shared" si="223"/>
        <v>2015 q2</v>
      </c>
    </row>
    <row r="13984" spans="1:3">
      <c r="A13984" s="62">
        <v>42132</v>
      </c>
      <c r="B13984">
        <v>2.9205000000000001</v>
      </c>
      <c r="C13984" t="str">
        <f t="shared" si="223"/>
        <v>2015 q2</v>
      </c>
    </row>
    <row r="13985" spans="1:3">
      <c r="A13985" s="62">
        <v>42135</v>
      </c>
      <c r="B13985">
        <v>2.903</v>
      </c>
      <c r="C13985" t="str">
        <f t="shared" si="223"/>
        <v>2015 q2</v>
      </c>
    </row>
    <row r="13986" spans="1:3">
      <c r="A13986" s="62">
        <v>42136</v>
      </c>
      <c r="B13986">
        <v>2.9315000000000002</v>
      </c>
      <c r="C13986" t="str">
        <f t="shared" si="223"/>
        <v>2015 q2</v>
      </c>
    </row>
    <row r="13987" spans="1:3">
      <c r="A13987" s="62">
        <v>42137</v>
      </c>
      <c r="B13987">
        <v>2.9289999999999998</v>
      </c>
      <c r="C13987" t="str">
        <f t="shared" si="223"/>
        <v>2015 q2</v>
      </c>
    </row>
    <row r="13988" spans="1:3">
      <c r="A13988" s="62">
        <v>42138</v>
      </c>
      <c r="B13988">
        <v>2.9235000000000002</v>
      </c>
      <c r="C13988" t="str">
        <f t="shared" si="223"/>
        <v>2015 q2</v>
      </c>
    </row>
    <row r="13989" spans="1:3">
      <c r="A13989" s="62">
        <v>42139</v>
      </c>
      <c r="B13989">
        <v>2.9245000000000001</v>
      </c>
      <c r="C13989" t="str">
        <f t="shared" si="223"/>
        <v>2015 q2</v>
      </c>
    </row>
    <row r="13990" spans="1:3">
      <c r="A13990" s="62">
        <v>42142</v>
      </c>
      <c r="B13990">
        <v>2.9064999999999999</v>
      </c>
      <c r="C13990" t="str">
        <f t="shared" si="223"/>
        <v>2015 q2</v>
      </c>
    </row>
    <row r="13991" spans="1:3">
      <c r="A13991" s="62">
        <v>42143</v>
      </c>
      <c r="B13991">
        <v>2.8374999999999999</v>
      </c>
      <c r="C13991" t="str">
        <f t="shared" si="223"/>
        <v>2015 q2</v>
      </c>
    </row>
    <row r="13992" spans="1:3">
      <c r="A13992" s="62">
        <v>42144</v>
      </c>
      <c r="B13992">
        <v>2.8290000000000002</v>
      </c>
      <c r="C13992" t="str">
        <f t="shared" si="223"/>
        <v>2015 q2</v>
      </c>
    </row>
    <row r="13993" spans="1:3">
      <c r="A13993" s="62">
        <v>42145</v>
      </c>
      <c r="B13993">
        <v>2.8485</v>
      </c>
      <c r="C13993" t="str">
        <f t="shared" si="223"/>
        <v>2015 q2</v>
      </c>
    </row>
    <row r="13994" spans="1:3">
      <c r="A13994" s="62">
        <v>42146</v>
      </c>
      <c r="B13994">
        <v>2.8109999999999999</v>
      </c>
      <c r="C13994" t="str">
        <f t="shared" si="223"/>
        <v>2015 q2</v>
      </c>
    </row>
    <row r="13995" spans="1:3">
      <c r="A13995" s="62">
        <v>42150</v>
      </c>
      <c r="B13995">
        <v>2.778</v>
      </c>
      <c r="C13995" t="str">
        <f t="shared" si="223"/>
        <v>2015 q2</v>
      </c>
    </row>
    <row r="13996" spans="1:3">
      <c r="A13996" s="62">
        <v>42151</v>
      </c>
      <c r="B13996">
        <v>2.7685</v>
      </c>
      <c r="C13996" t="str">
        <f t="shared" si="223"/>
        <v>2015 q2</v>
      </c>
    </row>
    <row r="13997" spans="1:3">
      <c r="A13997" s="62">
        <v>42152</v>
      </c>
      <c r="B13997">
        <v>2.7675000000000001</v>
      </c>
      <c r="C13997" t="str">
        <f t="shared" si="223"/>
        <v>2015 q2</v>
      </c>
    </row>
    <row r="13998" spans="1:3">
      <c r="A13998" s="62">
        <v>42153</v>
      </c>
      <c r="B13998">
        <v>2.7280000000000002</v>
      </c>
      <c r="C13998" t="str">
        <f t="shared" si="223"/>
        <v>2015 q2</v>
      </c>
    </row>
    <row r="13999" spans="1:3">
      <c r="A13999" s="62">
        <v>42156</v>
      </c>
      <c r="B13999">
        <v>2.72</v>
      </c>
      <c r="C13999" t="str">
        <f t="shared" si="223"/>
        <v>2015 q2</v>
      </c>
    </row>
    <row r="14000" spans="1:3">
      <c r="A14000" s="62">
        <v>42157</v>
      </c>
      <c r="B14000">
        <v>2.7360000000000002</v>
      </c>
      <c r="C14000" t="str">
        <f t="shared" si="223"/>
        <v>2015 q2</v>
      </c>
    </row>
    <row r="14001" spans="1:3">
      <c r="A14001" s="62">
        <v>42158</v>
      </c>
      <c r="B14001">
        <v>2.7265000000000001</v>
      </c>
      <c r="C14001" t="str">
        <f t="shared" si="223"/>
        <v>2015 q2</v>
      </c>
    </row>
    <row r="14002" spans="1:3">
      <c r="A14002" s="62">
        <v>42159</v>
      </c>
      <c r="B14002">
        <v>2.6869999999999998</v>
      </c>
      <c r="C14002" t="str">
        <f t="shared" si="223"/>
        <v>2015 q2</v>
      </c>
    </row>
    <row r="14003" spans="1:3">
      <c r="A14003" s="62">
        <v>42160</v>
      </c>
      <c r="B14003">
        <v>2.6924999999999999</v>
      </c>
      <c r="C14003" t="str">
        <f t="shared" si="223"/>
        <v>2015 q2</v>
      </c>
    </row>
    <row r="14004" spans="1:3">
      <c r="A14004" s="62">
        <v>42163</v>
      </c>
      <c r="B14004">
        <v>2.6964999999999999</v>
      </c>
      <c r="C14004" t="str">
        <f t="shared" si="223"/>
        <v>2015 q2</v>
      </c>
    </row>
    <row r="14005" spans="1:3">
      <c r="A14005" s="62">
        <v>42164</v>
      </c>
      <c r="B14005">
        <v>2.714</v>
      </c>
      <c r="C14005" t="str">
        <f t="shared" si="223"/>
        <v>2015 q2</v>
      </c>
    </row>
    <row r="14006" spans="1:3">
      <c r="A14006" s="62">
        <v>42165</v>
      </c>
      <c r="B14006">
        <v>2.7469999999999999</v>
      </c>
      <c r="C14006" t="str">
        <f t="shared" si="223"/>
        <v>2015 q2</v>
      </c>
    </row>
    <row r="14007" spans="1:3">
      <c r="A14007" s="62">
        <v>42166</v>
      </c>
      <c r="B14007">
        <v>2.669</v>
      </c>
      <c r="C14007" t="str">
        <f t="shared" si="223"/>
        <v>2015 q2</v>
      </c>
    </row>
    <row r="14008" spans="1:3">
      <c r="A14008" s="62">
        <v>42167</v>
      </c>
      <c r="B14008">
        <v>2.6779999999999999</v>
      </c>
      <c r="C14008" t="str">
        <f t="shared" si="223"/>
        <v>2015 q2</v>
      </c>
    </row>
    <row r="14009" spans="1:3">
      <c r="A14009" s="62">
        <v>42170</v>
      </c>
      <c r="B14009">
        <v>2.6469999999999998</v>
      </c>
      <c r="C14009" t="str">
        <f t="shared" si="223"/>
        <v>2015 q2</v>
      </c>
    </row>
    <row r="14010" spans="1:3">
      <c r="A14010" s="62">
        <v>42171</v>
      </c>
      <c r="B14010">
        <v>2.6154999999999999</v>
      </c>
      <c r="C14010" t="str">
        <f t="shared" si="223"/>
        <v>2015 q2</v>
      </c>
    </row>
    <row r="14011" spans="1:3">
      <c r="A14011" s="62">
        <v>42172</v>
      </c>
      <c r="B14011">
        <v>2.6040000000000001</v>
      </c>
      <c r="C14011" t="str">
        <f t="shared" si="223"/>
        <v>2015 q2</v>
      </c>
    </row>
    <row r="14012" spans="1:3">
      <c r="A14012" s="62">
        <v>42173</v>
      </c>
      <c r="B14012">
        <v>2.6059999999999999</v>
      </c>
      <c r="C14012" t="str">
        <f t="shared" si="223"/>
        <v>2015 q2</v>
      </c>
    </row>
    <row r="14013" spans="1:3">
      <c r="A14013" s="62">
        <v>42174</v>
      </c>
      <c r="B14013">
        <v>2.569</v>
      </c>
      <c r="C14013" t="str">
        <f t="shared" si="223"/>
        <v>2015 q2</v>
      </c>
    </row>
    <row r="14014" spans="1:3">
      <c r="A14014" s="62">
        <v>42177</v>
      </c>
      <c r="B14014">
        <v>2.5670000000000002</v>
      </c>
      <c r="C14014" t="str">
        <f t="shared" si="223"/>
        <v>2015 q2</v>
      </c>
    </row>
    <row r="14015" spans="1:3">
      <c r="A14015" s="62">
        <v>42178</v>
      </c>
      <c r="B14015">
        <v>2.613</v>
      </c>
      <c r="C14015" t="str">
        <f t="shared" si="223"/>
        <v>2015 q2</v>
      </c>
    </row>
    <row r="14016" spans="1:3">
      <c r="A14016" s="62">
        <v>42179</v>
      </c>
      <c r="B14016">
        <v>2.6244999999999998</v>
      </c>
      <c r="C14016" t="str">
        <f t="shared" si="223"/>
        <v>2015 q2</v>
      </c>
    </row>
    <row r="14017" spans="1:3">
      <c r="A14017" s="62">
        <v>42180</v>
      </c>
      <c r="B14017">
        <v>2.6223000000000001</v>
      </c>
      <c r="C14017" t="str">
        <f t="shared" si="223"/>
        <v>2015 q2</v>
      </c>
    </row>
    <row r="14018" spans="1:3">
      <c r="A14018" s="62">
        <v>42181</v>
      </c>
      <c r="B14018">
        <v>2.6408999999999998</v>
      </c>
      <c r="C14018" t="str">
        <f t="shared" si="223"/>
        <v>2015 q2</v>
      </c>
    </row>
    <row r="14019" spans="1:3">
      <c r="A14019" s="62">
        <v>42184</v>
      </c>
      <c r="B14019">
        <v>2.6355</v>
      </c>
      <c r="C14019" t="str">
        <f t="shared" si="223"/>
        <v>2015 q2</v>
      </c>
    </row>
    <row r="14020" spans="1:3">
      <c r="A14020" s="62">
        <v>42185</v>
      </c>
      <c r="B14020">
        <v>2.6166999999999998</v>
      </c>
      <c r="C14020" t="str">
        <f t="shared" si="223"/>
        <v>2015 q2</v>
      </c>
    </row>
    <row r="14021" spans="1:3">
      <c r="A14021" s="62">
        <v>42186</v>
      </c>
      <c r="B14021">
        <v>2.6305000000000001</v>
      </c>
      <c r="C14021" t="str">
        <f t="shared" si="223"/>
        <v>2015 q3</v>
      </c>
    </row>
    <row r="14022" spans="1:3">
      <c r="A14022" s="62">
        <v>42187</v>
      </c>
      <c r="B14022">
        <v>2.6309999999999998</v>
      </c>
      <c r="C14022" t="str">
        <f t="shared" si="223"/>
        <v>2015 q3</v>
      </c>
    </row>
    <row r="14023" spans="1:3">
      <c r="A14023" s="62">
        <v>42191</v>
      </c>
      <c r="B14023">
        <v>2.5379999999999998</v>
      </c>
      <c r="C14023" t="str">
        <f t="shared" si="223"/>
        <v>2015 q3</v>
      </c>
    </row>
    <row r="14024" spans="1:3">
      <c r="A14024" s="62">
        <v>42192</v>
      </c>
      <c r="B14024">
        <v>2.4464999999999999</v>
      </c>
      <c r="C14024" t="str">
        <f t="shared" si="223"/>
        <v>2015 q3</v>
      </c>
    </row>
    <row r="14025" spans="1:3">
      <c r="A14025" s="62">
        <v>42193</v>
      </c>
      <c r="B14025">
        <v>2.4969999999999999</v>
      </c>
      <c r="C14025" t="str">
        <f t="shared" si="223"/>
        <v>2015 q3</v>
      </c>
    </row>
    <row r="14026" spans="1:3">
      <c r="A14026" s="62">
        <v>42194</v>
      </c>
      <c r="B14026">
        <v>2.5514999999999999</v>
      </c>
      <c r="C14026" t="str">
        <f t="shared" si="223"/>
        <v>2015 q3</v>
      </c>
    </row>
    <row r="14027" spans="1:3">
      <c r="A14027" s="62">
        <v>42195</v>
      </c>
      <c r="B14027">
        <v>2.5375000000000001</v>
      </c>
      <c r="C14027" t="str">
        <f t="shared" si="223"/>
        <v>2015 q3</v>
      </c>
    </row>
    <row r="14028" spans="1:3">
      <c r="A14028" s="62">
        <v>42198</v>
      </c>
      <c r="B14028">
        <v>2.5445000000000002</v>
      </c>
      <c r="C14028" t="str">
        <f t="shared" si="223"/>
        <v>2015 q3</v>
      </c>
    </row>
    <row r="14029" spans="1:3">
      <c r="A14029" s="62">
        <v>42199</v>
      </c>
      <c r="B14029">
        <v>2.5350000000000001</v>
      </c>
      <c r="C14029" t="str">
        <f t="shared" si="223"/>
        <v>2015 q3</v>
      </c>
    </row>
    <row r="14030" spans="1:3">
      <c r="A14030" s="62">
        <v>42200</v>
      </c>
      <c r="B14030">
        <v>2.5215000000000001</v>
      </c>
      <c r="C14030" t="str">
        <f t="shared" si="223"/>
        <v>2015 q3</v>
      </c>
    </row>
    <row r="14031" spans="1:3">
      <c r="A14031" s="62">
        <v>42201</v>
      </c>
      <c r="B14031">
        <v>2.5230000000000001</v>
      </c>
      <c r="C14031" t="str">
        <f t="shared" si="223"/>
        <v>2015 q3</v>
      </c>
    </row>
    <row r="14032" spans="1:3">
      <c r="A14032" s="62">
        <v>42202</v>
      </c>
      <c r="B14032">
        <v>2.496</v>
      </c>
      <c r="C14032" t="str">
        <f t="shared" si="223"/>
        <v>2015 q3</v>
      </c>
    </row>
    <row r="14033" spans="1:3">
      <c r="A14033" s="62">
        <v>42205</v>
      </c>
      <c r="B14033">
        <v>2.4815</v>
      </c>
      <c r="C14033" t="str">
        <f t="shared" si="223"/>
        <v>2015 q3</v>
      </c>
    </row>
    <row r="14034" spans="1:3">
      <c r="A14034" s="62">
        <v>42206</v>
      </c>
      <c r="B14034">
        <v>2.4744999999999999</v>
      </c>
      <c r="C14034" t="str">
        <f t="shared" ref="C14034:C14097" si="224">YEAR(A14034)&amp;" q"&amp;ROUNDUP(MONTH(A14034)/3,0)</f>
        <v>2015 q3</v>
      </c>
    </row>
    <row r="14035" spans="1:3">
      <c r="A14035" s="62">
        <v>42207</v>
      </c>
      <c r="B14035">
        <v>2.4279999999999999</v>
      </c>
      <c r="C14035" t="str">
        <f t="shared" si="224"/>
        <v>2015 q3</v>
      </c>
    </row>
    <row r="14036" spans="1:3">
      <c r="A14036" s="62">
        <v>42208</v>
      </c>
      <c r="B14036">
        <v>2.3855</v>
      </c>
      <c r="C14036" t="str">
        <f t="shared" si="224"/>
        <v>2015 q3</v>
      </c>
    </row>
    <row r="14037" spans="1:3">
      <c r="A14037" s="62">
        <v>42209</v>
      </c>
      <c r="B14037">
        <v>2.3824999999999998</v>
      </c>
      <c r="C14037" t="str">
        <f t="shared" si="224"/>
        <v>2015 q3</v>
      </c>
    </row>
    <row r="14038" spans="1:3">
      <c r="A14038" s="62">
        <v>42212</v>
      </c>
      <c r="B14038">
        <v>2.3534999999999999</v>
      </c>
      <c r="C14038" t="str">
        <f t="shared" si="224"/>
        <v>2015 q3</v>
      </c>
    </row>
    <row r="14039" spans="1:3">
      <c r="A14039" s="62">
        <v>42213</v>
      </c>
      <c r="B14039">
        <v>2.4024999999999999</v>
      </c>
      <c r="C14039" t="str">
        <f t="shared" si="224"/>
        <v>2015 q3</v>
      </c>
    </row>
    <row r="14040" spans="1:3">
      <c r="A14040" s="62">
        <v>42214</v>
      </c>
      <c r="B14040">
        <v>2.4075000000000002</v>
      </c>
      <c r="C14040" t="str">
        <f t="shared" si="224"/>
        <v>2015 q3</v>
      </c>
    </row>
    <row r="14041" spans="1:3">
      <c r="A14041" s="62">
        <v>42215</v>
      </c>
      <c r="B14041">
        <v>2.3769999999999998</v>
      </c>
      <c r="C14041" t="str">
        <f t="shared" si="224"/>
        <v>2015 q3</v>
      </c>
    </row>
    <row r="14042" spans="1:3">
      <c r="A14042" s="62">
        <v>42216</v>
      </c>
      <c r="B14042">
        <v>2.3635000000000002</v>
      </c>
      <c r="C14042" t="str">
        <f t="shared" si="224"/>
        <v>2015 q3</v>
      </c>
    </row>
    <row r="14043" spans="1:3">
      <c r="A14043" s="62">
        <v>42219</v>
      </c>
      <c r="B14043">
        <v>2.3460000000000001</v>
      </c>
      <c r="C14043" t="str">
        <f t="shared" si="224"/>
        <v>2015 q3</v>
      </c>
    </row>
    <row r="14044" spans="1:3">
      <c r="A14044" s="62">
        <v>42220</v>
      </c>
      <c r="B14044">
        <v>2.3620000000000001</v>
      </c>
      <c r="C14044" t="str">
        <f t="shared" si="224"/>
        <v>2015 q3</v>
      </c>
    </row>
    <row r="14045" spans="1:3">
      <c r="A14045" s="62">
        <v>42221</v>
      </c>
      <c r="B14045">
        <v>2.3485</v>
      </c>
      <c r="C14045" t="str">
        <f t="shared" si="224"/>
        <v>2015 q3</v>
      </c>
    </row>
    <row r="14046" spans="1:3">
      <c r="A14046" s="62">
        <v>42222</v>
      </c>
      <c r="B14046">
        <v>2.3410000000000002</v>
      </c>
      <c r="C14046" t="str">
        <f t="shared" si="224"/>
        <v>2015 q3</v>
      </c>
    </row>
    <row r="14047" spans="1:3">
      <c r="A14047" s="62">
        <v>42223</v>
      </c>
      <c r="B14047">
        <v>2.3325</v>
      </c>
      <c r="C14047" t="str">
        <f t="shared" si="224"/>
        <v>2015 q3</v>
      </c>
    </row>
    <row r="14048" spans="1:3">
      <c r="A14048" s="62">
        <v>42226</v>
      </c>
      <c r="B14048">
        <v>2.4</v>
      </c>
      <c r="C14048" t="str">
        <f t="shared" si="224"/>
        <v>2015 q3</v>
      </c>
    </row>
    <row r="14049" spans="1:3">
      <c r="A14049" s="62">
        <v>42227</v>
      </c>
      <c r="B14049">
        <v>2.3315000000000001</v>
      </c>
      <c r="C14049" t="str">
        <f t="shared" si="224"/>
        <v>2015 q3</v>
      </c>
    </row>
    <row r="14050" spans="1:3">
      <c r="A14050" s="62">
        <v>42228</v>
      </c>
      <c r="B14050">
        <v>2.35</v>
      </c>
      <c r="C14050" t="str">
        <f t="shared" si="224"/>
        <v>2015 q3</v>
      </c>
    </row>
    <row r="14051" spans="1:3">
      <c r="A14051" s="62">
        <v>42229</v>
      </c>
      <c r="B14051">
        <v>2.3530000000000002</v>
      </c>
      <c r="C14051" t="str">
        <f t="shared" si="224"/>
        <v>2015 q3</v>
      </c>
    </row>
    <row r="14052" spans="1:3">
      <c r="A14052" s="62">
        <v>42230</v>
      </c>
      <c r="B14052">
        <v>2.3515000000000001</v>
      </c>
      <c r="C14052" t="str">
        <f t="shared" si="224"/>
        <v>2015 q3</v>
      </c>
    </row>
    <row r="14053" spans="1:3">
      <c r="A14053" s="62">
        <v>42233</v>
      </c>
      <c r="B14053">
        <v>2.3210000000000002</v>
      </c>
      <c r="C14053" t="str">
        <f t="shared" si="224"/>
        <v>2015 q3</v>
      </c>
    </row>
    <row r="14054" spans="1:3">
      <c r="A14054" s="62">
        <v>42234</v>
      </c>
      <c r="B14054">
        <v>2.2869999999999999</v>
      </c>
      <c r="C14054" t="str">
        <f t="shared" si="224"/>
        <v>2015 q3</v>
      </c>
    </row>
    <row r="14055" spans="1:3">
      <c r="A14055" s="62">
        <v>42235</v>
      </c>
      <c r="B14055">
        <v>2.2759999999999998</v>
      </c>
      <c r="C14055" t="str">
        <f t="shared" si="224"/>
        <v>2015 q3</v>
      </c>
    </row>
    <row r="14056" spans="1:3">
      <c r="A14056" s="62">
        <v>42236</v>
      </c>
      <c r="B14056">
        <v>2.3195000000000001</v>
      </c>
      <c r="C14056" t="str">
        <f t="shared" si="224"/>
        <v>2015 q3</v>
      </c>
    </row>
    <row r="14057" spans="1:3">
      <c r="A14057" s="62">
        <v>42237</v>
      </c>
      <c r="B14057">
        <v>2.3035000000000001</v>
      </c>
      <c r="C14057" t="str">
        <f t="shared" si="224"/>
        <v>2015 q3</v>
      </c>
    </row>
    <row r="14058" spans="1:3">
      <c r="A14058" s="62">
        <v>42240</v>
      </c>
      <c r="B14058">
        <v>2.2589999999999999</v>
      </c>
      <c r="C14058" t="str">
        <f t="shared" si="224"/>
        <v>2015 q3</v>
      </c>
    </row>
    <row r="14059" spans="1:3">
      <c r="A14059" s="62">
        <v>42241</v>
      </c>
      <c r="B14059">
        <v>2.3134999999999999</v>
      </c>
      <c r="C14059" t="str">
        <f t="shared" si="224"/>
        <v>2015 q3</v>
      </c>
    </row>
    <row r="14060" spans="1:3">
      <c r="A14060" s="62">
        <v>42242</v>
      </c>
      <c r="B14060">
        <v>2.2454000000000001</v>
      </c>
      <c r="C14060" t="str">
        <f t="shared" si="224"/>
        <v>2015 q3</v>
      </c>
    </row>
    <row r="14061" spans="1:3">
      <c r="A14061" s="62">
        <v>42243</v>
      </c>
      <c r="B14061">
        <v>2.3317999999999999</v>
      </c>
      <c r="C14061" t="str">
        <f t="shared" si="224"/>
        <v>2015 q3</v>
      </c>
    </row>
    <row r="14062" spans="1:3">
      <c r="A14062" s="62">
        <v>42244</v>
      </c>
      <c r="B14062">
        <v>2.3462000000000001</v>
      </c>
      <c r="C14062" t="str">
        <f t="shared" si="224"/>
        <v>2015 q3</v>
      </c>
    </row>
    <row r="14063" spans="1:3">
      <c r="A14063" s="62">
        <v>42247</v>
      </c>
      <c r="B14063">
        <v>2.3376000000000001</v>
      </c>
      <c r="C14063" t="str">
        <f t="shared" si="224"/>
        <v>2015 q3</v>
      </c>
    </row>
    <row r="14064" spans="1:3">
      <c r="A14064" s="62">
        <v>42248</v>
      </c>
      <c r="B14064">
        <v>2.3014999999999999</v>
      </c>
      <c r="C14064" t="str">
        <f t="shared" si="224"/>
        <v>2015 q3</v>
      </c>
    </row>
    <row r="14065" spans="1:3">
      <c r="A14065" s="62">
        <v>42249</v>
      </c>
      <c r="B14065">
        <v>2.3294999999999999</v>
      </c>
      <c r="C14065" t="str">
        <f t="shared" si="224"/>
        <v>2015 q3</v>
      </c>
    </row>
    <row r="14066" spans="1:3">
      <c r="A14066" s="62">
        <v>42250</v>
      </c>
      <c r="B14066">
        <v>2.3845000000000001</v>
      </c>
      <c r="C14066" t="str">
        <f t="shared" si="224"/>
        <v>2015 q3</v>
      </c>
    </row>
    <row r="14067" spans="1:3">
      <c r="A14067" s="62">
        <v>42251</v>
      </c>
      <c r="B14067">
        <v>2.3119999999999998</v>
      </c>
      <c r="C14067" t="str">
        <f t="shared" si="224"/>
        <v>2015 q3</v>
      </c>
    </row>
    <row r="14068" spans="1:3">
      <c r="A14068" s="62">
        <v>42255</v>
      </c>
      <c r="B14068">
        <v>2.4340000000000002</v>
      </c>
      <c r="C14068" t="str">
        <f t="shared" si="224"/>
        <v>2015 q3</v>
      </c>
    </row>
    <row r="14069" spans="1:3">
      <c r="A14069" s="62">
        <v>42256</v>
      </c>
      <c r="B14069">
        <v>2.4365000000000001</v>
      </c>
      <c r="C14069" t="str">
        <f t="shared" si="224"/>
        <v>2015 q3</v>
      </c>
    </row>
    <row r="14070" spans="1:3">
      <c r="A14070" s="62">
        <v>42257</v>
      </c>
      <c r="B14070">
        <v>2.4470000000000001</v>
      </c>
      <c r="C14070" t="str">
        <f t="shared" si="224"/>
        <v>2015 q3</v>
      </c>
    </row>
    <row r="14071" spans="1:3">
      <c r="A14071" s="62">
        <v>42258</v>
      </c>
      <c r="B14071">
        <v>2.4535</v>
      </c>
      <c r="C14071" t="str">
        <f t="shared" si="224"/>
        <v>2015 q3</v>
      </c>
    </row>
    <row r="14072" spans="1:3">
      <c r="A14072" s="62">
        <v>42261</v>
      </c>
      <c r="B14072">
        <v>2.4055</v>
      </c>
      <c r="C14072" t="str">
        <f t="shared" si="224"/>
        <v>2015 q3</v>
      </c>
    </row>
    <row r="14073" spans="1:3">
      <c r="A14073" s="62">
        <v>42262</v>
      </c>
      <c r="B14073">
        <v>2.4264999999999999</v>
      </c>
      <c r="C14073" t="str">
        <f t="shared" si="224"/>
        <v>2015 q3</v>
      </c>
    </row>
    <row r="14074" spans="1:3">
      <c r="A14074" s="62">
        <v>42263</v>
      </c>
      <c r="B14074">
        <v>2.452</v>
      </c>
      <c r="C14074" t="str">
        <f t="shared" si="224"/>
        <v>2015 q3</v>
      </c>
    </row>
    <row r="14075" spans="1:3">
      <c r="A14075" s="62">
        <v>42264</v>
      </c>
      <c r="B14075">
        <v>2.452</v>
      </c>
      <c r="C14075" t="str">
        <f t="shared" si="224"/>
        <v>2015 q3</v>
      </c>
    </row>
    <row r="14076" spans="1:3">
      <c r="A14076" s="62">
        <v>42265</v>
      </c>
      <c r="B14076">
        <v>2.3860000000000001</v>
      </c>
      <c r="C14076" t="str">
        <f t="shared" si="224"/>
        <v>2015 q3</v>
      </c>
    </row>
    <row r="14077" spans="1:3">
      <c r="A14077" s="62">
        <v>42268</v>
      </c>
      <c r="B14077">
        <v>2.3885000000000001</v>
      </c>
      <c r="C14077" t="str">
        <f t="shared" si="224"/>
        <v>2015 q3</v>
      </c>
    </row>
    <row r="14078" spans="1:3">
      <c r="A14078" s="62">
        <v>42269</v>
      </c>
      <c r="B14078">
        <v>2.2974999999999999</v>
      </c>
      <c r="C14078" t="str">
        <f t="shared" si="224"/>
        <v>2015 q3</v>
      </c>
    </row>
    <row r="14079" spans="1:3">
      <c r="A14079" s="62">
        <v>42270</v>
      </c>
      <c r="B14079">
        <v>2.2955000000000001</v>
      </c>
      <c r="C14079" t="str">
        <f t="shared" si="224"/>
        <v>2015 q3</v>
      </c>
    </row>
    <row r="14080" spans="1:3">
      <c r="A14080" s="62">
        <v>42271</v>
      </c>
      <c r="B14080">
        <v>2.3025000000000002</v>
      </c>
      <c r="C14080" t="str">
        <f t="shared" si="224"/>
        <v>2015 q3</v>
      </c>
    </row>
    <row r="14081" spans="1:3">
      <c r="A14081" s="62">
        <v>42272</v>
      </c>
      <c r="B14081">
        <v>2.2835000000000001</v>
      </c>
      <c r="C14081" t="str">
        <f t="shared" si="224"/>
        <v>2015 q3</v>
      </c>
    </row>
    <row r="14082" spans="1:3">
      <c r="A14082" s="62">
        <v>42275</v>
      </c>
      <c r="B14082">
        <v>2.2515000000000001</v>
      </c>
      <c r="C14082" t="str">
        <f t="shared" si="224"/>
        <v>2015 q3</v>
      </c>
    </row>
    <row r="14083" spans="1:3">
      <c r="A14083" s="62">
        <v>42276</v>
      </c>
      <c r="B14083">
        <v>2.2515000000000001</v>
      </c>
      <c r="C14083" t="str">
        <f t="shared" si="224"/>
        <v>2015 q3</v>
      </c>
    </row>
    <row r="14084" spans="1:3">
      <c r="A14084" s="62">
        <v>42277</v>
      </c>
      <c r="B14084">
        <v>2.3410000000000002</v>
      </c>
      <c r="C14084" t="str">
        <f t="shared" si="224"/>
        <v>2015 q3</v>
      </c>
    </row>
    <row r="14085" spans="1:3">
      <c r="A14085" s="62">
        <v>42278</v>
      </c>
      <c r="B14085">
        <v>2.3045</v>
      </c>
      <c r="C14085" t="str">
        <f t="shared" si="224"/>
        <v>2015 q4</v>
      </c>
    </row>
    <row r="14086" spans="1:3">
      <c r="A14086" s="62">
        <v>42279</v>
      </c>
      <c r="B14086">
        <v>2.3254999999999999</v>
      </c>
      <c r="C14086" t="str">
        <f t="shared" si="224"/>
        <v>2015 q4</v>
      </c>
    </row>
    <row r="14087" spans="1:3">
      <c r="A14087" s="62">
        <v>42282</v>
      </c>
      <c r="B14087">
        <v>2.3555000000000001</v>
      </c>
      <c r="C14087" t="str">
        <f t="shared" si="224"/>
        <v>2015 q4</v>
      </c>
    </row>
    <row r="14088" spans="1:3">
      <c r="A14088" s="62">
        <v>42283</v>
      </c>
      <c r="B14088">
        <v>2.355</v>
      </c>
      <c r="C14088" t="str">
        <f t="shared" si="224"/>
        <v>2015 q4</v>
      </c>
    </row>
    <row r="14089" spans="1:3">
      <c r="A14089" s="62">
        <v>42284</v>
      </c>
      <c r="B14089">
        <v>2.367</v>
      </c>
      <c r="C14089" t="str">
        <f t="shared" si="224"/>
        <v>2015 q4</v>
      </c>
    </row>
    <row r="14090" spans="1:3">
      <c r="A14090" s="62">
        <v>42285</v>
      </c>
      <c r="B14090">
        <v>2.343</v>
      </c>
      <c r="C14090" t="str">
        <f t="shared" si="224"/>
        <v>2015 q4</v>
      </c>
    </row>
    <row r="14091" spans="1:3">
      <c r="A14091" s="62">
        <v>42286</v>
      </c>
      <c r="B14091">
        <v>2.4140000000000001</v>
      </c>
      <c r="C14091" t="str">
        <f t="shared" si="224"/>
        <v>2015 q4</v>
      </c>
    </row>
    <row r="14092" spans="1:3">
      <c r="A14092" s="62">
        <v>42289</v>
      </c>
      <c r="B14092">
        <v>2.4155000000000002</v>
      </c>
      <c r="C14092" t="str">
        <f t="shared" si="224"/>
        <v>2015 q4</v>
      </c>
    </row>
    <row r="14093" spans="1:3">
      <c r="A14093" s="62">
        <v>42290</v>
      </c>
      <c r="B14093">
        <v>2.3875000000000002</v>
      </c>
      <c r="C14093" t="str">
        <f t="shared" si="224"/>
        <v>2015 q4</v>
      </c>
    </row>
    <row r="14094" spans="1:3">
      <c r="A14094" s="62">
        <v>42291</v>
      </c>
      <c r="B14094">
        <v>2.4155000000000002</v>
      </c>
      <c r="C14094" t="str">
        <f t="shared" si="224"/>
        <v>2015 q4</v>
      </c>
    </row>
    <row r="14095" spans="1:3">
      <c r="A14095" s="62">
        <v>42292</v>
      </c>
      <c r="B14095">
        <v>2.423</v>
      </c>
      <c r="C14095" t="str">
        <f t="shared" si="224"/>
        <v>2015 q4</v>
      </c>
    </row>
    <row r="14096" spans="1:3">
      <c r="A14096" s="62">
        <v>42293</v>
      </c>
      <c r="B14096">
        <v>2.4035000000000002</v>
      </c>
      <c r="C14096" t="str">
        <f t="shared" si="224"/>
        <v>2015 q4</v>
      </c>
    </row>
    <row r="14097" spans="1:3">
      <c r="A14097" s="62">
        <v>42296</v>
      </c>
      <c r="B14097">
        <v>2.3675000000000002</v>
      </c>
      <c r="C14097" t="str">
        <f t="shared" si="224"/>
        <v>2015 q4</v>
      </c>
    </row>
    <row r="14098" spans="1:3">
      <c r="A14098" s="62">
        <v>42297</v>
      </c>
      <c r="B14098">
        <v>2.3654999999999999</v>
      </c>
      <c r="C14098" t="str">
        <f t="shared" ref="C14098:C14161" si="225">YEAR(A14098)&amp;" q"&amp;ROUNDUP(MONTH(A14098)/3,0)</f>
        <v>2015 q4</v>
      </c>
    </row>
    <row r="14099" spans="1:3">
      <c r="A14099" s="62">
        <v>42298</v>
      </c>
      <c r="B14099">
        <v>2.3605</v>
      </c>
      <c r="C14099" t="str">
        <f t="shared" si="225"/>
        <v>2015 q4</v>
      </c>
    </row>
    <row r="14100" spans="1:3">
      <c r="A14100" s="62">
        <v>42299</v>
      </c>
      <c r="B14100">
        <v>2.3835000000000002</v>
      </c>
      <c r="C14100" t="str">
        <f t="shared" si="225"/>
        <v>2015 q4</v>
      </c>
    </row>
    <row r="14101" spans="1:3">
      <c r="A14101" s="62">
        <v>42300</v>
      </c>
      <c r="B14101">
        <v>2.35</v>
      </c>
      <c r="C14101" t="str">
        <f t="shared" si="225"/>
        <v>2015 q4</v>
      </c>
    </row>
    <row r="14102" spans="1:3">
      <c r="A14102" s="62">
        <v>42303</v>
      </c>
      <c r="B14102">
        <v>2.3570000000000002</v>
      </c>
      <c r="C14102" t="str">
        <f t="shared" si="225"/>
        <v>2015 q4</v>
      </c>
    </row>
    <row r="14103" spans="1:3">
      <c r="A14103" s="62">
        <v>42304</v>
      </c>
      <c r="B14103">
        <v>2.3620000000000001</v>
      </c>
      <c r="C14103" t="str">
        <f t="shared" si="225"/>
        <v>2015 q4</v>
      </c>
    </row>
    <row r="14104" spans="1:3">
      <c r="A14104" s="62">
        <v>42305</v>
      </c>
      <c r="B14104">
        <v>2.3624999999999998</v>
      </c>
      <c r="C14104" t="str">
        <f t="shared" si="225"/>
        <v>2015 q4</v>
      </c>
    </row>
    <row r="14105" spans="1:3">
      <c r="A14105" s="62">
        <v>42306</v>
      </c>
      <c r="B14105">
        <v>2.3210000000000002</v>
      </c>
      <c r="C14105" t="str">
        <f t="shared" si="225"/>
        <v>2015 q4</v>
      </c>
    </row>
    <row r="14106" spans="1:3">
      <c r="A14106" s="62">
        <v>42307</v>
      </c>
      <c r="B14106">
        <v>2.3174999999999999</v>
      </c>
      <c r="C14106" t="str">
        <f t="shared" si="225"/>
        <v>2015 q4</v>
      </c>
    </row>
    <row r="14107" spans="1:3">
      <c r="A14107" s="62">
        <v>42310</v>
      </c>
      <c r="B14107">
        <v>2.319</v>
      </c>
      <c r="C14107" t="str">
        <f t="shared" si="225"/>
        <v>2015 q4</v>
      </c>
    </row>
    <row r="14108" spans="1:3">
      <c r="A14108" s="62">
        <v>42311</v>
      </c>
      <c r="B14108">
        <v>2.3304999999999998</v>
      </c>
      <c r="C14108" t="str">
        <f t="shared" si="225"/>
        <v>2015 q4</v>
      </c>
    </row>
    <row r="14109" spans="1:3">
      <c r="A14109" s="62">
        <v>42312</v>
      </c>
      <c r="B14109">
        <v>2.3224999999999998</v>
      </c>
      <c r="C14109" t="str">
        <f t="shared" si="225"/>
        <v>2015 q4</v>
      </c>
    </row>
    <row r="14110" spans="1:3">
      <c r="A14110" s="62">
        <v>42313</v>
      </c>
      <c r="B14110">
        <v>2.2549999999999999</v>
      </c>
      <c r="C14110" t="str">
        <f t="shared" si="225"/>
        <v>2015 q4</v>
      </c>
    </row>
    <row r="14111" spans="1:3">
      <c r="A14111" s="62">
        <v>42314</v>
      </c>
      <c r="B14111">
        <v>2.242</v>
      </c>
      <c r="C14111" t="str">
        <f t="shared" si="225"/>
        <v>2015 q4</v>
      </c>
    </row>
    <row r="14112" spans="1:3">
      <c r="A14112" s="62">
        <v>42317</v>
      </c>
      <c r="B14112">
        <v>2.23</v>
      </c>
      <c r="C14112" t="str">
        <f t="shared" si="225"/>
        <v>2015 q4</v>
      </c>
    </row>
    <row r="14113" spans="1:3">
      <c r="A14113" s="62">
        <v>42318</v>
      </c>
      <c r="B14113">
        <v>2.2174999999999998</v>
      </c>
      <c r="C14113" t="str">
        <f t="shared" si="225"/>
        <v>2015 q4</v>
      </c>
    </row>
    <row r="14114" spans="1:3">
      <c r="A14114" s="62">
        <v>42319</v>
      </c>
      <c r="B14114">
        <v>2.218</v>
      </c>
      <c r="C14114" t="str">
        <f t="shared" si="225"/>
        <v>2015 q4</v>
      </c>
    </row>
    <row r="14115" spans="1:3">
      <c r="A14115" s="62">
        <v>42320</v>
      </c>
      <c r="B14115">
        <v>2.1724999999999999</v>
      </c>
      <c r="C14115" t="str">
        <f t="shared" si="225"/>
        <v>2015 q4</v>
      </c>
    </row>
    <row r="14116" spans="1:3">
      <c r="A14116" s="62">
        <v>42321</v>
      </c>
      <c r="B14116">
        <v>2.1680000000000001</v>
      </c>
      <c r="C14116" t="str">
        <f t="shared" si="225"/>
        <v>2015 q4</v>
      </c>
    </row>
    <row r="14117" spans="1:3">
      <c r="A14117" s="62">
        <v>42324</v>
      </c>
      <c r="B14117">
        <v>2.1154999999999999</v>
      </c>
      <c r="C14117" t="str">
        <f t="shared" si="225"/>
        <v>2015 q4</v>
      </c>
    </row>
    <row r="14118" spans="1:3">
      <c r="A14118" s="62">
        <v>42325</v>
      </c>
      <c r="B14118">
        <v>2.1040000000000001</v>
      </c>
      <c r="C14118" t="str">
        <f t="shared" si="225"/>
        <v>2015 q4</v>
      </c>
    </row>
    <row r="14119" spans="1:3">
      <c r="A14119" s="62">
        <v>42326</v>
      </c>
      <c r="B14119">
        <v>2.0779999999999998</v>
      </c>
      <c r="C14119" t="str">
        <f t="shared" si="225"/>
        <v>2015 q4</v>
      </c>
    </row>
    <row r="14120" spans="1:3">
      <c r="A14120" s="62">
        <v>42327</v>
      </c>
      <c r="B14120">
        <v>2.0764999999999998</v>
      </c>
      <c r="C14120" t="str">
        <f t="shared" si="225"/>
        <v>2015 q4</v>
      </c>
    </row>
    <row r="14121" spans="1:3">
      <c r="A14121" s="62">
        <v>42328</v>
      </c>
      <c r="B14121">
        <v>2.0550000000000002</v>
      </c>
      <c r="C14121" t="str">
        <f t="shared" si="225"/>
        <v>2015 q4</v>
      </c>
    </row>
    <row r="14122" spans="1:3">
      <c r="A14122" s="62">
        <v>42331</v>
      </c>
      <c r="B14122">
        <v>2.0209999999999999</v>
      </c>
      <c r="C14122" t="str">
        <f t="shared" si="225"/>
        <v>2015 q4</v>
      </c>
    </row>
    <row r="14123" spans="1:3">
      <c r="A14123" s="62">
        <v>42332</v>
      </c>
      <c r="B14123">
        <v>2.056</v>
      </c>
      <c r="C14123" t="str">
        <f t="shared" si="225"/>
        <v>2015 q4</v>
      </c>
    </row>
    <row r="14124" spans="1:3">
      <c r="A14124" s="62">
        <v>42333</v>
      </c>
      <c r="B14124">
        <v>2.0478000000000001</v>
      </c>
      <c r="C14124" t="str">
        <f t="shared" si="225"/>
        <v>2015 q4</v>
      </c>
    </row>
    <row r="14125" spans="1:3">
      <c r="A14125" s="62">
        <v>42335</v>
      </c>
      <c r="B14125">
        <v>2.0529000000000002</v>
      </c>
      <c r="C14125" t="str">
        <f t="shared" si="225"/>
        <v>2015 q4</v>
      </c>
    </row>
    <row r="14126" spans="1:3">
      <c r="A14126" s="62">
        <v>42338</v>
      </c>
      <c r="B14126">
        <v>2.0457000000000001</v>
      </c>
      <c r="C14126" t="str">
        <f t="shared" si="225"/>
        <v>2015 q4</v>
      </c>
    </row>
    <row r="14127" spans="1:3">
      <c r="A14127" s="62">
        <v>42339</v>
      </c>
      <c r="B14127">
        <v>2.0695000000000001</v>
      </c>
      <c r="C14127" t="str">
        <f t="shared" si="225"/>
        <v>2015 q4</v>
      </c>
    </row>
    <row r="14128" spans="1:3">
      <c r="A14128" s="62">
        <v>42340</v>
      </c>
      <c r="B14128">
        <v>2.0314999999999999</v>
      </c>
      <c r="C14128" t="str">
        <f t="shared" si="225"/>
        <v>2015 q4</v>
      </c>
    </row>
    <row r="14129" spans="1:3">
      <c r="A14129" s="62">
        <v>42341</v>
      </c>
      <c r="B14129">
        <v>2.0594999999999999</v>
      </c>
      <c r="C14129" t="str">
        <f t="shared" si="225"/>
        <v>2015 q4</v>
      </c>
    </row>
    <row r="14130" spans="1:3">
      <c r="A14130" s="62">
        <v>42342</v>
      </c>
      <c r="B14130">
        <v>2.0760000000000001</v>
      </c>
      <c r="C14130" t="str">
        <f t="shared" si="225"/>
        <v>2015 q4</v>
      </c>
    </row>
    <row r="14131" spans="1:3">
      <c r="A14131" s="62">
        <v>42345</v>
      </c>
      <c r="B14131">
        <v>2.0470000000000002</v>
      </c>
      <c r="C14131" t="str">
        <f t="shared" si="225"/>
        <v>2015 q4</v>
      </c>
    </row>
    <row r="14132" spans="1:3">
      <c r="A14132" s="62">
        <v>42346</v>
      </c>
      <c r="B14132">
        <v>2.0499999999999998</v>
      </c>
      <c r="C14132" t="str">
        <f t="shared" si="225"/>
        <v>2015 q4</v>
      </c>
    </row>
    <row r="14133" spans="1:3">
      <c r="A14133" s="62">
        <v>42347</v>
      </c>
      <c r="B14133">
        <v>2.0619999999999998</v>
      </c>
      <c r="C14133" t="str">
        <f t="shared" si="225"/>
        <v>2015 q4</v>
      </c>
    </row>
    <row r="14134" spans="1:3">
      <c r="A14134" s="62">
        <v>42348</v>
      </c>
      <c r="B14134">
        <v>2.0684999999999998</v>
      </c>
      <c r="C14134" t="str">
        <f t="shared" si="225"/>
        <v>2015 q4</v>
      </c>
    </row>
    <row r="14135" spans="1:3">
      <c r="A14135" s="62">
        <v>42349</v>
      </c>
      <c r="B14135">
        <v>2.1124999999999998</v>
      </c>
      <c r="C14135" t="str">
        <f t="shared" si="225"/>
        <v>2015 q4</v>
      </c>
    </row>
    <row r="14136" spans="1:3">
      <c r="A14136" s="62">
        <v>42352</v>
      </c>
      <c r="B14136">
        <v>2.1065</v>
      </c>
      <c r="C14136" t="str">
        <f t="shared" si="225"/>
        <v>2015 q4</v>
      </c>
    </row>
    <row r="14137" spans="1:3">
      <c r="A14137" s="62">
        <v>42353</v>
      </c>
      <c r="B14137">
        <v>2.052</v>
      </c>
      <c r="C14137" t="str">
        <f t="shared" si="225"/>
        <v>2015 q4</v>
      </c>
    </row>
    <row r="14138" spans="1:3">
      <c r="A14138" s="62">
        <v>42354</v>
      </c>
      <c r="B14138">
        <v>2.0659999999999998</v>
      </c>
      <c r="C14138" t="str">
        <f t="shared" si="225"/>
        <v>2015 q4</v>
      </c>
    </row>
    <row r="14139" spans="1:3">
      <c r="A14139" s="62">
        <v>42355</v>
      </c>
      <c r="B14139">
        <v>2.0385</v>
      </c>
      <c r="C14139" t="str">
        <f t="shared" si="225"/>
        <v>2015 q4</v>
      </c>
    </row>
    <row r="14140" spans="1:3">
      <c r="A14140" s="62">
        <v>42356</v>
      </c>
      <c r="B14140">
        <v>2.1080000000000001</v>
      </c>
      <c r="C14140" t="str">
        <f t="shared" si="225"/>
        <v>2015 q4</v>
      </c>
    </row>
    <row r="14141" spans="1:3">
      <c r="A14141" s="62">
        <v>42359</v>
      </c>
      <c r="B14141">
        <v>2.1335000000000002</v>
      </c>
      <c r="C14141" t="str">
        <f t="shared" si="225"/>
        <v>2015 q4</v>
      </c>
    </row>
    <row r="14142" spans="1:3">
      <c r="A14142" s="62">
        <v>42360</v>
      </c>
      <c r="B14142">
        <v>2.1015000000000001</v>
      </c>
      <c r="C14142" t="str">
        <f t="shared" si="225"/>
        <v>2015 q4</v>
      </c>
    </row>
    <row r="14143" spans="1:3">
      <c r="A14143" s="62">
        <v>42361</v>
      </c>
      <c r="B14143">
        <v>2.1160000000000001</v>
      </c>
      <c r="C14143" t="str">
        <f t="shared" si="225"/>
        <v>2015 q4</v>
      </c>
    </row>
    <row r="14144" spans="1:3">
      <c r="A14144" s="62">
        <v>42362</v>
      </c>
      <c r="B14144">
        <v>2.1154999999999999</v>
      </c>
      <c r="C14144" t="str">
        <f t="shared" si="225"/>
        <v>2015 q4</v>
      </c>
    </row>
    <row r="14145" spans="1:3">
      <c r="A14145" s="62">
        <v>42366</v>
      </c>
      <c r="B14145">
        <v>2.0718000000000001</v>
      </c>
      <c r="C14145" t="str">
        <f t="shared" si="225"/>
        <v>2015 q4</v>
      </c>
    </row>
    <row r="14146" spans="1:3">
      <c r="A14146" s="62">
        <v>42367</v>
      </c>
      <c r="B14146">
        <v>2.1307999999999998</v>
      </c>
      <c r="C14146" t="str">
        <f t="shared" si="225"/>
        <v>2015 q4</v>
      </c>
    </row>
    <row r="14147" spans="1:3">
      <c r="A14147" s="62">
        <v>42368</v>
      </c>
      <c r="B14147">
        <v>2.1427</v>
      </c>
      <c r="C14147" t="str">
        <f t="shared" si="225"/>
        <v>2015 q4</v>
      </c>
    </row>
    <row r="14148" spans="1:3">
      <c r="A14148" s="62">
        <v>42369</v>
      </c>
      <c r="B14148">
        <v>2.1331000000000002</v>
      </c>
      <c r="C14148" t="str">
        <f t="shared" si="225"/>
        <v>2015 q4</v>
      </c>
    </row>
    <row r="14149" spans="1:3">
      <c r="A14149" s="62">
        <v>42373</v>
      </c>
      <c r="B14149">
        <v>2.0794999999999999</v>
      </c>
      <c r="C14149" t="str">
        <f t="shared" si="225"/>
        <v>2016 q1</v>
      </c>
    </row>
    <row r="14150" spans="1:3">
      <c r="A14150" s="62">
        <v>42374</v>
      </c>
      <c r="B14150">
        <v>2.0954999999999999</v>
      </c>
      <c r="C14150" t="str">
        <f t="shared" si="225"/>
        <v>2016 q1</v>
      </c>
    </row>
    <row r="14151" spans="1:3">
      <c r="A14151" s="62">
        <v>42375</v>
      </c>
      <c r="B14151">
        <v>2.0880000000000001</v>
      </c>
      <c r="C14151" t="str">
        <f t="shared" si="225"/>
        <v>2016 q1</v>
      </c>
    </row>
    <row r="14152" spans="1:3">
      <c r="A14152" s="62">
        <v>42376</v>
      </c>
      <c r="B14152">
        <v>2.0219999999999998</v>
      </c>
      <c r="C14152" t="str">
        <f t="shared" si="225"/>
        <v>2016 q1</v>
      </c>
    </row>
    <row r="14153" spans="1:3">
      <c r="A14153" s="62">
        <v>42377</v>
      </c>
      <c r="B14153">
        <v>2.0219999999999998</v>
      </c>
      <c r="C14153" t="str">
        <f t="shared" si="225"/>
        <v>2016 q1</v>
      </c>
    </row>
    <row r="14154" spans="1:3">
      <c r="A14154" s="62">
        <v>42380</v>
      </c>
      <c r="B14154">
        <v>1.9724999999999999</v>
      </c>
      <c r="C14154" t="str">
        <f t="shared" si="225"/>
        <v>2016 q1</v>
      </c>
    </row>
    <row r="14155" spans="1:3">
      <c r="A14155" s="62">
        <v>42381</v>
      </c>
      <c r="B14155">
        <v>1.9590000000000001</v>
      </c>
      <c r="C14155" t="str">
        <f t="shared" si="225"/>
        <v>2016 q1</v>
      </c>
    </row>
    <row r="14156" spans="1:3">
      <c r="A14156" s="62">
        <v>42382</v>
      </c>
      <c r="B14156">
        <v>1.956</v>
      </c>
      <c r="C14156" t="str">
        <f t="shared" si="225"/>
        <v>2016 q1</v>
      </c>
    </row>
    <row r="14157" spans="1:3">
      <c r="A14157" s="62">
        <v>42383</v>
      </c>
      <c r="B14157">
        <v>1.976</v>
      </c>
      <c r="C14157" t="str">
        <f t="shared" si="225"/>
        <v>2016 q1</v>
      </c>
    </row>
    <row r="14158" spans="1:3">
      <c r="A14158" s="62">
        <v>42384</v>
      </c>
      <c r="B14158">
        <v>1.9435</v>
      </c>
      <c r="C14158" t="str">
        <f t="shared" si="225"/>
        <v>2016 q1</v>
      </c>
    </row>
    <row r="14159" spans="1:3">
      <c r="A14159" s="62">
        <v>42388</v>
      </c>
      <c r="B14159">
        <v>1.9775</v>
      </c>
      <c r="C14159" t="str">
        <f t="shared" si="225"/>
        <v>2016 q1</v>
      </c>
    </row>
    <row r="14160" spans="1:3">
      <c r="A14160" s="62">
        <v>42389</v>
      </c>
      <c r="B14160">
        <v>1.9595</v>
      </c>
      <c r="C14160" t="str">
        <f t="shared" si="225"/>
        <v>2016 q1</v>
      </c>
    </row>
    <row r="14161" spans="1:3">
      <c r="A14161" s="62">
        <v>42390</v>
      </c>
      <c r="B14161">
        <v>1.9964999999999999</v>
      </c>
      <c r="C14161" t="str">
        <f t="shared" si="225"/>
        <v>2016 q1</v>
      </c>
    </row>
    <row r="14162" spans="1:3">
      <c r="A14162" s="62">
        <v>42391</v>
      </c>
      <c r="B14162">
        <v>2.0024999999999999</v>
      </c>
      <c r="C14162" t="str">
        <f t="shared" ref="C14162:C14225" si="226">YEAR(A14162)&amp;" q"&amp;ROUNDUP(MONTH(A14162)/3,0)</f>
        <v>2016 q1</v>
      </c>
    </row>
    <row r="14163" spans="1:3">
      <c r="A14163" s="62">
        <v>42394</v>
      </c>
      <c r="B14163">
        <v>1.998</v>
      </c>
      <c r="C14163" t="str">
        <f t="shared" si="226"/>
        <v>2016 q1</v>
      </c>
    </row>
    <row r="14164" spans="1:3">
      <c r="A14164" s="62">
        <v>42395</v>
      </c>
      <c r="B14164">
        <v>2.0375000000000001</v>
      </c>
      <c r="C14164" t="str">
        <f t="shared" si="226"/>
        <v>2016 q1</v>
      </c>
    </row>
    <row r="14165" spans="1:3">
      <c r="A14165" s="62">
        <v>42396</v>
      </c>
      <c r="B14165">
        <v>2.0640000000000001</v>
      </c>
      <c r="C14165" t="str">
        <f t="shared" si="226"/>
        <v>2016 q1</v>
      </c>
    </row>
    <row r="14166" spans="1:3">
      <c r="A14166" s="62">
        <v>42397</v>
      </c>
      <c r="B14166">
        <v>2.0514999999999999</v>
      </c>
      <c r="C14166" t="str">
        <f t="shared" si="226"/>
        <v>2016 q1</v>
      </c>
    </row>
    <row r="14167" spans="1:3">
      <c r="A14167" s="62">
        <v>42398</v>
      </c>
      <c r="B14167">
        <v>2.0670000000000002</v>
      </c>
      <c r="C14167" t="str">
        <f t="shared" si="226"/>
        <v>2016 q1</v>
      </c>
    </row>
    <row r="14168" spans="1:3">
      <c r="A14168" s="62">
        <v>42401</v>
      </c>
      <c r="B14168">
        <v>2.0554999999999999</v>
      </c>
      <c r="C14168" t="str">
        <f t="shared" si="226"/>
        <v>2016 q1</v>
      </c>
    </row>
    <row r="14169" spans="1:3">
      <c r="A14169" s="62">
        <v>42402</v>
      </c>
      <c r="B14169">
        <v>2.0550000000000002</v>
      </c>
      <c r="C14169" t="str">
        <f t="shared" si="226"/>
        <v>2016 q1</v>
      </c>
    </row>
    <row r="14170" spans="1:3">
      <c r="A14170" s="62">
        <v>42403</v>
      </c>
      <c r="B14170">
        <v>2.0950000000000002</v>
      </c>
      <c r="C14170" t="str">
        <f t="shared" si="226"/>
        <v>2016 q1</v>
      </c>
    </row>
    <row r="14171" spans="1:3">
      <c r="A14171" s="62">
        <v>42404</v>
      </c>
      <c r="B14171">
        <v>2.1315</v>
      </c>
      <c r="C14171" t="str">
        <f t="shared" si="226"/>
        <v>2016 q1</v>
      </c>
    </row>
    <row r="14172" spans="1:3">
      <c r="A14172" s="62">
        <v>42405</v>
      </c>
      <c r="B14172">
        <v>2.1030000000000002</v>
      </c>
      <c r="C14172" t="str">
        <f t="shared" si="226"/>
        <v>2016 q1</v>
      </c>
    </row>
    <row r="14173" spans="1:3">
      <c r="A14173" s="62">
        <v>42408</v>
      </c>
      <c r="B14173">
        <v>2.0905</v>
      </c>
      <c r="C14173" t="str">
        <f t="shared" si="226"/>
        <v>2016 q1</v>
      </c>
    </row>
    <row r="14174" spans="1:3">
      <c r="A14174" s="62">
        <v>42409</v>
      </c>
      <c r="B14174">
        <v>2.0394999999999999</v>
      </c>
      <c r="C14174" t="str">
        <f t="shared" si="226"/>
        <v>2016 q1</v>
      </c>
    </row>
    <row r="14175" spans="1:3">
      <c r="A14175" s="62">
        <v>42410</v>
      </c>
      <c r="B14175">
        <v>2.0270000000000001</v>
      </c>
      <c r="C14175" t="str">
        <f t="shared" si="226"/>
        <v>2016 q1</v>
      </c>
    </row>
    <row r="14176" spans="1:3">
      <c r="A14176" s="62">
        <v>42411</v>
      </c>
      <c r="B14176">
        <v>2.0065</v>
      </c>
      <c r="C14176" t="str">
        <f t="shared" si="226"/>
        <v>2016 q1</v>
      </c>
    </row>
    <row r="14177" spans="1:3">
      <c r="A14177" s="62">
        <v>42412</v>
      </c>
      <c r="B14177">
        <v>2.0289999999999999</v>
      </c>
      <c r="C14177" t="str">
        <f t="shared" si="226"/>
        <v>2016 q1</v>
      </c>
    </row>
    <row r="14178" spans="1:3">
      <c r="A14178" s="62">
        <v>42416</v>
      </c>
      <c r="B14178">
        <v>2.0510000000000002</v>
      </c>
      <c r="C14178" t="str">
        <f t="shared" si="226"/>
        <v>2016 q1</v>
      </c>
    </row>
    <row r="14179" spans="1:3">
      <c r="A14179" s="62">
        <v>42417</v>
      </c>
      <c r="B14179">
        <v>2.0754999999999999</v>
      </c>
      <c r="C14179" t="str">
        <f t="shared" si="226"/>
        <v>2016 q1</v>
      </c>
    </row>
    <row r="14180" spans="1:3">
      <c r="A14180" s="62">
        <v>42418</v>
      </c>
      <c r="B14180">
        <v>2.0735000000000001</v>
      </c>
      <c r="C14180" t="str">
        <f t="shared" si="226"/>
        <v>2016 q1</v>
      </c>
    </row>
    <row r="14181" spans="1:3">
      <c r="A14181" s="62">
        <v>42419</v>
      </c>
      <c r="B14181">
        <v>2.0764999999999998</v>
      </c>
      <c r="C14181" t="str">
        <f t="shared" si="226"/>
        <v>2016 q1</v>
      </c>
    </row>
    <row r="14182" spans="1:3">
      <c r="A14182" s="62">
        <v>42422</v>
      </c>
      <c r="B14182">
        <v>2.1150000000000002</v>
      </c>
      <c r="C14182" t="str">
        <f t="shared" si="226"/>
        <v>2016 q1</v>
      </c>
    </row>
    <row r="14183" spans="1:3">
      <c r="A14183" s="62">
        <v>42423</v>
      </c>
      <c r="B14183">
        <v>2.1055000000000001</v>
      </c>
      <c r="C14183" t="str">
        <f t="shared" si="226"/>
        <v>2016 q1</v>
      </c>
    </row>
    <row r="14184" spans="1:3">
      <c r="A14184" s="62">
        <v>42424</v>
      </c>
      <c r="B14184">
        <v>2.097</v>
      </c>
      <c r="C14184" t="str">
        <f t="shared" si="226"/>
        <v>2016 q1</v>
      </c>
    </row>
    <row r="14185" spans="1:3">
      <c r="A14185" s="62">
        <v>42425</v>
      </c>
      <c r="B14185">
        <v>2.0691000000000002</v>
      </c>
      <c r="C14185" t="str">
        <f t="shared" si="226"/>
        <v>2016 q1</v>
      </c>
    </row>
    <row r="14186" spans="1:3">
      <c r="A14186" s="62">
        <v>42426</v>
      </c>
      <c r="B14186">
        <v>2.1221999999999999</v>
      </c>
      <c r="C14186" t="str">
        <f t="shared" si="226"/>
        <v>2016 q1</v>
      </c>
    </row>
    <row r="14187" spans="1:3">
      <c r="A14187" s="62">
        <v>42429</v>
      </c>
      <c r="B14187">
        <v>2.1316999999999999</v>
      </c>
      <c r="C14187" t="str">
        <f t="shared" si="226"/>
        <v>2016 q1</v>
      </c>
    </row>
    <row r="14188" spans="1:3">
      <c r="A14188" s="62">
        <v>42430</v>
      </c>
      <c r="B14188">
        <v>2.1455000000000002</v>
      </c>
      <c r="C14188" t="str">
        <f t="shared" si="226"/>
        <v>2016 q1</v>
      </c>
    </row>
    <row r="14189" spans="1:3">
      <c r="A14189" s="62">
        <v>42431</v>
      </c>
      <c r="B14189">
        <v>2.181</v>
      </c>
      <c r="C14189" t="str">
        <f t="shared" si="226"/>
        <v>2016 q1</v>
      </c>
    </row>
    <row r="14190" spans="1:3">
      <c r="A14190" s="62">
        <v>42432</v>
      </c>
      <c r="B14190">
        <v>2.2084999999999999</v>
      </c>
      <c r="C14190" t="str">
        <f t="shared" si="226"/>
        <v>2016 q1</v>
      </c>
    </row>
    <row r="14191" spans="1:3">
      <c r="A14191" s="62">
        <v>42433</v>
      </c>
      <c r="B14191">
        <v>2.2745000000000002</v>
      </c>
      <c r="C14191" t="str">
        <f t="shared" si="226"/>
        <v>2016 q1</v>
      </c>
    </row>
    <row r="14192" spans="1:3">
      <c r="A14192" s="62">
        <v>42436</v>
      </c>
      <c r="B14192">
        <v>2.2835000000000001</v>
      </c>
      <c r="C14192" t="str">
        <f t="shared" si="226"/>
        <v>2016 q1</v>
      </c>
    </row>
    <row r="14193" spans="1:3">
      <c r="A14193" s="62">
        <v>42437</v>
      </c>
      <c r="B14193">
        <v>2.222</v>
      </c>
      <c r="C14193" t="str">
        <f t="shared" si="226"/>
        <v>2016 q1</v>
      </c>
    </row>
    <row r="14194" spans="1:3">
      <c r="A14194" s="62">
        <v>42438</v>
      </c>
      <c r="B14194">
        <v>2.2324999999999999</v>
      </c>
      <c r="C14194" t="str">
        <f t="shared" si="226"/>
        <v>2016 q1</v>
      </c>
    </row>
    <row r="14195" spans="1:3">
      <c r="A14195" s="62">
        <v>42439</v>
      </c>
      <c r="B14195">
        <v>2.2200000000000002</v>
      </c>
      <c r="C14195" t="str">
        <f t="shared" si="226"/>
        <v>2016 q1</v>
      </c>
    </row>
    <row r="14196" spans="1:3">
      <c r="A14196" s="62">
        <v>42440</v>
      </c>
      <c r="B14196">
        <v>2.2410000000000001</v>
      </c>
      <c r="C14196" t="str">
        <f t="shared" si="226"/>
        <v>2016 q1</v>
      </c>
    </row>
    <row r="14197" spans="1:3">
      <c r="A14197" s="62">
        <v>42443</v>
      </c>
      <c r="B14197">
        <v>2.2395</v>
      </c>
      <c r="C14197" t="str">
        <f t="shared" si="226"/>
        <v>2016 q1</v>
      </c>
    </row>
    <row r="14198" spans="1:3">
      <c r="A14198" s="62">
        <v>42444</v>
      </c>
      <c r="B14198">
        <v>2.2334999999999998</v>
      </c>
      <c r="C14198" t="str">
        <f t="shared" si="226"/>
        <v>2016 q1</v>
      </c>
    </row>
    <row r="14199" spans="1:3">
      <c r="A14199" s="62">
        <v>42445</v>
      </c>
      <c r="B14199">
        <v>2.234</v>
      </c>
      <c r="C14199" t="str">
        <f t="shared" si="226"/>
        <v>2016 q1</v>
      </c>
    </row>
    <row r="14200" spans="1:3">
      <c r="A14200" s="62">
        <v>42446</v>
      </c>
      <c r="B14200">
        <v>2.2925</v>
      </c>
      <c r="C14200" t="str">
        <f t="shared" si="226"/>
        <v>2016 q1</v>
      </c>
    </row>
    <row r="14201" spans="1:3">
      <c r="A14201" s="62">
        <v>42447</v>
      </c>
      <c r="B14201">
        <v>2.2825000000000002</v>
      </c>
      <c r="C14201" t="str">
        <f t="shared" si="226"/>
        <v>2016 q1</v>
      </c>
    </row>
    <row r="14202" spans="1:3">
      <c r="A14202" s="62">
        <v>42450</v>
      </c>
      <c r="B14202">
        <v>2.2925</v>
      </c>
      <c r="C14202" t="str">
        <f t="shared" si="226"/>
        <v>2016 q1</v>
      </c>
    </row>
    <row r="14203" spans="1:3">
      <c r="A14203" s="62">
        <v>42451</v>
      </c>
      <c r="B14203">
        <v>2.2894999999999999</v>
      </c>
      <c r="C14203" t="str">
        <f t="shared" si="226"/>
        <v>2016 q1</v>
      </c>
    </row>
    <row r="14204" spans="1:3">
      <c r="A14204" s="62">
        <v>42452</v>
      </c>
      <c r="B14204">
        <v>2.2355</v>
      </c>
      <c r="C14204" t="str">
        <f t="shared" si="226"/>
        <v>2016 q1</v>
      </c>
    </row>
    <row r="14205" spans="1:3">
      <c r="A14205" s="62">
        <v>42453</v>
      </c>
      <c r="B14205">
        <v>2.2290000000000001</v>
      </c>
      <c r="C14205" t="str">
        <f t="shared" si="226"/>
        <v>2016 q1</v>
      </c>
    </row>
    <row r="14206" spans="1:3">
      <c r="A14206" s="62">
        <v>42457</v>
      </c>
      <c r="B14206">
        <v>2.246</v>
      </c>
      <c r="C14206" t="str">
        <f t="shared" si="226"/>
        <v>2016 q1</v>
      </c>
    </row>
    <row r="14207" spans="1:3">
      <c r="A14207" s="62">
        <v>42458</v>
      </c>
      <c r="B14207">
        <v>2.214</v>
      </c>
      <c r="C14207" t="str">
        <f t="shared" si="226"/>
        <v>2016 q1</v>
      </c>
    </row>
    <row r="14208" spans="1:3">
      <c r="A14208" s="62">
        <v>42459</v>
      </c>
      <c r="B14208">
        <v>2.19</v>
      </c>
      <c r="C14208" t="str">
        <f t="shared" si="226"/>
        <v>2016 q1</v>
      </c>
    </row>
    <row r="14209" spans="1:3">
      <c r="A14209" s="62">
        <v>42460</v>
      </c>
      <c r="B14209">
        <v>2.1829999999999998</v>
      </c>
      <c r="C14209" t="str">
        <f t="shared" si="226"/>
        <v>2016 q1</v>
      </c>
    </row>
    <row r="14210" spans="1:3">
      <c r="A14210" s="62">
        <v>42461</v>
      </c>
      <c r="B14210">
        <v>2.1629999999999998</v>
      </c>
      <c r="C14210" t="str">
        <f t="shared" si="226"/>
        <v>2016 q2</v>
      </c>
    </row>
    <row r="14211" spans="1:3">
      <c r="A14211" s="62">
        <v>42464</v>
      </c>
      <c r="B14211">
        <v>2.1404999999999998</v>
      </c>
      <c r="C14211" t="str">
        <f t="shared" si="226"/>
        <v>2016 q2</v>
      </c>
    </row>
    <row r="14212" spans="1:3">
      <c r="A14212" s="62">
        <v>42465</v>
      </c>
      <c r="B14212">
        <v>2.1379999999999999</v>
      </c>
      <c r="C14212" t="str">
        <f t="shared" si="226"/>
        <v>2016 q2</v>
      </c>
    </row>
    <row r="14213" spans="1:3">
      <c r="A14213" s="62">
        <v>42466</v>
      </c>
      <c r="B14213">
        <v>2.1435</v>
      </c>
      <c r="C14213" t="str">
        <f t="shared" si="226"/>
        <v>2016 q2</v>
      </c>
    </row>
    <row r="14214" spans="1:3">
      <c r="A14214" s="62">
        <v>42467</v>
      </c>
      <c r="B14214">
        <v>2.0764999999999998</v>
      </c>
      <c r="C14214" t="str">
        <f t="shared" si="226"/>
        <v>2016 q2</v>
      </c>
    </row>
    <row r="14215" spans="1:3">
      <c r="A14215" s="62">
        <v>42468</v>
      </c>
      <c r="B14215">
        <v>2.0870000000000002</v>
      </c>
      <c r="C14215" t="str">
        <f t="shared" si="226"/>
        <v>2016 q2</v>
      </c>
    </row>
    <row r="14216" spans="1:3">
      <c r="A14216" s="62">
        <v>42471</v>
      </c>
      <c r="B14216">
        <v>2.0905</v>
      </c>
      <c r="C14216" t="str">
        <f t="shared" si="226"/>
        <v>2016 q2</v>
      </c>
    </row>
    <row r="14217" spans="1:3">
      <c r="A14217" s="62">
        <v>42472</v>
      </c>
      <c r="B14217">
        <v>2.1469999999999998</v>
      </c>
      <c r="C14217" t="str">
        <f t="shared" si="226"/>
        <v>2016 q2</v>
      </c>
    </row>
    <row r="14218" spans="1:3">
      <c r="A14218" s="62">
        <v>42473</v>
      </c>
      <c r="B14218">
        <v>2.1680000000000001</v>
      </c>
      <c r="C14218" t="str">
        <f t="shared" si="226"/>
        <v>2016 q2</v>
      </c>
    </row>
    <row r="14219" spans="1:3">
      <c r="A14219" s="62">
        <v>42474</v>
      </c>
      <c r="B14219">
        <v>2.1709999999999998</v>
      </c>
      <c r="C14219" t="str">
        <f t="shared" si="226"/>
        <v>2016 q2</v>
      </c>
    </row>
    <row r="14220" spans="1:3">
      <c r="A14220" s="62">
        <v>42475</v>
      </c>
      <c r="B14220">
        <v>2.153</v>
      </c>
      <c r="C14220" t="str">
        <f t="shared" si="226"/>
        <v>2016 q2</v>
      </c>
    </row>
    <row r="14221" spans="1:3">
      <c r="A14221" s="62">
        <v>42478</v>
      </c>
      <c r="B14221">
        <v>2.1644999999999999</v>
      </c>
      <c r="C14221" t="str">
        <f t="shared" si="226"/>
        <v>2016 q2</v>
      </c>
    </row>
    <row r="14222" spans="1:3">
      <c r="A14222" s="62">
        <v>42479</v>
      </c>
      <c r="B14222">
        <v>2.2235</v>
      </c>
      <c r="C14222" t="str">
        <f t="shared" si="226"/>
        <v>2016 q2</v>
      </c>
    </row>
    <row r="14223" spans="1:3">
      <c r="A14223" s="62">
        <v>42480</v>
      </c>
      <c r="B14223">
        <v>2.238</v>
      </c>
      <c r="C14223" t="str">
        <f t="shared" si="226"/>
        <v>2016 q2</v>
      </c>
    </row>
    <row r="14224" spans="1:3">
      <c r="A14224" s="62">
        <v>42481</v>
      </c>
      <c r="B14224">
        <v>2.2509999999999999</v>
      </c>
      <c r="C14224" t="str">
        <f t="shared" si="226"/>
        <v>2016 q2</v>
      </c>
    </row>
    <row r="14225" spans="1:3">
      <c r="A14225" s="62">
        <v>42482</v>
      </c>
      <c r="B14225">
        <v>2.2645</v>
      </c>
      <c r="C14225" t="str">
        <f t="shared" si="226"/>
        <v>2016 q2</v>
      </c>
    </row>
    <row r="14226" spans="1:3">
      <c r="A14226" s="62">
        <v>42485</v>
      </c>
      <c r="B14226">
        <v>2.2524999999999999</v>
      </c>
      <c r="C14226" t="str">
        <f t="shared" ref="C14226:C14289" si="227">YEAR(A14226)&amp;" q"&amp;ROUNDUP(MONTH(A14226)/3,0)</f>
        <v>2016 q2</v>
      </c>
    </row>
    <row r="14227" spans="1:3">
      <c r="A14227" s="62">
        <v>42486</v>
      </c>
      <c r="B14227">
        <v>2.2429000000000001</v>
      </c>
      <c r="C14227" t="str">
        <f t="shared" si="227"/>
        <v>2016 q2</v>
      </c>
    </row>
    <row r="14228" spans="1:3">
      <c r="A14228" s="62">
        <v>42487</v>
      </c>
      <c r="B14228">
        <v>2.2197</v>
      </c>
      <c r="C14228" t="str">
        <f t="shared" si="227"/>
        <v>2016 q2</v>
      </c>
    </row>
    <row r="14229" spans="1:3">
      <c r="A14229" s="62">
        <v>42488</v>
      </c>
      <c r="B14229">
        <v>2.2286999999999999</v>
      </c>
      <c r="C14229" t="str">
        <f t="shared" si="227"/>
        <v>2016 q2</v>
      </c>
    </row>
    <row r="14230" spans="1:3">
      <c r="A14230" s="62">
        <v>42489</v>
      </c>
      <c r="B14230">
        <v>2.2826</v>
      </c>
      <c r="C14230" t="str">
        <f t="shared" si="227"/>
        <v>2016 q2</v>
      </c>
    </row>
    <row r="14231" spans="1:3">
      <c r="A14231" s="62">
        <v>42492</v>
      </c>
      <c r="B14231">
        <v>2.2665000000000002</v>
      </c>
      <c r="C14231" t="str">
        <f t="shared" si="227"/>
        <v>2016 q2</v>
      </c>
    </row>
    <row r="14232" spans="1:3">
      <c r="A14232" s="62">
        <v>42493</v>
      </c>
      <c r="B14232">
        <v>2.2189999999999999</v>
      </c>
      <c r="C14232" t="str">
        <f t="shared" si="227"/>
        <v>2016 q2</v>
      </c>
    </row>
    <row r="14233" spans="1:3">
      <c r="A14233" s="62">
        <v>42494</v>
      </c>
      <c r="B14233">
        <v>2.1865000000000001</v>
      </c>
      <c r="C14233" t="str">
        <f t="shared" si="227"/>
        <v>2016 q2</v>
      </c>
    </row>
    <row r="14234" spans="1:3">
      <c r="A14234" s="62">
        <v>42495</v>
      </c>
      <c r="B14234">
        <v>2.1539999999999999</v>
      </c>
      <c r="C14234" t="str">
        <f t="shared" si="227"/>
        <v>2016 q2</v>
      </c>
    </row>
    <row r="14235" spans="1:3">
      <c r="A14235" s="62">
        <v>42496</v>
      </c>
      <c r="B14235">
        <v>2.1539999999999999</v>
      </c>
      <c r="C14235" t="str">
        <f t="shared" si="227"/>
        <v>2016 q2</v>
      </c>
    </row>
    <row r="14236" spans="1:3">
      <c r="A14236" s="62">
        <v>42499</v>
      </c>
      <c r="B14236">
        <v>2.1065</v>
      </c>
      <c r="C14236" t="str">
        <f t="shared" si="227"/>
        <v>2016 q2</v>
      </c>
    </row>
    <row r="14237" spans="1:3">
      <c r="A14237" s="62">
        <v>42500</v>
      </c>
      <c r="B14237">
        <v>2.0924999999999998</v>
      </c>
      <c r="C14237" t="str">
        <f t="shared" si="227"/>
        <v>2016 q2</v>
      </c>
    </row>
    <row r="14238" spans="1:3">
      <c r="A14238" s="62">
        <v>42501</v>
      </c>
      <c r="B14238">
        <v>2.1034999999999999</v>
      </c>
      <c r="C14238" t="str">
        <f t="shared" si="227"/>
        <v>2016 q2</v>
      </c>
    </row>
    <row r="14239" spans="1:3">
      <c r="A14239" s="62">
        <v>42502</v>
      </c>
      <c r="B14239">
        <v>2.0745</v>
      </c>
      <c r="C14239" t="str">
        <f t="shared" si="227"/>
        <v>2016 q2</v>
      </c>
    </row>
    <row r="14240" spans="1:3">
      <c r="A14240" s="62">
        <v>42503</v>
      </c>
      <c r="B14240">
        <v>2.0739999999999998</v>
      </c>
      <c r="C14240" t="str">
        <f t="shared" si="227"/>
        <v>2016 q2</v>
      </c>
    </row>
    <row r="14241" spans="1:3">
      <c r="A14241" s="62">
        <v>42506</v>
      </c>
      <c r="B14241">
        <v>2.089</v>
      </c>
      <c r="C14241" t="str">
        <f t="shared" si="227"/>
        <v>2016 q2</v>
      </c>
    </row>
    <row r="14242" spans="1:3">
      <c r="A14242" s="62">
        <v>42507</v>
      </c>
      <c r="B14242">
        <v>2.089</v>
      </c>
      <c r="C14242" t="str">
        <f t="shared" si="227"/>
        <v>2016 q2</v>
      </c>
    </row>
    <row r="14243" spans="1:3">
      <c r="A14243" s="62">
        <v>42508</v>
      </c>
      <c r="B14243">
        <v>2.0785</v>
      </c>
      <c r="C14243" t="str">
        <f t="shared" si="227"/>
        <v>2016 q2</v>
      </c>
    </row>
    <row r="14244" spans="1:3">
      <c r="A14244" s="62">
        <v>42509</v>
      </c>
      <c r="B14244">
        <v>2.0609999999999999</v>
      </c>
      <c r="C14244" t="str">
        <f t="shared" si="227"/>
        <v>2016 q2</v>
      </c>
    </row>
    <row r="14245" spans="1:3">
      <c r="A14245" s="62">
        <v>42510</v>
      </c>
      <c r="B14245">
        <v>2.0554999999999999</v>
      </c>
      <c r="C14245" t="str">
        <f t="shared" si="227"/>
        <v>2016 q2</v>
      </c>
    </row>
    <row r="14246" spans="1:3">
      <c r="A14246" s="62">
        <v>42513</v>
      </c>
      <c r="B14246">
        <v>2.0550000000000002</v>
      </c>
      <c r="C14246" t="str">
        <f t="shared" si="227"/>
        <v>2016 q2</v>
      </c>
    </row>
    <row r="14247" spans="1:3">
      <c r="A14247" s="62">
        <v>42514</v>
      </c>
      <c r="B14247">
        <v>2.0665</v>
      </c>
      <c r="C14247" t="str">
        <f t="shared" si="227"/>
        <v>2016 q2</v>
      </c>
    </row>
    <row r="14248" spans="1:3">
      <c r="A14248" s="62">
        <v>42515</v>
      </c>
      <c r="B14248">
        <v>2.1015000000000001</v>
      </c>
      <c r="C14248" t="str">
        <f t="shared" si="227"/>
        <v>2016 q2</v>
      </c>
    </row>
    <row r="14249" spans="1:3">
      <c r="A14249" s="62">
        <v>42516</v>
      </c>
      <c r="B14249">
        <v>2.1025</v>
      </c>
      <c r="C14249" t="str">
        <f t="shared" si="227"/>
        <v>2016 q2</v>
      </c>
    </row>
    <row r="14250" spans="1:3">
      <c r="A14250" s="62">
        <v>42517</v>
      </c>
      <c r="B14250">
        <v>2.1139999999999999</v>
      </c>
      <c r="C14250" t="str">
        <f t="shared" si="227"/>
        <v>2016 q2</v>
      </c>
    </row>
    <row r="14251" spans="1:3">
      <c r="A14251" s="62">
        <v>42521</v>
      </c>
      <c r="B14251">
        <v>2.0954999999999999</v>
      </c>
      <c r="C14251" t="str">
        <f t="shared" si="227"/>
        <v>2016 q2</v>
      </c>
    </row>
    <row r="14252" spans="1:3">
      <c r="A14252" s="62">
        <v>42522</v>
      </c>
      <c r="B14252">
        <v>2.073</v>
      </c>
      <c r="C14252" t="str">
        <f t="shared" si="227"/>
        <v>2016 q2</v>
      </c>
    </row>
    <row r="14253" spans="1:3">
      <c r="A14253" s="62">
        <v>42523</v>
      </c>
      <c r="B14253">
        <v>2.0699999999999998</v>
      </c>
      <c r="C14253" t="str">
        <f t="shared" si="227"/>
        <v>2016 q2</v>
      </c>
    </row>
    <row r="14254" spans="1:3">
      <c r="A14254" s="62">
        <v>42524</v>
      </c>
      <c r="B14254">
        <v>2.113</v>
      </c>
      <c r="C14254" t="str">
        <f t="shared" si="227"/>
        <v>2016 q2</v>
      </c>
    </row>
    <row r="14255" spans="1:3">
      <c r="A14255" s="62">
        <v>42527</v>
      </c>
      <c r="B14255">
        <v>2.1175000000000002</v>
      </c>
      <c r="C14255" t="str">
        <f t="shared" si="227"/>
        <v>2016 q2</v>
      </c>
    </row>
    <row r="14256" spans="1:3">
      <c r="A14256" s="62">
        <v>42528</v>
      </c>
      <c r="B14256">
        <v>2.0510000000000002</v>
      </c>
      <c r="C14256" t="str">
        <f t="shared" si="227"/>
        <v>2016 q2</v>
      </c>
    </row>
    <row r="14257" spans="1:3">
      <c r="A14257" s="62">
        <v>42529</v>
      </c>
      <c r="B14257">
        <v>2.0615000000000001</v>
      </c>
      <c r="C14257" t="str">
        <f t="shared" si="227"/>
        <v>2016 q2</v>
      </c>
    </row>
    <row r="14258" spans="1:3">
      <c r="A14258" s="62">
        <v>42530</v>
      </c>
      <c r="B14258">
        <v>2.0390000000000001</v>
      </c>
      <c r="C14258" t="str">
        <f t="shared" si="227"/>
        <v>2016 q2</v>
      </c>
    </row>
    <row r="14259" spans="1:3">
      <c r="A14259" s="62">
        <v>42531</v>
      </c>
      <c r="B14259">
        <v>2.0305</v>
      </c>
      <c r="C14259" t="str">
        <f t="shared" si="227"/>
        <v>2016 q2</v>
      </c>
    </row>
    <row r="14260" spans="1:3">
      <c r="A14260" s="62">
        <v>42534</v>
      </c>
      <c r="B14260">
        <v>2.0535000000000001</v>
      </c>
      <c r="C14260" t="str">
        <f t="shared" si="227"/>
        <v>2016 q2</v>
      </c>
    </row>
    <row r="14261" spans="1:3">
      <c r="A14261" s="62">
        <v>42535</v>
      </c>
      <c r="B14261">
        <v>2.0405000000000002</v>
      </c>
      <c r="C14261" t="str">
        <f t="shared" si="227"/>
        <v>2016 q2</v>
      </c>
    </row>
    <row r="14262" spans="1:3">
      <c r="A14262" s="62">
        <v>42536</v>
      </c>
      <c r="B14262">
        <v>2.0910000000000002</v>
      </c>
      <c r="C14262" t="str">
        <f t="shared" si="227"/>
        <v>2016 q2</v>
      </c>
    </row>
    <row r="14263" spans="1:3">
      <c r="A14263" s="62">
        <v>42537</v>
      </c>
      <c r="B14263">
        <v>2.048</v>
      </c>
      <c r="C14263" t="str">
        <f t="shared" si="227"/>
        <v>2016 q2</v>
      </c>
    </row>
    <row r="14264" spans="1:3">
      <c r="A14264" s="62">
        <v>42538</v>
      </c>
      <c r="B14264">
        <v>2.0510000000000002</v>
      </c>
      <c r="C14264" t="str">
        <f t="shared" si="227"/>
        <v>2016 q2</v>
      </c>
    </row>
    <row r="14265" spans="1:3">
      <c r="A14265" s="62">
        <v>42541</v>
      </c>
      <c r="B14265">
        <v>2.093</v>
      </c>
      <c r="C14265" t="str">
        <f t="shared" si="227"/>
        <v>2016 q2</v>
      </c>
    </row>
    <row r="14266" spans="1:3">
      <c r="A14266" s="62">
        <v>42542</v>
      </c>
      <c r="B14266">
        <v>2.1160000000000001</v>
      </c>
      <c r="C14266" t="str">
        <f t="shared" si="227"/>
        <v>2016 q2</v>
      </c>
    </row>
    <row r="14267" spans="1:3">
      <c r="A14267" s="62">
        <v>42543</v>
      </c>
      <c r="B14267">
        <v>2.1355</v>
      </c>
      <c r="C14267" t="str">
        <f t="shared" si="227"/>
        <v>2016 q2</v>
      </c>
    </row>
    <row r="14268" spans="1:3">
      <c r="A14268" s="62">
        <v>42544</v>
      </c>
      <c r="B14268">
        <v>2.1625000000000001</v>
      </c>
      <c r="C14268" t="str">
        <f t="shared" si="227"/>
        <v>2016 q2</v>
      </c>
    </row>
    <row r="14269" spans="1:3">
      <c r="A14269" s="62">
        <v>42545</v>
      </c>
      <c r="B14269">
        <v>2.1105</v>
      </c>
      <c r="C14269" t="str">
        <f t="shared" si="227"/>
        <v>2016 q2</v>
      </c>
    </row>
    <row r="14270" spans="1:3">
      <c r="A14270" s="62">
        <v>42548</v>
      </c>
      <c r="B14270">
        <v>2.1227</v>
      </c>
      <c r="C14270" t="str">
        <f t="shared" si="227"/>
        <v>2016 q2</v>
      </c>
    </row>
    <row r="14271" spans="1:3">
      <c r="A14271" s="62">
        <v>42549</v>
      </c>
      <c r="B14271">
        <v>2.1724999999999999</v>
      </c>
      <c r="C14271" t="str">
        <f t="shared" si="227"/>
        <v>2016 q2</v>
      </c>
    </row>
    <row r="14272" spans="1:3">
      <c r="A14272" s="62">
        <v>42550</v>
      </c>
      <c r="B14272">
        <v>2.1850000000000001</v>
      </c>
      <c r="C14272" t="str">
        <f t="shared" si="227"/>
        <v>2016 q2</v>
      </c>
    </row>
    <row r="14273" spans="1:3">
      <c r="A14273" s="62">
        <v>42551</v>
      </c>
      <c r="B14273">
        <v>2.1953</v>
      </c>
      <c r="C14273" t="str">
        <f t="shared" si="227"/>
        <v>2016 q2</v>
      </c>
    </row>
    <row r="14274" spans="1:3">
      <c r="A14274" s="62">
        <v>42552</v>
      </c>
      <c r="B14274">
        <v>2.2170000000000001</v>
      </c>
      <c r="C14274" t="str">
        <f t="shared" si="227"/>
        <v>2016 q3</v>
      </c>
    </row>
    <row r="14275" spans="1:3">
      <c r="A14275" s="62">
        <v>42556</v>
      </c>
      <c r="B14275">
        <v>2.1835</v>
      </c>
      <c r="C14275" t="str">
        <f t="shared" si="227"/>
        <v>2016 q3</v>
      </c>
    </row>
    <row r="14276" spans="1:3">
      <c r="A14276" s="62">
        <v>42557</v>
      </c>
      <c r="B14276">
        <v>2.1535000000000002</v>
      </c>
      <c r="C14276" t="str">
        <f t="shared" si="227"/>
        <v>2016 q3</v>
      </c>
    </row>
    <row r="14277" spans="1:3">
      <c r="A14277" s="62">
        <v>42558</v>
      </c>
      <c r="B14277">
        <v>2.1234999999999999</v>
      </c>
      <c r="C14277" t="str">
        <f t="shared" si="227"/>
        <v>2016 q3</v>
      </c>
    </row>
    <row r="14278" spans="1:3">
      <c r="A14278" s="62">
        <v>42559</v>
      </c>
      <c r="B14278">
        <v>2.1190000000000002</v>
      </c>
      <c r="C14278" t="str">
        <f t="shared" si="227"/>
        <v>2016 q3</v>
      </c>
    </row>
    <row r="14279" spans="1:3">
      <c r="A14279" s="62">
        <v>42562</v>
      </c>
      <c r="B14279">
        <v>2.1475</v>
      </c>
      <c r="C14279" t="str">
        <f t="shared" si="227"/>
        <v>2016 q3</v>
      </c>
    </row>
    <row r="14280" spans="1:3">
      <c r="A14280" s="62">
        <v>42563</v>
      </c>
      <c r="B14280">
        <v>2.2130000000000001</v>
      </c>
      <c r="C14280" t="str">
        <f t="shared" si="227"/>
        <v>2016 q3</v>
      </c>
    </row>
    <row r="14281" spans="1:3">
      <c r="A14281" s="62">
        <v>42564</v>
      </c>
      <c r="B14281">
        <v>2.2400000000000002</v>
      </c>
      <c r="C14281" t="str">
        <f t="shared" si="227"/>
        <v>2016 q3</v>
      </c>
    </row>
    <row r="14282" spans="1:3">
      <c r="A14282" s="62">
        <v>42565</v>
      </c>
      <c r="B14282">
        <v>2.2429999999999999</v>
      </c>
      <c r="C14282" t="str">
        <f t="shared" si="227"/>
        <v>2016 q3</v>
      </c>
    </row>
    <row r="14283" spans="1:3">
      <c r="A14283" s="62">
        <v>42566</v>
      </c>
      <c r="B14283">
        <v>2.2334999999999998</v>
      </c>
      <c r="C14283" t="str">
        <f t="shared" si="227"/>
        <v>2016 q3</v>
      </c>
    </row>
    <row r="14284" spans="1:3">
      <c r="A14284" s="62">
        <v>42569</v>
      </c>
      <c r="B14284">
        <v>2.2370000000000001</v>
      </c>
      <c r="C14284" t="str">
        <f t="shared" si="227"/>
        <v>2016 q3</v>
      </c>
    </row>
    <row r="14285" spans="1:3">
      <c r="A14285" s="62">
        <v>42570</v>
      </c>
      <c r="B14285">
        <v>2.2629999999999999</v>
      </c>
      <c r="C14285" t="str">
        <f t="shared" si="227"/>
        <v>2016 q3</v>
      </c>
    </row>
    <row r="14286" spans="1:3">
      <c r="A14286" s="62">
        <v>42571</v>
      </c>
      <c r="B14286">
        <v>2.254</v>
      </c>
      <c r="C14286" t="str">
        <f t="shared" si="227"/>
        <v>2016 q3</v>
      </c>
    </row>
    <row r="14287" spans="1:3">
      <c r="A14287" s="62">
        <v>42572</v>
      </c>
      <c r="B14287">
        <v>2.2585000000000002</v>
      </c>
      <c r="C14287" t="str">
        <f t="shared" si="227"/>
        <v>2016 q3</v>
      </c>
    </row>
    <row r="14288" spans="1:3">
      <c r="A14288" s="62">
        <v>42573</v>
      </c>
      <c r="B14288">
        <v>2.2355</v>
      </c>
      <c r="C14288" t="str">
        <f t="shared" si="227"/>
        <v>2016 q3</v>
      </c>
    </row>
    <row r="14289" spans="1:3">
      <c r="A14289" s="62">
        <v>42576</v>
      </c>
      <c r="B14289">
        <v>2.2170000000000001</v>
      </c>
      <c r="C14289" t="str">
        <f t="shared" si="227"/>
        <v>2016 q3</v>
      </c>
    </row>
    <row r="14290" spans="1:3">
      <c r="A14290" s="62">
        <v>42577</v>
      </c>
      <c r="B14290">
        <v>2.2254999999999998</v>
      </c>
      <c r="C14290" t="str">
        <f t="shared" ref="C14290:C14353" si="228">YEAR(A14290)&amp;" q"&amp;ROUNDUP(MONTH(A14290)/3,0)</f>
        <v>2016 q3</v>
      </c>
    </row>
    <row r="14291" spans="1:3">
      <c r="A14291" s="62">
        <v>42578</v>
      </c>
      <c r="B14291">
        <v>2.1850000000000001</v>
      </c>
      <c r="C14291" t="str">
        <f t="shared" si="228"/>
        <v>2016 q3</v>
      </c>
    </row>
    <row r="14292" spans="1:3">
      <c r="A14292" s="62">
        <v>42579</v>
      </c>
      <c r="B14292">
        <v>2.2090000000000001</v>
      </c>
      <c r="C14292" t="str">
        <f t="shared" si="228"/>
        <v>2016 q3</v>
      </c>
    </row>
    <row r="14293" spans="1:3">
      <c r="A14293" s="62">
        <v>42580</v>
      </c>
      <c r="B14293">
        <v>2.2214999999999998</v>
      </c>
      <c r="C14293" t="str">
        <f t="shared" si="228"/>
        <v>2016 q3</v>
      </c>
    </row>
    <row r="14294" spans="1:3">
      <c r="A14294" s="62">
        <v>42583</v>
      </c>
      <c r="B14294">
        <v>2.1995</v>
      </c>
      <c r="C14294" t="str">
        <f t="shared" si="228"/>
        <v>2016 q3</v>
      </c>
    </row>
    <row r="14295" spans="1:3">
      <c r="A14295" s="62">
        <v>42584</v>
      </c>
      <c r="B14295">
        <v>2.2090000000000001</v>
      </c>
      <c r="C14295" t="str">
        <f t="shared" si="228"/>
        <v>2016 q3</v>
      </c>
    </row>
    <row r="14296" spans="1:3">
      <c r="A14296" s="62">
        <v>42585</v>
      </c>
      <c r="B14296">
        <v>2.1985000000000001</v>
      </c>
      <c r="C14296" t="str">
        <f t="shared" si="228"/>
        <v>2016 q3</v>
      </c>
    </row>
    <row r="14297" spans="1:3">
      <c r="A14297" s="62">
        <v>42586</v>
      </c>
      <c r="B14297">
        <v>2.1739999999999999</v>
      </c>
      <c r="C14297" t="str">
        <f t="shared" si="228"/>
        <v>2016 q3</v>
      </c>
    </row>
    <row r="14298" spans="1:3">
      <c r="A14298" s="62">
        <v>42587</v>
      </c>
      <c r="B14298">
        <v>2.1539999999999999</v>
      </c>
      <c r="C14298" t="str">
        <f t="shared" si="228"/>
        <v>2016 q3</v>
      </c>
    </row>
    <row r="14299" spans="1:3">
      <c r="A14299" s="62">
        <v>42590</v>
      </c>
      <c r="B14299">
        <v>2.165</v>
      </c>
      <c r="C14299" t="str">
        <f t="shared" si="228"/>
        <v>2016 q3</v>
      </c>
    </row>
    <row r="14300" spans="1:3">
      <c r="A14300" s="62">
        <v>42591</v>
      </c>
      <c r="B14300">
        <v>2.15</v>
      </c>
      <c r="C14300" t="str">
        <f t="shared" si="228"/>
        <v>2016 q3</v>
      </c>
    </row>
    <row r="14301" spans="1:3">
      <c r="A14301" s="62">
        <v>42592</v>
      </c>
      <c r="B14301">
        <v>2.1709999999999998</v>
      </c>
      <c r="C14301" t="str">
        <f t="shared" si="228"/>
        <v>2016 q3</v>
      </c>
    </row>
    <row r="14302" spans="1:3">
      <c r="A14302" s="62">
        <v>42593</v>
      </c>
      <c r="B14302">
        <v>2.1909999999999998</v>
      </c>
      <c r="C14302" t="str">
        <f t="shared" si="228"/>
        <v>2016 q3</v>
      </c>
    </row>
    <row r="14303" spans="1:3">
      <c r="A14303" s="62">
        <v>42594</v>
      </c>
      <c r="B14303">
        <v>2.14</v>
      </c>
      <c r="C14303" t="str">
        <f t="shared" si="228"/>
        <v>2016 q3</v>
      </c>
    </row>
    <row r="14304" spans="1:3">
      <c r="A14304" s="62">
        <v>42597</v>
      </c>
      <c r="B14304">
        <v>2.1515</v>
      </c>
      <c r="C14304" t="str">
        <f t="shared" si="228"/>
        <v>2016 q3</v>
      </c>
    </row>
    <row r="14305" spans="1:3">
      <c r="A14305" s="62">
        <v>42598</v>
      </c>
      <c r="B14305">
        <v>2.1720000000000002</v>
      </c>
      <c r="C14305" t="str">
        <f t="shared" si="228"/>
        <v>2016 q3</v>
      </c>
    </row>
    <row r="14306" spans="1:3">
      <c r="A14306" s="62">
        <v>42599</v>
      </c>
      <c r="B14306">
        <v>2.1520000000000001</v>
      </c>
      <c r="C14306" t="str">
        <f t="shared" si="228"/>
        <v>2016 q3</v>
      </c>
    </row>
    <row r="14307" spans="1:3">
      <c r="A14307" s="62">
        <v>42600</v>
      </c>
      <c r="B14307">
        <v>2.1675</v>
      </c>
      <c r="C14307" t="str">
        <f t="shared" si="228"/>
        <v>2016 q3</v>
      </c>
    </row>
    <row r="14308" spans="1:3">
      <c r="A14308" s="62">
        <v>42601</v>
      </c>
      <c r="B14308">
        <v>2.1669999999999998</v>
      </c>
      <c r="C14308" t="str">
        <f t="shared" si="228"/>
        <v>2016 q3</v>
      </c>
    </row>
    <row r="14309" spans="1:3">
      <c r="A14309" s="62">
        <v>42604</v>
      </c>
      <c r="B14309">
        <v>2.14</v>
      </c>
      <c r="C14309" t="str">
        <f t="shared" si="228"/>
        <v>2016 q3</v>
      </c>
    </row>
    <row r="14310" spans="1:3">
      <c r="A14310" s="62">
        <v>42605</v>
      </c>
      <c r="B14310">
        <v>2.1150000000000002</v>
      </c>
      <c r="C14310" t="str">
        <f t="shared" si="228"/>
        <v>2016 q3</v>
      </c>
    </row>
    <row r="14311" spans="1:3">
      <c r="A14311" s="62">
        <v>42606</v>
      </c>
      <c r="B14311">
        <v>2.0764999999999998</v>
      </c>
      <c r="C14311" t="str">
        <f t="shared" si="228"/>
        <v>2016 q3</v>
      </c>
    </row>
    <row r="14312" spans="1:3">
      <c r="A14312" s="62">
        <v>42607</v>
      </c>
      <c r="B14312">
        <v>2.0764999999999998</v>
      </c>
      <c r="C14312" t="str">
        <f t="shared" si="228"/>
        <v>2016 q3</v>
      </c>
    </row>
    <row r="14313" spans="1:3">
      <c r="A14313" s="62">
        <v>42608</v>
      </c>
      <c r="B14313">
        <v>2.0796999999999999</v>
      </c>
      <c r="C14313" t="str">
        <f t="shared" si="228"/>
        <v>2016 q3</v>
      </c>
    </row>
    <row r="14314" spans="1:3">
      <c r="A14314" s="62">
        <v>42611</v>
      </c>
      <c r="B14314">
        <v>2.0762999999999998</v>
      </c>
      <c r="C14314" t="str">
        <f t="shared" si="228"/>
        <v>2016 q3</v>
      </c>
    </row>
    <row r="14315" spans="1:3">
      <c r="A14315" s="62">
        <v>42612</v>
      </c>
      <c r="B14315">
        <v>2.0735000000000001</v>
      </c>
      <c r="C14315" t="str">
        <f t="shared" si="228"/>
        <v>2016 q3</v>
      </c>
    </row>
    <row r="14316" spans="1:3">
      <c r="A14316" s="62">
        <v>42613</v>
      </c>
      <c r="B14316">
        <v>2.0758999999999999</v>
      </c>
      <c r="C14316" t="str">
        <f t="shared" si="228"/>
        <v>2016 q3</v>
      </c>
    </row>
    <row r="14317" spans="1:3">
      <c r="A14317" s="62">
        <v>42614</v>
      </c>
      <c r="B14317">
        <v>2.0754999999999999</v>
      </c>
      <c r="C14317" t="str">
        <f t="shared" si="228"/>
        <v>2016 q3</v>
      </c>
    </row>
    <row r="14318" spans="1:3">
      <c r="A14318" s="62">
        <v>42615</v>
      </c>
      <c r="B14318">
        <v>2.0779999999999998</v>
      </c>
      <c r="C14318" t="str">
        <f t="shared" si="228"/>
        <v>2016 q3</v>
      </c>
    </row>
    <row r="14319" spans="1:3">
      <c r="A14319" s="62">
        <v>42619</v>
      </c>
      <c r="B14319">
        <v>2.089</v>
      </c>
      <c r="C14319" t="str">
        <f t="shared" si="228"/>
        <v>2016 q3</v>
      </c>
    </row>
    <row r="14320" spans="1:3">
      <c r="A14320" s="62">
        <v>42620</v>
      </c>
      <c r="B14320">
        <v>2.0975000000000001</v>
      </c>
      <c r="C14320" t="str">
        <f t="shared" si="228"/>
        <v>2016 q3</v>
      </c>
    </row>
    <row r="14321" spans="1:3">
      <c r="A14321" s="62">
        <v>42621</v>
      </c>
      <c r="B14321">
        <v>2.1</v>
      </c>
      <c r="C14321" t="str">
        <f t="shared" si="228"/>
        <v>2016 q3</v>
      </c>
    </row>
    <row r="14322" spans="1:3">
      <c r="A14322" s="62">
        <v>42622</v>
      </c>
      <c r="B14322">
        <v>2.0924999999999998</v>
      </c>
      <c r="C14322" t="str">
        <f t="shared" si="228"/>
        <v>2016 q3</v>
      </c>
    </row>
    <row r="14323" spans="1:3">
      <c r="A14323" s="62">
        <v>42625</v>
      </c>
      <c r="B14323">
        <v>2.1</v>
      </c>
      <c r="C14323" t="str">
        <f t="shared" si="228"/>
        <v>2016 q3</v>
      </c>
    </row>
    <row r="14324" spans="1:3">
      <c r="A14324" s="62">
        <v>42626</v>
      </c>
      <c r="B14324">
        <v>2.1015000000000001</v>
      </c>
      <c r="C14324" t="str">
        <f t="shared" si="228"/>
        <v>2016 q3</v>
      </c>
    </row>
    <row r="14325" spans="1:3">
      <c r="A14325" s="62">
        <v>42627</v>
      </c>
      <c r="B14325">
        <v>2.1549999999999998</v>
      </c>
      <c r="C14325" t="str">
        <f t="shared" si="228"/>
        <v>2016 q3</v>
      </c>
    </row>
    <row r="14326" spans="1:3">
      <c r="A14326" s="62">
        <v>42628</v>
      </c>
      <c r="B14326">
        <v>2.1595</v>
      </c>
      <c r="C14326" t="str">
        <f t="shared" si="228"/>
        <v>2016 q3</v>
      </c>
    </row>
    <row r="14327" spans="1:3">
      <c r="A14327" s="62">
        <v>42629</v>
      </c>
      <c r="B14327">
        <v>2.16</v>
      </c>
      <c r="C14327" t="str">
        <f t="shared" si="228"/>
        <v>2016 q3</v>
      </c>
    </row>
    <row r="14328" spans="1:3">
      <c r="A14328" s="62">
        <v>42632</v>
      </c>
      <c r="B14328">
        <v>2.1564999999999999</v>
      </c>
      <c r="C14328" t="str">
        <f t="shared" si="228"/>
        <v>2016 q3</v>
      </c>
    </row>
    <row r="14329" spans="1:3">
      <c r="A14329" s="62">
        <v>42633</v>
      </c>
      <c r="B14329">
        <v>2.165</v>
      </c>
      <c r="C14329" t="str">
        <f t="shared" si="228"/>
        <v>2016 q3</v>
      </c>
    </row>
    <row r="14330" spans="1:3">
      <c r="A14330" s="62">
        <v>42634</v>
      </c>
      <c r="B14330">
        <v>2.1549999999999998</v>
      </c>
      <c r="C14330" t="str">
        <f t="shared" si="228"/>
        <v>2016 q3</v>
      </c>
    </row>
    <row r="14331" spans="1:3">
      <c r="A14331" s="62">
        <v>42635</v>
      </c>
      <c r="B14331">
        <v>2.1945000000000001</v>
      </c>
      <c r="C14331" t="str">
        <f t="shared" si="228"/>
        <v>2016 q3</v>
      </c>
    </row>
    <row r="14332" spans="1:3">
      <c r="A14332" s="62">
        <v>42636</v>
      </c>
      <c r="B14332">
        <v>2.2010000000000001</v>
      </c>
      <c r="C14332" t="str">
        <f t="shared" si="228"/>
        <v>2016 q3</v>
      </c>
    </row>
    <row r="14333" spans="1:3">
      <c r="A14333" s="62">
        <v>42639</v>
      </c>
      <c r="B14333">
        <v>2.1985000000000001</v>
      </c>
      <c r="C14333" t="str">
        <f t="shared" si="228"/>
        <v>2016 q3</v>
      </c>
    </row>
    <row r="14334" spans="1:3">
      <c r="A14334" s="62">
        <v>42640</v>
      </c>
      <c r="B14334">
        <v>2.1709999999999998</v>
      </c>
      <c r="C14334" t="str">
        <f t="shared" si="228"/>
        <v>2016 q3</v>
      </c>
    </row>
    <row r="14335" spans="1:3">
      <c r="A14335" s="62">
        <v>42641</v>
      </c>
      <c r="B14335">
        <v>2.1875</v>
      </c>
      <c r="C14335" t="str">
        <f t="shared" si="228"/>
        <v>2016 q3</v>
      </c>
    </row>
    <row r="14336" spans="1:3">
      <c r="A14336" s="62">
        <v>42642</v>
      </c>
      <c r="B14336">
        <v>2.19</v>
      </c>
      <c r="C14336" t="str">
        <f t="shared" si="228"/>
        <v>2016 q3</v>
      </c>
    </row>
    <row r="14337" spans="1:3">
      <c r="A14337" s="62">
        <v>42643</v>
      </c>
      <c r="B14337">
        <v>2.2105000000000001</v>
      </c>
      <c r="C14337" t="str">
        <f t="shared" si="228"/>
        <v>2016 q3</v>
      </c>
    </row>
    <row r="14338" spans="1:3">
      <c r="A14338" s="62">
        <v>42646</v>
      </c>
      <c r="B14338">
        <v>2.1920000000000002</v>
      </c>
      <c r="C14338" t="str">
        <f t="shared" si="228"/>
        <v>2016 q4</v>
      </c>
    </row>
    <row r="14339" spans="1:3">
      <c r="A14339" s="62">
        <v>42647</v>
      </c>
      <c r="B14339">
        <v>2.1669999999999998</v>
      </c>
      <c r="C14339" t="str">
        <f t="shared" si="228"/>
        <v>2016 q4</v>
      </c>
    </row>
    <row r="14340" spans="1:3">
      <c r="A14340" s="62">
        <v>42648</v>
      </c>
      <c r="B14340">
        <v>2.1644999999999999</v>
      </c>
      <c r="C14340" t="str">
        <f t="shared" si="228"/>
        <v>2016 q4</v>
      </c>
    </row>
    <row r="14341" spans="1:3">
      <c r="A14341" s="62">
        <v>42649</v>
      </c>
      <c r="B14341">
        <v>2.1555</v>
      </c>
      <c r="C14341" t="str">
        <f t="shared" si="228"/>
        <v>2016 q4</v>
      </c>
    </row>
    <row r="14342" spans="1:3">
      <c r="A14342" s="62">
        <v>42650</v>
      </c>
      <c r="B14342">
        <v>2.1635</v>
      </c>
      <c r="C14342" t="str">
        <f t="shared" si="228"/>
        <v>2016 q4</v>
      </c>
    </row>
    <row r="14343" spans="1:3">
      <c r="A14343" s="62">
        <v>42653</v>
      </c>
      <c r="B14343">
        <v>2.1974999999999998</v>
      </c>
      <c r="C14343" t="str">
        <f t="shared" si="228"/>
        <v>2016 q4</v>
      </c>
    </row>
    <row r="14344" spans="1:3">
      <c r="A14344" s="62">
        <v>42654</v>
      </c>
      <c r="B14344">
        <v>2.1855000000000002</v>
      </c>
      <c r="C14344" t="str">
        <f t="shared" si="228"/>
        <v>2016 q4</v>
      </c>
    </row>
    <row r="14345" spans="1:3">
      <c r="A14345" s="62">
        <v>42655</v>
      </c>
      <c r="B14345">
        <v>2.1764999999999999</v>
      </c>
      <c r="C14345" t="str">
        <f t="shared" si="228"/>
        <v>2016 q4</v>
      </c>
    </row>
    <row r="14346" spans="1:3">
      <c r="A14346" s="62">
        <v>42656</v>
      </c>
      <c r="B14346">
        <v>2.1219999999999999</v>
      </c>
      <c r="C14346" t="str">
        <f t="shared" si="228"/>
        <v>2016 q4</v>
      </c>
    </row>
    <row r="14347" spans="1:3">
      <c r="A14347" s="62">
        <v>42657</v>
      </c>
      <c r="B14347">
        <v>2.1105</v>
      </c>
      <c r="C14347" t="str">
        <f t="shared" si="228"/>
        <v>2016 q4</v>
      </c>
    </row>
    <row r="14348" spans="1:3">
      <c r="A14348" s="62">
        <v>42660</v>
      </c>
      <c r="B14348">
        <v>2.1070000000000002</v>
      </c>
      <c r="C14348" t="str">
        <f t="shared" si="228"/>
        <v>2016 q4</v>
      </c>
    </row>
    <row r="14349" spans="1:3">
      <c r="A14349" s="62">
        <v>42661</v>
      </c>
      <c r="B14349">
        <v>2.1055000000000001</v>
      </c>
      <c r="C14349" t="str">
        <f t="shared" si="228"/>
        <v>2016 q4</v>
      </c>
    </row>
    <row r="14350" spans="1:3">
      <c r="A14350" s="62">
        <v>42662</v>
      </c>
      <c r="B14350">
        <v>2.1034999999999999</v>
      </c>
      <c r="C14350" t="str">
        <f t="shared" si="228"/>
        <v>2016 q4</v>
      </c>
    </row>
    <row r="14351" spans="1:3">
      <c r="A14351" s="62">
        <v>42663</v>
      </c>
      <c r="B14351">
        <v>2.0960000000000001</v>
      </c>
      <c r="C14351" t="str">
        <f t="shared" si="228"/>
        <v>2016 q4</v>
      </c>
    </row>
    <row r="14352" spans="1:3">
      <c r="A14352" s="62">
        <v>42664</v>
      </c>
      <c r="B14352">
        <v>2.0884999999999998</v>
      </c>
      <c r="C14352" t="str">
        <f t="shared" si="228"/>
        <v>2016 q4</v>
      </c>
    </row>
    <row r="14353" spans="1:3">
      <c r="A14353" s="62">
        <v>42667</v>
      </c>
      <c r="B14353">
        <v>2.093</v>
      </c>
      <c r="C14353" t="str">
        <f t="shared" si="228"/>
        <v>2016 q4</v>
      </c>
    </row>
    <row r="14354" spans="1:3">
      <c r="A14354" s="62">
        <v>42668</v>
      </c>
      <c r="B14354">
        <v>2.1385000000000001</v>
      </c>
      <c r="C14354" t="str">
        <f t="shared" ref="C14354:C14417" si="229">YEAR(A14354)&amp;" q"&amp;ROUNDUP(MONTH(A14354)/3,0)</f>
        <v>2016 q4</v>
      </c>
    </row>
    <row r="14355" spans="1:3">
      <c r="A14355" s="62">
        <v>42669</v>
      </c>
      <c r="B14355">
        <v>2.1455000000000002</v>
      </c>
      <c r="C14355" t="str">
        <f t="shared" si="229"/>
        <v>2016 q4</v>
      </c>
    </row>
    <row r="14356" spans="1:3">
      <c r="A14356" s="62">
        <v>42670</v>
      </c>
      <c r="B14356">
        <v>2.1635</v>
      </c>
      <c r="C14356" t="str">
        <f t="shared" si="229"/>
        <v>2016 q4</v>
      </c>
    </row>
    <row r="14357" spans="1:3">
      <c r="A14357" s="62">
        <v>42671</v>
      </c>
      <c r="B14357">
        <v>2.1934999999999998</v>
      </c>
      <c r="C14357" t="str">
        <f t="shared" si="229"/>
        <v>2016 q4</v>
      </c>
    </row>
    <row r="14358" spans="1:3">
      <c r="A14358" s="62">
        <v>42674</v>
      </c>
      <c r="B14358">
        <v>2.2050000000000001</v>
      </c>
      <c r="C14358" t="str">
        <f t="shared" si="229"/>
        <v>2016 q4</v>
      </c>
    </row>
    <row r="14359" spans="1:3">
      <c r="A14359" s="62">
        <v>42675</v>
      </c>
      <c r="B14359">
        <v>2.2290000000000001</v>
      </c>
      <c r="C14359" t="str">
        <f t="shared" si="229"/>
        <v>2016 q4</v>
      </c>
    </row>
    <row r="14360" spans="1:3">
      <c r="A14360" s="62">
        <v>42676</v>
      </c>
      <c r="B14360">
        <v>2.2305000000000001</v>
      </c>
      <c r="C14360" t="str">
        <f t="shared" si="229"/>
        <v>2016 q4</v>
      </c>
    </row>
    <row r="14361" spans="1:3">
      <c r="A14361" s="62">
        <v>42677</v>
      </c>
      <c r="B14361">
        <v>2.2490000000000001</v>
      </c>
      <c r="C14361" t="str">
        <f t="shared" si="229"/>
        <v>2016 q4</v>
      </c>
    </row>
    <row r="14362" spans="1:3">
      <c r="A14362" s="62">
        <v>42678</v>
      </c>
      <c r="B14362">
        <v>2.2650000000000001</v>
      </c>
      <c r="C14362" t="str">
        <f t="shared" si="229"/>
        <v>2016 q4</v>
      </c>
    </row>
    <row r="14363" spans="1:3">
      <c r="A14363" s="62">
        <v>42681</v>
      </c>
      <c r="B14363">
        <v>2.3094999999999999</v>
      </c>
      <c r="C14363" t="str">
        <f t="shared" si="229"/>
        <v>2016 q4</v>
      </c>
    </row>
    <row r="14364" spans="1:3">
      <c r="A14364" s="62">
        <v>42682</v>
      </c>
      <c r="B14364">
        <v>2.38</v>
      </c>
      <c r="C14364" t="str">
        <f t="shared" si="229"/>
        <v>2016 q4</v>
      </c>
    </row>
    <row r="14365" spans="1:3">
      <c r="A14365" s="62">
        <v>42683</v>
      </c>
      <c r="B14365">
        <v>2.4594999999999998</v>
      </c>
      <c r="C14365" t="str">
        <f t="shared" si="229"/>
        <v>2016 q4</v>
      </c>
    </row>
    <row r="14366" spans="1:3">
      <c r="A14366" s="62">
        <v>42684</v>
      </c>
      <c r="B14366">
        <v>2.5510000000000002</v>
      </c>
      <c r="C14366" t="str">
        <f t="shared" si="229"/>
        <v>2016 q4</v>
      </c>
    </row>
    <row r="14367" spans="1:3">
      <c r="A14367" s="62">
        <v>42685</v>
      </c>
      <c r="B14367">
        <v>2.5089999999999999</v>
      </c>
      <c r="C14367" t="str">
        <f t="shared" si="229"/>
        <v>2016 q4</v>
      </c>
    </row>
    <row r="14368" spans="1:3">
      <c r="A14368" s="62">
        <v>42688</v>
      </c>
      <c r="B14368">
        <v>2.5209999999999999</v>
      </c>
      <c r="C14368" t="str">
        <f t="shared" si="229"/>
        <v>2016 q4</v>
      </c>
    </row>
    <row r="14369" spans="1:3">
      <c r="A14369" s="62">
        <v>42689</v>
      </c>
      <c r="B14369">
        <v>2.5049999999999999</v>
      </c>
      <c r="C14369" t="str">
        <f t="shared" si="229"/>
        <v>2016 q4</v>
      </c>
    </row>
    <row r="14370" spans="1:3">
      <c r="A14370" s="62">
        <v>42690</v>
      </c>
      <c r="B14370">
        <v>2.4674999999999998</v>
      </c>
      <c r="C14370" t="str">
        <f t="shared" si="229"/>
        <v>2016 q4</v>
      </c>
    </row>
    <row r="14371" spans="1:3">
      <c r="A14371" s="62">
        <v>42691</v>
      </c>
      <c r="B14371">
        <v>2.4910000000000001</v>
      </c>
      <c r="C14371" t="str">
        <f t="shared" si="229"/>
        <v>2016 q4</v>
      </c>
    </row>
    <row r="14372" spans="1:3">
      <c r="A14372" s="62">
        <v>42692</v>
      </c>
      <c r="B14372">
        <v>2.4674999999999998</v>
      </c>
      <c r="C14372" t="str">
        <f t="shared" si="229"/>
        <v>2016 q4</v>
      </c>
    </row>
    <row r="14373" spans="1:3">
      <c r="A14373" s="62">
        <v>42695</v>
      </c>
      <c r="B14373">
        <v>2.5150000000000001</v>
      </c>
      <c r="C14373" t="str">
        <f t="shared" si="229"/>
        <v>2016 q4</v>
      </c>
    </row>
    <row r="14374" spans="1:3">
      <c r="A14374" s="62">
        <v>42696</v>
      </c>
      <c r="B14374">
        <v>2.5445000000000002</v>
      </c>
      <c r="C14374" t="str">
        <f t="shared" si="229"/>
        <v>2016 q4</v>
      </c>
    </row>
    <row r="14375" spans="1:3">
      <c r="A14375" s="62">
        <v>42697</v>
      </c>
      <c r="B14375">
        <v>2.6074999999999999</v>
      </c>
      <c r="C14375" t="str">
        <f t="shared" si="229"/>
        <v>2016 q4</v>
      </c>
    </row>
    <row r="14376" spans="1:3">
      <c r="A14376" s="62">
        <v>42699</v>
      </c>
      <c r="B14376">
        <v>2.669</v>
      </c>
      <c r="C14376" t="str">
        <f t="shared" si="229"/>
        <v>2016 q4</v>
      </c>
    </row>
    <row r="14377" spans="1:3">
      <c r="A14377" s="62">
        <v>42702</v>
      </c>
      <c r="B14377">
        <v>2.6583000000000001</v>
      </c>
      <c r="C14377" t="str">
        <f t="shared" si="229"/>
        <v>2016 q4</v>
      </c>
    </row>
    <row r="14378" spans="1:3">
      <c r="A14378" s="62">
        <v>42703</v>
      </c>
      <c r="B14378">
        <v>2.5992000000000002</v>
      </c>
      <c r="C14378" t="str">
        <f t="shared" si="229"/>
        <v>2016 q4</v>
      </c>
    </row>
    <row r="14379" spans="1:3">
      <c r="A14379" s="62">
        <v>42704</v>
      </c>
      <c r="B14379">
        <v>2.6246999999999998</v>
      </c>
      <c r="C14379" t="str">
        <f t="shared" si="229"/>
        <v>2016 q4</v>
      </c>
    </row>
    <row r="14380" spans="1:3">
      <c r="A14380" s="62">
        <v>42705</v>
      </c>
      <c r="B14380">
        <v>2.6349999999999998</v>
      </c>
      <c r="C14380" t="str">
        <f t="shared" si="229"/>
        <v>2016 q4</v>
      </c>
    </row>
    <row r="14381" spans="1:3">
      <c r="A14381" s="62">
        <v>42706</v>
      </c>
      <c r="B14381">
        <v>2.6185</v>
      </c>
      <c r="C14381" t="str">
        <f t="shared" si="229"/>
        <v>2016 q4</v>
      </c>
    </row>
    <row r="14382" spans="1:3">
      <c r="A14382" s="62">
        <v>42709</v>
      </c>
      <c r="B14382">
        <v>2.6915</v>
      </c>
      <c r="C14382" t="str">
        <f t="shared" si="229"/>
        <v>2016 q4</v>
      </c>
    </row>
    <row r="14383" spans="1:3">
      <c r="A14383" s="62">
        <v>42710</v>
      </c>
      <c r="B14383">
        <v>2.6745000000000001</v>
      </c>
      <c r="C14383" t="str">
        <f t="shared" si="229"/>
        <v>2016 q4</v>
      </c>
    </row>
    <row r="14384" spans="1:3">
      <c r="A14384" s="62">
        <v>42711</v>
      </c>
      <c r="B14384">
        <v>2.6395</v>
      </c>
      <c r="C14384" t="str">
        <f t="shared" si="229"/>
        <v>2016 q4</v>
      </c>
    </row>
    <row r="14385" spans="1:3">
      <c r="A14385" s="62">
        <v>42712</v>
      </c>
      <c r="B14385">
        <v>2.6215000000000002</v>
      </c>
      <c r="C14385" t="str">
        <f t="shared" si="229"/>
        <v>2016 q4</v>
      </c>
    </row>
    <row r="14386" spans="1:3">
      <c r="A14386" s="62">
        <v>42713</v>
      </c>
      <c r="B14386">
        <v>2.6429999999999998</v>
      </c>
      <c r="C14386" t="str">
        <f t="shared" si="229"/>
        <v>2016 q4</v>
      </c>
    </row>
    <row r="14387" spans="1:3">
      <c r="A14387" s="62">
        <v>42716</v>
      </c>
      <c r="B14387">
        <v>2.6135000000000002</v>
      </c>
      <c r="C14387" t="str">
        <f t="shared" si="229"/>
        <v>2016 q4</v>
      </c>
    </row>
    <row r="14388" spans="1:3">
      <c r="A14388" s="62">
        <v>42717</v>
      </c>
      <c r="B14388">
        <v>2.593</v>
      </c>
      <c r="C14388" t="str">
        <f t="shared" si="229"/>
        <v>2016 q4</v>
      </c>
    </row>
    <row r="14389" spans="1:3">
      <c r="A14389" s="62">
        <v>42718</v>
      </c>
      <c r="B14389">
        <v>2.5994999999999999</v>
      </c>
      <c r="C14389" t="str">
        <f t="shared" si="229"/>
        <v>2016 q4</v>
      </c>
    </row>
    <row r="14390" spans="1:3">
      <c r="A14390" s="62">
        <v>42719</v>
      </c>
      <c r="B14390">
        <v>2.5950000000000002</v>
      </c>
      <c r="C14390" t="str">
        <f t="shared" si="229"/>
        <v>2016 q4</v>
      </c>
    </row>
    <row r="14391" spans="1:3">
      <c r="A14391" s="62">
        <v>42720</v>
      </c>
      <c r="B14391">
        <v>2.5590000000000002</v>
      </c>
      <c r="C14391" t="str">
        <f t="shared" si="229"/>
        <v>2016 q4</v>
      </c>
    </row>
    <row r="14392" spans="1:3">
      <c r="A14392" s="62">
        <v>42723</v>
      </c>
      <c r="B14392">
        <v>2.4935</v>
      </c>
      <c r="C14392" t="str">
        <f t="shared" si="229"/>
        <v>2016 q4</v>
      </c>
    </row>
    <row r="14393" spans="1:3">
      <c r="A14393" s="62">
        <v>42724</v>
      </c>
      <c r="B14393">
        <v>2.4975000000000001</v>
      </c>
      <c r="C14393" t="str">
        <f t="shared" si="229"/>
        <v>2016 q4</v>
      </c>
    </row>
    <row r="14394" spans="1:3">
      <c r="A14394" s="62">
        <v>42725</v>
      </c>
      <c r="B14394">
        <v>2.4914999999999998</v>
      </c>
      <c r="C14394" t="str">
        <f t="shared" si="229"/>
        <v>2016 q4</v>
      </c>
    </row>
    <row r="14395" spans="1:3">
      <c r="A14395" s="62">
        <v>42726</v>
      </c>
      <c r="B14395">
        <v>2.4925000000000002</v>
      </c>
      <c r="C14395" t="str">
        <f t="shared" si="229"/>
        <v>2016 q4</v>
      </c>
    </row>
    <row r="14396" spans="1:3">
      <c r="A14396" s="62">
        <v>42727</v>
      </c>
      <c r="B14396">
        <v>2.4725000000000001</v>
      </c>
      <c r="C14396" t="str">
        <f t="shared" si="229"/>
        <v>2016 q4</v>
      </c>
    </row>
    <row r="14397" spans="1:3">
      <c r="A14397" s="62">
        <v>42731</v>
      </c>
      <c r="B14397">
        <v>2.5095000000000001</v>
      </c>
      <c r="C14397" t="str">
        <f t="shared" si="229"/>
        <v>2016 q4</v>
      </c>
    </row>
    <row r="14398" spans="1:3">
      <c r="A14398" s="62">
        <v>42732</v>
      </c>
      <c r="B14398">
        <v>2.4963000000000002</v>
      </c>
      <c r="C14398" t="str">
        <f t="shared" si="229"/>
        <v>2016 q4</v>
      </c>
    </row>
    <row r="14399" spans="1:3">
      <c r="A14399" s="62">
        <v>42733</v>
      </c>
      <c r="B14399">
        <v>2.4843999999999999</v>
      </c>
      <c r="C14399" t="str">
        <f t="shared" si="229"/>
        <v>2016 q4</v>
      </c>
    </row>
    <row r="14400" spans="1:3">
      <c r="A14400" s="62">
        <v>42734</v>
      </c>
      <c r="B14400">
        <v>2.5038999999999998</v>
      </c>
      <c r="C14400" t="str">
        <f t="shared" si="229"/>
        <v>2016 q4</v>
      </c>
    </row>
    <row r="14401" spans="1:3">
      <c r="A14401" s="62">
        <v>42738</v>
      </c>
      <c r="B14401">
        <v>2.4889999999999999</v>
      </c>
      <c r="C14401" t="str">
        <f t="shared" si="229"/>
        <v>2017 q1</v>
      </c>
    </row>
    <row r="14402" spans="1:3">
      <c r="A14402" s="62">
        <v>42739</v>
      </c>
      <c r="B14402">
        <v>2.5565000000000002</v>
      </c>
      <c r="C14402" t="str">
        <f t="shared" si="229"/>
        <v>2017 q1</v>
      </c>
    </row>
    <row r="14403" spans="1:3">
      <c r="A14403" s="62">
        <v>42740</v>
      </c>
      <c r="B14403">
        <v>2.5375000000000001</v>
      </c>
      <c r="C14403" t="str">
        <f t="shared" si="229"/>
        <v>2017 q1</v>
      </c>
    </row>
    <row r="14404" spans="1:3">
      <c r="A14404" s="62">
        <v>42741</v>
      </c>
      <c r="B14404">
        <v>2.5459999999999998</v>
      </c>
      <c r="C14404" t="str">
        <f t="shared" si="229"/>
        <v>2017 q1</v>
      </c>
    </row>
    <row r="14405" spans="1:3">
      <c r="A14405" s="62">
        <v>42744</v>
      </c>
      <c r="B14405">
        <v>2.5385</v>
      </c>
      <c r="C14405" t="str">
        <f t="shared" si="229"/>
        <v>2017 q1</v>
      </c>
    </row>
    <row r="14406" spans="1:3">
      <c r="A14406" s="62">
        <v>42745</v>
      </c>
      <c r="B14406">
        <v>2.6124999999999998</v>
      </c>
      <c r="C14406" t="str">
        <f t="shared" si="229"/>
        <v>2017 q1</v>
      </c>
    </row>
    <row r="14407" spans="1:3">
      <c r="A14407" s="62">
        <v>42746</v>
      </c>
      <c r="B14407">
        <v>2.6105</v>
      </c>
      <c r="C14407" t="str">
        <f t="shared" si="229"/>
        <v>2017 q1</v>
      </c>
    </row>
    <row r="14408" spans="1:3">
      <c r="A14408" s="62">
        <v>42747</v>
      </c>
      <c r="B14408">
        <v>2.6715</v>
      </c>
      <c r="C14408" t="str">
        <f t="shared" si="229"/>
        <v>2017 q1</v>
      </c>
    </row>
    <row r="14409" spans="1:3">
      <c r="A14409" s="62">
        <v>42748</v>
      </c>
      <c r="B14409">
        <v>2.69</v>
      </c>
      <c r="C14409" t="str">
        <f t="shared" si="229"/>
        <v>2017 q1</v>
      </c>
    </row>
    <row r="14410" spans="1:3">
      <c r="A14410" s="62">
        <v>42752</v>
      </c>
      <c r="B14410">
        <v>2.625</v>
      </c>
      <c r="C14410" t="str">
        <f t="shared" si="229"/>
        <v>2017 q1</v>
      </c>
    </row>
    <row r="14411" spans="1:3">
      <c r="A14411" s="62">
        <v>42753</v>
      </c>
      <c r="B14411">
        <v>2.6164999999999998</v>
      </c>
      <c r="C14411" t="str">
        <f t="shared" si="229"/>
        <v>2017 q1</v>
      </c>
    </row>
    <row r="14412" spans="1:3">
      <c r="A14412" s="62">
        <v>42754</v>
      </c>
      <c r="B14412">
        <v>2.6105</v>
      </c>
      <c r="C14412" t="str">
        <f t="shared" si="229"/>
        <v>2017 q1</v>
      </c>
    </row>
    <row r="14413" spans="1:3">
      <c r="A14413" s="62">
        <v>42755</v>
      </c>
      <c r="B14413">
        <v>2.625</v>
      </c>
      <c r="C14413" t="str">
        <f t="shared" si="229"/>
        <v>2017 q1</v>
      </c>
    </row>
    <row r="14414" spans="1:3">
      <c r="A14414" s="62">
        <v>42758</v>
      </c>
      <c r="B14414">
        <v>2.6475</v>
      </c>
      <c r="C14414" t="str">
        <f t="shared" si="229"/>
        <v>2017 q1</v>
      </c>
    </row>
    <row r="14415" spans="1:3">
      <c r="A14415" s="62">
        <v>42759</v>
      </c>
      <c r="B14415">
        <v>2.7084999999999999</v>
      </c>
      <c r="C14415" t="str">
        <f t="shared" si="229"/>
        <v>2017 q1</v>
      </c>
    </row>
    <row r="14416" spans="1:3">
      <c r="A14416" s="62">
        <v>42760</v>
      </c>
      <c r="B14416">
        <v>2.71</v>
      </c>
      <c r="C14416" t="str">
        <f t="shared" si="229"/>
        <v>2017 q1</v>
      </c>
    </row>
    <row r="14417" spans="1:3">
      <c r="A14417" s="62">
        <v>42761</v>
      </c>
      <c r="B14417">
        <v>2.673</v>
      </c>
      <c r="C14417" t="str">
        <f t="shared" si="229"/>
        <v>2017 q1</v>
      </c>
    </row>
    <row r="14418" spans="1:3">
      <c r="A14418" s="62">
        <v>42762</v>
      </c>
      <c r="B14418">
        <v>2.6894999999999998</v>
      </c>
      <c r="C14418" t="str">
        <f t="shared" ref="C14418:C14481" si="230">YEAR(A14418)&amp;" q"&amp;ROUNDUP(MONTH(A14418)/3,0)</f>
        <v>2017 q1</v>
      </c>
    </row>
    <row r="14419" spans="1:3">
      <c r="A14419" s="62">
        <v>42765</v>
      </c>
      <c r="B14419">
        <v>2.6549999999999998</v>
      </c>
      <c r="C14419" t="str">
        <f t="shared" si="230"/>
        <v>2017 q1</v>
      </c>
    </row>
    <row r="14420" spans="1:3">
      <c r="A14420" s="62">
        <v>42766</v>
      </c>
      <c r="B14420">
        <v>2.7275</v>
      </c>
      <c r="C14420" t="str">
        <f t="shared" si="230"/>
        <v>2017 q1</v>
      </c>
    </row>
    <row r="14421" spans="1:3">
      <c r="A14421" s="62">
        <v>42767</v>
      </c>
      <c r="B14421">
        <v>2.7115</v>
      </c>
      <c r="C14421" t="str">
        <f t="shared" si="230"/>
        <v>2017 q1</v>
      </c>
    </row>
    <row r="14422" spans="1:3">
      <c r="A14422" s="62">
        <v>42768</v>
      </c>
      <c r="B14422">
        <v>2.6855000000000002</v>
      </c>
      <c r="C14422" t="str">
        <f t="shared" si="230"/>
        <v>2017 q1</v>
      </c>
    </row>
    <row r="14423" spans="1:3">
      <c r="A14423" s="62">
        <v>42769</v>
      </c>
      <c r="B14423">
        <v>2.6160000000000001</v>
      </c>
      <c r="C14423" t="str">
        <f t="shared" si="230"/>
        <v>2017 q1</v>
      </c>
    </row>
    <row r="14424" spans="1:3">
      <c r="A14424" s="62">
        <v>42772</v>
      </c>
      <c r="B14424">
        <v>2.6515</v>
      </c>
      <c r="C14424" t="str">
        <f t="shared" si="230"/>
        <v>2017 q1</v>
      </c>
    </row>
    <row r="14425" spans="1:3">
      <c r="A14425" s="62">
        <v>42773</v>
      </c>
      <c r="B14425">
        <v>2.6320000000000001</v>
      </c>
      <c r="C14425" t="str">
        <f t="shared" si="230"/>
        <v>2017 q1</v>
      </c>
    </row>
    <row r="14426" spans="1:3">
      <c r="A14426" s="62">
        <v>42774</v>
      </c>
      <c r="B14426">
        <v>2.6665000000000001</v>
      </c>
      <c r="C14426" t="str">
        <f t="shared" si="230"/>
        <v>2017 q1</v>
      </c>
    </row>
    <row r="14427" spans="1:3">
      <c r="A14427" s="62">
        <v>42775</v>
      </c>
      <c r="B14427">
        <v>2.6535000000000002</v>
      </c>
      <c r="C14427" t="str">
        <f t="shared" si="230"/>
        <v>2017 q1</v>
      </c>
    </row>
    <row r="14428" spans="1:3">
      <c r="A14428" s="62">
        <v>42776</v>
      </c>
      <c r="B14428">
        <v>2.7679999999999998</v>
      </c>
      <c r="C14428" t="str">
        <f t="shared" si="230"/>
        <v>2017 q1</v>
      </c>
    </row>
    <row r="14429" spans="1:3">
      <c r="A14429" s="62">
        <v>42779</v>
      </c>
      <c r="B14429">
        <v>2.7829999999999999</v>
      </c>
      <c r="C14429" t="str">
        <f t="shared" si="230"/>
        <v>2017 q1</v>
      </c>
    </row>
    <row r="14430" spans="1:3">
      <c r="A14430" s="62">
        <v>42780</v>
      </c>
      <c r="B14430">
        <v>2.7370000000000001</v>
      </c>
      <c r="C14430" t="str">
        <f t="shared" si="230"/>
        <v>2017 q1</v>
      </c>
    </row>
    <row r="14431" spans="1:3">
      <c r="A14431" s="62">
        <v>42781</v>
      </c>
      <c r="B14431">
        <v>2.7404999999999999</v>
      </c>
      <c r="C14431" t="str">
        <f t="shared" si="230"/>
        <v>2017 q1</v>
      </c>
    </row>
    <row r="14432" spans="1:3">
      <c r="A14432" s="62">
        <v>42782</v>
      </c>
      <c r="B14432">
        <v>2.7185000000000001</v>
      </c>
      <c r="C14432" t="str">
        <f t="shared" si="230"/>
        <v>2017 q1</v>
      </c>
    </row>
    <row r="14433" spans="1:3">
      <c r="A14433" s="62">
        <v>42783</v>
      </c>
      <c r="B14433">
        <v>2.7069999999999999</v>
      </c>
      <c r="C14433" t="str">
        <f t="shared" si="230"/>
        <v>2017 q1</v>
      </c>
    </row>
    <row r="14434" spans="1:3">
      <c r="A14434" s="62">
        <v>42787</v>
      </c>
      <c r="B14434">
        <v>2.7454999999999998</v>
      </c>
      <c r="C14434" t="str">
        <f t="shared" si="230"/>
        <v>2017 q1</v>
      </c>
    </row>
    <row r="14435" spans="1:3">
      <c r="A14435" s="62">
        <v>42788</v>
      </c>
      <c r="B14435">
        <v>2.7330000000000001</v>
      </c>
      <c r="C14435" t="str">
        <f t="shared" si="230"/>
        <v>2017 q1</v>
      </c>
    </row>
    <row r="14436" spans="1:3">
      <c r="A14436" s="62">
        <v>42789</v>
      </c>
      <c r="B14436">
        <v>2.6465999999999998</v>
      </c>
      <c r="C14436" t="str">
        <f t="shared" si="230"/>
        <v>2017 q1</v>
      </c>
    </row>
    <row r="14437" spans="1:3">
      <c r="A14437" s="62">
        <v>42790</v>
      </c>
      <c r="B14437">
        <v>2.6863999999999999</v>
      </c>
      <c r="C14437" t="str">
        <f t="shared" si="230"/>
        <v>2017 q1</v>
      </c>
    </row>
    <row r="14438" spans="1:3">
      <c r="A14438" s="62">
        <v>42793</v>
      </c>
      <c r="B14438">
        <v>2.6938</v>
      </c>
      <c r="C14438" t="str">
        <f t="shared" si="230"/>
        <v>2017 q1</v>
      </c>
    </row>
    <row r="14439" spans="1:3">
      <c r="A14439" s="62">
        <v>42794</v>
      </c>
      <c r="B14439">
        <v>2.7120000000000002</v>
      </c>
      <c r="C14439" t="str">
        <f t="shared" si="230"/>
        <v>2017 q1</v>
      </c>
    </row>
    <row r="14440" spans="1:3">
      <c r="A14440" s="62">
        <v>42795</v>
      </c>
      <c r="B14440">
        <v>2.7360000000000002</v>
      </c>
      <c r="C14440" t="str">
        <f t="shared" si="230"/>
        <v>2017 q1</v>
      </c>
    </row>
    <row r="14441" spans="1:3">
      <c r="A14441" s="62">
        <v>42796</v>
      </c>
      <c r="B14441">
        <v>2.6905000000000001</v>
      </c>
      <c r="C14441" t="str">
        <f t="shared" si="230"/>
        <v>2017 q1</v>
      </c>
    </row>
    <row r="14442" spans="1:3">
      <c r="A14442" s="62">
        <v>42797</v>
      </c>
      <c r="B14442">
        <v>2.6964999999999999</v>
      </c>
      <c r="C14442" t="str">
        <f t="shared" si="230"/>
        <v>2017 q1</v>
      </c>
    </row>
    <row r="14443" spans="1:3">
      <c r="A14443" s="62">
        <v>42800</v>
      </c>
      <c r="B14443">
        <v>2.6520000000000001</v>
      </c>
      <c r="C14443" t="str">
        <f t="shared" si="230"/>
        <v>2017 q1</v>
      </c>
    </row>
    <row r="14444" spans="1:3">
      <c r="A14444" s="62">
        <v>42801</v>
      </c>
      <c r="B14444">
        <v>2.6185</v>
      </c>
      <c r="C14444" t="str">
        <f t="shared" si="230"/>
        <v>2017 q1</v>
      </c>
    </row>
    <row r="14445" spans="1:3">
      <c r="A14445" s="62">
        <v>42802</v>
      </c>
      <c r="B14445">
        <v>2.6004999999999998</v>
      </c>
      <c r="C14445" t="str">
        <f t="shared" si="230"/>
        <v>2017 q1</v>
      </c>
    </row>
    <row r="14446" spans="1:3">
      <c r="A14446" s="62">
        <v>42803</v>
      </c>
      <c r="B14446">
        <v>2.58</v>
      </c>
      <c r="C14446" t="str">
        <f t="shared" si="230"/>
        <v>2017 q1</v>
      </c>
    </row>
    <row r="14447" spans="1:3">
      <c r="A14447" s="62">
        <v>42804</v>
      </c>
      <c r="B14447">
        <v>2.5950000000000002</v>
      </c>
      <c r="C14447" t="str">
        <f t="shared" si="230"/>
        <v>2017 q1</v>
      </c>
    </row>
    <row r="14448" spans="1:3">
      <c r="A14448" s="62">
        <v>42807</v>
      </c>
      <c r="B14448">
        <v>2.6255000000000002</v>
      </c>
      <c r="C14448" t="str">
        <f t="shared" si="230"/>
        <v>2017 q1</v>
      </c>
    </row>
    <row r="14449" spans="1:3">
      <c r="A14449" s="62">
        <v>42808</v>
      </c>
      <c r="B14449">
        <v>2.6349999999999998</v>
      </c>
      <c r="C14449" t="str">
        <f t="shared" si="230"/>
        <v>2017 q1</v>
      </c>
    </row>
    <row r="14450" spans="1:3">
      <c r="A14450" s="62">
        <v>42809</v>
      </c>
      <c r="B14450">
        <v>2.6564999999999999</v>
      </c>
      <c r="C14450" t="str">
        <f t="shared" si="230"/>
        <v>2017 q1</v>
      </c>
    </row>
    <row r="14451" spans="1:3">
      <c r="A14451" s="62">
        <v>42810</v>
      </c>
      <c r="B14451">
        <v>2.6775000000000002</v>
      </c>
      <c r="C14451" t="str">
        <f t="shared" si="230"/>
        <v>2017 q1</v>
      </c>
    </row>
    <row r="14452" spans="1:3">
      <c r="A14452" s="62">
        <v>42811</v>
      </c>
      <c r="B14452">
        <v>2.6915</v>
      </c>
      <c r="C14452" t="str">
        <f t="shared" si="230"/>
        <v>2017 q1</v>
      </c>
    </row>
    <row r="14453" spans="1:3">
      <c r="A14453" s="62">
        <v>42814</v>
      </c>
      <c r="B14453">
        <v>2.6669999999999998</v>
      </c>
      <c r="C14453" t="str">
        <f t="shared" si="230"/>
        <v>2017 q1</v>
      </c>
    </row>
    <row r="14454" spans="1:3">
      <c r="A14454" s="62">
        <v>42815</v>
      </c>
      <c r="B14454">
        <v>2.6185</v>
      </c>
      <c r="C14454" t="str">
        <f t="shared" si="230"/>
        <v>2017 q1</v>
      </c>
    </row>
    <row r="14455" spans="1:3">
      <c r="A14455" s="62">
        <v>42816</v>
      </c>
      <c r="B14455">
        <v>2.6305000000000001</v>
      </c>
      <c r="C14455" t="str">
        <f t="shared" si="230"/>
        <v>2017 q1</v>
      </c>
    </row>
    <row r="14456" spans="1:3">
      <c r="A14456" s="62">
        <v>42817</v>
      </c>
      <c r="B14456">
        <v>2.6444999999999999</v>
      </c>
      <c r="C14456" t="str">
        <f t="shared" si="230"/>
        <v>2017 q1</v>
      </c>
    </row>
    <row r="14457" spans="1:3">
      <c r="A14457" s="62">
        <v>42818</v>
      </c>
      <c r="B14457">
        <v>2.6309999999999998</v>
      </c>
      <c r="C14457" t="str">
        <f t="shared" si="230"/>
        <v>2017 q1</v>
      </c>
    </row>
    <row r="14458" spans="1:3">
      <c r="A14458" s="62">
        <v>42821</v>
      </c>
      <c r="B14458">
        <v>2.6320000000000001</v>
      </c>
      <c r="C14458" t="str">
        <f t="shared" si="230"/>
        <v>2017 q1</v>
      </c>
    </row>
    <row r="14459" spans="1:3">
      <c r="A14459" s="62">
        <v>42822</v>
      </c>
      <c r="B14459">
        <v>2.6760000000000002</v>
      </c>
      <c r="C14459" t="str">
        <f t="shared" si="230"/>
        <v>2017 q1</v>
      </c>
    </row>
    <row r="14460" spans="1:3">
      <c r="A14460" s="62">
        <v>42823</v>
      </c>
      <c r="B14460">
        <v>2.6775000000000002</v>
      </c>
      <c r="C14460" t="str">
        <f t="shared" si="230"/>
        <v>2017 q1</v>
      </c>
    </row>
    <row r="14461" spans="1:3">
      <c r="A14461" s="62">
        <v>42824</v>
      </c>
      <c r="B14461">
        <v>2.6715</v>
      </c>
      <c r="C14461" t="str">
        <f t="shared" si="230"/>
        <v>2017 q1</v>
      </c>
    </row>
    <row r="14462" spans="1:3">
      <c r="A14462" s="62">
        <v>42825</v>
      </c>
      <c r="B14462">
        <v>2.6524999999999999</v>
      </c>
      <c r="C14462" t="str">
        <f t="shared" si="230"/>
        <v>2017 q1</v>
      </c>
    </row>
    <row r="14463" spans="1:3">
      <c r="A14463" s="62">
        <v>42828</v>
      </c>
      <c r="B14463">
        <v>2.6034999999999999</v>
      </c>
      <c r="C14463" t="str">
        <f t="shared" si="230"/>
        <v>2017 q2</v>
      </c>
    </row>
    <row r="14464" spans="1:3">
      <c r="A14464" s="62">
        <v>42829</v>
      </c>
      <c r="B14464">
        <v>2.6120000000000001</v>
      </c>
      <c r="C14464" t="str">
        <f t="shared" si="230"/>
        <v>2017 q2</v>
      </c>
    </row>
    <row r="14465" spans="1:3">
      <c r="A14465" s="62">
        <v>42830</v>
      </c>
      <c r="B14465">
        <v>2.68</v>
      </c>
      <c r="C14465" t="str">
        <f t="shared" si="230"/>
        <v>2017 q2</v>
      </c>
    </row>
    <row r="14466" spans="1:3">
      <c r="A14466" s="62">
        <v>42831</v>
      </c>
      <c r="B14466">
        <v>2.6579999999999999</v>
      </c>
      <c r="C14466" t="str">
        <f t="shared" si="230"/>
        <v>2017 q2</v>
      </c>
    </row>
    <row r="14467" spans="1:3">
      <c r="A14467" s="62">
        <v>42832</v>
      </c>
      <c r="B14467">
        <v>2.6469999999999998</v>
      </c>
      <c r="C14467" t="str">
        <f t="shared" si="230"/>
        <v>2017 q2</v>
      </c>
    </row>
    <row r="14468" spans="1:3">
      <c r="A14468" s="62">
        <v>42835</v>
      </c>
      <c r="B14468">
        <v>2.6040000000000001</v>
      </c>
      <c r="C14468" t="str">
        <f t="shared" si="230"/>
        <v>2017 q2</v>
      </c>
    </row>
    <row r="14469" spans="1:3">
      <c r="A14469" s="62">
        <v>42836</v>
      </c>
      <c r="B14469">
        <v>2.6080000000000001</v>
      </c>
      <c r="C14469" t="str">
        <f t="shared" si="230"/>
        <v>2017 q2</v>
      </c>
    </row>
    <row r="14470" spans="1:3">
      <c r="A14470" s="62">
        <v>42837</v>
      </c>
      <c r="B14470">
        <v>2.5449999999999999</v>
      </c>
      <c r="C14470" t="str">
        <f t="shared" si="230"/>
        <v>2017 q2</v>
      </c>
    </row>
    <row r="14471" spans="1:3">
      <c r="A14471" s="62">
        <v>42838</v>
      </c>
      <c r="B14471">
        <v>2.5705</v>
      </c>
      <c r="C14471" t="str">
        <f t="shared" si="230"/>
        <v>2017 q2</v>
      </c>
    </row>
    <row r="14472" spans="1:3">
      <c r="A14472" s="62">
        <v>42842</v>
      </c>
      <c r="B14472">
        <v>2.5960000000000001</v>
      </c>
      <c r="C14472" t="str">
        <f t="shared" si="230"/>
        <v>2017 q2</v>
      </c>
    </row>
    <row r="14473" spans="1:3">
      <c r="A14473" s="62">
        <v>42843</v>
      </c>
      <c r="B14473">
        <v>2.5289999999999999</v>
      </c>
      <c r="C14473" t="str">
        <f t="shared" si="230"/>
        <v>2017 q2</v>
      </c>
    </row>
    <row r="14474" spans="1:3">
      <c r="A14474" s="62">
        <v>42844</v>
      </c>
      <c r="B14474">
        <v>2.5345</v>
      </c>
      <c r="C14474" t="str">
        <f t="shared" si="230"/>
        <v>2017 q2</v>
      </c>
    </row>
    <row r="14475" spans="1:3">
      <c r="A14475" s="62">
        <v>42845</v>
      </c>
      <c r="B14475">
        <v>2.5419999999999998</v>
      </c>
      <c r="C14475" t="str">
        <f t="shared" si="230"/>
        <v>2017 q2</v>
      </c>
    </row>
    <row r="14476" spans="1:3">
      <c r="A14476" s="62">
        <v>42846</v>
      </c>
      <c r="B14476">
        <v>2.5375000000000001</v>
      </c>
      <c r="C14476" t="str">
        <f t="shared" si="230"/>
        <v>2017 q2</v>
      </c>
    </row>
    <row r="14477" spans="1:3">
      <c r="A14477" s="62">
        <v>42849</v>
      </c>
      <c r="B14477">
        <v>2.5525000000000002</v>
      </c>
      <c r="C14477" t="str">
        <f t="shared" si="230"/>
        <v>2017 q2</v>
      </c>
    </row>
    <row r="14478" spans="1:3">
      <c r="A14478" s="62">
        <v>42850</v>
      </c>
      <c r="B14478">
        <v>2.581</v>
      </c>
      <c r="C14478" t="str">
        <f t="shared" si="230"/>
        <v>2017 q2</v>
      </c>
    </row>
    <row r="14479" spans="1:3">
      <c r="A14479" s="62">
        <v>42851</v>
      </c>
      <c r="B14479">
        <v>2.5933000000000002</v>
      </c>
      <c r="C14479" t="str">
        <f t="shared" si="230"/>
        <v>2017 q2</v>
      </c>
    </row>
    <row r="14480" spans="1:3">
      <c r="A14480" s="62">
        <v>42852</v>
      </c>
      <c r="B14480">
        <v>2.5878000000000001</v>
      </c>
      <c r="C14480" t="str">
        <f t="shared" si="230"/>
        <v>2017 q2</v>
      </c>
    </row>
    <row r="14481" spans="1:3">
      <c r="A14481" s="62">
        <v>42853</v>
      </c>
      <c r="B14481">
        <v>2.6053000000000002</v>
      </c>
      <c r="C14481" t="str">
        <f t="shared" si="230"/>
        <v>2017 q2</v>
      </c>
    </row>
    <row r="14482" spans="1:3">
      <c r="A14482" s="62">
        <v>42856</v>
      </c>
      <c r="B14482">
        <v>2.6604999999999999</v>
      </c>
      <c r="C14482" t="str">
        <f t="shared" ref="C14482:C14545" si="231">YEAR(A14482)&amp;" q"&amp;ROUNDUP(MONTH(A14482)/3,0)</f>
        <v>2017 q2</v>
      </c>
    </row>
    <row r="14483" spans="1:3">
      <c r="A14483" s="62">
        <v>42857</v>
      </c>
      <c r="B14483">
        <v>2.6355</v>
      </c>
      <c r="C14483" t="str">
        <f t="shared" si="231"/>
        <v>2017 q2</v>
      </c>
    </row>
    <row r="14484" spans="1:3">
      <c r="A14484" s="62">
        <v>42858</v>
      </c>
      <c r="B14484">
        <v>2.5434999999999999</v>
      </c>
      <c r="C14484" t="str">
        <f t="shared" si="231"/>
        <v>2017 q2</v>
      </c>
    </row>
    <row r="14485" spans="1:3">
      <c r="A14485" s="62">
        <v>42859</v>
      </c>
      <c r="B14485">
        <v>2.5114999999999998</v>
      </c>
      <c r="C14485" t="str">
        <f t="shared" si="231"/>
        <v>2017 q2</v>
      </c>
    </row>
    <row r="14486" spans="1:3">
      <c r="A14486" s="62">
        <v>42860</v>
      </c>
      <c r="B14486">
        <v>2.5285000000000002</v>
      </c>
      <c r="C14486" t="str">
        <f t="shared" si="231"/>
        <v>2017 q2</v>
      </c>
    </row>
    <row r="14487" spans="1:3">
      <c r="A14487" s="62">
        <v>42863</v>
      </c>
      <c r="B14487">
        <v>2.4935</v>
      </c>
      <c r="C14487" t="str">
        <f t="shared" si="231"/>
        <v>2017 q2</v>
      </c>
    </row>
    <row r="14488" spans="1:3">
      <c r="A14488" s="62">
        <v>42864</v>
      </c>
      <c r="B14488">
        <v>2.4980000000000002</v>
      </c>
      <c r="C14488" t="str">
        <f t="shared" si="231"/>
        <v>2017 q2</v>
      </c>
    </row>
    <row r="14489" spans="1:3">
      <c r="A14489" s="62">
        <v>42865</v>
      </c>
      <c r="B14489">
        <v>2.4944999999999999</v>
      </c>
      <c r="C14489" t="str">
        <f t="shared" si="231"/>
        <v>2017 q2</v>
      </c>
    </row>
    <row r="14490" spans="1:3">
      <c r="A14490" s="62">
        <v>42866</v>
      </c>
      <c r="B14490">
        <v>2.508</v>
      </c>
      <c r="C14490" t="str">
        <f t="shared" si="231"/>
        <v>2017 q2</v>
      </c>
    </row>
    <row r="14491" spans="1:3">
      <c r="A14491" s="62">
        <v>42867</v>
      </c>
      <c r="B14491">
        <v>2.524</v>
      </c>
      <c r="C14491" t="str">
        <f t="shared" si="231"/>
        <v>2017 q2</v>
      </c>
    </row>
    <row r="14492" spans="1:3">
      <c r="A14492" s="62">
        <v>42870</v>
      </c>
      <c r="B14492">
        <v>2.5390000000000001</v>
      </c>
      <c r="C14492" t="str">
        <f t="shared" si="231"/>
        <v>2017 q2</v>
      </c>
    </row>
    <row r="14493" spans="1:3">
      <c r="A14493" s="62">
        <v>42871</v>
      </c>
      <c r="B14493">
        <v>2.5505</v>
      </c>
      <c r="C14493" t="str">
        <f t="shared" si="231"/>
        <v>2017 q2</v>
      </c>
    </row>
    <row r="14494" spans="1:3">
      <c r="A14494" s="62">
        <v>42872</v>
      </c>
      <c r="B14494">
        <v>2.5465</v>
      </c>
      <c r="C14494" t="str">
        <f t="shared" si="231"/>
        <v>2017 q2</v>
      </c>
    </row>
    <row r="14495" spans="1:3">
      <c r="A14495" s="62">
        <v>42873</v>
      </c>
      <c r="B14495">
        <v>2.5314999999999999</v>
      </c>
      <c r="C14495" t="str">
        <f t="shared" si="231"/>
        <v>2017 q2</v>
      </c>
    </row>
    <row r="14496" spans="1:3">
      <c r="A14496" s="62">
        <v>42874</v>
      </c>
      <c r="B14496">
        <v>2.5815000000000001</v>
      </c>
      <c r="C14496" t="str">
        <f t="shared" si="231"/>
        <v>2017 q2</v>
      </c>
    </row>
    <row r="14497" spans="1:3">
      <c r="A14497" s="62">
        <v>42877</v>
      </c>
      <c r="B14497">
        <v>2.5954999999999999</v>
      </c>
      <c r="C14497" t="str">
        <f t="shared" si="231"/>
        <v>2017 q2</v>
      </c>
    </row>
    <row r="14498" spans="1:3">
      <c r="A14498" s="62">
        <v>42878</v>
      </c>
      <c r="B14498">
        <v>2.5960000000000001</v>
      </c>
      <c r="C14498" t="str">
        <f t="shared" si="231"/>
        <v>2017 q2</v>
      </c>
    </row>
    <row r="14499" spans="1:3">
      <c r="A14499" s="62">
        <v>42879</v>
      </c>
      <c r="B14499">
        <v>2.5834999999999999</v>
      </c>
      <c r="C14499" t="str">
        <f t="shared" si="231"/>
        <v>2017 q2</v>
      </c>
    </row>
    <row r="14500" spans="1:3">
      <c r="A14500" s="62">
        <v>42880</v>
      </c>
      <c r="B14500">
        <v>2.5975000000000001</v>
      </c>
      <c r="C14500" t="str">
        <f t="shared" si="231"/>
        <v>2017 q2</v>
      </c>
    </row>
    <row r="14501" spans="1:3">
      <c r="A14501" s="62">
        <v>42881</v>
      </c>
      <c r="B14501">
        <v>2.5659999999999998</v>
      </c>
      <c r="C14501" t="str">
        <f t="shared" si="231"/>
        <v>2017 q2</v>
      </c>
    </row>
    <row r="14502" spans="1:3">
      <c r="A14502" s="62">
        <v>42885</v>
      </c>
      <c r="B14502">
        <v>2.5640000000000001</v>
      </c>
      <c r="C14502" t="str">
        <f t="shared" si="231"/>
        <v>2017 q2</v>
      </c>
    </row>
    <row r="14503" spans="1:3">
      <c r="A14503" s="62">
        <v>42886</v>
      </c>
      <c r="B14503">
        <v>2.58</v>
      </c>
      <c r="C14503" t="str">
        <f t="shared" si="231"/>
        <v>2017 q2</v>
      </c>
    </row>
    <row r="14504" spans="1:3">
      <c r="A14504" s="62">
        <v>42887</v>
      </c>
      <c r="B14504">
        <v>2.5874999999999999</v>
      </c>
      <c r="C14504" t="str">
        <f t="shared" si="231"/>
        <v>2017 q2</v>
      </c>
    </row>
    <row r="14505" spans="1:3">
      <c r="A14505" s="62">
        <v>42888</v>
      </c>
      <c r="B14505">
        <v>2.5745</v>
      </c>
      <c r="C14505" t="str">
        <f t="shared" si="231"/>
        <v>2017 q2</v>
      </c>
    </row>
    <row r="14506" spans="1:3">
      <c r="A14506" s="62">
        <v>42891</v>
      </c>
      <c r="B14506">
        <v>2.5575000000000001</v>
      </c>
      <c r="C14506" t="str">
        <f t="shared" si="231"/>
        <v>2017 q2</v>
      </c>
    </row>
    <row r="14507" spans="1:3">
      <c r="A14507" s="62">
        <v>42892</v>
      </c>
      <c r="B14507">
        <v>2.5470000000000002</v>
      </c>
      <c r="C14507" t="str">
        <f t="shared" si="231"/>
        <v>2017 q2</v>
      </c>
    </row>
    <row r="14508" spans="1:3">
      <c r="A14508" s="62">
        <v>42893</v>
      </c>
      <c r="B14508">
        <v>2.5514999999999999</v>
      </c>
      <c r="C14508" t="str">
        <f t="shared" si="231"/>
        <v>2017 q2</v>
      </c>
    </row>
    <row r="14509" spans="1:3">
      <c r="A14509" s="62">
        <v>42894</v>
      </c>
      <c r="B14509">
        <v>2.6095000000000002</v>
      </c>
      <c r="C14509" t="str">
        <f t="shared" si="231"/>
        <v>2017 q2</v>
      </c>
    </row>
    <row r="14510" spans="1:3">
      <c r="A14510" s="62">
        <v>42895</v>
      </c>
      <c r="B14510">
        <v>2.6495000000000002</v>
      </c>
      <c r="C14510" t="str">
        <f t="shared" si="231"/>
        <v>2017 q2</v>
      </c>
    </row>
    <row r="14511" spans="1:3">
      <c r="A14511" s="62">
        <v>42898</v>
      </c>
      <c r="B14511">
        <v>2.6154999999999999</v>
      </c>
      <c r="C14511" t="str">
        <f t="shared" si="231"/>
        <v>2017 q2</v>
      </c>
    </row>
    <row r="14512" spans="1:3">
      <c r="A14512" s="62">
        <v>42899</v>
      </c>
      <c r="B14512">
        <v>2.5964999999999998</v>
      </c>
      <c r="C14512" t="str">
        <f t="shared" si="231"/>
        <v>2017 q2</v>
      </c>
    </row>
    <row r="14513" spans="1:3">
      <c r="A14513" s="62">
        <v>42900</v>
      </c>
      <c r="B14513">
        <v>2.5735000000000001</v>
      </c>
      <c r="C14513" t="str">
        <f t="shared" si="231"/>
        <v>2017 q2</v>
      </c>
    </row>
    <row r="14514" spans="1:3">
      <c r="A14514" s="62">
        <v>42901</v>
      </c>
      <c r="B14514">
        <v>2.5655000000000001</v>
      </c>
      <c r="C14514" t="str">
        <f t="shared" si="231"/>
        <v>2017 q2</v>
      </c>
    </row>
    <row r="14515" spans="1:3">
      <c r="A14515" s="62">
        <v>42902</v>
      </c>
      <c r="B14515">
        <v>2.5640000000000001</v>
      </c>
      <c r="C14515" t="str">
        <f t="shared" si="231"/>
        <v>2017 q2</v>
      </c>
    </row>
    <row r="14516" spans="1:3">
      <c r="A14516" s="62">
        <v>42905</v>
      </c>
      <c r="B14516">
        <v>2.5895000000000001</v>
      </c>
      <c r="C14516" t="str">
        <f t="shared" si="231"/>
        <v>2017 q2</v>
      </c>
    </row>
    <row r="14517" spans="1:3">
      <c r="A14517" s="62">
        <v>42906</v>
      </c>
      <c r="B14517">
        <v>2.5545</v>
      </c>
      <c r="C14517" t="str">
        <f t="shared" si="231"/>
        <v>2017 q2</v>
      </c>
    </row>
    <row r="14518" spans="1:3">
      <c r="A14518" s="62">
        <v>42907</v>
      </c>
      <c r="B14518">
        <v>2.6019999999999999</v>
      </c>
      <c r="C14518" t="str">
        <f t="shared" si="231"/>
        <v>2017 q2</v>
      </c>
    </row>
    <row r="14519" spans="1:3">
      <c r="A14519" s="62">
        <v>42908</v>
      </c>
      <c r="B14519">
        <v>2.5990000000000002</v>
      </c>
      <c r="C14519" t="str">
        <f t="shared" si="231"/>
        <v>2017 q2</v>
      </c>
    </row>
    <row r="14520" spans="1:3">
      <c r="A14520" s="62">
        <v>42909</v>
      </c>
      <c r="B14520">
        <v>2.6240000000000001</v>
      </c>
      <c r="C14520" t="str">
        <f t="shared" si="231"/>
        <v>2017 q2</v>
      </c>
    </row>
    <row r="14521" spans="1:3">
      <c r="A14521" s="62">
        <v>42912</v>
      </c>
      <c r="B14521">
        <v>2.6255000000000002</v>
      </c>
      <c r="C14521" t="str">
        <f t="shared" si="231"/>
        <v>2017 q2</v>
      </c>
    </row>
    <row r="14522" spans="1:3">
      <c r="A14522" s="62">
        <v>42913</v>
      </c>
      <c r="B14522">
        <v>2.6499000000000001</v>
      </c>
      <c r="C14522" t="str">
        <f t="shared" si="231"/>
        <v>2017 q2</v>
      </c>
    </row>
    <row r="14523" spans="1:3">
      <c r="A14523" s="62">
        <v>42914</v>
      </c>
      <c r="B14523">
        <v>2.6667000000000001</v>
      </c>
      <c r="C14523" t="str">
        <f t="shared" si="231"/>
        <v>2017 q2</v>
      </c>
    </row>
    <row r="14524" spans="1:3">
      <c r="A14524" s="62">
        <v>42915</v>
      </c>
      <c r="B14524">
        <v>2.6905000000000001</v>
      </c>
      <c r="C14524" t="str">
        <f t="shared" si="231"/>
        <v>2017 q2</v>
      </c>
    </row>
    <row r="14525" spans="1:3">
      <c r="A14525" s="62">
        <v>42916</v>
      </c>
      <c r="B14525">
        <v>2.7086000000000001</v>
      </c>
      <c r="C14525" t="str">
        <f t="shared" si="231"/>
        <v>2017 q2</v>
      </c>
    </row>
    <row r="14526" spans="1:3">
      <c r="A14526" s="62">
        <v>42919</v>
      </c>
      <c r="B14526">
        <v>2.6930000000000001</v>
      </c>
      <c r="C14526" t="str">
        <f t="shared" si="231"/>
        <v>2017 q3</v>
      </c>
    </row>
    <row r="14527" spans="1:3">
      <c r="A14527" s="62">
        <v>42921</v>
      </c>
      <c r="B14527">
        <v>2.66</v>
      </c>
      <c r="C14527" t="str">
        <f t="shared" si="231"/>
        <v>2017 q3</v>
      </c>
    </row>
    <row r="14528" spans="1:3">
      <c r="A14528" s="62">
        <v>42922</v>
      </c>
      <c r="B14528">
        <v>2.6615000000000002</v>
      </c>
      <c r="C14528" t="str">
        <f t="shared" si="231"/>
        <v>2017 q3</v>
      </c>
    </row>
    <row r="14529" spans="1:3">
      <c r="A14529" s="62">
        <v>42923</v>
      </c>
      <c r="B14529">
        <v>2.6469999999999998</v>
      </c>
      <c r="C14529" t="str">
        <f t="shared" si="231"/>
        <v>2017 q3</v>
      </c>
    </row>
    <row r="14530" spans="1:3">
      <c r="A14530" s="62">
        <v>42926</v>
      </c>
      <c r="B14530">
        <v>2.6475</v>
      </c>
      <c r="C14530" t="str">
        <f t="shared" si="231"/>
        <v>2017 q3</v>
      </c>
    </row>
    <row r="14531" spans="1:3">
      <c r="A14531" s="62">
        <v>42927</v>
      </c>
      <c r="B14531">
        <v>2.6720000000000002</v>
      </c>
      <c r="C14531" t="str">
        <f t="shared" si="231"/>
        <v>2017 q3</v>
      </c>
    </row>
    <row r="14532" spans="1:3">
      <c r="A14532" s="62">
        <v>42928</v>
      </c>
      <c r="B14532">
        <v>2.6840000000000002</v>
      </c>
      <c r="C14532" t="str">
        <f t="shared" si="231"/>
        <v>2017 q3</v>
      </c>
    </row>
    <row r="14533" spans="1:3">
      <c r="A14533" s="62">
        <v>42929</v>
      </c>
      <c r="B14533">
        <v>2.6615000000000002</v>
      </c>
      <c r="C14533" t="str">
        <f t="shared" si="231"/>
        <v>2017 q3</v>
      </c>
    </row>
    <row r="14534" spans="1:3">
      <c r="A14534" s="62">
        <v>42930</v>
      </c>
      <c r="B14534">
        <v>2.6909999999999998</v>
      </c>
      <c r="C14534" t="str">
        <f t="shared" si="231"/>
        <v>2017 q3</v>
      </c>
    </row>
    <row r="14535" spans="1:3">
      <c r="A14535" s="62">
        <v>42933</v>
      </c>
      <c r="B14535">
        <v>2.7240000000000002</v>
      </c>
      <c r="C14535" t="str">
        <f t="shared" si="231"/>
        <v>2017 q3</v>
      </c>
    </row>
    <row r="14536" spans="1:3">
      <c r="A14536" s="62">
        <v>42934</v>
      </c>
      <c r="B14536">
        <v>2.7305000000000001</v>
      </c>
      <c r="C14536" t="str">
        <f t="shared" si="231"/>
        <v>2017 q3</v>
      </c>
    </row>
    <row r="14537" spans="1:3">
      <c r="A14537" s="62">
        <v>42935</v>
      </c>
      <c r="B14537">
        <v>2.7105000000000001</v>
      </c>
      <c r="C14537" t="str">
        <f t="shared" si="231"/>
        <v>2017 q3</v>
      </c>
    </row>
    <row r="14538" spans="1:3">
      <c r="A14538" s="62">
        <v>42936</v>
      </c>
      <c r="B14538">
        <v>2.7160000000000002</v>
      </c>
      <c r="C14538" t="str">
        <f t="shared" si="231"/>
        <v>2017 q3</v>
      </c>
    </row>
    <row r="14539" spans="1:3">
      <c r="A14539" s="62">
        <v>42937</v>
      </c>
      <c r="B14539">
        <v>2.7225000000000001</v>
      </c>
      <c r="C14539" t="str">
        <f t="shared" si="231"/>
        <v>2017 q3</v>
      </c>
    </row>
    <row r="14540" spans="1:3">
      <c r="A14540" s="62">
        <v>42940</v>
      </c>
      <c r="B14540">
        <v>2.7364999999999999</v>
      </c>
      <c r="C14540" t="str">
        <f t="shared" si="231"/>
        <v>2017 q3</v>
      </c>
    </row>
    <row r="14541" spans="1:3">
      <c r="A14541" s="62">
        <v>42941</v>
      </c>
      <c r="B14541">
        <v>2.8464999999999998</v>
      </c>
      <c r="C14541" t="str">
        <f t="shared" si="231"/>
        <v>2017 q3</v>
      </c>
    </row>
    <row r="14542" spans="1:3">
      <c r="A14542" s="62">
        <v>42942</v>
      </c>
      <c r="B14542">
        <v>2.8719999999999999</v>
      </c>
      <c r="C14542" t="str">
        <f t="shared" si="231"/>
        <v>2017 q3</v>
      </c>
    </row>
    <row r="14543" spans="1:3">
      <c r="A14543" s="62">
        <v>42943</v>
      </c>
      <c r="B14543">
        <v>2.8774999999999999</v>
      </c>
      <c r="C14543" t="str">
        <f t="shared" si="231"/>
        <v>2017 q3</v>
      </c>
    </row>
    <row r="14544" spans="1:3">
      <c r="A14544" s="62">
        <v>42944</v>
      </c>
      <c r="B14544">
        <v>2.875</v>
      </c>
      <c r="C14544" t="str">
        <f t="shared" si="231"/>
        <v>2017 q3</v>
      </c>
    </row>
    <row r="14545" spans="1:3">
      <c r="A14545" s="62">
        <v>42947</v>
      </c>
      <c r="B14545">
        <v>2.8915000000000002</v>
      </c>
      <c r="C14545" t="str">
        <f t="shared" si="231"/>
        <v>2017 q3</v>
      </c>
    </row>
    <row r="14546" spans="1:3">
      <c r="A14546" s="62">
        <v>42948</v>
      </c>
      <c r="B14546">
        <v>2.8809999999999998</v>
      </c>
      <c r="C14546" t="str">
        <f t="shared" ref="C14546:C14609" si="232">YEAR(A14546)&amp;" q"&amp;ROUNDUP(MONTH(A14546)/3,0)</f>
        <v>2017 q3</v>
      </c>
    </row>
    <row r="14547" spans="1:3">
      <c r="A14547" s="62">
        <v>42949</v>
      </c>
      <c r="B14547">
        <v>2.8845000000000001</v>
      </c>
      <c r="C14547" t="str">
        <f t="shared" si="232"/>
        <v>2017 q3</v>
      </c>
    </row>
    <row r="14548" spans="1:3">
      <c r="A14548" s="62">
        <v>42950</v>
      </c>
      <c r="B14548">
        <v>2.8780000000000001</v>
      </c>
      <c r="C14548" t="str">
        <f t="shared" si="232"/>
        <v>2017 q3</v>
      </c>
    </row>
    <row r="14549" spans="1:3">
      <c r="A14549" s="62">
        <v>42951</v>
      </c>
      <c r="B14549">
        <v>2.8849999999999998</v>
      </c>
      <c r="C14549" t="str">
        <f t="shared" si="232"/>
        <v>2017 q3</v>
      </c>
    </row>
    <row r="14550" spans="1:3">
      <c r="A14550" s="62">
        <v>42954</v>
      </c>
      <c r="B14550">
        <v>2.907</v>
      </c>
      <c r="C14550" t="str">
        <f t="shared" si="232"/>
        <v>2017 q3</v>
      </c>
    </row>
    <row r="14551" spans="1:3">
      <c r="A14551" s="62">
        <v>42955</v>
      </c>
      <c r="B14551">
        <v>2.9424999999999999</v>
      </c>
      <c r="C14551" t="str">
        <f t="shared" si="232"/>
        <v>2017 q3</v>
      </c>
    </row>
    <row r="14552" spans="1:3">
      <c r="A14552" s="62">
        <v>42956</v>
      </c>
      <c r="B14552">
        <v>2.927</v>
      </c>
      <c r="C14552" t="str">
        <f t="shared" si="232"/>
        <v>2017 q3</v>
      </c>
    </row>
    <row r="14553" spans="1:3">
      <c r="A14553" s="62">
        <v>42957</v>
      </c>
      <c r="B14553">
        <v>2.903</v>
      </c>
      <c r="C14553" t="str">
        <f t="shared" si="232"/>
        <v>2017 q3</v>
      </c>
    </row>
    <row r="14554" spans="1:3">
      <c r="A14554" s="62">
        <v>42958</v>
      </c>
      <c r="B14554">
        <v>2.9119999999999999</v>
      </c>
      <c r="C14554" t="str">
        <f t="shared" si="232"/>
        <v>2017 q3</v>
      </c>
    </row>
    <row r="14555" spans="1:3">
      <c r="A14555" s="62">
        <v>42961</v>
      </c>
      <c r="B14555">
        <v>2.9045000000000001</v>
      </c>
      <c r="C14555" t="str">
        <f t="shared" si="232"/>
        <v>2017 q3</v>
      </c>
    </row>
    <row r="14556" spans="1:3">
      <c r="A14556" s="62">
        <v>42962</v>
      </c>
      <c r="B14556">
        <v>2.883</v>
      </c>
      <c r="C14556" t="str">
        <f t="shared" si="232"/>
        <v>2017 q3</v>
      </c>
    </row>
    <row r="14557" spans="1:3">
      <c r="A14557" s="62">
        <v>42963</v>
      </c>
      <c r="B14557">
        <v>2.9535</v>
      </c>
      <c r="C14557" t="str">
        <f t="shared" si="232"/>
        <v>2017 q3</v>
      </c>
    </row>
    <row r="14558" spans="1:3">
      <c r="A14558" s="62">
        <v>42964</v>
      </c>
      <c r="B14558">
        <v>2.9380000000000002</v>
      </c>
      <c r="C14558" t="str">
        <f t="shared" si="232"/>
        <v>2017 q3</v>
      </c>
    </row>
    <row r="14559" spans="1:3">
      <c r="A14559" s="62">
        <v>42965</v>
      </c>
      <c r="B14559">
        <v>2.9394999999999998</v>
      </c>
      <c r="C14559" t="str">
        <f t="shared" si="232"/>
        <v>2017 q3</v>
      </c>
    </row>
    <row r="14560" spans="1:3">
      <c r="A14560" s="62">
        <v>42968</v>
      </c>
      <c r="B14560">
        <v>2.9805000000000001</v>
      </c>
      <c r="C14560" t="str">
        <f t="shared" si="232"/>
        <v>2017 q3</v>
      </c>
    </row>
    <row r="14561" spans="1:3">
      <c r="A14561" s="62">
        <v>42969</v>
      </c>
      <c r="B14561">
        <v>2.9870000000000001</v>
      </c>
      <c r="C14561" t="str">
        <f t="shared" si="232"/>
        <v>2017 q3</v>
      </c>
    </row>
    <row r="14562" spans="1:3">
      <c r="A14562" s="62">
        <v>42970</v>
      </c>
      <c r="B14562">
        <v>2.9805000000000001</v>
      </c>
      <c r="C14562" t="str">
        <f t="shared" si="232"/>
        <v>2017 q3</v>
      </c>
    </row>
    <row r="14563" spans="1:3">
      <c r="A14563" s="62">
        <v>42971</v>
      </c>
      <c r="B14563">
        <v>3.0339999999999998</v>
      </c>
      <c r="C14563" t="str">
        <f t="shared" si="232"/>
        <v>2017 q3</v>
      </c>
    </row>
    <row r="14564" spans="1:3">
      <c r="A14564" s="62">
        <v>42972</v>
      </c>
      <c r="B14564">
        <v>3.0335000000000001</v>
      </c>
      <c r="C14564" t="str">
        <f t="shared" si="232"/>
        <v>2017 q3</v>
      </c>
    </row>
    <row r="14565" spans="1:3">
      <c r="A14565" s="62">
        <v>42975</v>
      </c>
      <c r="B14565">
        <v>3.0676000000000001</v>
      </c>
      <c r="C14565" t="str">
        <f t="shared" si="232"/>
        <v>2017 q3</v>
      </c>
    </row>
    <row r="14566" spans="1:3">
      <c r="A14566" s="62">
        <v>42976</v>
      </c>
      <c r="B14566">
        <v>3.0903999999999998</v>
      </c>
      <c r="C14566" t="str">
        <f t="shared" si="232"/>
        <v>2017 q3</v>
      </c>
    </row>
    <row r="14567" spans="1:3">
      <c r="A14567" s="62">
        <v>42977</v>
      </c>
      <c r="B14567">
        <v>3.0779999999999998</v>
      </c>
      <c r="C14567" t="str">
        <f t="shared" si="232"/>
        <v>2017 q3</v>
      </c>
    </row>
    <row r="14568" spans="1:3">
      <c r="A14568" s="62">
        <v>42978</v>
      </c>
      <c r="B14568">
        <v>3.0945999999999998</v>
      </c>
      <c r="C14568" t="str">
        <f t="shared" si="232"/>
        <v>2017 q3</v>
      </c>
    </row>
    <row r="14569" spans="1:3">
      <c r="A14569" s="62">
        <v>42979</v>
      </c>
      <c r="B14569">
        <v>3.1179999999999999</v>
      </c>
      <c r="C14569" t="str">
        <f t="shared" si="232"/>
        <v>2017 q3</v>
      </c>
    </row>
    <row r="14570" spans="1:3">
      <c r="A14570" s="62">
        <v>42983</v>
      </c>
      <c r="B14570">
        <v>3.1280000000000001</v>
      </c>
      <c r="C14570" t="str">
        <f t="shared" si="232"/>
        <v>2017 q3</v>
      </c>
    </row>
    <row r="14571" spans="1:3">
      <c r="A14571" s="62">
        <v>42984</v>
      </c>
      <c r="B14571">
        <v>3.1515</v>
      </c>
      <c r="C14571" t="str">
        <f t="shared" si="232"/>
        <v>2017 q3</v>
      </c>
    </row>
    <row r="14572" spans="1:3">
      <c r="A14572" s="62">
        <v>42985</v>
      </c>
      <c r="B14572">
        <v>3.1435</v>
      </c>
      <c r="C14572" t="str">
        <f t="shared" si="232"/>
        <v>2017 q3</v>
      </c>
    </row>
    <row r="14573" spans="1:3">
      <c r="A14573" s="62">
        <v>42986</v>
      </c>
      <c r="B14573">
        <v>3.0415000000000001</v>
      </c>
      <c r="C14573" t="str">
        <f t="shared" si="232"/>
        <v>2017 q3</v>
      </c>
    </row>
    <row r="14574" spans="1:3">
      <c r="A14574" s="62">
        <v>42989</v>
      </c>
      <c r="B14574">
        <v>3.0659999999999998</v>
      </c>
      <c r="C14574" t="str">
        <f t="shared" si="232"/>
        <v>2017 q3</v>
      </c>
    </row>
    <row r="14575" spans="1:3">
      <c r="A14575" s="62">
        <v>42990</v>
      </c>
      <c r="B14575">
        <v>3.036</v>
      </c>
      <c r="C14575" t="str">
        <f t="shared" si="232"/>
        <v>2017 q3</v>
      </c>
    </row>
    <row r="14576" spans="1:3">
      <c r="A14576" s="62">
        <v>42991</v>
      </c>
      <c r="B14576">
        <v>2.9809999999999999</v>
      </c>
      <c r="C14576" t="str">
        <f t="shared" si="232"/>
        <v>2017 q3</v>
      </c>
    </row>
    <row r="14577" spans="1:3">
      <c r="A14577" s="62">
        <v>42992</v>
      </c>
      <c r="B14577">
        <v>2.9575</v>
      </c>
      <c r="C14577" t="str">
        <f t="shared" si="232"/>
        <v>2017 q3</v>
      </c>
    </row>
    <row r="14578" spans="1:3">
      <c r="A14578" s="62">
        <v>42993</v>
      </c>
      <c r="B14578">
        <v>2.9489999999999998</v>
      </c>
      <c r="C14578" t="str">
        <f t="shared" si="232"/>
        <v>2017 q3</v>
      </c>
    </row>
    <row r="14579" spans="1:3">
      <c r="A14579" s="62">
        <v>42996</v>
      </c>
      <c r="B14579">
        <v>2.9689999999999999</v>
      </c>
      <c r="C14579" t="str">
        <f t="shared" si="232"/>
        <v>2017 q3</v>
      </c>
    </row>
    <row r="14580" spans="1:3">
      <c r="A14580" s="62">
        <v>42997</v>
      </c>
      <c r="B14580">
        <v>2.9695</v>
      </c>
      <c r="C14580" t="str">
        <f t="shared" si="232"/>
        <v>2017 q3</v>
      </c>
    </row>
    <row r="14581" spans="1:3">
      <c r="A14581" s="62">
        <v>42998</v>
      </c>
      <c r="B14581">
        <v>2.9689999999999999</v>
      </c>
      <c r="C14581" t="str">
        <f t="shared" si="232"/>
        <v>2017 q3</v>
      </c>
    </row>
    <row r="14582" spans="1:3">
      <c r="A14582" s="62">
        <v>42999</v>
      </c>
      <c r="B14582">
        <v>2.9344999999999999</v>
      </c>
      <c r="C14582" t="str">
        <f t="shared" si="232"/>
        <v>2017 q3</v>
      </c>
    </row>
    <row r="14583" spans="1:3">
      <c r="A14583" s="62">
        <v>43000</v>
      </c>
      <c r="B14583">
        <v>2.9445000000000001</v>
      </c>
      <c r="C14583" t="str">
        <f t="shared" si="232"/>
        <v>2017 q3</v>
      </c>
    </row>
    <row r="14584" spans="1:3">
      <c r="A14584" s="62">
        <v>43003</v>
      </c>
      <c r="B14584">
        <v>2.9375</v>
      </c>
      <c r="C14584" t="str">
        <f t="shared" si="232"/>
        <v>2017 q3</v>
      </c>
    </row>
    <row r="14585" spans="1:3">
      <c r="A14585" s="62">
        <v>43004</v>
      </c>
      <c r="B14585">
        <v>2.919</v>
      </c>
      <c r="C14585" t="str">
        <f t="shared" si="232"/>
        <v>2017 q3</v>
      </c>
    </row>
    <row r="14586" spans="1:3">
      <c r="A14586" s="62">
        <v>43005</v>
      </c>
      <c r="B14586">
        <v>2.9295</v>
      </c>
      <c r="C14586" t="str">
        <f t="shared" si="232"/>
        <v>2017 q3</v>
      </c>
    </row>
    <row r="14587" spans="1:3">
      <c r="A14587" s="62">
        <v>43006</v>
      </c>
      <c r="B14587">
        <v>2.9809999999999999</v>
      </c>
      <c r="C14587" t="str">
        <f t="shared" si="232"/>
        <v>2017 q3</v>
      </c>
    </row>
    <row r="14588" spans="1:3">
      <c r="A14588" s="62">
        <v>43007</v>
      </c>
      <c r="B14588">
        <v>2.9550000000000001</v>
      </c>
      <c r="C14588" t="str">
        <f t="shared" si="232"/>
        <v>2017 q3</v>
      </c>
    </row>
    <row r="14589" spans="1:3">
      <c r="A14589" s="62">
        <v>43010</v>
      </c>
      <c r="B14589">
        <v>2.9554999999999998</v>
      </c>
      <c r="C14589" t="str">
        <f t="shared" si="232"/>
        <v>2017 q4</v>
      </c>
    </row>
    <row r="14590" spans="1:3">
      <c r="A14590" s="62">
        <v>43011</v>
      </c>
      <c r="B14590">
        <v>2.9634999999999998</v>
      </c>
      <c r="C14590" t="str">
        <f t="shared" si="232"/>
        <v>2017 q4</v>
      </c>
    </row>
    <row r="14591" spans="1:3">
      <c r="A14591" s="62">
        <v>43012</v>
      </c>
      <c r="B14591">
        <v>2.9590000000000001</v>
      </c>
      <c r="C14591" t="str">
        <f t="shared" si="232"/>
        <v>2017 q4</v>
      </c>
    </row>
    <row r="14592" spans="1:3">
      <c r="A14592" s="62">
        <v>43013</v>
      </c>
      <c r="B14592">
        <v>3.0465</v>
      </c>
      <c r="C14592" t="str">
        <f t="shared" si="232"/>
        <v>2017 q4</v>
      </c>
    </row>
    <row r="14593" spans="1:3">
      <c r="A14593" s="62">
        <v>43014</v>
      </c>
      <c r="B14593">
        <v>3.0289999999999999</v>
      </c>
      <c r="C14593" t="str">
        <f t="shared" si="232"/>
        <v>2017 q4</v>
      </c>
    </row>
    <row r="14594" spans="1:3">
      <c r="A14594" s="62">
        <v>43017</v>
      </c>
      <c r="B14594">
        <v>3.0310000000000001</v>
      </c>
      <c r="C14594" t="str">
        <f t="shared" si="232"/>
        <v>2017 q4</v>
      </c>
    </row>
    <row r="14595" spans="1:3">
      <c r="A14595" s="62">
        <v>43018</v>
      </c>
      <c r="B14595">
        <v>3.0605000000000002</v>
      </c>
      <c r="C14595" t="str">
        <f t="shared" si="232"/>
        <v>2017 q4</v>
      </c>
    </row>
    <row r="14596" spans="1:3">
      <c r="A14596" s="62">
        <v>43019</v>
      </c>
      <c r="B14596">
        <v>3.0954999999999999</v>
      </c>
      <c r="C14596" t="str">
        <f t="shared" si="232"/>
        <v>2017 q4</v>
      </c>
    </row>
    <row r="14597" spans="1:3">
      <c r="A14597" s="62">
        <v>43020</v>
      </c>
      <c r="B14597">
        <v>3.12</v>
      </c>
      <c r="C14597" t="str">
        <f t="shared" si="232"/>
        <v>2017 q4</v>
      </c>
    </row>
    <row r="14598" spans="1:3">
      <c r="A14598" s="62">
        <v>43021</v>
      </c>
      <c r="B14598">
        <v>3.1335000000000002</v>
      </c>
      <c r="C14598" t="str">
        <f t="shared" si="232"/>
        <v>2017 q4</v>
      </c>
    </row>
    <row r="14599" spans="1:3">
      <c r="A14599" s="62">
        <v>43024</v>
      </c>
      <c r="B14599">
        <v>3.2389999999999999</v>
      </c>
      <c r="C14599" t="str">
        <f t="shared" si="232"/>
        <v>2017 q4</v>
      </c>
    </row>
    <row r="14600" spans="1:3">
      <c r="A14600" s="62">
        <v>43025</v>
      </c>
      <c r="B14600">
        <v>3.1955</v>
      </c>
      <c r="C14600" t="str">
        <f t="shared" si="232"/>
        <v>2017 q4</v>
      </c>
    </row>
    <row r="14601" spans="1:3">
      <c r="A14601" s="62">
        <v>43026</v>
      </c>
      <c r="B14601">
        <v>3.1779999999999999</v>
      </c>
      <c r="C14601" t="str">
        <f t="shared" si="232"/>
        <v>2017 q4</v>
      </c>
    </row>
    <row r="14602" spans="1:3">
      <c r="A14602" s="62">
        <v>43027</v>
      </c>
      <c r="B14602">
        <v>3.1675</v>
      </c>
      <c r="C14602" t="str">
        <f t="shared" si="232"/>
        <v>2017 q4</v>
      </c>
    </row>
    <row r="14603" spans="1:3">
      <c r="A14603" s="62">
        <v>43028</v>
      </c>
      <c r="B14603">
        <v>3.1655000000000002</v>
      </c>
      <c r="C14603" t="str">
        <f t="shared" si="232"/>
        <v>2017 q4</v>
      </c>
    </row>
    <row r="14604" spans="1:3">
      <c r="A14604" s="62">
        <v>43031</v>
      </c>
      <c r="B14604">
        <v>3.1880000000000002</v>
      </c>
      <c r="C14604" t="str">
        <f t="shared" si="232"/>
        <v>2017 q4</v>
      </c>
    </row>
    <row r="14605" spans="1:3">
      <c r="A14605" s="62">
        <v>43032</v>
      </c>
      <c r="B14605">
        <v>3.198</v>
      </c>
      <c r="C14605" t="str">
        <f t="shared" si="232"/>
        <v>2017 q4</v>
      </c>
    </row>
    <row r="14606" spans="1:3">
      <c r="A14606" s="62">
        <v>43033</v>
      </c>
      <c r="B14606">
        <v>3.1829999999999998</v>
      </c>
      <c r="C14606" t="str">
        <f t="shared" si="232"/>
        <v>2017 q4</v>
      </c>
    </row>
    <row r="14607" spans="1:3">
      <c r="A14607" s="62">
        <v>43034</v>
      </c>
      <c r="B14607">
        <v>3.1775000000000002</v>
      </c>
      <c r="C14607" t="str">
        <f t="shared" si="232"/>
        <v>2017 q4</v>
      </c>
    </row>
    <row r="14608" spans="1:3">
      <c r="A14608" s="62">
        <v>43035</v>
      </c>
      <c r="B14608">
        <v>3.1034999999999999</v>
      </c>
      <c r="C14608" t="str">
        <f t="shared" si="232"/>
        <v>2017 q4</v>
      </c>
    </row>
    <row r="14609" spans="1:3">
      <c r="A14609" s="62">
        <v>43038</v>
      </c>
      <c r="B14609">
        <v>3.1120000000000001</v>
      </c>
      <c r="C14609" t="str">
        <f t="shared" si="232"/>
        <v>2017 q4</v>
      </c>
    </row>
    <row r="14610" spans="1:3">
      <c r="A14610" s="62">
        <v>43039</v>
      </c>
      <c r="B14610">
        <v>3.101</v>
      </c>
      <c r="C14610" t="str">
        <f t="shared" ref="C14610:C14673" si="233">YEAR(A14610)&amp;" q"&amp;ROUNDUP(MONTH(A14610)/3,0)</f>
        <v>2017 q4</v>
      </c>
    </row>
    <row r="14611" spans="1:3">
      <c r="A14611" s="62">
        <v>43040</v>
      </c>
      <c r="B14611">
        <v>3.1425000000000001</v>
      </c>
      <c r="C14611" t="str">
        <f t="shared" si="233"/>
        <v>2017 q4</v>
      </c>
    </row>
    <row r="14612" spans="1:3">
      <c r="A14612" s="62">
        <v>43041</v>
      </c>
      <c r="B14612">
        <v>3.1435</v>
      </c>
      <c r="C14612" t="str">
        <f t="shared" si="233"/>
        <v>2017 q4</v>
      </c>
    </row>
    <row r="14613" spans="1:3">
      <c r="A14613" s="62">
        <v>43042</v>
      </c>
      <c r="B14613">
        <v>3.1175000000000002</v>
      </c>
      <c r="C14613" t="str">
        <f t="shared" si="233"/>
        <v>2017 q4</v>
      </c>
    </row>
    <row r="14614" spans="1:3">
      <c r="A14614" s="62">
        <v>43045</v>
      </c>
      <c r="B14614">
        <v>3.1575000000000002</v>
      </c>
      <c r="C14614" t="str">
        <f t="shared" si="233"/>
        <v>2017 q4</v>
      </c>
    </row>
    <row r="14615" spans="1:3">
      <c r="A14615" s="62">
        <v>43046</v>
      </c>
      <c r="B14615">
        <v>3.089</v>
      </c>
      <c r="C14615" t="str">
        <f t="shared" si="233"/>
        <v>2017 q4</v>
      </c>
    </row>
    <row r="14616" spans="1:3">
      <c r="A14616" s="62">
        <v>43047</v>
      </c>
      <c r="B14616">
        <v>3.0994999999999999</v>
      </c>
      <c r="C14616" t="str">
        <f t="shared" si="233"/>
        <v>2017 q4</v>
      </c>
    </row>
    <row r="14617" spans="1:3">
      <c r="A14617" s="62">
        <v>43048</v>
      </c>
      <c r="B14617">
        <v>3.0859999999999999</v>
      </c>
      <c r="C14617" t="str">
        <f t="shared" si="233"/>
        <v>2017 q4</v>
      </c>
    </row>
    <row r="14618" spans="1:3">
      <c r="A14618" s="62">
        <v>43049</v>
      </c>
      <c r="B14618">
        <v>3.0760000000000001</v>
      </c>
      <c r="C14618" t="str">
        <f t="shared" si="233"/>
        <v>2017 q4</v>
      </c>
    </row>
    <row r="14619" spans="1:3">
      <c r="A14619" s="62">
        <v>43052</v>
      </c>
      <c r="B14619">
        <v>3.1164999999999998</v>
      </c>
      <c r="C14619" t="str">
        <f t="shared" si="233"/>
        <v>2017 q4</v>
      </c>
    </row>
    <row r="14620" spans="1:3">
      <c r="A14620" s="62">
        <v>43053</v>
      </c>
      <c r="B14620">
        <v>3.0649999999999999</v>
      </c>
      <c r="C14620" t="str">
        <f t="shared" si="233"/>
        <v>2017 q4</v>
      </c>
    </row>
    <row r="14621" spans="1:3">
      <c r="A14621" s="62">
        <v>43054</v>
      </c>
      <c r="B14621">
        <v>3.0545</v>
      </c>
      <c r="C14621" t="str">
        <f t="shared" si="233"/>
        <v>2017 q4</v>
      </c>
    </row>
    <row r="14622" spans="1:3">
      <c r="A14622" s="62">
        <v>43055</v>
      </c>
      <c r="B14622">
        <v>3.048</v>
      </c>
      <c r="C14622" t="str">
        <f t="shared" si="233"/>
        <v>2017 q4</v>
      </c>
    </row>
    <row r="14623" spans="1:3">
      <c r="A14623" s="62">
        <v>43056</v>
      </c>
      <c r="B14623">
        <v>3.0670000000000002</v>
      </c>
      <c r="C14623" t="str">
        <f t="shared" si="233"/>
        <v>2017 q4</v>
      </c>
    </row>
    <row r="14624" spans="1:3">
      <c r="A14624" s="62">
        <v>43059</v>
      </c>
      <c r="B14624">
        <v>3.093</v>
      </c>
      <c r="C14624" t="str">
        <f t="shared" si="233"/>
        <v>2017 q4</v>
      </c>
    </row>
    <row r="14625" spans="1:3">
      <c r="A14625" s="62">
        <v>43060</v>
      </c>
      <c r="B14625">
        <v>3.1284999999999998</v>
      </c>
      <c r="C14625" t="str">
        <f t="shared" si="233"/>
        <v>2017 q4</v>
      </c>
    </row>
    <row r="14626" spans="1:3">
      <c r="A14626" s="62">
        <v>43061</v>
      </c>
      <c r="B14626">
        <v>3.137</v>
      </c>
      <c r="C14626" t="str">
        <f t="shared" si="233"/>
        <v>2017 q4</v>
      </c>
    </row>
    <row r="14627" spans="1:3">
      <c r="A14627" s="62">
        <v>43063</v>
      </c>
      <c r="B14627">
        <v>3.169</v>
      </c>
      <c r="C14627" t="str">
        <f t="shared" si="233"/>
        <v>2017 q4</v>
      </c>
    </row>
    <row r="14628" spans="1:3">
      <c r="A14628" s="62">
        <v>43066</v>
      </c>
      <c r="B14628">
        <v>3.1360000000000001</v>
      </c>
      <c r="C14628" t="str">
        <f t="shared" si="233"/>
        <v>2017 q4</v>
      </c>
    </row>
    <row r="14629" spans="1:3">
      <c r="A14629" s="62">
        <v>43067</v>
      </c>
      <c r="B14629">
        <v>3.0754999999999999</v>
      </c>
      <c r="C14629" t="str">
        <f t="shared" si="233"/>
        <v>2017 q4</v>
      </c>
    </row>
    <row r="14630" spans="1:3">
      <c r="A14630" s="62">
        <v>43068</v>
      </c>
      <c r="B14630">
        <v>3.0463</v>
      </c>
      <c r="C14630" t="str">
        <f t="shared" si="233"/>
        <v>2017 q4</v>
      </c>
    </row>
    <row r="14631" spans="1:3">
      <c r="A14631" s="62">
        <v>43069</v>
      </c>
      <c r="B14631">
        <v>3.0442</v>
      </c>
      <c r="C14631" t="str">
        <f t="shared" si="233"/>
        <v>2017 q4</v>
      </c>
    </row>
    <row r="14632" spans="1:3">
      <c r="A14632" s="62">
        <v>43070</v>
      </c>
      <c r="B14632">
        <v>3.0745</v>
      </c>
      <c r="C14632" t="str">
        <f t="shared" si="233"/>
        <v>2017 q4</v>
      </c>
    </row>
    <row r="14633" spans="1:3">
      <c r="A14633" s="62">
        <v>43073</v>
      </c>
      <c r="B14633">
        <v>3.0720000000000001</v>
      </c>
      <c r="C14633" t="str">
        <f t="shared" si="233"/>
        <v>2017 q4</v>
      </c>
    </row>
    <row r="14634" spans="1:3">
      <c r="A14634" s="62">
        <v>43074</v>
      </c>
      <c r="B14634">
        <v>2.9285000000000001</v>
      </c>
      <c r="C14634" t="str">
        <f t="shared" si="233"/>
        <v>2017 q4</v>
      </c>
    </row>
    <row r="14635" spans="1:3">
      <c r="A14635" s="62">
        <v>43075</v>
      </c>
      <c r="B14635">
        <v>2.9445000000000001</v>
      </c>
      <c r="C14635" t="str">
        <f t="shared" si="233"/>
        <v>2017 q4</v>
      </c>
    </row>
    <row r="14636" spans="1:3">
      <c r="A14636" s="62">
        <v>43076</v>
      </c>
      <c r="B14636">
        <v>2.9474999999999998</v>
      </c>
      <c r="C14636" t="str">
        <f t="shared" si="233"/>
        <v>2017 q4</v>
      </c>
    </row>
    <row r="14637" spans="1:3">
      <c r="A14637" s="62">
        <v>43077</v>
      </c>
      <c r="B14637">
        <v>2.9615</v>
      </c>
      <c r="C14637" t="str">
        <f t="shared" si="233"/>
        <v>2017 q4</v>
      </c>
    </row>
    <row r="14638" spans="1:3">
      <c r="A14638" s="62">
        <v>43080</v>
      </c>
      <c r="B14638">
        <v>2.9944999999999999</v>
      </c>
      <c r="C14638" t="str">
        <f t="shared" si="233"/>
        <v>2017 q4</v>
      </c>
    </row>
    <row r="14639" spans="1:3">
      <c r="A14639" s="62">
        <v>43081</v>
      </c>
      <c r="B14639">
        <v>3.0059999999999998</v>
      </c>
      <c r="C14639" t="str">
        <f t="shared" si="233"/>
        <v>2017 q4</v>
      </c>
    </row>
    <row r="14640" spans="1:3">
      <c r="A14640" s="62">
        <v>43082</v>
      </c>
      <c r="B14640">
        <v>3.0354999999999999</v>
      </c>
      <c r="C14640" t="str">
        <f t="shared" si="233"/>
        <v>2017 q4</v>
      </c>
    </row>
    <row r="14641" spans="1:3">
      <c r="A14641" s="62">
        <v>43083</v>
      </c>
      <c r="B14641">
        <v>3.0545</v>
      </c>
      <c r="C14641" t="str">
        <f t="shared" si="233"/>
        <v>2017 q4</v>
      </c>
    </row>
    <row r="14642" spans="1:3">
      <c r="A14642" s="62">
        <v>43084</v>
      </c>
      <c r="B14642">
        <v>3.1160000000000001</v>
      </c>
      <c r="C14642" t="str">
        <f t="shared" si="233"/>
        <v>2017 q4</v>
      </c>
    </row>
    <row r="14643" spans="1:3">
      <c r="A14643" s="62">
        <v>43087</v>
      </c>
      <c r="B14643">
        <v>3.1280000000000001</v>
      </c>
      <c r="C14643" t="str">
        <f t="shared" si="233"/>
        <v>2017 q4</v>
      </c>
    </row>
    <row r="14644" spans="1:3">
      <c r="A14644" s="62">
        <v>43088</v>
      </c>
      <c r="B14644">
        <v>3.1335000000000002</v>
      </c>
      <c r="C14644" t="str">
        <f t="shared" si="233"/>
        <v>2017 q4</v>
      </c>
    </row>
    <row r="14645" spans="1:3">
      <c r="A14645" s="62">
        <v>43089</v>
      </c>
      <c r="B14645">
        <v>3.1775000000000002</v>
      </c>
      <c r="C14645" t="str">
        <f t="shared" si="233"/>
        <v>2017 q4</v>
      </c>
    </row>
    <row r="14646" spans="1:3">
      <c r="A14646" s="62">
        <v>43090</v>
      </c>
      <c r="B14646">
        <v>3.1995</v>
      </c>
      <c r="C14646" t="str">
        <f t="shared" si="233"/>
        <v>2017 q4</v>
      </c>
    </row>
    <row r="14647" spans="1:3">
      <c r="A14647" s="62">
        <v>43091</v>
      </c>
      <c r="B14647">
        <v>3.2195</v>
      </c>
      <c r="C14647" t="str">
        <f t="shared" si="233"/>
        <v>2017 q4</v>
      </c>
    </row>
    <row r="14648" spans="1:3">
      <c r="A14648" s="62">
        <v>43095</v>
      </c>
      <c r="B14648">
        <v>3.2648999999999999</v>
      </c>
      <c r="C14648" t="str">
        <f t="shared" si="233"/>
        <v>2017 q4</v>
      </c>
    </row>
    <row r="14649" spans="1:3">
      <c r="A14649" s="62">
        <v>43096</v>
      </c>
      <c r="B14649">
        <v>3.2711000000000001</v>
      </c>
      <c r="C14649" t="str">
        <f t="shared" si="233"/>
        <v>2017 q4</v>
      </c>
    </row>
    <row r="14650" spans="1:3">
      <c r="A14650" s="62">
        <v>43097</v>
      </c>
      <c r="B14650">
        <v>3.2995000000000001</v>
      </c>
      <c r="C14650" t="str">
        <f t="shared" si="233"/>
        <v>2017 q4</v>
      </c>
    </row>
    <row r="14651" spans="1:3">
      <c r="A14651" s="62">
        <v>43098</v>
      </c>
      <c r="B14651">
        <v>3.2963</v>
      </c>
      <c r="C14651" t="str">
        <f t="shared" si="233"/>
        <v>2017 q4</v>
      </c>
    </row>
    <row r="14652" spans="1:3">
      <c r="A14652" s="62">
        <v>43102</v>
      </c>
      <c r="B14652">
        <v>3.278</v>
      </c>
      <c r="C14652" t="str">
        <f t="shared" si="233"/>
        <v>2018 q1</v>
      </c>
    </row>
    <row r="14653" spans="1:3">
      <c r="A14653" s="62">
        <v>43103</v>
      </c>
      <c r="B14653">
        <v>3.2574999999999998</v>
      </c>
      <c r="C14653" t="str">
        <f t="shared" si="233"/>
        <v>2018 q1</v>
      </c>
    </row>
    <row r="14654" spans="1:3">
      <c r="A14654" s="62">
        <v>43104</v>
      </c>
      <c r="B14654">
        <v>3.2629999999999999</v>
      </c>
      <c r="C14654" t="str">
        <f t="shared" si="233"/>
        <v>2018 q1</v>
      </c>
    </row>
    <row r="14655" spans="1:3">
      <c r="A14655" s="62">
        <v>43105</v>
      </c>
      <c r="B14655">
        <v>3.2294999999999998</v>
      </c>
      <c r="C14655" t="str">
        <f t="shared" si="233"/>
        <v>2018 q1</v>
      </c>
    </row>
    <row r="14656" spans="1:3">
      <c r="A14656" s="62">
        <v>43108</v>
      </c>
      <c r="B14656">
        <v>3.2240000000000002</v>
      </c>
      <c r="C14656" t="str">
        <f t="shared" si="233"/>
        <v>2018 q1</v>
      </c>
    </row>
    <row r="14657" spans="1:3">
      <c r="A14657" s="62">
        <v>43109</v>
      </c>
      <c r="B14657">
        <v>3.2160000000000002</v>
      </c>
      <c r="C14657" t="str">
        <f t="shared" si="233"/>
        <v>2018 q1</v>
      </c>
    </row>
    <row r="14658" spans="1:3">
      <c r="A14658" s="62">
        <v>43110</v>
      </c>
      <c r="B14658">
        <v>3.2355</v>
      </c>
      <c r="C14658" t="str">
        <f t="shared" si="233"/>
        <v>2018 q1</v>
      </c>
    </row>
    <row r="14659" spans="1:3">
      <c r="A14659" s="62">
        <v>43111</v>
      </c>
      <c r="B14659">
        <v>3.2330000000000001</v>
      </c>
      <c r="C14659" t="str">
        <f t="shared" si="233"/>
        <v>2018 q1</v>
      </c>
    </row>
    <row r="14660" spans="1:3">
      <c r="A14660" s="62">
        <v>43112</v>
      </c>
      <c r="B14660">
        <v>3.2185000000000001</v>
      </c>
      <c r="C14660" t="str">
        <f t="shared" si="233"/>
        <v>2018 q1</v>
      </c>
    </row>
    <row r="14661" spans="1:3">
      <c r="A14661" s="62">
        <v>43116</v>
      </c>
      <c r="B14661">
        <v>3.2195</v>
      </c>
      <c r="C14661" t="str">
        <f t="shared" si="233"/>
        <v>2018 q1</v>
      </c>
    </row>
    <row r="14662" spans="1:3">
      <c r="A14662" s="62">
        <v>43117</v>
      </c>
      <c r="B14662">
        <v>3.1890000000000001</v>
      </c>
      <c r="C14662" t="str">
        <f t="shared" si="233"/>
        <v>2018 q1</v>
      </c>
    </row>
    <row r="14663" spans="1:3">
      <c r="A14663" s="62">
        <v>43118</v>
      </c>
      <c r="B14663">
        <v>3.1989999999999998</v>
      </c>
      <c r="C14663" t="str">
        <f t="shared" si="233"/>
        <v>2018 q1</v>
      </c>
    </row>
    <row r="14664" spans="1:3">
      <c r="A14664" s="62">
        <v>43119</v>
      </c>
      <c r="B14664">
        <v>3.1875</v>
      </c>
      <c r="C14664" t="str">
        <f t="shared" si="233"/>
        <v>2018 q1</v>
      </c>
    </row>
    <row r="14665" spans="1:3">
      <c r="A14665" s="62">
        <v>43122</v>
      </c>
      <c r="B14665">
        <v>3.1985000000000001</v>
      </c>
      <c r="C14665" t="str">
        <f t="shared" si="233"/>
        <v>2018 q1</v>
      </c>
    </row>
    <row r="14666" spans="1:3">
      <c r="A14666" s="62">
        <v>43123</v>
      </c>
      <c r="B14666">
        <v>3.1110000000000002</v>
      </c>
      <c r="C14666" t="str">
        <f t="shared" si="233"/>
        <v>2018 q1</v>
      </c>
    </row>
    <row r="14667" spans="1:3">
      <c r="A14667" s="62">
        <v>43124</v>
      </c>
      <c r="B14667">
        <v>3.2284999999999999</v>
      </c>
      <c r="C14667" t="str">
        <f t="shared" si="233"/>
        <v>2018 q1</v>
      </c>
    </row>
    <row r="14668" spans="1:3">
      <c r="A14668" s="62">
        <v>43125</v>
      </c>
      <c r="B14668">
        <v>3.2164999999999999</v>
      </c>
      <c r="C14668" t="str">
        <f t="shared" si="233"/>
        <v>2018 q1</v>
      </c>
    </row>
    <row r="14669" spans="1:3">
      <c r="A14669" s="62">
        <v>43126</v>
      </c>
      <c r="B14669">
        <v>3.1989999999999998</v>
      </c>
      <c r="C14669" t="str">
        <f t="shared" si="233"/>
        <v>2018 q1</v>
      </c>
    </row>
    <row r="14670" spans="1:3">
      <c r="A14670" s="62">
        <v>43129</v>
      </c>
      <c r="B14670">
        <v>3.194</v>
      </c>
      <c r="C14670" t="str">
        <f t="shared" si="233"/>
        <v>2018 q1</v>
      </c>
    </row>
    <row r="14671" spans="1:3">
      <c r="A14671" s="62">
        <v>43130</v>
      </c>
      <c r="B14671">
        <v>3.1890000000000001</v>
      </c>
      <c r="C14671" t="str">
        <f t="shared" si="233"/>
        <v>2018 q1</v>
      </c>
    </row>
    <row r="14672" spans="1:3">
      <c r="A14672" s="62">
        <v>43131</v>
      </c>
      <c r="B14672">
        <v>3.1955</v>
      </c>
      <c r="C14672" t="str">
        <f t="shared" si="233"/>
        <v>2018 q1</v>
      </c>
    </row>
    <row r="14673" spans="1:3">
      <c r="A14673" s="62">
        <v>43132</v>
      </c>
      <c r="B14673">
        <v>3.2090000000000001</v>
      </c>
      <c r="C14673" t="str">
        <f t="shared" si="233"/>
        <v>2018 q1</v>
      </c>
    </row>
    <row r="14674" spans="1:3">
      <c r="A14674" s="62">
        <v>43133</v>
      </c>
      <c r="B14674">
        <v>3.1875</v>
      </c>
      <c r="C14674" t="str">
        <f t="shared" ref="C14674:C14737" si="234">YEAR(A14674)&amp;" q"&amp;ROUNDUP(MONTH(A14674)/3,0)</f>
        <v>2018 q1</v>
      </c>
    </row>
    <row r="14675" spans="1:3">
      <c r="A14675" s="62">
        <v>43136</v>
      </c>
      <c r="B14675">
        <v>3.2210000000000001</v>
      </c>
      <c r="C14675" t="str">
        <f t="shared" si="234"/>
        <v>2018 q1</v>
      </c>
    </row>
    <row r="14676" spans="1:3">
      <c r="A14676" s="62">
        <v>43137</v>
      </c>
      <c r="B14676">
        <v>3.1890000000000001</v>
      </c>
      <c r="C14676" t="str">
        <f t="shared" si="234"/>
        <v>2018 q1</v>
      </c>
    </row>
    <row r="14677" spans="1:3">
      <c r="A14677" s="62">
        <v>43138</v>
      </c>
      <c r="B14677">
        <v>3.0874999999999999</v>
      </c>
      <c r="C14677" t="str">
        <f t="shared" si="234"/>
        <v>2018 q1</v>
      </c>
    </row>
    <row r="14678" spans="1:3">
      <c r="A14678" s="62">
        <v>43139</v>
      </c>
      <c r="B14678">
        <v>3.0819999999999999</v>
      </c>
      <c r="C14678" t="str">
        <f t="shared" si="234"/>
        <v>2018 q1</v>
      </c>
    </row>
    <row r="14679" spans="1:3">
      <c r="A14679" s="62">
        <v>43140</v>
      </c>
      <c r="B14679">
        <v>3.0335000000000001</v>
      </c>
      <c r="C14679" t="str">
        <f t="shared" si="234"/>
        <v>2018 q1</v>
      </c>
    </row>
    <row r="14680" spans="1:3">
      <c r="A14680" s="62">
        <v>43143</v>
      </c>
      <c r="B14680">
        <v>3.0865</v>
      </c>
      <c r="C14680" t="str">
        <f t="shared" si="234"/>
        <v>2018 q1</v>
      </c>
    </row>
    <row r="14681" spans="1:3">
      <c r="A14681" s="62">
        <v>43144</v>
      </c>
      <c r="B14681">
        <v>3.1625000000000001</v>
      </c>
      <c r="C14681" t="str">
        <f t="shared" si="234"/>
        <v>2018 q1</v>
      </c>
    </row>
    <row r="14682" spans="1:3">
      <c r="A14682" s="62">
        <v>43145</v>
      </c>
      <c r="B14682">
        <v>3.2360000000000002</v>
      </c>
      <c r="C14682" t="str">
        <f t="shared" si="234"/>
        <v>2018 q1</v>
      </c>
    </row>
    <row r="14683" spans="1:3">
      <c r="A14683" s="62">
        <v>43146</v>
      </c>
      <c r="B14683">
        <v>3.2454999999999998</v>
      </c>
      <c r="C14683" t="str">
        <f t="shared" si="234"/>
        <v>2018 q1</v>
      </c>
    </row>
    <row r="14684" spans="1:3">
      <c r="A14684" s="62">
        <v>43147</v>
      </c>
      <c r="B14684">
        <v>3.2484999999999999</v>
      </c>
      <c r="C14684" t="str">
        <f t="shared" si="234"/>
        <v>2018 q1</v>
      </c>
    </row>
    <row r="14685" spans="1:3">
      <c r="A14685" s="62">
        <v>43151</v>
      </c>
      <c r="B14685">
        <v>3.1905000000000001</v>
      </c>
      <c r="C14685" t="str">
        <f t="shared" si="234"/>
        <v>2018 q1</v>
      </c>
    </row>
    <row r="14686" spans="1:3">
      <c r="A14686" s="62">
        <v>43152</v>
      </c>
      <c r="B14686">
        <v>3.2160000000000002</v>
      </c>
      <c r="C14686" t="str">
        <f t="shared" si="234"/>
        <v>2018 q1</v>
      </c>
    </row>
    <row r="14687" spans="1:3">
      <c r="A14687" s="62">
        <v>43153</v>
      </c>
      <c r="B14687">
        <v>3.2414999999999998</v>
      </c>
      <c r="C14687" t="str">
        <f t="shared" si="234"/>
        <v>2018 q1</v>
      </c>
    </row>
    <row r="14688" spans="1:3">
      <c r="A14688" s="62">
        <v>43154</v>
      </c>
      <c r="B14688">
        <v>3.2166000000000001</v>
      </c>
      <c r="C14688" t="str">
        <f t="shared" si="234"/>
        <v>2018 q1</v>
      </c>
    </row>
    <row r="14689" spans="1:3">
      <c r="A14689" s="62">
        <v>43157</v>
      </c>
      <c r="B14689">
        <v>3.2082999999999999</v>
      </c>
      <c r="C14689" t="str">
        <f t="shared" si="234"/>
        <v>2018 q1</v>
      </c>
    </row>
    <row r="14690" spans="1:3">
      <c r="A14690" s="62">
        <v>43158</v>
      </c>
      <c r="B14690">
        <v>3.1749000000000001</v>
      </c>
      <c r="C14690" t="str">
        <f t="shared" si="234"/>
        <v>2018 q1</v>
      </c>
    </row>
    <row r="14691" spans="1:3">
      <c r="A14691" s="62">
        <v>43159</v>
      </c>
      <c r="B14691">
        <v>3.1274999999999999</v>
      </c>
      <c r="C14691" t="str">
        <f t="shared" si="234"/>
        <v>2018 q1</v>
      </c>
    </row>
    <row r="14692" spans="1:3">
      <c r="A14692" s="62">
        <v>43160</v>
      </c>
      <c r="B14692">
        <v>3.1230000000000002</v>
      </c>
      <c r="C14692" t="str">
        <f t="shared" si="234"/>
        <v>2018 q1</v>
      </c>
    </row>
    <row r="14693" spans="1:3">
      <c r="A14693" s="62">
        <v>43161</v>
      </c>
      <c r="B14693">
        <v>3.1244999999999998</v>
      </c>
      <c r="C14693" t="str">
        <f t="shared" si="234"/>
        <v>2018 q1</v>
      </c>
    </row>
    <row r="14694" spans="1:3">
      <c r="A14694" s="62">
        <v>43164</v>
      </c>
      <c r="B14694">
        <v>3.1280000000000001</v>
      </c>
      <c r="C14694" t="str">
        <f t="shared" si="234"/>
        <v>2018 q1</v>
      </c>
    </row>
    <row r="14695" spans="1:3">
      <c r="A14695" s="62">
        <v>43165</v>
      </c>
      <c r="B14695">
        <v>3.1589999999999998</v>
      </c>
      <c r="C14695" t="str">
        <f t="shared" si="234"/>
        <v>2018 q1</v>
      </c>
    </row>
    <row r="14696" spans="1:3">
      <c r="A14696" s="62">
        <v>43166</v>
      </c>
      <c r="B14696">
        <v>3.1360000000000001</v>
      </c>
      <c r="C14696" t="str">
        <f t="shared" si="234"/>
        <v>2018 q1</v>
      </c>
    </row>
    <row r="14697" spans="1:3">
      <c r="A14697" s="62">
        <v>43167</v>
      </c>
      <c r="B14697">
        <v>3.0790000000000002</v>
      </c>
      <c r="C14697" t="str">
        <f t="shared" si="234"/>
        <v>2018 q1</v>
      </c>
    </row>
    <row r="14698" spans="1:3">
      <c r="A14698" s="62">
        <v>43168</v>
      </c>
      <c r="B14698">
        <v>3.1360000000000001</v>
      </c>
      <c r="C14698" t="str">
        <f t="shared" si="234"/>
        <v>2018 q1</v>
      </c>
    </row>
    <row r="14699" spans="1:3">
      <c r="A14699" s="62">
        <v>43171</v>
      </c>
      <c r="B14699">
        <v>3.1240000000000001</v>
      </c>
      <c r="C14699" t="str">
        <f t="shared" si="234"/>
        <v>2018 q1</v>
      </c>
    </row>
    <row r="14700" spans="1:3">
      <c r="A14700" s="62">
        <v>43172</v>
      </c>
      <c r="B14700">
        <v>3.1379999999999999</v>
      </c>
      <c r="C14700" t="str">
        <f t="shared" si="234"/>
        <v>2018 q1</v>
      </c>
    </row>
    <row r="14701" spans="1:3">
      <c r="A14701" s="62">
        <v>43173</v>
      </c>
      <c r="B14701">
        <v>3.1585000000000001</v>
      </c>
      <c r="C14701" t="str">
        <f t="shared" si="234"/>
        <v>2018 q1</v>
      </c>
    </row>
    <row r="14702" spans="1:3">
      <c r="A14702" s="62">
        <v>43174</v>
      </c>
      <c r="B14702">
        <v>3.1274999999999999</v>
      </c>
      <c r="C14702" t="str">
        <f t="shared" si="234"/>
        <v>2018 q1</v>
      </c>
    </row>
    <row r="14703" spans="1:3">
      <c r="A14703" s="62">
        <v>43175</v>
      </c>
      <c r="B14703">
        <v>3.1074999999999999</v>
      </c>
      <c r="C14703" t="str">
        <f t="shared" si="234"/>
        <v>2018 q1</v>
      </c>
    </row>
    <row r="14704" spans="1:3">
      <c r="A14704" s="62">
        <v>43178</v>
      </c>
      <c r="B14704">
        <v>3.0819999999999999</v>
      </c>
      <c r="C14704" t="str">
        <f t="shared" si="234"/>
        <v>2018 q1</v>
      </c>
    </row>
    <row r="14705" spans="1:3">
      <c r="A14705" s="62">
        <v>43179</v>
      </c>
      <c r="B14705">
        <v>3.0379999999999998</v>
      </c>
      <c r="C14705" t="str">
        <f t="shared" si="234"/>
        <v>2018 q1</v>
      </c>
    </row>
    <row r="14706" spans="1:3">
      <c r="A14706" s="62">
        <v>43180</v>
      </c>
      <c r="B14706">
        <v>3.0585</v>
      </c>
      <c r="C14706" t="str">
        <f t="shared" si="234"/>
        <v>2018 q1</v>
      </c>
    </row>
    <row r="14707" spans="1:3">
      <c r="A14707" s="62">
        <v>43181</v>
      </c>
      <c r="B14707">
        <v>3.02</v>
      </c>
      <c r="C14707" t="str">
        <f t="shared" si="234"/>
        <v>2018 q1</v>
      </c>
    </row>
    <row r="14708" spans="1:3">
      <c r="A14708" s="62">
        <v>43182</v>
      </c>
      <c r="B14708">
        <v>2.9929999999999999</v>
      </c>
      <c r="C14708" t="str">
        <f t="shared" si="234"/>
        <v>2018 q1</v>
      </c>
    </row>
    <row r="14709" spans="1:3">
      <c r="A14709" s="62">
        <v>43185</v>
      </c>
      <c r="B14709">
        <v>2.97</v>
      </c>
      <c r="C14709" t="str">
        <f t="shared" si="234"/>
        <v>2018 q1</v>
      </c>
    </row>
    <row r="14710" spans="1:3">
      <c r="A14710" s="62">
        <v>43186</v>
      </c>
      <c r="B14710">
        <v>3.0005000000000002</v>
      </c>
      <c r="C14710" t="str">
        <f t="shared" si="234"/>
        <v>2018 q1</v>
      </c>
    </row>
    <row r="14711" spans="1:3">
      <c r="A14711" s="62">
        <v>43187</v>
      </c>
      <c r="B14711">
        <v>3.0019999999999998</v>
      </c>
      <c r="C14711" t="str">
        <f t="shared" si="234"/>
        <v>2018 q1</v>
      </c>
    </row>
    <row r="14712" spans="1:3">
      <c r="A14712" s="62">
        <v>43188</v>
      </c>
      <c r="B14712">
        <v>3.0255000000000001</v>
      </c>
      <c r="C14712" t="str">
        <f t="shared" si="234"/>
        <v>2018 q1</v>
      </c>
    </row>
    <row r="14713" spans="1:3">
      <c r="A14713" s="62">
        <v>43192</v>
      </c>
      <c r="B14713">
        <v>3.05</v>
      </c>
      <c r="C14713" t="str">
        <f t="shared" si="234"/>
        <v>2018 q2</v>
      </c>
    </row>
    <row r="14714" spans="1:3">
      <c r="A14714" s="62">
        <v>43193</v>
      </c>
      <c r="B14714">
        <v>3.0634999999999999</v>
      </c>
      <c r="C14714" t="str">
        <f t="shared" si="234"/>
        <v>2018 q2</v>
      </c>
    </row>
    <row r="14715" spans="1:3">
      <c r="A14715" s="62">
        <v>43194</v>
      </c>
      <c r="B14715">
        <v>3.0105</v>
      </c>
      <c r="C14715" t="str">
        <f t="shared" si="234"/>
        <v>2018 q2</v>
      </c>
    </row>
    <row r="14716" spans="1:3">
      <c r="A14716" s="62">
        <v>43195</v>
      </c>
      <c r="B14716">
        <v>3.0745</v>
      </c>
      <c r="C14716" t="str">
        <f t="shared" si="234"/>
        <v>2018 q2</v>
      </c>
    </row>
    <row r="14717" spans="1:3">
      <c r="A14717" s="62">
        <v>43196</v>
      </c>
      <c r="B14717">
        <v>3.0585</v>
      </c>
      <c r="C14717" t="str">
        <f t="shared" si="234"/>
        <v>2018 q2</v>
      </c>
    </row>
    <row r="14718" spans="1:3">
      <c r="A14718" s="62">
        <v>43199</v>
      </c>
      <c r="B14718">
        <v>3.077</v>
      </c>
      <c r="C14718" t="str">
        <f t="shared" si="234"/>
        <v>2018 q2</v>
      </c>
    </row>
    <row r="14719" spans="1:3">
      <c r="A14719" s="62">
        <v>43200</v>
      </c>
      <c r="B14719">
        <v>3.137</v>
      </c>
      <c r="C14719" t="str">
        <f t="shared" si="234"/>
        <v>2018 q2</v>
      </c>
    </row>
    <row r="14720" spans="1:3">
      <c r="A14720" s="62">
        <v>43201</v>
      </c>
      <c r="B14720">
        <v>3.117</v>
      </c>
      <c r="C14720" t="str">
        <f t="shared" si="234"/>
        <v>2018 q2</v>
      </c>
    </row>
    <row r="14721" spans="1:3">
      <c r="A14721" s="62">
        <v>43202</v>
      </c>
      <c r="B14721">
        <v>3.0634999999999999</v>
      </c>
      <c r="C14721" t="str">
        <f t="shared" si="234"/>
        <v>2018 q2</v>
      </c>
    </row>
    <row r="14722" spans="1:3">
      <c r="A14722" s="62">
        <v>43203</v>
      </c>
      <c r="B14722">
        <v>3.0710000000000002</v>
      </c>
      <c r="C14722" t="str">
        <f t="shared" si="234"/>
        <v>2018 q2</v>
      </c>
    </row>
    <row r="14723" spans="1:3">
      <c r="A14723" s="62">
        <v>43206</v>
      </c>
      <c r="B14723">
        <v>3.0954999999999999</v>
      </c>
      <c r="C14723" t="str">
        <f t="shared" si="234"/>
        <v>2018 q2</v>
      </c>
    </row>
    <row r="14724" spans="1:3">
      <c r="A14724" s="62">
        <v>43207</v>
      </c>
      <c r="B14724">
        <v>3.0794999999999999</v>
      </c>
      <c r="C14724" t="str">
        <f t="shared" si="234"/>
        <v>2018 q2</v>
      </c>
    </row>
    <row r="14725" spans="1:3">
      <c r="A14725" s="62">
        <v>43208</v>
      </c>
      <c r="B14725">
        <v>3.1585000000000001</v>
      </c>
      <c r="C14725" t="str">
        <f t="shared" si="234"/>
        <v>2018 q2</v>
      </c>
    </row>
    <row r="14726" spans="1:3">
      <c r="A14726" s="62">
        <v>43209</v>
      </c>
      <c r="B14726">
        <v>3.1320000000000001</v>
      </c>
      <c r="C14726" t="str">
        <f t="shared" si="234"/>
        <v>2018 q2</v>
      </c>
    </row>
    <row r="14727" spans="1:3">
      <c r="A14727" s="62">
        <v>43210</v>
      </c>
      <c r="B14727">
        <v>3.1349999999999998</v>
      </c>
      <c r="C14727" t="str">
        <f t="shared" si="234"/>
        <v>2018 q2</v>
      </c>
    </row>
    <row r="14728" spans="1:3">
      <c r="A14728" s="62">
        <v>43213</v>
      </c>
      <c r="B14728">
        <v>3.1105</v>
      </c>
      <c r="C14728" t="str">
        <f t="shared" si="234"/>
        <v>2018 q2</v>
      </c>
    </row>
    <row r="14729" spans="1:3">
      <c r="A14729" s="62">
        <v>43214</v>
      </c>
      <c r="B14729">
        <v>3.1419999999999999</v>
      </c>
      <c r="C14729" t="str">
        <f t="shared" si="234"/>
        <v>2018 q2</v>
      </c>
    </row>
    <row r="14730" spans="1:3">
      <c r="A14730" s="62">
        <v>43215</v>
      </c>
      <c r="B14730">
        <v>3.1391</v>
      </c>
      <c r="C14730" t="str">
        <f t="shared" si="234"/>
        <v>2018 q2</v>
      </c>
    </row>
    <row r="14731" spans="1:3">
      <c r="A14731" s="62">
        <v>43216</v>
      </c>
      <c r="B14731">
        <v>3.1236000000000002</v>
      </c>
      <c r="C14731" t="str">
        <f t="shared" si="234"/>
        <v>2018 q2</v>
      </c>
    </row>
    <row r="14732" spans="1:3">
      <c r="A14732" s="62">
        <v>43217</v>
      </c>
      <c r="B14732">
        <v>3.0600999999999998</v>
      </c>
      <c r="C14732" t="str">
        <f t="shared" si="234"/>
        <v>2018 q2</v>
      </c>
    </row>
    <row r="14733" spans="1:3">
      <c r="A14733" s="62">
        <v>43220</v>
      </c>
      <c r="B14733">
        <v>3.0697000000000001</v>
      </c>
      <c r="C14733" t="str">
        <f t="shared" si="234"/>
        <v>2018 q2</v>
      </c>
    </row>
    <row r="14734" spans="1:3">
      <c r="A14734" s="62">
        <v>43221</v>
      </c>
      <c r="B14734">
        <v>3.0375000000000001</v>
      </c>
      <c r="C14734" t="str">
        <f t="shared" si="234"/>
        <v>2018 q2</v>
      </c>
    </row>
    <row r="14735" spans="1:3">
      <c r="A14735" s="62">
        <v>43222</v>
      </c>
      <c r="B14735">
        <v>3.0684999999999998</v>
      </c>
      <c r="C14735" t="str">
        <f t="shared" si="234"/>
        <v>2018 q2</v>
      </c>
    </row>
    <row r="14736" spans="1:3">
      <c r="A14736" s="62">
        <v>43223</v>
      </c>
      <c r="B14736">
        <v>3.0804999999999998</v>
      </c>
      <c r="C14736" t="str">
        <f t="shared" si="234"/>
        <v>2018 q2</v>
      </c>
    </row>
    <row r="14737" spans="1:3">
      <c r="A14737" s="62">
        <v>43224</v>
      </c>
      <c r="B14737">
        <v>3.0855000000000001</v>
      </c>
      <c r="C14737" t="str">
        <f t="shared" si="234"/>
        <v>2018 q2</v>
      </c>
    </row>
    <row r="14738" spans="1:3">
      <c r="A14738" s="62">
        <v>43227</v>
      </c>
      <c r="B14738">
        <v>3.0790000000000002</v>
      </c>
      <c r="C14738" t="str">
        <f t="shared" ref="C14738:C14801" si="235">YEAR(A14738)&amp;" q"&amp;ROUNDUP(MONTH(A14738)/3,0)</f>
        <v>2018 q2</v>
      </c>
    </row>
    <row r="14739" spans="1:3">
      <c r="A14739" s="62">
        <v>43228</v>
      </c>
      <c r="B14739">
        <v>3.0590000000000002</v>
      </c>
      <c r="C14739" t="str">
        <f t="shared" si="235"/>
        <v>2018 q2</v>
      </c>
    </row>
    <row r="14740" spans="1:3">
      <c r="A14740" s="62">
        <v>43229</v>
      </c>
      <c r="B14740">
        <v>3.0575000000000001</v>
      </c>
      <c r="C14740" t="str">
        <f t="shared" si="235"/>
        <v>2018 q2</v>
      </c>
    </row>
    <row r="14741" spans="1:3">
      <c r="A14741" s="62">
        <v>43230</v>
      </c>
      <c r="B14741">
        <v>3.11</v>
      </c>
      <c r="C14741" t="str">
        <f t="shared" si="235"/>
        <v>2018 q2</v>
      </c>
    </row>
    <row r="14742" spans="1:3">
      <c r="A14742" s="62">
        <v>43231</v>
      </c>
      <c r="B14742">
        <v>3.1114999999999999</v>
      </c>
      <c r="C14742" t="str">
        <f t="shared" si="235"/>
        <v>2018 q2</v>
      </c>
    </row>
    <row r="14743" spans="1:3">
      <c r="A14743" s="62">
        <v>43234</v>
      </c>
      <c r="B14743">
        <v>3.093</v>
      </c>
      <c r="C14743" t="str">
        <f t="shared" si="235"/>
        <v>2018 q2</v>
      </c>
    </row>
    <row r="14744" spans="1:3">
      <c r="A14744" s="62">
        <v>43235</v>
      </c>
      <c r="B14744">
        <v>3.056</v>
      </c>
      <c r="C14744" t="str">
        <f t="shared" si="235"/>
        <v>2018 q2</v>
      </c>
    </row>
    <row r="14745" spans="1:3">
      <c r="A14745" s="62">
        <v>43236</v>
      </c>
      <c r="B14745">
        <v>3.0705</v>
      </c>
      <c r="C14745" t="str">
        <f t="shared" si="235"/>
        <v>2018 q2</v>
      </c>
    </row>
    <row r="14746" spans="1:3">
      <c r="A14746" s="62">
        <v>43237</v>
      </c>
      <c r="B14746">
        <v>3.089</v>
      </c>
      <c r="C14746" t="str">
        <f t="shared" si="235"/>
        <v>2018 q2</v>
      </c>
    </row>
    <row r="14747" spans="1:3">
      <c r="A14747" s="62">
        <v>43238</v>
      </c>
      <c r="B14747">
        <v>3.0634999999999999</v>
      </c>
      <c r="C14747" t="str">
        <f t="shared" si="235"/>
        <v>2018 q2</v>
      </c>
    </row>
    <row r="14748" spans="1:3">
      <c r="A14748" s="62">
        <v>43241</v>
      </c>
      <c r="B14748">
        <v>3.0985</v>
      </c>
      <c r="C14748" t="str">
        <f t="shared" si="235"/>
        <v>2018 q2</v>
      </c>
    </row>
    <row r="14749" spans="1:3">
      <c r="A14749" s="62">
        <v>43242</v>
      </c>
      <c r="B14749">
        <v>3.1320000000000001</v>
      </c>
      <c r="C14749" t="str">
        <f t="shared" si="235"/>
        <v>2018 q2</v>
      </c>
    </row>
    <row r="14750" spans="1:3">
      <c r="A14750" s="62">
        <v>43243</v>
      </c>
      <c r="B14750">
        <v>3.0705</v>
      </c>
      <c r="C14750" t="str">
        <f t="shared" si="235"/>
        <v>2018 q2</v>
      </c>
    </row>
    <row r="14751" spans="1:3">
      <c r="A14751" s="62">
        <v>43244</v>
      </c>
      <c r="B14751">
        <v>3.0960000000000001</v>
      </c>
      <c r="C14751" t="str">
        <f t="shared" si="235"/>
        <v>2018 q2</v>
      </c>
    </row>
    <row r="14752" spans="1:3">
      <c r="A14752" s="62">
        <v>43245</v>
      </c>
      <c r="B14752">
        <v>3.0775000000000001</v>
      </c>
      <c r="C14752" t="str">
        <f t="shared" si="235"/>
        <v>2018 q2</v>
      </c>
    </row>
    <row r="14753" spans="1:3">
      <c r="A14753" s="62">
        <v>43249</v>
      </c>
      <c r="B14753">
        <v>3.0625</v>
      </c>
      <c r="C14753" t="str">
        <f t="shared" si="235"/>
        <v>2018 q2</v>
      </c>
    </row>
    <row r="14754" spans="1:3">
      <c r="A14754" s="62">
        <v>43250</v>
      </c>
      <c r="B14754">
        <v>3.069</v>
      </c>
      <c r="C14754" t="str">
        <f t="shared" si="235"/>
        <v>2018 q2</v>
      </c>
    </row>
    <row r="14755" spans="1:3">
      <c r="A14755" s="62">
        <v>43251</v>
      </c>
      <c r="B14755">
        <v>3.0649999999999999</v>
      </c>
      <c r="C14755" t="str">
        <f t="shared" si="235"/>
        <v>2018 q2</v>
      </c>
    </row>
    <row r="14756" spans="1:3">
      <c r="A14756" s="62">
        <v>43252</v>
      </c>
      <c r="B14756">
        <v>3.0985</v>
      </c>
      <c r="C14756" t="str">
        <f t="shared" si="235"/>
        <v>2018 q2</v>
      </c>
    </row>
    <row r="14757" spans="1:3">
      <c r="A14757" s="62">
        <v>43255</v>
      </c>
      <c r="B14757">
        <v>3.1345000000000001</v>
      </c>
      <c r="C14757" t="str">
        <f t="shared" si="235"/>
        <v>2018 q2</v>
      </c>
    </row>
    <row r="14758" spans="1:3">
      <c r="A14758" s="62">
        <v>43256</v>
      </c>
      <c r="B14758">
        <v>3.1985000000000001</v>
      </c>
      <c r="C14758" t="str">
        <f t="shared" si="235"/>
        <v>2018 q2</v>
      </c>
    </row>
    <row r="14759" spans="1:3">
      <c r="A14759" s="62">
        <v>43257</v>
      </c>
      <c r="B14759">
        <v>3.262</v>
      </c>
      <c r="C14759" t="str">
        <f t="shared" si="235"/>
        <v>2018 q2</v>
      </c>
    </row>
    <row r="14760" spans="1:3">
      <c r="A14760" s="62">
        <v>43258</v>
      </c>
      <c r="B14760">
        <v>3.2749999999999999</v>
      </c>
      <c r="C14760" t="str">
        <f t="shared" si="235"/>
        <v>2018 q2</v>
      </c>
    </row>
    <row r="14761" spans="1:3">
      <c r="A14761" s="62">
        <v>43259</v>
      </c>
      <c r="B14761">
        <v>3.3</v>
      </c>
      <c r="C14761" t="str">
        <f t="shared" si="235"/>
        <v>2018 q2</v>
      </c>
    </row>
    <row r="14762" spans="1:3">
      <c r="A14762" s="62">
        <v>43262</v>
      </c>
      <c r="B14762">
        <v>3.2570000000000001</v>
      </c>
      <c r="C14762" t="str">
        <f t="shared" si="235"/>
        <v>2018 q2</v>
      </c>
    </row>
    <row r="14763" spans="1:3">
      <c r="A14763" s="62">
        <v>43263</v>
      </c>
      <c r="B14763">
        <v>3.2494999999999998</v>
      </c>
      <c r="C14763" t="str">
        <f t="shared" si="235"/>
        <v>2018 q2</v>
      </c>
    </row>
    <row r="14764" spans="1:3">
      <c r="A14764" s="62">
        <v>43264</v>
      </c>
      <c r="B14764">
        <v>3.254</v>
      </c>
      <c r="C14764" t="str">
        <f t="shared" si="235"/>
        <v>2018 q2</v>
      </c>
    </row>
    <row r="14765" spans="1:3">
      <c r="A14765" s="62">
        <v>43265</v>
      </c>
      <c r="B14765">
        <v>3.222</v>
      </c>
      <c r="C14765" t="str">
        <f t="shared" si="235"/>
        <v>2018 q2</v>
      </c>
    </row>
    <row r="14766" spans="1:3">
      <c r="A14766" s="62">
        <v>43266</v>
      </c>
      <c r="B14766">
        <v>3.1444999999999999</v>
      </c>
      <c r="C14766" t="str">
        <f t="shared" si="235"/>
        <v>2018 q2</v>
      </c>
    </row>
    <row r="14767" spans="1:3">
      <c r="A14767" s="62">
        <v>43269</v>
      </c>
      <c r="B14767">
        <v>3.1065</v>
      </c>
      <c r="C14767" t="str">
        <f t="shared" si="235"/>
        <v>2018 q2</v>
      </c>
    </row>
    <row r="14768" spans="1:3">
      <c r="A14768" s="62">
        <v>43270</v>
      </c>
      <c r="B14768">
        <v>3.0470000000000002</v>
      </c>
      <c r="C14768" t="str">
        <f t="shared" si="235"/>
        <v>2018 q2</v>
      </c>
    </row>
    <row r="14769" spans="1:3">
      <c r="A14769" s="62">
        <v>43271</v>
      </c>
      <c r="B14769">
        <v>3.0405000000000002</v>
      </c>
      <c r="C14769" t="str">
        <f t="shared" si="235"/>
        <v>2018 q2</v>
      </c>
    </row>
    <row r="14770" spans="1:3">
      <c r="A14770" s="62">
        <v>43272</v>
      </c>
      <c r="B14770">
        <v>3.0215000000000001</v>
      </c>
      <c r="C14770" t="str">
        <f t="shared" si="235"/>
        <v>2018 q2</v>
      </c>
    </row>
    <row r="14771" spans="1:3">
      <c r="A14771" s="62">
        <v>43273</v>
      </c>
      <c r="B14771">
        <v>3.0270000000000001</v>
      </c>
      <c r="C14771" t="str">
        <f t="shared" si="235"/>
        <v>2018 q2</v>
      </c>
    </row>
    <row r="14772" spans="1:3">
      <c r="A14772" s="62">
        <v>43276</v>
      </c>
      <c r="B14772">
        <v>2.9870000000000001</v>
      </c>
      <c r="C14772" t="str">
        <f t="shared" si="235"/>
        <v>2018 q2</v>
      </c>
    </row>
    <row r="14773" spans="1:3">
      <c r="A14773" s="62">
        <v>43277</v>
      </c>
      <c r="B14773">
        <v>2.9967000000000001</v>
      </c>
      <c r="C14773" t="str">
        <f t="shared" si="235"/>
        <v>2018 q2</v>
      </c>
    </row>
    <row r="14774" spans="1:3">
      <c r="A14774" s="62">
        <v>43278</v>
      </c>
      <c r="B14774">
        <v>2.9937</v>
      </c>
      <c r="C14774" t="str">
        <f t="shared" si="235"/>
        <v>2018 q2</v>
      </c>
    </row>
    <row r="14775" spans="1:3">
      <c r="A14775" s="62">
        <v>43279</v>
      </c>
      <c r="B14775">
        <v>2.9643000000000002</v>
      </c>
      <c r="C14775" t="str">
        <f t="shared" si="235"/>
        <v>2018 q2</v>
      </c>
    </row>
    <row r="14776" spans="1:3">
      <c r="A14776" s="62">
        <v>43280</v>
      </c>
      <c r="B14776">
        <v>2.9630000000000001</v>
      </c>
      <c r="C14776" t="str">
        <f t="shared" si="235"/>
        <v>2018 q2</v>
      </c>
    </row>
    <row r="14777" spans="1:3">
      <c r="A14777" s="62">
        <v>43283</v>
      </c>
      <c r="B14777">
        <v>2.944</v>
      </c>
      <c r="C14777" t="str">
        <f t="shared" si="235"/>
        <v>2018 q3</v>
      </c>
    </row>
    <row r="14778" spans="1:3">
      <c r="A14778" s="62">
        <v>43284</v>
      </c>
      <c r="B14778">
        <v>2.9169999999999998</v>
      </c>
      <c r="C14778" t="str">
        <f t="shared" si="235"/>
        <v>2018 q3</v>
      </c>
    </row>
    <row r="14779" spans="1:3">
      <c r="A14779" s="62">
        <v>43286</v>
      </c>
      <c r="B14779">
        <v>2.8260000000000001</v>
      </c>
      <c r="C14779" t="str">
        <f t="shared" si="235"/>
        <v>2018 q3</v>
      </c>
    </row>
    <row r="14780" spans="1:3">
      <c r="A14780" s="62">
        <v>43287</v>
      </c>
      <c r="B14780">
        <v>2.8239999999999998</v>
      </c>
      <c r="C14780" t="str">
        <f t="shared" si="235"/>
        <v>2018 q3</v>
      </c>
    </row>
    <row r="14781" spans="1:3">
      <c r="A14781" s="62">
        <v>43290</v>
      </c>
      <c r="B14781">
        <v>2.85</v>
      </c>
      <c r="C14781" t="str">
        <f t="shared" si="235"/>
        <v>2018 q3</v>
      </c>
    </row>
    <row r="14782" spans="1:3">
      <c r="A14782" s="62">
        <v>43291</v>
      </c>
      <c r="B14782">
        <v>2.8395000000000001</v>
      </c>
      <c r="C14782" t="str">
        <f t="shared" si="235"/>
        <v>2018 q3</v>
      </c>
    </row>
    <row r="14783" spans="1:3">
      <c r="A14783" s="62">
        <v>43292</v>
      </c>
      <c r="B14783">
        <v>2.7435</v>
      </c>
      <c r="C14783" t="str">
        <f t="shared" si="235"/>
        <v>2018 q3</v>
      </c>
    </row>
    <row r="14784" spans="1:3">
      <c r="A14784" s="62">
        <v>43293</v>
      </c>
      <c r="B14784">
        <v>2.7770000000000001</v>
      </c>
      <c r="C14784" t="str">
        <f t="shared" si="235"/>
        <v>2018 q3</v>
      </c>
    </row>
    <row r="14785" spans="1:3">
      <c r="A14785" s="62">
        <v>43294</v>
      </c>
      <c r="B14785">
        <v>2.7755000000000001</v>
      </c>
      <c r="C14785" t="str">
        <f t="shared" si="235"/>
        <v>2018 q3</v>
      </c>
    </row>
    <row r="14786" spans="1:3">
      <c r="A14786" s="62">
        <v>43297</v>
      </c>
      <c r="B14786">
        <v>2.7645</v>
      </c>
      <c r="C14786" t="str">
        <f t="shared" si="235"/>
        <v>2018 q3</v>
      </c>
    </row>
    <row r="14787" spans="1:3">
      <c r="A14787" s="62">
        <v>43298</v>
      </c>
      <c r="B14787">
        <v>2.7469999999999999</v>
      </c>
      <c r="C14787" t="str">
        <f t="shared" si="235"/>
        <v>2018 q3</v>
      </c>
    </row>
    <row r="14788" spans="1:3">
      <c r="A14788" s="62">
        <v>43299</v>
      </c>
      <c r="B14788">
        <v>2.76</v>
      </c>
      <c r="C14788" t="str">
        <f t="shared" si="235"/>
        <v>2018 q3</v>
      </c>
    </row>
    <row r="14789" spans="1:3">
      <c r="A14789" s="62">
        <v>43300</v>
      </c>
      <c r="B14789">
        <v>2.6955</v>
      </c>
      <c r="C14789" t="str">
        <f t="shared" si="235"/>
        <v>2018 q3</v>
      </c>
    </row>
    <row r="14790" spans="1:3">
      <c r="A14790" s="62">
        <v>43301</v>
      </c>
      <c r="B14790">
        <v>2.7559999999999998</v>
      </c>
      <c r="C14790" t="str">
        <f t="shared" si="235"/>
        <v>2018 q3</v>
      </c>
    </row>
    <row r="14791" spans="1:3">
      <c r="A14791" s="62">
        <v>43304</v>
      </c>
      <c r="B14791">
        <v>2.7465000000000002</v>
      </c>
      <c r="C14791" t="str">
        <f t="shared" si="235"/>
        <v>2018 q3</v>
      </c>
    </row>
    <row r="14792" spans="1:3">
      <c r="A14792" s="62">
        <v>43305</v>
      </c>
      <c r="B14792">
        <v>2.8105000000000002</v>
      </c>
      <c r="C14792" t="str">
        <f t="shared" si="235"/>
        <v>2018 q3</v>
      </c>
    </row>
    <row r="14793" spans="1:3">
      <c r="A14793" s="62">
        <v>43306</v>
      </c>
      <c r="B14793">
        <v>2.8174999999999999</v>
      </c>
      <c r="C14793" t="str">
        <f t="shared" si="235"/>
        <v>2018 q3</v>
      </c>
    </row>
    <row r="14794" spans="1:3">
      <c r="A14794" s="62">
        <v>43307</v>
      </c>
      <c r="B14794">
        <v>2.8180000000000001</v>
      </c>
      <c r="C14794" t="str">
        <f t="shared" si="235"/>
        <v>2018 q3</v>
      </c>
    </row>
    <row r="14795" spans="1:3">
      <c r="A14795" s="62">
        <v>43308</v>
      </c>
      <c r="B14795">
        <v>2.802</v>
      </c>
      <c r="C14795" t="str">
        <f t="shared" si="235"/>
        <v>2018 q3</v>
      </c>
    </row>
    <row r="14796" spans="1:3">
      <c r="A14796" s="62">
        <v>43311</v>
      </c>
      <c r="B14796">
        <v>2.7919999999999998</v>
      </c>
      <c r="C14796" t="str">
        <f t="shared" si="235"/>
        <v>2018 q3</v>
      </c>
    </row>
    <row r="14797" spans="1:3">
      <c r="A14797" s="62">
        <v>43312</v>
      </c>
      <c r="B14797">
        <v>2.8315000000000001</v>
      </c>
      <c r="C14797" t="str">
        <f t="shared" si="235"/>
        <v>2018 q3</v>
      </c>
    </row>
    <row r="14798" spans="1:3">
      <c r="A14798" s="62">
        <v>43313</v>
      </c>
      <c r="B14798">
        <v>2.7475000000000001</v>
      </c>
      <c r="C14798" t="str">
        <f t="shared" si="235"/>
        <v>2018 q3</v>
      </c>
    </row>
    <row r="14799" spans="1:3">
      <c r="A14799" s="62">
        <v>43314</v>
      </c>
      <c r="B14799">
        <v>2.7374999999999998</v>
      </c>
      <c r="C14799" t="str">
        <f t="shared" si="235"/>
        <v>2018 q3</v>
      </c>
    </row>
    <row r="14800" spans="1:3">
      <c r="A14800" s="62">
        <v>43315</v>
      </c>
      <c r="B14800">
        <v>2.7635000000000001</v>
      </c>
      <c r="C14800" t="str">
        <f t="shared" si="235"/>
        <v>2018 q3</v>
      </c>
    </row>
    <row r="14801" spans="1:3">
      <c r="A14801" s="62">
        <v>43318</v>
      </c>
      <c r="B14801">
        <v>2.7315</v>
      </c>
      <c r="C14801" t="str">
        <f t="shared" si="235"/>
        <v>2018 q3</v>
      </c>
    </row>
    <row r="14802" spans="1:3">
      <c r="A14802" s="62">
        <v>43319</v>
      </c>
      <c r="B14802">
        <v>2.7519999999999998</v>
      </c>
      <c r="C14802" t="str">
        <f t="shared" ref="C14802:C14865" si="236">YEAR(A14802)&amp;" q"&amp;ROUNDUP(MONTH(A14802)/3,0)</f>
        <v>2018 q3</v>
      </c>
    </row>
    <row r="14803" spans="1:3">
      <c r="A14803" s="62">
        <v>43320</v>
      </c>
      <c r="B14803">
        <v>2.7509999999999999</v>
      </c>
      <c r="C14803" t="str">
        <f t="shared" si="236"/>
        <v>2018 q3</v>
      </c>
    </row>
    <row r="14804" spans="1:3">
      <c r="A14804" s="62">
        <v>43321</v>
      </c>
      <c r="B14804">
        <v>2.7654999999999998</v>
      </c>
      <c r="C14804" t="str">
        <f t="shared" si="236"/>
        <v>2018 q3</v>
      </c>
    </row>
    <row r="14805" spans="1:3">
      <c r="A14805" s="62">
        <v>43322</v>
      </c>
      <c r="B14805">
        <v>2.7425000000000002</v>
      </c>
      <c r="C14805" t="str">
        <f t="shared" si="236"/>
        <v>2018 q3</v>
      </c>
    </row>
    <row r="14806" spans="1:3">
      <c r="A14806" s="62">
        <v>43325</v>
      </c>
      <c r="B14806">
        <v>2.7309999999999999</v>
      </c>
      <c r="C14806" t="str">
        <f t="shared" si="236"/>
        <v>2018 q3</v>
      </c>
    </row>
    <row r="14807" spans="1:3">
      <c r="A14807" s="62">
        <v>43326</v>
      </c>
      <c r="B14807">
        <v>2.6819999999999999</v>
      </c>
      <c r="C14807" t="str">
        <f t="shared" si="236"/>
        <v>2018 q3</v>
      </c>
    </row>
    <row r="14808" spans="1:3">
      <c r="A14808" s="62">
        <v>43327</v>
      </c>
      <c r="B14808">
        <v>2.56</v>
      </c>
      <c r="C14808" t="str">
        <f t="shared" si="236"/>
        <v>2018 q3</v>
      </c>
    </row>
    <row r="14809" spans="1:3">
      <c r="A14809" s="62">
        <v>43328</v>
      </c>
      <c r="B14809">
        <v>2.6164999999999998</v>
      </c>
      <c r="C14809" t="str">
        <f t="shared" si="236"/>
        <v>2018 q3</v>
      </c>
    </row>
    <row r="14810" spans="1:3">
      <c r="A14810" s="62">
        <v>43329</v>
      </c>
      <c r="B14810">
        <v>2.629</v>
      </c>
      <c r="C14810" t="str">
        <f t="shared" si="236"/>
        <v>2018 q3</v>
      </c>
    </row>
    <row r="14811" spans="1:3">
      <c r="A14811" s="62">
        <v>43332</v>
      </c>
      <c r="B14811">
        <v>2.6684999999999999</v>
      </c>
      <c r="C14811" t="str">
        <f t="shared" si="236"/>
        <v>2018 q3</v>
      </c>
    </row>
    <row r="14812" spans="1:3">
      <c r="A14812" s="62">
        <v>43333</v>
      </c>
      <c r="B14812">
        <v>2.6955</v>
      </c>
      <c r="C14812" t="str">
        <f t="shared" si="236"/>
        <v>2018 q3</v>
      </c>
    </row>
    <row r="14813" spans="1:3">
      <c r="A14813" s="62">
        <v>43334</v>
      </c>
      <c r="B14813">
        <v>2.6735000000000002</v>
      </c>
      <c r="C14813" t="str">
        <f t="shared" si="236"/>
        <v>2018 q3</v>
      </c>
    </row>
    <row r="14814" spans="1:3">
      <c r="A14814" s="62">
        <v>43335</v>
      </c>
      <c r="B14814">
        <v>2.6545000000000001</v>
      </c>
      <c r="C14814" t="str">
        <f t="shared" si="236"/>
        <v>2018 q3</v>
      </c>
    </row>
    <row r="14815" spans="1:3">
      <c r="A14815" s="62">
        <v>43336</v>
      </c>
      <c r="B14815">
        <v>2.7004999999999999</v>
      </c>
      <c r="C14815" t="str">
        <f t="shared" si="236"/>
        <v>2018 q3</v>
      </c>
    </row>
    <row r="14816" spans="1:3">
      <c r="A14816" s="62">
        <v>43339</v>
      </c>
      <c r="B14816">
        <v>2.7084999999999999</v>
      </c>
      <c r="C14816" t="str">
        <f t="shared" si="236"/>
        <v>2018 q3</v>
      </c>
    </row>
    <row r="14817" spans="1:3">
      <c r="A14817" s="62">
        <v>43340</v>
      </c>
      <c r="B14817">
        <v>2.7404999999999999</v>
      </c>
      <c r="C14817" t="str">
        <f t="shared" si="236"/>
        <v>2018 q3</v>
      </c>
    </row>
    <row r="14818" spans="1:3">
      <c r="A14818" s="62">
        <v>43341</v>
      </c>
      <c r="B14818">
        <v>2.7206000000000001</v>
      </c>
      <c r="C14818" t="str">
        <f t="shared" si="236"/>
        <v>2018 q3</v>
      </c>
    </row>
    <row r="14819" spans="1:3">
      <c r="A14819" s="62">
        <v>43342</v>
      </c>
      <c r="B14819">
        <v>2.7067000000000001</v>
      </c>
      <c r="C14819" t="str">
        <f t="shared" si="236"/>
        <v>2018 q3</v>
      </c>
    </row>
    <row r="14820" spans="1:3">
      <c r="A14820" s="62">
        <v>43343</v>
      </c>
      <c r="B14820">
        <v>2.6665999999999999</v>
      </c>
      <c r="C14820" t="str">
        <f t="shared" si="236"/>
        <v>2018 q3</v>
      </c>
    </row>
    <row r="14821" spans="1:3">
      <c r="A14821" s="62">
        <v>43347</v>
      </c>
      <c r="B14821">
        <v>2.6019999999999999</v>
      </c>
      <c r="C14821" t="str">
        <f t="shared" si="236"/>
        <v>2018 q3</v>
      </c>
    </row>
    <row r="14822" spans="1:3">
      <c r="A14822" s="62">
        <v>43348</v>
      </c>
      <c r="B14822">
        <v>2.61</v>
      </c>
      <c r="C14822" t="str">
        <f t="shared" si="236"/>
        <v>2018 q3</v>
      </c>
    </row>
    <row r="14823" spans="1:3">
      <c r="A14823" s="62">
        <v>43349</v>
      </c>
      <c r="B14823">
        <v>2.6364999999999998</v>
      </c>
      <c r="C14823" t="str">
        <f t="shared" si="236"/>
        <v>2018 q3</v>
      </c>
    </row>
    <row r="14824" spans="1:3">
      <c r="A14824" s="62">
        <v>43350</v>
      </c>
      <c r="B14824">
        <v>2.6225000000000001</v>
      </c>
      <c r="C14824" t="str">
        <f t="shared" si="236"/>
        <v>2018 q3</v>
      </c>
    </row>
    <row r="14825" spans="1:3">
      <c r="A14825" s="62">
        <v>43353</v>
      </c>
      <c r="B14825">
        <v>2.6280000000000001</v>
      </c>
      <c r="C14825" t="str">
        <f t="shared" si="236"/>
        <v>2018 q3</v>
      </c>
    </row>
    <row r="14826" spans="1:3">
      <c r="A14826" s="62">
        <v>43354</v>
      </c>
      <c r="B14826">
        <v>2.6215000000000002</v>
      </c>
      <c r="C14826" t="str">
        <f t="shared" si="236"/>
        <v>2018 q3</v>
      </c>
    </row>
    <row r="14827" spans="1:3">
      <c r="A14827" s="62">
        <v>43355</v>
      </c>
      <c r="B14827">
        <v>2.6760000000000002</v>
      </c>
      <c r="C14827" t="str">
        <f t="shared" si="236"/>
        <v>2018 q3</v>
      </c>
    </row>
    <row r="14828" spans="1:3">
      <c r="A14828" s="62">
        <v>43356</v>
      </c>
      <c r="B14828">
        <v>2.6829999999999998</v>
      </c>
      <c r="C14828" t="str">
        <f t="shared" si="236"/>
        <v>2018 q3</v>
      </c>
    </row>
    <row r="14829" spans="1:3">
      <c r="A14829" s="62">
        <v>43357</v>
      </c>
      <c r="B14829">
        <v>2.6459999999999999</v>
      </c>
      <c r="C14829" t="str">
        <f t="shared" si="236"/>
        <v>2018 q3</v>
      </c>
    </row>
    <row r="14830" spans="1:3">
      <c r="A14830" s="62">
        <v>43360</v>
      </c>
      <c r="B14830">
        <v>2.6509999999999998</v>
      </c>
      <c r="C14830" t="str">
        <f t="shared" si="236"/>
        <v>2018 q3</v>
      </c>
    </row>
    <row r="14831" spans="1:3">
      <c r="A14831" s="62">
        <v>43361</v>
      </c>
      <c r="B14831">
        <v>2.7305000000000001</v>
      </c>
      <c r="C14831" t="str">
        <f t="shared" si="236"/>
        <v>2018 q3</v>
      </c>
    </row>
    <row r="14832" spans="1:3">
      <c r="A14832" s="62">
        <v>43362</v>
      </c>
      <c r="B14832">
        <v>2.7294999999999998</v>
      </c>
      <c r="C14832" t="str">
        <f t="shared" si="236"/>
        <v>2018 q3</v>
      </c>
    </row>
    <row r="14833" spans="1:3">
      <c r="A14833" s="62">
        <v>43363</v>
      </c>
      <c r="B14833">
        <v>2.74</v>
      </c>
      <c r="C14833" t="str">
        <f t="shared" si="236"/>
        <v>2018 q3</v>
      </c>
    </row>
    <row r="14834" spans="1:3">
      <c r="A14834" s="62">
        <v>43364</v>
      </c>
      <c r="B14834">
        <v>2.8574999999999999</v>
      </c>
      <c r="C14834" t="str">
        <f t="shared" si="236"/>
        <v>2018 q3</v>
      </c>
    </row>
    <row r="14835" spans="1:3">
      <c r="A14835" s="62">
        <v>43367</v>
      </c>
      <c r="B14835">
        <v>2.8359999999999999</v>
      </c>
      <c r="C14835" t="str">
        <f t="shared" si="236"/>
        <v>2018 q3</v>
      </c>
    </row>
    <row r="14836" spans="1:3">
      <c r="A14836" s="62">
        <v>43368</v>
      </c>
      <c r="B14836">
        <v>2.8235000000000001</v>
      </c>
      <c r="C14836" t="str">
        <f t="shared" si="236"/>
        <v>2018 q3</v>
      </c>
    </row>
    <row r="14837" spans="1:3">
      <c r="A14837" s="62">
        <v>43369</v>
      </c>
      <c r="B14837">
        <v>2.8279999999999998</v>
      </c>
      <c r="C14837" t="str">
        <f t="shared" si="236"/>
        <v>2018 q3</v>
      </c>
    </row>
    <row r="14838" spans="1:3">
      <c r="A14838" s="62">
        <v>43370</v>
      </c>
      <c r="B14838">
        <v>2.7829999999999999</v>
      </c>
      <c r="C14838" t="str">
        <f t="shared" si="236"/>
        <v>2018 q3</v>
      </c>
    </row>
    <row r="14839" spans="1:3">
      <c r="A14839" s="62">
        <v>43371</v>
      </c>
      <c r="B14839">
        <v>2.8050000000000002</v>
      </c>
      <c r="C14839" t="str">
        <f t="shared" si="236"/>
        <v>2018 q3</v>
      </c>
    </row>
    <row r="14840" spans="1:3">
      <c r="A14840" s="62">
        <v>43374</v>
      </c>
      <c r="B14840">
        <v>2.7875000000000001</v>
      </c>
      <c r="C14840" t="str">
        <f t="shared" si="236"/>
        <v>2018 q4</v>
      </c>
    </row>
    <row r="14841" spans="1:3">
      <c r="A14841" s="62">
        <v>43375</v>
      </c>
      <c r="B14841">
        <v>2.8065000000000002</v>
      </c>
      <c r="C14841" t="str">
        <f t="shared" si="236"/>
        <v>2018 q4</v>
      </c>
    </row>
    <row r="14842" spans="1:3">
      <c r="A14842" s="62">
        <v>43376</v>
      </c>
      <c r="B14842">
        <v>2.8340000000000001</v>
      </c>
      <c r="C14842" t="str">
        <f t="shared" si="236"/>
        <v>2018 q4</v>
      </c>
    </row>
    <row r="14843" spans="1:3">
      <c r="A14843" s="62">
        <v>43377</v>
      </c>
      <c r="B14843">
        <v>2.7774999999999999</v>
      </c>
      <c r="C14843" t="str">
        <f t="shared" si="236"/>
        <v>2018 q4</v>
      </c>
    </row>
    <row r="14844" spans="1:3">
      <c r="A14844" s="62">
        <v>43378</v>
      </c>
      <c r="B14844">
        <v>2.7629999999999999</v>
      </c>
      <c r="C14844" t="str">
        <f t="shared" si="236"/>
        <v>2018 q4</v>
      </c>
    </row>
    <row r="14845" spans="1:3">
      <c r="A14845" s="62">
        <v>43381</v>
      </c>
      <c r="B14845">
        <v>2.7669999999999999</v>
      </c>
      <c r="C14845" t="str">
        <f t="shared" si="236"/>
        <v>2018 q4</v>
      </c>
    </row>
    <row r="14846" spans="1:3">
      <c r="A14846" s="62">
        <v>43382</v>
      </c>
      <c r="B14846">
        <v>2.8065000000000002</v>
      </c>
      <c r="C14846" t="str">
        <f t="shared" si="236"/>
        <v>2018 q4</v>
      </c>
    </row>
    <row r="14847" spans="1:3">
      <c r="A14847" s="62">
        <v>43383</v>
      </c>
      <c r="B14847">
        <v>2.7805</v>
      </c>
      <c r="C14847" t="str">
        <f t="shared" si="236"/>
        <v>2018 q4</v>
      </c>
    </row>
    <row r="14848" spans="1:3">
      <c r="A14848" s="62">
        <v>43384</v>
      </c>
      <c r="B14848">
        <v>2.8029999999999999</v>
      </c>
      <c r="C14848" t="str">
        <f t="shared" si="236"/>
        <v>2018 q4</v>
      </c>
    </row>
    <row r="14849" spans="1:3">
      <c r="A14849" s="62">
        <v>43385</v>
      </c>
      <c r="B14849">
        <v>2.8005</v>
      </c>
      <c r="C14849" t="str">
        <f t="shared" si="236"/>
        <v>2018 q4</v>
      </c>
    </row>
    <row r="14850" spans="1:3">
      <c r="A14850" s="62">
        <v>43388</v>
      </c>
      <c r="B14850">
        <v>2.7885</v>
      </c>
      <c r="C14850" t="str">
        <f t="shared" si="236"/>
        <v>2018 q4</v>
      </c>
    </row>
    <row r="14851" spans="1:3">
      <c r="A14851" s="62">
        <v>43389</v>
      </c>
      <c r="B14851">
        <v>2.7795000000000001</v>
      </c>
      <c r="C14851" t="str">
        <f t="shared" si="236"/>
        <v>2018 q4</v>
      </c>
    </row>
    <row r="14852" spans="1:3">
      <c r="A14852" s="62">
        <v>43390</v>
      </c>
      <c r="B14852">
        <v>2.778</v>
      </c>
      <c r="C14852" t="str">
        <f t="shared" si="236"/>
        <v>2018 q4</v>
      </c>
    </row>
    <row r="14853" spans="1:3">
      <c r="A14853" s="62">
        <v>43391</v>
      </c>
      <c r="B14853">
        <v>2.7465000000000002</v>
      </c>
      <c r="C14853" t="str">
        <f t="shared" si="236"/>
        <v>2018 q4</v>
      </c>
    </row>
    <row r="14854" spans="1:3">
      <c r="A14854" s="62">
        <v>43392</v>
      </c>
      <c r="B14854">
        <v>2.778</v>
      </c>
      <c r="C14854" t="str">
        <f t="shared" si="236"/>
        <v>2018 q4</v>
      </c>
    </row>
    <row r="14855" spans="1:3">
      <c r="A14855" s="62">
        <v>43395</v>
      </c>
      <c r="B14855">
        <v>2.7854999999999999</v>
      </c>
      <c r="C14855" t="str">
        <f t="shared" si="236"/>
        <v>2018 q4</v>
      </c>
    </row>
    <row r="14856" spans="1:3">
      <c r="A14856" s="62">
        <v>43396</v>
      </c>
      <c r="B14856">
        <v>2.758</v>
      </c>
      <c r="C14856" t="str">
        <f t="shared" si="236"/>
        <v>2018 q4</v>
      </c>
    </row>
    <row r="14857" spans="1:3">
      <c r="A14857" s="62">
        <v>43397</v>
      </c>
      <c r="B14857">
        <v>2.7574999999999998</v>
      </c>
      <c r="C14857" t="str">
        <f t="shared" si="236"/>
        <v>2018 q4</v>
      </c>
    </row>
    <row r="14858" spans="1:3">
      <c r="A14858" s="62">
        <v>43398</v>
      </c>
      <c r="B14858">
        <v>2.7545000000000002</v>
      </c>
      <c r="C14858" t="str">
        <f t="shared" si="236"/>
        <v>2018 q4</v>
      </c>
    </row>
    <row r="14859" spans="1:3">
      <c r="A14859" s="62">
        <v>43399</v>
      </c>
      <c r="B14859">
        <v>2.7410000000000001</v>
      </c>
      <c r="C14859" t="str">
        <f t="shared" si="236"/>
        <v>2018 q4</v>
      </c>
    </row>
    <row r="14860" spans="1:3">
      <c r="A14860" s="62">
        <v>43402</v>
      </c>
      <c r="B14860">
        <v>2.7404999999999999</v>
      </c>
      <c r="C14860" t="str">
        <f t="shared" si="236"/>
        <v>2018 q4</v>
      </c>
    </row>
    <row r="14861" spans="1:3">
      <c r="A14861" s="62">
        <v>43403</v>
      </c>
      <c r="B14861">
        <v>2.6640000000000001</v>
      </c>
      <c r="C14861" t="str">
        <f t="shared" si="236"/>
        <v>2018 q4</v>
      </c>
    </row>
    <row r="14862" spans="1:3">
      <c r="A14862" s="62">
        <v>43404</v>
      </c>
      <c r="B14862">
        <v>2.6589999999999998</v>
      </c>
      <c r="C14862" t="str">
        <f t="shared" si="236"/>
        <v>2018 q4</v>
      </c>
    </row>
    <row r="14863" spans="1:3">
      <c r="A14863" s="62">
        <v>43405</v>
      </c>
      <c r="B14863">
        <v>2.7214999999999998</v>
      </c>
      <c r="C14863" t="str">
        <f t="shared" si="236"/>
        <v>2018 q4</v>
      </c>
    </row>
    <row r="14864" spans="1:3">
      <c r="A14864" s="62">
        <v>43406</v>
      </c>
      <c r="B14864">
        <v>2.8069999999999999</v>
      </c>
      <c r="C14864" t="str">
        <f t="shared" si="236"/>
        <v>2018 q4</v>
      </c>
    </row>
    <row r="14865" spans="1:3">
      <c r="A14865" s="62">
        <v>43409</v>
      </c>
      <c r="B14865">
        <v>2.7559999999999998</v>
      </c>
      <c r="C14865" t="str">
        <f t="shared" si="236"/>
        <v>2018 q4</v>
      </c>
    </row>
    <row r="14866" spans="1:3">
      <c r="A14866" s="62">
        <v>43410</v>
      </c>
      <c r="B14866">
        <v>2.7324999999999999</v>
      </c>
      <c r="C14866" t="str">
        <f t="shared" ref="C14866:C14929" si="237">YEAR(A14866)&amp;" q"&amp;ROUNDUP(MONTH(A14866)/3,0)</f>
        <v>2018 q4</v>
      </c>
    </row>
    <row r="14867" spans="1:3">
      <c r="A14867" s="62">
        <v>43411</v>
      </c>
      <c r="B14867">
        <v>2.7545000000000002</v>
      </c>
      <c r="C14867" t="str">
        <f t="shared" si="237"/>
        <v>2018 q4</v>
      </c>
    </row>
    <row r="14868" spans="1:3">
      <c r="A14868" s="62">
        <v>43412</v>
      </c>
      <c r="B14868">
        <v>2.7360000000000002</v>
      </c>
      <c r="C14868" t="str">
        <f t="shared" si="237"/>
        <v>2018 q4</v>
      </c>
    </row>
    <row r="14869" spans="1:3">
      <c r="A14869" s="62">
        <v>43413</v>
      </c>
      <c r="B14869">
        <v>2.6844999999999999</v>
      </c>
      <c r="C14869" t="str">
        <f t="shared" si="237"/>
        <v>2018 q4</v>
      </c>
    </row>
    <row r="14870" spans="1:3">
      <c r="A14870" s="62">
        <v>43416</v>
      </c>
      <c r="B14870">
        <v>2.6764999999999999</v>
      </c>
      <c r="C14870" t="str">
        <f t="shared" si="237"/>
        <v>2018 q4</v>
      </c>
    </row>
    <row r="14871" spans="1:3">
      <c r="A14871" s="62">
        <v>43417</v>
      </c>
      <c r="B14871">
        <v>2.6869999999999998</v>
      </c>
      <c r="C14871" t="str">
        <f t="shared" si="237"/>
        <v>2018 q4</v>
      </c>
    </row>
    <row r="14872" spans="1:3">
      <c r="A14872" s="62">
        <v>43418</v>
      </c>
      <c r="B14872">
        <v>2.71</v>
      </c>
      <c r="C14872" t="str">
        <f t="shared" si="237"/>
        <v>2018 q4</v>
      </c>
    </row>
    <row r="14873" spans="1:3">
      <c r="A14873" s="62">
        <v>43419</v>
      </c>
      <c r="B14873">
        <v>2.7465000000000002</v>
      </c>
      <c r="C14873" t="str">
        <f t="shared" si="237"/>
        <v>2018 q4</v>
      </c>
    </row>
    <row r="14874" spans="1:3">
      <c r="A14874" s="62">
        <v>43420</v>
      </c>
      <c r="B14874">
        <v>2.7985000000000002</v>
      </c>
      <c r="C14874" t="str">
        <f t="shared" si="237"/>
        <v>2018 q4</v>
      </c>
    </row>
    <row r="14875" spans="1:3">
      <c r="A14875" s="62">
        <v>43423</v>
      </c>
      <c r="B14875">
        <v>2.7989999999999999</v>
      </c>
      <c r="C14875" t="str">
        <f t="shared" si="237"/>
        <v>2018 q4</v>
      </c>
    </row>
    <row r="14876" spans="1:3">
      <c r="A14876" s="62">
        <v>43424</v>
      </c>
      <c r="B14876">
        <v>2.7665000000000002</v>
      </c>
      <c r="C14876" t="str">
        <f t="shared" si="237"/>
        <v>2018 q4</v>
      </c>
    </row>
    <row r="14877" spans="1:3">
      <c r="A14877" s="62">
        <v>43425</v>
      </c>
      <c r="B14877">
        <v>2.7945000000000002</v>
      </c>
      <c r="C14877" t="str">
        <f t="shared" si="237"/>
        <v>2018 q4</v>
      </c>
    </row>
    <row r="14878" spans="1:3">
      <c r="A14878" s="62">
        <v>43427</v>
      </c>
      <c r="B14878">
        <v>2.7665000000000002</v>
      </c>
      <c r="C14878" t="str">
        <f t="shared" si="237"/>
        <v>2018 q4</v>
      </c>
    </row>
    <row r="14879" spans="1:3">
      <c r="A14879" s="62">
        <v>43430</v>
      </c>
      <c r="B14879">
        <v>2.7555000000000001</v>
      </c>
      <c r="C14879" t="str">
        <f t="shared" si="237"/>
        <v>2018 q4</v>
      </c>
    </row>
    <row r="14880" spans="1:3">
      <c r="A14880" s="62">
        <v>43431</v>
      </c>
      <c r="B14880">
        <v>2.7092000000000001</v>
      </c>
      <c r="C14880" t="str">
        <f t="shared" si="237"/>
        <v>2018 q4</v>
      </c>
    </row>
    <row r="14881" spans="1:3">
      <c r="A14881" s="62">
        <v>43432</v>
      </c>
      <c r="B14881">
        <v>2.7993000000000001</v>
      </c>
      <c r="C14881" t="str">
        <f t="shared" si="237"/>
        <v>2018 q4</v>
      </c>
    </row>
    <row r="14882" spans="1:3">
      <c r="A14882" s="62">
        <v>43433</v>
      </c>
      <c r="B14882">
        <v>2.7818999999999998</v>
      </c>
      <c r="C14882" t="str">
        <f t="shared" si="237"/>
        <v>2018 q4</v>
      </c>
    </row>
    <row r="14883" spans="1:3">
      <c r="A14883" s="62">
        <v>43434</v>
      </c>
      <c r="B14883">
        <v>2.7827000000000002</v>
      </c>
      <c r="C14883" t="str">
        <f t="shared" si="237"/>
        <v>2018 q4</v>
      </c>
    </row>
    <row r="14884" spans="1:3">
      <c r="A14884" s="62">
        <v>43437</v>
      </c>
      <c r="B14884">
        <v>2.806</v>
      </c>
      <c r="C14884" t="str">
        <f t="shared" si="237"/>
        <v>2018 q4</v>
      </c>
    </row>
    <row r="14885" spans="1:3">
      <c r="A14885" s="62">
        <v>43438</v>
      </c>
      <c r="B14885">
        <v>2.7549999999999999</v>
      </c>
      <c r="C14885" t="str">
        <f t="shared" si="237"/>
        <v>2018 q4</v>
      </c>
    </row>
    <row r="14886" spans="1:3">
      <c r="A14886" s="62">
        <v>43439</v>
      </c>
      <c r="B14886">
        <v>2.7719999999999998</v>
      </c>
      <c r="C14886" t="str">
        <f t="shared" si="237"/>
        <v>2018 q4</v>
      </c>
    </row>
    <row r="14887" spans="1:3">
      <c r="A14887" s="62">
        <v>43440</v>
      </c>
      <c r="B14887">
        <v>2.7425000000000002</v>
      </c>
      <c r="C14887" t="str">
        <f t="shared" si="237"/>
        <v>2018 q4</v>
      </c>
    </row>
    <row r="14888" spans="1:3">
      <c r="A14888" s="62">
        <v>43441</v>
      </c>
      <c r="B14888">
        <v>2.758</v>
      </c>
      <c r="C14888" t="str">
        <f t="shared" si="237"/>
        <v>2018 q4</v>
      </c>
    </row>
    <row r="14889" spans="1:3">
      <c r="A14889" s="62">
        <v>43444</v>
      </c>
      <c r="B14889">
        <v>2.7204999999999999</v>
      </c>
      <c r="C14889" t="str">
        <f t="shared" si="237"/>
        <v>2018 q4</v>
      </c>
    </row>
    <row r="14890" spans="1:3">
      <c r="A14890" s="62">
        <v>43445</v>
      </c>
      <c r="B14890">
        <v>2.7679999999999998</v>
      </c>
      <c r="C14890" t="str">
        <f t="shared" si="237"/>
        <v>2018 q4</v>
      </c>
    </row>
    <row r="14891" spans="1:3">
      <c r="A14891" s="62">
        <v>43446</v>
      </c>
      <c r="B14891">
        <v>2.7705000000000002</v>
      </c>
      <c r="C14891" t="str">
        <f t="shared" si="237"/>
        <v>2018 q4</v>
      </c>
    </row>
    <row r="14892" spans="1:3">
      <c r="A14892" s="62">
        <v>43447</v>
      </c>
      <c r="B14892">
        <v>2.7645</v>
      </c>
      <c r="C14892" t="str">
        <f t="shared" si="237"/>
        <v>2018 q4</v>
      </c>
    </row>
    <row r="14893" spans="1:3">
      <c r="A14893" s="62">
        <v>43448</v>
      </c>
      <c r="B14893">
        <v>2.7605</v>
      </c>
      <c r="C14893" t="str">
        <f t="shared" si="237"/>
        <v>2018 q4</v>
      </c>
    </row>
    <row r="14894" spans="1:3">
      <c r="A14894" s="62">
        <v>43451</v>
      </c>
      <c r="B14894">
        <v>2.7519999999999998</v>
      </c>
      <c r="C14894" t="str">
        <f t="shared" si="237"/>
        <v>2018 q4</v>
      </c>
    </row>
    <row r="14895" spans="1:3">
      <c r="A14895" s="62">
        <v>43452</v>
      </c>
      <c r="B14895">
        <v>2.665</v>
      </c>
      <c r="C14895" t="str">
        <f t="shared" si="237"/>
        <v>2018 q4</v>
      </c>
    </row>
    <row r="14896" spans="1:3">
      <c r="A14896" s="62">
        <v>43453</v>
      </c>
      <c r="B14896">
        <v>2.7195</v>
      </c>
      <c r="C14896" t="str">
        <f t="shared" si="237"/>
        <v>2018 q4</v>
      </c>
    </row>
    <row r="14897" spans="1:3">
      <c r="A14897" s="62">
        <v>43454</v>
      </c>
      <c r="B14897">
        <v>2.698</v>
      </c>
      <c r="C14897" t="str">
        <f t="shared" si="237"/>
        <v>2018 q4</v>
      </c>
    </row>
    <row r="14898" spans="1:3">
      <c r="A14898" s="62">
        <v>43455</v>
      </c>
      <c r="B14898">
        <v>2.6735000000000002</v>
      </c>
      <c r="C14898" t="str">
        <f t="shared" si="237"/>
        <v>2018 q4</v>
      </c>
    </row>
    <row r="14899" spans="1:3">
      <c r="A14899" s="62">
        <v>43458</v>
      </c>
      <c r="B14899">
        <v>2.6629999999999998</v>
      </c>
      <c r="C14899" t="str">
        <f t="shared" si="237"/>
        <v>2018 q4</v>
      </c>
    </row>
    <row r="14900" spans="1:3">
      <c r="A14900" s="62">
        <v>43460</v>
      </c>
      <c r="B14900">
        <v>2.7004000000000001</v>
      </c>
      <c r="C14900" t="str">
        <f t="shared" si="237"/>
        <v>2018 q4</v>
      </c>
    </row>
    <row r="14901" spans="1:3">
      <c r="A14901" s="62">
        <v>43461</v>
      </c>
      <c r="B14901">
        <v>2.6677</v>
      </c>
      <c r="C14901" t="str">
        <f t="shared" si="237"/>
        <v>2018 q4</v>
      </c>
    </row>
    <row r="14902" spans="1:3">
      <c r="A14902" s="62">
        <v>43462</v>
      </c>
      <c r="B14902">
        <v>2.6804999999999999</v>
      </c>
      <c r="C14902" t="str">
        <f t="shared" si="237"/>
        <v>2018 q4</v>
      </c>
    </row>
    <row r="14903" spans="1:3">
      <c r="A14903" s="62">
        <v>43465</v>
      </c>
      <c r="B14903">
        <v>2.6303999999999998</v>
      </c>
      <c r="C14903" t="str">
        <f t="shared" si="237"/>
        <v>2018 q4</v>
      </c>
    </row>
    <row r="14904" spans="1:3">
      <c r="A14904" s="62">
        <v>43467</v>
      </c>
      <c r="B14904">
        <v>2.6230000000000002</v>
      </c>
      <c r="C14904" t="str">
        <f t="shared" si="237"/>
        <v>2019 q1</v>
      </c>
    </row>
    <row r="14905" spans="1:3">
      <c r="A14905" s="62">
        <v>43468</v>
      </c>
      <c r="B14905">
        <v>2.5680000000000001</v>
      </c>
      <c r="C14905" t="str">
        <f t="shared" si="237"/>
        <v>2019 q1</v>
      </c>
    </row>
    <row r="14906" spans="1:3">
      <c r="A14906" s="62">
        <v>43469</v>
      </c>
      <c r="B14906">
        <v>2.6475</v>
      </c>
      <c r="C14906" t="str">
        <f t="shared" si="237"/>
        <v>2019 q1</v>
      </c>
    </row>
    <row r="14907" spans="1:3">
      <c r="A14907" s="62">
        <v>43472</v>
      </c>
      <c r="B14907">
        <v>2.637</v>
      </c>
      <c r="C14907" t="str">
        <f t="shared" si="237"/>
        <v>2019 q1</v>
      </c>
    </row>
    <row r="14908" spans="1:3">
      <c r="A14908" s="62">
        <v>43473</v>
      </c>
      <c r="B14908">
        <v>2.6560000000000001</v>
      </c>
      <c r="C14908" t="str">
        <f t="shared" si="237"/>
        <v>2019 q1</v>
      </c>
    </row>
    <row r="14909" spans="1:3">
      <c r="A14909" s="62">
        <v>43474</v>
      </c>
      <c r="B14909">
        <v>2.657</v>
      </c>
      <c r="C14909" t="str">
        <f t="shared" si="237"/>
        <v>2019 q1</v>
      </c>
    </row>
    <row r="14910" spans="1:3">
      <c r="A14910" s="62">
        <v>43475</v>
      </c>
      <c r="B14910">
        <v>2.6375000000000002</v>
      </c>
      <c r="C14910" t="str">
        <f t="shared" si="237"/>
        <v>2019 q1</v>
      </c>
    </row>
    <row r="14911" spans="1:3">
      <c r="A14911" s="62">
        <v>43476</v>
      </c>
      <c r="B14911">
        <v>2.6619999999999999</v>
      </c>
      <c r="C14911" t="str">
        <f t="shared" si="237"/>
        <v>2019 q1</v>
      </c>
    </row>
    <row r="14912" spans="1:3">
      <c r="A14912" s="62">
        <v>43479</v>
      </c>
      <c r="B14912">
        <v>2.6349999999999998</v>
      </c>
      <c r="C14912" t="str">
        <f t="shared" si="237"/>
        <v>2019 q1</v>
      </c>
    </row>
    <row r="14913" spans="1:3">
      <c r="A14913" s="62">
        <v>43480</v>
      </c>
      <c r="B14913">
        <v>2.6345000000000001</v>
      </c>
      <c r="C14913" t="str">
        <f t="shared" si="237"/>
        <v>2019 q1</v>
      </c>
    </row>
    <row r="14914" spans="1:3">
      <c r="A14914" s="62">
        <v>43481</v>
      </c>
      <c r="B14914">
        <v>2.6735000000000002</v>
      </c>
      <c r="C14914" t="str">
        <f t="shared" si="237"/>
        <v>2019 q1</v>
      </c>
    </row>
    <row r="14915" spans="1:3">
      <c r="A14915" s="62">
        <v>43482</v>
      </c>
      <c r="B14915">
        <v>2.68</v>
      </c>
      <c r="C14915" t="str">
        <f t="shared" si="237"/>
        <v>2019 q1</v>
      </c>
    </row>
    <row r="14916" spans="1:3">
      <c r="A14916" s="62">
        <v>43483</v>
      </c>
      <c r="B14916">
        <v>2.7189999999999999</v>
      </c>
      <c r="C14916" t="str">
        <f t="shared" si="237"/>
        <v>2019 q1</v>
      </c>
    </row>
    <row r="14917" spans="1:3">
      <c r="A14917" s="62">
        <v>43487</v>
      </c>
      <c r="B14917">
        <v>2.6595</v>
      </c>
      <c r="C14917" t="str">
        <f t="shared" si="237"/>
        <v>2019 q1</v>
      </c>
    </row>
    <row r="14918" spans="1:3">
      <c r="A14918" s="62">
        <v>43488</v>
      </c>
      <c r="B14918">
        <v>2.6545000000000001</v>
      </c>
      <c r="C14918" t="str">
        <f t="shared" si="237"/>
        <v>2019 q1</v>
      </c>
    </row>
    <row r="14919" spans="1:3">
      <c r="A14919" s="62">
        <v>43489</v>
      </c>
      <c r="B14919">
        <v>2.6444999999999999</v>
      </c>
      <c r="C14919" t="str">
        <f t="shared" si="237"/>
        <v>2019 q1</v>
      </c>
    </row>
    <row r="14920" spans="1:3">
      <c r="A14920" s="62">
        <v>43490</v>
      </c>
      <c r="B14920">
        <v>2.7290000000000001</v>
      </c>
      <c r="C14920" t="str">
        <f t="shared" si="237"/>
        <v>2019 q1</v>
      </c>
    </row>
    <row r="14921" spans="1:3">
      <c r="A14921" s="62">
        <v>43493</v>
      </c>
      <c r="B14921">
        <v>2.68</v>
      </c>
      <c r="C14921" t="str">
        <f t="shared" si="237"/>
        <v>2019 q1</v>
      </c>
    </row>
    <row r="14922" spans="1:3">
      <c r="A14922" s="62">
        <v>43494</v>
      </c>
      <c r="B14922">
        <v>2.7250000000000001</v>
      </c>
      <c r="C14922" t="str">
        <f t="shared" si="237"/>
        <v>2019 q1</v>
      </c>
    </row>
    <row r="14923" spans="1:3">
      <c r="A14923" s="62">
        <v>43495</v>
      </c>
      <c r="B14923">
        <v>2.7675000000000001</v>
      </c>
      <c r="C14923" t="str">
        <f t="shared" si="237"/>
        <v>2019 q1</v>
      </c>
    </row>
    <row r="14924" spans="1:3">
      <c r="A14924" s="62">
        <v>43496</v>
      </c>
      <c r="B14924">
        <v>2.7845</v>
      </c>
      <c r="C14924" t="str">
        <f t="shared" si="237"/>
        <v>2019 q1</v>
      </c>
    </row>
    <row r="14925" spans="1:3">
      <c r="A14925" s="62">
        <v>43497</v>
      </c>
      <c r="B14925">
        <v>2.7730000000000001</v>
      </c>
      <c r="C14925" t="str">
        <f t="shared" si="237"/>
        <v>2019 q1</v>
      </c>
    </row>
    <row r="14926" spans="1:3">
      <c r="A14926" s="62">
        <v>43500</v>
      </c>
      <c r="B14926">
        <v>2.7945000000000002</v>
      </c>
      <c r="C14926" t="str">
        <f t="shared" si="237"/>
        <v>2019 q1</v>
      </c>
    </row>
    <row r="14927" spans="1:3">
      <c r="A14927" s="62">
        <v>43501</v>
      </c>
      <c r="B14927">
        <v>2.8170000000000002</v>
      </c>
      <c r="C14927" t="str">
        <f t="shared" si="237"/>
        <v>2019 q1</v>
      </c>
    </row>
    <row r="14928" spans="1:3">
      <c r="A14928" s="62">
        <v>43502</v>
      </c>
      <c r="B14928">
        <v>2.8365</v>
      </c>
      <c r="C14928" t="str">
        <f t="shared" si="237"/>
        <v>2019 q1</v>
      </c>
    </row>
    <row r="14929" spans="1:3">
      <c r="A14929" s="62">
        <v>43503</v>
      </c>
      <c r="B14929">
        <v>2.8285</v>
      </c>
      <c r="C14929" t="str">
        <f t="shared" si="237"/>
        <v>2019 q1</v>
      </c>
    </row>
    <row r="14930" spans="1:3">
      <c r="A14930" s="62">
        <v>43504</v>
      </c>
      <c r="B14930">
        <v>2.8105000000000002</v>
      </c>
      <c r="C14930" t="str">
        <f t="shared" ref="C14930:C14993" si="238">YEAR(A14930)&amp;" q"&amp;ROUNDUP(MONTH(A14930)/3,0)</f>
        <v>2019 q1</v>
      </c>
    </row>
    <row r="14931" spans="1:3">
      <c r="A14931" s="62">
        <v>43507</v>
      </c>
      <c r="B14931">
        <v>2.79</v>
      </c>
      <c r="C14931" t="str">
        <f t="shared" si="238"/>
        <v>2019 q1</v>
      </c>
    </row>
    <row r="14932" spans="1:3">
      <c r="A14932" s="62">
        <v>43508</v>
      </c>
      <c r="B14932">
        <v>2.7719999999999998</v>
      </c>
      <c r="C14932" t="str">
        <f t="shared" si="238"/>
        <v>2019 q1</v>
      </c>
    </row>
    <row r="14933" spans="1:3">
      <c r="A14933" s="62">
        <v>43509</v>
      </c>
      <c r="B14933">
        <v>2.7730000000000001</v>
      </c>
      <c r="C14933" t="str">
        <f t="shared" si="238"/>
        <v>2019 q1</v>
      </c>
    </row>
    <row r="14934" spans="1:3">
      <c r="A14934" s="62">
        <v>43510</v>
      </c>
      <c r="B14934">
        <v>2.774</v>
      </c>
      <c r="C14934" t="str">
        <f t="shared" si="238"/>
        <v>2019 q1</v>
      </c>
    </row>
    <row r="14935" spans="1:3">
      <c r="A14935" s="62">
        <v>43511</v>
      </c>
      <c r="B14935">
        <v>2.7985000000000002</v>
      </c>
      <c r="C14935" t="str">
        <f t="shared" si="238"/>
        <v>2019 q1</v>
      </c>
    </row>
    <row r="14936" spans="1:3">
      <c r="A14936" s="62">
        <v>43515</v>
      </c>
      <c r="B14936">
        <v>2.8744999999999998</v>
      </c>
      <c r="C14936" t="str">
        <f t="shared" si="238"/>
        <v>2019 q1</v>
      </c>
    </row>
    <row r="14937" spans="1:3">
      <c r="A14937" s="62">
        <v>43516</v>
      </c>
      <c r="B14937">
        <v>2.92</v>
      </c>
      <c r="C14937" t="str">
        <f t="shared" si="238"/>
        <v>2019 q1</v>
      </c>
    </row>
    <row r="14938" spans="1:3">
      <c r="A14938" s="62">
        <v>43517</v>
      </c>
      <c r="B14938">
        <v>2.8969999999999998</v>
      </c>
      <c r="C14938" t="str">
        <f t="shared" si="238"/>
        <v>2019 q1</v>
      </c>
    </row>
    <row r="14939" spans="1:3">
      <c r="A14939" s="62">
        <v>43518</v>
      </c>
      <c r="B14939">
        <v>2.9514999999999998</v>
      </c>
      <c r="C14939" t="str">
        <f t="shared" si="238"/>
        <v>2019 q1</v>
      </c>
    </row>
    <row r="14940" spans="1:3">
      <c r="A14940" s="62">
        <v>43521</v>
      </c>
      <c r="B14940">
        <v>2.9458000000000002</v>
      </c>
      <c r="C14940" t="str">
        <f t="shared" si="238"/>
        <v>2019 q1</v>
      </c>
    </row>
    <row r="14941" spans="1:3">
      <c r="A14941" s="62">
        <v>43522</v>
      </c>
      <c r="B14941">
        <v>2.9472</v>
      </c>
      <c r="C14941" t="str">
        <f t="shared" si="238"/>
        <v>2019 q1</v>
      </c>
    </row>
    <row r="14942" spans="1:3">
      <c r="A14942" s="62">
        <v>43523</v>
      </c>
      <c r="B14942">
        <v>2.9611000000000001</v>
      </c>
      <c r="C14942" t="str">
        <f t="shared" si="238"/>
        <v>2019 q1</v>
      </c>
    </row>
    <row r="14943" spans="1:3">
      <c r="A14943" s="62">
        <v>43524</v>
      </c>
      <c r="B14943">
        <v>2.9483999999999999</v>
      </c>
      <c r="C14943" t="str">
        <f t="shared" si="238"/>
        <v>2019 q1</v>
      </c>
    </row>
    <row r="14944" spans="1:3">
      <c r="A14944" s="62">
        <v>43525</v>
      </c>
      <c r="B14944">
        <v>2.9319999999999999</v>
      </c>
      <c r="C14944" t="str">
        <f t="shared" si="238"/>
        <v>2019 q1</v>
      </c>
    </row>
    <row r="14945" spans="1:3">
      <c r="A14945" s="62">
        <v>43528</v>
      </c>
      <c r="B14945">
        <v>2.9089999999999998</v>
      </c>
      <c r="C14945" t="str">
        <f t="shared" si="238"/>
        <v>2019 q1</v>
      </c>
    </row>
    <row r="14946" spans="1:3">
      <c r="A14946" s="62">
        <v>43529</v>
      </c>
      <c r="B14946">
        <v>2.9335</v>
      </c>
      <c r="C14946" t="str">
        <f t="shared" si="238"/>
        <v>2019 q1</v>
      </c>
    </row>
    <row r="14947" spans="1:3">
      <c r="A14947" s="62">
        <v>43530</v>
      </c>
      <c r="B14947">
        <v>2.9184999999999999</v>
      </c>
      <c r="C14947" t="str">
        <f t="shared" si="238"/>
        <v>2019 q1</v>
      </c>
    </row>
    <row r="14948" spans="1:3">
      <c r="A14948" s="62">
        <v>43531</v>
      </c>
      <c r="B14948">
        <v>2.9104999999999999</v>
      </c>
      <c r="C14948" t="str">
        <f t="shared" si="238"/>
        <v>2019 q1</v>
      </c>
    </row>
    <row r="14949" spans="1:3">
      <c r="A14949" s="62">
        <v>43532</v>
      </c>
      <c r="B14949">
        <v>2.8935</v>
      </c>
      <c r="C14949" t="str">
        <f t="shared" si="238"/>
        <v>2019 q1</v>
      </c>
    </row>
    <row r="14950" spans="1:3">
      <c r="A14950" s="62">
        <v>43535</v>
      </c>
      <c r="B14950">
        <v>2.9009999999999998</v>
      </c>
      <c r="C14950" t="str">
        <f t="shared" si="238"/>
        <v>2019 q1</v>
      </c>
    </row>
    <row r="14951" spans="1:3">
      <c r="A14951" s="62">
        <v>43536</v>
      </c>
      <c r="B14951">
        <v>2.9285000000000001</v>
      </c>
      <c r="C14951" t="str">
        <f t="shared" si="238"/>
        <v>2019 q1</v>
      </c>
    </row>
    <row r="14952" spans="1:3">
      <c r="A14952" s="62">
        <v>43537</v>
      </c>
      <c r="B14952">
        <v>2.9355000000000002</v>
      </c>
      <c r="C14952" t="str">
        <f t="shared" si="238"/>
        <v>2019 q1</v>
      </c>
    </row>
    <row r="14953" spans="1:3">
      <c r="A14953" s="62">
        <v>43538</v>
      </c>
      <c r="B14953">
        <v>2.8915000000000002</v>
      </c>
      <c r="C14953" t="str">
        <f t="shared" si="238"/>
        <v>2019 q1</v>
      </c>
    </row>
    <row r="14954" spans="1:3">
      <c r="A14954" s="62">
        <v>43539</v>
      </c>
      <c r="B14954">
        <v>2.9060000000000001</v>
      </c>
      <c r="C14954" t="str">
        <f t="shared" si="238"/>
        <v>2019 q1</v>
      </c>
    </row>
    <row r="14955" spans="1:3">
      <c r="A14955" s="62">
        <v>43542</v>
      </c>
      <c r="B14955">
        <v>2.9089999999999998</v>
      </c>
      <c r="C14955" t="str">
        <f t="shared" si="238"/>
        <v>2019 q1</v>
      </c>
    </row>
    <row r="14956" spans="1:3">
      <c r="A14956" s="62">
        <v>43543</v>
      </c>
      <c r="B14956">
        <v>2.923</v>
      </c>
      <c r="C14956" t="str">
        <f t="shared" si="238"/>
        <v>2019 q1</v>
      </c>
    </row>
    <row r="14957" spans="1:3">
      <c r="A14957" s="62">
        <v>43544</v>
      </c>
      <c r="B14957">
        <v>2.9209999999999998</v>
      </c>
      <c r="C14957" t="str">
        <f t="shared" si="238"/>
        <v>2019 q1</v>
      </c>
    </row>
    <row r="14958" spans="1:3">
      <c r="A14958" s="62">
        <v>43545</v>
      </c>
      <c r="B14958">
        <v>2.9060000000000001</v>
      </c>
      <c r="C14958" t="str">
        <f t="shared" si="238"/>
        <v>2019 q1</v>
      </c>
    </row>
    <row r="14959" spans="1:3">
      <c r="A14959" s="62">
        <v>43546</v>
      </c>
      <c r="B14959">
        <v>2.8424999999999998</v>
      </c>
      <c r="C14959" t="str">
        <f t="shared" si="238"/>
        <v>2019 q1</v>
      </c>
    </row>
    <row r="14960" spans="1:3">
      <c r="A14960" s="62">
        <v>43549</v>
      </c>
      <c r="B14960">
        <v>2.8565</v>
      </c>
      <c r="C14960" t="str">
        <f t="shared" si="238"/>
        <v>2019 q1</v>
      </c>
    </row>
    <row r="14961" spans="1:3">
      <c r="A14961" s="62">
        <v>43550</v>
      </c>
      <c r="B14961">
        <v>2.8540000000000001</v>
      </c>
      <c r="C14961" t="str">
        <f t="shared" si="238"/>
        <v>2019 q1</v>
      </c>
    </row>
    <row r="14962" spans="1:3">
      <c r="A14962" s="62">
        <v>43551</v>
      </c>
      <c r="B14962">
        <v>2.863</v>
      </c>
      <c r="C14962" t="str">
        <f t="shared" si="238"/>
        <v>2019 q1</v>
      </c>
    </row>
    <row r="14963" spans="1:3">
      <c r="A14963" s="62">
        <v>43552</v>
      </c>
      <c r="B14963">
        <v>2.8725000000000001</v>
      </c>
      <c r="C14963" t="str">
        <f t="shared" si="238"/>
        <v>2019 q1</v>
      </c>
    </row>
    <row r="14964" spans="1:3">
      <c r="A14964" s="62">
        <v>43553</v>
      </c>
      <c r="B14964">
        <v>2.9359999999999999</v>
      </c>
      <c r="C14964" t="str">
        <f t="shared" si="238"/>
        <v>2019 q1</v>
      </c>
    </row>
    <row r="14965" spans="1:3">
      <c r="A14965" s="62">
        <v>43556</v>
      </c>
      <c r="B14965">
        <v>2.9245000000000001</v>
      </c>
      <c r="C14965" t="str">
        <f t="shared" si="238"/>
        <v>2019 q2</v>
      </c>
    </row>
    <row r="14966" spans="1:3">
      <c r="A14966" s="62">
        <v>43557</v>
      </c>
      <c r="B14966">
        <v>2.9055</v>
      </c>
      <c r="C14966" t="str">
        <f t="shared" si="238"/>
        <v>2019 q2</v>
      </c>
    </row>
    <row r="14967" spans="1:3">
      <c r="A14967" s="62">
        <v>43558</v>
      </c>
      <c r="B14967">
        <v>2.9485000000000001</v>
      </c>
      <c r="C14967" t="str">
        <f t="shared" si="238"/>
        <v>2019 q2</v>
      </c>
    </row>
    <row r="14968" spans="1:3">
      <c r="A14968" s="62">
        <v>43559</v>
      </c>
      <c r="B14968">
        <v>2.91</v>
      </c>
      <c r="C14968" t="str">
        <f t="shared" si="238"/>
        <v>2019 q2</v>
      </c>
    </row>
    <row r="14969" spans="1:3">
      <c r="A14969" s="62">
        <v>43560</v>
      </c>
      <c r="B14969">
        <v>2.8944999999999999</v>
      </c>
      <c r="C14969" t="str">
        <f t="shared" si="238"/>
        <v>2019 q2</v>
      </c>
    </row>
    <row r="14970" spans="1:3">
      <c r="A14970" s="62">
        <v>43563</v>
      </c>
      <c r="B14970">
        <v>2.9319999999999999</v>
      </c>
      <c r="C14970" t="str">
        <f t="shared" si="238"/>
        <v>2019 q2</v>
      </c>
    </row>
    <row r="14971" spans="1:3">
      <c r="A14971" s="62">
        <v>43564</v>
      </c>
      <c r="B14971">
        <v>2.9340000000000002</v>
      </c>
      <c r="C14971" t="str">
        <f t="shared" si="238"/>
        <v>2019 q2</v>
      </c>
    </row>
    <row r="14972" spans="1:3">
      <c r="A14972" s="62">
        <v>43565</v>
      </c>
      <c r="B14972">
        <v>2.9255</v>
      </c>
      <c r="C14972" t="str">
        <f t="shared" si="238"/>
        <v>2019 q2</v>
      </c>
    </row>
    <row r="14973" spans="1:3">
      <c r="A14973" s="62">
        <v>43566</v>
      </c>
      <c r="B14973">
        <v>2.887</v>
      </c>
      <c r="C14973" t="str">
        <f t="shared" si="238"/>
        <v>2019 q2</v>
      </c>
    </row>
    <row r="14974" spans="1:3">
      <c r="A14974" s="62">
        <v>43567</v>
      </c>
      <c r="B14974">
        <v>2.9460000000000002</v>
      </c>
      <c r="C14974" t="str">
        <f t="shared" si="238"/>
        <v>2019 q2</v>
      </c>
    </row>
    <row r="14975" spans="1:3">
      <c r="A14975" s="62">
        <v>43570</v>
      </c>
      <c r="B14975">
        <v>2.9350000000000001</v>
      </c>
      <c r="C14975" t="str">
        <f t="shared" si="238"/>
        <v>2019 q2</v>
      </c>
    </row>
    <row r="14976" spans="1:3">
      <c r="A14976" s="62">
        <v>43571</v>
      </c>
      <c r="B14976">
        <v>2.9304999999999999</v>
      </c>
      <c r="C14976" t="str">
        <f t="shared" si="238"/>
        <v>2019 q2</v>
      </c>
    </row>
    <row r="14977" spans="1:3">
      <c r="A14977" s="62">
        <v>43572</v>
      </c>
      <c r="B14977">
        <v>2.9674999999999998</v>
      </c>
      <c r="C14977" t="str">
        <f t="shared" si="238"/>
        <v>2019 q2</v>
      </c>
    </row>
    <row r="14978" spans="1:3">
      <c r="A14978" s="62">
        <v>43573</v>
      </c>
      <c r="B14978">
        <v>2.92</v>
      </c>
      <c r="C14978" t="str">
        <f t="shared" si="238"/>
        <v>2019 q2</v>
      </c>
    </row>
    <row r="14979" spans="1:3">
      <c r="A14979" s="62">
        <v>43577</v>
      </c>
      <c r="B14979">
        <v>2.9015</v>
      </c>
      <c r="C14979" t="str">
        <f t="shared" si="238"/>
        <v>2019 q2</v>
      </c>
    </row>
    <row r="14980" spans="1:3">
      <c r="A14980" s="62">
        <v>43578</v>
      </c>
      <c r="B14980">
        <v>2.8935</v>
      </c>
      <c r="C14980" t="str">
        <f t="shared" si="238"/>
        <v>2019 q2</v>
      </c>
    </row>
    <row r="14981" spans="1:3">
      <c r="A14981" s="62">
        <v>43579</v>
      </c>
      <c r="B14981">
        <v>2.91</v>
      </c>
      <c r="C14981" t="str">
        <f t="shared" si="238"/>
        <v>2019 q2</v>
      </c>
    </row>
    <row r="14982" spans="1:3">
      <c r="A14982" s="62">
        <v>43580</v>
      </c>
      <c r="B14982">
        <v>2.8626999999999998</v>
      </c>
      <c r="C14982" t="str">
        <f t="shared" si="238"/>
        <v>2019 q2</v>
      </c>
    </row>
    <row r="14983" spans="1:3">
      <c r="A14983" s="62">
        <v>43581</v>
      </c>
      <c r="B14983">
        <v>2.8895</v>
      </c>
      <c r="C14983" t="str">
        <f t="shared" si="238"/>
        <v>2019 q2</v>
      </c>
    </row>
    <row r="14984" spans="1:3">
      <c r="A14984" s="62">
        <v>43584</v>
      </c>
      <c r="B14984">
        <v>2.8961999999999999</v>
      </c>
      <c r="C14984" t="str">
        <f t="shared" si="238"/>
        <v>2019 q2</v>
      </c>
    </row>
    <row r="14985" spans="1:3">
      <c r="A14985" s="62">
        <v>43585</v>
      </c>
      <c r="B14985">
        <v>2.9035000000000002</v>
      </c>
      <c r="C14985" t="str">
        <f t="shared" si="238"/>
        <v>2019 q2</v>
      </c>
    </row>
    <row r="14986" spans="1:3">
      <c r="A14986" s="62">
        <v>43586</v>
      </c>
      <c r="B14986">
        <v>2.8014999999999999</v>
      </c>
      <c r="C14986" t="str">
        <f t="shared" si="238"/>
        <v>2019 q2</v>
      </c>
    </row>
    <row r="14987" spans="1:3">
      <c r="A14987" s="62">
        <v>43587</v>
      </c>
      <c r="B14987">
        <v>2.7795000000000001</v>
      </c>
      <c r="C14987" t="str">
        <f t="shared" si="238"/>
        <v>2019 q2</v>
      </c>
    </row>
    <row r="14988" spans="1:3">
      <c r="A14988" s="62">
        <v>43588</v>
      </c>
      <c r="B14988">
        <v>2.819</v>
      </c>
      <c r="C14988" t="str">
        <f t="shared" si="238"/>
        <v>2019 q2</v>
      </c>
    </row>
    <row r="14989" spans="1:3">
      <c r="A14989" s="62">
        <v>43591</v>
      </c>
      <c r="B14989">
        <v>2.8294999999999999</v>
      </c>
      <c r="C14989" t="str">
        <f t="shared" si="238"/>
        <v>2019 q2</v>
      </c>
    </row>
    <row r="14990" spans="1:3">
      <c r="A14990" s="62">
        <v>43592</v>
      </c>
      <c r="B14990">
        <v>2.7854999999999999</v>
      </c>
      <c r="C14990" t="str">
        <f t="shared" si="238"/>
        <v>2019 q2</v>
      </c>
    </row>
    <row r="14991" spans="1:3">
      <c r="A14991" s="62">
        <v>43593</v>
      </c>
      <c r="B14991">
        <v>2.7745000000000002</v>
      </c>
      <c r="C14991" t="str">
        <f t="shared" si="238"/>
        <v>2019 q2</v>
      </c>
    </row>
    <row r="14992" spans="1:3">
      <c r="A14992" s="62">
        <v>43594</v>
      </c>
      <c r="B14992">
        <v>2.7715000000000001</v>
      </c>
      <c r="C14992" t="str">
        <f t="shared" si="238"/>
        <v>2019 q2</v>
      </c>
    </row>
    <row r="14993" spans="1:3">
      <c r="A14993" s="62">
        <v>43595</v>
      </c>
      <c r="B14993">
        <v>2.7745000000000002</v>
      </c>
      <c r="C14993" t="str">
        <f t="shared" si="238"/>
        <v>2019 q2</v>
      </c>
    </row>
    <row r="14994" spans="1:3">
      <c r="A14994" s="62">
        <v>43598</v>
      </c>
      <c r="B14994">
        <v>2.7189999999999999</v>
      </c>
      <c r="C14994" t="str">
        <f t="shared" ref="C14994:C15057" si="239">YEAR(A14994)&amp;" q"&amp;ROUNDUP(MONTH(A14994)/3,0)</f>
        <v>2019 q2</v>
      </c>
    </row>
    <row r="14995" spans="1:3">
      <c r="A14995" s="62">
        <v>43599</v>
      </c>
      <c r="B14995">
        <v>2.7250000000000001</v>
      </c>
      <c r="C14995" t="str">
        <f t="shared" si="239"/>
        <v>2019 q2</v>
      </c>
    </row>
    <row r="14996" spans="1:3">
      <c r="A14996" s="62">
        <v>43600</v>
      </c>
      <c r="B14996">
        <v>2.7429999999999999</v>
      </c>
      <c r="C14996" t="str">
        <f t="shared" si="239"/>
        <v>2019 q2</v>
      </c>
    </row>
    <row r="14997" spans="1:3">
      <c r="A14997" s="62">
        <v>43601</v>
      </c>
      <c r="B14997">
        <v>2.7480000000000002</v>
      </c>
      <c r="C14997" t="str">
        <f t="shared" si="239"/>
        <v>2019 q2</v>
      </c>
    </row>
    <row r="14998" spans="1:3">
      <c r="A14998" s="62">
        <v>43602</v>
      </c>
      <c r="B14998">
        <v>2.7385000000000002</v>
      </c>
      <c r="C14998" t="str">
        <f t="shared" si="239"/>
        <v>2019 q2</v>
      </c>
    </row>
    <row r="14999" spans="1:3">
      <c r="A14999" s="62">
        <v>43605</v>
      </c>
      <c r="B14999">
        <v>2.726</v>
      </c>
      <c r="C14999" t="str">
        <f t="shared" si="239"/>
        <v>2019 q2</v>
      </c>
    </row>
    <row r="15000" spans="1:3">
      <c r="A15000" s="62">
        <v>43606</v>
      </c>
      <c r="B15000">
        <v>2.7149999999999999</v>
      </c>
      <c r="C15000" t="str">
        <f t="shared" si="239"/>
        <v>2019 q2</v>
      </c>
    </row>
    <row r="15001" spans="1:3">
      <c r="A15001" s="62">
        <v>43607</v>
      </c>
      <c r="B15001">
        <v>2.6779999999999999</v>
      </c>
      <c r="C15001" t="str">
        <f t="shared" si="239"/>
        <v>2019 q2</v>
      </c>
    </row>
    <row r="15002" spans="1:3">
      <c r="A15002" s="62">
        <v>43608</v>
      </c>
      <c r="B15002">
        <v>2.6804999999999999</v>
      </c>
      <c r="C15002" t="str">
        <f t="shared" si="239"/>
        <v>2019 q2</v>
      </c>
    </row>
    <row r="15003" spans="1:3">
      <c r="A15003" s="62">
        <v>43609</v>
      </c>
      <c r="B15003">
        <v>2.6995</v>
      </c>
      <c r="C15003" t="str">
        <f t="shared" si="239"/>
        <v>2019 q2</v>
      </c>
    </row>
    <row r="15004" spans="1:3">
      <c r="A15004" s="62">
        <v>43613</v>
      </c>
      <c r="B15004">
        <v>2.6960000000000002</v>
      </c>
      <c r="C15004" t="str">
        <f t="shared" si="239"/>
        <v>2019 q2</v>
      </c>
    </row>
    <row r="15005" spans="1:3">
      <c r="A15005" s="62">
        <v>43614</v>
      </c>
      <c r="B15005">
        <v>2.6640000000000001</v>
      </c>
      <c r="C15005" t="str">
        <f t="shared" si="239"/>
        <v>2019 q2</v>
      </c>
    </row>
    <row r="15006" spans="1:3">
      <c r="A15006" s="62">
        <v>43615</v>
      </c>
      <c r="B15006">
        <v>2.6539999999999999</v>
      </c>
      <c r="C15006" t="str">
        <f t="shared" si="239"/>
        <v>2019 q2</v>
      </c>
    </row>
    <row r="15007" spans="1:3">
      <c r="A15007" s="62">
        <v>43616</v>
      </c>
      <c r="B15007">
        <v>2.64</v>
      </c>
      <c r="C15007" t="str">
        <f t="shared" si="239"/>
        <v>2019 q2</v>
      </c>
    </row>
    <row r="15008" spans="1:3">
      <c r="A15008" s="62">
        <v>43619</v>
      </c>
      <c r="B15008">
        <v>2.65</v>
      </c>
      <c r="C15008" t="str">
        <f t="shared" si="239"/>
        <v>2019 q2</v>
      </c>
    </row>
    <row r="15009" spans="1:3">
      <c r="A15009" s="62">
        <v>43620</v>
      </c>
      <c r="B15009">
        <v>2.669</v>
      </c>
      <c r="C15009" t="str">
        <f t="shared" si="239"/>
        <v>2019 q2</v>
      </c>
    </row>
    <row r="15010" spans="1:3">
      <c r="A15010" s="62">
        <v>43621</v>
      </c>
      <c r="B15010">
        <v>2.6230000000000002</v>
      </c>
      <c r="C15010" t="str">
        <f t="shared" si="239"/>
        <v>2019 q2</v>
      </c>
    </row>
    <row r="15011" spans="1:3">
      <c r="A15011" s="62">
        <v>43622</v>
      </c>
      <c r="B15011">
        <v>2.6505000000000001</v>
      </c>
      <c r="C15011" t="str">
        <f t="shared" si="239"/>
        <v>2019 q2</v>
      </c>
    </row>
    <row r="15012" spans="1:3">
      <c r="A15012" s="62">
        <v>43623</v>
      </c>
      <c r="B15012">
        <v>2.6274999999999999</v>
      </c>
      <c r="C15012" t="str">
        <f t="shared" si="239"/>
        <v>2019 q2</v>
      </c>
    </row>
    <row r="15013" spans="1:3">
      <c r="A15013" s="62">
        <v>43626</v>
      </c>
      <c r="B15013">
        <v>2.6615000000000002</v>
      </c>
      <c r="C15013" t="str">
        <f t="shared" si="239"/>
        <v>2019 q2</v>
      </c>
    </row>
    <row r="15014" spans="1:3">
      <c r="A15014" s="62">
        <v>43627</v>
      </c>
      <c r="B15014">
        <v>2.6715</v>
      </c>
      <c r="C15014" t="str">
        <f t="shared" si="239"/>
        <v>2019 q2</v>
      </c>
    </row>
    <row r="15015" spans="1:3">
      <c r="A15015" s="62">
        <v>43628</v>
      </c>
      <c r="B15015">
        <v>2.6539999999999999</v>
      </c>
      <c r="C15015" t="str">
        <f t="shared" si="239"/>
        <v>2019 q2</v>
      </c>
    </row>
    <row r="15016" spans="1:3">
      <c r="A15016" s="62">
        <v>43629</v>
      </c>
      <c r="B15016">
        <v>2.6564999999999999</v>
      </c>
      <c r="C15016" t="str">
        <f t="shared" si="239"/>
        <v>2019 q2</v>
      </c>
    </row>
    <row r="15017" spans="1:3">
      <c r="A15017" s="62">
        <v>43630</v>
      </c>
      <c r="B15017">
        <v>2.6295000000000002</v>
      </c>
      <c r="C15017" t="str">
        <f t="shared" si="239"/>
        <v>2019 q2</v>
      </c>
    </row>
    <row r="15018" spans="1:3">
      <c r="A15018" s="62">
        <v>43633</v>
      </c>
      <c r="B15018">
        <v>2.6465000000000001</v>
      </c>
      <c r="C15018" t="str">
        <f t="shared" si="239"/>
        <v>2019 q2</v>
      </c>
    </row>
    <row r="15019" spans="1:3">
      <c r="A15019" s="62">
        <v>43634</v>
      </c>
      <c r="B15019">
        <v>2.7029999999999998</v>
      </c>
      <c r="C15019" t="str">
        <f t="shared" si="239"/>
        <v>2019 q2</v>
      </c>
    </row>
    <row r="15020" spans="1:3">
      <c r="A15020" s="62">
        <v>43635</v>
      </c>
      <c r="B15020">
        <v>2.6804999999999999</v>
      </c>
      <c r="C15020" t="str">
        <f t="shared" si="239"/>
        <v>2019 q2</v>
      </c>
    </row>
    <row r="15021" spans="1:3">
      <c r="A15021" s="62">
        <v>43636</v>
      </c>
      <c r="B15021">
        <v>2.7120000000000002</v>
      </c>
      <c r="C15021" t="str">
        <f t="shared" si="239"/>
        <v>2019 q2</v>
      </c>
    </row>
    <row r="15022" spans="1:3">
      <c r="A15022" s="62">
        <v>43637</v>
      </c>
      <c r="B15022">
        <v>2.7044999999999999</v>
      </c>
      <c r="C15022" t="str">
        <f t="shared" si="239"/>
        <v>2019 q2</v>
      </c>
    </row>
    <row r="15023" spans="1:3">
      <c r="A15023" s="62">
        <v>43640</v>
      </c>
      <c r="B15023">
        <v>2.7054999999999998</v>
      </c>
      <c r="C15023" t="str">
        <f t="shared" si="239"/>
        <v>2019 q2</v>
      </c>
    </row>
    <row r="15024" spans="1:3">
      <c r="A15024" s="62">
        <v>43641</v>
      </c>
      <c r="B15024">
        <v>2.7353999999999998</v>
      </c>
      <c r="C15024" t="str">
        <f t="shared" si="239"/>
        <v>2019 q2</v>
      </c>
    </row>
    <row r="15025" spans="1:3">
      <c r="A15025" s="62">
        <v>43642</v>
      </c>
      <c r="B15025">
        <v>2.7143000000000002</v>
      </c>
      <c r="C15025" t="str">
        <f t="shared" si="239"/>
        <v>2019 q2</v>
      </c>
    </row>
    <row r="15026" spans="1:3">
      <c r="A15026" s="62">
        <v>43643</v>
      </c>
      <c r="B15026">
        <v>2.7149000000000001</v>
      </c>
      <c r="C15026" t="str">
        <f t="shared" si="239"/>
        <v>2019 q2</v>
      </c>
    </row>
    <row r="15027" spans="1:3">
      <c r="A15027" s="62">
        <v>43644</v>
      </c>
      <c r="B15027">
        <v>2.7119</v>
      </c>
      <c r="C15027" t="str">
        <f t="shared" si="239"/>
        <v>2019 q2</v>
      </c>
    </row>
    <row r="15028" spans="1:3">
      <c r="A15028" s="62">
        <v>43647</v>
      </c>
      <c r="B15028">
        <v>2.6880000000000002</v>
      </c>
      <c r="C15028" t="str">
        <f t="shared" si="239"/>
        <v>2019 q3</v>
      </c>
    </row>
    <row r="15029" spans="1:3">
      <c r="A15029" s="62">
        <v>43648</v>
      </c>
      <c r="B15029">
        <v>2.6640000000000001</v>
      </c>
      <c r="C15029" t="str">
        <f t="shared" si="239"/>
        <v>2019 q3</v>
      </c>
    </row>
    <row r="15030" spans="1:3">
      <c r="A15030" s="62">
        <v>43649</v>
      </c>
      <c r="B15030">
        <v>2.6829999999999998</v>
      </c>
      <c r="C15030" t="str">
        <f t="shared" si="239"/>
        <v>2019 q3</v>
      </c>
    </row>
    <row r="15031" spans="1:3">
      <c r="A15031" s="62">
        <v>43651</v>
      </c>
      <c r="B15031">
        <v>2.661</v>
      </c>
      <c r="C15031" t="str">
        <f t="shared" si="239"/>
        <v>2019 q3</v>
      </c>
    </row>
    <row r="15032" spans="1:3">
      <c r="A15032" s="62">
        <v>43654</v>
      </c>
      <c r="B15032">
        <v>2.6589999999999998</v>
      </c>
      <c r="C15032" t="str">
        <f t="shared" si="239"/>
        <v>2019 q3</v>
      </c>
    </row>
    <row r="15033" spans="1:3">
      <c r="A15033" s="62">
        <v>43655</v>
      </c>
      <c r="B15033">
        <v>2.625</v>
      </c>
      <c r="C15033" t="str">
        <f t="shared" si="239"/>
        <v>2019 q3</v>
      </c>
    </row>
    <row r="15034" spans="1:3">
      <c r="A15034" s="62">
        <v>43656</v>
      </c>
      <c r="B15034">
        <v>2.694</v>
      </c>
      <c r="C15034" t="str">
        <f t="shared" si="239"/>
        <v>2019 q3</v>
      </c>
    </row>
    <row r="15035" spans="1:3">
      <c r="A15035" s="62">
        <v>43657</v>
      </c>
      <c r="B15035">
        <v>2.6875</v>
      </c>
      <c r="C15035" t="str">
        <f t="shared" si="239"/>
        <v>2019 q3</v>
      </c>
    </row>
    <row r="15036" spans="1:3">
      <c r="A15036" s="62">
        <v>43658</v>
      </c>
      <c r="B15036">
        <v>2.694</v>
      </c>
      <c r="C15036" t="str">
        <f t="shared" si="239"/>
        <v>2019 q3</v>
      </c>
    </row>
    <row r="15037" spans="1:3">
      <c r="A15037" s="62">
        <v>43661</v>
      </c>
      <c r="B15037">
        <v>2.7109999999999999</v>
      </c>
      <c r="C15037" t="str">
        <f t="shared" si="239"/>
        <v>2019 q3</v>
      </c>
    </row>
    <row r="15038" spans="1:3">
      <c r="A15038" s="62">
        <v>43662</v>
      </c>
      <c r="B15038">
        <v>2.7</v>
      </c>
      <c r="C15038" t="str">
        <f t="shared" si="239"/>
        <v>2019 q3</v>
      </c>
    </row>
    <row r="15039" spans="1:3">
      <c r="A15039" s="62">
        <v>43663</v>
      </c>
      <c r="B15039">
        <v>2.7160000000000002</v>
      </c>
      <c r="C15039" t="str">
        <f t="shared" si="239"/>
        <v>2019 q3</v>
      </c>
    </row>
    <row r="15040" spans="1:3">
      <c r="A15040" s="62">
        <v>43664</v>
      </c>
      <c r="B15040">
        <v>2.71</v>
      </c>
      <c r="C15040" t="str">
        <f t="shared" si="239"/>
        <v>2019 q3</v>
      </c>
    </row>
    <row r="15041" spans="1:3">
      <c r="A15041" s="62">
        <v>43665</v>
      </c>
      <c r="B15041">
        <v>2.7524999999999999</v>
      </c>
      <c r="C15041" t="str">
        <f t="shared" si="239"/>
        <v>2019 q3</v>
      </c>
    </row>
    <row r="15042" spans="1:3">
      <c r="A15042" s="62">
        <v>43668</v>
      </c>
      <c r="B15042">
        <v>2.722</v>
      </c>
      <c r="C15042" t="str">
        <f t="shared" si="239"/>
        <v>2019 q3</v>
      </c>
    </row>
    <row r="15043" spans="1:3">
      <c r="A15043" s="62">
        <v>43669</v>
      </c>
      <c r="B15043">
        <v>2.7</v>
      </c>
      <c r="C15043" t="str">
        <f t="shared" si="239"/>
        <v>2019 q3</v>
      </c>
    </row>
    <row r="15044" spans="1:3">
      <c r="A15044" s="62">
        <v>43670</v>
      </c>
      <c r="B15044">
        <v>2.7120000000000002</v>
      </c>
      <c r="C15044" t="str">
        <f t="shared" si="239"/>
        <v>2019 q3</v>
      </c>
    </row>
    <row r="15045" spans="1:3">
      <c r="A15045" s="62">
        <v>43671</v>
      </c>
      <c r="B15045">
        <v>2.7035</v>
      </c>
      <c r="C15045" t="str">
        <f t="shared" si="239"/>
        <v>2019 q3</v>
      </c>
    </row>
    <row r="15046" spans="1:3">
      <c r="A15046" s="62">
        <v>43672</v>
      </c>
      <c r="B15046">
        <v>2.6850000000000001</v>
      </c>
      <c r="C15046" t="str">
        <f t="shared" si="239"/>
        <v>2019 q3</v>
      </c>
    </row>
    <row r="15047" spans="1:3">
      <c r="A15047" s="62">
        <v>43675</v>
      </c>
      <c r="B15047">
        <v>2.7174999999999998</v>
      </c>
      <c r="C15047" t="str">
        <f t="shared" si="239"/>
        <v>2019 q3</v>
      </c>
    </row>
    <row r="15048" spans="1:3">
      <c r="A15048" s="62">
        <v>43676</v>
      </c>
      <c r="B15048">
        <v>2.6785000000000001</v>
      </c>
      <c r="C15048" t="str">
        <f t="shared" si="239"/>
        <v>2019 q3</v>
      </c>
    </row>
    <row r="15049" spans="1:3">
      <c r="A15049" s="62">
        <v>43677</v>
      </c>
      <c r="B15049">
        <v>2.6659999999999999</v>
      </c>
      <c r="C15049" t="str">
        <f t="shared" si="239"/>
        <v>2019 q3</v>
      </c>
    </row>
    <row r="15050" spans="1:3">
      <c r="A15050" s="62">
        <v>43678</v>
      </c>
      <c r="B15050">
        <v>2.6655000000000002</v>
      </c>
      <c r="C15050" t="str">
        <f t="shared" si="239"/>
        <v>2019 q3</v>
      </c>
    </row>
    <row r="15051" spans="1:3">
      <c r="A15051" s="62">
        <v>43679</v>
      </c>
      <c r="B15051">
        <v>2.5714999999999999</v>
      </c>
      <c r="C15051" t="str">
        <f t="shared" si="239"/>
        <v>2019 q3</v>
      </c>
    </row>
    <row r="15052" spans="1:3">
      <c r="A15052" s="62">
        <v>43682</v>
      </c>
      <c r="B15052">
        <v>2.544</v>
      </c>
      <c r="C15052" t="str">
        <f t="shared" si="239"/>
        <v>2019 q3</v>
      </c>
    </row>
    <row r="15053" spans="1:3">
      <c r="A15053" s="62">
        <v>43683</v>
      </c>
      <c r="B15053">
        <v>2.5575000000000001</v>
      </c>
      <c r="C15053" t="str">
        <f t="shared" si="239"/>
        <v>2019 q3</v>
      </c>
    </row>
    <row r="15054" spans="1:3">
      <c r="A15054" s="62">
        <v>43684</v>
      </c>
      <c r="B15054">
        <v>2.5710000000000002</v>
      </c>
      <c r="C15054" t="str">
        <f t="shared" si="239"/>
        <v>2019 q3</v>
      </c>
    </row>
    <row r="15055" spans="1:3">
      <c r="A15055" s="62">
        <v>43685</v>
      </c>
      <c r="B15055">
        <v>2.6074999999999999</v>
      </c>
      <c r="C15055" t="str">
        <f t="shared" si="239"/>
        <v>2019 q3</v>
      </c>
    </row>
    <row r="15056" spans="1:3">
      <c r="A15056" s="62">
        <v>43686</v>
      </c>
      <c r="B15056">
        <v>2.589</v>
      </c>
      <c r="C15056" t="str">
        <f t="shared" si="239"/>
        <v>2019 q3</v>
      </c>
    </row>
    <row r="15057" spans="1:3">
      <c r="A15057" s="62">
        <v>43689</v>
      </c>
      <c r="B15057">
        <v>2.585</v>
      </c>
      <c r="C15057" t="str">
        <f t="shared" si="239"/>
        <v>2019 q3</v>
      </c>
    </row>
    <row r="15058" spans="1:3">
      <c r="A15058" s="62">
        <v>43690</v>
      </c>
      <c r="B15058">
        <v>2.63</v>
      </c>
      <c r="C15058" t="str">
        <f t="shared" ref="C15058:C15121" si="240">YEAR(A15058)&amp;" q"&amp;ROUNDUP(MONTH(A15058)/3,0)</f>
        <v>2019 q3</v>
      </c>
    </row>
    <row r="15059" spans="1:3">
      <c r="A15059" s="62">
        <v>43691</v>
      </c>
      <c r="B15059">
        <v>2.5920000000000001</v>
      </c>
      <c r="C15059" t="str">
        <f t="shared" si="240"/>
        <v>2019 q3</v>
      </c>
    </row>
    <row r="15060" spans="1:3">
      <c r="A15060" s="62">
        <v>43692</v>
      </c>
      <c r="B15060">
        <v>2.5950000000000002</v>
      </c>
      <c r="C15060" t="str">
        <f t="shared" si="240"/>
        <v>2019 q3</v>
      </c>
    </row>
    <row r="15061" spans="1:3">
      <c r="A15061" s="62">
        <v>43693</v>
      </c>
      <c r="B15061">
        <v>2.5950000000000002</v>
      </c>
      <c r="C15061" t="str">
        <f t="shared" si="240"/>
        <v>2019 q3</v>
      </c>
    </row>
    <row r="15062" spans="1:3">
      <c r="A15062" s="62">
        <v>43696</v>
      </c>
      <c r="B15062">
        <v>2.6015000000000001</v>
      </c>
      <c r="C15062" t="str">
        <f t="shared" si="240"/>
        <v>2019 q3</v>
      </c>
    </row>
    <row r="15063" spans="1:3">
      <c r="A15063" s="62">
        <v>43697</v>
      </c>
      <c r="B15063">
        <v>2.5779999999999998</v>
      </c>
      <c r="C15063" t="str">
        <f t="shared" si="240"/>
        <v>2019 q3</v>
      </c>
    </row>
    <row r="15064" spans="1:3">
      <c r="A15064" s="62">
        <v>43698</v>
      </c>
      <c r="B15064">
        <v>2.5855000000000001</v>
      </c>
      <c r="C15064" t="str">
        <f t="shared" si="240"/>
        <v>2019 q3</v>
      </c>
    </row>
    <row r="15065" spans="1:3">
      <c r="A15065" s="62">
        <v>43699</v>
      </c>
      <c r="B15065">
        <v>2.5575000000000001</v>
      </c>
      <c r="C15065" t="str">
        <f t="shared" si="240"/>
        <v>2019 q3</v>
      </c>
    </row>
    <row r="15066" spans="1:3">
      <c r="A15066" s="62">
        <v>43700</v>
      </c>
      <c r="B15066">
        <v>2.5299999999999998</v>
      </c>
      <c r="C15066" t="str">
        <f t="shared" si="240"/>
        <v>2019 q3</v>
      </c>
    </row>
    <row r="15067" spans="1:3">
      <c r="A15067" s="62">
        <v>43703</v>
      </c>
      <c r="B15067">
        <v>2.5434999999999999</v>
      </c>
      <c r="C15067" t="str">
        <f t="shared" si="240"/>
        <v>2019 q3</v>
      </c>
    </row>
    <row r="15068" spans="1:3">
      <c r="A15068" s="62">
        <v>43704</v>
      </c>
      <c r="B15068">
        <v>2.5486</v>
      </c>
      <c r="C15068" t="str">
        <f t="shared" si="240"/>
        <v>2019 q3</v>
      </c>
    </row>
    <row r="15069" spans="1:3">
      <c r="A15069" s="62">
        <v>43705</v>
      </c>
      <c r="B15069">
        <v>2.5581999999999998</v>
      </c>
      <c r="C15069" t="str">
        <f t="shared" si="240"/>
        <v>2019 q3</v>
      </c>
    </row>
    <row r="15070" spans="1:3">
      <c r="A15070" s="62">
        <v>43706</v>
      </c>
      <c r="B15070">
        <v>2.5703</v>
      </c>
      <c r="C15070" t="str">
        <f t="shared" si="240"/>
        <v>2019 q3</v>
      </c>
    </row>
    <row r="15071" spans="1:3">
      <c r="A15071" s="62">
        <v>43707</v>
      </c>
      <c r="B15071">
        <v>2.5478000000000001</v>
      </c>
      <c r="C15071" t="str">
        <f t="shared" si="240"/>
        <v>2019 q3</v>
      </c>
    </row>
    <row r="15072" spans="1:3">
      <c r="A15072" s="62">
        <v>43711</v>
      </c>
      <c r="B15072">
        <v>2.528</v>
      </c>
      <c r="C15072" t="str">
        <f t="shared" si="240"/>
        <v>2019 q3</v>
      </c>
    </row>
    <row r="15073" spans="1:3">
      <c r="A15073" s="62">
        <v>43712</v>
      </c>
      <c r="B15073">
        <v>2.5950000000000002</v>
      </c>
      <c r="C15073" t="str">
        <f t="shared" si="240"/>
        <v>2019 q3</v>
      </c>
    </row>
    <row r="15074" spans="1:3">
      <c r="A15074" s="62">
        <v>43713</v>
      </c>
      <c r="B15074">
        <v>2.6419999999999999</v>
      </c>
      <c r="C15074" t="str">
        <f t="shared" si="240"/>
        <v>2019 q3</v>
      </c>
    </row>
    <row r="15075" spans="1:3">
      <c r="A15075" s="62">
        <v>43714</v>
      </c>
      <c r="B15075">
        <v>2.6339999999999999</v>
      </c>
      <c r="C15075" t="str">
        <f t="shared" si="240"/>
        <v>2019 q3</v>
      </c>
    </row>
    <row r="15076" spans="1:3">
      <c r="A15076" s="62">
        <v>43717</v>
      </c>
      <c r="B15076">
        <v>2.6274999999999999</v>
      </c>
      <c r="C15076" t="str">
        <f t="shared" si="240"/>
        <v>2019 q3</v>
      </c>
    </row>
    <row r="15077" spans="1:3">
      <c r="A15077" s="62">
        <v>43718</v>
      </c>
      <c r="B15077">
        <v>2.6280000000000001</v>
      </c>
      <c r="C15077" t="str">
        <f t="shared" si="240"/>
        <v>2019 q3</v>
      </c>
    </row>
    <row r="15078" spans="1:3">
      <c r="A15078" s="62">
        <v>43719</v>
      </c>
      <c r="B15078">
        <v>2.6145</v>
      </c>
      <c r="C15078" t="str">
        <f t="shared" si="240"/>
        <v>2019 q3</v>
      </c>
    </row>
    <row r="15079" spans="1:3">
      <c r="A15079" s="62">
        <v>43720</v>
      </c>
      <c r="B15079">
        <v>2.6404999999999998</v>
      </c>
      <c r="C15079" t="str">
        <f t="shared" si="240"/>
        <v>2019 q3</v>
      </c>
    </row>
    <row r="15080" spans="1:3">
      <c r="A15080" s="62">
        <v>43721</v>
      </c>
      <c r="B15080">
        <v>2.6995</v>
      </c>
      <c r="C15080" t="str">
        <f t="shared" si="240"/>
        <v>2019 q3</v>
      </c>
    </row>
    <row r="15081" spans="1:3">
      <c r="A15081" s="62">
        <v>43724</v>
      </c>
      <c r="B15081">
        <v>2.6404999999999998</v>
      </c>
      <c r="C15081" t="str">
        <f t="shared" si="240"/>
        <v>2019 q3</v>
      </c>
    </row>
    <row r="15082" spans="1:3">
      <c r="A15082" s="62">
        <v>43725</v>
      </c>
      <c r="B15082">
        <v>2.6269999999999998</v>
      </c>
      <c r="C15082" t="str">
        <f t="shared" si="240"/>
        <v>2019 q3</v>
      </c>
    </row>
    <row r="15083" spans="1:3">
      <c r="A15083" s="62">
        <v>43726</v>
      </c>
      <c r="B15083">
        <v>2.613</v>
      </c>
      <c r="C15083" t="str">
        <f t="shared" si="240"/>
        <v>2019 q3</v>
      </c>
    </row>
    <row r="15084" spans="1:3">
      <c r="A15084" s="62">
        <v>43727</v>
      </c>
      <c r="B15084">
        <v>2.6084999999999998</v>
      </c>
      <c r="C15084" t="str">
        <f t="shared" si="240"/>
        <v>2019 q3</v>
      </c>
    </row>
    <row r="15085" spans="1:3">
      <c r="A15085" s="62">
        <v>43728</v>
      </c>
      <c r="B15085">
        <v>2.6065</v>
      </c>
      <c r="C15085" t="str">
        <f t="shared" si="240"/>
        <v>2019 q3</v>
      </c>
    </row>
    <row r="15086" spans="1:3">
      <c r="A15086" s="62">
        <v>43731</v>
      </c>
      <c r="B15086">
        <v>2.6114999999999999</v>
      </c>
      <c r="C15086" t="str">
        <f t="shared" si="240"/>
        <v>2019 q3</v>
      </c>
    </row>
    <row r="15087" spans="1:3">
      <c r="A15087" s="62">
        <v>43732</v>
      </c>
      <c r="B15087">
        <v>2.6065</v>
      </c>
      <c r="C15087" t="str">
        <f t="shared" si="240"/>
        <v>2019 q3</v>
      </c>
    </row>
    <row r="15088" spans="1:3">
      <c r="A15088" s="62">
        <v>43733</v>
      </c>
      <c r="B15088">
        <v>2.6120000000000001</v>
      </c>
      <c r="C15088" t="str">
        <f t="shared" si="240"/>
        <v>2019 q3</v>
      </c>
    </row>
    <row r="15089" spans="1:3">
      <c r="A15089" s="62">
        <v>43734</v>
      </c>
      <c r="B15089">
        <v>2.5775000000000001</v>
      </c>
      <c r="C15089" t="str">
        <f t="shared" si="240"/>
        <v>2019 q3</v>
      </c>
    </row>
    <row r="15090" spans="1:3">
      <c r="A15090" s="62">
        <v>43735</v>
      </c>
      <c r="B15090">
        <v>2.5975000000000001</v>
      </c>
      <c r="C15090" t="str">
        <f t="shared" si="240"/>
        <v>2019 q3</v>
      </c>
    </row>
    <row r="15091" spans="1:3">
      <c r="A15091" s="62">
        <v>43738</v>
      </c>
      <c r="B15091">
        <v>2.5785</v>
      </c>
      <c r="C15091" t="str">
        <f t="shared" si="240"/>
        <v>2019 q3</v>
      </c>
    </row>
    <row r="15092" spans="1:3">
      <c r="A15092" s="62">
        <v>43739</v>
      </c>
      <c r="B15092">
        <v>2.5605000000000002</v>
      </c>
      <c r="C15092" t="str">
        <f t="shared" si="240"/>
        <v>2019 q4</v>
      </c>
    </row>
    <row r="15093" spans="1:3">
      <c r="A15093" s="62">
        <v>43740</v>
      </c>
      <c r="B15093">
        <v>2.5705</v>
      </c>
      <c r="C15093" t="str">
        <f t="shared" si="240"/>
        <v>2019 q4</v>
      </c>
    </row>
    <row r="15094" spans="1:3">
      <c r="A15094" s="62">
        <v>43741</v>
      </c>
      <c r="B15094">
        <v>2.5535000000000001</v>
      </c>
      <c r="C15094" t="str">
        <f t="shared" si="240"/>
        <v>2019 q4</v>
      </c>
    </row>
    <row r="15095" spans="1:3">
      <c r="A15095" s="62">
        <v>43742</v>
      </c>
      <c r="B15095">
        <v>2.5625</v>
      </c>
      <c r="C15095" t="str">
        <f t="shared" si="240"/>
        <v>2019 q4</v>
      </c>
    </row>
    <row r="15096" spans="1:3">
      <c r="A15096" s="62">
        <v>43745</v>
      </c>
      <c r="B15096">
        <v>2.577</v>
      </c>
      <c r="C15096" t="str">
        <f t="shared" si="240"/>
        <v>2019 q4</v>
      </c>
    </row>
    <row r="15097" spans="1:3">
      <c r="A15097" s="62">
        <v>43746</v>
      </c>
      <c r="B15097">
        <v>2.5684999999999998</v>
      </c>
      <c r="C15097" t="str">
        <f t="shared" si="240"/>
        <v>2019 q4</v>
      </c>
    </row>
    <row r="15098" spans="1:3">
      <c r="A15098" s="62">
        <v>43747</v>
      </c>
      <c r="B15098">
        <v>2.5680000000000001</v>
      </c>
      <c r="C15098" t="str">
        <f t="shared" si="240"/>
        <v>2019 q4</v>
      </c>
    </row>
    <row r="15099" spans="1:3">
      <c r="A15099" s="62">
        <v>43748</v>
      </c>
      <c r="B15099">
        <v>2.6135000000000002</v>
      </c>
      <c r="C15099" t="str">
        <f t="shared" si="240"/>
        <v>2019 q4</v>
      </c>
    </row>
    <row r="15100" spans="1:3">
      <c r="A15100" s="62">
        <v>43749</v>
      </c>
      <c r="B15100">
        <v>2.6280000000000001</v>
      </c>
      <c r="C15100" t="str">
        <f t="shared" si="240"/>
        <v>2019 q4</v>
      </c>
    </row>
    <row r="15101" spans="1:3">
      <c r="A15101" s="62">
        <v>43752</v>
      </c>
      <c r="B15101">
        <v>2.6339999999999999</v>
      </c>
      <c r="C15101" t="str">
        <f t="shared" si="240"/>
        <v>2019 q4</v>
      </c>
    </row>
    <row r="15102" spans="1:3">
      <c r="A15102" s="62">
        <v>43753</v>
      </c>
      <c r="B15102">
        <v>2.6139999999999999</v>
      </c>
      <c r="C15102" t="str">
        <f t="shared" si="240"/>
        <v>2019 q4</v>
      </c>
    </row>
    <row r="15103" spans="1:3">
      <c r="A15103" s="62">
        <v>43754</v>
      </c>
      <c r="B15103">
        <v>2.5895000000000001</v>
      </c>
      <c r="C15103" t="str">
        <f t="shared" si="240"/>
        <v>2019 q4</v>
      </c>
    </row>
    <row r="15104" spans="1:3">
      <c r="A15104" s="62">
        <v>43755</v>
      </c>
      <c r="B15104">
        <v>2.5975000000000001</v>
      </c>
      <c r="C15104" t="str">
        <f t="shared" si="240"/>
        <v>2019 q4</v>
      </c>
    </row>
    <row r="15105" spans="1:3">
      <c r="A15105" s="62">
        <v>43756</v>
      </c>
      <c r="B15105">
        <v>2.6360000000000001</v>
      </c>
      <c r="C15105" t="str">
        <f t="shared" si="240"/>
        <v>2019 q4</v>
      </c>
    </row>
    <row r="15106" spans="1:3">
      <c r="A15106" s="62">
        <v>43759</v>
      </c>
      <c r="B15106">
        <v>2.6465000000000001</v>
      </c>
      <c r="C15106" t="str">
        <f t="shared" si="240"/>
        <v>2019 q4</v>
      </c>
    </row>
    <row r="15107" spans="1:3">
      <c r="A15107" s="62">
        <v>43760</v>
      </c>
      <c r="B15107">
        <v>2.633</v>
      </c>
      <c r="C15107" t="str">
        <f t="shared" si="240"/>
        <v>2019 q4</v>
      </c>
    </row>
    <row r="15108" spans="1:3">
      <c r="A15108" s="62">
        <v>43761</v>
      </c>
      <c r="B15108">
        <v>2.6715</v>
      </c>
      <c r="C15108" t="str">
        <f t="shared" si="240"/>
        <v>2019 q4</v>
      </c>
    </row>
    <row r="15109" spans="1:3">
      <c r="A15109" s="62">
        <v>43762</v>
      </c>
      <c r="B15109">
        <v>2.6680000000000001</v>
      </c>
      <c r="C15109" t="str">
        <f t="shared" si="240"/>
        <v>2019 q4</v>
      </c>
    </row>
    <row r="15110" spans="1:3">
      <c r="A15110" s="62">
        <v>43763</v>
      </c>
      <c r="B15110">
        <v>2.6755</v>
      </c>
      <c r="C15110" t="str">
        <f t="shared" si="240"/>
        <v>2019 q4</v>
      </c>
    </row>
    <row r="15111" spans="1:3">
      <c r="A15111" s="62">
        <v>43766</v>
      </c>
      <c r="B15111">
        <v>2.6829999999999998</v>
      </c>
      <c r="C15111" t="str">
        <f t="shared" si="240"/>
        <v>2019 q4</v>
      </c>
    </row>
    <row r="15112" spans="1:3">
      <c r="A15112" s="62">
        <v>43767</v>
      </c>
      <c r="B15112">
        <v>2.6915</v>
      </c>
      <c r="C15112" t="str">
        <f t="shared" si="240"/>
        <v>2019 q4</v>
      </c>
    </row>
    <row r="15113" spans="1:3">
      <c r="A15113" s="62">
        <v>43768</v>
      </c>
      <c r="B15113">
        <v>2.6859999999999999</v>
      </c>
      <c r="C15113" t="str">
        <f t="shared" si="240"/>
        <v>2019 q4</v>
      </c>
    </row>
    <row r="15114" spans="1:3">
      <c r="A15114" s="62">
        <v>43769</v>
      </c>
      <c r="B15114">
        <v>2.6379999999999999</v>
      </c>
      <c r="C15114" t="str">
        <f t="shared" si="240"/>
        <v>2019 q4</v>
      </c>
    </row>
    <row r="15115" spans="1:3">
      <c r="A15115" s="62">
        <v>43770</v>
      </c>
      <c r="B15115">
        <v>2.653</v>
      </c>
      <c r="C15115" t="str">
        <f t="shared" si="240"/>
        <v>2019 q4</v>
      </c>
    </row>
    <row r="15116" spans="1:3">
      <c r="A15116" s="62">
        <v>43773</v>
      </c>
      <c r="B15116">
        <v>2.6709999999999998</v>
      </c>
      <c r="C15116" t="str">
        <f t="shared" si="240"/>
        <v>2019 q4</v>
      </c>
    </row>
    <row r="15117" spans="1:3">
      <c r="A15117" s="62">
        <v>43774</v>
      </c>
      <c r="B15117">
        <v>2.7004999999999999</v>
      </c>
      <c r="C15117" t="str">
        <f t="shared" si="240"/>
        <v>2019 q4</v>
      </c>
    </row>
    <row r="15118" spans="1:3">
      <c r="A15118" s="62">
        <v>43775</v>
      </c>
      <c r="B15118">
        <v>2.665</v>
      </c>
      <c r="C15118" t="str">
        <f t="shared" si="240"/>
        <v>2019 q4</v>
      </c>
    </row>
    <row r="15119" spans="1:3">
      <c r="A15119" s="62">
        <v>43776</v>
      </c>
      <c r="B15119">
        <v>2.7275</v>
      </c>
      <c r="C15119" t="str">
        <f t="shared" si="240"/>
        <v>2019 q4</v>
      </c>
    </row>
    <row r="15120" spans="1:3">
      <c r="A15120" s="62">
        <v>43777</v>
      </c>
      <c r="B15120">
        <v>2.6819999999999999</v>
      </c>
      <c r="C15120" t="str">
        <f t="shared" si="240"/>
        <v>2019 q4</v>
      </c>
    </row>
    <row r="15121" spans="1:3">
      <c r="A15121" s="62">
        <v>43780</v>
      </c>
      <c r="B15121">
        <v>2.6640000000000001</v>
      </c>
      <c r="C15121" t="str">
        <f t="shared" si="240"/>
        <v>2019 q4</v>
      </c>
    </row>
    <row r="15122" spans="1:3">
      <c r="A15122" s="62">
        <v>43781</v>
      </c>
      <c r="B15122">
        <v>2.6455000000000002</v>
      </c>
      <c r="C15122" t="str">
        <f t="shared" ref="C15122:C15185" si="241">YEAR(A15122)&amp;" q"&amp;ROUNDUP(MONTH(A15122)/3,0)</f>
        <v>2019 q4</v>
      </c>
    </row>
    <row r="15123" spans="1:3">
      <c r="A15123" s="62">
        <v>43782</v>
      </c>
      <c r="B15123">
        <v>2.6395</v>
      </c>
      <c r="C15123" t="str">
        <f t="shared" si="241"/>
        <v>2019 q4</v>
      </c>
    </row>
    <row r="15124" spans="1:3">
      <c r="A15124" s="62">
        <v>43783</v>
      </c>
      <c r="B15124">
        <v>2.6215000000000002</v>
      </c>
      <c r="C15124" t="str">
        <f t="shared" si="241"/>
        <v>2019 q4</v>
      </c>
    </row>
    <row r="15125" spans="1:3">
      <c r="A15125" s="62">
        <v>43784</v>
      </c>
      <c r="B15125">
        <v>2.6379999999999999</v>
      </c>
      <c r="C15125" t="str">
        <f t="shared" si="241"/>
        <v>2019 q4</v>
      </c>
    </row>
    <row r="15126" spans="1:3">
      <c r="A15126" s="62">
        <v>43787</v>
      </c>
      <c r="B15126">
        <v>2.62</v>
      </c>
      <c r="C15126" t="str">
        <f t="shared" si="241"/>
        <v>2019 q4</v>
      </c>
    </row>
    <row r="15127" spans="1:3">
      <c r="A15127" s="62">
        <v>43788</v>
      </c>
      <c r="B15127">
        <v>2.6564999999999999</v>
      </c>
      <c r="C15127" t="str">
        <f t="shared" si="241"/>
        <v>2019 q4</v>
      </c>
    </row>
    <row r="15128" spans="1:3">
      <c r="A15128" s="62">
        <v>43789</v>
      </c>
      <c r="B15128">
        <v>2.6495000000000002</v>
      </c>
      <c r="C15128" t="str">
        <f t="shared" si="241"/>
        <v>2019 q4</v>
      </c>
    </row>
    <row r="15129" spans="1:3">
      <c r="A15129" s="62">
        <v>43790</v>
      </c>
      <c r="B15129">
        <v>2.6234999999999999</v>
      </c>
      <c r="C15129" t="str">
        <f t="shared" si="241"/>
        <v>2019 q4</v>
      </c>
    </row>
    <row r="15130" spans="1:3">
      <c r="A15130" s="62">
        <v>43791</v>
      </c>
      <c r="B15130">
        <v>2.6480000000000001</v>
      </c>
      <c r="C15130" t="str">
        <f t="shared" si="241"/>
        <v>2019 q4</v>
      </c>
    </row>
    <row r="15131" spans="1:3">
      <c r="A15131" s="62">
        <v>43794</v>
      </c>
      <c r="B15131">
        <v>2.6486999999999998</v>
      </c>
      <c r="C15131" t="str">
        <f t="shared" si="241"/>
        <v>2019 q4</v>
      </c>
    </row>
    <row r="15132" spans="1:3">
      <c r="A15132" s="62">
        <v>43795</v>
      </c>
      <c r="B15132">
        <v>2.6808999999999998</v>
      </c>
      <c r="C15132" t="str">
        <f t="shared" si="241"/>
        <v>2019 q4</v>
      </c>
    </row>
    <row r="15133" spans="1:3">
      <c r="A15133" s="62">
        <v>43796</v>
      </c>
      <c r="B15133">
        <v>2.6804999999999999</v>
      </c>
      <c r="C15133" t="str">
        <f t="shared" si="241"/>
        <v>2019 q4</v>
      </c>
    </row>
    <row r="15134" spans="1:3">
      <c r="A15134" s="62">
        <v>43798</v>
      </c>
      <c r="B15134">
        <v>2.6484000000000001</v>
      </c>
      <c r="C15134" t="str">
        <f t="shared" si="241"/>
        <v>2019 q4</v>
      </c>
    </row>
    <row r="15135" spans="1:3">
      <c r="A15135" s="62">
        <v>43801</v>
      </c>
      <c r="B15135">
        <v>2.6395</v>
      </c>
      <c r="C15135" t="str">
        <f t="shared" si="241"/>
        <v>2019 q4</v>
      </c>
    </row>
    <row r="15136" spans="1:3">
      <c r="A15136" s="62">
        <v>43802</v>
      </c>
      <c r="B15136">
        <v>2.6124999999999998</v>
      </c>
      <c r="C15136" t="str">
        <f t="shared" si="241"/>
        <v>2019 q4</v>
      </c>
    </row>
    <row r="15137" spans="1:3">
      <c r="A15137" s="62">
        <v>43803</v>
      </c>
      <c r="B15137">
        <v>2.6484999999999999</v>
      </c>
      <c r="C15137" t="str">
        <f t="shared" si="241"/>
        <v>2019 q4</v>
      </c>
    </row>
    <row r="15138" spans="1:3">
      <c r="A15138" s="62">
        <v>43804</v>
      </c>
      <c r="B15138">
        <v>2.653</v>
      </c>
      <c r="C15138" t="str">
        <f t="shared" si="241"/>
        <v>2019 q4</v>
      </c>
    </row>
    <row r="15139" spans="1:3">
      <c r="A15139" s="62">
        <v>43805</v>
      </c>
      <c r="B15139">
        <v>2.7155</v>
      </c>
      <c r="C15139" t="str">
        <f t="shared" si="241"/>
        <v>2019 q4</v>
      </c>
    </row>
    <row r="15140" spans="1:3">
      <c r="A15140" s="62">
        <v>43808</v>
      </c>
      <c r="B15140">
        <v>2.7490000000000001</v>
      </c>
      <c r="C15140" t="str">
        <f t="shared" si="241"/>
        <v>2019 q4</v>
      </c>
    </row>
    <row r="15141" spans="1:3">
      <c r="A15141" s="62">
        <v>43809</v>
      </c>
      <c r="B15141">
        <v>2.7570000000000001</v>
      </c>
      <c r="C15141" t="str">
        <f t="shared" si="241"/>
        <v>2019 q4</v>
      </c>
    </row>
    <row r="15142" spans="1:3">
      <c r="A15142" s="62">
        <v>43810</v>
      </c>
      <c r="B15142">
        <v>2.7810000000000001</v>
      </c>
      <c r="C15142" t="str">
        <f t="shared" si="241"/>
        <v>2019 q4</v>
      </c>
    </row>
    <row r="15143" spans="1:3">
      <c r="A15143" s="62">
        <v>43811</v>
      </c>
      <c r="B15143">
        <v>2.7879999999999998</v>
      </c>
      <c r="C15143" t="str">
        <f t="shared" si="241"/>
        <v>2019 q4</v>
      </c>
    </row>
    <row r="15144" spans="1:3">
      <c r="A15144" s="62">
        <v>43812</v>
      </c>
      <c r="B15144">
        <v>2.774</v>
      </c>
      <c r="C15144" t="str">
        <f t="shared" si="241"/>
        <v>2019 q4</v>
      </c>
    </row>
    <row r="15145" spans="1:3">
      <c r="A15145" s="62">
        <v>43815</v>
      </c>
      <c r="B15145">
        <v>2.806</v>
      </c>
      <c r="C15145" t="str">
        <f t="shared" si="241"/>
        <v>2019 q4</v>
      </c>
    </row>
    <row r="15146" spans="1:3">
      <c r="A15146" s="62">
        <v>43816</v>
      </c>
      <c r="B15146">
        <v>2.81</v>
      </c>
      <c r="C15146" t="str">
        <f t="shared" si="241"/>
        <v>2019 q4</v>
      </c>
    </row>
    <row r="15147" spans="1:3">
      <c r="A15147" s="62">
        <v>43817</v>
      </c>
      <c r="B15147">
        <v>2.8085</v>
      </c>
      <c r="C15147" t="str">
        <f t="shared" si="241"/>
        <v>2019 q4</v>
      </c>
    </row>
    <row r="15148" spans="1:3">
      <c r="A15148" s="62">
        <v>43818</v>
      </c>
      <c r="B15148">
        <v>2.8245</v>
      </c>
      <c r="C15148" t="str">
        <f t="shared" si="241"/>
        <v>2019 q4</v>
      </c>
    </row>
    <row r="15149" spans="1:3">
      <c r="A15149" s="62">
        <v>43819</v>
      </c>
      <c r="B15149">
        <v>2.8025000000000002</v>
      </c>
      <c r="C15149" t="str">
        <f t="shared" si="241"/>
        <v>2019 q4</v>
      </c>
    </row>
    <row r="15150" spans="1:3">
      <c r="A15150" s="62">
        <v>43822</v>
      </c>
      <c r="B15150">
        <v>2.8075000000000001</v>
      </c>
      <c r="C15150" t="str">
        <f t="shared" si="241"/>
        <v>2019 q4</v>
      </c>
    </row>
    <row r="15151" spans="1:3">
      <c r="A15151" s="62">
        <v>43823</v>
      </c>
      <c r="B15151">
        <v>2.8250000000000002</v>
      </c>
      <c r="C15151" t="str">
        <f t="shared" si="241"/>
        <v>2019 q4</v>
      </c>
    </row>
    <row r="15152" spans="1:3">
      <c r="A15152" s="62">
        <v>43825</v>
      </c>
      <c r="B15152">
        <v>2.847</v>
      </c>
      <c r="C15152" t="str">
        <f t="shared" si="241"/>
        <v>2019 q4</v>
      </c>
    </row>
    <row r="15153" spans="1:3">
      <c r="A15153" s="62">
        <v>43826</v>
      </c>
      <c r="B15153">
        <v>2.8271000000000002</v>
      </c>
      <c r="C15153" t="str">
        <f t="shared" si="241"/>
        <v>2019 q4</v>
      </c>
    </row>
    <row r="15154" spans="1:3">
      <c r="A15154" s="62">
        <v>43829</v>
      </c>
      <c r="B15154">
        <v>2.8311000000000002</v>
      </c>
      <c r="C15154" t="str">
        <f t="shared" si="241"/>
        <v>2019 q4</v>
      </c>
    </row>
    <row r="15155" spans="1:3">
      <c r="A15155" s="62">
        <v>43830</v>
      </c>
      <c r="B15155">
        <v>2.7964000000000002</v>
      </c>
      <c r="C15155" t="str">
        <f t="shared" si="241"/>
        <v>2019 q4</v>
      </c>
    </row>
    <row r="15156" spans="1:3">
      <c r="A15156" s="62">
        <v>43832</v>
      </c>
      <c r="B15156">
        <v>2.8250000000000002</v>
      </c>
      <c r="C15156" t="str">
        <f t="shared" si="241"/>
        <v>2020 q1</v>
      </c>
    </row>
    <row r="15157" spans="1:3">
      <c r="A15157" s="62">
        <v>43833</v>
      </c>
      <c r="B15157">
        <v>2.7869999999999999</v>
      </c>
      <c r="C15157" t="str">
        <f t="shared" si="241"/>
        <v>2020 q1</v>
      </c>
    </row>
    <row r="15158" spans="1:3">
      <c r="A15158" s="62">
        <v>43836</v>
      </c>
      <c r="B15158">
        <v>2.79</v>
      </c>
      <c r="C15158" t="str">
        <f t="shared" si="241"/>
        <v>2020 q1</v>
      </c>
    </row>
    <row r="15159" spans="1:3">
      <c r="A15159" s="62">
        <v>43837</v>
      </c>
      <c r="B15159">
        <v>2.7934999999999999</v>
      </c>
      <c r="C15159" t="str">
        <f t="shared" si="241"/>
        <v>2020 q1</v>
      </c>
    </row>
    <row r="15160" spans="1:3">
      <c r="A15160" s="62">
        <v>43838</v>
      </c>
      <c r="B15160">
        <v>2.8119999999999998</v>
      </c>
      <c r="C15160" t="str">
        <f t="shared" si="241"/>
        <v>2020 q1</v>
      </c>
    </row>
    <row r="15161" spans="1:3">
      <c r="A15161" s="62">
        <v>43839</v>
      </c>
      <c r="B15161">
        <v>2.802</v>
      </c>
      <c r="C15161" t="str">
        <f t="shared" si="241"/>
        <v>2020 q1</v>
      </c>
    </row>
    <row r="15162" spans="1:3">
      <c r="A15162" s="62">
        <v>43840</v>
      </c>
      <c r="B15162">
        <v>2.8134999999999999</v>
      </c>
      <c r="C15162" t="str">
        <f t="shared" si="241"/>
        <v>2020 q1</v>
      </c>
    </row>
    <row r="15163" spans="1:3">
      <c r="A15163" s="62">
        <v>43843</v>
      </c>
      <c r="B15163">
        <v>2.8610000000000002</v>
      </c>
      <c r="C15163" t="str">
        <f t="shared" si="241"/>
        <v>2020 q1</v>
      </c>
    </row>
    <row r="15164" spans="1:3">
      <c r="A15164" s="62">
        <v>43844</v>
      </c>
      <c r="B15164">
        <v>2.8734999999999999</v>
      </c>
      <c r="C15164" t="str">
        <f t="shared" si="241"/>
        <v>2020 q1</v>
      </c>
    </row>
    <row r="15165" spans="1:3">
      <c r="A15165" s="62">
        <v>43845</v>
      </c>
      <c r="B15165">
        <v>2.8660000000000001</v>
      </c>
      <c r="C15165" t="str">
        <f t="shared" si="241"/>
        <v>2020 q1</v>
      </c>
    </row>
    <row r="15166" spans="1:3">
      <c r="A15166" s="62">
        <v>43846</v>
      </c>
      <c r="B15166">
        <v>2.847</v>
      </c>
      <c r="C15166" t="str">
        <f t="shared" si="241"/>
        <v>2020 q1</v>
      </c>
    </row>
    <row r="15167" spans="1:3">
      <c r="A15167" s="62">
        <v>43847</v>
      </c>
      <c r="B15167">
        <v>2.8454999999999999</v>
      </c>
      <c r="C15167" t="str">
        <f t="shared" si="241"/>
        <v>2020 q1</v>
      </c>
    </row>
    <row r="15168" spans="1:3">
      <c r="A15168" s="62">
        <v>43851</v>
      </c>
      <c r="B15168">
        <v>2.7934999999999999</v>
      </c>
      <c r="C15168" t="str">
        <f t="shared" si="241"/>
        <v>2020 q1</v>
      </c>
    </row>
    <row r="15169" spans="1:3">
      <c r="A15169" s="62">
        <v>43852</v>
      </c>
      <c r="B15169">
        <v>2.7650000000000001</v>
      </c>
      <c r="C15169" t="str">
        <f t="shared" si="241"/>
        <v>2020 q1</v>
      </c>
    </row>
    <row r="15170" spans="1:3">
      <c r="A15170" s="62">
        <v>43853</v>
      </c>
      <c r="B15170">
        <v>2.726</v>
      </c>
      <c r="C15170" t="str">
        <f t="shared" si="241"/>
        <v>2020 q1</v>
      </c>
    </row>
    <row r="15171" spans="1:3">
      <c r="A15171" s="62">
        <v>43854</v>
      </c>
      <c r="B15171">
        <v>2.6840000000000002</v>
      </c>
      <c r="C15171" t="str">
        <f t="shared" si="241"/>
        <v>2020 q1</v>
      </c>
    </row>
    <row r="15172" spans="1:3">
      <c r="A15172" s="62">
        <v>43857</v>
      </c>
      <c r="B15172">
        <v>2.5964999999999998</v>
      </c>
      <c r="C15172" t="str">
        <f t="shared" si="241"/>
        <v>2020 q1</v>
      </c>
    </row>
    <row r="15173" spans="1:3">
      <c r="A15173" s="62">
        <v>43858</v>
      </c>
      <c r="B15173">
        <v>2.5794999999999999</v>
      </c>
      <c r="C15173" t="str">
        <f t="shared" si="241"/>
        <v>2020 q1</v>
      </c>
    </row>
    <row r="15174" spans="1:3">
      <c r="A15174" s="62">
        <v>43859</v>
      </c>
      <c r="B15174">
        <v>2.5539999999999998</v>
      </c>
      <c r="C15174" t="str">
        <f t="shared" si="241"/>
        <v>2020 q1</v>
      </c>
    </row>
    <row r="15175" spans="1:3">
      <c r="A15175" s="62">
        <v>43860</v>
      </c>
      <c r="B15175">
        <v>2.524</v>
      </c>
      <c r="C15175" t="str">
        <f t="shared" si="241"/>
        <v>2020 q1</v>
      </c>
    </row>
    <row r="15176" spans="1:3">
      <c r="A15176" s="62">
        <v>43861</v>
      </c>
      <c r="B15176">
        <v>2.5169999999999999</v>
      </c>
      <c r="C15176" t="str">
        <f t="shared" si="241"/>
        <v>2020 q1</v>
      </c>
    </row>
    <row r="15177" spans="1:3">
      <c r="A15177" s="62">
        <v>43864</v>
      </c>
      <c r="B15177">
        <v>2.5070000000000001</v>
      </c>
      <c r="C15177" t="str">
        <f t="shared" si="241"/>
        <v>2020 q1</v>
      </c>
    </row>
    <row r="15178" spans="1:3">
      <c r="A15178" s="62">
        <v>43865</v>
      </c>
      <c r="B15178">
        <v>2.5419999999999998</v>
      </c>
      <c r="C15178" t="str">
        <f t="shared" si="241"/>
        <v>2020 q1</v>
      </c>
    </row>
    <row r="15179" spans="1:3">
      <c r="A15179" s="62">
        <v>43866</v>
      </c>
      <c r="B15179">
        <v>2.5745</v>
      </c>
      <c r="C15179" t="str">
        <f t="shared" si="241"/>
        <v>2020 q1</v>
      </c>
    </row>
    <row r="15180" spans="1:3">
      <c r="A15180" s="62">
        <v>43867</v>
      </c>
      <c r="B15180">
        <v>2.593</v>
      </c>
      <c r="C15180" t="str">
        <f t="shared" si="241"/>
        <v>2020 q1</v>
      </c>
    </row>
    <row r="15181" spans="1:3">
      <c r="A15181" s="62">
        <v>43868</v>
      </c>
      <c r="B15181">
        <v>2.5529999999999999</v>
      </c>
      <c r="C15181" t="str">
        <f t="shared" si="241"/>
        <v>2020 q1</v>
      </c>
    </row>
    <row r="15182" spans="1:3">
      <c r="A15182" s="62">
        <v>43871</v>
      </c>
      <c r="B15182">
        <v>2.5505</v>
      </c>
      <c r="C15182" t="str">
        <f t="shared" si="241"/>
        <v>2020 q1</v>
      </c>
    </row>
    <row r="15183" spans="1:3">
      <c r="A15183" s="62">
        <v>43872</v>
      </c>
      <c r="B15183">
        <v>2.5830000000000002</v>
      </c>
      <c r="C15183" t="str">
        <f t="shared" si="241"/>
        <v>2020 q1</v>
      </c>
    </row>
    <row r="15184" spans="1:3">
      <c r="A15184" s="62">
        <v>43873</v>
      </c>
      <c r="B15184">
        <v>2.6</v>
      </c>
      <c r="C15184" t="str">
        <f t="shared" si="241"/>
        <v>2020 q1</v>
      </c>
    </row>
    <row r="15185" spans="1:3">
      <c r="A15185" s="62">
        <v>43874</v>
      </c>
      <c r="B15185">
        <v>2.613</v>
      </c>
      <c r="C15185" t="str">
        <f t="shared" si="241"/>
        <v>2020 q1</v>
      </c>
    </row>
    <row r="15186" spans="1:3">
      <c r="A15186" s="62">
        <v>43875</v>
      </c>
      <c r="B15186">
        <v>2.5994999999999999</v>
      </c>
      <c r="C15186" t="str">
        <f t="shared" ref="C15186:C15249" si="242">YEAR(A15186)&amp;" q"&amp;ROUNDUP(MONTH(A15186)/3,0)</f>
        <v>2020 q1</v>
      </c>
    </row>
    <row r="15187" spans="1:3">
      <c r="A15187" s="62">
        <v>43879</v>
      </c>
      <c r="B15187">
        <v>2.6040000000000001</v>
      </c>
      <c r="C15187" t="str">
        <f t="shared" si="242"/>
        <v>2020 q1</v>
      </c>
    </row>
    <row r="15188" spans="1:3">
      <c r="A15188" s="62">
        <v>43880</v>
      </c>
      <c r="B15188">
        <v>2.6059999999999999</v>
      </c>
      <c r="C15188" t="str">
        <f t="shared" si="242"/>
        <v>2020 q1</v>
      </c>
    </row>
    <row r="15189" spans="1:3">
      <c r="A15189" s="62">
        <v>43881</v>
      </c>
      <c r="B15189">
        <v>2.5880000000000001</v>
      </c>
      <c r="C15189" t="str">
        <f t="shared" si="242"/>
        <v>2020 q1</v>
      </c>
    </row>
    <row r="15190" spans="1:3">
      <c r="A15190" s="62">
        <v>43882</v>
      </c>
      <c r="B15190">
        <v>2.6080000000000001</v>
      </c>
      <c r="C15190" t="str">
        <f t="shared" si="242"/>
        <v>2020 q1</v>
      </c>
    </row>
    <row r="15191" spans="1:3">
      <c r="A15191" s="62">
        <v>43885</v>
      </c>
      <c r="B15191">
        <v>2.577</v>
      </c>
      <c r="C15191" t="str">
        <f t="shared" si="242"/>
        <v>2020 q1</v>
      </c>
    </row>
    <row r="15192" spans="1:3">
      <c r="A15192" s="62">
        <v>43886</v>
      </c>
      <c r="B15192">
        <v>2.5788000000000002</v>
      </c>
      <c r="C15192" t="str">
        <f t="shared" si="242"/>
        <v>2020 q1</v>
      </c>
    </row>
    <row r="15193" spans="1:3">
      <c r="A15193" s="62">
        <v>43887</v>
      </c>
      <c r="B15193">
        <v>2.5729000000000002</v>
      </c>
      <c r="C15193" t="str">
        <f t="shared" si="242"/>
        <v>2020 q1</v>
      </c>
    </row>
    <row r="15194" spans="1:3">
      <c r="A15194" s="62">
        <v>43888</v>
      </c>
      <c r="B15194">
        <v>2.5714999999999999</v>
      </c>
      <c r="C15194" t="str">
        <f t="shared" si="242"/>
        <v>2020 q1</v>
      </c>
    </row>
    <row r="15195" spans="1:3">
      <c r="A15195" s="62">
        <v>43889</v>
      </c>
      <c r="B15195">
        <v>2.5411999999999999</v>
      </c>
      <c r="C15195" t="str">
        <f t="shared" si="242"/>
        <v>2020 q1</v>
      </c>
    </row>
    <row r="15196" spans="1:3">
      <c r="A15196" s="62">
        <v>43892</v>
      </c>
      <c r="B15196">
        <v>2.5950000000000002</v>
      </c>
      <c r="C15196" t="str">
        <f t="shared" si="242"/>
        <v>2020 q1</v>
      </c>
    </row>
    <row r="15197" spans="1:3">
      <c r="A15197" s="62">
        <v>43893</v>
      </c>
      <c r="B15197">
        <v>2.573</v>
      </c>
      <c r="C15197" t="str">
        <f t="shared" si="242"/>
        <v>2020 q1</v>
      </c>
    </row>
    <row r="15198" spans="1:3">
      <c r="A15198" s="62">
        <v>43894</v>
      </c>
      <c r="B15198">
        <v>2.5859999999999999</v>
      </c>
      <c r="C15198" t="str">
        <f t="shared" si="242"/>
        <v>2020 q1</v>
      </c>
    </row>
    <row r="15199" spans="1:3">
      <c r="A15199" s="62">
        <v>43895</v>
      </c>
      <c r="B15199">
        <v>2.573</v>
      </c>
      <c r="C15199" t="str">
        <f t="shared" si="242"/>
        <v>2020 q1</v>
      </c>
    </row>
    <row r="15200" spans="1:3">
      <c r="A15200" s="62">
        <v>43896</v>
      </c>
      <c r="B15200">
        <v>2.5605000000000002</v>
      </c>
      <c r="C15200" t="str">
        <f t="shared" si="242"/>
        <v>2020 q1</v>
      </c>
    </row>
    <row r="15201" spans="1:3">
      <c r="A15201" s="62">
        <v>43899</v>
      </c>
      <c r="B15201">
        <v>2.5105</v>
      </c>
      <c r="C15201" t="str">
        <f t="shared" si="242"/>
        <v>2020 q1</v>
      </c>
    </row>
    <row r="15202" spans="1:3">
      <c r="A15202" s="62">
        <v>43900</v>
      </c>
      <c r="B15202">
        <v>2.5215000000000001</v>
      </c>
      <c r="C15202" t="str">
        <f t="shared" si="242"/>
        <v>2020 q1</v>
      </c>
    </row>
    <row r="15203" spans="1:3">
      <c r="A15203" s="62">
        <v>43901</v>
      </c>
      <c r="B15203">
        <v>2.5019999999999998</v>
      </c>
      <c r="C15203" t="str">
        <f t="shared" si="242"/>
        <v>2020 q1</v>
      </c>
    </row>
    <row r="15204" spans="1:3">
      <c r="A15204" s="62">
        <v>43902</v>
      </c>
      <c r="B15204">
        <v>2.4725000000000001</v>
      </c>
      <c r="C15204" t="str">
        <f t="shared" si="242"/>
        <v>2020 q1</v>
      </c>
    </row>
    <row r="15205" spans="1:3">
      <c r="A15205" s="62">
        <v>43903</v>
      </c>
      <c r="B15205">
        <v>2.464</v>
      </c>
      <c r="C15205" t="str">
        <f t="shared" si="242"/>
        <v>2020 q1</v>
      </c>
    </row>
    <row r="15206" spans="1:3">
      <c r="A15206" s="62">
        <v>43906</v>
      </c>
      <c r="B15206">
        <v>2.3925000000000001</v>
      </c>
      <c r="C15206" t="str">
        <f t="shared" si="242"/>
        <v>2020 q1</v>
      </c>
    </row>
    <row r="15207" spans="1:3">
      <c r="A15207" s="62">
        <v>43907</v>
      </c>
      <c r="B15207">
        <v>2.3134999999999999</v>
      </c>
      <c r="C15207" t="str">
        <f t="shared" si="242"/>
        <v>2020 q1</v>
      </c>
    </row>
    <row r="15208" spans="1:3">
      <c r="A15208" s="62">
        <v>43908</v>
      </c>
      <c r="B15208">
        <v>2.1509999999999998</v>
      </c>
      <c r="C15208" t="str">
        <f t="shared" si="242"/>
        <v>2020 q1</v>
      </c>
    </row>
    <row r="15209" spans="1:3">
      <c r="A15209" s="62">
        <v>43909</v>
      </c>
      <c r="B15209">
        <v>2.1855000000000002</v>
      </c>
      <c r="C15209" t="str">
        <f t="shared" si="242"/>
        <v>2020 q1</v>
      </c>
    </row>
    <row r="15210" spans="1:3">
      <c r="A15210" s="62">
        <v>43910</v>
      </c>
      <c r="B15210">
        <v>2.1715</v>
      </c>
      <c r="C15210" t="str">
        <f t="shared" si="242"/>
        <v>2020 q1</v>
      </c>
    </row>
    <row r="15211" spans="1:3">
      <c r="A15211" s="62">
        <v>43913</v>
      </c>
      <c r="B15211">
        <v>2.1004999999999998</v>
      </c>
      <c r="C15211" t="str">
        <f t="shared" si="242"/>
        <v>2020 q1</v>
      </c>
    </row>
    <row r="15212" spans="1:3">
      <c r="A15212" s="62">
        <v>43914</v>
      </c>
      <c r="B15212">
        <v>2.1800000000000002</v>
      </c>
      <c r="C15212" t="str">
        <f t="shared" si="242"/>
        <v>2020 q1</v>
      </c>
    </row>
    <row r="15213" spans="1:3">
      <c r="A15213" s="62">
        <v>43915</v>
      </c>
      <c r="B15213">
        <v>2.2040000000000002</v>
      </c>
      <c r="C15213" t="str">
        <f t="shared" si="242"/>
        <v>2020 q1</v>
      </c>
    </row>
    <row r="15214" spans="1:3">
      <c r="A15214" s="62">
        <v>43916</v>
      </c>
      <c r="B15214">
        <v>2.1779999999999999</v>
      </c>
      <c r="C15214" t="str">
        <f t="shared" si="242"/>
        <v>2020 q1</v>
      </c>
    </row>
    <row r="15215" spans="1:3">
      <c r="A15215" s="62">
        <v>43917</v>
      </c>
      <c r="B15215">
        <v>2.1720000000000002</v>
      </c>
      <c r="C15215" t="str">
        <f t="shared" si="242"/>
        <v>2020 q1</v>
      </c>
    </row>
    <row r="15216" spans="1:3">
      <c r="A15216" s="62">
        <v>43920</v>
      </c>
      <c r="B15216">
        <v>2.1555</v>
      </c>
      <c r="C15216" t="str">
        <f t="shared" si="242"/>
        <v>2020 q1</v>
      </c>
    </row>
    <row r="15217" spans="1:3">
      <c r="A15217" s="62">
        <v>43921</v>
      </c>
      <c r="B15217">
        <v>2.2280000000000002</v>
      </c>
      <c r="C15217" t="str">
        <f t="shared" si="242"/>
        <v>2020 q1</v>
      </c>
    </row>
    <row r="15218" spans="1:3">
      <c r="A15218" s="62">
        <v>43922</v>
      </c>
      <c r="B15218">
        <v>2.1745000000000001</v>
      </c>
      <c r="C15218" t="str">
        <f t="shared" si="242"/>
        <v>2020 q2</v>
      </c>
    </row>
    <row r="15219" spans="1:3">
      <c r="A15219" s="62">
        <v>43923</v>
      </c>
      <c r="B15219">
        <v>2.2185000000000001</v>
      </c>
      <c r="C15219" t="str">
        <f t="shared" si="242"/>
        <v>2020 q2</v>
      </c>
    </row>
    <row r="15220" spans="1:3">
      <c r="A15220" s="62">
        <v>43924</v>
      </c>
      <c r="B15220">
        <v>2.1924999999999999</v>
      </c>
      <c r="C15220" t="str">
        <f t="shared" si="242"/>
        <v>2020 q2</v>
      </c>
    </row>
    <row r="15221" spans="1:3">
      <c r="A15221" s="62">
        <v>43927</v>
      </c>
      <c r="B15221">
        <v>2.2174999999999998</v>
      </c>
      <c r="C15221" t="str">
        <f t="shared" si="242"/>
        <v>2020 q2</v>
      </c>
    </row>
    <row r="15222" spans="1:3">
      <c r="A15222" s="62">
        <v>43928</v>
      </c>
      <c r="B15222">
        <v>2.2725</v>
      </c>
      <c r="C15222" t="str">
        <f t="shared" si="242"/>
        <v>2020 q2</v>
      </c>
    </row>
    <row r="15223" spans="1:3">
      <c r="A15223" s="62">
        <v>43929</v>
      </c>
      <c r="B15223">
        <v>2.2599999999999998</v>
      </c>
      <c r="C15223" t="str">
        <f t="shared" si="242"/>
        <v>2020 q2</v>
      </c>
    </row>
    <row r="15224" spans="1:3">
      <c r="A15224" s="62">
        <v>43930</v>
      </c>
      <c r="B15224">
        <v>2.2595000000000001</v>
      </c>
      <c r="C15224" t="str">
        <f t="shared" si="242"/>
        <v>2020 q2</v>
      </c>
    </row>
    <row r="15225" spans="1:3">
      <c r="A15225" s="62">
        <v>43934</v>
      </c>
      <c r="B15225">
        <v>2.3025000000000002</v>
      </c>
      <c r="C15225" t="str">
        <f t="shared" si="242"/>
        <v>2020 q2</v>
      </c>
    </row>
    <row r="15226" spans="1:3">
      <c r="A15226" s="62">
        <v>43935</v>
      </c>
      <c r="B15226">
        <v>2.3294999999999999</v>
      </c>
      <c r="C15226" t="str">
        <f t="shared" si="242"/>
        <v>2020 q2</v>
      </c>
    </row>
    <row r="15227" spans="1:3">
      <c r="A15227" s="62">
        <v>43936</v>
      </c>
      <c r="B15227">
        <v>2.2959999999999998</v>
      </c>
      <c r="C15227" t="str">
        <f t="shared" si="242"/>
        <v>2020 q2</v>
      </c>
    </row>
    <row r="15228" spans="1:3">
      <c r="A15228" s="62">
        <v>43937</v>
      </c>
      <c r="B15228">
        <v>2.2909999999999999</v>
      </c>
      <c r="C15228" t="str">
        <f t="shared" si="242"/>
        <v>2020 q2</v>
      </c>
    </row>
    <row r="15229" spans="1:3">
      <c r="A15229" s="62">
        <v>43938</v>
      </c>
      <c r="B15229">
        <v>2.3445</v>
      </c>
      <c r="C15229" t="str">
        <f t="shared" si="242"/>
        <v>2020 q2</v>
      </c>
    </row>
    <row r="15230" spans="1:3">
      <c r="A15230" s="62">
        <v>43941</v>
      </c>
      <c r="B15230">
        <v>2.3199999999999998</v>
      </c>
      <c r="C15230" t="str">
        <f t="shared" si="242"/>
        <v>2020 q2</v>
      </c>
    </row>
    <row r="15231" spans="1:3">
      <c r="A15231" s="62">
        <v>43942</v>
      </c>
      <c r="B15231">
        <v>2.2294999999999998</v>
      </c>
      <c r="C15231" t="str">
        <f t="shared" si="242"/>
        <v>2020 q2</v>
      </c>
    </row>
    <row r="15232" spans="1:3">
      <c r="A15232" s="62">
        <v>43943</v>
      </c>
      <c r="B15232">
        <v>2.29</v>
      </c>
      <c r="C15232" t="str">
        <f t="shared" si="242"/>
        <v>2020 q2</v>
      </c>
    </row>
    <row r="15233" spans="1:3">
      <c r="A15233" s="62">
        <v>43944</v>
      </c>
      <c r="B15233">
        <v>2.3119999999999998</v>
      </c>
      <c r="C15233" t="str">
        <f t="shared" si="242"/>
        <v>2020 q2</v>
      </c>
    </row>
    <row r="15234" spans="1:3">
      <c r="A15234" s="62">
        <v>43945</v>
      </c>
      <c r="B15234">
        <v>2.3370000000000002</v>
      </c>
      <c r="C15234" t="str">
        <f t="shared" si="242"/>
        <v>2020 q2</v>
      </c>
    </row>
    <row r="15235" spans="1:3">
      <c r="A15235" s="62">
        <v>43948</v>
      </c>
      <c r="B15235">
        <v>2.3490000000000002</v>
      </c>
      <c r="C15235" t="str">
        <f t="shared" si="242"/>
        <v>2020 q2</v>
      </c>
    </row>
    <row r="15236" spans="1:3">
      <c r="A15236" s="62">
        <v>43949</v>
      </c>
      <c r="B15236">
        <v>2.3454999999999999</v>
      </c>
      <c r="C15236" t="str">
        <f t="shared" si="242"/>
        <v>2020 q2</v>
      </c>
    </row>
    <row r="15237" spans="1:3">
      <c r="A15237" s="62">
        <v>43950</v>
      </c>
      <c r="B15237">
        <v>2.3721000000000001</v>
      </c>
      <c r="C15237" t="str">
        <f t="shared" si="242"/>
        <v>2020 q2</v>
      </c>
    </row>
    <row r="15238" spans="1:3">
      <c r="A15238" s="62">
        <v>43951</v>
      </c>
      <c r="B15238">
        <v>2.3460000000000001</v>
      </c>
      <c r="C15238" t="str">
        <f t="shared" si="242"/>
        <v>2020 q2</v>
      </c>
    </row>
    <row r="15239" spans="1:3">
      <c r="A15239" s="62">
        <v>43952</v>
      </c>
      <c r="B15239">
        <v>2.3119999999999998</v>
      </c>
      <c r="C15239" t="str">
        <f t="shared" si="242"/>
        <v>2020 q2</v>
      </c>
    </row>
    <row r="15240" spans="1:3">
      <c r="A15240" s="62">
        <v>43955</v>
      </c>
      <c r="B15240">
        <v>2.3125</v>
      </c>
      <c r="C15240" t="str">
        <f t="shared" si="242"/>
        <v>2020 q2</v>
      </c>
    </row>
    <row r="15241" spans="1:3">
      <c r="A15241" s="62">
        <v>43956</v>
      </c>
      <c r="B15241">
        <v>2.3325</v>
      </c>
      <c r="C15241" t="str">
        <f t="shared" si="242"/>
        <v>2020 q2</v>
      </c>
    </row>
    <row r="15242" spans="1:3">
      <c r="A15242" s="62">
        <v>43957</v>
      </c>
      <c r="B15242">
        <v>2.347</v>
      </c>
      <c r="C15242" t="str">
        <f t="shared" si="242"/>
        <v>2020 q2</v>
      </c>
    </row>
    <row r="15243" spans="1:3">
      <c r="A15243" s="62">
        <v>43958</v>
      </c>
      <c r="B15243">
        <v>2.3805000000000001</v>
      </c>
      <c r="C15243" t="str">
        <f t="shared" si="242"/>
        <v>2020 q2</v>
      </c>
    </row>
    <row r="15244" spans="1:3">
      <c r="A15244" s="62">
        <v>43959</v>
      </c>
      <c r="B15244">
        <v>2.4060000000000001</v>
      </c>
      <c r="C15244" t="str">
        <f t="shared" si="242"/>
        <v>2020 q2</v>
      </c>
    </row>
    <row r="15245" spans="1:3">
      <c r="A15245" s="62">
        <v>43962</v>
      </c>
      <c r="B15245">
        <v>2.38</v>
      </c>
      <c r="C15245" t="str">
        <f t="shared" si="242"/>
        <v>2020 q2</v>
      </c>
    </row>
    <row r="15246" spans="1:3">
      <c r="A15246" s="62">
        <v>43963</v>
      </c>
      <c r="B15246">
        <v>2.359</v>
      </c>
      <c r="C15246" t="str">
        <f t="shared" si="242"/>
        <v>2020 q2</v>
      </c>
    </row>
    <row r="15247" spans="1:3">
      <c r="A15247" s="62">
        <v>43964</v>
      </c>
      <c r="B15247">
        <v>2.3460000000000001</v>
      </c>
      <c r="C15247" t="str">
        <f t="shared" si="242"/>
        <v>2020 q2</v>
      </c>
    </row>
    <row r="15248" spans="1:3">
      <c r="A15248" s="62">
        <v>43965</v>
      </c>
      <c r="B15248">
        <v>2.3460000000000001</v>
      </c>
      <c r="C15248" t="str">
        <f t="shared" si="242"/>
        <v>2020 q2</v>
      </c>
    </row>
    <row r="15249" spans="1:3">
      <c r="A15249" s="62">
        <v>43966</v>
      </c>
      <c r="B15249">
        <v>2.3304999999999998</v>
      </c>
      <c r="C15249" t="str">
        <f t="shared" si="242"/>
        <v>2020 q2</v>
      </c>
    </row>
    <row r="15250" spans="1:3">
      <c r="A15250" s="62">
        <v>43969</v>
      </c>
      <c r="B15250">
        <v>2.4039999999999999</v>
      </c>
      <c r="C15250" t="str">
        <f t="shared" ref="C15250:C15313" si="243">YEAR(A15250)&amp;" q"&amp;ROUNDUP(MONTH(A15250)/3,0)</f>
        <v>2020 q2</v>
      </c>
    </row>
    <row r="15251" spans="1:3">
      <c r="A15251" s="62">
        <v>43970</v>
      </c>
      <c r="B15251">
        <v>2.4180000000000001</v>
      </c>
      <c r="C15251" t="str">
        <f t="shared" si="243"/>
        <v>2020 q2</v>
      </c>
    </row>
    <row r="15252" spans="1:3">
      <c r="A15252" s="62">
        <v>43971</v>
      </c>
      <c r="B15252">
        <v>2.46</v>
      </c>
      <c r="C15252" t="str">
        <f t="shared" si="243"/>
        <v>2020 q2</v>
      </c>
    </row>
    <row r="15253" spans="1:3">
      <c r="A15253" s="62">
        <v>43972</v>
      </c>
      <c r="B15253">
        <v>2.4319999999999999</v>
      </c>
      <c r="C15253" t="str">
        <f t="shared" si="243"/>
        <v>2020 q2</v>
      </c>
    </row>
    <row r="15254" spans="1:3">
      <c r="A15254" s="62">
        <v>43973</v>
      </c>
      <c r="B15254">
        <v>2.3864999999999998</v>
      </c>
      <c r="C15254" t="str">
        <f t="shared" si="243"/>
        <v>2020 q2</v>
      </c>
    </row>
    <row r="15255" spans="1:3">
      <c r="A15255" s="62">
        <v>43977</v>
      </c>
      <c r="B15255">
        <v>2.4184999999999999</v>
      </c>
      <c r="C15255" t="str">
        <f t="shared" si="243"/>
        <v>2020 q2</v>
      </c>
    </row>
    <row r="15256" spans="1:3">
      <c r="A15256" s="62">
        <v>43978</v>
      </c>
      <c r="B15256">
        <v>2.3820000000000001</v>
      </c>
      <c r="C15256" t="str">
        <f t="shared" si="243"/>
        <v>2020 q2</v>
      </c>
    </row>
    <row r="15257" spans="1:3">
      <c r="A15257" s="62">
        <v>43979</v>
      </c>
      <c r="B15257">
        <v>2.4135</v>
      </c>
      <c r="C15257" t="str">
        <f t="shared" si="243"/>
        <v>2020 q2</v>
      </c>
    </row>
    <row r="15258" spans="1:3">
      <c r="A15258" s="62">
        <v>43980</v>
      </c>
      <c r="B15258">
        <v>2.4255</v>
      </c>
      <c r="C15258" t="str">
        <f t="shared" si="243"/>
        <v>2020 q2</v>
      </c>
    </row>
    <row r="15259" spans="1:3">
      <c r="A15259" s="62">
        <v>43983</v>
      </c>
      <c r="B15259">
        <v>2.4704999999999999</v>
      </c>
      <c r="C15259" t="str">
        <f t="shared" si="243"/>
        <v>2020 q2</v>
      </c>
    </row>
    <row r="15260" spans="1:3">
      <c r="A15260" s="62">
        <v>43984</v>
      </c>
      <c r="B15260">
        <v>2.4910000000000001</v>
      </c>
      <c r="C15260" t="str">
        <f t="shared" si="243"/>
        <v>2020 q2</v>
      </c>
    </row>
    <row r="15261" spans="1:3">
      <c r="A15261" s="62">
        <v>43985</v>
      </c>
      <c r="B15261">
        <v>2.4874999999999998</v>
      </c>
      <c r="C15261" t="str">
        <f t="shared" si="243"/>
        <v>2020 q2</v>
      </c>
    </row>
    <row r="15262" spans="1:3">
      <c r="A15262" s="62">
        <v>43986</v>
      </c>
      <c r="B15262">
        <v>2.4895</v>
      </c>
      <c r="C15262" t="str">
        <f t="shared" si="243"/>
        <v>2020 q2</v>
      </c>
    </row>
    <row r="15263" spans="1:3">
      <c r="A15263" s="62">
        <v>43987</v>
      </c>
      <c r="B15263">
        <v>2.5554999999999999</v>
      </c>
      <c r="C15263" t="str">
        <f t="shared" si="243"/>
        <v>2020 q2</v>
      </c>
    </row>
    <row r="15264" spans="1:3">
      <c r="A15264" s="62">
        <v>43990</v>
      </c>
      <c r="B15264">
        <v>2.5655000000000001</v>
      </c>
      <c r="C15264" t="str">
        <f t="shared" si="243"/>
        <v>2020 q2</v>
      </c>
    </row>
    <row r="15265" spans="1:3">
      <c r="A15265" s="62">
        <v>43991</v>
      </c>
      <c r="B15265">
        <v>2.5990000000000002</v>
      </c>
      <c r="C15265" t="str">
        <f t="shared" si="243"/>
        <v>2020 q2</v>
      </c>
    </row>
    <row r="15266" spans="1:3">
      <c r="A15266" s="62">
        <v>43992</v>
      </c>
      <c r="B15266">
        <v>2.6564999999999999</v>
      </c>
      <c r="C15266" t="str">
        <f t="shared" si="243"/>
        <v>2020 q2</v>
      </c>
    </row>
    <row r="15267" spans="1:3">
      <c r="A15267" s="62">
        <v>43993</v>
      </c>
      <c r="B15267">
        <v>2.5865</v>
      </c>
      <c r="C15267" t="str">
        <f t="shared" si="243"/>
        <v>2020 q2</v>
      </c>
    </row>
    <row r="15268" spans="1:3">
      <c r="A15268" s="62">
        <v>43994</v>
      </c>
      <c r="B15268">
        <v>2.6</v>
      </c>
      <c r="C15268" t="str">
        <f t="shared" si="243"/>
        <v>2020 q2</v>
      </c>
    </row>
    <row r="15269" spans="1:3">
      <c r="A15269" s="62">
        <v>43997</v>
      </c>
      <c r="B15269">
        <v>2.5670000000000002</v>
      </c>
      <c r="C15269" t="str">
        <f t="shared" si="243"/>
        <v>2020 q2</v>
      </c>
    </row>
    <row r="15270" spans="1:3">
      <c r="A15270" s="62">
        <v>43998</v>
      </c>
      <c r="B15270">
        <v>2.5644999999999998</v>
      </c>
      <c r="C15270" t="str">
        <f t="shared" si="243"/>
        <v>2020 q2</v>
      </c>
    </row>
    <row r="15271" spans="1:3">
      <c r="A15271" s="62">
        <v>43999</v>
      </c>
      <c r="B15271">
        <v>2.5895000000000001</v>
      </c>
      <c r="C15271" t="str">
        <f t="shared" si="243"/>
        <v>2020 q2</v>
      </c>
    </row>
    <row r="15272" spans="1:3">
      <c r="A15272" s="62">
        <v>44000</v>
      </c>
      <c r="B15272">
        <v>2.5880000000000001</v>
      </c>
      <c r="C15272" t="str">
        <f t="shared" si="243"/>
        <v>2020 q2</v>
      </c>
    </row>
    <row r="15273" spans="1:3">
      <c r="A15273" s="62">
        <v>44001</v>
      </c>
      <c r="B15273">
        <v>2.6110000000000002</v>
      </c>
      <c r="C15273" t="str">
        <f t="shared" si="243"/>
        <v>2020 q2</v>
      </c>
    </row>
    <row r="15274" spans="1:3">
      <c r="A15274" s="62">
        <v>44004</v>
      </c>
      <c r="B15274">
        <v>2.6524999999999999</v>
      </c>
      <c r="C15274" t="str">
        <f t="shared" si="243"/>
        <v>2020 q2</v>
      </c>
    </row>
    <row r="15275" spans="1:3">
      <c r="A15275" s="62">
        <v>44005</v>
      </c>
      <c r="B15275">
        <v>2.6585000000000001</v>
      </c>
      <c r="C15275" t="str">
        <f t="shared" si="243"/>
        <v>2020 q2</v>
      </c>
    </row>
    <row r="15276" spans="1:3">
      <c r="A15276" s="62">
        <v>44006</v>
      </c>
      <c r="B15276">
        <v>2.6505000000000001</v>
      </c>
      <c r="C15276" t="str">
        <f t="shared" si="243"/>
        <v>2020 q2</v>
      </c>
    </row>
    <row r="15277" spans="1:3">
      <c r="A15277" s="62">
        <v>44007</v>
      </c>
      <c r="B15277">
        <v>2.6659999999999999</v>
      </c>
      <c r="C15277" t="str">
        <f t="shared" si="243"/>
        <v>2020 q2</v>
      </c>
    </row>
    <row r="15278" spans="1:3">
      <c r="A15278" s="62">
        <v>44008</v>
      </c>
      <c r="B15278">
        <v>2.6669999999999998</v>
      </c>
      <c r="C15278" t="str">
        <f t="shared" si="243"/>
        <v>2020 q2</v>
      </c>
    </row>
    <row r="15279" spans="1:3">
      <c r="A15279" s="62">
        <v>44011</v>
      </c>
      <c r="B15279">
        <v>2.6873</v>
      </c>
      <c r="C15279" t="str">
        <f t="shared" si="243"/>
        <v>2020 q2</v>
      </c>
    </row>
    <row r="15280" spans="1:3">
      <c r="A15280" s="62">
        <v>44012</v>
      </c>
      <c r="B15280">
        <v>2.7254999999999998</v>
      </c>
      <c r="C15280" t="str">
        <f t="shared" si="243"/>
        <v>2020 q2</v>
      </c>
    </row>
    <row r="15281" spans="1:3">
      <c r="A15281" s="62">
        <v>44013</v>
      </c>
      <c r="B15281">
        <v>2.734</v>
      </c>
      <c r="C15281" t="str">
        <f t="shared" si="243"/>
        <v>2020 q3</v>
      </c>
    </row>
    <row r="15282" spans="1:3">
      <c r="A15282" s="62">
        <v>44014</v>
      </c>
      <c r="B15282">
        <v>2.7484999999999999</v>
      </c>
      <c r="C15282" t="str">
        <f t="shared" si="243"/>
        <v>2020 q3</v>
      </c>
    </row>
    <row r="15283" spans="1:3">
      <c r="A15283" s="62">
        <v>44018</v>
      </c>
      <c r="B15283">
        <v>2.7745000000000002</v>
      </c>
      <c r="C15283" t="str">
        <f t="shared" si="243"/>
        <v>2020 q3</v>
      </c>
    </row>
    <row r="15284" spans="1:3">
      <c r="A15284" s="62">
        <v>44019</v>
      </c>
      <c r="B15284">
        <v>2.7970000000000002</v>
      </c>
      <c r="C15284" t="str">
        <f t="shared" si="243"/>
        <v>2020 q3</v>
      </c>
    </row>
    <row r="15285" spans="1:3">
      <c r="A15285" s="62">
        <v>44020</v>
      </c>
      <c r="B15285">
        <v>2.8239999999999998</v>
      </c>
      <c r="C15285" t="str">
        <f t="shared" si="243"/>
        <v>2020 q3</v>
      </c>
    </row>
    <row r="15286" spans="1:3">
      <c r="A15286" s="62">
        <v>44021</v>
      </c>
      <c r="B15286">
        <v>2.8384999999999998</v>
      </c>
      <c r="C15286" t="str">
        <f t="shared" si="243"/>
        <v>2020 q3</v>
      </c>
    </row>
    <row r="15287" spans="1:3">
      <c r="A15287" s="62">
        <v>44022</v>
      </c>
      <c r="B15287">
        <v>2.8975</v>
      </c>
      <c r="C15287" t="str">
        <f t="shared" si="243"/>
        <v>2020 q3</v>
      </c>
    </row>
    <row r="15288" spans="1:3">
      <c r="A15288" s="62">
        <v>44025</v>
      </c>
      <c r="B15288">
        <v>2.9550000000000001</v>
      </c>
      <c r="C15288" t="str">
        <f t="shared" si="243"/>
        <v>2020 q3</v>
      </c>
    </row>
    <row r="15289" spans="1:3">
      <c r="A15289" s="62">
        <v>44026</v>
      </c>
      <c r="B15289">
        <v>2.9325000000000001</v>
      </c>
      <c r="C15289" t="str">
        <f t="shared" si="243"/>
        <v>2020 q3</v>
      </c>
    </row>
    <row r="15290" spans="1:3">
      <c r="A15290" s="62">
        <v>44027</v>
      </c>
      <c r="B15290">
        <v>2.8849999999999998</v>
      </c>
      <c r="C15290" t="str">
        <f t="shared" si="243"/>
        <v>2020 q3</v>
      </c>
    </row>
    <row r="15291" spans="1:3">
      <c r="A15291" s="62">
        <v>44028</v>
      </c>
      <c r="B15291">
        <v>2.9015</v>
      </c>
      <c r="C15291" t="str">
        <f t="shared" si="243"/>
        <v>2020 q3</v>
      </c>
    </row>
    <row r="15292" spans="1:3">
      <c r="A15292" s="62">
        <v>44029</v>
      </c>
      <c r="B15292">
        <v>2.9045000000000001</v>
      </c>
      <c r="C15292" t="str">
        <f t="shared" si="243"/>
        <v>2020 q3</v>
      </c>
    </row>
    <row r="15293" spans="1:3">
      <c r="A15293" s="62">
        <v>44032</v>
      </c>
      <c r="B15293">
        <v>2.9155000000000002</v>
      </c>
      <c r="C15293" t="str">
        <f t="shared" si="243"/>
        <v>2020 q3</v>
      </c>
    </row>
    <row r="15294" spans="1:3">
      <c r="A15294" s="62">
        <v>44033</v>
      </c>
      <c r="B15294">
        <v>2.9580000000000002</v>
      </c>
      <c r="C15294" t="str">
        <f t="shared" si="243"/>
        <v>2020 q3</v>
      </c>
    </row>
    <row r="15295" spans="1:3">
      <c r="A15295" s="62">
        <v>44034</v>
      </c>
      <c r="B15295">
        <v>2.9245000000000001</v>
      </c>
      <c r="C15295" t="str">
        <f t="shared" si="243"/>
        <v>2020 q3</v>
      </c>
    </row>
    <row r="15296" spans="1:3">
      <c r="A15296" s="62">
        <v>44035</v>
      </c>
      <c r="B15296">
        <v>2.9384999999999999</v>
      </c>
      <c r="C15296" t="str">
        <f t="shared" si="243"/>
        <v>2020 q3</v>
      </c>
    </row>
    <row r="15297" spans="1:3">
      <c r="A15297" s="62">
        <v>44036</v>
      </c>
      <c r="B15297">
        <v>2.8925000000000001</v>
      </c>
      <c r="C15297" t="str">
        <f t="shared" si="243"/>
        <v>2020 q3</v>
      </c>
    </row>
    <row r="15298" spans="1:3">
      <c r="A15298" s="62">
        <v>44039</v>
      </c>
      <c r="B15298">
        <v>2.8975</v>
      </c>
      <c r="C15298" t="str">
        <f t="shared" si="243"/>
        <v>2020 q3</v>
      </c>
    </row>
    <row r="15299" spans="1:3">
      <c r="A15299" s="62">
        <v>44040</v>
      </c>
      <c r="B15299">
        <v>2.9175</v>
      </c>
      <c r="C15299" t="str">
        <f t="shared" si="243"/>
        <v>2020 q3</v>
      </c>
    </row>
    <row r="15300" spans="1:3">
      <c r="A15300" s="62">
        <v>44041</v>
      </c>
      <c r="B15300">
        <v>2.919</v>
      </c>
      <c r="C15300" t="str">
        <f t="shared" si="243"/>
        <v>2020 q3</v>
      </c>
    </row>
    <row r="15301" spans="1:3">
      <c r="A15301" s="62">
        <v>44042</v>
      </c>
      <c r="B15301">
        <v>2.9140000000000001</v>
      </c>
      <c r="C15301" t="str">
        <f t="shared" si="243"/>
        <v>2020 q3</v>
      </c>
    </row>
    <row r="15302" spans="1:3">
      <c r="A15302" s="62">
        <v>44043</v>
      </c>
      <c r="B15302">
        <v>2.8679999999999999</v>
      </c>
      <c r="C15302" t="str">
        <f t="shared" si="243"/>
        <v>2020 q3</v>
      </c>
    </row>
    <row r="15303" spans="1:3">
      <c r="A15303" s="62">
        <v>44046</v>
      </c>
      <c r="B15303">
        <v>2.9119999999999999</v>
      </c>
      <c r="C15303" t="str">
        <f t="shared" si="243"/>
        <v>2020 q3</v>
      </c>
    </row>
    <row r="15304" spans="1:3">
      <c r="A15304" s="62">
        <v>44047</v>
      </c>
      <c r="B15304">
        <v>2.8944999999999999</v>
      </c>
      <c r="C15304" t="str">
        <f t="shared" si="243"/>
        <v>2020 q3</v>
      </c>
    </row>
    <row r="15305" spans="1:3">
      <c r="A15305" s="62">
        <v>44048</v>
      </c>
      <c r="B15305">
        <v>2.9169999999999998</v>
      </c>
      <c r="C15305" t="str">
        <f t="shared" si="243"/>
        <v>2020 q3</v>
      </c>
    </row>
    <row r="15306" spans="1:3">
      <c r="A15306" s="62">
        <v>44049</v>
      </c>
      <c r="B15306">
        <v>2.9104999999999999</v>
      </c>
      <c r="C15306" t="str">
        <f t="shared" si="243"/>
        <v>2020 q3</v>
      </c>
    </row>
    <row r="15307" spans="1:3">
      <c r="A15307" s="62">
        <v>44050</v>
      </c>
      <c r="B15307">
        <v>2.7925</v>
      </c>
      <c r="C15307" t="str">
        <f t="shared" si="243"/>
        <v>2020 q3</v>
      </c>
    </row>
    <row r="15308" spans="1:3">
      <c r="A15308" s="62">
        <v>44053</v>
      </c>
      <c r="B15308">
        <v>2.8614999999999999</v>
      </c>
      <c r="C15308" t="str">
        <f t="shared" si="243"/>
        <v>2020 q3</v>
      </c>
    </row>
    <row r="15309" spans="1:3">
      <c r="A15309" s="62">
        <v>44054</v>
      </c>
      <c r="B15309">
        <v>2.8755000000000002</v>
      </c>
      <c r="C15309" t="str">
        <f t="shared" si="243"/>
        <v>2020 q3</v>
      </c>
    </row>
    <row r="15310" spans="1:3">
      <c r="A15310" s="62">
        <v>44055</v>
      </c>
      <c r="B15310">
        <v>2.891</v>
      </c>
      <c r="C15310" t="str">
        <f t="shared" si="243"/>
        <v>2020 q3</v>
      </c>
    </row>
    <row r="15311" spans="1:3">
      <c r="A15311" s="62">
        <v>44056</v>
      </c>
      <c r="B15311">
        <v>2.8069999999999999</v>
      </c>
      <c r="C15311" t="str">
        <f t="shared" si="243"/>
        <v>2020 q3</v>
      </c>
    </row>
    <row r="15312" spans="1:3">
      <c r="A15312" s="62">
        <v>44057</v>
      </c>
      <c r="B15312">
        <v>2.859</v>
      </c>
      <c r="C15312" t="str">
        <f t="shared" si="243"/>
        <v>2020 q3</v>
      </c>
    </row>
    <row r="15313" spans="1:3">
      <c r="A15313" s="62">
        <v>44060</v>
      </c>
      <c r="B15313">
        <v>2.9015</v>
      </c>
      <c r="C15313" t="str">
        <f t="shared" si="243"/>
        <v>2020 q3</v>
      </c>
    </row>
    <row r="15314" spans="1:3">
      <c r="A15314" s="62">
        <v>44061</v>
      </c>
      <c r="B15314">
        <v>2.9750000000000001</v>
      </c>
      <c r="C15314" t="str">
        <f t="shared" ref="C15314:C15377" si="244">YEAR(A15314)&amp;" q"&amp;ROUNDUP(MONTH(A15314)/3,0)</f>
        <v>2020 q3</v>
      </c>
    </row>
    <row r="15315" spans="1:3">
      <c r="A15315" s="62">
        <v>44062</v>
      </c>
      <c r="B15315">
        <v>3.0230000000000001</v>
      </c>
      <c r="C15315" t="str">
        <f t="shared" si="244"/>
        <v>2020 q3</v>
      </c>
    </row>
    <row r="15316" spans="1:3">
      <c r="A15316" s="62">
        <v>44063</v>
      </c>
      <c r="B15316">
        <v>2.9744999999999999</v>
      </c>
      <c r="C15316" t="str">
        <f t="shared" si="244"/>
        <v>2020 q3</v>
      </c>
    </row>
    <row r="15317" spans="1:3">
      <c r="A15317" s="62">
        <v>44064</v>
      </c>
      <c r="B15317">
        <v>2.9175</v>
      </c>
      <c r="C15317" t="str">
        <f t="shared" si="244"/>
        <v>2020 q3</v>
      </c>
    </row>
    <row r="15318" spans="1:3">
      <c r="A15318" s="62">
        <v>44067</v>
      </c>
      <c r="B15318">
        <v>2.9264999999999999</v>
      </c>
      <c r="C15318" t="str">
        <f t="shared" si="244"/>
        <v>2020 q3</v>
      </c>
    </row>
    <row r="15319" spans="1:3">
      <c r="A15319" s="62">
        <v>44068</v>
      </c>
      <c r="B15319">
        <v>2.9340000000000002</v>
      </c>
      <c r="C15319" t="str">
        <f t="shared" si="244"/>
        <v>2020 q3</v>
      </c>
    </row>
    <row r="15320" spans="1:3">
      <c r="A15320" s="62">
        <v>44069</v>
      </c>
      <c r="B15320">
        <v>2.9655</v>
      </c>
      <c r="C15320" t="str">
        <f t="shared" si="244"/>
        <v>2020 q3</v>
      </c>
    </row>
    <row r="15321" spans="1:3">
      <c r="A15321" s="62">
        <v>44070</v>
      </c>
      <c r="B15321">
        <v>2.9767000000000001</v>
      </c>
      <c r="C15321" t="str">
        <f t="shared" si="244"/>
        <v>2020 q3</v>
      </c>
    </row>
    <row r="15322" spans="1:3">
      <c r="A15322" s="62">
        <v>44071</v>
      </c>
      <c r="B15322">
        <v>3.0097</v>
      </c>
      <c r="C15322" t="str">
        <f t="shared" si="244"/>
        <v>2020 q3</v>
      </c>
    </row>
    <row r="15323" spans="1:3">
      <c r="A15323" s="62">
        <v>44074</v>
      </c>
      <c r="B15323">
        <v>3.0573999999999999</v>
      </c>
      <c r="C15323" t="str">
        <f t="shared" si="244"/>
        <v>2020 q3</v>
      </c>
    </row>
    <row r="15324" spans="1:3">
      <c r="A15324" s="62">
        <v>44075</v>
      </c>
      <c r="B15324">
        <v>3.0285000000000002</v>
      </c>
      <c r="C15324" t="str">
        <f t="shared" si="244"/>
        <v>2020 q3</v>
      </c>
    </row>
    <row r="15325" spans="1:3">
      <c r="A15325" s="62">
        <v>44076</v>
      </c>
      <c r="B15325">
        <v>3.0205000000000002</v>
      </c>
      <c r="C15325" t="str">
        <f t="shared" si="244"/>
        <v>2020 q3</v>
      </c>
    </row>
    <row r="15326" spans="1:3">
      <c r="A15326" s="62">
        <v>44077</v>
      </c>
      <c r="B15326">
        <v>2.9750000000000001</v>
      </c>
      <c r="C15326" t="str">
        <f t="shared" si="244"/>
        <v>2020 q3</v>
      </c>
    </row>
    <row r="15327" spans="1:3">
      <c r="A15327" s="62">
        <v>44078</v>
      </c>
      <c r="B15327">
        <v>3.0619999999999998</v>
      </c>
      <c r="C15327" t="str">
        <f t="shared" si="244"/>
        <v>2020 q3</v>
      </c>
    </row>
    <row r="15328" spans="1:3">
      <c r="A15328" s="62">
        <v>44082</v>
      </c>
      <c r="B15328">
        <v>3.0249999999999999</v>
      </c>
      <c r="C15328" t="str">
        <f t="shared" si="244"/>
        <v>2020 q3</v>
      </c>
    </row>
    <row r="15329" spans="1:3">
      <c r="A15329" s="62">
        <v>44083</v>
      </c>
      <c r="B15329">
        <v>3.0514999999999999</v>
      </c>
      <c r="C15329" t="str">
        <f t="shared" si="244"/>
        <v>2020 q3</v>
      </c>
    </row>
    <row r="15330" spans="1:3">
      <c r="A15330" s="62">
        <v>44084</v>
      </c>
      <c r="B15330">
        <v>2.9984999999999999</v>
      </c>
      <c r="C15330" t="str">
        <f t="shared" si="244"/>
        <v>2020 q3</v>
      </c>
    </row>
    <row r="15331" spans="1:3">
      <c r="A15331" s="62">
        <v>44085</v>
      </c>
      <c r="B15331">
        <v>3.0394999999999999</v>
      </c>
      <c r="C15331" t="str">
        <f t="shared" si="244"/>
        <v>2020 q3</v>
      </c>
    </row>
    <row r="15332" spans="1:3">
      <c r="A15332" s="62">
        <v>44088</v>
      </c>
      <c r="B15332">
        <v>3.0680000000000001</v>
      </c>
      <c r="C15332" t="str">
        <f t="shared" si="244"/>
        <v>2020 q3</v>
      </c>
    </row>
    <row r="15333" spans="1:3">
      <c r="A15333" s="62">
        <v>44089</v>
      </c>
      <c r="B15333">
        <v>3.0630000000000002</v>
      </c>
      <c r="C15333" t="str">
        <f t="shared" si="244"/>
        <v>2020 q3</v>
      </c>
    </row>
    <row r="15334" spans="1:3">
      <c r="A15334" s="62">
        <v>44090</v>
      </c>
      <c r="B15334">
        <v>3.0609999999999999</v>
      </c>
      <c r="C15334" t="str">
        <f t="shared" si="244"/>
        <v>2020 q3</v>
      </c>
    </row>
    <row r="15335" spans="1:3">
      <c r="A15335" s="62">
        <v>44091</v>
      </c>
      <c r="B15335">
        <v>3.0710000000000002</v>
      </c>
      <c r="C15335" t="str">
        <f t="shared" si="244"/>
        <v>2020 q3</v>
      </c>
    </row>
    <row r="15336" spans="1:3">
      <c r="A15336" s="62">
        <v>44092</v>
      </c>
      <c r="B15336">
        <v>3.1160000000000001</v>
      </c>
      <c r="C15336" t="str">
        <f t="shared" si="244"/>
        <v>2020 q3</v>
      </c>
    </row>
    <row r="15337" spans="1:3">
      <c r="A15337" s="62">
        <v>44095</v>
      </c>
      <c r="B15337">
        <v>3.032</v>
      </c>
      <c r="C15337" t="str">
        <f t="shared" si="244"/>
        <v>2020 q3</v>
      </c>
    </row>
    <row r="15338" spans="1:3">
      <c r="A15338" s="62">
        <v>44096</v>
      </c>
      <c r="B15338">
        <v>3.0609999999999999</v>
      </c>
      <c r="C15338" t="str">
        <f t="shared" si="244"/>
        <v>2020 q3</v>
      </c>
    </row>
    <row r="15339" spans="1:3">
      <c r="A15339" s="62">
        <v>44097</v>
      </c>
      <c r="B15339">
        <v>2.9929999999999999</v>
      </c>
      <c r="C15339" t="str">
        <f t="shared" si="244"/>
        <v>2020 q3</v>
      </c>
    </row>
    <row r="15340" spans="1:3">
      <c r="A15340" s="62">
        <v>44098</v>
      </c>
      <c r="B15340">
        <v>2.968</v>
      </c>
      <c r="C15340" t="str">
        <f t="shared" si="244"/>
        <v>2020 q3</v>
      </c>
    </row>
    <row r="15341" spans="1:3">
      <c r="A15341" s="62">
        <v>44099</v>
      </c>
      <c r="B15341">
        <v>2.9710000000000001</v>
      </c>
      <c r="C15341" t="str">
        <f t="shared" si="244"/>
        <v>2020 q3</v>
      </c>
    </row>
    <row r="15342" spans="1:3">
      <c r="A15342" s="62">
        <v>44102</v>
      </c>
      <c r="B15342">
        <v>2.99</v>
      </c>
      <c r="C15342" t="str">
        <f t="shared" si="244"/>
        <v>2020 q3</v>
      </c>
    </row>
    <row r="15343" spans="1:3">
      <c r="A15343" s="62">
        <v>44103</v>
      </c>
      <c r="B15343">
        <v>2.99</v>
      </c>
      <c r="C15343" t="str">
        <f t="shared" si="244"/>
        <v>2020 q3</v>
      </c>
    </row>
    <row r="15344" spans="1:3">
      <c r="A15344" s="62">
        <v>44104</v>
      </c>
      <c r="B15344">
        <v>3.0325000000000002</v>
      </c>
      <c r="C15344" t="str">
        <f t="shared" si="244"/>
        <v>2020 q3</v>
      </c>
    </row>
    <row r="15345" spans="1:3">
      <c r="A15345" s="62">
        <v>44105</v>
      </c>
      <c r="B15345">
        <v>2.8654999999999999</v>
      </c>
      <c r="C15345" t="str">
        <f t="shared" si="244"/>
        <v>2020 q4</v>
      </c>
    </row>
    <row r="15346" spans="1:3">
      <c r="A15346" s="62">
        <v>44106</v>
      </c>
      <c r="B15346">
        <v>2.9775</v>
      </c>
      <c r="C15346" t="str">
        <f t="shared" si="244"/>
        <v>2020 q4</v>
      </c>
    </row>
    <row r="15347" spans="1:3">
      <c r="A15347" s="62">
        <v>44109</v>
      </c>
      <c r="B15347">
        <v>2.9630000000000001</v>
      </c>
      <c r="C15347" t="str">
        <f t="shared" si="244"/>
        <v>2020 q4</v>
      </c>
    </row>
    <row r="15348" spans="1:3">
      <c r="A15348" s="62">
        <v>44110</v>
      </c>
      <c r="B15348">
        <v>2.9634999999999998</v>
      </c>
      <c r="C15348" t="str">
        <f t="shared" si="244"/>
        <v>2020 q4</v>
      </c>
    </row>
    <row r="15349" spans="1:3">
      <c r="A15349" s="62">
        <v>44111</v>
      </c>
      <c r="B15349">
        <v>3.0329999999999999</v>
      </c>
      <c r="C15349" t="str">
        <f t="shared" si="244"/>
        <v>2020 q4</v>
      </c>
    </row>
    <row r="15350" spans="1:3">
      <c r="A15350" s="62">
        <v>44112</v>
      </c>
      <c r="B15350">
        <v>3.0419999999999998</v>
      </c>
      <c r="C15350" t="str">
        <f t="shared" si="244"/>
        <v>2020 q4</v>
      </c>
    </row>
    <row r="15351" spans="1:3">
      <c r="A15351" s="62">
        <v>44113</v>
      </c>
      <c r="B15351">
        <v>3.0825</v>
      </c>
      <c r="C15351" t="str">
        <f t="shared" si="244"/>
        <v>2020 q4</v>
      </c>
    </row>
    <row r="15352" spans="1:3">
      <c r="A15352" s="62">
        <v>44116</v>
      </c>
      <c r="B15352">
        <v>3.0640000000000001</v>
      </c>
      <c r="C15352" t="str">
        <f t="shared" si="244"/>
        <v>2020 q4</v>
      </c>
    </row>
    <row r="15353" spans="1:3">
      <c r="A15353" s="62">
        <v>44117</v>
      </c>
      <c r="B15353">
        <v>3.0445000000000002</v>
      </c>
      <c r="C15353" t="str">
        <f t="shared" si="244"/>
        <v>2020 q4</v>
      </c>
    </row>
    <row r="15354" spans="1:3">
      <c r="A15354" s="62">
        <v>44118</v>
      </c>
      <c r="B15354">
        <v>3.0505</v>
      </c>
      <c r="C15354" t="str">
        <f t="shared" si="244"/>
        <v>2020 q4</v>
      </c>
    </row>
    <row r="15355" spans="1:3">
      <c r="A15355" s="62">
        <v>44119</v>
      </c>
      <c r="B15355">
        <v>3.0855000000000001</v>
      </c>
      <c r="C15355" t="str">
        <f t="shared" si="244"/>
        <v>2020 q4</v>
      </c>
    </row>
    <row r="15356" spans="1:3">
      <c r="A15356" s="62">
        <v>44120</v>
      </c>
      <c r="B15356">
        <v>3.0674999999999999</v>
      </c>
      <c r="C15356" t="str">
        <f t="shared" si="244"/>
        <v>2020 q4</v>
      </c>
    </row>
    <row r="15357" spans="1:3">
      <c r="A15357" s="62">
        <v>44123</v>
      </c>
      <c r="B15357">
        <v>3.0859999999999999</v>
      </c>
      <c r="C15357" t="str">
        <f t="shared" si="244"/>
        <v>2020 q4</v>
      </c>
    </row>
    <row r="15358" spans="1:3">
      <c r="A15358" s="62">
        <v>44124</v>
      </c>
      <c r="B15358">
        <v>3.1480000000000001</v>
      </c>
      <c r="C15358" t="str">
        <f t="shared" si="244"/>
        <v>2020 q4</v>
      </c>
    </row>
    <row r="15359" spans="1:3">
      <c r="A15359" s="62">
        <v>44125</v>
      </c>
      <c r="B15359">
        <v>3.1985000000000001</v>
      </c>
      <c r="C15359" t="str">
        <f t="shared" si="244"/>
        <v>2020 q4</v>
      </c>
    </row>
    <row r="15360" spans="1:3">
      <c r="A15360" s="62">
        <v>44126</v>
      </c>
      <c r="B15360">
        <v>3.1535000000000002</v>
      </c>
      <c r="C15360" t="str">
        <f t="shared" si="244"/>
        <v>2020 q4</v>
      </c>
    </row>
    <row r="15361" spans="1:3">
      <c r="A15361" s="62">
        <v>44127</v>
      </c>
      <c r="B15361">
        <v>3.129</v>
      </c>
      <c r="C15361" t="str">
        <f t="shared" si="244"/>
        <v>2020 q4</v>
      </c>
    </row>
    <row r="15362" spans="1:3">
      <c r="A15362" s="62">
        <v>44130</v>
      </c>
      <c r="B15362">
        <v>3.0895000000000001</v>
      </c>
      <c r="C15362" t="str">
        <f t="shared" si="244"/>
        <v>2020 q4</v>
      </c>
    </row>
    <row r="15363" spans="1:3">
      <c r="A15363" s="62">
        <v>44131</v>
      </c>
      <c r="B15363">
        <v>3.0935000000000001</v>
      </c>
      <c r="C15363" t="str">
        <f t="shared" si="244"/>
        <v>2020 q4</v>
      </c>
    </row>
    <row r="15364" spans="1:3">
      <c r="A15364" s="62">
        <v>44132</v>
      </c>
      <c r="B15364">
        <v>3.0640000000000001</v>
      </c>
      <c r="C15364" t="str">
        <f t="shared" si="244"/>
        <v>2020 q4</v>
      </c>
    </row>
    <row r="15365" spans="1:3">
      <c r="A15365" s="62">
        <v>44133</v>
      </c>
      <c r="B15365">
        <v>3.0565000000000002</v>
      </c>
      <c r="C15365" t="str">
        <f t="shared" si="244"/>
        <v>2020 q4</v>
      </c>
    </row>
    <row r="15366" spans="1:3">
      <c r="A15366" s="62">
        <v>44134</v>
      </c>
      <c r="B15366">
        <v>3.0474999999999999</v>
      </c>
      <c r="C15366" t="str">
        <f t="shared" si="244"/>
        <v>2020 q4</v>
      </c>
    </row>
    <row r="15367" spans="1:3">
      <c r="A15367" s="62">
        <v>44137</v>
      </c>
      <c r="B15367">
        <v>3.077</v>
      </c>
      <c r="C15367" t="str">
        <f t="shared" si="244"/>
        <v>2020 q4</v>
      </c>
    </row>
    <row r="15368" spans="1:3">
      <c r="A15368" s="62">
        <v>44138</v>
      </c>
      <c r="B15368">
        <v>3.0924999999999998</v>
      </c>
      <c r="C15368" t="str">
        <f t="shared" si="244"/>
        <v>2020 q4</v>
      </c>
    </row>
    <row r="15369" spans="1:3">
      <c r="A15369" s="62">
        <v>44139</v>
      </c>
      <c r="B15369">
        <v>3.1070000000000002</v>
      </c>
      <c r="C15369" t="str">
        <f t="shared" si="244"/>
        <v>2020 q4</v>
      </c>
    </row>
    <row r="15370" spans="1:3">
      <c r="A15370" s="62">
        <v>44140</v>
      </c>
      <c r="B15370">
        <v>3.11</v>
      </c>
      <c r="C15370" t="str">
        <f t="shared" si="244"/>
        <v>2020 q4</v>
      </c>
    </row>
    <row r="15371" spans="1:3">
      <c r="A15371" s="62">
        <v>44141</v>
      </c>
      <c r="B15371">
        <v>3.1539999999999999</v>
      </c>
      <c r="C15371" t="str">
        <f t="shared" si="244"/>
        <v>2020 q4</v>
      </c>
    </row>
    <row r="15372" spans="1:3">
      <c r="A15372" s="62">
        <v>44144</v>
      </c>
      <c r="B15372">
        <v>3.1560000000000001</v>
      </c>
      <c r="C15372" t="str">
        <f t="shared" si="244"/>
        <v>2020 q4</v>
      </c>
    </row>
    <row r="15373" spans="1:3">
      <c r="A15373" s="62">
        <v>44145</v>
      </c>
      <c r="B15373">
        <v>3.1555</v>
      </c>
      <c r="C15373" t="str">
        <f t="shared" si="244"/>
        <v>2020 q4</v>
      </c>
    </row>
    <row r="15374" spans="1:3">
      <c r="A15374" s="62">
        <v>44146</v>
      </c>
      <c r="B15374">
        <v>3.1339999999999999</v>
      </c>
      <c r="C15374" t="str">
        <f t="shared" si="244"/>
        <v>2020 q4</v>
      </c>
    </row>
    <row r="15375" spans="1:3">
      <c r="A15375" s="62">
        <v>44147</v>
      </c>
      <c r="B15375">
        <v>3.145</v>
      </c>
      <c r="C15375" t="str">
        <f t="shared" si="244"/>
        <v>2020 q4</v>
      </c>
    </row>
    <row r="15376" spans="1:3">
      <c r="A15376" s="62">
        <v>44148</v>
      </c>
      <c r="B15376">
        <v>3.1779999999999999</v>
      </c>
      <c r="C15376" t="str">
        <f t="shared" si="244"/>
        <v>2020 q4</v>
      </c>
    </row>
    <row r="15377" spans="1:3">
      <c r="A15377" s="62">
        <v>44151</v>
      </c>
      <c r="B15377">
        <v>3.222</v>
      </c>
      <c r="C15377" t="str">
        <f t="shared" si="244"/>
        <v>2020 q4</v>
      </c>
    </row>
    <row r="15378" spans="1:3">
      <c r="A15378" s="62">
        <v>44152</v>
      </c>
      <c r="B15378">
        <v>3.198</v>
      </c>
      <c r="C15378" t="str">
        <f t="shared" ref="C15378:C15441" si="245">YEAR(A15378)&amp;" q"&amp;ROUNDUP(MONTH(A15378)/3,0)</f>
        <v>2020 q4</v>
      </c>
    </row>
    <row r="15379" spans="1:3">
      <c r="A15379" s="62">
        <v>44153</v>
      </c>
      <c r="B15379">
        <v>3.198</v>
      </c>
      <c r="C15379" t="str">
        <f t="shared" si="245"/>
        <v>2020 q4</v>
      </c>
    </row>
    <row r="15380" spans="1:3">
      <c r="A15380" s="62">
        <v>44154</v>
      </c>
      <c r="B15380">
        <v>3.202</v>
      </c>
      <c r="C15380" t="str">
        <f t="shared" si="245"/>
        <v>2020 q4</v>
      </c>
    </row>
    <row r="15381" spans="1:3">
      <c r="A15381" s="62">
        <v>44155</v>
      </c>
      <c r="B15381">
        <v>3.2909999999999999</v>
      </c>
      <c r="C15381" t="str">
        <f t="shared" si="245"/>
        <v>2020 q4</v>
      </c>
    </row>
    <row r="15382" spans="1:3">
      <c r="A15382" s="62">
        <v>44158</v>
      </c>
      <c r="B15382">
        <v>3.258</v>
      </c>
      <c r="C15382" t="str">
        <f t="shared" si="245"/>
        <v>2020 q4</v>
      </c>
    </row>
    <row r="15383" spans="1:3">
      <c r="A15383" s="62">
        <v>44159</v>
      </c>
      <c r="B15383">
        <v>3.3010999999999999</v>
      </c>
      <c r="C15383" t="str">
        <f t="shared" si="245"/>
        <v>2020 q4</v>
      </c>
    </row>
    <row r="15384" spans="1:3">
      <c r="A15384" s="62">
        <v>44160</v>
      </c>
      <c r="B15384">
        <v>3.3129</v>
      </c>
      <c r="C15384" t="str">
        <f t="shared" si="245"/>
        <v>2020 q4</v>
      </c>
    </row>
    <row r="15385" spans="1:3">
      <c r="A15385" s="62">
        <v>44162</v>
      </c>
      <c r="B15385">
        <v>3.4037000000000002</v>
      </c>
      <c r="C15385" t="str">
        <f t="shared" si="245"/>
        <v>2020 q4</v>
      </c>
    </row>
    <row r="15386" spans="1:3">
      <c r="A15386" s="62">
        <v>44165</v>
      </c>
      <c r="B15386">
        <v>3.4257</v>
      </c>
      <c r="C15386" t="str">
        <f t="shared" si="245"/>
        <v>2020 q4</v>
      </c>
    </row>
    <row r="15387" spans="1:3">
      <c r="A15387" s="62">
        <v>44166</v>
      </c>
      <c r="B15387">
        <v>3.4729999999999999</v>
      </c>
      <c r="C15387" t="str">
        <f t="shared" si="245"/>
        <v>2020 q4</v>
      </c>
    </row>
    <row r="15388" spans="1:3">
      <c r="A15388" s="62">
        <v>44167</v>
      </c>
      <c r="B15388">
        <v>3.4780000000000002</v>
      </c>
      <c r="C15388" t="str">
        <f t="shared" si="245"/>
        <v>2020 q4</v>
      </c>
    </row>
    <row r="15389" spans="1:3">
      <c r="A15389" s="62">
        <v>44168</v>
      </c>
      <c r="B15389">
        <v>3.4809999999999999</v>
      </c>
      <c r="C15389" t="str">
        <f t="shared" si="245"/>
        <v>2020 q4</v>
      </c>
    </row>
    <row r="15390" spans="1:3">
      <c r="A15390" s="62">
        <v>44169</v>
      </c>
      <c r="B15390">
        <v>3.516</v>
      </c>
      <c r="C15390" t="str">
        <f t="shared" si="245"/>
        <v>2020 q4</v>
      </c>
    </row>
    <row r="15391" spans="1:3">
      <c r="A15391" s="62">
        <v>44172</v>
      </c>
      <c r="B15391">
        <v>3.5095000000000001</v>
      </c>
      <c r="C15391" t="str">
        <f t="shared" si="245"/>
        <v>2020 q4</v>
      </c>
    </row>
    <row r="15392" spans="1:3">
      <c r="A15392" s="62">
        <v>44173</v>
      </c>
      <c r="B15392">
        <v>3.4935</v>
      </c>
      <c r="C15392" t="str">
        <f t="shared" si="245"/>
        <v>2020 q4</v>
      </c>
    </row>
    <row r="15393" spans="1:3">
      <c r="A15393" s="62">
        <v>44174</v>
      </c>
      <c r="B15393">
        <v>3.5085000000000002</v>
      </c>
      <c r="C15393" t="str">
        <f t="shared" si="245"/>
        <v>2020 q4</v>
      </c>
    </row>
    <row r="15394" spans="1:3">
      <c r="A15394" s="62">
        <v>44175</v>
      </c>
      <c r="B15394">
        <v>3.5695000000000001</v>
      </c>
      <c r="C15394" t="str">
        <f t="shared" si="245"/>
        <v>2020 q4</v>
      </c>
    </row>
    <row r="15395" spans="1:3">
      <c r="A15395" s="62">
        <v>44176</v>
      </c>
      <c r="B15395">
        <v>3.5234999999999999</v>
      </c>
      <c r="C15395" t="str">
        <f t="shared" si="245"/>
        <v>2020 q4</v>
      </c>
    </row>
    <row r="15396" spans="1:3">
      <c r="A15396" s="62">
        <v>44179</v>
      </c>
      <c r="B15396">
        <v>3.5215000000000001</v>
      </c>
      <c r="C15396" t="str">
        <f t="shared" si="245"/>
        <v>2020 q4</v>
      </c>
    </row>
    <row r="15397" spans="1:3">
      <c r="A15397" s="62">
        <v>44180</v>
      </c>
      <c r="B15397">
        <v>3.5379999999999998</v>
      </c>
      <c r="C15397" t="str">
        <f t="shared" si="245"/>
        <v>2020 q4</v>
      </c>
    </row>
    <row r="15398" spans="1:3">
      <c r="A15398" s="62">
        <v>44181</v>
      </c>
      <c r="B15398">
        <v>3.5535000000000001</v>
      </c>
      <c r="C15398" t="str">
        <f t="shared" si="245"/>
        <v>2020 q4</v>
      </c>
    </row>
    <row r="15399" spans="1:3">
      <c r="A15399" s="62">
        <v>44182</v>
      </c>
      <c r="B15399">
        <v>3.5964999999999998</v>
      </c>
      <c r="C15399" t="str">
        <f t="shared" si="245"/>
        <v>2020 q4</v>
      </c>
    </row>
    <row r="15400" spans="1:3">
      <c r="A15400" s="62">
        <v>44183</v>
      </c>
      <c r="B15400">
        <v>3.6274999999999999</v>
      </c>
      <c r="C15400" t="str">
        <f t="shared" si="245"/>
        <v>2020 q4</v>
      </c>
    </row>
    <row r="15401" spans="1:3">
      <c r="A15401" s="62">
        <v>44186</v>
      </c>
      <c r="B15401">
        <v>3.5724999999999998</v>
      </c>
      <c r="C15401" t="str">
        <f t="shared" si="245"/>
        <v>2020 q4</v>
      </c>
    </row>
    <row r="15402" spans="1:3">
      <c r="A15402" s="62">
        <v>44187</v>
      </c>
      <c r="B15402">
        <v>3.5165000000000002</v>
      </c>
      <c r="C15402" t="str">
        <f t="shared" si="245"/>
        <v>2020 q4</v>
      </c>
    </row>
    <row r="15403" spans="1:3">
      <c r="A15403" s="62">
        <v>44188</v>
      </c>
      <c r="B15403">
        <v>3.5525000000000002</v>
      </c>
      <c r="C15403" t="str">
        <f t="shared" si="245"/>
        <v>2020 q4</v>
      </c>
    </row>
    <row r="15404" spans="1:3">
      <c r="A15404" s="62">
        <v>44189</v>
      </c>
      <c r="B15404">
        <v>3.5585</v>
      </c>
      <c r="C15404" t="str">
        <f t="shared" si="245"/>
        <v>2020 q4</v>
      </c>
    </row>
    <row r="15405" spans="1:3">
      <c r="A15405" s="62">
        <v>44193</v>
      </c>
      <c r="B15405">
        <v>3.5678000000000001</v>
      </c>
      <c r="C15405" t="str">
        <f t="shared" si="245"/>
        <v>2020 q4</v>
      </c>
    </row>
    <row r="15406" spans="1:3">
      <c r="A15406" s="62">
        <v>44194</v>
      </c>
      <c r="B15406">
        <v>3.5518999999999998</v>
      </c>
      <c r="C15406" t="str">
        <f t="shared" si="245"/>
        <v>2020 q4</v>
      </c>
    </row>
    <row r="15407" spans="1:3">
      <c r="A15407" s="62">
        <v>44195</v>
      </c>
      <c r="B15407">
        <v>3.5466000000000002</v>
      </c>
      <c r="C15407" t="str">
        <f t="shared" si="245"/>
        <v>2020 q4</v>
      </c>
    </row>
    <row r="15408" spans="1:3">
      <c r="A15408" s="62">
        <v>44196</v>
      </c>
      <c r="B15408">
        <v>3.5179999999999998</v>
      </c>
      <c r="C15408" t="str">
        <f t="shared" si="245"/>
        <v>2020 q4</v>
      </c>
    </row>
    <row r="15409" spans="1:3">
      <c r="A15409" s="62">
        <v>44200</v>
      </c>
      <c r="B15409">
        <v>3.5545</v>
      </c>
      <c r="C15409" t="str">
        <f t="shared" si="245"/>
        <v>2021 q1</v>
      </c>
    </row>
    <row r="15410" spans="1:3">
      <c r="A15410" s="62">
        <v>44201</v>
      </c>
      <c r="B15410">
        <v>3.6395</v>
      </c>
      <c r="C15410" t="str">
        <f t="shared" si="245"/>
        <v>2021 q1</v>
      </c>
    </row>
    <row r="15411" spans="1:3">
      <c r="A15411" s="62">
        <v>44202</v>
      </c>
      <c r="B15411">
        <v>3.6505000000000001</v>
      </c>
      <c r="C15411" t="str">
        <f t="shared" si="245"/>
        <v>2021 q1</v>
      </c>
    </row>
    <row r="15412" spans="1:3">
      <c r="A15412" s="62">
        <v>44203</v>
      </c>
      <c r="B15412">
        <v>3.6960000000000002</v>
      </c>
      <c r="C15412" t="str">
        <f t="shared" si="245"/>
        <v>2021 q1</v>
      </c>
    </row>
    <row r="15413" spans="1:3">
      <c r="A15413" s="62">
        <v>44204</v>
      </c>
      <c r="B15413">
        <v>3.6735000000000002</v>
      </c>
      <c r="C15413" t="str">
        <f t="shared" si="245"/>
        <v>2021 q1</v>
      </c>
    </row>
    <row r="15414" spans="1:3">
      <c r="A15414" s="62">
        <v>44207</v>
      </c>
      <c r="B15414">
        <v>3.5644999999999998</v>
      </c>
      <c r="C15414" t="str">
        <f t="shared" si="245"/>
        <v>2021 q1</v>
      </c>
    </row>
    <row r="15415" spans="1:3">
      <c r="A15415" s="62">
        <v>44208</v>
      </c>
      <c r="B15415">
        <v>3.6055000000000001</v>
      </c>
      <c r="C15415" t="str">
        <f t="shared" si="245"/>
        <v>2021 q1</v>
      </c>
    </row>
    <row r="15416" spans="1:3">
      <c r="A15416" s="62">
        <v>44209</v>
      </c>
      <c r="B15416">
        <v>3.617</v>
      </c>
      <c r="C15416" t="str">
        <f t="shared" si="245"/>
        <v>2021 q1</v>
      </c>
    </row>
    <row r="15417" spans="1:3">
      <c r="A15417" s="62">
        <v>44210</v>
      </c>
      <c r="B15417">
        <v>3.6644999999999999</v>
      </c>
      <c r="C15417" t="str">
        <f t="shared" si="245"/>
        <v>2021 q1</v>
      </c>
    </row>
    <row r="15418" spans="1:3">
      <c r="A15418" s="62">
        <v>44211</v>
      </c>
      <c r="B15418">
        <v>3.6019999999999999</v>
      </c>
      <c r="C15418" t="str">
        <f t="shared" si="245"/>
        <v>2021 q1</v>
      </c>
    </row>
    <row r="15419" spans="1:3">
      <c r="A15419" s="62">
        <v>44215</v>
      </c>
      <c r="B15419">
        <v>3.6335000000000002</v>
      </c>
      <c r="C15419" t="str">
        <f t="shared" si="245"/>
        <v>2021 q1</v>
      </c>
    </row>
    <row r="15420" spans="1:3">
      <c r="A15420" s="62">
        <v>44216</v>
      </c>
      <c r="B15420">
        <v>3.6415000000000002</v>
      </c>
      <c r="C15420" t="str">
        <f t="shared" si="245"/>
        <v>2021 q1</v>
      </c>
    </row>
    <row r="15421" spans="1:3">
      <c r="A15421" s="62">
        <v>44217</v>
      </c>
      <c r="B15421">
        <v>3.6475</v>
      </c>
      <c r="C15421" t="str">
        <f t="shared" si="245"/>
        <v>2021 q1</v>
      </c>
    </row>
    <row r="15422" spans="1:3">
      <c r="A15422" s="62">
        <v>44218</v>
      </c>
      <c r="B15422">
        <v>3.6259999999999999</v>
      </c>
      <c r="C15422" t="str">
        <f t="shared" si="245"/>
        <v>2021 q1</v>
      </c>
    </row>
    <row r="15423" spans="1:3">
      <c r="A15423" s="62">
        <v>44221</v>
      </c>
      <c r="B15423">
        <v>3.6295000000000002</v>
      </c>
      <c r="C15423" t="str">
        <f t="shared" si="245"/>
        <v>2021 q1</v>
      </c>
    </row>
    <row r="15424" spans="1:3">
      <c r="A15424" s="62">
        <v>44222</v>
      </c>
      <c r="B15424">
        <v>3.6194999999999999</v>
      </c>
      <c r="C15424" t="str">
        <f t="shared" si="245"/>
        <v>2021 q1</v>
      </c>
    </row>
    <row r="15425" spans="1:3">
      <c r="A15425" s="62">
        <v>44223</v>
      </c>
      <c r="B15425">
        <v>3.5575000000000001</v>
      </c>
      <c r="C15425" t="str">
        <f t="shared" si="245"/>
        <v>2021 q1</v>
      </c>
    </row>
    <row r="15426" spans="1:3">
      <c r="A15426" s="62">
        <v>44224</v>
      </c>
      <c r="B15426">
        <v>3.5779999999999998</v>
      </c>
      <c r="C15426" t="str">
        <f t="shared" si="245"/>
        <v>2021 q1</v>
      </c>
    </row>
    <row r="15427" spans="1:3">
      <c r="A15427" s="62">
        <v>44225</v>
      </c>
      <c r="B15427">
        <v>3.556</v>
      </c>
      <c r="C15427" t="str">
        <f t="shared" si="245"/>
        <v>2021 q1</v>
      </c>
    </row>
    <row r="15428" spans="1:3">
      <c r="A15428" s="62">
        <v>44228</v>
      </c>
      <c r="B15428">
        <v>3.5459999999999998</v>
      </c>
      <c r="C15428" t="str">
        <f t="shared" si="245"/>
        <v>2021 q1</v>
      </c>
    </row>
    <row r="15429" spans="1:3">
      <c r="A15429" s="62">
        <v>44229</v>
      </c>
      <c r="B15429">
        <v>3.5245000000000002</v>
      </c>
      <c r="C15429" t="str">
        <f t="shared" si="245"/>
        <v>2021 q1</v>
      </c>
    </row>
    <row r="15430" spans="1:3">
      <c r="A15430" s="62">
        <v>44230</v>
      </c>
      <c r="B15430">
        <v>3.5655000000000001</v>
      </c>
      <c r="C15430" t="str">
        <f t="shared" si="245"/>
        <v>2021 q1</v>
      </c>
    </row>
    <row r="15431" spans="1:3">
      <c r="A15431" s="62">
        <v>44231</v>
      </c>
      <c r="B15431">
        <v>3.5529999999999999</v>
      </c>
      <c r="C15431" t="str">
        <f t="shared" si="245"/>
        <v>2021 q1</v>
      </c>
    </row>
    <row r="15432" spans="1:3">
      <c r="A15432" s="62">
        <v>44232</v>
      </c>
      <c r="B15432">
        <v>3.6259999999999999</v>
      </c>
      <c r="C15432" t="str">
        <f t="shared" si="245"/>
        <v>2021 q1</v>
      </c>
    </row>
    <row r="15433" spans="1:3">
      <c r="A15433" s="62">
        <v>44235</v>
      </c>
      <c r="B15433">
        <v>3.6659999999999999</v>
      </c>
      <c r="C15433" t="str">
        <f t="shared" si="245"/>
        <v>2021 q1</v>
      </c>
    </row>
    <row r="15434" spans="1:3">
      <c r="A15434" s="62">
        <v>44236</v>
      </c>
      <c r="B15434">
        <v>3.72</v>
      </c>
      <c r="C15434" t="str">
        <f t="shared" si="245"/>
        <v>2021 q1</v>
      </c>
    </row>
    <row r="15435" spans="1:3">
      <c r="A15435" s="62">
        <v>44237</v>
      </c>
      <c r="B15435">
        <v>3.7725</v>
      </c>
      <c r="C15435" t="str">
        <f t="shared" si="245"/>
        <v>2021 q1</v>
      </c>
    </row>
    <row r="15436" spans="1:3">
      <c r="A15436" s="62">
        <v>44238</v>
      </c>
      <c r="B15436">
        <v>3.7715000000000001</v>
      </c>
      <c r="C15436" t="str">
        <f t="shared" si="245"/>
        <v>2021 q1</v>
      </c>
    </row>
    <row r="15437" spans="1:3">
      <c r="A15437" s="62">
        <v>44239</v>
      </c>
      <c r="B15437">
        <v>3.7879999999999998</v>
      </c>
      <c r="C15437" t="str">
        <f t="shared" si="245"/>
        <v>2021 q1</v>
      </c>
    </row>
    <row r="15438" spans="1:3">
      <c r="A15438" s="62">
        <v>44243</v>
      </c>
      <c r="B15438">
        <v>3.8340000000000001</v>
      </c>
      <c r="C15438" t="str">
        <f t="shared" si="245"/>
        <v>2021 q1</v>
      </c>
    </row>
    <row r="15439" spans="1:3">
      <c r="A15439" s="62">
        <v>44244</v>
      </c>
      <c r="B15439">
        <v>3.8205</v>
      </c>
      <c r="C15439" t="str">
        <f t="shared" si="245"/>
        <v>2021 q1</v>
      </c>
    </row>
    <row r="15440" spans="1:3">
      <c r="A15440" s="62">
        <v>44245</v>
      </c>
      <c r="B15440">
        <v>3.9009999999999998</v>
      </c>
      <c r="C15440" t="str">
        <f t="shared" si="245"/>
        <v>2021 q1</v>
      </c>
    </row>
    <row r="15441" spans="1:3">
      <c r="A15441" s="62">
        <v>44246</v>
      </c>
      <c r="B15441">
        <v>4.0739999999999998</v>
      </c>
      <c r="C15441" t="str">
        <f t="shared" si="245"/>
        <v>2021 q1</v>
      </c>
    </row>
    <row r="15442" spans="1:3">
      <c r="A15442" s="62">
        <v>44249</v>
      </c>
      <c r="B15442">
        <v>4.141</v>
      </c>
      <c r="C15442" t="str">
        <f t="shared" ref="C15442:C15505" si="246">YEAR(A15442)&amp;" q"&amp;ROUNDUP(MONTH(A15442)/3,0)</f>
        <v>2021 q1</v>
      </c>
    </row>
    <row r="15443" spans="1:3">
      <c r="A15443" s="62">
        <v>44250</v>
      </c>
      <c r="B15443">
        <v>4.1802999999999999</v>
      </c>
      <c r="C15443" t="str">
        <f t="shared" si="246"/>
        <v>2021 q1</v>
      </c>
    </row>
    <row r="15444" spans="1:3">
      <c r="A15444" s="62">
        <v>44251</v>
      </c>
      <c r="B15444">
        <v>4.2983000000000002</v>
      </c>
      <c r="C15444" t="str">
        <f t="shared" si="246"/>
        <v>2021 q1</v>
      </c>
    </row>
    <row r="15445" spans="1:3">
      <c r="A15445" s="62">
        <v>44252</v>
      </c>
      <c r="B15445">
        <v>4.2645</v>
      </c>
      <c r="C15445" t="str">
        <f t="shared" si="246"/>
        <v>2021 q1</v>
      </c>
    </row>
    <row r="15446" spans="1:3">
      <c r="A15446" s="62">
        <v>44253</v>
      </c>
      <c r="B15446">
        <v>4.0929000000000002</v>
      </c>
      <c r="C15446" t="str">
        <f t="shared" si="246"/>
        <v>2021 q1</v>
      </c>
    </row>
    <row r="15447" spans="1:3">
      <c r="A15447" s="62">
        <v>44256</v>
      </c>
      <c r="B15447">
        <v>4.1130000000000004</v>
      </c>
      <c r="C15447" t="str">
        <f t="shared" si="246"/>
        <v>2021 q1</v>
      </c>
    </row>
    <row r="15448" spans="1:3">
      <c r="A15448" s="62">
        <v>44257</v>
      </c>
      <c r="B15448">
        <v>4.2220000000000004</v>
      </c>
      <c r="C15448" t="str">
        <f t="shared" si="246"/>
        <v>2021 q1</v>
      </c>
    </row>
    <row r="15449" spans="1:3">
      <c r="A15449" s="62">
        <v>44258</v>
      </c>
      <c r="B15449">
        <v>4.1420000000000003</v>
      </c>
      <c r="C15449" t="str">
        <f t="shared" si="246"/>
        <v>2021 q1</v>
      </c>
    </row>
    <row r="15450" spans="1:3">
      <c r="A15450" s="62">
        <v>44259</v>
      </c>
      <c r="B15450">
        <v>3.9784999999999999</v>
      </c>
      <c r="C15450" t="str">
        <f t="shared" si="246"/>
        <v>2021 q1</v>
      </c>
    </row>
    <row r="15451" spans="1:3">
      <c r="A15451" s="62">
        <v>44260</v>
      </c>
      <c r="B15451">
        <v>4.0754999999999999</v>
      </c>
      <c r="C15451" t="str">
        <f t="shared" si="246"/>
        <v>2021 q1</v>
      </c>
    </row>
    <row r="15452" spans="1:3">
      <c r="A15452" s="62">
        <v>44263</v>
      </c>
      <c r="B15452">
        <v>4.093</v>
      </c>
      <c r="C15452" t="str">
        <f t="shared" si="246"/>
        <v>2021 q1</v>
      </c>
    </row>
    <row r="15453" spans="1:3">
      <c r="A15453" s="62">
        <v>44264</v>
      </c>
      <c r="B15453">
        <v>4.0084999999999997</v>
      </c>
      <c r="C15453" t="str">
        <f t="shared" si="246"/>
        <v>2021 q1</v>
      </c>
    </row>
    <row r="15454" spans="1:3">
      <c r="A15454" s="62">
        <v>44265</v>
      </c>
      <c r="B15454">
        <v>4.0324999999999998</v>
      </c>
      <c r="C15454" t="str">
        <f t="shared" si="246"/>
        <v>2021 q1</v>
      </c>
    </row>
    <row r="15455" spans="1:3">
      <c r="A15455" s="62">
        <v>44266</v>
      </c>
      <c r="B15455">
        <v>4.1390000000000002</v>
      </c>
      <c r="C15455" t="str">
        <f t="shared" si="246"/>
        <v>2021 q1</v>
      </c>
    </row>
    <row r="15456" spans="1:3">
      <c r="A15456" s="62">
        <v>44267</v>
      </c>
      <c r="B15456">
        <v>4.1399999999999997</v>
      </c>
      <c r="C15456" t="str">
        <f t="shared" si="246"/>
        <v>2021 q1</v>
      </c>
    </row>
    <row r="15457" spans="1:3">
      <c r="A15457" s="62">
        <v>44270</v>
      </c>
      <c r="B15457">
        <v>4.1405000000000003</v>
      </c>
      <c r="C15457" t="str">
        <f t="shared" si="246"/>
        <v>2021 q1</v>
      </c>
    </row>
    <row r="15458" spans="1:3">
      <c r="A15458" s="62">
        <v>44271</v>
      </c>
      <c r="B15458">
        <v>4.0715000000000003</v>
      </c>
      <c r="C15458" t="str">
        <f t="shared" si="246"/>
        <v>2021 q1</v>
      </c>
    </row>
    <row r="15459" spans="1:3">
      <c r="A15459" s="62">
        <v>44272</v>
      </c>
      <c r="B15459">
        <v>4.1189999999999998</v>
      </c>
      <c r="C15459" t="str">
        <f t="shared" si="246"/>
        <v>2021 q1</v>
      </c>
    </row>
    <row r="15460" spans="1:3">
      <c r="A15460" s="62">
        <v>44273</v>
      </c>
      <c r="B15460">
        <v>4.1079999999999997</v>
      </c>
      <c r="C15460" t="str">
        <f t="shared" si="246"/>
        <v>2021 q1</v>
      </c>
    </row>
    <row r="15461" spans="1:3">
      <c r="A15461" s="62">
        <v>44274</v>
      </c>
      <c r="B15461">
        <v>4.1130000000000004</v>
      </c>
      <c r="C15461" t="str">
        <f t="shared" si="246"/>
        <v>2021 q1</v>
      </c>
    </row>
    <row r="15462" spans="1:3">
      <c r="A15462" s="62">
        <v>44277</v>
      </c>
      <c r="B15462">
        <v>4.1395</v>
      </c>
      <c r="C15462" t="str">
        <f t="shared" si="246"/>
        <v>2021 q1</v>
      </c>
    </row>
    <row r="15463" spans="1:3">
      <c r="A15463" s="62">
        <v>44278</v>
      </c>
      <c r="B15463">
        <v>4.0795000000000003</v>
      </c>
      <c r="C15463" t="str">
        <f t="shared" si="246"/>
        <v>2021 q1</v>
      </c>
    </row>
    <row r="15464" spans="1:3">
      <c r="A15464" s="62">
        <v>44279</v>
      </c>
      <c r="B15464">
        <v>4.0640000000000001</v>
      </c>
      <c r="C15464" t="str">
        <f t="shared" si="246"/>
        <v>2021 q1</v>
      </c>
    </row>
    <row r="15465" spans="1:3">
      <c r="A15465" s="62">
        <v>44280</v>
      </c>
      <c r="B15465">
        <v>3.9780000000000002</v>
      </c>
      <c r="C15465" t="str">
        <f t="shared" si="246"/>
        <v>2021 q1</v>
      </c>
    </row>
    <row r="15466" spans="1:3">
      <c r="A15466" s="62">
        <v>44281</v>
      </c>
      <c r="B15466">
        <v>4.0679999999999996</v>
      </c>
      <c r="C15466" t="str">
        <f t="shared" si="246"/>
        <v>2021 q1</v>
      </c>
    </row>
    <row r="15467" spans="1:3">
      <c r="A15467" s="62">
        <v>44284</v>
      </c>
      <c r="B15467">
        <v>4.0345000000000004</v>
      </c>
      <c r="C15467" t="str">
        <f t="shared" si="246"/>
        <v>2021 q1</v>
      </c>
    </row>
    <row r="15468" spans="1:3">
      <c r="A15468" s="62">
        <v>44285</v>
      </c>
      <c r="B15468">
        <v>3.9784999999999999</v>
      </c>
      <c r="C15468" t="str">
        <f t="shared" si="246"/>
        <v>2021 q1</v>
      </c>
    </row>
    <row r="15469" spans="1:3">
      <c r="A15469" s="62">
        <v>44286</v>
      </c>
      <c r="B15469">
        <v>3.9954999999999998</v>
      </c>
      <c r="C15469" t="str">
        <f t="shared" si="246"/>
        <v>2021 q1</v>
      </c>
    </row>
    <row r="15470" spans="1:3">
      <c r="A15470" s="62">
        <v>44287</v>
      </c>
      <c r="B15470">
        <v>3.9904999999999999</v>
      </c>
      <c r="C15470" t="str">
        <f t="shared" si="246"/>
        <v>2021 q2</v>
      </c>
    </row>
    <row r="15471" spans="1:3">
      <c r="A15471" s="62">
        <v>44291</v>
      </c>
      <c r="B15471">
        <v>4.1375000000000002</v>
      </c>
      <c r="C15471" t="str">
        <f t="shared" si="246"/>
        <v>2021 q2</v>
      </c>
    </row>
    <row r="15472" spans="1:3">
      <c r="A15472" s="62">
        <v>44292</v>
      </c>
      <c r="B15472">
        <v>4.1165000000000003</v>
      </c>
      <c r="C15472" t="str">
        <f t="shared" si="246"/>
        <v>2021 q2</v>
      </c>
    </row>
    <row r="15473" spans="1:3">
      <c r="A15473" s="62">
        <v>44293</v>
      </c>
      <c r="B15473">
        <v>4.0545</v>
      </c>
      <c r="C15473" t="str">
        <f t="shared" si="246"/>
        <v>2021 q2</v>
      </c>
    </row>
    <row r="15474" spans="1:3">
      <c r="A15474" s="62">
        <v>44294</v>
      </c>
      <c r="B15474">
        <v>4.0945</v>
      </c>
      <c r="C15474" t="str">
        <f t="shared" si="246"/>
        <v>2021 q2</v>
      </c>
    </row>
    <row r="15475" spans="1:3">
      <c r="A15475" s="62">
        <v>44295</v>
      </c>
      <c r="B15475">
        <v>4.04</v>
      </c>
      <c r="C15475" t="str">
        <f t="shared" si="246"/>
        <v>2021 q2</v>
      </c>
    </row>
    <row r="15476" spans="1:3">
      <c r="A15476" s="62">
        <v>44298</v>
      </c>
      <c r="B15476">
        <v>4.0185000000000004</v>
      </c>
      <c r="C15476" t="str">
        <f t="shared" si="246"/>
        <v>2021 q2</v>
      </c>
    </row>
    <row r="15477" spans="1:3">
      <c r="A15477" s="62">
        <v>44299</v>
      </c>
      <c r="B15477">
        <v>4.0315000000000003</v>
      </c>
      <c r="C15477" t="str">
        <f t="shared" si="246"/>
        <v>2021 q2</v>
      </c>
    </row>
    <row r="15478" spans="1:3">
      <c r="A15478" s="62">
        <v>44300</v>
      </c>
      <c r="B15478">
        <v>4.1284999999999998</v>
      </c>
      <c r="C15478" t="str">
        <f t="shared" si="246"/>
        <v>2021 q2</v>
      </c>
    </row>
    <row r="15479" spans="1:3">
      <c r="A15479" s="62">
        <v>44301</v>
      </c>
      <c r="B15479">
        <v>4.2184999999999997</v>
      </c>
      <c r="C15479" t="str">
        <f t="shared" si="246"/>
        <v>2021 q2</v>
      </c>
    </row>
    <row r="15480" spans="1:3">
      <c r="A15480" s="62">
        <v>44302</v>
      </c>
      <c r="B15480">
        <v>4.1680000000000001</v>
      </c>
      <c r="C15480" t="str">
        <f t="shared" si="246"/>
        <v>2021 q2</v>
      </c>
    </row>
    <row r="15481" spans="1:3">
      <c r="A15481" s="62">
        <v>44305</v>
      </c>
      <c r="B15481">
        <v>4.2380000000000004</v>
      </c>
      <c r="C15481" t="str">
        <f t="shared" si="246"/>
        <v>2021 q2</v>
      </c>
    </row>
    <row r="15482" spans="1:3">
      <c r="A15482" s="62">
        <v>44306</v>
      </c>
      <c r="B15482">
        <v>4.2130000000000001</v>
      </c>
      <c r="C15482" t="str">
        <f t="shared" si="246"/>
        <v>2021 q2</v>
      </c>
    </row>
    <row r="15483" spans="1:3">
      <c r="A15483" s="62">
        <v>44307</v>
      </c>
      <c r="B15483">
        <v>4.2789999999999999</v>
      </c>
      <c r="C15483" t="str">
        <f t="shared" si="246"/>
        <v>2021 q2</v>
      </c>
    </row>
    <row r="15484" spans="1:3">
      <c r="A15484" s="62">
        <v>44308</v>
      </c>
      <c r="B15484">
        <v>4.2729999999999997</v>
      </c>
      <c r="C15484" t="str">
        <f t="shared" si="246"/>
        <v>2021 q2</v>
      </c>
    </row>
    <row r="15485" spans="1:3">
      <c r="A15485" s="62">
        <v>44309</v>
      </c>
      <c r="B15485">
        <v>4.3360000000000003</v>
      </c>
      <c r="C15485" t="str">
        <f t="shared" si="246"/>
        <v>2021 q2</v>
      </c>
    </row>
    <row r="15486" spans="1:3">
      <c r="A15486" s="62">
        <v>44312</v>
      </c>
      <c r="B15486">
        <v>4.4409999999999998</v>
      </c>
      <c r="C15486" t="str">
        <f t="shared" si="246"/>
        <v>2021 q2</v>
      </c>
    </row>
    <row r="15487" spans="1:3">
      <c r="A15487" s="62">
        <v>44313</v>
      </c>
      <c r="B15487">
        <v>4.4874999999999998</v>
      </c>
      <c r="C15487" t="str">
        <f t="shared" si="246"/>
        <v>2021 q2</v>
      </c>
    </row>
    <row r="15488" spans="1:3">
      <c r="A15488" s="62">
        <v>44314</v>
      </c>
      <c r="B15488">
        <v>4.4977999999999998</v>
      </c>
      <c r="C15488" t="str">
        <f t="shared" si="246"/>
        <v>2021 q2</v>
      </c>
    </row>
    <row r="15489" spans="1:3">
      <c r="A15489" s="62">
        <v>44315</v>
      </c>
      <c r="B15489">
        <v>4.4890999999999996</v>
      </c>
      <c r="C15489" t="str">
        <f t="shared" si="246"/>
        <v>2021 q2</v>
      </c>
    </row>
    <row r="15490" spans="1:3">
      <c r="A15490" s="62">
        <v>44316</v>
      </c>
      <c r="B15490">
        <v>4.4702000000000002</v>
      </c>
      <c r="C15490" t="str">
        <f t="shared" si="246"/>
        <v>2021 q2</v>
      </c>
    </row>
    <row r="15491" spans="1:3">
      <c r="A15491" s="62">
        <v>44319</v>
      </c>
      <c r="B15491">
        <v>4.5285000000000002</v>
      </c>
      <c r="C15491" t="str">
        <f t="shared" si="246"/>
        <v>2021 q2</v>
      </c>
    </row>
    <row r="15492" spans="1:3">
      <c r="A15492" s="62">
        <v>44320</v>
      </c>
      <c r="B15492">
        <v>4.5214999999999996</v>
      </c>
      <c r="C15492" t="str">
        <f t="shared" si="246"/>
        <v>2021 q2</v>
      </c>
    </row>
    <row r="15493" spans="1:3">
      <c r="A15493" s="62">
        <v>44321</v>
      </c>
      <c r="B15493">
        <v>4.524</v>
      </c>
      <c r="C15493" t="str">
        <f t="shared" si="246"/>
        <v>2021 q2</v>
      </c>
    </row>
    <row r="15494" spans="1:3">
      <c r="A15494" s="62">
        <v>44322</v>
      </c>
      <c r="B15494">
        <v>4.6025</v>
      </c>
      <c r="C15494" t="str">
        <f t="shared" si="246"/>
        <v>2021 q2</v>
      </c>
    </row>
    <row r="15495" spans="1:3">
      <c r="A15495" s="62">
        <v>44323</v>
      </c>
      <c r="B15495">
        <v>4.7484999999999999</v>
      </c>
      <c r="C15495" t="str">
        <f t="shared" si="246"/>
        <v>2021 q2</v>
      </c>
    </row>
    <row r="15496" spans="1:3">
      <c r="A15496" s="62">
        <v>44326</v>
      </c>
      <c r="B15496">
        <v>4.7160000000000002</v>
      </c>
      <c r="C15496" t="str">
        <f t="shared" si="246"/>
        <v>2021 q2</v>
      </c>
    </row>
    <row r="15497" spans="1:3">
      <c r="A15497" s="62">
        <v>44327</v>
      </c>
      <c r="B15497">
        <v>4.7619999999999996</v>
      </c>
      <c r="C15497" t="str">
        <f t="shared" si="246"/>
        <v>2021 q2</v>
      </c>
    </row>
    <row r="15498" spans="1:3">
      <c r="A15498" s="62">
        <v>44328</v>
      </c>
      <c r="B15498">
        <v>4.7359999999999998</v>
      </c>
      <c r="C15498" t="str">
        <f t="shared" si="246"/>
        <v>2021 q2</v>
      </c>
    </row>
    <row r="15499" spans="1:3">
      <c r="A15499" s="62">
        <v>44329</v>
      </c>
      <c r="B15499">
        <v>4.6905000000000001</v>
      </c>
      <c r="C15499" t="str">
        <f t="shared" si="246"/>
        <v>2021 q2</v>
      </c>
    </row>
    <row r="15500" spans="1:3">
      <c r="A15500" s="62">
        <v>44330</v>
      </c>
      <c r="B15500">
        <v>4.6544999999999996</v>
      </c>
      <c r="C15500" t="str">
        <f t="shared" si="246"/>
        <v>2021 q2</v>
      </c>
    </row>
    <row r="15501" spans="1:3">
      <c r="A15501" s="62">
        <v>44333</v>
      </c>
      <c r="B15501">
        <v>4.7115</v>
      </c>
      <c r="C15501" t="str">
        <f t="shared" si="246"/>
        <v>2021 q2</v>
      </c>
    </row>
    <row r="15502" spans="1:3">
      <c r="A15502" s="62">
        <v>44334</v>
      </c>
      <c r="B15502">
        <v>4.7255000000000003</v>
      </c>
      <c r="C15502" t="str">
        <f t="shared" si="246"/>
        <v>2021 q2</v>
      </c>
    </row>
    <row r="15503" spans="1:3">
      <c r="A15503" s="62">
        <v>44335</v>
      </c>
      <c r="B15503">
        <v>4.5765000000000002</v>
      </c>
      <c r="C15503" t="str">
        <f t="shared" si="246"/>
        <v>2021 q2</v>
      </c>
    </row>
    <row r="15504" spans="1:3">
      <c r="A15504" s="62">
        <v>44336</v>
      </c>
      <c r="B15504">
        <v>4.5679999999999996</v>
      </c>
      <c r="C15504" t="str">
        <f t="shared" si="246"/>
        <v>2021 q2</v>
      </c>
    </row>
    <row r="15505" spans="1:3">
      <c r="A15505" s="62">
        <v>44337</v>
      </c>
      <c r="B15505">
        <v>4.4809999999999999</v>
      </c>
      <c r="C15505" t="str">
        <f t="shared" si="246"/>
        <v>2021 q2</v>
      </c>
    </row>
    <row r="15506" spans="1:3">
      <c r="A15506" s="62">
        <v>44340</v>
      </c>
      <c r="B15506">
        <v>4.5255000000000001</v>
      </c>
      <c r="C15506" t="str">
        <f t="shared" ref="C15506:C15569" si="247">YEAR(A15506)&amp;" q"&amp;ROUNDUP(MONTH(A15506)/3,0)</f>
        <v>2021 q2</v>
      </c>
    </row>
    <row r="15507" spans="1:3">
      <c r="A15507" s="62">
        <v>44341</v>
      </c>
      <c r="B15507">
        <v>4.5065</v>
      </c>
      <c r="C15507" t="str">
        <f t="shared" si="247"/>
        <v>2021 q2</v>
      </c>
    </row>
    <row r="15508" spans="1:3">
      <c r="A15508" s="62">
        <v>44342</v>
      </c>
      <c r="B15508">
        <v>4.5294999999999996</v>
      </c>
      <c r="C15508" t="str">
        <f t="shared" si="247"/>
        <v>2021 q2</v>
      </c>
    </row>
    <row r="15509" spans="1:3">
      <c r="A15509" s="62">
        <v>44343</v>
      </c>
      <c r="B15509">
        <v>4.6630000000000003</v>
      </c>
      <c r="C15509" t="str">
        <f t="shared" si="247"/>
        <v>2021 q2</v>
      </c>
    </row>
    <row r="15510" spans="1:3">
      <c r="A15510" s="62">
        <v>44344</v>
      </c>
      <c r="B15510">
        <v>4.6775000000000002</v>
      </c>
      <c r="C15510" t="str">
        <f t="shared" si="247"/>
        <v>2021 q2</v>
      </c>
    </row>
    <row r="15511" spans="1:3">
      <c r="A15511" s="62">
        <v>44348</v>
      </c>
      <c r="B15511">
        <v>4.6535000000000002</v>
      </c>
      <c r="C15511" t="str">
        <f t="shared" si="247"/>
        <v>2021 q2</v>
      </c>
    </row>
    <row r="15512" spans="1:3">
      <c r="A15512" s="62">
        <v>44349</v>
      </c>
      <c r="B15512">
        <v>4.5914999999999999</v>
      </c>
      <c r="C15512" t="str">
        <f t="shared" si="247"/>
        <v>2021 q2</v>
      </c>
    </row>
    <row r="15513" spans="1:3">
      <c r="A15513" s="62">
        <v>44350</v>
      </c>
      <c r="B15513">
        <v>4.4630000000000001</v>
      </c>
      <c r="C15513" t="str">
        <f t="shared" si="247"/>
        <v>2021 q2</v>
      </c>
    </row>
    <row r="15514" spans="1:3">
      <c r="A15514" s="62">
        <v>44351</v>
      </c>
      <c r="B15514">
        <v>4.5289999999999999</v>
      </c>
      <c r="C15514" t="str">
        <f t="shared" si="247"/>
        <v>2021 q2</v>
      </c>
    </row>
    <row r="15515" spans="1:3">
      <c r="A15515" s="62">
        <v>44354</v>
      </c>
      <c r="B15515">
        <v>4.5265000000000004</v>
      </c>
      <c r="C15515" t="str">
        <f t="shared" si="247"/>
        <v>2021 q2</v>
      </c>
    </row>
    <row r="15516" spans="1:3">
      <c r="A15516" s="62">
        <v>44355</v>
      </c>
      <c r="B15516">
        <v>4.556</v>
      </c>
      <c r="C15516" t="str">
        <f t="shared" si="247"/>
        <v>2021 q2</v>
      </c>
    </row>
    <row r="15517" spans="1:3">
      <c r="A15517" s="62">
        <v>44356</v>
      </c>
      <c r="B15517">
        <v>4.5309999999999997</v>
      </c>
      <c r="C15517" t="str">
        <f t="shared" si="247"/>
        <v>2021 q2</v>
      </c>
    </row>
    <row r="15518" spans="1:3">
      <c r="A15518" s="62">
        <v>44357</v>
      </c>
      <c r="B15518">
        <v>4.4850000000000003</v>
      </c>
      <c r="C15518" t="str">
        <f t="shared" si="247"/>
        <v>2021 q2</v>
      </c>
    </row>
    <row r="15519" spans="1:3">
      <c r="A15519" s="62">
        <v>44358</v>
      </c>
      <c r="B15519">
        <v>4.5374999999999996</v>
      </c>
      <c r="C15519" t="str">
        <f t="shared" si="247"/>
        <v>2021 q2</v>
      </c>
    </row>
    <row r="15520" spans="1:3">
      <c r="A15520" s="62">
        <v>44361</v>
      </c>
      <c r="B15520">
        <v>4.5270000000000001</v>
      </c>
      <c r="C15520" t="str">
        <f t="shared" si="247"/>
        <v>2021 q2</v>
      </c>
    </row>
    <row r="15521" spans="1:3">
      <c r="A15521" s="62">
        <v>44362</v>
      </c>
      <c r="B15521">
        <v>4.3330000000000002</v>
      </c>
      <c r="C15521" t="str">
        <f t="shared" si="247"/>
        <v>2021 q2</v>
      </c>
    </row>
    <row r="15522" spans="1:3">
      <c r="A15522" s="62">
        <v>44363</v>
      </c>
      <c r="B15522">
        <v>4.3849999999999998</v>
      </c>
      <c r="C15522" t="str">
        <f t="shared" si="247"/>
        <v>2021 q2</v>
      </c>
    </row>
    <row r="15523" spans="1:3">
      <c r="A15523" s="62">
        <v>44364</v>
      </c>
      <c r="B15523">
        <v>4.1779999999999999</v>
      </c>
      <c r="C15523" t="str">
        <f t="shared" si="247"/>
        <v>2021 q2</v>
      </c>
    </row>
    <row r="15524" spans="1:3">
      <c r="A15524" s="62">
        <v>44365</v>
      </c>
      <c r="B15524">
        <v>4.157</v>
      </c>
      <c r="C15524" t="str">
        <f t="shared" si="247"/>
        <v>2021 q2</v>
      </c>
    </row>
    <row r="15525" spans="1:3">
      <c r="A15525" s="62">
        <v>44368</v>
      </c>
      <c r="B15525">
        <v>4.1840000000000002</v>
      </c>
      <c r="C15525" t="str">
        <f t="shared" si="247"/>
        <v>2021 q2</v>
      </c>
    </row>
    <row r="15526" spans="1:3">
      <c r="A15526" s="62">
        <v>44369</v>
      </c>
      <c r="B15526">
        <v>4.2300000000000004</v>
      </c>
      <c r="C15526" t="str">
        <f t="shared" si="247"/>
        <v>2021 q2</v>
      </c>
    </row>
    <row r="15527" spans="1:3">
      <c r="A15527" s="62">
        <v>44370</v>
      </c>
      <c r="B15527">
        <v>4.3304999999999998</v>
      </c>
      <c r="C15527" t="str">
        <f t="shared" si="247"/>
        <v>2021 q2</v>
      </c>
    </row>
    <row r="15528" spans="1:3">
      <c r="A15528" s="62">
        <v>44371</v>
      </c>
      <c r="B15528">
        <v>4.3109999999999999</v>
      </c>
      <c r="C15528" t="str">
        <f t="shared" si="247"/>
        <v>2021 q2</v>
      </c>
    </row>
    <row r="15529" spans="1:3">
      <c r="A15529" s="62">
        <v>44372</v>
      </c>
      <c r="B15529">
        <v>4.2915000000000001</v>
      </c>
      <c r="C15529" t="str">
        <f t="shared" si="247"/>
        <v>2021 q2</v>
      </c>
    </row>
    <row r="15530" spans="1:3">
      <c r="A15530" s="62">
        <v>44375</v>
      </c>
      <c r="B15530">
        <v>4.2782</v>
      </c>
      <c r="C15530" t="str">
        <f t="shared" si="247"/>
        <v>2021 q2</v>
      </c>
    </row>
    <row r="15531" spans="1:3">
      <c r="A15531" s="62">
        <v>44376</v>
      </c>
      <c r="B15531">
        <v>4.2693000000000003</v>
      </c>
      <c r="C15531" t="str">
        <f t="shared" si="247"/>
        <v>2021 q2</v>
      </c>
    </row>
    <row r="15532" spans="1:3">
      <c r="A15532" s="62">
        <v>44377</v>
      </c>
      <c r="B15532">
        <v>4.2904999999999998</v>
      </c>
      <c r="C15532" t="str">
        <f t="shared" si="247"/>
        <v>2021 q2</v>
      </c>
    </row>
    <row r="15533" spans="1:3">
      <c r="A15533" s="62">
        <v>44378</v>
      </c>
      <c r="B15533">
        <v>4.2359999999999998</v>
      </c>
      <c r="C15533" t="str">
        <f t="shared" si="247"/>
        <v>2021 q3</v>
      </c>
    </row>
    <row r="15534" spans="1:3">
      <c r="A15534" s="62">
        <v>44379</v>
      </c>
      <c r="B15534">
        <v>4.2759999999999998</v>
      </c>
      <c r="C15534" t="str">
        <f t="shared" si="247"/>
        <v>2021 q3</v>
      </c>
    </row>
    <row r="15535" spans="1:3">
      <c r="A15535" s="62">
        <v>44383</v>
      </c>
      <c r="B15535">
        <v>4.2510000000000003</v>
      </c>
      <c r="C15535" t="str">
        <f t="shared" si="247"/>
        <v>2021 q3</v>
      </c>
    </row>
    <row r="15536" spans="1:3">
      <c r="A15536" s="62">
        <v>44384</v>
      </c>
      <c r="B15536">
        <v>4.3224999999999998</v>
      </c>
      <c r="C15536" t="str">
        <f t="shared" si="247"/>
        <v>2021 q3</v>
      </c>
    </row>
    <row r="15537" spans="1:3">
      <c r="A15537" s="62">
        <v>44385</v>
      </c>
      <c r="B15537">
        <v>4.2645</v>
      </c>
      <c r="C15537" t="str">
        <f t="shared" si="247"/>
        <v>2021 q3</v>
      </c>
    </row>
    <row r="15538" spans="1:3">
      <c r="A15538" s="62">
        <v>44386</v>
      </c>
      <c r="B15538">
        <v>4.3455000000000004</v>
      </c>
      <c r="C15538" t="str">
        <f t="shared" si="247"/>
        <v>2021 q3</v>
      </c>
    </row>
    <row r="15539" spans="1:3">
      <c r="A15539" s="62">
        <v>44389</v>
      </c>
      <c r="B15539">
        <v>4.3159999999999998</v>
      </c>
      <c r="C15539" t="str">
        <f t="shared" si="247"/>
        <v>2021 q3</v>
      </c>
    </row>
    <row r="15540" spans="1:3">
      <c r="A15540" s="62">
        <v>44390</v>
      </c>
      <c r="B15540">
        <v>4.3070000000000004</v>
      </c>
      <c r="C15540" t="str">
        <f t="shared" si="247"/>
        <v>2021 q3</v>
      </c>
    </row>
    <row r="15541" spans="1:3">
      <c r="A15541" s="62">
        <v>44391</v>
      </c>
      <c r="B15541">
        <v>4.2675000000000001</v>
      </c>
      <c r="C15541" t="str">
        <f t="shared" si="247"/>
        <v>2021 q3</v>
      </c>
    </row>
    <row r="15542" spans="1:3">
      <c r="A15542" s="62">
        <v>44392</v>
      </c>
      <c r="B15542">
        <v>4.3230000000000004</v>
      </c>
      <c r="C15542" t="str">
        <f t="shared" si="247"/>
        <v>2021 q3</v>
      </c>
    </row>
    <row r="15543" spans="1:3">
      <c r="A15543" s="62">
        <v>44393</v>
      </c>
      <c r="B15543">
        <v>4.3230000000000004</v>
      </c>
      <c r="C15543" t="str">
        <f t="shared" si="247"/>
        <v>2021 q3</v>
      </c>
    </row>
    <row r="15544" spans="1:3">
      <c r="A15544" s="62">
        <v>44396</v>
      </c>
      <c r="B15544">
        <v>4.2015000000000002</v>
      </c>
      <c r="C15544" t="str">
        <f t="shared" si="247"/>
        <v>2021 q3</v>
      </c>
    </row>
    <row r="15545" spans="1:3">
      <c r="A15545" s="62">
        <v>44397</v>
      </c>
      <c r="B15545">
        <v>4.2629999999999999</v>
      </c>
      <c r="C15545" t="str">
        <f t="shared" si="247"/>
        <v>2021 q3</v>
      </c>
    </row>
    <row r="15546" spans="1:3">
      <c r="A15546" s="62">
        <v>44398</v>
      </c>
      <c r="B15546">
        <v>4.2720000000000002</v>
      </c>
      <c r="C15546" t="str">
        <f t="shared" si="247"/>
        <v>2021 q3</v>
      </c>
    </row>
    <row r="15547" spans="1:3">
      <c r="A15547" s="62">
        <v>44399</v>
      </c>
      <c r="B15547">
        <v>4.3375000000000004</v>
      </c>
      <c r="C15547" t="str">
        <f t="shared" si="247"/>
        <v>2021 q3</v>
      </c>
    </row>
    <row r="15548" spans="1:3">
      <c r="A15548" s="62">
        <v>44400</v>
      </c>
      <c r="B15548">
        <v>4.4000000000000004</v>
      </c>
      <c r="C15548" t="str">
        <f t="shared" si="247"/>
        <v>2021 q3</v>
      </c>
    </row>
    <row r="15549" spans="1:3">
      <c r="A15549" s="62">
        <v>44403</v>
      </c>
      <c r="B15549">
        <v>4.585</v>
      </c>
      <c r="C15549" t="str">
        <f t="shared" si="247"/>
        <v>2021 q3</v>
      </c>
    </row>
    <row r="15550" spans="1:3">
      <c r="A15550" s="62">
        <v>44404</v>
      </c>
      <c r="B15550">
        <v>4.5445000000000002</v>
      </c>
      <c r="C15550" t="str">
        <f t="shared" si="247"/>
        <v>2021 q3</v>
      </c>
    </row>
    <row r="15551" spans="1:3">
      <c r="A15551" s="62">
        <v>44405</v>
      </c>
      <c r="B15551">
        <v>4.4820000000000002</v>
      </c>
      <c r="C15551" t="str">
        <f t="shared" si="247"/>
        <v>2021 q3</v>
      </c>
    </row>
    <row r="15552" spans="1:3">
      <c r="A15552" s="62">
        <v>44406</v>
      </c>
      <c r="B15552">
        <v>4.5235000000000003</v>
      </c>
      <c r="C15552" t="str">
        <f t="shared" si="247"/>
        <v>2021 q3</v>
      </c>
    </row>
    <row r="15553" spans="1:3">
      <c r="A15553" s="62">
        <v>44407</v>
      </c>
      <c r="B15553">
        <v>4.4824999999999999</v>
      </c>
      <c r="C15553" t="str">
        <f t="shared" si="247"/>
        <v>2021 q3</v>
      </c>
    </row>
    <row r="15554" spans="1:3">
      <c r="A15554" s="62">
        <v>44410</v>
      </c>
      <c r="B15554">
        <v>4.4329999999999998</v>
      </c>
      <c r="C15554" t="str">
        <f t="shared" si="247"/>
        <v>2021 q3</v>
      </c>
    </row>
    <row r="15555" spans="1:3">
      <c r="A15555" s="62">
        <v>44411</v>
      </c>
      <c r="B15555">
        <v>4.3860000000000001</v>
      </c>
      <c r="C15555" t="str">
        <f t="shared" si="247"/>
        <v>2021 q3</v>
      </c>
    </row>
    <row r="15556" spans="1:3">
      <c r="A15556" s="62">
        <v>44412</v>
      </c>
      <c r="B15556">
        <v>4.3324999999999996</v>
      </c>
      <c r="C15556" t="str">
        <f t="shared" si="247"/>
        <v>2021 q3</v>
      </c>
    </row>
    <row r="15557" spans="1:3">
      <c r="A15557" s="62">
        <v>44413</v>
      </c>
      <c r="B15557">
        <v>4.3479999999999999</v>
      </c>
      <c r="C15557" t="str">
        <f t="shared" si="247"/>
        <v>2021 q3</v>
      </c>
    </row>
    <row r="15558" spans="1:3">
      <c r="A15558" s="62">
        <v>44414</v>
      </c>
      <c r="B15558">
        <v>4.3479999999999999</v>
      </c>
      <c r="C15558" t="str">
        <f t="shared" si="247"/>
        <v>2021 q3</v>
      </c>
    </row>
    <row r="15559" spans="1:3">
      <c r="A15559" s="62">
        <v>44417</v>
      </c>
      <c r="B15559">
        <v>4.2895000000000003</v>
      </c>
      <c r="C15559" t="str">
        <f t="shared" si="247"/>
        <v>2021 q3</v>
      </c>
    </row>
    <row r="15560" spans="1:3">
      <c r="A15560" s="62">
        <v>44418</v>
      </c>
      <c r="B15560">
        <v>4.3540000000000001</v>
      </c>
      <c r="C15560" t="str">
        <f t="shared" si="247"/>
        <v>2021 q3</v>
      </c>
    </row>
    <row r="15561" spans="1:3">
      <c r="A15561" s="62">
        <v>44419</v>
      </c>
      <c r="B15561">
        <v>4.3674999999999997</v>
      </c>
      <c r="C15561" t="str">
        <f t="shared" si="247"/>
        <v>2021 q3</v>
      </c>
    </row>
    <row r="15562" spans="1:3">
      <c r="A15562" s="62">
        <v>44420</v>
      </c>
      <c r="B15562">
        <v>4.3600000000000003</v>
      </c>
      <c r="C15562" t="str">
        <f t="shared" si="247"/>
        <v>2021 q3</v>
      </c>
    </row>
    <row r="15563" spans="1:3">
      <c r="A15563" s="62">
        <v>44421</v>
      </c>
      <c r="B15563">
        <v>4.3914999999999997</v>
      </c>
      <c r="C15563" t="str">
        <f t="shared" si="247"/>
        <v>2021 q3</v>
      </c>
    </row>
    <row r="15564" spans="1:3">
      <c r="A15564" s="62">
        <v>44424</v>
      </c>
      <c r="B15564">
        <v>4.327</v>
      </c>
      <c r="C15564" t="str">
        <f t="shared" si="247"/>
        <v>2021 q3</v>
      </c>
    </row>
    <row r="15565" spans="1:3">
      <c r="A15565" s="62">
        <v>44425</v>
      </c>
      <c r="B15565">
        <v>4.2060000000000004</v>
      </c>
      <c r="C15565" t="str">
        <f t="shared" si="247"/>
        <v>2021 q3</v>
      </c>
    </row>
    <row r="15566" spans="1:3">
      <c r="A15566" s="62">
        <v>44426</v>
      </c>
      <c r="B15566">
        <v>4.12</v>
      </c>
      <c r="C15566" t="str">
        <f t="shared" si="247"/>
        <v>2021 q3</v>
      </c>
    </row>
    <row r="15567" spans="1:3">
      <c r="A15567" s="62">
        <v>44427</v>
      </c>
      <c r="B15567">
        <v>4.0410000000000004</v>
      </c>
      <c r="C15567" t="str">
        <f t="shared" si="247"/>
        <v>2021 q3</v>
      </c>
    </row>
    <row r="15568" spans="1:3">
      <c r="A15568" s="62">
        <v>44428</v>
      </c>
      <c r="B15568">
        <v>4.1369999999999996</v>
      </c>
      <c r="C15568" t="str">
        <f t="shared" si="247"/>
        <v>2021 q3</v>
      </c>
    </row>
    <row r="15569" spans="1:3">
      <c r="A15569" s="62">
        <v>44431</v>
      </c>
      <c r="B15569">
        <v>4.2370000000000001</v>
      </c>
      <c r="C15569" t="str">
        <f t="shared" si="247"/>
        <v>2021 q3</v>
      </c>
    </row>
    <row r="15570" spans="1:3">
      <c r="A15570" s="62">
        <v>44432</v>
      </c>
      <c r="B15570">
        <v>4.258</v>
      </c>
      <c r="C15570" t="str">
        <f t="shared" ref="C15570:C15633" si="248">YEAR(A15570)&amp;" q"&amp;ROUNDUP(MONTH(A15570)/3,0)</f>
        <v>2021 q3</v>
      </c>
    </row>
    <row r="15571" spans="1:3">
      <c r="A15571" s="62">
        <v>44433</v>
      </c>
      <c r="B15571">
        <v>4.2675000000000001</v>
      </c>
      <c r="C15571" t="str">
        <f t="shared" si="248"/>
        <v>2021 q3</v>
      </c>
    </row>
    <row r="15572" spans="1:3">
      <c r="A15572" s="62">
        <v>44434</v>
      </c>
      <c r="B15572">
        <v>4.2499000000000002</v>
      </c>
      <c r="C15572" t="str">
        <f t="shared" si="248"/>
        <v>2021 q3</v>
      </c>
    </row>
    <row r="15573" spans="1:3">
      <c r="A15573" s="62">
        <v>44435</v>
      </c>
      <c r="B15573">
        <v>4.3239000000000001</v>
      </c>
      <c r="C15573" t="str">
        <f t="shared" si="248"/>
        <v>2021 q3</v>
      </c>
    </row>
    <row r="15574" spans="1:3">
      <c r="A15574" s="62">
        <v>44438</v>
      </c>
      <c r="B15574">
        <v>4.3696999999999999</v>
      </c>
      <c r="C15574" t="str">
        <f t="shared" si="248"/>
        <v>2021 q3</v>
      </c>
    </row>
    <row r="15575" spans="1:3">
      <c r="A15575" s="62">
        <v>44439</v>
      </c>
      <c r="B15575">
        <v>4.3719999999999999</v>
      </c>
      <c r="C15575" t="str">
        <f t="shared" si="248"/>
        <v>2021 q3</v>
      </c>
    </row>
    <row r="15576" spans="1:3">
      <c r="A15576" s="62">
        <v>44440</v>
      </c>
      <c r="B15576">
        <v>4.2779999999999996</v>
      </c>
      <c r="C15576" t="str">
        <f t="shared" si="248"/>
        <v>2021 q3</v>
      </c>
    </row>
    <row r="15577" spans="1:3">
      <c r="A15577" s="62">
        <v>44441</v>
      </c>
      <c r="B15577">
        <v>4.3040000000000003</v>
      </c>
      <c r="C15577" t="str">
        <f t="shared" si="248"/>
        <v>2021 q3</v>
      </c>
    </row>
    <row r="15578" spans="1:3">
      <c r="A15578" s="62">
        <v>44442</v>
      </c>
      <c r="B15578">
        <v>4.3339999999999996</v>
      </c>
      <c r="C15578" t="str">
        <f t="shared" si="248"/>
        <v>2021 q3</v>
      </c>
    </row>
    <row r="15579" spans="1:3">
      <c r="A15579" s="62">
        <v>44445</v>
      </c>
      <c r="B15579">
        <v>4.3339999999999996</v>
      </c>
      <c r="C15579" t="str">
        <f t="shared" si="248"/>
        <v>2021 q3</v>
      </c>
    </row>
    <row r="15580" spans="1:3">
      <c r="A15580" s="62">
        <v>44446</v>
      </c>
      <c r="B15580">
        <v>4.2815000000000003</v>
      </c>
      <c r="C15580" t="str">
        <f t="shared" si="248"/>
        <v>2021 q3</v>
      </c>
    </row>
    <row r="15581" spans="1:3">
      <c r="A15581" s="62">
        <v>44447</v>
      </c>
      <c r="B15581">
        <v>4.2329999999999997</v>
      </c>
      <c r="C15581" t="str">
        <f t="shared" si="248"/>
        <v>2021 q3</v>
      </c>
    </row>
    <row r="15582" spans="1:3">
      <c r="A15582" s="62">
        <v>44448</v>
      </c>
      <c r="B15582">
        <v>4.2854999999999999</v>
      </c>
      <c r="C15582" t="str">
        <f t="shared" si="248"/>
        <v>2021 q3</v>
      </c>
    </row>
    <row r="15583" spans="1:3">
      <c r="A15583" s="62">
        <v>44449</v>
      </c>
      <c r="B15583">
        <v>4.452</v>
      </c>
      <c r="C15583" t="str">
        <f t="shared" si="248"/>
        <v>2021 q3</v>
      </c>
    </row>
    <row r="15584" spans="1:3">
      <c r="A15584" s="62">
        <v>44452</v>
      </c>
      <c r="B15584">
        <v>4.367</v>
      </c>
      <c r="C15584" t="str">
        <f t="shared" si="248"/>
        <v>2021 q3</v>
      </c>
    </row>
    <row r="15585" spans="1:3">
      <c r="A15585" s="62">
        <v>44453</v>
      </c>
      <c r="B15585">
        <v>4.3209999999999997</v>
      </c>
      <c r="C15585" t="str">
        <f t="shared" si="248"/>
        <v>2021 q3</v>
      </c>
    </row>
    <row r="15586" spans="1:3">
      <c r="A15586" s="62">
        <v>44454</v>
      </c>
      <c r="B15586">
        <v>4.4065000000000003</v>
      </c>
      <c r="C15586" t="str">
        <f t="shared" si="248"/>
        <v>2021 q3</v>
      </c>
    </row>
    <row r="15587" spans="1:3">
      <c r="A15587" s="62">
        <v>44455</v>
      </c>
      <c r="B15587">
        <v>4.2815000000000003</v>
      </c>
      <c r="C15587" t="str">
        <f t="shared" si="248"/>
        <v>2021 q3</v>
      </c>
    </row>
    <row r="15588" spans="1:3">
      <c r="A15588" s="62">
        <v>44456</v>
      </c>
      <c r="B15588">
        <v>4.2460000000000004</v>
      </c>
      <c r="C15588" t="str">
        <f t="shared" si="248"/>
        <v>2021 q3</v>
      </c>
    </row>
    <row r="15589" spans="1:3">
      <c r="A15589" s="62">
        <v>44459</v>
      </c>
      <c r="B15589">
        <v>4.1144999999999996</v>
      </c>
      <c r="C15589" t="str">
        <f t="shared" si="248"/>
        <v>2021 q3</v>
      </c>
    </row>
    <row r="15590" spans="1:3">
      <c r="A15590" s="62">
        <v>44460</v>
      </c>
      <c r="B15590">
        <v>4.1260000000000003</v>
      </c>
      <c r="C15590" t="str">
        <f t="shared" si="248"/>
        <v>2021 q3</v>
      </c>
    </row>
    <row r="15591" spans="1:3">
      <c r="A15591" s="62">
        <v>44461</v>
      </c>
      <c r="B15591">
        <v>4.2519999999999998</v>
      </c>
      <c r="C15591" t="str">
        <f t="shared" si="248"/>
        <v>2021 q3</v>
      </c>
    </row>
    <row r="15592" spans="1:3">
      <c r="A15592" s="62">
        <v>44462</v>
      </c>
      <c r="B15592">
        <v>4.2309999999999999</v>
      </c>
      <c r="C15592" t="str">
        <f t="shared" si="248"/>
        <v>2021 q3</v>
      </c>
    </row>
    <row r="15593" spans="1:3">
      <c r="A15593" s="62">
        <v>44463</v>
      </c>
      <c r="B15593">
        <v>4.2854999999999999</v>
      </c>
      <c r="C15593" t="str">
        <f t="shared" si="248"/>
        <v>2021 q3</v>
      </c>
    </row>
    <row r="15594" spans="1:3">
      <c r="A15594" s="62">
        <v>44466</v>
      </c>
      <c r="B15594">
        <v>4.2895000000000003</v>
      </c>
      <c r="C15594" t="str">
        <f t="shared" si="248"/>
        <v>2021 q3</v>
      </c>
    </row>
    <row r="15595" spans="1:3">
      <c r="A15595" s="62">
        <v>44467</v>
      </c>
      <c r="B15595">
        <v>4.2465000000000002</v>
      </c>
      <c r="C15595" t="str">
        <f t="shared" si="248"/>
        <v>2021 q3</v>
      </c>
    </row>
    <row r="15596" spans="1:3">
      <c r="A15596" s="62">
        <v>44468</v>
      </c>
      <c r="B15596">
        <v>4.1989999999999998</v>
      </c>
      <c r="C15596" t="str">
        <f t="shared" si="248"/>
        <v>2021 q3</v>
      </c>
    </row>
    <row r="15597" spans="1:3">
      <c r="A15597" s="62">
        <v>44469</v>
      </c>
      <c r="B15597">
        <v>4.0890000000000004</v>
      </c>
      <c r="C15597" t="str">
        <f t="shared" si="248"/>
        <v>2021 q3</v>
      </c>
    </row>
    <row r="15598" spans="1:3">
      <c r="A15598" s="62">
        <v>44470</v>
      </c>
      <c r="B15598">
        <v>4.1885000000000003</v>
      </c>
      <c r="C15598" t="str">
        <f t="shared" si="248"/>
        <v>2021 q4</v>
      </c>
    </row>
    <row r="15599" spans="1:3">
      <c r="A15599" s="62">
        <v>44473</v>
      </c>
      <c r="B15599">
        <v>4.2385000000000002</v>
      </c>
      <c r="C15599" t="str">
        <f t="shared" si="248"/>
        <v>2021 q4</v>
      </c>
    </row>
    <row r="15600" spans="1:3">
      <c r="A15600" s="62">
        <v>44474</v>
      </c>
      <c r="B15600">
        <v>4.1924999999999999</v>
      </c>
      <c r="C15600" t="str">
        <f t="shared" si="248"/>
        <v>2021 q4</v>
      </c>
    </row>
    <row r="15601" spans="1:3">
      <c r="A15601" s="62">
        <v>44475</v>
      </c>
      <c r="B15601">
        <v>4.1475</v>
      </c>
      <c r="C15601" t="str">
        <f t="shared" si="248"/>
        <v>2021 q4</v>
      </c>
    </row>
    <row r="15602" spans="1:3">
      <c r="A15602" s="62">
        <v>44476</v>
      </c>
      <c r="B15602">
        <v>4.2435</v>
      </c>
      <c r="C15602" t="str">
        <f t="shared" si="248"/>
        <v>2021 q4</v>
      </c>
    </row>
    <row r="15603" spans="1:3">
      <c r="A15603" s="62">
        <v>44477</v>
      </c>
      <c r="B15603">
        <v>4.2755000000000001</v>
      </c>
      <c r="C15603" t="str">
        <f t="shared" si="248"/>
        <v>2021 q4</v>
      </c>
    </row>
    <row r="15604" spans="1:3">
      <c r="A15604" s="62">
        <v>44480</v>
      </c>
      <c r="B15604">
        <v>4.3665000000000003</v>
      </c>
      <c r="C15604" t="str">
        <f t="shared" si="248"/>
        <v>2021 q4</v>
      </c>
    </row>
    <row r="15605" spans="1:3">
      <c r="A15605" s="62">
        <v>44481</v>
      </c>
      <c r="B15605">
        <v>4.3254999999999999</v>
      </c>
      <c r="C15605" t="str">
        <f t="shared" si="248"/>
        <v>2021 q4</v>
      </c>
    </row>
    <row r="15606" spans="1:3">
      <c r="A15606" s="62">
        <v>44482</v>
      </c>
      <c r="B15606">
        <v>4.516</v>
      </c>
      <c r="C15606" t="str">
        <f t="shared" si="248"/>
        <v>2021 q4</v>
      </c>
    </row>
    <row r="15607" spans="1:3">
      <c r="A15607" s="62">
        <v>44483</v>
      </c>
      <c r="B15607">
        <v>4.6315</v>
      </c>
      <c r="C15607" t="str">
        <f t="shared" si="248"/>
        <v>2021 q4</v>
      </c>
    </row>
    <row r="15608" spans="1:3">
      <c r="A15608" s="62">
        <v>44484</v>
      </c>
      <c r="B15608">
        <v>4.7294999999999998</v>
      </c>
      <c r="C15608" t="str">
        <f t="shared" si="248"/>
        <v>2021 q4</v>
      </c>
    </row>
    <row r="15609" spans="1:3">
      <c r="A15609" s="62">
        <v>44487</v>
      </c>
      <c r="B15609">
        <v>4.7255000000000003</v>
      </c>
      <c r="C15609" t="str">
        <f t="shared" si="248"/>
        <v>2021 q4</v>
      </c>
    </row>
    <row r="15610" spans="1:3">
      <c r="A15610" s="62">
        <v>44488</v>
      </c>
      <c r="B15610">
        <v>4.7030000000000003</v>
      </c>
      <c r="C15610" t="str">
        <f t="shared" si="248"/>
        <v>2021 q4</v>
      </c>
    </row>
    <row r="15611" spans="1:3">
      <c r="A15611" s="62">
        <v>44489</v>
      </c>
      <c r="B15611">
        <v>4.7344999999999997</v>
      </c>
      <c r="C15611" t="str">
        <f t="shared" si="248"/>
        <v>2021 q4</v>
      </c>
    </row>
    <row r="15612" spans="1:3">
      <c r="A15612" s="62">
        <v>44490</v>
      </c>
      <c r="B15612">
        <v>4.5585000000000004</v>
      </c>
      <c r="C15612" t="str">
        <f t="shared" si="248"/>
        <v>2021 q4</v>
      </c>
    </row>
    <row r="15613" spans="1:3">
      <c r="A15613" s="62">
        <v>44491</v>
      </c>
      <c r="B15613">
        <v>4.4980000000000002</v>
      </c>
      <c r="C15613" t="str">
        <f t="shared" si="248"/>
        <v>2021 q4</v>
      </c>
    </row>
    <row r="15614" spans="1:3">
      <c r="A15614" s="62">
        <v>44494</v>
      </c>
      <c r="B15614">
        <v>4.5279999999999996</v>
      </c>
      <c r="C15614" t="str">
        <f t="shared" si="248"/>
        <v>2021 q4</v>
      </c>
    </row>
    <row r="15615" spans="1:3">
      <c r="A15615" s="62">
        <v>44495</v>
      </c>
      <c r="B15615">
        <v>4.4859999999999998</v>
      </c>
      <c r="C15615" t="str">
        <f t="shared" si="248"/>
        <v>2021 q4</v>
      </c>
    </row>
    <row r="15616" spans="1:3">
      <c r="A15616" s="62">
        <v>44496</v>
      </c>
      <c r="B15616">
        <v>4.3895</v>
      </c>
      <c r="C15616" t="str">
        <f t="shared" si="248"/>
        <v>2021 q4</v>
      </c>
    </row>
    <row r="15617" spans="1:3">
      <c r="A15617" s="62">
        <v>44497</v>
      </c>
      <c r="B15617">
        <v>4.4385000000000003</v>
      </c>
      <c r="C15617" t="str">
        <f t="shared" si="248"/>
        <v>2021 q4</v>
      </c>
    </row>
    <row r="15618" spans="1:3">
      <c r="A15618" s="62">
        <v>44498</v>
      </c>
      <c r="B15618">
        <v>4.3680000000000003</v>
      </c>
      <c r="C15618" t="str">
        <f t="shared" si="248"/>
        <v>2021 q4</v>
      </c>
    </row>
    <row r="15619" spans="1:3">
      <c r="A15619" s="62">
        <v>44501</v>
      </c>
      <c r="B15619">
        <v>4.3935000000000004</v>
      </c>
      <c r="C15619" t="str">
        <f t="shared" si="248"/>
        <v>2021 q4</v>
      </c>
    </row>
    <row r="15620" spans="1:3">
      <c r="A15620" s="62">
        <v>44502</v>
      </c>
      <c r="B15620">
        <v>4.3659999999999997</v>
      </c>
      <c r="C15620" t="str">
        <f t="shared" si="248"/>
        <v>2021 q4</v>
      </c>
    </row>
    <row r="15621" spans="1:3">
      <c r="A15621" s="62">
        <v>44503</v>
      </c>
      <c r="B15621">
        <v>4.3209999999999997</v>
      </c>
      <c r="C15621" t="str">
        <f t="shared" si="248"/>
        <v>2021 q4</v>
      </c>
    </row>
    <row r="15622" spans="1:3">
      <c r="A15622" s="62">
        <v>44504</v>
      </c>
      <c r="B15622">
        <v>4.3205</v>
      </c>
      <c r="C15622" t="str">
        <f t="shared" si="248"/>
        <v>2021 q4</v>
      </c>
    </row>
    <row r="15623" spans="1:3">
      <c r="A15623" s="62">
        <v>44505</v>
      </c>
      <c r="B15623">
        <v>4.343</v>
      </c>
      <c r="C15623" t="str">
        <f t="shared" si="248"/>
        <v>2021 q4</v>
      </c>
    </row>
    <row r="15624" spans="1:3">
      <c r="A15624" s="62">
        <v>44508</v>
      </c>
      <c r="B15624">
        <v>4.399</v>
      </c>
      <c r="C15624" t="str">
        <f t="shared" si="248"/>
        <v>2021 q4</v>
      </c>
    </row>
    <row r="15625" spans="1:3">
      <c r="A15625" s="62">
        <v>44509</v>
      </c>
      <c r="B15625">
        <v>4.3730000000000002</v>
      </c>
      <c r="C15625" t="str">
        <f t="shared" si="248"/>
        <v>2021 q4</v>
      </c>
    </row>
    <row r="15626" spans="1:3">
      <c r="A15626" s="62">
        <v>44510</v>
      </c>
      <c r="B15626">
        <v>4.3230000000000004</v>
      </c>
      <c r="C15626" t="str">
        <f t="shared" si="248"/>
        <v>2021 q4</v>
      </c>
    </row>
    <row r="15627" spans="1:3">
      <c r="A15627" s="62">
        <v>44511</v>
      </c>
      <c r="B15627">
        <v>4.3994999999999997</v>
      </c>
      <c r="C15627" t="str">
        <f t="shared" si="248"/>
        <v>2021 q4</v>
      </c>
    </row>
    <row r="15628" spans="1:3">
      <c r="A15628" s="62">
        <v>44512</v>
      </c>
      <c r="B15628">
        <v>4.4494999999999996</v>
      </c>
      <c r="C15628" t="str">
        <f t="shared" si="248"/>
        <v>2021 q4</v>
      </c>
    </row>
    <row r="15629" spans="1:3">
      <c r="A15629" s="62">
        <v>44515</v>
      </c>
      <c r="B15629">
        <v>4.4000000000000004</v>
      </c>
      <c r="C15629" t="str">
        <f t="shared" si="248"/>
        <v>2021 q4</v>
      </c>
    </row>
    <row r="15630" spans="1:3">
      <c r="A15630" s="62">
        <v>44516</v>
      </c>
      <c r="B15630">
        <v>4.3514999999999997</v>
      </c>
      <c r="C15630" t="str">
        <f t="shared" si="248"/>
        <v>2021 q4</v>
      </c>
    </row>
    <row r="15631" spans="1:3">
      <c r="A15631" s="62">
        <v>44517</v>
      </c>
      <c r="B15631">
        <v>4.266</v>
      </c>
      <c r="C15631" t="str">
        <f t="shared" si="248"/>
        <v>2021 q4</v>
      </c>
    </row>
    <row r="15632" spans="1:3">
      <c r="A15632" s="62">
        <v>44518</v>
      </c>
      <c r="B15632">
        <v>4.3045</v>
      </c>
      <c r="C15632" t="str">
        <f t="shared" si="248"/>
        <v>2021 q4</v>
      </c>
    </row>
    <row r="15633" spans="1:3">
      <c r="A15633" s="62">
        <v>44519</v>
      </c>
      <c r="B15633">
        <v>4.4074999999999998</v>
      </c>
      <c r="C15633" t="str">
        <f t="shared" si="248"/>
        <v>2021 q4</v>
      </c>
    </row>
    <row r="15634" spans="1:3">
      <c r="A15634" s="62">
        <v>44522</v>
      </c>
      <c r="B15634">
        <v>4.3964999999999996</v>
      </c>
      <c r="C15634" t="str">
        <f t="shared" ref="C15634:C15697" si="249">YEAR(A15634)&amp;" q"&amp;ROUNDUP(MONTH(A15634)/3,0)</f>
        <v>2021 q4</v>
      </c>
    </row>
    <row r="15635" spans="1:3">
      <c r="A15635" s="62">
        <v>44523</v>
      </c>
      <c r="B15635">
        <v>4.4234999999999998</v>
      </c>
      <c r="C15635" t="str">
        <f t="shared" si="249"/>
        <v>2021 q4</v>
      </c>
    </row>
    <row r="15636" spans="1:3">
      <c r="A15636" s="62">
        <v>44524</v>
      </c>
      <c r="B15636">
        <v>4.4600999999999997</v>
      </c>
      <c r="C15636" t="str">
        <f t="shared" si="249"/>
        <v>2021 q4</v>
      </c>
    </row>
    <row r="15637" spans="1:3">
      <c r="A15637" s="62">
        <v>44526</v>
      </c>
      <c r="B15637">
        <v>4.2850999999999999</v>
      </c>
      <c r="C15637" t="str">
        <f t="shared" si="249"/>
        <v>2021 q4</v>
      </c>
    </row>
    <row r="15638" spans="1:3">
      <c r="A15638" s="62">
        <v>44529</v>
      </c>
      <c r="B15638">
        <v>4.3384999999999998</v>
      </c>
      <c r="C15638" t="str">
        <f t="shared" si="249"/>
        <v>2021 q4</v>
      </c>
    </row>
    <row r="15639" spans="1:3">
      <c r="A15639" s="62">
        <v>44530</v>
      </c>
      <c r="B15639">
        <v>4.2788000000000004</v>
      </c>
      <c r="C15639" t="str">
        <f t="shared" si="249"/>
        <v>2021 q4</v>
      </c>
    </row>
    <row r="15640" spans="1:3">
      <c r="A15640" s="62">
        <v>44531</v>
      </c>
      <c r="B15640">
        <v>4.2480000000000002</v>
      </c>
      <c r="C15640" t="str">
        <f t="shared" si="249"/>
        <v>2021 q4</v>
      </c>
    </row>
    <row r="15641" spans="1:3">
      <c r="A15641" s="62">
        <v>44532</v>
      </c>
      <c r="B15641">
        <v>4.2995000000000001</v>
      </c>
      <c r="C15641" t="str">
        <f t="shared" si="249"/>
        <v>2021 q4</v>
      </c>
    </row>
    <row r="15642" spans="1:3">
      <c r="A15642" s="62">
        <v>44533</v>
      </c>
      <c r="B15642">
        <v>4.266</v>
      </c>
      <c r="C15642" t="str">
        <f t="shared" si="249"/>
        <v>2021 q4</v>
      </c>
    </row>
    <row r="15643" spans="1:3">
      <c r="A15643" s="62">
        <v>44536</v>
      </c>
      <c r="B15643">
        <v>4.3375000000000004</v>
      </c>
      <c r="C15643" t="str">
        <f t="shared" si="249"/>
        <v>2021 q4</v>
      </c>
    </row>
    <row r="15644" spans="1:3">
      <c r="A15644" s="62">
        <v>44537</v>
      </c>
      <c r="B15644">
        <v>4.3390000000000004</v>
      </c>
      <c r="C15644" t="str">
        <f t="shared" si="249"/>
        <v>2021 q4</v>
      </c>
    </row>
    <row r="15645" spans="1:3">
      <c r="A15645" s="62">
        <v>44538</v>
      </c>
      <c r="B15645">
        <v>4.3914999999999997</v>
      </c>
      <c r="C15645" t="str">
        <f t="shared" si="249"/>
        <v>2021 q4</v>
      </c>
    </row>
    <row r="15646" spans="1:3">
      <c r="A15646" s="62">
        <v>44539</v>
      </c>
      <c r="B15646">
        <v>4.3310000000000004</v>
      </c>
      <c r="C15646" t="str">
        <f t="shared" si="249"/>
        <v>2021 q4</v>
      </c>
    </row>
    <row r="15647" spans="1:3">
      <c r="A15647" s="62">
        <v>44540</v>
      </c>
      <c r="B15647">
        <v>4.2839999999999998</v>
      </c>
      <c r="C15647" t="str">
        <f t="shared" si="249"/>
        <v>2021 q4</v>
      </c>
    </row>
    <row r="15648" spans="1:3">
      <c r="A15648" s="62">
        <v>44543</v>
      </c>
      <c r="B15648">
        <v>4.2805</v>
      </c>
      <c r="C15648" t="str">
        <f t="shared" si="249"/>
        <v>2021 q4</v>
      </c>
    </row>
    <row r="15649" spans="1:3">
      <c r="A15649" s="62">
        <v>44544</v>
      </c>
      <c r="B15649">
        <v>4.2545000000000002</v>
      </c>
      <c r="C15649" t="str">
        <f t="shared" si="249"/>
        <v>2021 q4</v>
      </c>
    </row>
    <row r="15650" spans="1:3">
      <c r="A15650" s="62">
        <v>44545</v>
      </c>
      <c r="B15650">
        <v>4.18</v>
      </c>
      <c r="C15650" t="str">
        <f t="shared" si="249"/>
        <v>2021 q4</v>
      </c>
    </row>
    <row r="15651" spans="1:3">
      <c r="A15651" s="62">
        <v>44546</v>
      </c>
      <c r="B15651">
        <v>4.3010000000000002</v>
      </c>
      <c r="C15651" t="str">
        <f t="shared" si="249"/>
        <v>2021 q4</v>
      </c>
    </row>
    <row r="15652" spans="1:3">
      <c r="A15652" s="62">
        <v>44547</v>
      </c>
      <c r="B15652">
        <v>4.2904999999999998</v>
      </c>
      <c r="C15652" t="str">
        <f t="shared" si="249"/>
        <v>2021 q4</v>
      </c>
    </row>
    <row r="15653" spans="1:3">
      <c r="A15653" s="62">
        <v>44550</v>
      </c>
      <c r="B15653">
        <v>4.2874999999999996</v>
      </c>
      <c r="C15653" t="str">
        <f t="shared" si="249"/>
        <v>2021 q4</v>
      </c>
    </row>
    <row r="15654" spans="1:3">
      <c r="A15654" s="62">
        <v>44551</v>
      </c>
      <c r="B15654">
        <v>4.3384999999999998</v>
      </c>
      <c r="C15654" t="str">
        <f t="shared" si="249"/>
        <v>2021 q4</v>
      </c>
    </row>
    <row r="15655" spans="1:3">
      <c r="A15655" s="62">
        <v>44552</v>
      </c>
      <c r="B15655">
        <v>4.3884999999999996</v>
      </c>
      <c r="C15655" t="str">
        <f t="shared" si="249"/>
        <v>2021 q4</v>
      </c>
    </row>
    <row r="15656" spans="1:3">
      <c r="A15656" s="62">
        <v>44553</v>
      </c>
      <c r="B15656">
        <v>4.3875000000000002</v>
      </c>
      <c r="C15656" t="str">
        <f t="shared" si="249"/>
        <v>2021 q4</v>
      </c>
    </row>
    <row r="15657" spans="1:3">
      <c r="A15657" s="62">
        <v>44554</v>
      </c>
      <c r="B15657">
        <v>4.3875000000000002</v>
      </c>
      <c r="C15657" t="str">
        <f t="shared" si="249"/>
        <v>2021 q4</v>
      </c>
    </row>
    <row r="15658" spans="1:3">
      <c r="A15658" s="62">
        <v>44556</v>
      </c>
      <c r="B15658">
        <v>4.3875000000000002</v>
      </c>
      <c r="C15658" t="str">
        <f t="shared" si="249"/>
        <v>2021 q4</v>
      </c>
    </row>
    <row r="15659" spans="1:3">
      <c r="A15659" s="62">
        <v>44557</v>
      </c>
      <c r="B15659">
        <v>4.4664999999999999</v>
      </c>
      <c r="C15659" t="str">
        <f t="shared" si="249"/>
        <v>2021 q4</v>
      </c>
    </row>
    <row r="15660" spans="1:3">
      <c r="A15660" s="62">
        <v>44558</v>
      </c>
      <c r="B15660">
        <v>4.4278000000000004</v>
      </c>
      <c r="C15660" t="str">
        <f t="shared" si="249"/>
        <v>2021 q4</v>
      </c>
    </row>
    <row r="15661" spans="1:3">
      <c r="A15661" s="62">
        <v>44559</v>
      </c>
      <c r="B15661">
        <v>4.4090999999999996</v>
      </c>
      <c r="C15661" t="str">
        <f t="shared" si="249"/>
        <v>2021 q4</v>
      </c>
    </row>
    <row r="15662" spans="1:3">
      <c r="A15662" s="62">
        <v>44560</v>
      </c>
      <c r="B15662">
        <v>4.3893000000000004</v>
      </c>
      <c r="C15662" t="str">
        <f t="shared" si="249"/>
        <v>2021 q4</v>
      </c>
    </row>
    <row r="15663" spans="1:3">
      <c r="A15663" s="62">
        <v>44561</v>
      </c>
      <c r="B15663">
        <v>4.4618000000000002</v>
      </c>
      <c r="C15663" t="str">
        <f t="shared" si="249"/>
        <v>2021 q4</v>
      </c>
    </row>
    <row r="15664" spans="1:3">
      <c r="A15664" s="62">
        <v>44564</v>
      </c>
      <c r="B15664">
        <v>4.4215</v>
      </c>
      <c r="C15664" t="str">
        <f t="shared" si="249"/>
        <v>2022 q1</v>
      </c>
    </row>
    <row r="15665" spans="1:3">
      <c r="A15665" s="62">
        <v>44565</v>
      </c>
      <c r="B15665">
        <v>4.4749999999999996</v>
      </c>
      <c r="C15665" t="str">
        <f t="shared" si="249"/>
        <v>2022 q1</v>
      </c>
    </row>
    <row r="15666" spans="1:3">
      <c r="A15666" s="62">
        <v>44566</v>
      </c>
      <c r="B15666">
        <v>4.4135</v>
      </c>
      <c r="C15666" t="str">
        <f t="shared" si="249"/>
        <v>2022 q1</v>
      </c>
    </row>
    <row r="15667" spans="1:3">
      <c r="A15667" s="62">
        <v>44567</v>
      </c>
      <c r="B15667">
        <v>4.3544999999999998</v>
      </c>
      <c r="C15667" t="str">
        <f t="shared" si="249"/>
        <v>2022 q1</v>
      </c>
    </row>
    <row r="15668" spans="1:3">
      <c r="A15668" s="62">
        <v>44568</v>
      </c>
      <c r="B15668">
        <v>4.41</v>
      </c>
      <c r="C15668" t="str">
        <f t="shared" si="249"/>
        <v>2022 q1</v>
      </c>
    </row>
    <row r="15669" spans="1:3">
      <c r="A15669" s="62">
        <v>44571</v>
      </c>
      <c r="B15669">
        <v>4.3520000000000003</v>
      </c>
      <c r="C15669" t="str">
        <f t="shared" si="249"/>
        <v>2022 q1</v>
      </c>
    </row>
    <row r="15670" spans="1:3">
      <c r="A15670" s="62">
        <v>44572</v>
      </c>
      <c r="B15670">
        <v>4.4290000000000003</v>
      </c>
      <c r="C15670" t="str">
        <f t="shared" si="249"/>
        <v>2022 q1</v>
      </c>
    </row>
    <row r="15671" spans="1:3">
      <c r="A15671" s="62">
        <v>44573</v>
      </c>
      <c r="B15671">
        <v>4.5765000000000002</v>
      </c>
      <c r="C15671" t="str">
        <f t="shared" si="249"/>
        <v>2022 q1</v>
      </c>
    </row>
    <row r="15672" spans="1:3">
      <c r="A15672" s="62">
        <v>44574</v>
      </c>
      <c r="B15672">
        <v>4.5460000000000003</v>
      </c>
      <c r="C15672" t="str">
        <f t="shared" si="249"/>
        <v>2022 q1</v>
      </c>
    </row>
    <row r="15673" spans="1:3">
      <c r="A15673" s="62">
        <v>44575</v>
      </c>
      <c r="B15673">
        <v>4.4204999999999997</v>
      </c>
      <c r="C15673" t="str">
        <f t="shared" si="249"/>
        <v>2022 q1</v>
      </c>
    </row>
    <row r="15674" spans="1:3">
      <c r="A15674" s="62">
        <v>44579</v>
      </c>
      <c r="B15674">
        <v>4.3825000000000003</v>
      </c>
      <c r="C15674" t="str">
        <f t="shared" si="249"/>
        <v>2022 q1</v>
      </c>
    </row>
    <row r="15675" spans="1:3">
      <c r="A15675" s="62">
        <v>44580</v>
      </c>
      <c r="B15675">
        <v>4.47</v>
      </c>
      <c r="C15675" t="str">
        <f t="shared" si="249"/>
        <v>2022 q1</v>
      </c>
    </row>
    <row r="15676" spans="1:3">
      <c r="A15676" s="62">
        <v>44581</v>
      </c>
      <c r="B15676">
        <v>4.5824999999999996</v>
      </c>
      <c r="C15676" t="str">
        <f t="shared" si="249"/>
        <v>2022 q1</v>
      </c>
    </row>
    <row r="15677" spans="1:3">
      <c r="A15677" s="62">
        <v>44582</v>
      </c>
      <c r="B15677">
        <v>4.524</v>
      </c>
      <c r="C15677" t="str">
        <f t="shared" si="249"/>
        <v>2022 q1</v>
      </c>
    </row>
    <row r="15678" spans="1:3">
      <c r="A15678" s="62">
        <v>44585</v>
      </c>
      <c r="B15678">
        <v>4.4124999999999996</v>
      </c>
      <c r="C15678" t="str">
        <f t="shared" si="249"/>
        <v>2022 q1</v>
      </c>
    </row>
    <row r="15679" spans="1:3">
      <c r="A15679" s="62">
        <v>44586</v>
      </c>
      <c r="B15679">
        <v>4.45</v>
      </c>
      <c r="C15679" t="str">
        <f t="shared" si="249"/>
        <v>2022 q1</v>
      </c>
    </row>
    <row r="15680" spans="1:3">
      <c r="A15680" s="62">
        <v>44587</v>
      </c>
      <c r="B15680">
        <v>4.5149999999999997</v>
      </c>
      <c r="C15680" t="str">
        <f t="shared" si="249"/>
        <v>2022 q1</v>
      </c>
    </row>
    <row r="15681" spans="1:3">
      <c r="A15681" s="62">
        <v>44588</v>
      </c>
      <c r="B15681">
        <v>4.4234999999999998</v>
      </c>
      <c r="C15681" t="str">
        <f t="shared" si="249"/>
        <v>2022 q1</v>
      </c>
    </row>
    <row r="15682" spans="1:3">
      <c r="A15682" s="62">
        <v>44589</v>
      </c>
      <c r="B15682">
        <v>4.3099999999999996</v>
      </c>
      <c r="C15682" t="str">
        <f t="shared" si="249"/>
        <v>2022 q1</v>
      </c>
    </row>
    <row r="15683" spans="1:3">
      <c r="A15683" s="62">
        <v>44592</v>
      </c>
      <c r="B15683">
        <v>4.3244999999999996</v>
      </c>
      <c r="C15683" t="str">
        <f t="shared" si="249"/>
        <v>2022 q1</v>
      </c>
    </row>
    <row r="15684" spans="1:3">
      <c r="A15684" s="62">
        <v>44593</v>
      </c>
      <c r="B15684">
        <v>4.4340000000000002</v>
      </c>
      <c r="C15684" t="str">
        <f t="shared" si="249"/>
        <v>2022 q1</v>
      </c>
    </row>
    <row r="15685" spans="1:3">
      <c r="A15685" s="62">
        <v>44594</v>
      </c>
      <c r="B15685">
        <v>4.4960000000000004</v>
      </c>
      <c r="C15685" t="str">
        <f t="shared" si="249"/>
        <v>2022 q1</v>
      </c>
    </row>
    <row r="15686" spans="1:3">
      <c r="A15686" s="62">
        <v>44595</v>
      </c>
      <c r="B15686">
        <v>4.4710000000000001</v>
      </c>
      <c r="C15686" t="str">
        <f t="shared" si="249"/>
        <v>2022 q1</v>
      </c>
    </row>
    <row r="15687" spans="1:3">
      <c r="A15687" s="62">
        <v>44596</v>
      </c>
      <c r="B15687">
        <v>4.4874999999999998</v>
      </c>
      <c r="C15687" t="str">
        <f t="shared" si="249"/>
        <v>2022 q1</v>
      </c>
    </row>
    <row r="15688" spans="1:3">
      <c r="A15688" s="62">
        <v>44599</v>
      </c>
      <c r="B15688">
        <v>4.4625000000000004</v>
      </c>
      <c r="C15688" t="str">
        <f t="shared" si="249"/>
        <v>2022 q1</v>
      </c>
    </row>
    <row r="15689" spans="1:3">
      <c r="A15689" s="62">
        <v>44600</v>
      </c>
      <c r="B15689">
        <v>4.4610000000000003</v>
      </c>
      <c r="C15689" t="str">
        <f t="shared" si="249"/>
        <v>2022 q1</v>
      </c>
    </row>
    <row r="15690" spans="1:3">
      <c r="A15690" s="62">
        <v>44601</v>
      </c>
      <c r="B15690">
        <v>4.6025</v>
      </c>
      <c r="C15690" t="str">
        <f t="shared" si="249"/>
        <v>2022 q1</v>
      </c>
    </row>
    <row r="15691" spans="1:3">
      <c r="A15691" s="62">
        <v>44602</v>
      </c>
      <c r="B15691">
        <v>4.6595000000000004</v>
      </c>
      <c r="C15691" t="str">
        <f t="shared" si="249"/>
        <v>2022 q1</v>
      </c>
    </row>
    <row r="15692" spans="1:3">
      <c r="A15692" s="62">
        <v>44603</v>
      </c>
      <c r="B15692">
        <v>4.5060000000000002</v>
      </c>
      <c r="C15692" t="str">
        <f t="shared" si="249"/>
        <v>2022 q1</v>
      </c>
    </row>
    <row r="15693" spans="1:3">
      <c r="A15693" s="62">
        <v>44606</v>
      </c>
      <c r="B15693">
        <v>4.5075000000000003</v>
      </c>
      <c r="C15693" t="str">
        <f t="shared" si="249"/>
        <v>2022 q1</v>
      </c>
    </row>
    <row r="15694" spans="1:3">
      <c r="A15694" s="62">
        <v>44607</v>
      </c>
      <c r="B15694">
        <v>4.5315000000000003</v>
      </c>
      <c r="C15694" t="str">
        <f t="shared" si="249"/>
        <v>2022 q1</v>
      </c>
    </row>
    <row r="15695" spans="1:3">
      <c r="A15695" s="62">
        <v>44608</v>
      </c>
      <c r="B15695">
        <v>4.5365000000000002</v>
      </c>
      <c r="C15695" t="str">
        <f t="shared" si="249"/>
        <v>2022 q1</v>
      </c>
    </row>
    <row r="15696" spans="1:3">
      <c r="A15696" s="62">
        <v>44609</v>
      </c>
      <c r="B15696">
        <v>4.5229999999999997</v>
      </c>
      <c r="C15696" t="str">
        <f t="shared" si="249"/>
        <v>2022 q1</v>
      </c>
    </row>
    <row r="15697" spans="1:3">
      <c r="A15697" s="62">
        <v>44610</v>
      </c>
      <c r="B15697">
        <v>4.5194999999999999</v>
      </c>
      <c r="C15697" t="str">
        <f t="shared" si="249"/>
        <v>2022 q1</v>
      </c>
    </row>
    <row r="15698" spans="1:3">
      <c r="A15698" s="62">
        <v>44613</v>
      </c>
      <c r="B15698">
        <v>4.5194999999999999</v>
      </c>
      <c r="C15698" t="str">
        <f t="shared" ref="C15698:C15761" si="250">YEAR(A15698)&amp;" q"&amp;ROUNDUP(MONTH(A15698)/3,0)</f>
        <v>2022 q1</v>
      </c>
    </row>
    <row r="15699" spans="1:3">
      <c r="A15699" s="62">
        <v>44614</v>
      </c>
      <c r="B15699">
        <v>4.5105000000000004</v>
      </c>
      <c r="C15699" t="str">
        <f t="shared" si="250"/>
        <v>2022 q1</v>
      </c>
    </row>
    <row r="15700" spans="1:3">
      <c r="A15700" s="62">
        <v>44615</v>
      </c>
      <c r="B15700">
        <v>4.4848999999999997</v>
      </c>
      <c r="C15700" t="str">
        <f t="shared" si="250"/>
        <v>2022 q1</v>
      </c>
    </row>
    <row r="15701" spans="1:3">
      <c r="A15701" s="62">
        <v>44616</v>
      </c>
      <c r="B15701">
        <v>4.4580000000000002</v>
      </c>
      <c r="C15701" t="str">
        <f t="shared" si="250"/>
        <v>2022 q1</v>
      </c>
    </row>
    <row r="15702" spans="1:3">
      <c r="A15702" s="62">
        <v>44617</v>
      </c>
      <c r="B15702">
        <v>4.4798</v>
      </c>
      <c r="C15702" t="str">
        <f t="shared" si="250"/>
        <v>2022 q1</v>
      </c>
    </row>
    <row r="15703" spans="1:3">
      <c r="A15703" s="62">
        <v>44620</v>
      </c>
      <c r="B15703">
        <v>4.4524999999999997</v>
      </c>
      <c r="C15703" t="str">
        <f t="shared" si="250"/>
        <v>2022 q1</v>
      </c>
    </row>
    <row r="15704" spans="1:3">
      <c r="A15704" s="62">
        <v>44621</v>
      </c>
      <c r="B15704">
        <v>4.5964999999999998</v>
      </c>
      <c r="C15704" t="str">
        <f t="shared" si="250"/>
        <v>2022 q1</v>
      </c>
    </row>
    <row r="15705" spans="1:3">
      <c r="A15705" s="62">
        <v>44622</v>
      </c>
      <c r="B15705">
        <v>4.6654999999999998</v>
      </c>
      <c r="C15705" t="str">
        <f t="shared" si="250"/>
        <v>2022 q1</v>
      </c>
    </row>
    <row r="15706" spans="1:3">
      <c r="A15706" s="62">
        <v>44623</v>
      </c>
      <c r="B15706">
        <v>4.7815000000000003</v>
      </c>
      <c r="C15706" t="str">
        <f t="shared" si="250"/>
        <v>2022 q1</v>
      </c>
    </row>
    <row r="15707" spans="1:3">
      <c r="A15707" s="62">
        <v>44624</v>
      </c>
      <c r="B15707">
        <v>4.9375</v>
      </c>
      <c r="C15707" t="str">
        <f t="shared" si="250"/>
        <v>2022 q1</v>
      </c>
    </row>
    <row r="15708" spans="1:3">
      <c r="A15708" s="62">
        <v>44627</v>
      </c>
      <c r="B15708">
        <v>4.7309999999999999</v>
      </c>
      <c r="C15708" t="str">
        <f t="shared" si="250"/>
        <v>2022 q1</v>
      </c>
    </row>
    <row r="15709" spans="1:3">
      <c r="A15709" s="62">
        <v>44628</v>
      </c>
      <c r="B15709">
        <v>4.71</v>
      </c>
      <c r="C15709" t="str">
        <f t="shared" si="250"/>
        <v>2022 q1</v>
      </c>
    </row>
    <row r="15710" spans="1:3">
      <c r="A15710" s="62">
        <v>44629</v>
      </c>
      <c r="B15710">
        <v>4.5724999999999998</v>
      </c>
      <c r="C15710" t="str">
        <f t="shared" si="250"/>
        <v>2022 q1</v>
      </c>
    </row>
    <row r="15711" spans="1:3">
      <c r="A15711" s="62">
        <v>44630</v>
      </c>
      <c r="B15711">
        <v>4.6524999999999999</v>
      </c>
      <c r="C15711" t="str">
        <f t="shared" si="250"/>
        <v>2022 q1</v>
      </c>
    </row>
    <row r="15712" spans="1:3">
      <c r="A15712" s="62">
        <v>44631</v>
      </c>
      <c r="B15712">
        <v>4.6254999999999997</v>
      </c>
      <c r="C15712" t="str">
        <f t="shared" si="250"/>
        <v>2022 q1</v>
      </c>
    </row>
    <row r="15713" spans="1:3">
      <c r="A15713" s="62">
        <v>44634</v>
      </c>
      <c r="B15713">
        <v>4.5229999999999997</v>
      </c>
      <c r="C15713" t="str">
        <f t="shared" si="250"/>
        <v>2022 q1</v>
      </c>
    </row>
    <row r="15714" spans="1:3">
      <c r="A15714" s="62">
        <v>44635</v>
      </c>
      <c r="B15714">
        <v>4.5129999999999999</v>
      </c>
      <c r="C15714" t="str">
        <f t="shared" si="250"/>
        <v>2022 q1</v>
      </c>
    </row>
    <row r="15715" spans="1:3">
      <c r="A15715" s="62">
        <v>44636</v>
      </c>
      <c r="B15715">
        <v>4.6005000000000003</v>
      </c>
      <c r="C15715" t="str">
        <f t="shared" si="250"/>
        <v>2022 q1</v>
      </c>
    </row>
    <row r="15716" spans="1:3">
      <c r="A15716" s="62">
        <v>44637</v>
      </c>
      <c r="B15716">
        <v>4.702</v>
      </c>
      <c r="C15716" t="str">
        <f t="shared" si="250"/>
        <v>2022 q1</v>
      </c>
    </row>
    <row r="15717" spans="1:3">
      <c r="A15717" s="62">
        <v>44638</v>
      </c>
      <c r="B15717">
        <v>4.7394999999999996</v>
      </c>
      <c r="C15717" t="str">
        <f t="shared" si="250"/>
        <v>2022 q1</v>
      </c>
    </row>
    <row r="15718" spans="1:3">
      <c r="A15718" s="62">
        <v>44641</v>
      </c>
      <c r="B15718">
        <v>4.7104999999999997</v>
      </c>
      <c r="C15718" t="str">
        <f t="shared" si="250"/>
        <v>2022 q1</v>
      </c>
    </row>
    <row r="15719" spans="1:3">
      <c r="A15719" s="62">
        <v>44642</v>
      </c>
      <c r="B15719">
        <v>4.7</v>
      </c>
      <c r="C15719" t="str">
        <f t="shared" si="250"/>
        <v>2022 q1</v>
      </c>
    </row>
    <row r="15720" spans="1:3">
      <c r="A15720" s="62">
        <v>44643</v>
      </c>
      <c r="B15720">
        <v>4.7765000000000004</v>
      </c>
      <c r="C15720" t="str">
        <f t="shared" si="250"/>
        <v>2022 q1</v>
      </c>
    </row>
    <row r="15721" spans="1:3">
      <c r="A15721" s="62">
        <v>44644</v>
      </c>
      <c r="B15721">
        <v>4.7424999999999997</v>
      </c>
      <c r="C15721" t="str">
        <f t="shared" si="250"/>
        <v>2022 q1</v>
      </c>
    </row>
    <row r="15722" spans="1:3">
      <c r="A15722" s="62">
        <v>44645</v>
      </c>
      <c r="B15722">
        <v>4.6985000000000001</v>
      </c>
      <c r="C15722" t="str">
        <f t="shared" si="250"/>
        <v>2022 q1</v>
      </c>
    </row>
    <row r="15723" spans="1:3">
      <c r="A15723" s="62">
        <v>44648</v>
      </c>
      <c r="B15723">
        <v>4.7255000000000003</v>
      </c>
      <c r="C15723" t="str">
        <f t="shared" si="250"/>
        <v>2022 q1</v>
      </c>
    </row>
    <row r="15724" spans="1:3">
      <c r="A15724" s="62">
        <v>44649</v>
      </c>
      <c r="B15724">
        <v>4.7309999999999999</v>
      </c>
      <c r="C15724" t="str">
        <f t="shared" si="250"/>
        <v>2022 q1</v>
      </c>
    </row>
    <row r="15725" spans="1:3">
      <c r="A15725" s="62">
        <v>44650</v>
      </c>
      <c r="B15725">
        <v>4.7504999999999997</v>
      </c>
      <c r="C15725" t="str">
        <f t="shared" si="250"/>
        <v>2022 q1</v>
      </c>
    </row>
    <row r="15726" spans="1:3">
      <c r="A15726" s="62">
        <v>44651</v>
      </c>
      <c r="B15726">
        <v>4.7510000000000003</v>
      </c>
      <c r="C15726" t="str">
        <f t="shared" si="250"/>
        <v>2022 q1</v>
      </c>
    </row>
    <row r="15727" spans="1:3">
      <c r="A15727" s="62">
        <v>44652</v>
      </c>
      <c r="B15727">
        <v>4.6885000000000003</v>
      </c>
      <c r="C15727" t="str">
        <f t="shared" si="250"/>
        <v>2022 q2</v>
      </c>
    </row>
    <row r="15728" spans="1:3">
      <c r="A15728" s="62">
        <v>44655</v>
      </c>
      <c r="B15728">
        <v>4.7815000000000003</v>
      </c>
      <c r="C15728" t="str">
        <f t="shared" si="250"/>
        <v>2022 q2</v>
      </c>
    </row>
    <row r="15729" spans="1:3">
      <c r="A15729" s="62">
        <v>44656</v>
      </c>
      <c r="B15729">
        <v>4.7949999999999999</v>
      </c>
      <c r="C15729" t="str">
        <f t="shared" si="250"/>
        <v>2022 q2</v>
      </c>
    </row>
    <row r="15730" spans="1:3">
      <c r="A15730" s="62">
        <v>44657</v>
      </c>
      <c r="B15730">
        <v>4.7380000000000004</v>
      </c>
      <c r="C15730" t="str">
        <f t="shared" si="250"/>
        <v>2022 q2</v>
      </c>
    </row>
    <row r="15731" spans="1:3">
      <c r="A15731" s="62">
        <v>44658</v>
      </c>
      <c r="B15731">
        <v>4.6994999999999996</v>
      </c>
      <c r="C15731" t="str">
        <f t="shared" si="250"/>
        <v>2022 q2</v>
      </c>
    </row>
    <row r="15732" spans="1:3">
      <c r="A15732" s="62">
        <v>44659</v>
      </c>
      <c r="B15732">
        <v>4.7249999999999996</v>
      </c>
      <c r="C15732" t="str">
        <f t="shared" si="250"/>
        <v>2022 q2</v>
      </c>
    </row>
    <row r="15733" spans="1:3">
      <c r="A15733" s="62">
        <v>44662</v>
      </c>
      <c r="B15733">
        <v>4.6340000000000003</v>
      </c>
      <c r="C15733" t="str">
        <f t="shared" si="250"/>
        <v>2022 q2</v>
      </c>
    </row>
    <row r="15734" spans="1:3">
      <c r="A15734" s="62">
        <v>44663</v>
      </c>
      <c r="B15734">
        <v>4.7095000000000002</v>
      </c>
      <c r="C15734" t="str">
        <f t="shared" si="250"/>
        <v>2022 q2</v>
      </c>
    </row>
    <row r="15735" spans="1:3">
      <c r="A15735" s="62">
        <v>44664</v>
      </c>
      <c r="B15735">
        <v>4.7119999999999997</v>
      </c>
      <c r="C15735" t="str">
        <f t="shared" si="250"/>
        <v>2022 q2</v>
      </c>
    </row>
    <row r="15736" spans="1:3">
      <c r="A15736" s="62">
        <v>44665</v>
      </c>
      <c r="B15736">
        <v>4.7234999999999996</v>
      </c>
      <c r="C15736" t="str">
        <f t="shared" si="250"/>
        <v>2022 q2</v>
      </c>
    </row>
    <row r="15737" spans="1:3">
      <c r="A15737" s="62">
        <v>44666</v>
      </c>
      <c r="B15737">
        <v>4.7234999999999996</v>
      </c>
      <c r="C15737" t="str">
        <f t="shared" si="250"/>
        <v>2022 q2</v>
      </c>
    </row>
    <row r="15738" spans="1:3">
      <c r="A15738" s="62">
        <v>44669</v>
      </c>
      <c r="B15738">
        <v>4.8019999999999996</v>
      </c>
      <c r="C15738" t="str">
        <f t="shared" si="250"/>
        <v>2022 q2</v>
      </c>
    </row>
    <row r="15739" spans="1:3">
      <c r="A15739" s="62">
        <v>44670</v>
      </c>
      <c r="B15739">
        <v>4.718</v>
      </c>
      <c r="C15739" t="str">
        <f t="shared" si="250"/>
        <v>2022 q2</v>
      </c>
    </row>
    <row r="15740" spans="1:3">
      <c r="A15740" s="62">
        <v>44671</v>
      </c>
      <c r="B15740">
        <v>4.6520000000000001</v>
      </c>
      <c r="C15740" t="str">
        <f t="shared" si="250"/>
        <v>2022 q2</v>
      </c>
    </row>
    <row r="15741" spans="1:3">
      <c r="A15741" s="62">
        <v>44672</v>
      </c>
      <c r="B15741">
        <v>4.7039999999999997</v>
      </c>
      <c r="C15741" t="str">
        <f t="shared" si="250"/>
        <v>2022 q2</v>
      </c>
    </row>
    <row r="15742" spans="1:3">
      <c r="A15742" s="62">
        <v>44673</v>
      </c>
      <c r="B15742">
        <v>4.5815000000000001</v>
      </c>
      <c r="C15742" t="str">
        <f t="shared" si="250"/>
        <v>2022 q2</v>
      </c>
    </row>
    <row r="15743" spans="1:3">
      <c r="A15743" s="62">
        <v>44676</v>
      </c>
      <c r="B15743">
        <v>4.4489999999999998</v>
      </c>
      <c r="C15743" t="str">
        <f t="shared" si="250"/>
        <v>2022 q2</v>
      </c>
    </row>
    <row r="15744" spans="1:3">
      <c r="A15744" s="62">
        <v>44677</v>
      </c>
      <c r="B15744">
        <v>4.4455999999999998</v>
      </c>
      <c r="C15744" t="str">
        <f t="shared" si="250"/>
        <v>2022 q2</v>
      </c>
    </row>
    <row r="15745" spans="1:3">
      <c r="A15745" s="62">
        <v>44678</v>
      </c>
      <c r="B15745">
        <v>4.4638999999999998</v>
      </c>
      <c r="C15745" t="str">
        <f t="shared" si="250"/>
        <v>2022 q2</v>
      </c>
    </row>
    <row r="15746" spans="1:3">
      <c r="A15746" s="62">
        <v>44679</v>
      </c>
      <c r="B15746">
        <v>4.4255000000000004</v>
      </c>
      <c r="C15746" t="str">
        <f t="shared" si="250"/>
        <v>2022 q2</v>
      </c>
    </row>
    <row r="15747" spans="1:3">
      <c r="A15747" s="62">
        <v>44680</v>
      </c>
      <c r="B15747">
        <v>4.4058000000000002</v>
      </c>
      <c r="C15747" t="str">
        <f t="shared" si="250"/>
        <v>2022 q2</v>
      </c>
    </row>
    <row r="15748" spans="1:3">
      <c r="A15748" s="62">
        <v>44683</v>
      </c>
      <c r="B15748">
        <v>4.2679999999999998</v>
      </c>
      <c r="C15748" t="str">
        <f t="shared" si="250"/>
        <v>2022 q2</v>
      </c>
    </row>
    <row r="15749" spans="1:3">
      <c r="A15749" s="62">
        <v>44684</v>
      </c>
      <c r="B15749">
        <v>4.2830000000000004</v>
      </c>
      <c r="C15749" t="str">
        <f t="shared" si="250"/>
        <v>2022 q2</v>
      </c>
    </row>
    <row r="15750" spans="1:3">
      <c r="A15750" s="62">
        <v>44685</v>
      </c>
      <c r="B15750">
        <v>4.3380000000000001</v>
      </c>
      <c r="C15750" t="str">
        <f t="shared" si="250"/>
        <v>2022 q2</v>
      </c>
    </row>
    <row r="15751" spans="1:3">
      <c r="A15751" s="62">
        <v>44686</v>
      </c>
      <c r="B15751">
        <v>4.2915000000000001</v>
      </c>
      <c r="C15751" t="str">
        <f t="shared" si="250"/>
        <v>2022 q2</v>
      </c>
    </row>
    <row r="15752" spans="1:3">
      <c r="A15752" s="62">
        <v>44687</v>
      </c>
      <c r="B15752">
        <v>4.2670000000000003</v>
      </c>
      <c r="C15752" t="str">
        <f t="shared" si="250"/>
        <v>2022 q2</v>
      </c>
    </row>
    <row r="15753" spans="1:3">
      <c r="A15753" s="62">
        <v>44690</v>
      </c>
      <c r="B15753">
        <v>4.1935000000000002</v>
      </c>
      <c r="C15753" t="str">
        <f t="shared" si="250"/>
        <v>2022 q2</v>
      </c>
    </row>
    <row r="15754" spans="1:3">
      <c r="A15754" s="62">
        <v>44691</v>
      </c>
      <c r="B15754">
        <v>4.1544999999999996</v>
      </c>
      <c r="C15754" t="str">
        <f t="shared" si="250"/>
        <v>2022 q2</v>
      </c>
    </row>
    <row r="15755" spans="1:3">
      <c r="A15755" s="62">
        <v>44692</v>
      </c>
      <c r="B15755">
        <v>4.2089999999999996</v>
      </c>
      <c r="C15755" t="str">
        <f t="shared" si="250"/>
        <v>2022 q2</v>
      </c>
    </row>
    <row r="15756" spans="1:3">
      <c r="A15756" s="62">
        <v>44693</v>
      </c>
      <c r="B15756">
        <v>4.1005000000000003</v>
      </c>
      <c r="C15756" t="str">
        <f t="shared" si="250"/>
        <v>2022 q2</v>
      </c>
    </row>
    <row r="15757" spans="1:3">
      <c r="A15757" s="62">
        <v>44694</v>
      </c>
      <c r="B15757">
        <v>4.1749999999999998</v>
      </c>
      <c r="C15757" t="str">
        <f t="shared" si="250"/>
        <v>2022 q2</v>
      </c>
    </row>
    <row r="15758" spans="1:3">
      <c r="A15758" s="62">
        <v>44697</v>
      </c>
      <c r="B15758">
        <v>4.1914999999999996</v>
      </c>
      <c r="C15758" t="str">
        <f t="shared" si="250"/>
        <v>2022 q2</v>
      </c>
    </row>
    <row r="15759" spans="1:3">
      <c r="A15759" s="62">
        <v>44698</v>
      </c>
      <c r="B15759">
        <v>4.2389999999999999</v>
      </c>
      <c r="C15759" t="str">
        <f t="shared" si="250"/>
        <v>2022 q2</v>
      </c>
    </row>
    <row r="15760" spans="1:3">
      <c r="A15760" s="62">
        <v>44699</v>
      </c>
      <c r="B15760">
        <v>4.1784999999999997</v>
      </c>
      <c r="C15760" t="str">
        <f t="shared" si="250"/>
        <v>2022 q2</v>
      </c>
    </row>
    <row r="15761" spans="1:3">
      <c r="A15761" s="62">
        <v>44700</v>
      </c>
      <c r="B15761">
        <v>4.2830000000000004</v>
      </c>
      <c r="C15761" t="str">
        <f t="shared" si="250"/>
        <v>2022 q2</v>
      </c>
    </row>
    <row r="15762" spans="1:3">
      <c r="A15762" s="62">
        <v>44701</v>
      </c>
      <c r="B15762">
        <v>4.2750000000000004</v>
      </c>
      <c r="C15762" t="str">
        <f t="shared" ref="C15762:C15825" si="251">YEAR(A15762)&amp;" q"&amp;ROUNDUP(MONTH(A15762)/3,0)</f>
        <v>2022 q2</v>
      </c>
    </row>
    <row r="15763" spans="1:3">
      <c r="A15763" s="62">
        <v>44704</v>
      </c>
      <c r="B15763">
        <v>4.3455000000000004</v>
      </c>
      <c r="C15763" t="str">
        <f t="shared" si="251"/>
        <v>2022 q2</v>
      </c>
    </row>
    <row r="15764" spans="1:3">
      <c r="A15764" s="62">
        <v>44705</v>
      </c>
      <c r="B15764">
        <v>4.3049999999999997</v>
      </c>
      <c r="C15764" t="str">
        <f t="shared" si="251"/>
        <v>2022 q2</v>
      </c>
    </row>
    <row r="15765" spans="1:3">
      <c r="A15765" s="62">
        <v>44706</v>
      </c>
      <c r="B15765">
        <v>4.2545000000000002</v>
      </c>
      <c r="C15765" t="str">
        <f t="shared" si="251"/>
        <v>2022 q2</v>
      </c>
    </row>
    <row r="15766" spans="1:3">
      <c r="A15766" s="62">
        <v>44707</v>
      </c>
      <c r="B15766">
        <v>4.2590000000000003</v>
      </c>
      <c r="C15766" t="str">
        <f t="shared" si="251"/>
        <v>2022 q2</v>
      </c>
    </row>
    <row r="15767" spans="1:3">
      <c r="A15767" s="62">
        <v>44708</v>
      </c>
      <c r="B15767">
        <v>4.3064999999999998</v>
      </c>
      <c r="C15767" t="str">
        <f t="shared" si="251"/>
        <v>2022 q2</v>
      </c>
    </row>
    <row r="15768" spans="1:3">
      <c r="A15768" s="62">
        <v>44712</v>
      </c>
      <c r="B15768">
        <v>4.2960000000000003</v>
      </c>
      <c r="C15768" t="str">
        <f t="shared" si="251"/>
        <v>2022 q2</v>
      </c>
    </row>
    <row r="15769" spans="1:3">
      <c r="A15769" s="62">
        <v>44713</v>
      </c>
      <c r="B15769">
        <v>4.3285</v>
      </c>
      <c r="C15769" t="str">
        <f t="shared" si="251"/>
        <v>2022 q2</v>
      </c>
    </row>
    <row r="15770" spans="1:3">
      <c r="A15770" s="62">
        <v>44714</v>
      </c>
      <c r="B15770">
        <v>4.5525000000000002</v>
      </c>
      <c r="C15770" t="str">
        <f t="shared" si="251"/>
        <v>2022 q2</v>
      </c>
    </row>
    <row r="15771" spans="1:3">
      <c r="A15771" s="62">
        <v>44715</v>
      </c>
      <c r="B15771">
        <v>4.4720000000000004</v>
      </c>
      <c r="C15771" t="str">
        <f t="shared" si="251"/>
        <v>2022 q2</v>
      </c>
    </row>
    <row r="15772" spans="1:3">
      <c r="A15772" s="62">
        <v>44718</v>
      </c>
      <c r="B15772">
        <v>4.4349999999999996</v>
      </c>
      <c r="C15772" t="str">
        <f t="shared" si="251"/>
        <v>2022 q2</v>
      </c>
    </row>
    <row r="15773" spans="1:3">
      <c r="A15773" s="62">
        <v>44719</v>
      </c>
      <c r="B15773">
        <v>4.4355000000000002</v>
      </c>
      <c r="C15773" t="str">
        <f t="shared" si="251"/>
        <v>2022 q2</v>
      </c>
    </row>
    <row r="15774" spans="1:3">
      <c r="A15774" s="62">
        <v>44720</v>
      </c>
      <c r="B15774">
        <v>4.4545000000000003</v>
      </c>
      <c r="C15774" t="str">
        <f t="shared" si="251"/>
        <v>2022 q2</v>
      </c>
    </row>
    <row r="15775" spans="1:3">
      <c r="A15775" s="62">
        <v>44721</v>
      </c>
      <c r="B15775">
        <v>4.3810000000000002</v>
      </c>
      <c r="C15775" t="str">
        <f t="shared" si="251"/>
        <v>2022 q2</v>
      </c>
    </row>
    <row r="15776" spans="1:3">
      <c r="A15776" s="62">
        <v>44722</v>
      </c>
      <c r="B15776">
        <v>4.2945000000000002</v>
      </c>
      <c r="C15776" t="str">
        <f t="shared" si="251"/>
        <v>2022 q2</v>
      </c>
    </row>
    <row r="15777" spans="1:3">
      <c r="A15777" s="62">
        <v>44725</v>
      </c>
      <c r="B15777">
        <v>4.2115</v>
      </c>
      <c r="C15777" t="str">
        <f t="shared" si="251"/>
        <v>2022 q2</v>
      </c>
    </row>
    <row r="15778" spans="1:3">
      <c r="A15778" s="62">
        <v>44726</v>
      </c>
      <c r="B15778">
        <v>4.1565000000000003</v>
      </c>
      <c r="C15778" t="str">
        <f t="shared" si="251"/>
        <v>2022 q2</v>
      </c>
    </row>
    <row r="15779" spans="1:3">
      <c r="A15779" s="62">
        <v>44727</v>
      </c>
      <c r="B15779">
        <v>4.1635</v>
      </c>
      <c r="C15779" t="str">
        <f t="shared" si="251"/>
        <v>2022 q2</v>
      </c>
    </row>
    <row r="15780" spans="1:3">
      <c r="A15780" s="62">
        <v>44728</v>
      </c>
      <c r="B15780">
        <v>4.1079999999999997</v>
      </c>
      <c r="C15780" t="str">
        <f t="shared" si="251"/>
        <v>2022 q2</v>
      </c>
    </row>
    <row r="15781" spans="1:3">
      <c r="A15781" s="62">
        <v>44729</v>
      </c>
      <c r="B15781">
        <v>4.0134999999999996</v>
      </c>
      <c r="C15781" t="str">
        <f t="shared" si="251"/>
        <v>2022 q2</v>
      </c>
    </row>
    <row r="15782" spans="1:3">
      <c r="A15782" s="62">
        <v>44732</v>
      </c>
      <c r="B15782">
        <v>4.0134999999999996</v>
      </c>
      <c r="C15782" t="str">
        <f t="shared" si="251"/>
        <v>2022 q2</v>
      </c>
    </row>
    <row r="15783" spans="1:3">
      <c r="A15783" s="62">
        <v>44733</v>
      </c>
      <c r="B15783">
        <v>4.0389999999999997</v>
      </c>
      <c r="C15783" t="str">
        <f t="shared" si="251"/>
        <v>2022 q2</v>
      </c>
    </row>
    <row r="15784" spans="1:3">
      <c r="A15784" s="62">
        <v>44734</v>
      </c>
      <c r="B15784">
        <v>3.944</v>
      </c>
      <c r="C15784" t="str">
        <f t="shared" si="251"/>
        <v>2022 q2</v>
      </c>
    </row>
    <row r="15785" spans="1:3">
      <c r="A15785" s="62">
        <v>44735</v>
      </c>
      <c r="B15785">
        <v>3.7389999999999999</v>
      </c>
      <c r="C15785" t="str">
        <f t="shared" si="251"/>
        <v>2022 q2</v>
      </c>
    </row>
    <row r="15786" spans="1:3">
      <c r="A15786" s="62">
        <v>44736</v>
      </c>
      <c r="B15786">
        <v>3.7404999999999999</v>
      </c>
      <c r="C15786" t="str">
        <f t="shared" si="251"/>
        <v>2022 q2</v>
      </c>
    </row>
    <row r="15787" spans="1:3">
      <c r="A15787" s="62">
        <v>44739</v>
      </c>
      <c r="B15787">
        <v>3.7744</v>
      </c>
      <c r="C15787" t="str">
        <f t="shared" si="251"/>
        <v>2022 q2</v>
      </c>
    </row>
    <row r="15788" spans="1:3">
      <c r="A15788" s="62">
        <v>44740</v>
      </c>
      <c r="B15788">
        <v>3.7519999999999998</v>
      </c>
      <c r="C15788" t="str">
        <f t="shared" si="251"/>
        <v>2022 q2</v>
      </c>
    </row>
    <row r="15789" spans="1:3">
      <c r="A15789" s="62">
        <v>44741</v>
      </c>
      <c r="B15789">
        <v>3.7568000000000001</v>
      </c>
      <c r="C15789" t="str">
        <f t="shared" si="251"/>
        <v>2022 q2</v>
      </c>
    </row>
    <row r="15790" spans="1:3">
      <c r="A15790" s="62">
        <v>44742</v>
      </c>
      <c r="B15790">
        <v>3.7808000000000002</v>
      </c>
      <c r="C15790" t="str">
        <f t="shared" si="251"/>
        <v>2022 q2</v>
      </c>
    </row>
    <row r="15791" spans="1:3">
      <c r="A15791" s="62">
        <v>44743</v>
      </c>
      <c r="B15791">
        <v>3.6863999999999999</v>
      </c>
      <c r="C15791" t="str">
        <f t="shared" si="251"/>
        <v>2022 q3</v>
      </c>
    </row>
    <row r="15792" spans="1:3">
      <c r="A15792" s="62">
        <v>44746</v>
      </c>
      <c r="B15792">
        <v>3.6095999999999999</v>
      </c>
      <c r="C15792" t="str">
        <f t="shared" si="251"/>
        <v>2022 q3</v>
      </c>
    </row>
    <row r="15793" spans="1:3">
      <c r="A15793" s="62">
        <v>44747</v>
      </c>
      <c r="B15793">
        <v>3.5808</v>
      </c>
      <c r="C15793" t="str">
        <f t="shared" si="251"/>
        <v>2022 q3</v>
      </c>
    </row>
    <row r="15794" spans="1:3">
      <c r="A15794" s="62">
        <v>44748</v>
      </c>
      <c r="B15794">
        <v>3.4384000000000001</v>
      </c>
      <c r="C15794" t="str">
        <f t="shared" si="251"/>
        <v>2022 q3</v>
      </c>
    </row>
    <row r="15795" spans="1:3">
      <c r="A15795" s="62">
        <v>44749</v>
      </c>
      <c r="B15795">
        <v>3.4319999999999999</v>
      </c>
      <c r="C15795" t="str">
        <f t="shared" si="251"/>
        <v>2022 q3</v>
      </c>
    </row>
    <row r="15796" spans="1:3">
      <c r="A15796" s="62">
        <v>44750</v>
      </c>
      <c r="B15796">
        <v>3.5392000000000001</v>
      </c>
      <c r="C15796" t="str">
        <f t="shared" si="251"/>
        <v>2022 q3</v>
      </c>
    </row>
    <row r="15797" spans="1:3">
      <c r="A15797" s="62">
        <v>44753</v>
      </c>
      <c r="B15797">
        <v>3.4752000000000001</v>
      </c>
      <c r="C15797" t="str">
        <f t="shared" si="251"/>
        <v>2022 q3</v>
      </c>
    </row>
    <row r="15798" spans="1:3">
      <c r="A15798" s="62">
        <v>44754</v>
      </c>
      <c r="B15798">
        <v>3.4224000000000001</v>
      </c>
      <c r="C15798" t="str">
        <f t="shared" si="251"/>
        <v>2022 q3</v>
      </c>
    </row>
    <row r="15799" spans="1:3">
      <c r="A15799" s="62">
        <v>44755</v>
      </c>
      <c r="B15799">
        <v>3.2464</v>
      </c>
      <c r="C15799" t="str">
        <f t="shared" si="251"/>
        <v>2022 q3</v>
      </c>
    </row>
    <row r="15800" spans="1:3">
      <c r="A15800" s="62">
        <v>44756</v>
      </c>
      <c r="B15800">
        <v>3.3088000000000002</v>
      </c>
      <c r="C15800" t="str">
        <f t="shared" si="251"/>
        <v>2022 q3</v>
      </c>
    </row>
    <row r="15801" spans="1:3">
      <c r="A15801" s="62">
        <v>44757</v>
      </c>
      <c r="B15801">
        <v>3.2271999999999998</v>
      </c>
      <c r="C15801" t="str">
        <f t="shared" si="251"/>
        <v>2022 q3</v>
      </c>
    </row>
    <row r="15802" spans="1:3">
      <c r="A15802" s="62">
        <v>44760</v>
      </c>
      <c r="B15802">
        <v>3.2464</v>
      </c>
      <c r="C15802" t="str">
        <f t="shared" si="251"/>
        <v>2022 q3</v>
      </c>
    </row>
    <row r="15803" spans="1:3">
      <c r="A15803" s="62">
        <v>44761</v>
      </c>
      <c r="B15803">
        <v>3.3008000000000002</v>
      </c>
      <c r="C15803" t="str">
        <f t="shared" si="251"/>
        <v>2022 q3</v>
      </c>
    </row>
    <row r="15804" spans="1:3">
      <c r="A15804" s="62">
        <v>44762</v>
      </c>
      <c r="B15804">
        <v>3.3136000000000001</v>
      </c>
      <c r="C15804" t="str">
        <f t="shared" si="251"/>
        <v>2022 q3</v>
      </c>
    </row>
    <row r="15805" spans="1:3">
      <c r="A15805" s="62">
        <v>44763</v>
      </c>
      <c r="B15805">
        <v>3.3056000000000001</v>
      </c>
      <c r="C15805" t="str">
        <f t="shared" si="251"/>
        <v>2022 q3</v>
      </c>
    </row>
    <row r="15806" spans="1:3">
      <c r="A15806" s="62">
        <v>44764</v>
      </c>
      <c r="B15806">
        <v>3.3248000000000002</v>
      </c>
      <c r="C15806" t="str">
        <f t="shared" si="251"/>
        <v>2022 q3</v>
      </c>
    </row>
    <row r="15807" spans="1:3">
      <c r="A15807" s="62">
        <v>44767</v>
      </c>
      <c r="B15807">
        <v>3.3567999999999998</v>
      </c>
      <c r="C15807" t="str">
        <f t="shared" si="251"/>
        <v>2022 q3</v>
      </c>
    </row>
    <row r="15808" spans="1:3">
      <c r="A15808" s="62">
        <v>44768</v>
      </c>
      <c r="B15808">
        <v>3.4</v>
      </c>
      <c r="C15808" t="str">
        <f t="shared" si="251"/>
        <v>2022 q3</v>
      </c>
    </row>
    <row r="15809" spans="1:3">
      <c r="A15809" s="62">
        <v>44769</v>
      </c>
      <c r="B15809">
        <v>3.4784000000000002</v>
      </c>
      <c r="C15809" t="str">
        <f t="shared" si="251"/>
        <v>2022 q3</v>
      </c>
    </row>
    <row r="15810" spans="1:3">
      <c r="A15810" s="62">
        <v>44770</v>
      </c>
      <c r="B15810">
        <v>3.4975999999999998</v>
      </c>
      <c r="C15810" t="str">
        <f t="shared" si="251"/>
        <v>2022 q3</v>
      </c>
    </row>
    <row r="15811" spans="1:3">
      <c r="A15811" s="62">
        <v>44771</v>
      </c>
      <c r="B15811">
        <v>3.5952000000000002</v>
      </c>
      <c r="C15811" t="str">
        <f t="shared" si="251"/>
        <v>2022 q3</v>
      </c>
    </row>
    <row r="15812" spans="1:3">
      <c r="A15812" s="62">
        <v>44774</v>
      </c>
      <c r="B15812">
        <v>3.5295999999999998</v>
      </c>
      <c r="C15812" t="str">
        <f t="shared" si="251"/>
        <v>2022 q3</v>
      </c>
    </row>
    <row r="15813" spans="1:3">
      <c r="A15813" s="62">
        <v>44775</v>
      </c>
      <c r="B15813">
        <v>3.4767999999999999</v>
      </c>
      <c r="C15813" t="str">
        <f t="shared" si="251"/>
        <v>2022 q3</v>
      </c>
    </row>
    <row r="15814" spans="1:3">
      <c r="A15814" s="62">
        <v>44776</v>
      </c>
      <c r="B15814">
        <v>3.472</v>
      </c>
      <c r="C15814" t="str">
        <f t="shared" si="251"/>
        <v>2022 q3</v>
      </c>
    </row>
    <row r="15815" spans="1:3">
      <c r="A15815" s="62">
        <v>44777</v>
      </c>
      <c r="B15815">
        <v>3.4864000000000002</v>
      </c>
      <c r="C15815" t="str">
        <f t="shared" si="251"/>
        <v>2022 q3</v>
      </c>
    </row>
    <row r="15816" spans="1:3">
      <c r="A15816" s="62">
        <v>44778</v>
      </c>
      <c r="B15816">
        <v>3.5568</v>
      </c>
      <c r="C15816" t="str">
        <f t="shared" si="251"/>
        <v>2022 q3</v>
      </c>
    </row>
    <row r="15817" spans="1:3">
      <c r="A15817" s="62">
        <v>44781</v>
      </c>
      <c r="B15817">
        <v>3.5952000000000002</v>
      </c>
      <c r="C15817" t="str">
        <f t="shared" si="251"/>
        <v>2022 q3</v>
      </c>
    </row>
    <row r="15818" spans="1:3">
      <c r="A15818" s="62">
        <v>44782</v>
      </c>
      <c r="B15818">
        <v>3.5903999999999998</v>
      </c>
      <c r="C15818" t="str">
        <f t="shared" si="251"/>
        <v>2022 q3</v>
      </c>
    </row>
    <row r="15819" spans="1:3">
      <c r="A15819" s="62">
        <v>44783</v>
      </c>
      <c r="B15819">
        <v>3.6496</v>
      </c>
      <c r="C15819" t="str">
        <f t="shared" si="251"/>
        <v>2022 q3</v>
      </c>
    </row>
    <row r="15820" spans="1:3">
      <c r="A15820" s="62">
        <v>44784</v>
      </c>
      <c r="B15820">
        <v>3.6991999999999998</v>
      </c>
      <c r="C15820" t="str">
        <f t="shared" si="251"/>
        <v>2022 q3</v>
      </c>
    </row>
    <row r="15821" spans="1:3">
      <c r="A15821" s="62">
        <v>44785</v>
      </c>
      <c r="B15821">
        <v>3.6848000000000001</v>
      </c>
      <c r="C15821" t="str">
        <f t="shared" si="251"/>
        <v>2022 q3</v>
      </c>
    </row>
    <row r="15822" spans="1:3">
      <c r="A15822" s="62">
        <v>44788</v>
      </c>
      <c r="B15822">
        <v>3.6048</v>
      </c>
      <c r="C15822" t="str">
        <f t="shared" si="251"/>
        <v>2022 q3</v>
      </c>
    </row>
    <row r="15823" spans="1:3">
      <c r="A15823" s="62">
        <v>44789</v>
      </c>
      <c r="B15823">
        <v>3.6288</v>
      </c>
      <c r="C15823" t="str">
        <f t="shared" si="251"/>
        <v>2022 q3</v>
      </c>
    </row>
    <row r="15824" spans="1:3">
      <c r="A15824" s="62">
        <v>44790</v>
      </c>
      <c r="B15824">
        <v>3.5903999999999998</v>
      </c>
      <c r="C15824" t="str">
        <f t="shared" si="251"/>
        <v>2022 q3</v>
      </c>
    </row>
    <row r="15825" spans="1:3">
      <c r="A15825" s="62">
        <v>44791</v>
      </c>
      <c r="B15825">
        <v>3.6448</v>
      </c>
      <c r="C15825" t="str">
        <f t="shared" si="251"/>
        <v>2022 q3</v>
      </c>
    </row>
    <row r="15826" spans="1:3">
      <c r="A15826" s="62">
        <v>44792</v>
      </c>
      <c r="B15826">
        <v>3.6751999999999998</v>
      </c>
      <c r="C15826" t="str">
        <f t="shared" ref="C15826:C15889" si="252">YEAR(A15826)&amp;" q"&amp;ROUNDUP(MONTH(A15826)/3,0)</f>
        <v>2022 q3</v>
      </c>
    </row>
    <row r="15827" spans="1:3">
      <c r="A15827" s="62">
        <v>44795</v>
      </c>
      <c r="B15827">
        <v>3.6560000000000001</v>
      </c>
      <c r="C15827" t="str">
        <f t="shared" si="252"/>
        <v>2022 q3</v>
      </c>
    </row>
    <row r="15828" spans="1:3">
      <c r="A15828" s="62">
        <v>44796</v>
      </c>
      <c r="B15828">
        <v>3.68</v>
      </c>
      <c r="C15828" t="str">
        <f t="shared" si="252"/>
        <v>2022 q3</v>
      </c>
    </row>
    <row r="15829" spans="1:3">
      <c r="A15829" s="62">
        <v>44797</v>
      </c>
      <c r="B15829">
        <v>3.6383999999999999</v>
      </c>
      <c r="C15829" t="str">
        <f t="shared" si="252"/>
        <v>2022 q3</v>
      </c>
    </row>
    <row r="15830" spans="1:3">
      <c r="A15830" s="62">
        <v>44798</v>
      </c>
      <c r="B15830">
        <v>3.6943999999999999</v>
      </c>
      <c r="C15830" t="str">
        <f t="shared" si="252"/>
        <v>2022 q3</v>
      </c>
    </row>
    <row r="15831" spans="1:3">
      <c r="A15831" s="62">
        <v>44799</v>
      </c>
      <c r="B15831">
        <v>3.6943999999999999</v>
      </c>
      <c r="C15831" t="str">
        <f t="shared" si="252"/>
        <v>2022 q3</v>
      </c>
    </row>
    <row r="15832" spans="1:3">
      <c r="A15832" s="62">
        <v>44802</v>
      </c>
      <c r="B15832">
        <v>3.6240000000000001</v>
      </c>
      <c r="C15832" t="str">
        <f t="shared" si="252"/>
        <v>2022 q3</v>
      </c>
    </row>
    <row r="15833" spans="1:3">
      <c r="A15833" s="62">
        <v>44803</v>
      </c>
      <c r="B15833">
        <v>3.552</v>
      </c>
      <c r="C15833" t="str">
        <f t="shared" si="252"/>
        <v>2022 q3</v>
      </c>
    </row>
    <row r="15834" spans="1:3">
      <c r="A15834" s="62">
        <v>44804</v>
      </c>
      <c r="B15834">
        <v>3.5007999999999999</v>
      </c>
      <c r="C15834" t="str">
        <f t="shared" si="252"/>
        <v>2022 q3</v>
      </c>
    </row>
    <row r="15835" spans="1:3">
      <c r="A15835" s="62">
        <v>44805</v>
      </c>
      <c r="B15835">
        <v>3.4192</v>
      </c>
      <c r="C15835" t="str">
        <f t="shared" si="252"/>
        <v>2022 q3</v>
      </c>
    </row>
    <row r="15836" spans="1:3">
      <c r="A15836" s="62">
        <v>44806</v>
      </c>
      <c r="B15836">
        <v>3.4</v>
      </c>
      <c r="C15836" t="str">
        <f t="shared" si="252"/>
        <v>2022 q3</v>
      </c>
    </row>
    <row r="15837" spans="1:3">
      <c r="A15837" s="62">
        <v>44809</v>
      </c>
      <c r="B15837">
        <v>3.4575999999999998</v>
      </c>
      <c r="C15837" t="str">
        <f t="shared" si="252"/>
        <v>2022 q3</v>
      </c>
    </row>
    <row r="15838" spans="1:3">
      <c r="A15838" s="62">
        <v>44810</v>
      </c>
      <c r="B15838">
        <v>3.4544000000000001</v>
      </c>
      <c r="C15838" t="str">
        <f t="shared" si="252"/>
        <v>2022 q3</v>
      </c>
    </row>
    <row r="15839" spans="1:3">
      <c r="A15839" s="62">
        <v>44811</v>
      </c>
      <c r="B15839">
        <v>3.4432</v>
      </c>
      <c r="C15839" t="str">
        <f t="shared" si="252"/>
        <v>2022 q3</v>
      </c>
    </row>
    <row r="15840" spans="1:3">
      <c r="A15840" s="62">
        <v>44812</v>
      </c>
      <c r="B15840">
        <v>3.5503999999999998</v>
      </c>
      <c r="C15840" t="str">
        <f t="shared" si="252"/>
        <v>2022 q3</v>
      </c>
    </row>
    <row r="15841" spans="1:3">
      <c r="A15841" s="62">
        <v>44813</v>
      </c>
      <c r="B15841">
        <v>3.552</v>
      </c>
      <c r="C15841" t="str">
        <f t="shared" si="252"/>
        <v>2022 q3</v>
      </c>
    </row>
    <row r="15842" spans="1:3">
      <c r="A15842" s="62">
        <v>44816</v>
      </c>
      <c r="B15842">
        <v>3.6175999999999999</v>
      </c>
      <c r="C15842" t="str">
        <f t="shared" si="252"/>
        <v>2022 q3</v>
      </c>
    </row>
    <row r="15843" spans="1:3">
      <c r="A15843" s="62">
        <v>44817</v>
      </c>
      <c r="B15843">
        <v>3.5327999999999999</v>
      </c>
      <c r="C15843" t="str">
        <f t="shared" si="252"/>
        <v>2022 q3</v>
      </c>
    </row>
    <row r="15844" spans="1:3">
      <c r="A15844" s="62">
        <v>44818</v>
      </c>
      <c r="B15844">
        <v>3.5167999999999999</v>
      </c>
      <c r="C15844" t="str">
        <f t="shared" si="252"/>
        <v>2022 q3</v>
      </c>
    </row>
    <row r="15845" spans="1:3">
      <c r="A15845" s="62">
        <v>44819</v>
      </c>
      <c r="B15845">
        <v>3.4624000000000001</v>
      </c>
      <c r="C15845" t="str">
        <f t="shared" si="252"/>
        <v>2022 q3</v>
      </c>
    </row>
    <row r="15846" spans="1:3">
      <c r="A15846" s="62">
        <v>44820</v>
      </c>
      <c r="B15846">
        <v>3.5375999999999999</v>
      </c>
      <c r="C15846" t="str">
        <f t="shared" si="252"/>
        <v>2022 q3</v>
      </c>
    </row>
    <row r="15847" spans="1:3">
      <c r="A15847" s="62">
        <v>44823</v>
      </c>
      <c r="B15847">
        <v>3.5312000000000001</v>
      </c>
      <c r="C15847" t="str">
        <f t="shared" si="252"/>
        <v>2022 q3</v>
      </c>
    </row>
    <row r="15848" spans="1:3">
      <c r="A15848" s="62">
        <v>44824</v>
      </c>
      <c r="B15848">
        <v>3.496</v>
      </c>
      <c r="C15848" t="str">
        <f t="shared" si="252"/>
        <v>2022 q3</v>
      </c>
    </row>
    <row r="15849" spans="1:3">
      <c r="A15849" s="62">
        <v>44825</v>
      </c>
      <c r="B15849">
        <v>3.4239999999999999</v>
      </c>
      <c r="C15849" t="str">
        <f t="shared" si="252"/>
        <v>2022 q3</v>
      </c>
    </row>
    <row r="15850" spans="1:3">
      <c r="A15850" s="62">
        <v>44826</v>
      </c>
      <c r="B15850">
        <v>3.4655999999999998</v>
      </c>
      <c r="C15850" t="str">
        <f t="shared" si="252"/>
        <v>2022 q3</v>
      </c>
    </row>
    <row r="15851" spans="1:3">
      <c r="A15851" s="62">
        <v>44827</v>
      </c>
      <c r="B15851">
        <v>3.3439999999999999</v>
      </c>
      <c r="C15851" t="str">
        <f t="shared" si="252"/>
        <v>2022 q3</v>
      </c>
    </row>
    <row r="15852" spans="1:3">
      <c r="A15852" s="62">
        <v>44830</v>
      </c>
      <c r="B15852">
        <v>3.2911999999999999</v>
      </c>
      <c r="C15852" t="str">
        <f t="shared" si="252"/>
        <v>2022 q3</v>
      </c>
    </row>
    <row r="15853" spans="1:3">
      <c r="A15853" s="62">
        <v>44831</v>
      </c>
      <c r="B15853">
        <v>3.2879999999999998</v>
      </c>
      <c r="C15853" t="str">
        <f t="shared" si="252"/>
        <v>2022 q3</v>
      </c>
    </row>
    <row r="15854" spans="1:3">
      <c r="A15854" s="62">
        <v>44832</v>
      </c>
      <c r="B15854">
        <v>3.3696000000000002</v>
      </c>
      <c r="C15854" t="str">
        <f t="shared" si="252"/>
        <v>2022 q3</v>
      </c>
    </row>
    <row r="15855" spans="1:3">
      <c r="A15855" s="62">
        <v>44833</v>
      </c>
      <c r="B15855">
        <v>3.4272</v>
      </c>
      <c r="C15855" t="str">
        <f t="shared" si="252"/>
        <v>2022 q3</v>
      </c>
    </row>
    <row r="15856" spans="1:3">
      <c r="A15856" s="62">
        <v>44834</v>
      </c>
      <c r="B15856">
        <v>3.3807999999999998</v>
      </c>
      <c r="C15856" t="str">
        <f t="shared" si="252"/>
        <v>2022 q3</v>
      </c>
    </row>
    <row r="15857" spans="1:3">
      <c r="A15857" s="62">
        <v>44837</v>
      </c>
      <c r="B15857">
        <v>3.4192</v>
      </c>
      <c r="C15857" t="str">
        <f t="shared" si="252"/>
        <v>2022 q4</v>
      </c>
    </row>
    <row r="15858" spans="1:3">
      <c r="A15858" s="62">
        <v>44838</v>
      </c>
      <c r="B15858">
        <v>3.4832000000000001</v>
      </c>
      <c r="C15858" t="str">
        <f t="shared" si="252"/>
        <v>2022 q4</v>
      </c>
    </row>
    <row r="15859" spans="1:3">
      <c r="A15859" s="62">
        <v>44839</v>
      </c>
      <c r="B15859">
        <v>3.5424000000000002</v>
      </c>
      <c r="C15859" t="str">
        <f t="shared" si="252"/>
        <v>2022 q4</v>
      </c>
    </row>
    <row r="15860" spans="1:3">
      <c r="A15860" s="62">
        <v>44840</v>
      </c>
      <c r="B15860">
        <v>3.4224000000000001</v>
      </c>
      <c r="C15860" t="str">
        <f t="shared" si="252"/>
        <v>2022 q4</v>
      </c>
    </row>
    <row r="15861" spans="1:3">
      <c r="A15861" s="62">
        <v>44841</v>
      </c>
      <c r="B15861">
        <v>3.3727999999999998</v>
      </c>
      <c r="C15861" t="str">
        <f t="shared" si="252"/>
        <v>2022 q4</v>
      </c>
    </row>
    <row r="15862" spans="1:3">
      <c r="A15862" s="62">
        <v>44844</v>
      </c>
      <c r="B15862">
        <v>3.4287999999999998</v>
      </c>
      <c r="C15862" t="str">
        <f t="shared" si="252"/>
        <v>2022 q4</v>
      </c>
    </row>
    <row r="15863" spans="1:3">
      <c r="A15863" s="62">
        <v>44845</v>
      </c>
      <c r="B15863">
        <v>3.4144000000000001</v>
      </c>
      <c r="C15863" t="str">
        <f t="shared" si="252"/>
        <v>2022 q4</v>
      </c>
    </row>
    <row r="15864" spans="1:3">
      <c r="A15864" s="62">
        <v>44846</v>
      </c>
      <c r="B15864">
        <v>3.4192</v>
      </c>
      <c r="C15864" t="str">
        <f t="shared" si="252"/>
        <v>2022 q4</v>
      </c>
    </row>
    <row r="15865" spans="1:3">
      <c r="A15865" s="62">
        <v>44847</v>
      </c>
      <c r="B15865">
        <v>3.4512</v>
      </c>
      <c r="C15865" t="str">
        <f t="shared" si="252"/>
        <v>2022 q4</v>
      </c>
    </row>
    <row r="15866" spans="1:3">
      <c r="A15866" s="62">
        <v>44848</v>
      </c>
      <c r="B15866">
        <v>3.3952</v>
      </c>
      <c r="C15866" t="str">
        <f t="shared" si="252"/>
        <v>2022 q4</v>
      </c>
    </row>
    <row r="15867" spans="1:3">
      <c r="A15867" s="62">
        <v>44851</v>
      </c>
      <c r="B15867">
        <v>3.3967999999999998</v>
      </c>
      <c r="C15867" t="str">
        <f t="shared" si="252"/>
        <v>2022 q4</v>
      </c>
    </row>
    <row r="15868" spans="1:3">
      <c r="A15868" s="62">
        <v>44852</v>
      </c>
      <c r="B15868">
        <v>3.3567999999999998</v>
      </c>
      <c r="C15868" t="str">
        <f t="shared" si="252"/>
        <v>2022 q4</v>
      </c>
    </row>
    <row r="15869" spans="1:3">
      <c r="A15869" s="62">
        <v>44853</v>
      </c>
      <c r="B15869">
        <v>3.3168000000000002</v>
      </c>
      <c r="C15869" t="str">
        <f t="shared" si="252"/>
        <v>2022 q4</v>
      </c>
    </row>
    <row r="15870" spans="1:3">
      <c r="A15870" s="62">
        <v>44854</v>
      </c>
      <c r="B15870">
        <v>3.3856000000000002</v>
      </c>
      <c r="C15870" t="str">
        <f t="shared" si="252"/>
        <v>2022 q4</v>
      </c>
    </row>
    <row r="15871" spans="1:3">
      <c r="A15871" s="62">
        <v>44855</v>
      </c>
      <c r="B15871">
        <v>3.4672000000000001</v>
      </c>
      <c r="C15871" t="str">
        <f t="shared" si="252"/>
        <v>2022 q4</v>
      </c>
    </row>
    <row r="15872" spans="1:3">
      <c r="A15872" s="62">
        <v>44858</v>
      </c>
      <c r="B15872">
        <v>3.4207999999999998</v>
      </c>
      <c r="C15872" t="str">
        <f t="shared" si="252"/>
        <v>2022 q4</v>
      </c>
    </row>
    <row r="15873" spans="1:3">
      <c r="A15873" s="62">
        <v>44859</v>
      </c>
      <c r="B15873">
        <v>3.3887999999999998</v>
      </c>
      <c r="C15873" t="str">
        <f t="shared" si="252"/>
        <v>2022 q4</v>
      </c>
    </row>
    <row r="15874" spans="1:3">
      <c r="A15874" s="62">
        <v>44860</v>
      </c>
      <c r="B15874">
        <v>3.528</v>
      </c>
      <c r="C15874" t="str">
        <f t="shared" si="252"/>
        <v>2022 q4</v>
      </c>
    </row>
    <row r="15875" spans="1:3">
      <c r="A15875" s="62">
        <v>44861</v>
      </c>
      <c r="B15875">
        <v>3.5072000000000001</v>
      </c>
      <c r="C15875" t="str">
        <f t="shared" si="252"/>
        <v>2022 q4</v>
      </c>
    </row>
    <row r="15876" spans="1:3">
      <c r="A15876" s="62">
        <v>44862</v>
      </c>
      <c r="B15876">
        <v>3.4207999999999998</v>
      </c>
      <c r="C15876" t="str">
        <f t="shared" si="252"/>
        <v>2022 q4</v>
      </c>
    </row>
    <row r="15877" spans="1:3">
      <c r="A15877" s="62">
        <v>44865</v>
      </c>
      <c r="B15877">
        <v>3.3696000000000002</v>
      </c>
      <c r="C15877" t="str">
        <f t="shared" si="252"/>
        <v>2022 q4</v>
      </c>
    </row>
    <row r="15878" spans="1:3">
      <c r="A15878" s="62">
        <v>44866</v>
      </c>
      <c r="B15878">
        <v>3.4575999999999998</v>
      </c>
      <c r="C15878" t="str">
        <f t="shared" si="252"/>
        <v>2022 q4</v>
      </c>
    </row>
    <row r="15879" spans="1:3">
      <c r="A15879" s="62">
        <v>44867</v>
      </c>
      <c r="B15879">
        <v>3.4207999999999998</v>
      </c>
      <c r="C15879" t="str">
        <f t="shared" si="252"/>
        <v>2022 q4</v>
      </c>
    </row>
    <row r="15880" spans="1:3">
      <c r="A15880" s="62">
        <v>44868</v>
      </c>
      <c r="B15880">
        <v>3.4127999999999998</v>
      </c>
      <c r="C15880" t="str">
        <f t="shared" si="252"/>
        <v>2022 q4</v>
      </c>
    </row>
    <row r="15881" spans="1:3">
      <c r="A15881" s="62">
        <v>44869</v>
      </c>
      <c r="B15881">
        <v>3.6880000000000002</v>
      </c>
      <c r="C15881" t="str">
        <f t="shared" si="252"/>
        <v>2022 q4</v>
      </c>
    </row>
    <row r="15882" spans="1:3">
      <c r="A15882" s="62">
        <v>44872</v>
      </c>
      <c r="B15882">
        <v>3.5968</v>
      </c>
      <c r="C15882" t="str">
        <f t="shared" si="252"/>
        <v>2022 q4</v>
      </c>
    </row>
    <row r="15883" spans="1:3">
      <c r="A15883" s="62">
        <v>44873</v>
      </c>
      <c r="B15883">
        <v>3.6560000000000001</v>
      </c>
      <c r="C15883" t="str">
        <f t="shared" si="252"/>
        <v>2022 q4</v>
      </c>
    </row>
    <row r="15884" spans="1:3">
      <c r="A15884" s="62">
        <v>44874</v>
      </c>
      <c r="B15884">
        <v>3.6671999999999998</v>
      </c>
      <c r="C15884" t="str">
        <f t="shared" si="252"/>
        <v>2022 q4</v>
      </c>
    </row>
    <row r="15885" spans="1:3">
      <c r="A15885" s="62">
        <v>44875</v>
      </c>
      <c r="B15885">
        <v>3.7664</v>
      </c>
      <c r="C15885" t="str">
        <f t="shared" si="252"/>
        <v>2022 q4</v>
      </c>
    </row>
    <row r="15886" spans="1:3">
      <c r="A15886" s="62">
        <v>44876</v>
      </c>
      <c r="B15886">
        <v>3.9247999999999998</v>
      </c>
      <c r="C15886" t="str">
        <f t="shared" si="252"/>
        <v>2022 q4</v>
      </c>
    </row>
    <row r="15887" spans="1:3">
      <c r="A15887" s="62">
        <v>44879</v>
      </c>
      <c r="B15887">
        <v>3.8336000000000001</v>
      </c>
      <c r="C15887" t="str">
        <f t="shared" si="252"/>
        <v>2022 q4</v>
      </c>
    </row>
    <row r="15888" spans="1:3">
      <c r="A15888" s="62">
        <v>44880</v>
      </c>
      <c r="B15888">
        <v>3.8176000000000001</v>
      </c>
      <c r="C15888" t="str">
        <f t="shared" si="252"/>
        <v>2022 q4</v>
      </c>
    </row>
    <row r="15889" spans="1:3">
      <c r="A15889" s="62">
        <v>44881</v>
      </c>
      <c r="B15889">
        <v>3.7551999999999999</v>
      </c>
      <c r="C15889" t="str">
        <f t="shared" si="252"/>
        <v>2022 q4</v>
      </c>
    </row>
    <row r="15890" spans="1:3">
      <c r="A15890" s="62">
        <v>44882</v>
      </c>
      <c r="B15890">
        <v>3.6831999999999998</v>
      </c>
      <c r="C15890" t="str">
        <f t="shared" ref="C15890:C15953" si="253">YEAR(A15890)&amp;" q"&amp;ROUNDUP(MONTH(A15890)/3,0)</f>
        <v>2022 q4</v>
      </c>
    </row>
    <row r="15891" spans="1:3">
      <c r="A15891" s="62">
        <v>44883</v>
      </c>
      <c r="B15891">
        <v>3.6432000000000002</v>
      </c>
      <c r="C15891" t="str">
        <f t="shared" si="253"/>
        <v>2022 q4</v>
      </c>
    </row>
    <row r="15892" spans="1:3">
      <c r="A15892" s="62">
        <v>44886</v>
      </c>
      <c r="B15892">
        <v>3.5823999999999998</v>
      </c>
      <c r="C15892" t="str">
        <f t="shared" si="253"/>
        <v>2022 q4</v>
      </c>
    </row>
    <row r="15893" spans="1:3">
      <c r="A15893" s="62">
        <v>44887</v>
      </c>
      <c r="B15893">
        <v>3.6208</v>
      </c>
      <c r="C15893" t="str">
        <f t="shared" si="253"/>
        <v>2022 q4</v>
      </c>
    </row>
    <row r="15894" spans="1:3">
      <c r="A15894" s="62">
        <v>44888</v>
      </c>
      <c r="B15894">
        <v>3.6415999999999999</v>
      </c>
      <c r="C15894" t="str">
        <f t="shared" si="253"/>
        <v>2022 q4</v>
      </c>
    </row>
    <row r="15895" spans="1:3">
      <c r="A15895" s="62">
        <v>44889</v>
      </c>
      <c r="B15895">
        <v>3.6335999999999999</v>
      </c>
      <c r="C15895" t="str">
        <f t="shared" si="253"/>
        <v>2022 q4</v>
      </c>
    </row>
    <row r="15896" spans="1:3">
      <c r="A15896" s="62">
        <v>44890</v>
      </c>
      <c r="B15896">
        <v>3.6175999999999999</v>
      </c>
      <c r="C15896" t="str">
        <f t="shared" si="253"/>
        <v>2022 q4</v>
      </c>
    </row>
    <row r="15897" spans="1:3">
      <c r="A15897" s="62">
        <v>44893</v>
      </c>
      <c r="B15897">
        <v>3.5983999999999998</v>
      </c>
      <c r="C15897" t="str">
        <f t="shared" si="253"/>
        <v>2022 q4</v>
      </c>
    </row>
    <row r="15898" spans="1:3">
      <c r="A15898" s="62">
        <v>44894</v>
      </c>
      <c r="B15898">
        <v>3.6448</v>
      </c>
      <c r="C15898" t="str">
        <f t="shared" si="253"/>
        <v>2022 q4</v>
      </c>
    </row>
    <row r="15899" spans="1:3">
      <c r="A15899" s="62">
        <v>44895</v>
      </c>
      <c r="B15899">
        <v>3.7824</v>
      </c>
      <c r="C15899" t="str">
        <f t="shared" si="253"/>
        <v>2022 q4</v>
      </c>
    </row>
    <row r="15900" spans="1:3">
      <c r="A15900" s="62">
        <v>44896</v>
      </c>
      <c r="B15900">
        <v>3.7951999999999999</v>
      </c>
      <c r="C15900" t="str">
        <f t="shared" si="253"/>
        <v>2022 q4</v>
      </c>
    </row>
    <row r="15901" spans="1:3">
      <c r="A15901" s="62">
        <v>44897</v>
      </c>
      <c r="B15901">
        <v>3.8544</v>
      </c>
      <c r="C15901" t="str">
        <f t="shared" si="253"/>
        <v>2022 q4</v>
      </c>
    </row>
    <row r="15902" spans="1:3">
      <c r="A15902" s="62">
        <v>44900</v>
      </c>
      <c r="B15902">
        <v>3.7871999999999999</v>
      </c>
      <c r="C15902" t="str">
        <f t="shared" si="253"/>
        <v>2022 q4</v>
      </c>
    </row>
    <row r="15903" spans="1:3">
      <c r="A15903" s="62">
        <v>44901</v>
      </c>
      <c r="B15903">
        <v>3.8208000000000002</v>
      </c>
      <c r="C15903" t="str">
        <f t="shared" si="253"/>
        <v>2022 q4</v>
      </c>
    </row>
    <row r="15904" spans="1:3">
      <c r="A15904" s="62">
        <v>44902</v>
      </c>
      <c r="B15904">
        <v>3.8431999999999999</v>
      </c>
      <c r="C15904" t="str">
        <f t="shared" si="253"/>
        <v>2022 q4</v>
      </c>
    </row>
    <row r="15905" spans="1:3">
      <c r="A15905" s="62">
        <v>44903</v>
      </c>
      <c r="B15905">
        <v>3.8784000000000001</v>
      </c>
      <c r="C15905" t="str">
        <f t="shared" si="253"/>
        <v>2022 q4</v>
      </c>
    </row>
    <row r="15906" spans="1:3">
      <c r="A15906" s="62">
        <v>44904</v>
      </c>
      <c r="B15906">
        <v>3.8544</v>
      </c>
      <c r="C15906" t="str">
        <f t="shared" si="253"/>
        <v>2022 q4</v>
      </c>
    </row>
    <row r="15907" spans="1:3">
      <c r="A15907" s="62">
        <v>44907</v>
      </c>
      <c r="B15907">
        <v>3.8064</v>
      </c>
      <c r="C15907" t="str">
        <f t="shared" si="253"/>
        <v>2022 q4</v>
      </c>
    </row>
    <row r="15908" spans="1:3">
      <c r="A15908" s="62">
        <v>44908</v>
      </c>
      <c r="B15908">
        <v>3.8448000000000002</v>
      </c>
      <c r="C15908" t="str">
        <f t="shared" si="253"/>
        <v>2022 q4</v>
      </c>
    </row>
    <row r="15909" spans="1:3">
      <c r="A15909" s="62">
        <v>44909</v>
      </c>
      <c r="B15909">
        <v>3.8607999999999998</v>
      </c>
      <c r="C15909" t="str">
        <f t="shared" si="253"/>
        <v>2022 q4</v>
      </c>
    </row>
    <row r="15910" spans="1:3">
      <c r="A15910" s="62">
        <v>44910</v>
      </c>
      <c r="B15910">
        <v>3.7759999999999998</v>
      </c>
      <c r="C15910" t="str">
        <f t="shared" si="253"/>
        <v>2022 q4</v>
      </c>
    </row>
    <row r="15911" spans="1:3">
      <c r="A15911" s="62">
        <v>44911</v>
      </c>
      <c r="B15911">
        <v>3.7696000000000001</v>
      </c>
      <c r="C15911" t="str">
        <f t="shared" si="253"/>
        <v>2022 q4</v>
      </c>
    </row>
    <row r="15912" spans="1:3">
      <c r="A15912" s="62">
        <v>44914</v>
      </c>
      <c r="B15912">
        <v>3.7616000000000001</v>
      </c>
      <c r="C15912" t="str">
        <f t="shared" si="253"/>
        <v>2022 q4</v>
      </c>
    </row>
    <row r="15913" spans="1:3">
      <c r="A15913" s="62">
        <v>44915</v>
      </c>
      <c r="B15913">
        <v>3.8064</v>
      </c>
      <c r="C15913" t="str">
        <f t="shared" si="253"/>
        <v>2022 q4</v>
      </c>
    </row>
    <row r="15914" spans="1:3">
      <c r="A15914" s="62">
        <v>44916</v>
      </c>
      <c r="B15914">
        <v>3.8159999999999998</v>
      </c>
      <c r="C15914" t="str">
        <f t="shared" si="253"/>
        <v>2022 q4</v>
      </c>
    </row>
    <row r="15915" spans="1:3">
      <c r="A15915" s="62">
        <v>44917</v>
      </c>
      <c r="B15915">
        <v>3.7648000000000001</v>
      </c>
      <c r="C15915" t="str">
        <f t="shared" si="253"/>
        <v>2022 q4</v>
      </c>
    </row>
    <row r="15916" spans="1:3">
      <c r="A15916" s="62">
        <v>44918</v>
      </c>
      <c r="B15916">
        <v>3.8111999999999999</v>
      </c>
      <c r="C15916" t="str">
        <f t="shared" si="253"/>
        <v>2022 q4</v>
      </c>
    </row>
    <row r="15917" spans="1:3">
      <c r="A15917" s="62">
        <v>44921</v>
      </c>
      <c r="B15917">
        <v>3.8111999999999999</v>
      </c>
      <c r="C15917" t="str">
        <f t="shared" si="253"/>
        <v>2022 q4</v>
      </c>
    </row>
    <row r="15918" spans="1:3">
      <c r="A15918" s="62">
        <v>44922</v>
      </c>
      <c r="B15918">
        <v>3.8496000000000001</v>
      </c>
      <c r="C15918" t="str">
        <f t="shared" si="253"/>
        <v>2022 q4</v>
      </c>
    </row>
    <row r="15919" spans="1:3">
      <c r="A15919" s="62">
        <v>44923</v>
      </c>
      <c r="B15919">
        <v>3.8336000000000001</v>
      </c>
      <c r="C15919" t="str">
        <f t="shared" si="253"/>
        <v>2022 q4</v>
      </c>
    </row>
    <row r="15920" spans="1:3">
      <c r="A15920" s="62">
        <v>44924</v>
      </c>
      <c r="B15920">
        <v>3.8288000000000002</v>
      </c>
      <c r="C15920" t="str">
        <f t="shared" si="253"/>
        <v>2022 q4</v>
      </c>
    </row>
    <row r="15921" spans="1:3">
      <c r="A15921" s="62">
        <v>44925</v>
      </c>
      <c r="B15921">
        <v>3.8191999999999999</v>
      </c>
      <c r="C15921" t="str">
        <f t="shared" si="253"/>
        <v>2022 q4</v>
      </c>
    </row>
    <row r="15922" spans="1:3">
      <c r="A15922" s="62">
        <v>44928</v>
      </c>
      <c r="B15922">
        <v>3.8191999999999999</v>
      </c>
      <c r="C15922" t="str">
        <f t="shared" si="253"/>
        <v>2023 q1</v>
      </c>
    </row>
    <row r="15923" spans="1:3">
      <c r="A15923" s="62">
        <v>44929</v>
      </c>
      <c r="B15923">
        <v>3.7696000000000001</v>
      </c>
      <c r="C15923" t="str">
        <f t="shared" si="253"/>
        <v>2023 q1</v>
      </c>
    </row>
    <row r="15924" spans="1:3">
      <c r="A15924" s="62">
        <v>44930</v>
      </c>
      <c r="B15924">
        <v>3.7423999999999999</v>
      </c>
      <c r="C15924" t="str">
        <f t="shared" si="253"/>
        <v>2023 q1</v>
      </c>
    </row>
    <row r="15925" spans="1:3">
      <c r="A15925" s="62">
        <v>44931</v>
      </c>
      <c r="B15925">
        <v>3.8271999999999999</v>
      </c>
      <c r="C15925" t="str">
        <f t="shared" si="253"/>
        <v>2023 q1</v>
      </c>
    </row>
    <row r="15926" spans="1:3">
      <c r="A15926" s="62">
        <v>44932</v>
      </c>
      <c r="B15926">
        <v>3.9232</v>
      </c>
      <c r="C15926" t="str">
        <f t="shared" si="253"/>
        <v>2023 q1</v>
      </c>
    </row>
    <row r="15927" spans="1:3">
      <c r="A15927" s="62">
        <v>44935</v>
      </c>
      <c r="B15927">
        <v>4.0095999999999998</v>
      </c>
      <c r="C15927" t="str">
        <f t="shared" si="253"/>
        <v>2023 q1</v>
      </c>
    </row>
    <row r="15928" spans="1:3">
      <c r="A15928" s="62">
        <v>44936</v>
      </c>
      <c r="B15928">
        <v>4.08</v>
      </c>
      <c r="C15928" t="str">
        <f t="shared" si="253"/>
        <v>2023 q1</v>
      </c>
    </row>
    <row r="15929" spans="1:3">
      <c r="A15929" s="62">
        <v>44937</v>
      </c>
      <c r="B15929">
        <v>4.1776</v>
      </c>
      <c r="C15929" t="str">
        <f t="shared" si="253"/>
        <v>2023 q1</v>
      </c>
    </row>
    <row r="15930" spans="1:3">
      <c r="A15930" s="62">
        <v>44938</v>
      </c>
      <c r="B15930">
        <v>4.1727999999999996</v>
      </c>
      <c r="C15930" t="str">
        <f t="shared" si="253"/>
        <v>2023 q1</v>
      </c>
    </row>
    <row r="15931" spans="1:3">
      <c r="A15931" s="62">
        <v>44939</v>
      </c>
      <c r="B15931">
        <v>4.2191999999999998</v>
      </c>
      <c r="C15931" t="str">
        <f t="shared" si="253"/>
        <v>2023 q1</v>
      </c>
    </row>
    <row r="15932" spans="1:3">
      <c r="A15932" s="62">
        <v>44942</v>
      </c>
      <c r="B15932">
        <v>4.1440000000000001</v>
      </c>
      <c r="C15932" t="str">
        <f t="shared" si="253"/>
        <v>2023 q1</v>
      </c>
    </row>
    <row r="15933" spans="1:3">
      <c r="A15933" s="62">
        <v>44943</v>
      </c>
      <c r="B15933">
        <v>4.2351999999999999</v>
      </c>
      <c r="C15933" t="str">
        <f t="shared" si="253"/>
        <v>2023 q1</v>
      </c>
    </row>
    <row r="15934" spans="1:3">
      <c r="A15934" s="62">
        <v>44944</v>
      </c>
      <c r="B15934">
        <v>4.2304000000000004</v>
      </c>
      <c r="C15934" t="str">
        <f t="shared" si="253"/>
        <v>2023 q1</v>
      </c>
    </row>
    <row r="15935" spans="1:3">
      <c r="A15935" s="62">
        <v>44945</v>
      </c>
      <c r="B15935">
        <v>4.2496</v>
      </c>
      <c r="C15935" t="str">
        <f t="shared" si="253"/>
        <v>2023 q1</v>
      </c>
    </row>
    <row r="15936" spans="1:3">
      <c r="A15936" s="62">
        <v>44946</v>
      </c>
      <c r="B15936">
        <v>4.28</v>
      </c>
      <c r="C15936" t="str">
        <f t="shared" si="253"/>
        <v>2023 q1</v>
      </c>
    </row>
    <row r="15937" spans="1:3">
      <c r="A15937" s="62">
        <v>44949</v>
      </c>
      <c r="B15937">
        <v>4.2624000000000004</v>
      </c>
      <c r="C15937" t="str">
        <f t="shared" si="253"/>
        <v>2023 q1</v>
      </c>
    </row>
    <row r="15938" spans="1:3">
      <c r="A15938" s="62">
        <v>44950</v>
      </c>
      <c r="B15938">
        <v>4.2671999999999999</v>
      </c>
      <c r="C15938" t="str">
        <f t="shared" si="253"/>
        <v>2023 q1</v>
      </c>
    </row>
    <row r="15939" spans="1:3">
      <c r="A15939" s="62">
        <v>44951</v>
      </c>
      <c r="B15939">
        <v>4.2656000000000001</v>
      </c>
      <c r="C15939" t="str">
        <f t="shared" si="253"/>
        <v>2023 q1</v>
      </c>
    </row>
    <row r="15940" spans="1:3">
      <c r="A15940" s="62">
        <v>44952</v>
      </c>
      <c r="B15940">
        <v>4.2864000000000004</v>
      </c>
      <c r="C15940" t="str">
        <f t="shared" si="253"/>
        <v>2023 q1</v>
      </c>
    </row>
    <row r="15941" spans="1:3">
      <c r="A15941" s="62">
        <v>44953</v>
      </c>
      <c r="B15941">
        <v>4.2336</v>
      </c>
      <c r="C15941" t="str">
        <f t="shared" si="253"/>
        <v>2023 q1</v>
      </c>
    </row>
    <row r="15942" spans="1:3">
      <c r="A15942" s="62">
        <v>44956</v>
      </c>
      <c r="B15942">
        <v>4.1887999999999996</v>
      </c>
      <c r="C15942" t="str">
        <f t="shared" si="253"/>
        <v>2023 q1</v>
      </c>
    </row>
    <row r="15943" spans="1:3">
      <c r="A15943" s="62">
        <v>44957</v>
      </c>
      <c r="B15943">
        <v>4.2271999999999998</v>
      </c>
      <c r="C15943" t="str">
        <f t="shared" si="253"/>
        <v>2023 q1</v>
      </c>
    </row>
    <row r="15944" spans="1:3">
      <c r="A15944" s="62">
        <v>44958</v>
      </c>
      <c r="B15944">
        <v>4.1871999999999998</v>
      </c>
      <c r="C15944" t="str">
        <f t="shared" si="253"/>
        <v>2023 q1</v>
      </c>
    </row>
    <row r="15945" spans="1:3">
      <c r="A15945" s="62">
        <v>44959</v>
      </c>
      <c r="B15945">
        <v>4.0944000000000003</v>
      </c>
      <c r="C15945" t="str">
        <f t="shared" si="253"/>
        <v>2023 q1</v>
      </c>
    </row>
    <row r="15946" spans="1:3">
      <c r="A15946" s="62">
        <v>44960</v>
      </c>
      <c r="B15946">
        <v>4.0384000000000002</v>
      </c>
      <c r="C15946" t="str">
        <f t="shared" si="253"/>
        <v>2023 q1</v>
      </c>
    </row>
    <row r="15947" spans="1:3">
      <c r="A15947" s="62">
        <v>44963</v>
      </c>
      <c r="B15947">
        <v>4.0464000000000002</v>
      </c>
      <c r="C15947" t="str">
        <f t="shared" si="253"/>
        <v>2023 q1</v>
      </c>
    </row>
    <row r="15948" spans="1:3">
      <c r="A15948" s="62">
        <v>44964</v>
      </c>
      <c r="B15948">
        <v>4.0768000000000004</v>
      </c>
      <c r="C15948" t="str">
        <f t="shared" si="253"/>
        <v>2023 q1</v>
      </c>
    </row>
    <row r="15949" spans="1:3">
      <c r="A15949" s="62">
        <v>44965</v>
      </c>
      <c r="B15949">
        <v>4.0544000000000002</v>
      </c>
      <c r="C15949" t="str">
        <f t="shared" si="253"/>
        <v>2023 q1</v>
      </c>
    </row>
    <row r="15950" spans="1:3">
      <c r="A15950" s="62">
        <v>44966</v>
      </c>
      <c r="B15950">
        <v>4.0768000000000004</v>
      </c>
      <c r="C15950" t="str">
        <f t="shared" si="253"/>
        <v>2023 q1</v>
      </c>
    </row>
    <row r="15951" spans="1:3">
      <c r="A15951" s="62">
        <v>44967</v>
      </c>
      <c r="B15951">
        <v>4.0255999999999998</v>
      </c>
      <c r="C15951" t="str">
        <f t="shared" si="253"/>
        <v>2023 q1</v>
      </c>
    </row>
    <row r="15952" spans="1:3">
      <c r="A15952" s="62">
        <v>44970</v>
      </c>
      <c r="B15952">
        <v>4.0720000000000001</v>
      </c>
      <c r="C15952" t="str">
        <f t="shared" si="253"/>
        <v>2023 q1</v>
      </c>
    </row>
    <row r="15953" spans="1:3">
      <c r="A15953" s="62">
        <v>44971</v>
      </c>
      <c r="B15953">
        <v>4.1007999999999996</v>
      </c>
      <c r="C15953" t="str">
        <f t="shared" si="253"/>
        <v>2023 q1</v>
      </c>
    </row>
    <row r="15954" spans="1:3">
      <c r="A15954" s="62">
        <v>44972</v>
      </c>
      <c r="B15954">
        <v>4.032</v>
      </c>
      <c r="C15954" t="str">
        <f t="shared" ref="C15954:C16017" si="254">YEAR(A15954)&amp;" q"&amp;ROUNDUP(MONTH(A15954)/3,0)</f>
        <v>2023 q1</v>
      </c>
    </row>
    <row r="15955" spans="1:3">
      <c r="A15955" s="62">
        <v>44973</v>
      </c>
      <c r="B15955">
        <v>4.1120000000000001</v>
      </c>
      <c r="C15955" t="str">
        <f t="shared" si="254"/>
        <v>2023 q1</v>
      </c>
    </row>
    <row r="15956" spans="1:3">
      <c r="A15956" s="62">
        <v>44974</v>
      </c>
      <c r="B15956">
        <v>4.1215999999999999</v>
      </c>
      <c r="C15956" t="str">
        <f t="shared" si="254"/>
        <v>2023 q1</v>
      </c>
    </row>
    <row r="15957" spans="1:3">
      <c r="A15957" s="62">
        <v>44977</v>
      </c>
      <c r="B15957">
        <v>4.16</v>
      </c>
      <c r="C15957" t="str">
        <f t="shared" si="254"/>
        <v>2023 q1</v>
      </c>
    </row>
    <row r="15958" spans="1:3">
      <c r="A15958" s="62">
        <v>44978</v>
      </c>
      <c r="B15958">
        <v>4.1951999999999998</v>
      </c>
      <c r="C15958" t="str">
        <f t="shared" si="254"/>
        <v>2023 q1</v>
      </c>
    </row>
    <row r="15959" spans="1:3">
      <c r="A15959" s="62">
        <v>44979</v>
      </c>
      <c r="B15959">
        <v>4.1680000000000001</v>
      </c>
      <c r="C15959" t="str">
        <f t="shared" si="254"/>
        <v>2023 q1</v>
      </c>
    </row>
    <row r="15960" spans="1:3">
      <c r="A15960" s="62">
        <v>44980</v>
      </c>
      <c r="B15960">
        <v>4.0495999999999999</v>
      </c>
      <c r="C15960" t="str">
        <f t="shared" si="254"/>
        <v>2023 q1</v>
      </c>
    </row>
    <row r="15961" spans="1:3">
      <c r="A15961" s="62">
        <v>44981</v>
      </c>
      <c r="B15961">
        <v>3.9567999999999999</v>
      </c>
      <c r="C15961" t="str">
        <f t="shared" si="254"/>
        <v>2023 q1</v>
      </c>
    </row>
    <row r="15962" spans="1:3">
      <c r="A15962" s="62">
        <v>44984</v>
      </c>
      <c r="B15962">
        <v>4.0064000000000002</v>
      </c>
      <c r="C15962" t="str">
        <f t="shared" si="254"/>
        <v>2023 q1</v>
      </c>
    </row>
    <row r="15963" spans="1:3">
      <c r="A15963" s="62">
        <v>44985</v>
      </c>
      <c r="B15963">
        <v>4.0735999999999999</v>
      </c>
      <c r="C15963" t="str">
        <f t="shared" si="254"/>
        <v>2023 q1</v>
      </c>
    </row>
    <row r="15964" spans="1:3">
      <c r="A15964" s="62">
        <v>44986</v>
      </c>
      <c r="B15964">
        <v>4.1664000000000003</v>
      </c>
      <c r="C15964" t="str">
        <f t="shared" si="254"/>
        <v>2023 q1</v>
      </c>
    </row>
    <row r="15965" spans="1:3">
      <c r="A15965" s="62">
        <v>44987</v>
      </c>
      <c r="B15965">
        <v>4.0720000000000001</v>
      </c>
      <c r="C15965" t="str">
        <f t="shared" si="254"/>
        <v>2023 q1</v>
      </c>
    </row>
    <row r="15966" spans="1:3">
      <c r="A15966" s="62">
        <v>44988</v>
      </c>
      <c r="B15966">
        <v>4.0688000000000004</v>
      </c>
      <c r="C15966" t="str">
        <f t="shared" si="254"/>
        <v>2023 q1</v>
      </c>
    </row>
    <row r="15967" spans="1:3">
      <c r="A15967" s="62">
        <v>44991</v>
      </c>
      <c r="B15967">
        <v>4.0751999999999997</v>
      </c>
      <c r="C15967" t="str">
        <f t="shared" si="254"/>
        <v>2023 q1</v>
      </c>
    </row>
    <row r="15968" spans="1:3">
      <c r="A15968" s="62">
        <v>44992</v>
      </c>
      <c r="B15968">
        <v>3.9647999999999999</v>
      </c>
      <c r="C15968" t="str">
        <f t="shared" si="254"/>
        <v>2023 q1</v>
      </c>
    </row>
    <row r="15969" spans="1:3">
      <c r="A15969" s="62">
        <v>44993</v>
      </c>
      <c r="B15969">
        <v>4.0288000000000004</v>
      </c>
      <c r="C15969" t="str">
        <f t="shared" si="254"/>
        <v>2023 q1</v>
      </c>
    </row>
    <row r="15970" spans="1:3">
      <c r="A15970" s="62">
        <v>44994</v>
      </c>
      <c r="B15970">
        <v>4.0064000000000002</v>
      </c>
      <c r="C15970" t="str">
        <f t="shared" si="254"/>
        <v>2023 q1</v>
      </c>
    </row>
    <row r="15971" spans="1:3">
      <c r="A15971" s="62">
        <v>44995</v>
      </c>
      <c r="B15971">
        <v>4.0064000000000002</v>
      </c>
      <c r="C15971" t="str">
        <f t="shared" si="254"/>
        <v>2023 q1</v>
      </c>
    </row>
    <row r="15972" spans="1:3">
      <c r="A15972" s="62">
        <v>44998</v>
      </c>
      <c r="B15972">
        <v>4.0384000000000002</v>
      </c>
      <c r="C15972" t="str">
        <f t="shared" si="254"/>
        <v>2023 q1</v>
      </c>
    </row>
    <row r="15973" spans="1:3">
      <c r="A15973" s="62">
        <v>44999</v>
      </c>
      <c r="B15973">
        <v>4.0048000000000004</v>
      </c>
      <c r="C15973" t="str">
        <f t="shared" si="254"/>
        <v>2023 q1</v>
      </c>
    </row>
    <row r="15974" spans="1:3">
      <c r="A15974" s="62">
        <v>45000</v>
      </c>
      <c r="B15974">
        <v>3.8847999999999998</v>
      </c>
      <c r="C15974" t="str">
        <f t="shared" si="254"/>
        <v>2023 q1</v>
      </c>
    </row>
    <row r="15975" spans="1:3">
      <c r="A15975" s="62">
        <v>45001</v>
      </c>
      <c r="B15975">
        <v>3.8736000000000002</v>
      </c>
      <c r="C15975" t="str">
        <f t="shared" si="254"/>
        <v>2023 q1</v>
      </c>
    </row>
    <row r="15976" spans="1:3">
      <c r="A15976" s="62">
        <v>45002</v>
      </c>
      <c r="B15976">
        <v>3.8959999999999999</v>
      </c>
      <c r="C15976" t="str">
        <f t="shared" si="254"/>
        <v>2023 q1</v>
      </c>
    </row>
    <row r="15977" spans="1:3">
      <c r="A15977" s="62">
        <v>45005</v>
      </c>
      <c r="B15977">
        <v>3.9552</v>
      </c>
      <c r="C15977" t="str">
        <f t="shared" si="254"/>
        <v>2023 q1</v>
      </c>
    </row>
    <row r="15978" spans="1:3">
      <c r="A15978" s="62">
        <v>45006</v>
      </c>
      <c r="B15978">
        <v>4.0048000000000004</v>
      </c>
      <c r="C15978" t="str">
        <f t="shared" si="254"/>
        <v>2023 q1</v>
      </c>
    </row>
    <row r="15979" spans="1:3">
      <c r="A15979" s="62">
        <v>45007</v>
      </c>
      <c r="B15979">
        <v>4.0415999999999999</v>
      </c>
      <c r="C15979" t="str">
        <f t="shared" si="254"/>
        <v>2023 q1</v>
      </c>
    </row>
    <row r="15980" spans="1:3">
      <c r="A15980" s="62">
        <v>45008</v>
      </c>
      <c r="B15980">
        <v>4.1007999999999996</v>
      </c>
      <c r="C15980" t="str">
        <f t="shared" si="254"/>
        <v>2023 q1</v>
      </c>
    </row>
    <row r="15981" spans="1:3">
      <c r="A15981" s="62">
        <v>45009</v>
      </c>
      <c r="B15981">
        <v>4.0735999999999999</v>
      </c>
      <c r="C15981" t="str">
        <f t="shared" si="254"/>
        <v>2023 q1</v>
      </c>
    </row>
    <row r="15982" spans="1:3">
      <c r="A15982" s="62">
        <v>45012</v>
      </c>
      <c r="B15982">
        <v>4.0991999999999997</v>
      </c>
      <c r="C15982" t="str">
        <f t="shared" si="254"/>
        <v>2023 q1</v>
      </c>
    </row>
    <row r="15983" spans="1:3">
      <c r="A15983" s="62">
        <v>45013</v>
      </c>
      <c r="B15983">
        <v>4.0768000000000004</v>
      </c>
      <c r="C15983" t="str">
        <f t="shared" si="254"/>
        <v>2023 q1</v>
      </c>
    </row>
    <row r="15984" spans="1:3">
      <c r="A15984" s="62">
        <v>45014</v>
      </c>
      <c r="B15984">
        <v>4.0768000000000004</v>
      </c>
      <c r="C15984" t="str">
        <f t="shared" si="254"/>
        <v>2023 q1</v>
      </c>
    </row>
    <row r="15985" spans="1:3">
      <c r="A15985" s="62">
        <v>45015</v>
      </c>
      <c r="B15985">
        <v>4.1071999999999997</v>
      </c>
      <c r="C15985" t="str">
        <f t="shared" si="254"/>
        <v>2023 q1</v>
      </c>
    </row>
    <row r="15986" spans="1:3">
      <c r="A15986" s="62">
        <v>45016</v>
      </c>
      <c r="B15986">
        <v>4.0848000000000004</v>
      </c>
      <c r="C15986" t="str">
        <f t="shared" si="254"/>
        <v>2023 q1</v>
      </c>
    </row>
    <row r="15987" spans="1:3">
      <c r="A15987" s="62">
        <v>45019</v>
      </c>
      <c r="B15987">
        <v>4.0528000000000004</v>
      </c>
      <c r="C15987" t="str">
        <f t="shared" si="254"/>
        <v>2023 q2</v>
      </c>
    </row>
    <row r="15988" spans="1:3">
      <c r="A15988" s="62">
        <v>45020</v>
      </c>
      <c r="B15988">
        <v>3.9775999999999998</v>
      </c>
      <c r="C15988" t="str">
        <f t="shared" si="254"/>
        <v>2023 q2</v>
      </c>
    </row>
    <row r="15989" spans="1:3">
      <c r="A15989" s="62">
        <v>45021</v>
      </c>
      <c r="B15989">
        <v>3.9904000000000002</v>
      </c>
      <c r="C15989" t="str">
        <f t="shared" si="254"/>
        <v>2023 q2</v>
      </c>
    </row>
    <row r="15990" spans="1:3">
      <c r="A15990" s="62">
        <v>45022</v>
      </c>
      <c r="B15990">
        <v>4.0128000000000004</v>
      </c>
      <c r="C15990" t="str">
        <f t="shared" si="254"/>
        <v>2023 q2</v>
      </c>
    </row>
    <row r="15991" spans="1:3">
      <c r="A15991" s="62">
        <v>45023</v>
      </c>
      <c r="B15991">
        <v>4.0128000000000004</v>
      </c>
      <c r="C15991" t="str">
        <f t="shared" si="254"/>
        <v>2023 q2</v>
      </c>
    </row>
    <row r="15992" spans="1:3">
      <c r="A15992" s="62">
        <v>45026</v>
      </c>
      <c r="B15992">
        <v>3.9967999999999999</v>
      </c>
      <c r="C15992" t="str">
        <f t="shared" si="254"/>
        <v>2023 q2</v>
      </c>
    </row>
    <row r="15993" spans="1:3">
      <c r="A15993" s="62">
        <v>45027</v>
      </c>
      <c r="B15993">
        <v>4.0335999999999999</v>
      </c>
      <c r="C15993" t="str">
        <f t="shared" si="254"/>
        <v>2023 q2</v>
      </c>
    </row>
    <row r="15994" spans="1:3">
      <c r="A15994" s="62">
        <v>45028</v>
      </c>
      <c r="B15994">
        <v>4.0688000000000004</v>
      </c>
      <c r="C15994" t="str">
        <f t="shared" si="254"/>
        <v>2023 q2</v>
      </c>
    </row>
    <row r="15995" spans="1:3">
      <c r="A15995" s="62">
        <v>45029</v>
      </c>
      <c r="B15995">
        <v>4.12</v>
      </c>
      <c r="C15995" t="str">
        <f t="shared" si="254"/>
        <v>2023 q2</v>
      </c>
    </row>
    <row r="15996" spans="1:3">
      <c r="A15996" s="62">
        <v>45030</v>
      </c>
      <c r="B15996">
        <v>4.1167999999999996</v>
      </c>
      <c r="C15996" t="str">
        <f t="shared" si="254"/>
        <v>2023 q2</v>
      </c>
    </row>
    <row r="15997" spans="1:3">
      <c r="A15997" s="62">
        <v>45033</v>
      </c>
      <c r="B15997">
        <v>4.0688000000000004</v>
      </c>
      <c r="C15997" t="str">
        <f t="shared" si="254"/>
        <v>2023 q2</v>
      </c>
    </row>
    <row r="15998" spans="1:3">
      <c r="A15998" s="62">
        <v>45034</v>
      </c>
      <c r="B15998">
        <v>4.0880000000000001</v>
      </c>
      <c r="C15998" t="str">
        <f t="shared" si="254"/>
        <v>2023 q2</v>
      </c>
    </row>
    <row r="15999" spans="1:3">
      <c r="A15999" s="62">
        <v>45035</v>
      </c>
      <c r="B15999">
        <v>4.0704000000000002</v>
      </c>
      <c r="C15999" t="str">
        <f t="shared" si="254"/>
        <v>2023 q2</v>
      </c>
    </row>
    <row r="16000" spans="1:3">
      <c r="A16000" s="62">
        <v>45036</v>
      </c>
      <c r="B16000">
        <v>4.0208000000000004</v>
      </c>
      <c r="C16000" t="str">
        <f t="shared" si="254"/>
        <v>2023 q2</v>
      </c>
    </row>
    <row r="16001" spans="1:3">
      <c r="A16001" s="62">
        <v>45037</v>
      </c>
      <c r="B16001">
        <v>3.9904000000000002</v>
      </c>
      <c r="C16001" t="str">
        <f t="shared" si="254"/>
        <v>2023 q2</v>
      </c>
    </row>
    <row r="16002" spans="1:3">
      <c r="A16002" s="62">
        <v>45040</v>
      </c>
      <c r="B16002">
        <v>3.9695999999999998</v>
      </c>
      <c r="C16002" t="str">
        <f t="shared" si="254"/>
        <v>2023 q2</v>
      </c>
    </row>
    <row r="16003" spans="1:3">
      <c r="A16003" s="62">
        <v>45041</v>
      </c>
      <c r="B16003">
        <v>3.8639999999999999</v>
      </c>
      <c r="C16003" t="str">
        <f t="shared" si="254"/>
        <v>2023 q2</v>
      </c>
    </row>
    <row r="16004" spans="1:3">
      <c r="A16004" s="62">
        <v>45042</v>
      </c>
      <c r="B16004">
        <v>3.8559999999999999</v>
      </c>
      <c r="C16004" t="str">
        <f t="shared" si="254"/>
        <v>2023 q2</v>
      </c>
    </row>
    <row r="16005" spans="1:3">
      <c r="A16005" s="62">
        <v>45043</v>
      </c>
      <c r="B16005">
        <v>3.8879999999999999</v>
      </c>
      <c r="C16005" t="str">
        <f t="shared" si="254"/>
        <v>2023 q2</v>
      </c>
    </row>
    <row r="16006" spans="1:3">
      <c r="A16006" s="62">
        <v>45044</v>
      </c>
      <c r="B16006">
        <v>3.8959999999999999</v>
      </c>
      <c r="C16006" t="str">
        <f t="shared" si="254"/>
        <v>2023 q2</v>
      </c>
    </row>
    <row r="16007" spans="1:3">
      <c r="A16007" s="62">
        <v>45047</v>
      </c>
      <c r="B16007">
        <v>3.9296000000000002</v>
      </c>
      <c r="C16007" t="str">
        <f t="shared" si="254"/>
        <v>2023 q2</v>
      </c>
    </row>
    <row r="16008" spans="1:3">
      <c r="A16008" s="62">
        <v>45048</v>
      </c>
      <c r="B16008">
        <v>3.8639999999999999</v>
      </c>
      <c r="C16008" t="str">
        <f t="shared" si="254"/>
        <v>2023 q2</v>
      </c>
    </row>
    <row r="16009" spans="1:3">
      <c r="A16009" s="62">
        <v>45049</v>
      </c>
      <c r="B16009">
        <v>3.8384</v>
      </c>
      <c r="C16009" t="str">
        <f t="shared" si="254"/>
        <v>2023 q2</v>
      </c>
    </row>
    <row r="16010" spans="1:3">
      <c r="A16010" s="62">
        <v>45050</v>
      </c>
      <c r="B16010">
        <v>3.8624000000000001</v>
      </c>
      <c r="C16010" t="str">
        <f t="shared" si="254"/>
        <v>2023 q2</v>
      </c>
    </row>
    <row r="16011" spans="1:3">
      <c r="A16011" s="62">
        <v>45051</v>
      </c>
      <c r="B16011">
        <v>3.8912</v>
      </c>
      <c r="C16011" t="str">
        <f t="shared" si="254"/>
        <v>2023 q2</v>
      </c>
    </row>
    <row r="16012" spans="1:3">
      <c r="A16012" s="62">
        <v>45054</v>
      </c>
      <c r="B16012">
        <v>3.92</v>
      </c>
      <c r="C16012" t="str">
        <f t="shared" si="254"/>
        <v>2023 q2</v>
      </c>
    </row>
    <row r="16013" spans="1:3">
      <c r="A16013" s="62">
        <v>45055</v>
      </c>
      <c r="B16013">
        <v>3.9056000000000002</v>
      </c>
      <c r="C16013" t="str">
        <f t="shared" si="254"/>
        <v>2023 q2</v>
      </c>
    </row>
    <row r="16014" spans="1:3">
      <c r="A16014" s="62">
        <v>45056</v>
      </c>
      <c r="B16014">
        <v>3.8527999999999998</v>
      </c>
      <c r="C16014" t="str">
        <f t="shared" si="254"/>
        <v>2023 q2</v>
      </c>
    </row>
    <row r="16015" spans="1:3">
      <c r="A16015" s="62">
        <v>45057</v>
      </c>
      <c r="B16015">
        <v>3.7008000000000001</v>
      </c>
      <c r="C16015" t="str">
        <f t="shared" si="254"/>
        <v>2023 q2</v>
      </c>
    </row>
    <row r="16016" spans="1:3">
      <c r="A16016" s="62">
        <v>45058</v>
      </c>
      <c r="B16016">
        <v>3.7248000000000001</v>
      </c>
      <c r="C16016" t="str">
        <f t="shared" si="254"/>
        <v>2023 q2</v>
      </c>
    </row>
    <row r="16017" spans="1:3">
      <c r="A16017" s="62">
        <v>45061</v>
      </c>
      <c r="B16017">
        <v>3.7440000000000002</v>
      </c>
      <c r="C16017" t="str">
        <f t="shared" si="254"/>
        <v>2023 q2</v>
      </c>
    </row>
    <row r="16018" spans="1:3">
      <c r="A16018" s="62">
        <v>45062</v>
      </c>
      <c r="B16018">
        <v>3.6623999999999999</v>
      </c>
      <c r="C16018" t="str">
        <f t="shared" ref="C16018:C16081" si="255">YEAR(A16018)&amp;" q"&amp;ROUNDUP(MONTH(A16018)/3,0)</f>
        <v>2023 q2</v>
      </c>
    </row>
    <row r="16019" spans="1:3">
      <c r="A16019" s="62">
        <v>45063</v>
      </c>
      <c r="B16019">
        <v>3.7504</v>
      </c>
      <c r="C16019" t="str">
        <f t="shared" si="255"/>
        <v>2023 q2</v>
      </c>
    </row>
    <row r="16020" spans="1:3">
      <c r="A16020" s="62">
        <v>45064</v>
      </c>
      <c r="B16020">
        <v>3.7008000000000001</v>
      </c>
      <c r="C16020" t="str">
        <f t="shared" si="255"/>
        <v>2023 q2</v>
      </c>
    </row>
    <row r="16021" spans="1:3">
      <c r="A16021" s="62">
        <v>45065</v>
      </c>
      <c r="B16021">
        <v>3.7311999999999999</v>
      </c>
      <c r="C16021" t="str">
        <f t="shared" si="255"/>
        <v>2023 q2</v>
      </c>
    </row>
    <row r="16022" spans="1:3">
      <c r="A16022" s="62">
        <v>45068</v>
      </c>
      <c r="B16022">
        <v>3.6863999999999999</v>
      </c>
      <c r="C16022" t="str">
        <f t="shared" si="255"/>
        <v>2023 q2</v>
      </c>
    </row>
    <row r="16023" spans="1:3">
      <c r="A16023" s="62">
        <v>45069</v>
      </c>
      <c r="B16023">
        <v>3.6511999999999998</v>
      </c>
      <c r="C16023" t="str">
        <f t="shared" si="255"/>
        <v>2023 q2</v>
      </c>
    </row>
    <row r="16024" spans="1:3">
      <c r="A16024" s="62">
        <v>45070</v>
      </c>
      <c r="B16024">
        <v>3.5728</v>
      </c>
      <c r="C16024" t="str">
        <f t="shared" si="255"/>
        <v>2023 q2</v>
      </c>
    </row>
    <row r="16025" spans="1:3">
      <c r="A16025" s="62">
        <v>45071</v>
      </c>
      <c r="B16025">
        <v>3.6032000000000002</v>
      </c>
      <c r="C16025" t="str">
        <f t="shared" si="255"/>
        <v>2023 q2</v>
      </c>
    </row>
    <row r="16026" spans="1:3">
      <c r="A16026" s="62">
        <v>45072</v>
      </c>
      <c r="B16026">
        <v>3.6768000000000001</v>
      </c>
      <c r="C16026" t="str">
        <f t="shared" si="255"/>
        <v>2023 q2</v>
      </c>
    </row>
    <row r="16027" spans="1:3">
      <c r="A16027" s="62">
        <v>45075</v>
      </c>
      <c r="B16027">
        <v>3.6768000000000001</v>
      </c>
      <c r="C16027" t="str">
        <f t="shared" si="255"/>
        <v>2023 q2</v>
      </c>
    </row>
    <row r="16028" spans="1:3">
      <c r="A16028" s="62">
        <v>45076</v>
      </c>
      <c r="B16028">
        <v>3.6671999999999998</v>
      </c>
      <c r="C16028" t="str">
        <f t="shared" si="255"/>
        <v>2023 q2</v>
      </c>
    </row>
    <row r="16029" spans="1:3">
      <c r="A16029" s="62">
        <v>45077</v>
      </c>
      <c r="B16029">
        <v>3.6783999999999999</v>
      </c>
      <c r="C16029" t="str">
        <f t="shared" si="255"/>
        <v>2023 q2</v>
      </c>
    </row>
    <row r="16030" spans="1:3">
      <c r="A16030" s="62">
        <v>45078</v>
      </c>
      <c r="B16030">
        <v>3.7168000000000001</v>
      </c>
      <c r="C16030" t="str">
        <f t="shared" si="255"/>
        <v>2023 q2</v>
      </c>
    </row>
    <row r="16031" spans="1:3">
      <c r="A16031" s="62">
        <v>45079</v>
      </c>
      <c r="B16031">
        <v>3.7376</v>
      </c>
      <c r="C16031" t="str">
        <f t="shared" si="255"/>
        <v>2023 q2</v>
      </c>
    </row>
    <row r="16032" spans="1:3">
      <c r="A16032" s="62">
        <v>45082</v>
      </c>
      <c r="B16032">
        <v>3.7664</v>
      </c>
      <c r="C16032" t="str">
        <f t="shared" si="255"/>
        <v>2023 q2</v>
      </c>
    </row>
    <row r="16033" spans="1:3">
      <c r="A16033" s="62">
        <v>45083</v>
      </c>
      <c r="B16033">
        <v>3.7759999999999998</v>
      </c>
      <c r="C16033" t="str">
        <f t="shared" si="255"/>
        <v>2023 q2</v>
      </c>
    </row>
    <row r="16034" spans="1:3">
      <c r="A16034" s="62">
        <v>45084</v>
      </c>
      <c r="B16034">
        <v>3.7584</v>
      </c>
      <c r="C16034" t="str">
        <f t="shared" si="255"/>
        <v>2023 q2</v>
      </c>
    </row>
    <row r="16035" spans="1:3">
      <c r="A16035" s="62">
        <v>45085</v>
      </c>
      <c r="B16035">
        <v>3.7888000000000002</v>
      </c>
      <c r="C16035" t="str">
        <f t="shared" si="255"/>
        <v>2023 q2</v>
      </c>
    </row>
    <row r="16036" spans="1:3">
      <c r="A16036" s="62">
        <v>45086</v>
      </c>
      <c r="B16036">
        <v>3.7791999999999999</v>
      </c>
      <c r="C16036" t="str">
        <f t="shared" si="255"/>
        <v>2023 q2</v>
      </c>
    </row>
    <row r="16037" spans="1:3">
      <c r="A16037" s="62">
        <v>45089</v>
      </c>
      <c r="B16037">
        <v>3.76</v>
      </c>
      <c r="C16037" t="str">
        <f t="shared" si="255"/>
        <v>2023 q2</v>
      </c>
    </row>
    <row r="16038" spans="1:3">
      <c r="A16038" s="62">
        <v>45090</v>
      </c>
      <c r="B16038">
        <v>3.8351999999999999</v>
      </c>
      <c r="C16038" t="str">
        <f t="shared" si="255"/>
        <v>2023 q2</v>
      </c>
    </row>
    <row r="16039" spans="1:3">
      <c r="A16039" s="62">
        <v>45091</v>
      </c>
      <c r="B16039">
        <v>3.8592</v>
      </c>
      <c r="C16039" t="str">
        <f t="shared" si="255"/>
        <v>2023 q2</v>
      </c>
    </row>
    <row r="16040" spans="1:3">
      <c r="A16040" s="62">
        <v>45092</v>
      </c>
      <c r="B16040">
        <v>3.8944000000000001</v>
      </c>
      <c r="C16040" t="str">
        <f t="shared" si="255"/>
        <v>2023 q2</v>
      </c>
    </row>
    <row r="16041" spans="1:3">
      <c r="A16041" s="62">
        <v>45093</v>
      </c>
      <c r="B16041">
        <v>3.8847999999999998</v>
      </c>
      <c r="C16041" t="str">
        <f t="shared" si="255"/>
        <v>2023 q2</v>
      </c>
    </row>
    <row r="16042" spans="1:3">
      <c r="A16042" s="62">
        <v>45096</v>
      </c>
      <c r="B16042">
        <v>3.8719999999999999</v>
      </c>
      <c r="C16042" t="str">
        <f t="shared" si="255"/>
        <v>2023 q2</v>
      </c>
    </row>
    <row r="16043" spans="1:3">
      <c r="A16043" s="62">
        <v>45097</v>
      </c>
      <c r="B16043">
        <v>3.8912</v>
      </c>
      <c r="C16043" t="str">
        <f t="shared" si="255"/>
        <v>2023 q2</v>
      </c>
    </row>
    <row r="16044" spans="1:3">
      <c r="A16044" s="62">
        <v>45098</v>
      </c>
      <c r="B16044">
        <v>3.9024000000000001</v>
      </c>
      <c r="C16044" t="str">
        <f t="shared" si="255"/>
        <v>2023 q2</v>
      </c>
    </row>
    <row r="16045" spans="1:3">
      <c r="A16045" s="62">
        <v>45099</v>
      </c>
      <c r="B16045">
        <v>3.8992</v>
      </c>
      <c r="C16045" t="str">
        <f t="shared" si="255"/>
        <v>2023 q2</v>
      </c>
    </row>
    <row r="16046" spans="1:3">
      <c r="A16046" s="62">
        <v>45100</v>
      </c>
      <c r="B16046">
        <v>3.8176000000000001</v>
      </c>
      <c r="C16046" t="str">
        <f t="shared" si="255"/>
        <v>2023 q2</v>
      </c>
    </row>
    <row r="16047" spans="1:3">
      <c r="A16047" s="62">
        <v>45103</v>
      </c>
      <c r="B16047">
        <v>3.7968000000000002</v>
      </c>
      <c r="C16047" t="str">
        <f t="shared" si="255"/>
        <v>2023 q2</v>
      </c>
    </row>
    <row r="16048" spans="1:3">
      <c r="A16048" s="62">
        <v>45104</v>
      </c>
      <c r="B16048">
        <v>3.7904</v>
      </c>
      <c r="C16048" t="str">
        <f t="shared" si="255"/>
        <v>2023 q2</v>
      </c>
    </row>
    <row r="16049" spans="1:3">
      <c r="A16049" s="62">
        <v>45105</v>
      </c>
      <c r="B16049">
        <v>3.7263999999999999</v>
      </c>
      <c r="C16049" t="str">
        <f t="shared" si="255"/>
        <v>2023 q2</v>
      </c>
    </row>
    <row r="16050" spans="1:3">
      <c r="A16050" s="62">
        <v>45106</v>
      </c>
      <c r="B16050">
        <v>3.6976</v>
      </c>
      <c r="C16050" t="str">
        <f t="shared" si="255"/>
        <v>2023 q2</v>
      </c>
    </row>
    <row r="16051" spans="1:3">
      <c r="A16051" s="62">
        <v>45107</v>
      </c>
      <c r="B16051">
        <v>3.7631999999999999</v>
      </c>
      <c r="C16051" t="str">
        <f t="shared" si="255"/>
        <v>2023 q2</v>
      </c>
    </row>
    <row r="16052" spans="1:3">
      <c r="A16052" s="62">
        <v>45110</v>
      </c>
      <c r="B16052">
        <v>3.7919999999999998</v>
      </c>
      <c r="C16052" t="str">
        <f t="shared" si="255"/>
        <v>2023 q3</v>
      </c>
    </row>
    <row r="16053" spans="1:3">
      <c r="A16053" s="62">
        <v>45111</v>
      </c>
      <c r="B16053">
        <v>3.7839999999999998</v>
      </c>
      <c r="C16053" t="str">
        <f t="shared" si="255"/>
        <v>2023 q3</v>
      </c>
    </row>
    <row r="16054" spans="1:3">
      <c r="A16054" s="62">
        <v>45112</v>
      </c>
      <c r="B16054">
        <v>3.7616000000000001</v>
      </c>
      <c r="C16054" t="str">
        <f t="shared" si="255"/>
        <v>2023 q3</v>
      </c>
    </row>
    <row r="16055" spans="1:3">
      <c r="A16055" s="62">
        <v>45113</v>
      </c>
      <c r="B16055">
        <v>3.7440000000000002</v>
      </c>
      <c r="C16055" t="str">
        <f t="shared" si="255"/>
        <v>2023 q3</v>
      </c>
    </row>
    <row r="16056" spans="1:3">
      <c r="A16056" s="62">
        <v>45114</v>
      </c>
      <c r="B16056">
        <v>3.7824</v>
      </c>
      <c r="C16056" t="str">
        <f t="shared" si="255"/>
        <v>2023 q3</v>
      </c>
    </row>
    <row r="16057" spans="1:3">
      <c r="A16057" s="62">
        <v>45117</v>
      </c>
      <c r="B16057">
        <v>3.7936000000000001</v>
      </c>
      <c r="C16057" t="str">
        <f t="shared" si="255"/>
        <v>2023 q3</v>
      </c>
    </row>
    <row r="16058" spans="1:3">
      <c r="A16058" s="62">
        <v>45118</v>
      </c>
      <c r="B16058">
        <v>3.7759999999999998</v>
      </c>
      <c r="C16058" t="str">
        <f t="shared" si="255"/>
        <v>2023 q3</v>
      </c>
    </row>
    <row r="16059" spans="1:3">
      <c r="A16059" s="62">
        <v>45119</v>
      </c>
      <c r="B16059">
        <v>3.8559999999999999</v>
      </c>
      <c r="C16059" t="str">
        <f t="shared" si="255"/>
        <v>2023 q3</v>
      </c>
    </row>
    <row r="16060" spans="1:3">
      <c r="A16060" s="62">
        <v>45120</v>
      </c>
      <c r="B16060">
        <v>3.9535999999999998</v>
      </c>
      <c r="C16060" t="str">
        <f t="shared" si="255"/>
        <v>2023 q3</v>
      </c>
    </row>
    <row r="16061" spans="1:3">
      <c r="A16061" s="62">
        <v>45121</v>
      </c>
      <c r="B16061">
        <v>3.9279999999999999</v>
      </c>
      <c r="C16061" t="str">
        <f t="shared" si="255"/>
        <v>2023 q3</v>
      </c>
    </row>
    <row r="16062" spans="1:3">
      <c r="A16062" s="62">
        <v>45124</v>
      </c>
      <c r="B16062">
        <v>3.84</v>
      </c>
      <c r="C16062" t="str">
        <f t="shared" si="255"/>
        <v>2023 q3</v>
      </c>
    </row>
    <row r="16063" spans="1:3">
      <c r="A16063" s="62">
        <v>45125</v>
      </c>
      <c r="B16063">
        <v>3.8384</v>
      </c>
      <c r="C16063" t="str">
        <f t="shared" si="255"/>
        <v>2023 q3</v>
      </c>
    </row>
    <row r="16064" spans="1:3">
      <c r="A16064" s="62">
        <v>45126</v>
      </c>
      <c r="B16064">
        <v>3.8176000000000001</v>
      </c>
      <c r="C16064" t="str">
        <f t="shared" si="255"/>
        <v>2023 q3</v>
      </c>
    </row>
    <row r="16065" spans="1:3">
      <c r="A16065" s="62">
        <v>45127</v>
      </c>
      <c r="B16065">
        <v>3.8351999999999999</v>
      </c>
      <c r="C16065" t="str">
        <f t="shared" si="255"/>
        <v>2023 q3</v>
      </c>
    </row>
    <row r="16066" spans="1:3">
      <c r="A16066" s="62">
        <v>45128</v>
      </c>
      <c r="B16066">
        <v>3.8256000000000001</v>
      </c>
      <c r="C16066" t="str">
        <f t="shared" si="255"/>
        <v>2023 q3</v>
      </c>
    </row>
    <row r="16067" spans="1:3">
      <c r="A16067" s="62">
        <v>45131</v>
      </c>
      <c r="B16067">
        <v>3.8544</v>
      </c>
      <c r="C16067" t="str">
        <f t="shared" si="255"/>
        <v>2023 q3</v>
      </c>
    </row>
    <row r="16068" spans="1:3">
      <c r="A16068" s="62">
        <v>45132</v>
      </c>
      <c r="B16068">
        <v>3.9327999999999999</v>
      </c>
      <c r="C16068" t="str">
        <f t="shared" si="255"/>
        <v>2023 q3</v>
      </c>
    </row>
    <row r="16069" spans="1:3">
      <c r="A16069" s="62">
        <v>45133</v>
      </c>
      <c r="B16069">
        <v>3.9136000000000002</v>
      </c>
      <c r="C16069" t="str">
        <f t="shared" si="255"/>
        <v>2023 q3</v>
      </c>
    </row>
    <row r="16070" spans="1:3">
      <c r="A16070" s="62">
        <v>45134</v>
      </c>
      <c r="B16070">
        <v>3.8607999999999998</v>
      </c>
      <c r="C16070" t="str">
        <f t="shared" si="255"/>
        <v>2023 q3</v>
      </c>
    </row>
    <row r="16071" spans="1:3">
      <c r="A16071" s="62">
        <v>45135</v>
      </c>
      <c r="B16071">
        <v>3.9424000000000001</v>
      </c>
      <c r="C16071" t="str">
        <f t="shared" si="255"/>
        <v>2023 q3</v>
      </c>
    </row>
    <row r="16072" spans="1:3">
      <c r="A16072" s="62">
        <v>45138</v>
      </c>
      <c r="B16072">
        <v>4.0224000000000002</v>
      </c>
      <c r="C16072" t="str">
        <f t="shared" si="255"/>
        <v>2023 q3</v>
      </c>
    </row>
    <row r="16073" spans="1:3">
      <c r="A16073" s="62">
        <v>45139</v>
      </c>
      <c r="B16073">
        <v>3.9152</v>
      </c>
      <c r="C16073" t="str">
        <f t="shared" si="255"/>
        <v>2023 q3</v>
      </c>
    </row>
    <row r="16074" spans="1:3">
      <c r="A16074" s="62">
        <v>45140</v>
      </c>
      <c r="B16074">
        <v>3.8607999999999998</v>
      </c>
      <c r="C16074" t="str">
        <f t="shared" si="255"/>
        <v>2023 q3</v>
      </c>
    </row>
    <row r="16075" spans="1:3">
      <c r="A16075" s="62">
        <v>45141</v>
      </c>
      <c r="B16075">
        <v>3.9184000000000001</v>
      </c>
      <c r="C16075" t="str">
        <f t="shared" si="255"/>
        <v>2023 q3</v>
      </c>
    </row>
    <row r="16076" spans="1:3">
      <c r="A16076" s="62">
        <v>45142</v>
      </c>
      <c r="B16076">
        <v>3.8624000000000001</v>
      </c>
      <c r="C16076" t="str">
        <f t="shared" si="255"/>
        <v>2023 q3</v>
      </c>
    </row>
    <row r="16077" spans="1:3">
      <c r="A16077" s="62">
        <v>45145</v>
      </c>
      <c r="B16077">
        <v>3.8576000000000001</v>
      </c>
      <c r="C16077" t="str">
        <f t="shared" si="255"/>
        <v>2023 q3</v>
      </c>
    </row>
    <row r="16078" spans="1:3">
      <c r="A16078" s="62">
        <v>45146</v>
      </c>
      <c r="B16078">
        <v>3.7904</v>
      </c>
      <c r="C16078" t="str">
        <f t="shared" si="255"/>
        <v>2023 q3</v>
      </c>
    </row>
    <row r="16079" spans="1:3">
      <c r="A16079" s="62">
        <v>45147</v>
      </c>
      <c r="B16079">
        <v>3.8048000000000002</v>
      </c>
      <c r="C16079" t="str">
        <f t="shared" si="255"/>
        <v>2023 q3</v>
      </c>
    </row>
    <row r="16080" spans="1:3">
      <c r="A16080" s="62">
        <v>45148</v>
      </c>
      <c r="B16080">
        <v>3.7744</v>
      </c>
      <c r="C16080" t="str">
        <f t="shared" si="255"/>
        <v>2023 q3</v>
      </c>
    </row>
    <row r="16081" spans="1:3">
      <c r="A16081" s="62">
        <v>45149</v>
      </c>
      <c r="B16081">
        <v>3.7488000000000001</v>
      </c>
      <c r="C16081" t="str">
        <f t="shared" si="255"/>
        <v>2023 q3</v>
      </c>
    </row>
    <row r="16082" spans="1:3">
      <c r="A16082" s="62">
        <v>45152</v>
      </c>
      <c r="B16082">
        <v>3.7504</v>
      </c>
      <c r="C16082" t="str">
        <f t="shared" ref="C16082:C16145" si="256">YEAR(A16082)&amp;" q"&amp;ROUNDUP(MONTH(A16082)/3,0)</f>
        <v>2023 q3</v>
      </c>
    </row>
    <row r="16083" spans="1:3">
      <c r="A16083" s="62">
        <v>45153</v>
      </c>
      <c r="B16083">
        <v>3.6880000000000002</v>
      </c>
      <c r="C16083" t="str">
        <f t="shared" si="256"/>
        <v>2023 q3</v>
      </c>
    </row>
    <row r="16084" spans="1:3">
      <c r="A16084" s="62">
        <v>45154</v>
      </c>
      <c r="B16084">
        <v>3.6783999999999999</v>
      </c>
      <c r="C16084" t="str">
        <f t="shared" si="256"/>
        <v>2023 q3</v>
      </c>
    </row>
    <row r="16085" spans="1:3">
      <c r="A16085" s="62">
        <v>45155</v>
      </c>
      <c r="B16085">
        <v>3.72</v>
      </c>
      <c r="C16085" t="str">
        <f t="shared" si="256"/>
        <v>2023 q3</v>
      </c>
    </row>
    <row r="16086" spans="1:3">
      <c r="A16086" s="62">
        <v>45156</v>
      </c>
      <c r="B16086">
        <v>3.7504</v>
      </c>
      <c r="C16086" t="str">
        <f t="shared" si="256"/>
        <v>2023 q3</v>
      </c>
    </row>
    <row r="16087" spans="1:3">
      <c r="A16087" s="62">
        <v>45159</v>
      </c>
      <c r="B16087">
        <v>3.7504</v>
      </c>
      <c r="C16087" t="str">
        <f t="shared" si="256"/>
        <v>2023 q3</v>
      </c>
    </row>
    <row r="16088" spans="1:3">
      <c r="A16088" s="62">
        <v>45160</v>
      </c>
      <c r="B16088">
        <v>3.7856000000000001</v>
      </c>
      <c r="C16088" t="str">
        <f t="shared" si="256"/>
        <v>2023 q3</v>
      </c>
    </row>
    <row r="16089" spans="1:3">
      <c r="A16089" s="62">
        <v>45161</v>
      </c>
      <c r="B16089">
        <v>3.8319999999999999</v>
      </c>
      <c r="C16089" t="str">
        <f t="shared" si="256"/>
        <v>2023 q3</v>
      </c>
    </row>
    <row r="16090" spans="1:3">
      <c r="A16090" s="62">
        <v>45162</v>
      </c>
      <c r="B16090">
        <v>3.7856000000000001</v>
      </c>
      <c r="C16090" t="str">
        <f t="shared" si="256"/>
        <v>2023 q3</v>
      </c>
    </row>
    <row r="16091" spans="1:3">
      <c r="A16091" s="62">
        <v>45163</v>
      </c>
      <c r="B16091">
        <v>3.7839999999999998</v>
      </c>
      <c r="C16091" t="str">
        <f t="shared" si="256"/>
        <v>2023 q3</v>
      </c>
    </row>
    <row r="16092" spans="1:3">
      <c r="A16092" s="62">
        <v>45166</v>
      </c>
      <c r="B16092">
        <v>3.7968000000000002</v>
      </c>
      <c r="C16092" t="str">
        <f t="shared" si="256"/>
        <v>2023 q3</v>
      </c>
    </row>
    <row r="16093" spans="1:3">
      <c r="A16093" s="62">
        <v>45167</v>
      </c>
      <c r="B16093">
        <v>3.8368000000000002</v>
      </c>
      <c r="C16093" t="str">
        <f t="shared" si="256"/>
        <v>2023 q3</v>
      </c>
    </row>
    <row r="16094" spans="1:3">
      <c r="A16094" s="62">
        <v>45168</v>
      </c>
      <c r="B16094">
        <v>3.8384</v>
      </c>
      <c r="C16094" t="str">
        <f t="shared" si="256"/>
        <v>2023 q3</v>
      </c>
    </row>
    <row r="16095" spans="1:3">
      <c r="A16095" s="62">
        <v>45169</v>
      </c>
      <c r="B16095">
        <v>3.8336000000000001</v>
      </c>
      <c r="C16095" t="str">
        <f t="shared" si="256"/>
        <v>2023 q3</v>
      </c>
    </row>
    <row r="16096" spans="1:3">
      <c r="A16096" s="62">
        <v>45170</v>
      </c>
      <c r="B16096">
        <v>3.8512</v>
      </c>
      <c r="C16096" t="str">
        <f t="shared" si="256"/>
        <v>2023 q3</v>
      </c>
    </row>
    <row r="16097" spans="1:3">
      <c r="A16097" s="62">
        <v>45173</v>
      </c>
      <c r="B16097">
        <v>3.8319999999999999</v>
      </c>
      <c r="C16097" t="str">
        <f t="shared" si="256"/>
        <v>2023 q3</v>
      </c>
    </row>
    <row r="16098" spans="1:3">
      <c r="A16098" s="62">
        <v>45174</v>
      </c>
      <c r="B16098">
        <v>3.8416000000000001</v>
      </c>
      <c r="C16098" t="str">
        <f t="shared" si="256"/>
        <v>2023 q3</v>
      </c>
    </row>
    <row r="16099" spans="1:3">
      <c r="A16099" s="62">
        <v>45175</v>
      </c>
      <c r="B16099">
        <v>3.7856000000000001</v>
      </c>
      <c r="C16099" t="str">
        <f t="shared" si="256"/>
        <v>2023 q3</v>
      </c>
    </row>
    <row r="16100" spans="1:3">
      <c r="A16100" s="62">
        <v>45176</v>
      </c>
      <c r="B16100">
        <v>3.7631999999999999</v>
      </c>
      <c r="C16100" t="str">
        <f t="shared" si="256"/>
        <v>2023 q3</v>
      </c>
    </row>
    <row r="16101" spans="1:3">
      <c r="A16101" s="62">
        <v>45177</v>
      </c>
      <c r="B16101">
        <v>3.7168000000000001</v>
      </c>
      <c r="C16101" t="str">
        <f t="shared" si="256"/>
        <v>2023 q3</v>
      </c>
    </row>
    <row r="16102" spans="1:3">
      <c r="A16102" s="62">
        <v>45180</v>
      </c>
      <c r="B16102">
        <v>3.8031999999999999</v>
      </c>
      <c r="C16102" t="str">
        <f t="shared" si="256"/>
        <v>2023 q3</v>
      </c>
    </row>
    <row r="16103" spans="1:3">
      <c r="A16103" s="62">
        <v>45181</v>
      </c>
      <c r="B16103">
        <v>3.7919999999999998</v>
      </c>
      <c r="C16103" t="str">
        <f t="shared" si="256"/>
        <v>2023 q3</v>
      </c>
    </row>
    <row r="16104" spans="1:3">
      <c r="A16104" s="62">
        <v>45182</v>
      </c>
      <c r="B16104">
        <v>3.7824</v>
      </c>
      <c r="C16104" t="str">
        <f t="shared" si="256"/>
        <v>2023 q3</v>
      </c>
    </row>
    <row r="16105" spans="1:3">
      <c r="A16105" s="62">
        <v>45183</v>
      </c>
      <c r="B16105">
        <v>3.8191999999999999</v>
      </c>
      <c r="C16105" t="str">
        <f t="shared" si="256"/>
        <v>2023 q3</v>
      </c>
    </row>
    <row r="16106" spans="1:3">
      <c r="A16106" s="62">
        <v>45184</v>
      </c>
      <c r="B16106">
        <v>3.8</v>
      </c>
      <c r="C16106" t="str">
        <f t="shared" si="256"/>
        <v>2023 q3</v>
      </c>
    </row>
    <row r="16107" spans="1:3">
      <c r="A16107" s="62">
        <v>45187</v>
      </c>
      <c r="B16107">
        <v>3.7808000000000002</v>
      </c>
      <c r="C16107" t="str">
        <f t="shared" si="256"/>
        <v>2023 q3</v>
      </c>
    </row>
    <row r="16108" spans="1:3">
      <c r="A16108" s="62">
        <v>45188</v>
      </c>
      <c r="B16108">
        <v>3.7568000000000001</v>
      </c>
      <c r="C16108" t="str">
        <f t="shared" si="256"/>
        <v>2023 q3</v>
      </c>
    </row>
    <row r="16109" spans="1:3">
      <c r="A16109" s="62">
        <v>45189</v>
      </c>
      <c r="B16109">
        <v>3.7391999999999999</v>
      </c>
      <c r="C16109" t="str">
        <f t="shared" si="256"/>
        <v>2023 q3</v>
      </c>
    </row>
    <row r="16110" spans="1:3">
      <c r="A16110" s="62">
        <v>45190</v>
      </c>
      <c r="B16110">
        <v>3.7023999999999999</v>
      </c>
      <c r="C16110" t="str">
        <f t="shared" si="256"/>
        <v>2023 q3</v>
      </c>
    </row>
    <row r="16111" spans="1:3">
      <c r="A16111" s="62">
        <v>45191</v>
      </c>
      <c r="B16111">
        <v>3.7008000000000001</v>
      </c>
      <c r="C16111" t="str">
        <f t="shared" si="256"/>
        <v>2023 q3</v>
      </c>
    </row>
    <row r="16112" spans="1:3">
      <c r="A16112" s="62">
        <v>45194</v>
      </c>
      <c r="B16112">
        <v>3.6783999999999999</v>
      </c>
      <c r="C16112" t="str">
        <f t="shared" si="256"/>
        <v>2023 q3</v>
      </c>
    </row>
    <row r="16113" spans="1:3">
      <c r="A16113" s="62">
        <v>45195</v>
      </c>
      <c r="B16113">
        <v>3.6543999999999999</v>
      </c>
      <c r="C16113" t="str">
        <f t="shared" si="256"/>
        <v>2023 q3</v>
      </c>
    </row>
    <row r="16114" spans="1:3">
      <c r="A16114" s="62">
        <v>45196</v>
      </c>
      <c r="B16114">
        <v>3.6496</v>
      </c>
      <c r="C16114" t="str">
        <f t="shared" si="256"/>
        <v>2023 q3</v>
      </c>
    </row>
    <row r="16115" spans="1:3">
      <c r="A16115" s="62">
        <v>45197</v>
      </c>
      <c r="B16115">
        <v>3.7231999999999998</v>
      </c>
      <c r="C16115" t="str">
        <f t="shared" si="256"/>
        <v>2023 q3</v>
      </c>
    </row>
    <row r="16116" spans="1:3">
      <c r="A16116" s="62">
        <v>45198</v>
      </c>
      <c r="B16116">
        <v>3.7408000000000001</v>
      </c>
      <c r="C16116" t="str">
        <f t="shared" si="256"/>
        <v>2023 q3</v>
      </c>
    </row>
    <row r="16117" spans="1:3">
      <c r="A16117" s="62">
        <v>45201</v>
      </c>
      <c r="B16117">
        <v>3.6480000000000001</v>
      </c>
      <c r="C16117" t="str">
        <f t="shared" si="256"/>
        <v>2023 q4</v>
      </c>
    </row>
    <row r="16118" spans="1:3">
      <c r="A16118" s="62">
        <v>45202</v>
      </c>
      <c r="B16118">
        <v>3.6240000000000001</v>
      </c>
      <c r="C16118" t="str">
        <f t="shared" si="256"/>
        <v>2023 q4</v>
      </c>
    </row>
    <row r="16119" spans="1:3">
      <c r="A16119" s="62">
        <v>45203</v>
      </c>
      <c r="B16119">
        <v>3.5855999999999999</v>
      </c>
      <c r="C16119" t="str">
        <f t="shared" si="256"/>
        <v>2023 q4</v>
      </c>
    </row>
    <row r="16120" spans="1:3">
      <c r="A16120" s="62">
        <v>45204</v>
      </c>
      <c r="B16120">
        <v>3.5728</v>
      </c>
      <c r="C16120" t="str">
        <f t="shared" si="256"/>
        <v>2023 q4</v>
      </c>
    </row>
    <row r="16121" spans="1:3">
      <c r="A16121" s="62">
        <v>45205</v>
      </c>
      <c r="B16121">
        <v>3.6432000000000002</v>
      </c>
      <c r="C16121" t="str">
        <f t="shared" si="256"/>
        <v>2023 q4</v>
      </c>
    </row>
    <row r="16122" spans="1:3">
      <c r="A16122" s="62">
        <v>45208</v>
      </c>
      <c r="B16122">
        <v>3.6736</v>
      </c>
      <c r="C16122" t="str">
        <f t="shared" si="256"/>
        <v>2023 q4</v>
      </c>
    </row>
    <row r="16123" spans="1:3">
      <c r="A16123" s="62">
        <v>45209</v>
      </c>
      <c r="B16123">
        <v>3.6415999999999999</v>
      </c>
      <c r="C16123" t="str">
        <f t="shared" si="256"/>
        <v>2023 q4</v>
      </c>
    </row>
    <row r="16124" spans="1:3">
      <c r="A16124" s="62">
        <v>45210</v>
      </c>
      <c r="B16124">
        <v>3.6223999999999998</v>
      </c>
      <c r="C16124" t="str">
        <f t="shared" si="256"/>
        <v>2023 q4</v>
      </c>
    </row>
    <row r="16125" spans="1:3">
      <c r="A16125" s="62">
        <v>45211</v>
      </c>
      <c r="B16125">
        <v>3.6</v>
      </c>
      <c r="C16125" t="str">
        <f t="shared" si="256"/>
        <v>2023 q4</v>
      </c>
    </row>
    <row r="16126" spans="1:3">
      <c r="A16126" s="62">
        <v>45212</v>
      </c>
      <c r="B16126">
        <v>3.5855999999999999</v>
      </c>
      <c r="C16126" t="str">
        <f t="shared" si="256"/>
        <v>2023 q4</v>
      </c>
    </row>
    <row r="16127" spans="1:3">
      <c r="A16127" s="62">
        <v>45215</v>
      </c>
      <c r="B16127">
        <v>3.5952000000000002</v>
      </c>
      <c r="C16127" t="str">
        <f t="shared" si="256"/>
        <v>2023 q4</v>
      </c>
    </row>
    <row r="16128" spans="1:3">
      <c r="A16128" s="62">
        <v>45216</v>
      </c>
      <c r="B16128">
        <v>3.6080000000000001</v>
      </c>
      <c r="C16128" t="str">
        <f t="shared" si="256"/>
        <v>2023 q4</v>
      </c>
    </row>
    <row r="16129" spans="1:3">
      <c r="A16129" s="62">
        <v>45217</v>
      </c>
      <c r="B16129">
        <v>3.6</v>
      </c>
      <c r="C16129" t="str">
        <f t="shared" si="256"/>
        <v>2023 q4</v>
      </c>
    </row>
    <row r="16130" spans="1:3">
      <c r="A16130" s="62">
        <v>45218</v>
      </c>
      <c r="B16130">
        <v>3.6032000000000002</v>
      </c>
      <c r="C16130" t="str">
        <f t="shared" si="256"/>
        <v>2023 q4</v>
      </c>
    </row>
    <row r="16131" spans="1:3">
      <c r="A16131" s="62">
        <v>45219</v>
      </c>
      <c r="B16131">
        <v>3.5728</v>
      </c>
      <c r="C16131" t="str">
        <f t="shared" si="256"/>
        <v>2023 q4</v>
      </c>
    </row>
    <row r="16132" spans="1:3">
      <c r="A16132" s="62">
        <v>45222</v>
      </c>
      <c r="B16132">
        <v>3.6063999999999998</v>
      </c>
      <c r="C16132" t="str">
        <f t="shared" si="256"/>
        <v>2023 q4</v>
      </c>
    </row>
    <row r="16133" spans="1:3">
      <c r="A16133" s="62">
        <v>45223</v>
      </c>
      <c r="B16133">
        <v>3.6543999999999999</v>
      </c>
      <c r="C16133" t="str">
        <f t="shared" si="256"/>
        <v>2023 q4</v>
      </c>
    </row>
    <row r="16134" spans="1:3">
      <c r="A16134" s="62">
        <v>45224</v>
      </c>
      <c r="B16134">
        <v>3.6095999999999999</v>
      </c>
      <c r="C16134" t="str">
        <f t="shared" si="256"/>
        <v>2023 q4</v>
      </c>
    </row>
    <row r="16135" spans="1:3">
      <c r="A16135" s="62">
        <v>45225</v>
      </c>
      <c r="B16135">
        <v>3.6208</v>
      </c>
      <c r="C16135" t="str">
        <f t="shared" si="256"/>
        <v>2023 q4</v>
      </c>
    </row>
    <row r="16136" spans="1:3">
      <c r="A16136" s="62">
        <v>45226</v>
      </c>
      <c r="B16136">
        <v>3.6656</v>
      </c>
      <c r="C16136" t="str">
        <f t="shared" si="256"/>
        <v>2023 q4</v>
      </c>
    </row>
    <row r="16137" spans="1:3">
      <c r="A16137" s="62">
        <v>45229</v>
      </c>
      <c r="B16137">
        <v>3.66</v>
      </c>
      <c r="C16137" t="str">
        <f t="shared" si="256"/>
        <v>2023 q4</v>
      </c>
    </row>
    <row r="16138" spans="1:3">
      <c r="A16138" s="62">
        <v>45230</v>
      </c>
      <c r="B16138">
        <v>3.65</v>
      </c>
      <c r="C16138" t="str">
        <f t="shared" si="256"/>
        <v>2023 q4</v>
      </c>
    </row>
    <row r="16139" spans="1:3">
      <c r="A16139" s="62">
        <v>45231</v>
      </c>
      <c r="B16139">
        <v>3.65</v>
      </c>
      <c r="C16139" t="str">
        <f t="shared" si="256"/>
        <v>2023 q4</v>
      </c>
    </row>
    <row r="16140" spans="1:3">
      <c r="A16140" s="62">
        <v>45232</v>
      </c>
      <c r="B16140">
        <v>3.67</v>
      </c>
      <c r="C16140" t="str">
        <f t="shared" si="256"/>
        <v>2023 q4</v>
      </c>
    </row>
    <row r="16141" spans="1:3">
      <c r="A16141" s="62">
        <v>45233</v>
      </c>
      <c r="B16141">
        <v>3.68</v>
      </c>
      <c r="C16141" t="str">
        <f t="shared" si="256"/>
        <v>2023 q4</v>
      </c>
    </row>
    <row r="16142" spans="1:3">
      <c r="A16142" s="62">
        <v>45236</v>
      </c>
      <c r="B16142">
        <v>3.7124999999999999</v>
      </c>
      <c r="C16142" t="str">
        <f t="shared" si="256"/>
        <v>2023 q4</v>
      </c>
    </row>
    <row r="16143" spans="1:3">
      <c r="A16143" s="62">
        <v>45237</v>
      </c>
      <c r="B16143">
        <v>3.6850000000000001</v>
      </c>
      <c r="C16143" t="str">
        <f t="shared" si="256"/>
        <v>2023 q4</v>
      </c>
    </row>
    <row r="16144" spans="1:3">
      <c r="A16144" s="62">
        <v>45238</v>
      </c>
      <c r="B16144">
        <v>3.6360000000000001</v>
      </c>
      <c r="C16144" t="str">
        <f t="shared" si="256"/>
        <v>2023 q4</v>
      </c>
    </row>
    <row r="16145" spans="1:3">
      <c r="A16145" s="62">
        <v>45239</v>
      </c>
      <c r="B16145">
        <v>3.6324999999999998</v>
      </c>
      <c r="C16145" t="str">
        <f t="shared" si="256"/>
        <v>2023 q4</v>
      </c>
    </row>
    <row r="16146" spans="1:3">
      <c r="A16146" s="62">
        <v>45240</v>
      </c>
      <c r="B16146">
        <v>3.5964999999999998</v>
      </c>
      <c r="C16146" t="str">
        <f t="shared" ref="C16146:C16209" si="257">YEAR(A16146)&amp;" q"&amp;ROUNDUP(MONTH(A16146)/3,0)</f>
        <v>2023 q4</v>
      </c>
    </row>
    <row r="16147" spans="1:3">
      <c r="A16147" s="62">
        <v>45243</v>
      </c>
      <c r="B16147">
        <v>3.6709999999999998</v>
      </c>
      <c r="C16147" t="str">
        <f t="shared" si="257"/>
        <v>2023 q4</v>
      </c>
    </row>
    <row r="16148" spans="1:3">
      <c r="A16148" s="62">
        <v>45244</v>
      </c>
      <c r="B16148">
        <v>3.6764999999999999</v>
      </c>
      <c r="C16148" t="str">
        <f t="shared" si="257"/>
        <v>2023 q4</v>
      </c>
    </row>
    <row r="16149" spans="1:3">
      <c r="A16149" s="62">
        <v>45245</v>
      </c>
      <c r="B16149">
        <v>3.7130000000000001</v>
      </c>
      <c r="C16149" t="str">
        <f t="shared" si="257"/>
        <v>2023 q4</v>
      </c>
    </row>
    <row r="16150" spans="1:3">
      <c r="A16150" s="62">
        <v>45246</v>
      </c>
      <c r="B16150">
        <v>3.6949999999999998</v>
      </c>
      <c r="C16150" t="str">
        <f t="shared" si="257"/>
        <v>2023 q4</v>
      </c>
    </row>
    <row r="16151" spans="1:3">
      <c r="A16151" s="62">
        <v>45247</v>
      </c>
      <c r="B16151">
        <v>3.734</v>
      </c>
      <c r="C16151" t="str">
        <f t="shared" si="257"/>
        <v>2023 q4</v>
      </c>
    </row>
    <row r="16152" spans="1:3">
      <c r="A16152" s="62">
        <v>45250</v>
      </c>
      <c r="B16152">
        <v>3.8094999999999999</v>
      </c>
      <c r="C16152" t="str">
        <f t="shared" si="257"/>
        <v>2023 q4</v>
      </c>
    </row>
    <row r="16153" spans="1:3">
      <c r="A16153" s="62">
        <v>45254</v>
      </c>
      <c r="B16153">
        <v>3.7904</v>
      </c>
      <c r="C16153" t="str">
        <f t="shared" si="257"/>
        <v>2023 q4</v>
      </c>
    </row>
    <row r="16154" spans="1:3">
      <c r="A16154" s="62">
        <v>45257</v>
      </c>
      <c r="B16154">
        <v>3.8</v>
      </c>
      <c r="C16154" t="str">
        <f t="shared" si="257"/>
        <v>2023 q4</v>
      </c>
    </row>
    <row r="16155" spans="1:3">
      <c r="A16155" s="62">
        <v>45258</v>
      </c>
      <c r="B16155">
        <v>3.84</v>
      </c>
      <c r="C16155" t="str">
        <f t="shared" si="257"/>
        <v>2023 q4</v>
      </c>
    </row>
    <row r="16156" spans="1:3">
      <c r="A16156" s="62">
        <v>45259</v>
      </c>
      <c r="B16156">
        <v>3.83</v>
      </c>
      <c r="C16156" t="str">
        <f t="shared" si="257"/>
        <v>2023 q4</v>
      </c>
    </row>
    <row r="16157" spans="1:3">
      <c r="A16157" s="62">
        <v>45260</v>
      </c>
      <c r="B16157">
        <v>3.85</v>
      </c>
      <c r="C16157" t="str">
        <f t="shared" si="257"/>
        <v>2023 q4</v>
      </c>
    </row>
    <row r="16158" spans="1:3">
      <c r="A16158" s="62">
        <v>45261</v>
      </c>
      <c r="B16158">
        <v>3.93</v>
      </c>
      <c r="C16158" t="str">
        <f t="shared" si="257"/>
        <v>2023 q4</v>
      </c>
    </row>
    <row r="16159" spans="1:3">
      <c r="A16159" s="62">
        <v>45264</v>
      </c>
      <c r="B16159">
        <v>3.84</v>
      </c>
      <c r="C16159" t="str">
        <f t="shared" si="257"/>
        <v>2023 q4</v>
      </c>
    </row>
    <row r="16160" spans="1:3">
      <c r="A16160" s="62">
        <v>45265</v>
      </c>
      <c r="B16160">
        <v>3.78</v>
      </c>
      <c r="C16160" t="str">
        <f t="shared" si="257"/>
        <v>2023 q4</v>
      </c>
    </row>
    <row r="16161" spans="1:3">
      <c r="A16161" s="62">
        <v>45266</v>
      </c>
      <c r="B16161">
        <v>3.73</v>
      </c>
      <c r="C16161" t="str">
        <f t="shared" si="257"/>
        <v>2023 q4</v>
      </c>
    </row>
    <row r="16162" spans="1:3">
      <c r="A16162" s="62">
        <v>45267</v>
      </c>
      <c r="B16162">
        <v>3.8</v>
      </c>
      <c r="C16162" t="str">
        <f t="shared" si="257"/>
        <v>2023 q4</v>
      </c>
    </row>
    <row r="16163" spans="1:3">
      <c r="A16163" s="62">
        <v>45268</v>
      </c>
      <c r="B16163">
        <v>3.8336000000000001</v>
      </c>
      <c r="C16163" t="str">
        <f t="shared" si="257"/>
        <v>2023 q4</v>
      </c>
    </row>
    <row r="16164" spans="1:3">
      <c r="A16164" s="62">
        <v>45271</v>
      </c>
      <c r="B16164">
        <v>3.7839999999999998</v>
      </c>
      <c r="C16164" t="str">
        <f t="shared" si="257"/>
        <v>2023 q4</v>
      </c>
    </row>
    <row r="16165" spans="1:3">
      <c r="A16165" s="62">
        <v>45272</v>
      </c>
      <c r="B16165">
        <v>3.7936000000000001</v>
      </c>
      <c r="C16165" t="str">
        <f t="shared" si="257"/>
        <v>2023 q4</v>
      </c>
    </row>
    <row r="16166" spans="1:3">
      <c r="A16166" s="62">
        <v>45273</v>
      </c>
      <c r="B16166">
        <v>3.8351999999999999</v>
      </c>
      <c r="C16166" t="str">
        <f t="shared" si="257"/>
        <v>2023 q4</v>
      </c>
    </row>
    <row r="16167" spans="1:3">
      <c r="A16167" s="62">
        <v>45274</v>
      </c>
      <c r="B16167">
        <v>3.8736000000000002</v>
      </c>
      <c r="C16167" t="str">
        <f t="shared" si="257"/>
        <v>2023 q4</v>
      </c>
    </row>
    <row r="16168" spans="1:3">
      <c r="A16168" s="62">
        <v>45275</v>
      </c>
      <c r="B16168">
        <v>3.8784000000000001</v>
      </c>
      <c r="C16168" t="str">
        <f t="shared" si="257"/>
        <v>2023 q4</v>
      </c>
    </row>
    <row r="16169" spans="1:3">
      <c r="A16169" s="62">
        <v>45278</v>
      </c>
      <c r="B16169">
        <v>3.8479999999999999</v>
      </c>
      <c r="C16169" t="str">
        <f t="shared" si="257"/>
        <v>2023 q4</v>
      </c>
    </row>
    <row r="16170" spans="1:3">
      <c r="A16170" s="62">
        <v>45279</v>
      </c>
      <c r="B16170">
        <v>3.9072</v>
      </c>
      <c r="C16170" t="str">
        <f t="shared" si="257"/>
        <v>2023 q4</v>
      </c>
    </row>
    <row r="16171" spans="1:3">
      <c r="A16171" s="62">
        <v>45280</v>
      </c>
      <c r="B16171">
        <v>3.88</v>
      </c>
      <c r="C16171" t="str">
        <f t="shared" si="257"/>
        <v>2023 q4</v>
      </c>
    </row>
    <row r="16172" spans="1:3">
      <c r="A16172" s="62">
        <v>45281</v>
      </c>
      <c r="B16172">
        <v>3.9279999999999999</v>
      </c>
      <c r="C16172" t="str">
        <f t="shared" si="257"/>
        <v>2023 q4</v>
      </c>
    </row>
    <row r="16173" spans="1:3">
      <c r="A16173" s="62">
        <v>45282</v>
      </c>
      <c r="B16173">
        <v>3.9007999999999998</v>
      </c>
      <c r="C16173" t="str">
        <f t="shared" si="257"/>
        <v>2023 q4</v>
      </c>
    </row>
    <row r="16174" spans="1:3">
      <c r="A16174" s="62">
        <v>45285</v>
      </c>
      <c r="B16174">
        <v>3.9007999999999998</v>
      </c>
      <c r="C16174" t="str">
        <f t="shared" si="257"/>
        <v>2023 q4</v>
      </c>
    </row>
    <row r="16175" spans="1:3">
      <c r="A16175" s="62">
        <v>45286</v>
      </c>
      <c r="B16175">
        <v>3.9024000000000001</v>
      </c>
      <c r="C16175" t="str">
        <f t="shared" si="257"/>
        <v>2023 q4</v>
      </c>
    </row>
    <row r="16176" spans="1:3">
      <c r="A16176" s="62">
        <v>45287</v>
      </c>
      <c r="B16176">
        <v>3.9552</v>
      </c>
      <c r="C16176" t="str">
        <f t="shared" si="257"/>
        <v>2023 q4</v>
      </c>
    </row>
    <row r="16177" spans="1:3">
      <c r="A16177" s="62">
        <v>45288</v>
      </c>
      <c r="B16177">
        <v>3.9167999999999998</v>
      </c>
      <c r="C16177" t="str">
        <f t="shared" si="257"/>
        <v>2023 q4</v>
      </c>
    </row>
    <row r="16178" spans="1:3">
      <c r="A16178" s="62">
        <v>45289</v>
      </c>
      <c r="B16178">
        <v>3.8912</v>
      </c>
      <c r="C16178" t="str">
        <f t="shared" si="257"/>
        <v>2023 q4</v>
      </c>
    </row>
    <row r="16179" spans="1:3">
      <c r="A16179" s="62">
        <v>45292</v>
      </c>
      <c r="B16179">
        <v>3.8912</v>
      </c>
      <c r="C16179" t="str">
        <f t="shared" si="257"/>
        <v>2024 q1</v>
      </c>
    </row>
    <row r="16180" spans="1:3">
      <c r="A16180" s="62">
        <v>45293</v>
      </c>
      <c r="B16180">
        <v>3.8704000000000001</v>
      </c>
      <c r="C16180" t="str">
        <f t="shared" si="257"/>
        <v>2024 q1</v>
      </c>
    </row>
    <row r="16181" spans="1:3">
      <c r="A16181" s="62">
        <v>45294</v>
      </c>
      <c r="B16181">
        <v>3.8719999999999999</v>
      </c>
      <c r="C16181" t="str">
        <f t="shared" si="257"/>
        <v>2024 q1</v>
      </c>
    </row>
    <row r="16182" spans="1:3">
      <c r="A16182" s="62">
        <v>45295</v>
      </c>
      <c r="B16182">
        <v>3.8512</v>
      </c>
      <c r="C16182" t="str">
        <f t="shared" si="257"/>
        <v>2024 q1</v>
      </c>
    </row>
    <row r="16183" spans="1:3">
      <c r="A16183" s="62">
        <v>45296</v>
      </c>
      <c r="B16183">
        <v>3.8016000000000001</v>
      </c>
      <c r="C16183" t="str">
        <f t="shared" si="257"/>
        <v>2024 q1</v>
      </c>
    </row>
    <row r="16184" spans="1:3">
      <c r="A16184" s="62">
        <v>45299</v>
      </c>
      <c r="B16184">
        <v>3.8224</v>
      </c>
      <c r="C16184" t="str">
        <f t="shared" si="257"/>
        <v>2024 q1</v>
      </c>
    </row>
    <row r="16185" spans="1:3">
      <c r="A16185" s="62">
        <v>45300</v>
      </c>
      <c r="B16185">
        <v>3.7616000000000001</v>
      </c>
      <c r="C16185" t="str">
        <f t="shared" si="257"/>
        <v>2024 q1</v>
      </c>
    </row>
    <row r="16186" spans="1:3">
      <c r="A16186" s="62">
        <v>45301</v>
      </c>
      <c r="B16186">
        <v>3.7888000000000002</v>
      </c>
      <c r="C16186" t="str">
        <f t="shared" si="257"/>
        <v>2024 q1</v>
      </c>
    </row>
    <row r="16187" spans="1:3">
      <c r="A16187" s="62">
        <v>45302</v>
      </c>
      <c r="B16187">
        <v>3.7904</v>
      </c>
      <c r="C16187" t="str">
        <f t="shared" si="257"/>
        <v>2024 q1</v>
      </c>
    </row>
    <row r="16188" spans="1:3">
      <c r="A16188" s="62">
        <v>45303</v>
      </c>
      <c r="B16188">
        <v>3.7360000000000002</v>
      </c>
      <c r="C16188" t="str">
        <f t="shared" si="257"/>
        <v>2024 q1</v>
      </c>
    </row>
    <row r="16189" spans="1:3">
      <c r="A16189" s="62">
        <v>45306</v>
      </c>
      <c r="B16189">
        <v>3.7839999999999998</v>
      </c>
      <c r="C16189" t="str">
        <f t="shared" si="257"/>
        <v>2024 q1</v>
      </c>
    </row>
    <row r="16190" spans="1:3">
      <c r="A16190" s="62">
        <v>45307</v>
      </c>
      <c r="B16190">
        <v>3.7679999999999998</v>
      </c>
      <c r="C16190" t="str">
        <f t="shared" si="257"/>
        <v>2024 q1</v>
      </c>
    </row>
    <row r="16191" spans="1:3">
      <c r="A16191" s="62">
        <v>45308</v>
      </c>
      <c r="B16191">
        <v>3.7423999999999999</v>
      </c>
      <c r="C16191" t="str">
        <f t="shared" si="257"/>
        <v>2024 q1</v>
      </c>
    </row>
    <row r="16192" spans="1:3">
      <c r="A16192" s="62">
        <v>45309</v>
      </c>
      <c r="B16192">
        <v>3.7568000000000001</v>
      </c>
      <c r="C16192" t="str">
        <f t="shared" si="257"/>
        <v>2024 q1</v>
      </c>
    </row>
    <row r="16193" spans="1:3">
      <c r="A16193" s="62">
        <v>45310</v>
      </c>
      <c r="B16193">
        <v>3.7904</v>
      </c>
      <c r="C16193" t="str">
        <f t="shared" si="257"/>
        <v>2024 q1</v>
      </c>
    </row>
    <row r="16194" spans="1:3">
      <c r="A16194" s="62">
        <v>45313</v>
      </c>
      <c r="B16194">
        <v>3.7456</v>
      </c>
      <c r="C16194" t="str">
        <f t="shared" si="257"/>
        <v>2024 q1</v>
      </c>
    </row>
    <row r="16195" spans="1:3">
      <c r="A16195" s="62">
        <v>45314</v>
      </c>
      <c r="B16195">
        <v>3.8048000000000002</v>
      </c>
      <c r="C16195" t="str">
        <f t="shared" si="257"/>
        <v>2024 q1</v>
      </c>
    </row>
    <row r="16196" spans="1:3">
      <c r="A16196" s="62">
        <v>45315</v>
      </c>
      <c r="B16196">
        <v>3.8736000000000002</v>
      </c>
      <c r="C16196" t="str">
        <f t="shared" si="257"/>
        <v>2024 q1</v>
      </c>
    </row>
    <row r="16197" spans="1:3">
      <c r="A16197" s="62">
        <v>45316</v>
      </c>
      <c r="B16197">
        <v>3.8687999999999998</v>
      </c>
      <c r="C16197" t="str">
        <f t="shared" si="257"/>
        <v>2024 q1</v>
      </c>
    </row>
    <row r="16198" spans="1:3">
      <c r="A16198" s="62">
        <v>45317</v>
      </c>
      <c r="B16198">
        <v>3.8527999999999998</v>
      </c>
      <c r="C16198" t="str">
        <f t="shared" si="257"/>
        <v>2024 q1</v>
      </c>
    </row>
    <row r="16199" spans="1:3">
      <c r="A16199" s="62">
        <v>45320</v>
      </c>
      <c r="B16199">
        <v>3.8864000000000001</v>
      </c>
      <c r="C16199" t="str">
        <f t="shared" si="257"/>
        <v>2024 q1</v>
      </c>
    </row>
    <row r="16200" spans="1:3">
      <c r="A16200" s="62">
        <v>45321</v>
      </c>
      <c r="B16200">
        <v>3.9167999999999998</v>
      </c>
      <c r="C16200" t="str">
        <f t="shared" si="257"/>
        <v>2024 q1</v>
      </c>
    </row>
    <row r="16201" spans="1:3">
      <c r="A16201" s="62">
        <v>45322</v>
      </c>
      <c r="B16201">
        <v>3.8879999999999999</v>
      </c>
      <c r="C16201" t="str">
        <f t="shared" si="257"/>
        <v>2024 q1</v>
      </c>
    </row>
    <row r="16202" spans="1:3">
      <c r="A16202" s="62">
        <v>45323</v>
      </c>
      <c r="B16202">
        <v>3.8512</v>
      </c>
      <c r="C16202" t="str">
        <f t="shared" si="257"/>
        <v>2024 q1</v>
      </c>
    </row>
    <row r="16203" spans="1:3">
      <c r="A16203" s="62">
        <v>45324</v>
      </c>
      <c r="B16203">
        <v>3.8208000000000002</v>
      </c>
      <c r="C16203" t="str">
        <f t="shared" si="257"/>
        <v>2024 q1</v>
      </c>
    </row>
    <row r="16204" spans="1:3">
      <c r="A16204" s="62">
        <v>45327</v>
      </c>
      <c r="B16204">
        <v>3.7728000000000002</v>
      </c>
      <c r="C16204" t="str">
        <f t="shared" si="257"/>
        <v>2024 q1</v>
      </c>
    </row>
    <row r="16205" spans="1:3">
      <c r="A16205" s="62">
        <v>45328</v>
      </c>
      <c r="B16205">
        <v>3.7839999999999998</v>
      </c>
      <c r="C16205" t="str">
        <f t="shared" si="257"/>
        <v>2024 q1</v>
      </c>
    </row>
    <row r="16206" spans="1:3">
      <c r="A16206" s="62">
        <v>45329</v>
      </c>
      <c r="B16206">
        <v>3.7360000000000002</v>
      </c>
      <c r="C16206" t="str">
        <f t="shared" si="257"/>
        <v>2024 q1</v>
      </c>
    </row>
    <row r="16207" spans="1:3">
      <c r="A16207" s="62">
        <v>45330</v>
      </c>
      <c r="B16207">
        <v>3.7088000000000001</v>
      </c>
      <c r="C16207" t="str">
        <f t="shared" si="257"/>
        <v>2024 q1</v>
      </c>
    </row>
    <row r="16208" spans="1:3">
      <c r="A16208" s="62">
        <v>45331</v>
      </c>
      <c r="B16208">
        <v>3.6863999999999999</v>
      </c>
      <c r="C16208" t="str">
        <f t="shared" si="257"/>
        <v>2024 q1</v>
      </c>
    </row>
    <row r="16209" spans="1:3">
      <c r="A16209" s="62">
        <v>45334</v>
      </c>
      <c r="B16209">
        <v>3.72</v>
      </c>
      <c r="C16209" t="str">
        <f t="shared" si="257"/>
        <v>2024 q1</v>
      </c>
    </row>
    <row r="16210" spans="1:3">
      <c r="A16210" s="62">
        <v>45335</v>
      </c>
      <c r="B16210">
        <v>3.7088000000000001</v>
      </c>
      <c r="C16210" t="str">
        <f t="shared" ref="C16210:C16273" si="258">YEAR(A16210)&amp;" q"&amp;ROUNDUP(MONTH(A16210)/3,0)</f>
        <v>2024 q1</v>
      </c>
    </row>
    <row r="16211" spans="1:3">
      <c r="A16211" s="62">
        <v>45336</v>
      </c>
      <c r="B16211">
        <v>3.7023999999999999</v>
      </c>
      <c r="C16211" t="str">
        <f t="shared" si="258"/>
        <v>2024 q1</v>
      </c>
    </row>
    <row r="16212" spans="1:3">
      <c r="A16212" s="62">
        <v>45337</v>
      </c>
      <c r="B16212">
        <v>3.7584</v>
      </c>
      <c r="C16212" t="str">
        <f t="shared" si="258"/>
        <v>2024 q1</v>
      </c>
    </row>
    <row r="16213" spans="1:3">
      <c r="A16213" s="62">
        <v>45338</v>
      </c>
      <c r="B16213">
        <v>3.8224</v>
      </c>
      <c r="C16213" t="str">
        <f t="shared" si="258"/>
        <v>2024 q1</v>
      </c>
    </row>
    <row r="16214" spans="1:3">
      <c r="A16214" s="62">
        <v>45341</v>
      </c>
      <c r="B16214">
        <v>3.8128000000000002</v>
      </c>
      <c r="C16214" t="str">
        <f t="shared" si="258"/>
        <v>2024 q1</v>
      </c>
    </row>
    <row r="16215" spans="1:3">
      <c r="A16215" s="62">
        <v>45342</v>
      </c>
      <c r="B16215">
        <v>3.8559999999999999</v>
      </c>
      <c r="C16215" t="str">
        <f t="shared" si="258"/>
        <v>2024 q1</v>
      </c>
    </row>
    <row r="16216" spans="1:3">
      <c r="A16216" s="62">
        <v>45343</v>
      </c>
      <c r="B16216">
        <v>3.88</v>
      </c>
      <c r="C16216" t="str">
        <f t="shared" si="258"/>
        <v>2024 q1</v>
      </c>
    </row>
    <row r="16217" spans="1:3">
      <c r="A16217" s="62">
        <v>45344</v>
      </c>
      <c r="B16217">
        <v>3.8959999999999999</v>
      </c>
      <c r="C16217" t="str">
        <f t="shared" si="258"/>
        <v>2024 q1</v>
      </c>
    </row>
    <row r="16218" spans="1:3">
      <c r="A16218" s="62">
        <v>45345</v>
      </c>
      <c r="B16218">
        <v>3.8687999999999998</v>
      </c>
      <c r="C16218" t="str">
        <f t="shared" si="258"/>
        <v>2024 q1</v>
      </c>
    </row>
    <row r="16219" spans="1:3">
      <c r="A16219" s="62">
        <v>45348</v>
      </c>
      <c r="B16219">
        <v>3.8368000000000002</v>
      </c>
      <c r="C16219" t="str">
        <f t="shared" si="258"/>
        <v>2024 q1</v>
      </c>
    </row>
    <row r="16220" spans="1:3">
      <c r="A16220" s="62">
        <v>45349</v>
      </c>
      <c r="B16220">
        <v>3.8544</v>
      </c>
      <c r="C16220" t="str">
        <f t="shared" si="258"/>
        <v>2024 q1</v>
      </c>
    </row>
    <row r="16221" spans="1:3">
      <c r="A16221" s="62">
        <v>45350</v>
      </c>
      <c r="B16221">
        <v>3.8368000000000002</v>
      </c>
      <c r="C16221" t="str">
        <f t="shared" si="258"/>
        <v>2024 q1</v>
      </c>
    </row>
    <row r="16222" spans="1:3">
      <c r="A16222" s="62">
        <v>45351</v>
      </c>
      <c r="B16222">
        <v>3.8448000000000002</v>
      </c>
      <c r="C16222" t="str">
        <f t="shared" si="258"/>
        <v>2024 q1</v>
      </c>
    </row>
    <row r="16223" spans="1:3">
      <c r="A16223" s="62">
        <v>45352</v>
      </c>
      <c r="B16223">
        <v>3.8592</v>
      </c>
      <c r="C16223" t="str">
        <f t="shared" si="258"/>
        <v>2024 q1</v>
      </c>
    </row>
    <row r="16224" spans="1:3">
      <c r="A16224" s="62">
        <v>45355</v>
      </c>
      <c r="B16224">
        <v>3.8559999999999999</v>
      </c>
      <c r="C16224" t="str">
        <f t="shared" si="258"/>
        <v>2024 q1</v>
      </c>
    </row>
    <row r="16225" spans="1:3">
      <c r="A16225" s="62">
        <v>45356</v>
      </c>
      <c r="B16225">
        <v>3.8431999999999999</v>
      </c>
      <c r="C16225" t="str">
        <f t="shared" si="258"/>
        <v>2024 q1</v>
      </c>
    </row>
    <row r="16226" spans="1:3">
      <c r="A16226" s="62">
        <v>45357</v>
      </c>
      <c r="B16226">
        <v>3.8687999999999998</v>
      </c>
      <c r="C16226" t="str">
        <f t="shared" si="258"/>
        <v>2024 q1</v>
      </c>
    </row>
    <row r="16227" spans="1:3">
      <c r="A16227" s="62">
        <v>45358</v>
      </c>
      <c r="B16227">
        <v>3.9247999999999998</v>
      </c>
      <c r="C16227" t="str">
        <f t="shared" si="258"/>
        <v>2024 q1</v>
      </c>
    </row>
    <row r="16228" spans="1:3">
      <c r="A16228" s="62">
        <v>45359</v>
      </c>
      <c r="B16228">
        <v>3.8896000000000002</v>
      </c>
      <c r="C16228" t="str">
        <f t="shared" si="258"/>
        <v>2024 q1</v>
      </c>
    </row>
    <row r="16229" spans="1:3">
      <c r="A16229" s="62">
        <v>45362</v>
      </c>
      <c r="B16229">
        <v>3.9327999999999999</v>
      </c>
      <c r="C16229" t="str">
        <f t="shared" si="258"/>
        <v>2024 q1</v>
      </c>
    </row>
    <row r="16230" spans="1:3">
      <c r="A16230" s="62">
        <v>45363</v>
      </c>
      <c r="B16230">
        <v>3.9392</v>
      </c>
      <c r="C16230" t="str">
        <f t="shared" si="258"/>
        <v>2024 q1</v>
      </c>
    </row>
    <row r="16231" spans="1:3">
      <c r="A16231" s="62">
        <v>45364</v>
      </c>
      <c r="B16231">
        <v>4.0591999999999997</v>
      </c>
      <c r="C16231" t="str">
        <f t="shared" si="258"/>
        <v>2024 q1</v>
      </c>
    </row>
    <row r="16232" spans="1:3">
      <c r="A16232" s="62">
        <v>45365</v>
      </c>
      <c r="B16232">
        <v>4.0495999999999999</v>
      </c>
      <c r="C16232" t="str">
        <f t="shared" si="258"/>
        <v>2024 q1</v>
      </c>
    </row>
    <row r="16233" spans="1:3">
      <c r="A16233" s="62">
        <v>45366</v>
      </c>
      <c r="B16233">
        <v>4.1215999999999999</v>
      </c>
      <c r="C16233" t="str">
        <f t="shared" si="258"/>
        <v>2024 q1</v>
      </c>
    </row>
    <row r="16234" spans="1:3">
      <c r="A16234" s="62">
        <v>45369</v>
      </c>
      <c r="B16234">
        <v>4.1327999999999996</v>
      </c>
      <c r="C16234" t="str">
        <f t="shared" si="258"/>
        <v>2024 q1</v>
      </c>
    </row>
    <row r="16235" spans="1:3">
      <c r="A16235" s="62">
        <v>45370</v>
      </c>
      <c r="B16235">
        <v>4.0655999999999999</v>
      </c>
      <c r="C16235" t="str">
        <f t="shared" si="258"/>
        <v>2024 q1</v>
      </c>
    </row>
    <row r="16236" spans="1:3">
      <c r="A16236" s="62">
        <v>45371</v>
      </c>
      <c r="B16236">
        <v>4.0975999999999999</v>
      </c>
      <c r="C16236" t="str">
        <f t="shared" si="258"/>
        <v>2024 q1</v>
      </c>
    </row>
    <row r="16237" spans="1:3">
      <c r="A16237" s="62">
        <v>45372</v>
      </c>
      <c r="B16237">
        <v>4.0624000000000002</v>
      </c>
      <c r="C16237" t="str">
        <f t="shared" si="258"/>
        <v>2024 q1</v>
      </c>
    </row>
    <row r="16238" spans="1:3">
      <c r="A16238" s="62">
        <v>45373</v>
      </c>
      <c r="B16238">
        <v>4.008</v>
      </c>
      <c r="C16238" t="str">
        <f t="shared" si="258"/>
        <v>2024 q1</v>
      </c>
    </row>
    <row r="16239" spans="1:3">
      <c r="A16239" s="62">
        <v>45376</v>
      </c>
      <c r="B16239">
        <v>4.016</v>
      </c>
      <c r="C16239" t="str">
        <f t="shared" si="258"/>
        <v>2024 q1</v>
      </c>
    </row>
    <row r="16240" spans="1:3">
      <c r="A16240" s="62">
        <v>45377</v>
      </c>
      <c r="B16240">
        <v>4.0064000000000002</v>
      </c>
      <c r="C16240" t="str">
        <f t="shared" si="258"/>
        <v>2024 q1</v>
      </c>
    </row>
    <row r="16241" spans="1:3">
      <c r="A16241" s="62">
        <v>45378</v>
      </c>
      <c r="B16241">
        <v>4.0095999999999998</v>
      </c>
      <c r="C16241" t="str">
        <f t="shared" si="258"/>
        <v>2024 q1</v>
      </c>
    </row>
    <row r="16242" spans="1:3">
      <c r="A16242" s="62">
        <v>45379</v>
      </c>
      <c r="B16242">
        <v>4.0128000000000004</v>
      </c>
      <c r="C16242" t="str">
        <f t="shared" si="258"/>
        <v>2024 q1</v>
      </c>
    </row>
    <row r="16243" spans="1:3">
      <c r="A16243" s="62">
        <v>45380</v>
      </c>
      <c r="B16243">
        <v>4.0111999999999997</v>
      </c>
      <c r="C16243" t="str">
        <f t="shared" si="258"/>
        <v>2024 q1</v>
      </c>
    </row>
    <row r="16244" spans="1:3">
      <c r="A16244" s="62">
        <v>45383</v>
      </c>
      <c r="B16244">
        <v>4.0511999999999997</v>
      </c>
      <c r="C16244" t="str">
        <f t="shared" si="258"/>
        <v>2024 q2</v>
      </c>
    </row>
    <row r="16245" spans="1:3">
      <c r="A16245" s="62">
        <v>45384</v>
      </c>
      <c r="B16245">
        <v>4.0768000000000004</v>
      </c>
      <c r="C16245" t="str">
        <f t="shared" si="258"/>
        <v>2024 q2</v>
      </c>
    </row>
    <row r="16246" spans="1:3">
      <c r="A16246" s="62">
        <v>45385</v>
      </c>
      <c r="B16246">
        <v>4.2064000000000004</v>
      </c>
      <c r="C16246" t="str">
        <f t="shared" si="258"/>
        <v>2024 q2</v>
      </c>
    </row>
    <row r="16247" spans="1:3">
      <c r="A16247" s="62">
        <v>45386</v>
      </c>
      <c r="B16247">
        <v>4.2336</v>
      </c>
      <c r="C16247" t="str">
        <f t="shared" si="258"/>
        <v>2024 q2</v>
      </c>
    </row>
    <row r="16248" spans="1:3">
      <c r="A16248" s="62">
        <v>45387</v>
      </c>
      <c r="B16248">
        <v>4.2367999999999997</v>
      </c>
      <c r="C16248" t="str">
        <f t="shared" si="258"/>
        <v>2024 q2</v>
      </c>
    </row>
    <row r="16249" spans="1:3">
      <c r="A16249" s="62">
        <v>45390</v>
      </c>
      <c r="B16249">
        <v>4.2911999999999999</v>
      </c>
      <c r="C16249" t="str">
        <f t="shared" si="258"/>
        <v>2024 q2</v>
      </c>
    </row>
    <row r="16250" spans="1:3">
      <c r="A16250" s="62">
        <v>45391</v>
      </c>
      <c r="B16250">
        <v>4.2896000000000001</v>
      </c>
      <c r="C16250" t="str">
        <f t="shared" si="258"/>
        <v>2024 q2</v>
      </c>
    </row>
    <row r="16251" spans="1:3">
      <c r="A16251" s="62">
        <v>45392</v>
      </c>
      <c r="B16251">
        <v>4.2720000000000002</v>
      </c>
      <c r="C16251" t="str">
        <f t="shared" si="258"/>
        <v>2024 q2</v>
      </c>
    </row>
    <row r="16252" spans="1:3">
      <c r="A16252" s="62">
        <v>45393</v>
      </c>
      <c r="B16252">
        <v>4.2607999999999997</v>
      </c>
      <c r="C16252" t="str">
        <f t="shared" si="258"/>
        <v>2024 q2</v>
      </c>
    </row>
    <row r="16253" spans="1:3">
      <c r="A16253" s="62">
        <v>45394</v>
      </c>
      <c r="B16253">
        <v>4.2640000000000002</v>
      </c>
      <c r="C16253" t="str">
        <f t="shared" si="258"/>
        <v>2024 q2</v>
      </c>
    </row>
    <row r="16254" spans="1:3">
      <c r="A16254" s="62">
        <v>45397</v>
      </c>
      <c r="B16254">
        <v>4.3600000000000003</v>
      </c>
      <c r="C16254" t="str">
        <f t="shared" si="258"/>
        <v>2024 q2</v>
      </c>
    </row>
    <row r="16255" spans="1:3">
      <c r="A16255" s="62">
        <v>45398</v>
      </c>
      <c r="B16255">
        <v>4.3056000000000001</v>
      </c>
      <c r="C16255" t="str">
        <f t="shared" si="258"/>
        <v>2024 q2</v>
      </c>
    </row>
    <row r="16256" spans="1:3">
      <c r="A16256" s="62">
        <v>45399</v>
      </c>
      <c r="B16256">
        <v>4.3407999999999998</v>
      </c>
      <c r="C16256" t="str">
        <f t="shared" si="258"/>
        <v>2024 q2</v>
      </c>
    </row>
    <row r="16257" spans="1:3">
      <c r="A16257" s="62">
        <v>45400</v>
      </c>
      <c r="B16257">
        <v>4.4256000000000002</v>
      </c>
      <c r="C16257" t="str">
        <f t="shared" si="258"/>
        <v>2024 q2</v>
      </c>
    </row>
    <row r="16258" spans="1:3">
      <c r="A16258" s="62">
        <v>45401</v>
      </c>
      <c r="B16258">
        <v>4.4960000000000004</v>
      </c>
      <c r="C16258" t="str">
        <f t="shared" si="258"/>
        <v>2024 q2</v>
      </c>
    </row>
    <row r="16259" spans="1:3">
      <c r="A16259" s="62">
        <v>45404</v>
      </c>
      <c r="B16259">
        <v>4.4847999999999999</v>
      </c>
      <c r="C16259" t="str">
        <f t="shared" si="258"/>
        <v>2024 q2</v>
      </c>
    </row>
    <row r="16260" spans="1:3">
      <c r="A16260" s="62">
        <v>45405</v>
      </c>
      <c r="B16260">
        <v>4.4336000000000002</v>
      </c>
      <c r="C16260" t="str">
        <f t="shared" si="258"/>
        <v>2024 q2</v>
      </c>
    </row>
    <row r="16261" spans="1:3">
      <c r="A16261" s="62">
        <v>45406</v>
      </c>
      <c r="B16261">
        <v>4.4560000000000004</v>
      </c>
      <c r="C16261" t="str">
        <f t="shared" si="258"/>
        <v>2024 q2</v>
      </c>
    </row>
    <row r="16262" spans="1:3">
      <c r="A16262" s="62">
        <v>45407</v>
      </c>
      <c r="B16262">
        <v>4.5407999999999999</v>
      </c>
      <c r="C16262" t="str">
        <f t="shared" si="258"/>
        <v>2024 q2</v>
      </c>
    </row>
    <row r="16263" spans="1:3">
      <c r="A16263" s="62">
        <v>45408</v>
      </c>
      <c r="B16263">
        <v>4.5679999999999996</v>
      </c>
      <c r="C16263" t="str">
        <f t="shared" si="258"/>
        <v>2024 q2</v>
      </c>
    </row>
    <row r="16264" spans="1:3">
      <c r="A16264" s="62">
        <v>45411</v>
      </c>
      <c r="B16264">
        <v>4.6719999999999997</v>
      </c>
      <c r="C16264" t="str">
        <f t="shared" si="258"/>
        <v>2024 q2</v>
      </c>
    </row>
    <row r="16265" spans="1:3">
      <c r="A16265" s="62">
        <v>45412</v>
      </c>
      <c r="B16265">
        <v>4.5503999999999998</v>
      </c>
      <c r="C16265" t="str">
        <f t="shared" si="258"/>
        <v>2024 q2</v>
      </c>
    </row>
    <row r="16266" spans="1:3">
      <c r="A16266" s="62">
        <v>45413</v>
      </c>
      <c r="B16266">
        <v>4.5648</v>
      </c>
      <c r="C16266" t="str">
        <f t="shared" si="258"/>
        <v>2024 q2</v>
      </c>
    </row>
    <row r="16267" spans="1:3">
      <c r="A16267" s="62">
        <v>45414</v>
      </c>
      <c r="B16267">
        <v>4.5056000000000003</v>
      </c>
      <c r="C16267" t="str">
        <f t="shared" si="258"/>
        <v>2024 q2</v>
      </c>
    </row>
    <row r="16268" spans="1:3">
      <c r="A16268" s="62">
        <v>45415</v>
      </c>
      <c r="B16268">
        <v>4.5583999999999998</v>
      </c>
      <c r="C16268" t="str">
        <f t="shared" si="258"/>
        <v>2024 q2</v>
      </c>
    </row>
    <row r="16269" spans="1:3">
      <c r="A16269" s="62">
        <v>45418</v>
      </c>
      <c r="B16269">
        <v>4.6112000000000002</v>
      </c>
      <c r="C16269" t="str">
        <f t="shared" si="258"/>
        <v>2024 q2</v>
      </c>
    </row>
    <row r="16270" spans="1:3">
      <c r="A16270" s="62">
        <v>45419</v>
      </c>
      <c r="B16270">
        <v>4.5903999999999998</v>
      </c>
      <c r="C16270" t="str">
        <f t="shared" si="258"/>
        <v>2024 q2</v>
      </c>
    </row>
    <row r="16271" spans="1:3">
      <c r="A16271" s="62">
        <v>45420</v>
      </c>
      <c r="B16271">
        <v>4.5423999999999998</v>
      </c>
      <c r="C16271" t="str">
        <f t="shared" si="258"/>
        <v>2024 q2</v>
      </c>
    </row>
    <row r="16272" spans="1:3">
      <c r="A16272" s="62">
        <v>45421</v>
      </c>
      <c r="B16272">
        <v>4.6032000000000002</v>
      </c>
      <c r="C16272" t="str">
        <f t="shared" si="258"/>
        <v>2024 q2</v>
      </c>
    </row>
    <row r="16273" spans="1:3">
      <c r="A16273" s="62">
        <v>45422</v>
      </c>
      <c r="B16273">
        <v>4.6528</v>
      </c>
      <c r="C16273" t="str">
        <f t="shared" si="258"/>
        <v>2024 q2</v>
      </c>
    </row>
    <row r="16274" spans="1:3">
      <c r="A16274" s="62">
        <v>45425</v>
      </c>
      <c r="B16274">
        <v>4.7712000000000003</v>
      </c>
      <c r="C16274" t="str">
        <f t="shared" ref="C16274:C16300" si="259">YEAR(A16274)&amp;" q"&amp;ROUNDUP(MONTH(A16274)/3,0)</f>
        <v>2024 q2</v>
      </c>
    </row>
    <row r="16275" spans="1:3">
      <c r="A16275" s="62">
        <v>45426</v>
      </c>
      <c r="B16275">
        <v>4.9055999999999997</v>
      </c>
      <c r="C16275" t="str">
        <f t="shared" si="259"/>
        <v>2024 q2</v>
      </c>
    </row>
    <row r="16276" spans="1:3">
      <c r="A16276" s="62">
        <v>45427</v>
      </c>
      <c r="B16276">
        <v>4.9231999999999996</v>
      </c>
      <c r="C16276" t="str">
        <f t="shared" si="259"/>
        <v>2024 q2</v>
      </c>
    </row>
    <row r="16277" spans="1:3">
      <c r="A16277" s="62">
        <v>45428</v>
      </c>
      <c r="B16277">
        <v>4.8815999999999997</v>
      </c>
      <c r="C16277" t="str">
        <f t="shared" si="259"/>
        <v>2024 q2</v>
      </c>
    </row>
    <row r="16278" spans="1:3">
      <c r="A16278" s="62">
        <v>45429</v>
      </c>
      <c r="B16278">
        <v>5.0831999999999997</v>
      </c>
      <c r="C16278" t="str">
        <f t="shared" si="259"/>
        <v>2024 q2</v>
      </c>
    </row>
    <row r="16279" spans="1:3">
      <c r="A16279" s="62">
        <v>45432</v>
      </c>
      <c r="B16279">
        <v>5.1055999999999999</v>
      </c>
      <c r="C16279" t="str">
        <f t="shared" si="259"/>
        <v>2024 q2</v>
      </c>
    </row>
    <row r="16280" spans="1:3">
      <c r="A16280" s="62">
        <v>45433</v>
      </c>
      <c r="C16280" t="str">
        <f t="shared" si="259"/>
        <v>2024 q2</v>
      </c>
    </row>
    <row r="16281" spans="1:3">
      <c r="A16281" s="62">
        <v>45434</v>
      </c>
      <c r="C16281" t="str">
        <f t="shared" si="259"/>
        <v>2024 q2</v>
      </c>
    </row>
    <row r="16282" spans="1:3">
      <c r="A16282" s="62">
        <v>45435</v>
      </c>
      <c r="C16282" t="str">
        <f t="shared" si="259"/>
        <v>2024 q2</v>
      </c>
    </row>
    <row r="16283" spans="1:3">
      <c r="A16283" s="62">
        <v>45436</v>
      </c>
      <c r="C16283" t="str">
        <f t="shared" si="259"/>
        <v>2024 q2</v>
      </c>
    </row>
    <row r="16284" spans="1:3">
      <c r="A16284" s="62">
        <v>45437</v>
      </c>
      <c r="C16284" t="str">
        <f t="shared" si="259"/>
        <v>2024 q2</v>
      </c>
    </row>
    <row r="16285" spans="1:3">
      <c r="A16285" s="62">
        <v>45438</v>
      </c>
      <c r="C16285" t="str">
        <f t="shared" si="259"/>
        <v>2024 q2</v>
      </c>
    </row>
    <row r="16286" spans="1:3">
      <c r="A16286" s="62">
        <v>45439</v>
      </c>
      <c r="C16286" t="str">
        <f t="shared" si="259"/>
        <v>2024 q2</v>
      </c>
    </row>
    <row r="16287" spans="1:3">
      <c r="A16287" s="62">
        <v>45440</v>
      </c>
      <c r="C16287" t="str">
        <f t="shared" si="259"/>
        <v>2024 q2</v>
      </c>
    </row>
    <row r="16288" spans="1:3">
      <c r="A16288" s="62">
        <v>45441</v>
      </c>
      <c r="C16288" t="str">
        <f t="shared" si="259"/>
        <v>2024 q2</v>
      </c>
    </row>
    <row r="16289" spans="1:3">
      <c r="A16289" s="62">
        <v>45442</v>
      </c>
      <c r="C16289" t="str">
        <f t="shared" si="259"/>
        <v>2024 q2</v>
      </c>
    </row>
    <row r="16290" spans="1:3">
      <c r="A16290" s="62">
        <v>45443</v>
      </c>
      <c r="C16290" t="str">
        <f t="shared" si="259"/>
        <v>2024 q2</v>
      </c>
    </row>
    <row r="16291" spans="1:3">
      <c r="A16291" s="62">
        <v>45444</v>
      </c>
      <c r="C16291" t="str">
        <f t="shared" si="259"/>
        <v>2024 q2</v>
      </c>
    </row>
    <row r="16292" spans="1:3">
      <c r="A16292" s="62">
        <v>45445</v>
      </c>
      <c r="C16292" t="str">
        <f t="shared" si="259"/>
        <v>2024 q2</v>
      </c>
    </row>
    <row r="16293" spans="1:3">
      <c r="A16293" s="62">
        <v>45446</v>
      </c>
      <c r="C16293" t="str">
        <f t="shared" si="259"/>
        <v>2024 q2</v>
      </c>
    </row>
    <row r="16294" spans="1:3">
      <c r="A16294" s="62">
        <v>45447</v>
      </c>
      <c r="C16294" t="str">
        <f t="shared" si="259"/>
        <v>2024 q2</v>
      </c>
    </row>
    <row r="16295" spans="1:3">
      <c r="A16295" s="62">
        <v>45448</v>
      </c>
      <c r="C16295" t="str">
        <f t="shared" si="259"/>
        <v>2024 q2</v>
      </c>
    </row>
    <row r="16296" spans="1:3">
      <c r="A16296" s="62">
        <v>45449</v>
      </c>
      <c r="C16296" t="str">
        <f t="shared" si="259"/>
        <v>2024 q2</v>
      </c>
    </row>
    <row r="16297" spans="1:3">
      <c r="A16297" s="62">
        <v>45450</v>
      </c>
      <c r="C16297" t="str">
        <f t="shared" si="259"/>
        <v>2024 q2</v>
      </c>
    </row>
    <row r="16298" spans="1:3">
      <c r="A16298" s="62">
        <v>45451</v>
      </c>
      <c r="C16298" t="str">
        <f t="shared" si="259"/>
        <v>2024 q2</v>
      </c>
    </row>
    <row r="16299" spans="1:3">
      <c r="A16299" s="62">
        <v>45452</v>
      </c>
      <c r="C16299" t="str">
        <f t="shared" si="259"/>
        <v>2024 q2</v>
      </c>
    </row>
    <row r="16300" spans="1:3">
      <c r="A16300" s="62">
        <v>45453</v>
      </c>
      <c r="C16300" t="str">
        <f t="shared" si="259"/>
        <v>2024 q2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Local model data</vt:lpstr>
      <vt:lpstr>GDP</vt:lpstr>
      <vt:lpstr>RoE</vt:lpstr>
      <vt:lpstr>Spot yield curve</vt:lpstr>
      <vt:lpstr>tb %</vt:lpstr>
      <vt:lpstr>policy tool rates</vt:lpstr>
      <vt:lpstr>Mortgage rate</vt:lpstr>
      <vt:lpstr>Construction loans</vt:lpstr>
      <vt:lpstr>Copper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Արթուր Գրիգորյան</dc:creator>
  <cp:lastModifiedBy>Victor Yerz</cp:lastModifiedBy>
  <dcterms:created xsi:type="dcterms:W3CDTF">2015-06-05T18:17:20Z</dcterms:created>
  <dcterms:modified xsi:type="dcterms:W3CDTF">2024-06-10T08:06:23Z</dcterms:modified>
</cp:coreProperties>
</file>