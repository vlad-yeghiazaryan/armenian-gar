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yerz/Desktop/"/>
    </mc:Choice>
  </mc:AlternateContent>
  <xr:revisionPtr revIDLastSave="0" documentId="13_ncr:1_{0D6C1BB3-E746-2D4C-B4F5-0B66B44F6FB0}" xr6:coauthVersionLast="47" xr6:coauthVersionMax="47" xr10:uidLastSave="{00000000-0000-0000-0000-000000000000}"/>
  <bookViews>
    <workbookView xWindow="0" yWindow="0" windowWidth="28800" windowHeight="18000" xr2:uid="{77A98050-26DA-CF4F-B3F2-47C15134BCA6}"/>
  </bookViews>
  <sheets>
    <sheet name="Sheet1" sheetId="1" r:id="rId1"/>
  </sheets>
  <definedNames>
    <definedName name="_xlnm.Print_Area" localSheetId="0">Sheet1!$A$1:$M$31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9" i="1" l="1"/>
  <c r="K8" i="1"/>
  <c r="K7" i="1"/>
  <c r="K6" i="1"/>
  <c r="K5" i="1"/>
  <c r="K4" i="1"/>
  <c r="K3" i="1"/>
  <c r="K2" i="1"/>
  <c r="J9" i="1"/>
  <c r="J8" i="1"/>
  <c r="J7" i="1"/>
  <c r="J6" i="1"/>
  <c r="J5" i="1"/>
  <c r="J4" i="1"/>
  <c r="J3" i="1"/>
  <c r="J2" i="1"/>
  <c r="F6" i="1"/>
  <c r="F7" i="1"/>
  <c r="F2" i="1"/>
  <c r="F3" i="1"/>
  <c r="F9" i="1"/>
  <c r="F5" i="1"/>
  <c r="F8" i="1"/>
  <c r="F4" i="1"/>
</calcChain>
</file>

<file path=xl/sharedStrings.xml><?xml version="1.0" encoding="utf-8"?>
<sst xmlns="http://schemas.openxmlformats.org/spreadsheetml/2006/main" count="15" uniqueCount="13">
  <si>
    <t>Tightening</t>
  </si>
  <si>
    <t>Policy</t>
  </si>
  <si>
    <t>FCyI</t>
  </si>
  <si>
    <t>FCI</t>
  </si>
  <si>
    <t>Loosening</t>
  </si>
  <si>
    <t>Median</t>
  </si>
  <si>
    <t>Tail</t>
  </si>
  <si>
    <t>Gap</t>
  </si>
  <si>
    <t>quantile</t>
  </si>
  <si>
    <t>FCyI=0, FCI=0</t>
  </si>
  <si>
    <t>FCyI=0, FCI=1</t>
  </si>
  <si>
    <t>FCyI=0.5, FCI=0.5</t>
  </si>
  <si>
    <t>FCyI=1, FCI=0.5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</si>
</sst>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Tightening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FCyI=0, FCI=0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Sheet1!$I$2:$I$3</c:f>
              <c:numCache>
                <c:formatCode>General</c:formatCode>
                <c:ptCount val="2"/>
                <c:pt idx="0">
                  <c:v>0.1</c:v>
                </c:pt>
                <c:pt idx="1">
                  <c:v>0.5</c:v>
                </c:pt>
              </c:numCache>
            </c:numRef>
          </c:xVal>
          <c:yVal>
            <c:numRef>
              <c:f>Sheet1!$J$2:$J$3</c:f>
              <c:numCache>
                <c:formatCode>General</c:formatCode>
                <c:ptCount val="2"/>
                <c:pt idx="0">
                  <c:v>0.1</c:v>
                </c:pt>
                <c:pt idx="1">
                  <c:v>-0.8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EB-6E4E-AB44-F19044E1EBA1}"/>
            </c:ext>
          </c:extLst>
        </c:ser>
        <c:ser>
          <c:idx val="1"/>
          <c:order val="1"/>
          <c:tx>
            <c:strRef>
              <c:f>Sheet1!$H$4</c:f>
              <c:strCache>
                <c:ptCount val="1"/>
                <c:pt idx="0">
                  <c:v>FCyI=0, FCI=1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Sheet1!$I$4:$I$5</c:f>
              <c:numCache>
                <c:formatCode>General</c:formatCode>
                <c:ptCount val="2"/>
                <c:pt idx="0">
                  <c:v>0.1</c:v>
                </c:pt>
                <c:pt idx="1">
                  <c:v>0.5</c:v>
                </c:pt>
              </c:numCache>
            </c:numRef>
          </c:xVal>
          <c:yVal>
            <c:numRef>
              <c:f>Sheet1!$J$4:$J$5</c:f>
              <c:numCache>
                <c:formatCode>General</c:formatCode>
                <c:ptCount val="2"/>
                <c:pt idx="0">
                  <c:v>0.1</c:v>
                </c:pt>
                <c:pt idx="1">
                  <c:v>-0.85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EB-6E4E-AB44-F19044E1EBA1}"/>
            </c:ext>
          </c:extLst>
        </c:ser>
        <c:ser>
          <c:idx val="2"/>
          <c:order val="2"/>
          <c:tx>
            <c:strRef>
              <c:f>Sheet1!$H$6</c:f>
              <c:strCache>
                <c:ptCount val="1"/>
                <c:pt idx="0">
                  <c:v>FCyI=0.5, FCI=0.5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Sheet1!$I$6:$I$7</c:f>
              <c:numCache>
                <c:formatCode>General</c:formatCode>
                <c:ptCount val="2"/>
                <c:pt idx="0">
                  <c:v>0.1</c:v>
                </c:pt>
                <c:pt idx="1">
                  <c:v>0.5</c:v>
                </c:pt>
              </c:numCache>
            </c:numRef>
          </c:xVal>
          <c:yVal>
            <c:numRef>
              <c:f>Sheet1!$J$6:$J$7</c:f>
              <c:numCache>
                <c:formatCode>General</c:formatCode>
                <c:ptCount val="2"/>
                <c:pt idx="0">
                  <c:v>0.24</c:v>
                </c:pt>
                <c:pt idx="1">
                  <c:v>-0.72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EB-6E4E-AB44-F19044E1EBA1}"/>
            </c:ext>
          </c:extLst>
        </c:ser>
        <c:ser>
          <c:idx val="3"/>
          <c:order val="3"/>
          <c:tx>
            <c:strRef>
              <c:f>Sheet1!$H$8</c:f>
              <c:strCache>
                <c:ptCount val="1"/>
                <c:pt idx="0">
                  <c:v>FCyI=1, FCI=0.5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Sheet1!$I$8:$I$9</c:f>
              <c:numCache>
                <c:formatCode>General</c:formatCode>
                <c:ptCount val="2"/>
                <c:pt idx="0">
                  <c:v>0.1</c:v>
                </c:pt>
                <c:pt idx="1">
                  <c:v>0.5</c:v>
                </c:pt>
              </c:numCache>
            </c:numRef>
          </c:xVal>
          <c:yVal>
            <c:numRef>
              <c:f>Sheet1!$J$8:$J$9</c:f>
              <c:numCache>
                <c:formatCode>General</c:formatCode>
                <c:ptCount val="2"/>
                <c:pt idx="0">
                  <c:v>0.34</c:v>
                </c:pt>
                <c:pt idx="1">
                  <c:v>-0.72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EB-6E4E-AB44-F19044E1E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998336"/>
        <c:axId val="1493525808"/>
      </c:scatterChart>
      <c:valAx>
        <c:axId val="160299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525808"/>
        <c:crosses val="autoZero"/>
        <c:crossBetween val="midCat"/>
      </c:valAx>
      <c:valAx>
        <c:axId val="149352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998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Loosening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FCyI=0, FCI=0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Sheet1!$I$2:$I$3</c:f>
              <c:numCache>
                <c:formatCode>General</c:formatCode>
                <c:ptCount val="2"/>
                <c:pt idx="0">
                  <c:v>0.1</c:v>
                </c:pt>
                <c:pt idx="1">
                  <c:v>0.5</c:v>
                </c:pt>
              </c:numCache>
            </c:numRef>
          </c:xVal>
          <c:yVal>
            <c:numRef>
              <c:f>Sheet1!$K$2:$K$3</c:f>
              <c:numCache>
                <c:formatCode>General</c:formatCode>
                <c:ptCount val="2"/>
                <c:pt idx="0">
                  <c:v>0.05</c:v>
                </c:pt>
                <c:pt idx="1">
                  <c:v>-0.85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BE-584E-8974-2FE14B60F1D3}"/>
            </c:ext>
          </c:extLst>
        </c:ser>
        <c:ser>
          <c:idx val="1"/>
          <c:order val="1"/>
          <c:tx>
            <c:strRef>
              <c:f>Sheet1!$H$4</c:f>
              <c:strCache>
                <c:ptCount val="1"/>
                <c:pt idx="0">
                  <c:v>FCyI=0, FCI=1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Sheet1!$I$4:$I$5</c:f>
              <c:numCache>
                <c:formatCode>General</c:formatCode>
                <c:ptCount val="2"/>
                <c:pt idx="0">
                  <c:v>0.1</c:v>
                </c:pt>
                <c:pt idx="1">
                  <c:v>0.5</c:v>
                </c:pt>
              </c:numCache>
            </c:numRef>
          </c:xVal>
          <c:yVal>
            <c:numRef>
              <c:f>Sheet1!$K$4:$K$5</c:f>
              <c:numCache>
                <c:formatCode>General</c:formatCode>
                <c:ptCount val="2"/>
                <c:pt idx="0">
                  <c:v>0.05</c:v>
                </c:pt>
                <c:pt idx="1">
                  <c:v>-0.9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BE-584E-8974-2FE14B60F1D3}"/>
            </c:ext>
          </c:extLst>
        </c:ser>
        <c:ser>
          <c:idx val="2"/>
          <c:order val="2"/>
          <c:tx>
            <c:strRef>
              <c:f>Sheet1!$H$6</c:f>
              <c:strCache>
                <c:ptCount val="1"/>
                <c:pt idx="0">
                  <c:v>FCyI=0.5, FCI=0.5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Sheet1!$I$6:$I$7</c:f>
              <c:numCache>
                <c:formatCode>General</c:formatCode>
                <c:ptCount val="2"/>
                <c:pt idx="0">
                  <c:v>0.1</c:v>
                </c:pt>
                <c:pt idx="1">
                  <c:v>0.5</c:v>
                </c:pt>
              </c:numCache>
            </c:numRef>
          </c:xVal>
          <c:yVal>
            <c:numRef>
              <c:f>Sheet1!$K$6:$K$7</c:f>
              <c:numCache>
                <c:formatCode>General</c:formatCode>
                <c:ptCount val="2"/>
                <c:pt idx="0">
                  <c:v>0.1</c:v>
                </c:pt>
                <c:pt idx="1">
                  <c:v>-0.8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2BE-584E-8974-2FE14B60F1D3}"/>
            </c:ext>
          </c:extLst>
        </c:ser>
        <c:ser>
          <c:idx val="3"/>
          <c:order val="3"/>
          <c:tx>
            <c:strRef>
              <c:f>Sheet1!$H$8</c:f>
              <c:strCache>
                <c:ptCount val="1"/>
                <c:pt idx="0">
                  <c:v>FCyI=1, FCI=0.5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Sheet1!$I$8:$I$9</c:f>
              <c:numCache>
                <c:formatCode>General</c:formatCode>
                <c:ptCount val="2"/>
                <c:pt idx="0">
                  <c:v>0.1</c:v>
                </c:pt>
                <c:pt idx="1">
                  <c:v>0.5</c:v>
                </c:pt>
              </c:numCache>
            </c:numRef>
          </c:xVal>
          <c:yVal>
            <c:numRef>
              <c:f>Sheet1!$K$8:$K$9</c:f>
              <c:numCache>
                <c:formatCode>General</c:formatCode>
                <c:ptCount val="2"/>
                <c:pt idx="0">
                  <c:v>0.25</c:v>
                </c:pt>
                <c:pt idx="1">
                  <c:v>-0.7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2BE-584E-8974-2FE14B60F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998336"/>
        <c:axId val="1493525808"/>
      </c:scatterChart>
      <c:valAx>
        <c:axId val="160299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525808"/>
        <c:crosses val="autoZero"/>
        <c:crossBetween val="midCat"/>
      </c:valAx>
      <c:valAx>
        <c:axId val="149352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998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167105</xdr:colOff>
      <xdr:row>9</xdr:row>
      <xdr:rowOff>102253</xdr:rowOff>
    </xdr:from>
    <xdr:to>
      <xdr:col>5</xdr:col>
      <xdr:colOff>278508</xdr:colOff>
      <xdr:row>30</xdr:row>
      <xdr:rowOff>93961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EBBEFF-3B82-2D14-2B46-3DFCED310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105" y="1940411"/>
          <a:ext cx="4133070" cy="4202761"/>
        </a:xfrm>
        <a:prstGeom prst="rect">
          <a:avLst/>
        </a:prstGeom>
      </xdr:spPr>
    </xdr:pic>
    <xdr:clientData/>
  </xdr:twoCellAnchor>
  <xdr:twoCellAnchor>
    <xdr:from>
      <xdr:col>6</xdr:col>
      <xdr:colOff>67439</xdr:colOff>
      <xdr:row>0</xdr:row>
      <xdr:rowOff>33420</xdr:rowOff>
    </xdr:from>
    <xdr:to>
      <xdr:col>11</xdr:col>
      <xdr:colOff>799432</xdr:colOff>
      <xdr:row>14</xdr:row>
      <xdr:rowOff>173750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54597BC-4239-EB25-C895-5773744AA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55702</xdr:colOff>
      <xdr:row>15</xdr:row>
      <xdr:rowOff>111405</xdr:rowOff>
    </xdr:from>
    <xdr:to>
      <xdr:col>11</xdr:col>
      <xdr:colOff>787695</xdr:colOff>
      <xdr:row>30</xdr:row>
      <xdr:rowOff>84629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9412B08-9440-1345-800B-C82CB7A36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530E0-65B4-5B49-98D0-14EE1BB1EA98}">
  <sheetPr>
    <pageSetUpPr fitToPage="1"/>
  </sheetPr>
  <dimension ref="A1:K9"/>
  <sheetViews>
    <sheetView tabSelected="1" zoomScale="114" workbookViewId="0">
      <selection activeCell="B8" sqref="B8"/>
    </sheetView>
  </sheetViews>
  <sheetFormatPr baseColWidth="10" defaultRowHeight="16" x14ac:dyDescent="0.2"/>
  <cols>
    <col min="1" max="1" width="9.5" bestFit="1" customWidth="1"/>
    <col min="8" max="8" width="15" bestFit="1" customWidth="1"/>
  </cols>
  <sheetData>
    <row r="1" spans="1:11" ht="17" thickBot="1" x14ac:dyDescent="0.25">
      <c r="A1" s="12" t="s">
        <v>1</v>
      </c>
      <c r="B1" s="15" t="s">
        <v>2</v>
      </c>
      <c r="C1" s="16" t="s">
        <v>3</v>
      </c>
      <c r="D1" s="13" t="s">
        <v>6</v>
      </c>
      <c r="E1" s="13" t="s">
        <v>5</v>
      </c>
      <c r="F1" s="14" t="s">
        <v>7</v>
      </c>
      <c r="I1" t="s">
        <v>8</v>
      </c>
      <c r="J1" t="s">
        <v>0</v>
      </c>
      <c r="K1" t="s">
        <v>4</v>
      </c>
    </row>
    <row r="2" spans="1:11" x14ac:dyDescent="0.2">
      <c r="A2" s="2" t="s">
        <v>0</v>
      </c>
      <c r="B2" s="3">
        <v>0</v>
      </c>
      <c r="C2" s="10">
        <v>0</v>
      </c>
      <c r="D2" s="4">
        <v>0.1</v>
      </c>
      <c r="E2" s="4">
        <v>-0.8</v>
      </c>
      <c r="F2" s="5">
        <f>E2-D2</f>
        <v>-0.9</v>
      </c>
      <c r="H2" s="1" t="s">
        <v>9</v>
      </c>
      <c r="I2">
        <v>0.1</v>
      </c>
      <c r="J2">
        <f>D2</f>
        <v>0.1</v>
      </c>
      <c r="K2">
        <f>-D6</f>
        <v>0.05</v>
      </c>
    </row>
    <row r="3" spans="1:11" x14ac:dyDescent="0.2">
      <c r="A3" s="2"/>
      <c r="B3" s="3">
        <v>0</v>
      </c>
      <c r="C3" s="10">
        <v>1</v>
      </c>
      <c r="D3" s="4">
        <v>0.1</v>
      </c>
      <c r="E3" s="4">
        <v>-0.85</v>
      </c>
      <c r="F3" s="5">
        <f>E3-D3</f>
        <v>-0.95</v>
      </c>
      <c r="H3" s="1"/>
      <c r="I3">
        <v>0.5</v>
      </c>
      <c r="J3">
        <f>E2</f>
        <v>-0.8</v>
      </c>
      <c r="K3">
        <f>-E6</f>
        <v>-0.85</v>
      </c>
    </row>
    <row r="4" spans="1:11" x14ac:dyDescent="0.2">
      <c r="A4" s="2"/>
      <c r="B4" s="3">
        <v>0.5</v>
      </c>
      <c r="C4" s="10">
        <v>0.5</v>
      </c>
      <c r="D4" s="4">
        <v>0.24</v>
      </c>
      <c r="E4" s="4">
        <v>-0.72</v>
      </c>
      <c r="F4" s="5">
        <f>E4-D4</f>
        <v>-0.96</v>
      </c>
      <c r="H4" s="1" t="s">
        <v>10</v>
      </c>
      <c r="I4">
        <v>0.1</v>
      </c>
      <c r="J4">
        <f>D3</f>
        <v>0.1</v>
      </c>
      <c r="K4">
        <f>-D7</f>
        <v>0.05</v>
      </c>
    </row>
    <row r="5" spans="1:11" ht="17" thickBot="1" x14ac:dyDescent="0.25">
      <c r="A5" s="6"/>
      <c r="B5" s="7">
        <v>1</v>
      </c>
      <c r="C5" s="11">
        <v>0.5</v>
      </c>
      <c r="D5" s="8">
        <v>0.34</v>
      </c>
      <c r="E5" s="8">
        <v>-0.72</v>
      </c>
      <c r="F5" s="9">
        <f>E5-D5</f>
        <v>-1.06</v>
      </c>
      <c r="H5" s="1"/>
      <c r="I5">
        <v>0.5</v>
      </c>
      <c r="J5">
        <f>E3</f>
        <v>-0.85</v>
      </c>
      <c r="K5">
        <f>-E7</f>
        <v>-0.9</v>
      </c>
    </row>
    <row r="6" spans="1:11" x14ac:dyDescent="0.2">
      <c r="A6" s="2" t="s">
        <v>4</v>
      </c>
      <c r="B6" s="3">
        <v>0</v>
      </c>
      <c r="C6" s="10">
        <v>0</v>
      </c>
      <c r="D6" s="17">
        <v>-0.05</v>
      </c>
      <c r="E6" s="17">
        <v>0.85</v>
      </c>
      <c r="F6" s="5">
        <f>E6-D6</f>
        <v>0.9</v>
      </c>
      <c r="H6" s="1" t="s">
        <v>11</v>
      </c>
      <c r="I6">
        <v>0.1</v>
      </c>
      <c r="J6">
        <f>D4</f>
        <v>0.24</v>
      </c>
      <c r="K6">
        <f>-D8</f>
        <v>0.1</v>
      </c>
    </row>
    <row r="7" spans="1:11" x14ac:dyDescent="0.2">
      <c r="A7" s="2"/>
      <c r="B7" s="3">
        <v>0</v>
      </c>
      <c r="C7" s="10">
        <v>1</v>
      </c>
      <c r="D7" s="17">
        <v>-0.05</v>
      </c>
      <c r="E7" s="17">
        <v>0.9</v>
      </c>
      <c r="F7" s="5">
        <f>E7-D7</f>
        <v>0.95000000000000007</v>
      </c>
      <c r="H7" s="1"/>
      <c r="I7">
        <v>0.5</v>
      </c>
      <c r="J7">
        <f>E4</f>
        <v>-0.72</v>
      </c>
      <c r="K7">
        <f>-E8</f>
        <v>-0.8</v>
      </c>
    </row>
    <row r="8" spans="1:11" x14ac:dyDescent="0.2">
      <c r="A8" s="2"/>
      <c r="B8" s="3">
        <v>0.5</v>
      </c>
      <c r="C8" s="10">
        <v>0.5</v>
      </c>
      <c r="D8" s="4">
        <v>-0.1</v>
      </c>
      <c r="E8" s="4">
        <v>0.8</v>
      </c>
      <c r="F8" s="5">
        <f>E8-D8</f>
        <v>0.9</v>
      </c>
      <c r="H8" s="1" t="s">
        <v>12</v>
      </c>
      <c r="I8">
        <v>0.1</v>
      </c>
      <c r="J8">
        <f>D5</f>
        <v>0.34</v>
      </c>
      <c r="K8">
        <f>-D9</f>
        <v>0.25</v>
      </c>
    </row>
    <row r="9" spans="1:11" ht="17" thickBot="1" x14ac:dyDescent="0.25">
      <c r="A9" s="6"/>
      <c r="B9" s="7">
        <v>1</v>
      </c>
      <c r="C9" s="11">
        <v>0.5</v>
      </c>
      <c r="D9" s="8">
        <v>-0.25</v>
      </c>
      <c r="E9" s="8">
        <v>0.7</v>
      </c>
      <c r="F9" s="9">
        <f>E9-D9</f>
        <v>0.95</v>
      </c>
      <c r="H9" s="1"/>
      <c r="I9">
        <v>0.5</v>
      </c>
      <c r="J9">
        <f>E5</f>
        <v>-0.72</v>
      </c>
      <c r="K9">
        <f>-E9</f>
        <v>-0.7</v>
      </c>
    </row>
  </sheetData>
  <mergeCells count="6">
    <mergeCell ref="A2:A5"/>
    <mergeCell ref="A6:A9"/>
    <mergeCell ref="H2:H3"/>
    <mergeCell ref="H4:H5"/>
    <mergeCell ref="H6:H7"/>
    <mergeCell ref="H8:H9"/>
  </mergeCells>
  <pageMargins left="0.25" right="0.25" top="0.75" bottom="0.75" header="0.3" footer="0.3"/>
  <pageSetup paperSize="9" scale="90" pageOrder="overThenDown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Yerz</dc:creator>
  <cp:lastModifiedBy>Victor Yerz</cp:lastModifiedBy>
  <cp:lastPrinted>2024-11-26T23:03:14Z</cp:lastPrinted>
  <dcterms:created xsi:type="dcterms:W3CDTF">2024-11-26T20:19:17Z</dcterms:created>
  <dcterms:modified xsi:type="dcterms:W3CDTF">2024-11-26T23:03:18Z</dcterms:modified>
</cp:coreProperties>
</file>